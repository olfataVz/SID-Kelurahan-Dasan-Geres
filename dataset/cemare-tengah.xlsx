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240" yWindow="75" windowWidth="20115" windowHeight="7995" activeTab="1"/>
  </bookViews>
  <sheets>
    <sheet name="Rekap" sheetId="10" r:id="rId1"/>
    <sheet name="RT 01" sheetId="2" r:id="rId2"/>
    <sheet name="RT 02" sheetId="1" r:id="rId3"/>
    <sheet name="RT 03" sheetId="3" r:id="rId4"/>
    <sheet name="S" sheetId="6" r:id="rId5"/>
    <sheet name="PINDAH KELUAR" sheetId="8" r:id="rId6"/>
    <sheet name="Meninggal" sheetId="9" r:id="rId7"/>
  </sheets>
  <definedNames>
    <definedName name="_520101_1611170006">'RT 02'!$C$301</definedName>
    <definedName name="_xlnm._FilterDatabase" localSheetId="1" hidden="1">'RT 01'!$B$7:$R$329</definedName>
    <definedName name="_xlnm._FilterDatabase" localSheetId="2" hidden="1">'RT 02'!$B$7:$R$326</definedName>
    <definedName name="_xlnm._FilterDatabase" localSheetId="3" hidden="1">'RT 03'!$B$7:$R$223</definedName>
    <definedName name="_GoBack" localSheetId="1">'RT 01'!$G$8</definedName>
    <definedName name="_xlnm.Print_Area" localSheetId="0">Rekap!$B$2:$N$19</definedName>
    <definedName name="_xlnm.Print_Area" localSheetId="1">'RT 01'!$B$1:$R$339</definedName>
    <definedName name="_xlnm.Print_Area" localSheetId="2">'RT 02'!$B$1:$R$330</definedName>
    <definedName name="_xlnm.Print_Area" localSheetId="3">'RT 03'!$B$1:$R$233</definedName>
    <definedName name="_xlnm.Print_Titles" localSheetId="1">'RT 01'!$1:$7</definedName>
    <definedName name="_xlnm.Print_Titles" localSheetId="2">'RT 02'!$1:$7</definedName>
    <definedName name="_xlnm.Print_Titles" localSheetId="3">'RT 03'!$1:$7</definedName>
  </definedNames>
  <calcPr calcId="124519"/>
</workbook>
</file>

<file path=xl/calcChain.xml><?xml version="1.0" encoding="utf-8"?>
<calcChain xmlns="http://schemas.openxmlformats.org/spreadsheetml/2006/main">
  <c r="J8" i="10"/>
  <c r="J7"/>
  <c r="J6"/>
  <c r="I8"/>
  <c r="I7"/>
  <c r="I6"/>
  <c r="L209" i="3" l="1"/>
  <c r="L223"/>
  <c r="L222"/>
  <c r="L221"/>
  <c r="L220"/>
  <c r="L219"/>
  <c r="L218"/>
  <c r="L217"/>
  <c r="L216"/>
  <c r="L215"/>
  <c r="L214"/>
  <c r="L213"/>
  <c r="L212"/>
  <c r="L211"/>
  <c r="L210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1"/>
  <c r="L150"/>
  <c r="L149"/>
  <c r="L148"/>
  <c r="L147"/>
  <c r="L146"/>
  <c r="L139"/>
  <c r="L138"/>
  <c r="L137"/>
  <c r="L136"/>
  <c r="L132"/>
  <c r="L131"/>
  <c r="L130"/>
  <c r="L129"/>
  <c r="L128"/>
  <c r="L127"/>
  <c r="L126"/>
  <c r="L125"/>
  <c r="L124"/>
  <c r="L123"/>
  <c r="L122"/>
  <c r="L121"/>
  <c r="L120"/>
  <c r="L119"/>
  <c r="L118"/>
  <c r="L117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0"/>
  <c r="L69"/>
  <c r="L68"/>
  <c r="L67"/>
  <c r="L66"/>
  <c r="L47"/>
  <c r="L46"/>
  <c r="L45"/>
  <c r="L44"/>
  <c r="L43"/>
  <c r="L42"/>
  <c r="L41"/>
  <c r="L40"/>
  <c r="L39"/>
  <c r="L38"/>
  <c r="L37"/>
  <c r="L36"/>
  <c r="L35"/>
  <c r="L34"/>
  <c r="L33"/>
  <c r="L32"/>
  <c r="L83" i="1"/>
  <c r="L324"/>
  <c r="L323"/>
  <c r="L322"/>
  <c r="L321"/>
  <c r="L320"/>
  <c r="L319"/>
  <c r="L318"/>
  <c r="L291"/>
  <c r="L290"/>
  <c r="L289"/>
  <c r="L288"/>
  <c r="L287"/>
  <c r="L286"/>
  <c r="L281"/>
  <c r="L280"/>
  <c r="L279"/>
  <c r="L278"/>
  <c r="L277"/>
  <c r="L276"/>
  <c r="L275"/>
  <c r="L268"/>
  <c r="L267"/>
  <c r="L266"/>
  <c r="L265"/>
  <c r="L264"/>
  <c r="L263"/>
  <c r="L262"/>
  <c r="L261"/>
  <c r="L260"/>
  <c r="L253"/>
  <c r="L252"/>
  <c r="L251"/>
  <c r="L250"/>
  <c r="L249"/>
  <c r="L248"/>
  <c r="L213"/>
  <c r="L212"/>
  <c r="L211"/>
  <c r="L210"/>
  <c r="L186"/>
  <c r="L185"/>
  <c r="L184"/>
  <c r="L183"/>
  <c r="L182"/>
  <c r="L181"/>
  <c r="L180"/>
  <c r="L179"/>
  <c r="L178"/>
  <c r="L177"/>
  <c r="L176"/>
  <c r="L158"/>
  <c r="L157"/>
  <c r="L156"/>
  <c r="L155"/>
  <c r="L154"/>
  <c r="L153"/>
  <c r="L152"/>
  <c r="L151"/>
  <c r="L150"/>
  <c r="L149"/>
  <c r="L148"/>
  <c r="L93"/>
  <c r="L92"/>
  <c r="L91"/>
  <c r="L90"/>
  <c r="L89"/>
  <c r="L88"/>
  <c r="L87"/>
  <c r="L86"/>
  <c r="L85"/>
  <c r="L84"/>
  <c r="L82"/>
  <c r="L81"/>
  <c r="L80"/>
  <c r="L79"/>
  <c r="L71"/>
  <c r="L70"/>
  <c r="L69"/>
  <c r="L68"/>
  <c r="L63"/>
  <c r="L62"/>
  <c r="L56"/>
  <c r="L55"/>
  <c r="L54"/>
  <c r="L24"/>
  <c r="L23"/>
  <c r="L22"/>
  <c r="L21"/>
  <c r="L18"/>
  <c r="L17"/>
  <c r="L16"/>
  <c r="L329" i="2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5"/>
  <c r="L298"/>
  <c r="L291"/>
  <c r="L290"/>
  <c r="L289"/>
  <c r="L288"/>
  <c r="L287"/>
  <c r="L286"/>
  <c r="L285"/>
  <c r="L284"/>
  <c r="L283"/>
  <c r="L282"/>
  <c r="L281"/>
  <c r="L280"/>
  <c r="L263"/>
  <c r="L262"/>
  <c r="L261"/>
  <c r="L260"/>
  <c r="L259"/>
  <c r="L258"/>
  <c r="L257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20"/>
  <c r="L219"/>
  <c r="L218"/>
  <c r="L217"/>
  <c r="L216"/>
  <c r="L215"/>
  <c r="L214"/>
  <c r="L137"/>
  <c r="L136"/>
  <c r="L135"/>
  <c r="L134"/>
  <c r="L133"/>
  <c r="L124"/>
  <c r="L123"/>
  <c r="L122"/>
  <c r="L121"/>
  <c r="L120"/>
  <c r="L119"/>
  <c r="L118"/>
  <c r="L92"/>
  <c r="L91"/>
  <c r="L90"/>
  <c r="L89"/>
  <c r="L88"/>
  <c r="L79"/>
  <c r="L78"/>
  <c r="L58"/>
  <c r="L57"/>
  <c r="L49"/>
  <c r="L48"/>
  <c r="L47"/>
  <c r="L23"/>
  <c r="L22"/>
  <c r="L21"/>
  <c r="L9" i="10" l="1"/>
  <c r="M9"/>
  <c r="G8"/>
  <c r="G7"/>
  <c r="G6"/>
  <c r="F8"/>
  <c r="F7"/>
  <c r="F6"/>
  <c r="D8"/>
  <c r="D7"/>
  <c r="D6"/>
  <c r="C8"/>
  <c r="C7"/>
  <c r="C6"/>
  <c r="N7"/>
  <c r="N8"/>
  <c r="N6"/>
  <c r="M265" i="3"/>
  <c r="M266"/>
  <c r="M267"/>
  <c r="M257"/>
  <c r="M258"/>
  <c r="M259"/>
  <c r="M260"/>
  <c r="M261"/>
  <c r="M262"/>
  <c r="M251"/>
  <c r="M252"/>
  <c r="M253"/>
  <c r="M254"/>
  <c r="M255"/>
  <c r="M256"/>
  <c r="M8" i="2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24" i="1"/>
  <c r="M323"/>
  <c r="M322"/>
  <c r="M321"/>
  <c r="M320"/>
  <c r="M319"/>
  <c r="N9" i="10" l="1"/>
  <c r="F9"/>
  <c r="C9"/>
  <c r="I9"/>
  <c r="D9"/>
  <c r="G9"/>
  <c r="J9"/>
  <c r="K6"/>
  <c r="K8"/>
  <c r="K7"/>
  <c r="H8"/>
  <c r="H6"/>
  <c r="H7"/>
  <c r="E6"/>
  <c r="E8"/>
  <c r="E7"/>
  <c r="M302" i="1"/>
  <c r="L27" i="8"/>
  <c r="M259" i="1"/>
  <c r="M258"/>
  <c r="M257"/>
  <c r="M244"/>
  <c r="M247"/>
  <c r="L26" i="8"/>
  <c r="M107" i="1"/>
  <c r="M256"/>
  <c r="M255"/>
  <c r="L25" i="8"/>
  <c r="E9" i="10" l="1"/>
  <c r="H9"/>
  <c r="K9"/>
  <c r="M128" i="1"/>
  <c r="M204"/>
  <c r="M243"/>
  <c r="M144"/>
  <c r="M61"/>
  <c r="M140"/>
  <c r="M138"/>
  <c r="M28" i="3"/>
  <c r="M26"/>
  <c r="M27"/>
  <c r="L24" i="8"/>
  <c r="L23"/>
  <c r="M30" i="1"/>
  <c r="M285"/>
  <c r="M136"/>
  <c r="M135"/>
  <c r="M78"/>
  <c r="L22" i="8" l="1"/>
  <c r="M230" i="1"/>
  <c r="M222" l="1"/>
  <c r="M223"/>
  <c r="M224"/>
  <c r="M225"/>
  <c r="M295" l="1"/>
  <c r="M294"/>
  <c r="M293"/>
  <c r="M25" i="3" l="1"/>
  <c r="M24"/>
  <c r="M292" i="1"/>
  <c r="M169"/>
  <c r="M311"/>
  <c r="M312"/>
  <c r="M313"/>
  <c r="M314"/>
  <c r="M124"/>
  <c r="L21" i="8" l="1"/>
  <c r="L20"/>
  <c r="L19"/>
  <c r="L18"/>
  <c r="L7" i="9"/>
  <c r="M309" i="1"/>
  <c r="M310"/>
  <c r="M308"/>
  <c r="M307"/>
  <c r="M306"/>
  <c r="M305"/>
  <c r="M304"/>
  <c r="M303"/>
  <c r="M46"/>
  <c r="M157" i="3" l="1"/>
  <c r="M156"/>
  <c r="M155"/>
  <c r="M301" i="1"/>
  <c r="M300"/>
  <c r="L17" i="8"/>
  <c r="M154" i="3"/>
  <c r="M48"/>
  <c r="M235" i="1"/>
  <c r="L6" i="9"/>
  <c r="L16" i="8"/>
  <c r="L15"/>
  <c r="L14"/>
  <c r="L13" l="1"/>
  <c r="M116" i="1"/>
  <c r="M296"/>
  <c r="M297"/>
  <c r="M298"/>
  <c r="M299"/>
  <c r="L5" i="9" l="1"/>
  <c r="M120" i="1"/>
  <c r="L12" i="8"/>
  <c r="L11" l="1"/>
  <c r="L10"/>
  <c r="L9"/>
  <c r="L8"/>
  <c r="L7" l="1"/>
  <c r="L6"/>
  <c r="M23" i="3"/>
  <c r="M52"/>
  <c r="M19"/>
  <c r="M20"/>
  <c r="M21"/>
  <c r="M22"/>
  <c r="M9"/>
  <c r="M10"/>
  <c r="M11"/>
  <c r="M32"/>
  <c r="M33"/>
  <c r="M12"/>
  <c r="M13"/>
  <c r="M14"/>
  <c r="M15"/>
  <c r="M16"/>
  <c r="M34"/>
  <c r="M35"/>
  <c r="M36"/>
  <c r="M37"/>
  <c r="M38"/>
  <c r="M29"/>
  <c r="M30"/>
  <c r="M31"/>
  <c r="M217"/>
  <c r="M218"/>
  <c r="M39"/>
  <c r="M40"/>
  <c r="M41"/>
  <c r="M42"/>
  <c r="M43"/>
  <c r="M44"/>
  <c r="M45"/>
  <c r="M46"/>
  <c r="M47"/>
  <c r="M49"/>
  <c r="M66"/>
  <c r="M67"/>
  <c r="M68"/>
  <c r="M69"/>
  <c r="M50"/>
  <c r="M51"/>
  <c r="M53"/>
  <c r="M54"/>
  <c r="M55"/>
  <c r="M56"/>
  <c r="M57"/>
  <c r="M58"/>
  <c r="M59"/>
  <c r="M70"/>
  <c r="M219"/>
  <c r="M220"/>
  <c r="M221"/>
  <c r="M71"/>
  <c r="M72"/>
  <c r="M73"/>
  <c r="M74"/>
  <c r="M78"/>
  <c r="M79"/>
  <c r="M80"/>
  <c r="M81"/>
  <c r="M82"/>
  <c r="M83"/>
  <c r="M75"/>
  <c r="M76"/>
  <c r="M77"/>
  <c r="M84"/>
  <c r="M85"/>
  <c r="M86"/>
  <c r="M87"/>
  <c r="M88"/>
  <c r="M89"/>
  <c r="M90"/>
  <c r="M91"/>
  <c r="M92"/>
  <c r="M93"/>
  <c r="M94"/>
  <c r="M95"/>
  <c r="M96"/>
  <c r="M97"/>
  <c r="M98"/>
  <c r="M99"/>
  <c r="M222"/>
  <c r="M223"/>
  <c r="M100"/>
  <c r="M101"/>
  <c r="M102"/>
  <c r="M103"/>
  <c r="M104"/>
  <c r="M105"/>
  <c r="M106"/>
  <c r="M107"/>
  <c r="M108"/>
  <c r="M109"/>
  <c r="M110"/>
  <c r="M111"/>
  <c r="M112"/>
  <c r="M113"/>
  <c r="M114"/>
  <c r="M117"/>
  <c r="M118"/>
  <c r="M119"/>
  <c r="M120"/>
  <c r="M121"/>
  <c r="M115"/>
  <c r="M116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201"/>
  <c r="M202"/>
  <c r="M203"/>
  <c r="M152"/>
  <c r="M153"/>
  <c r="M158"/>
  <c r="M159"/>
  <c r="M160"/>
  <c r="M161"/>
  <c r="M162"/>
  <c r="M163"/>
  <c r="M164"/>
  <c r="M165"/>
  <c r="M166"/>
  <c r="M206"/>
  <c r="M207"/>
  <c r="M208"/>
  <c r="M209"/>
  <c r="M210"/>
  <c r="M63"/>
  <c r="M64"/>
  <c r="M65"/>
  <c r="M167"/>
  <c r="M168"/>
  <c r="M169"/>
  <c r="M170"/>
  <c r="M171"/>
  <c r="M172"/>
  <c r="M173"/>
  <c r="M174"/>
  <c r="M175"/>
  <c r="M176"/>
  <c r="M177"/>
  <c r="M178"/>
  <c r="M204"/>
  <c r="M205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11"/>
  <c r="M212"/>
  <c r="M213"/>
  <c r="M60"/>
  <c r="M61"/>
  <c r="M62"/>
  <c r="M214"/>
  <c r="M215"/>
  <c r="M216"/>
  <c r="M17"/>
  <c r="M18"/>
  <c r="M8"/>
  <c r="L4" i="9" l="1"/>
  <c r="L5" i="8"/>
  <c r="M10" i="1"/>
  <c r="M9"/>
  <c r="M8"/>
  <c r="M12"/>
  <c r="M13"/>
  <c r="M14"/>
  <c r="M15"/>
  <c r="M16"/>
  <c r="M17"/>
  <c r="M18"/>
  <c r="M19"/>
  <c r="M20"/>
  <c r="M21"/>
  <c r="M22"/>
  <c r="M23"/>
  <c r="M24"/>
  <c r="M39"/>
  <c r="M25"/>
  <c r="M26"/>
  <c r="M27"/>
  <c r="M28"/>
  <c r="M29"/>
  <c r="M31"/>
  <c r="M32"/>
  <c r="M33"/>
  <c r="M34"/>
  <c r="M35"/>
  <c r="M36"/>
  <c r="M37"/>
  <c r="M38"/>
  <c r="M40"/>
  <c r="M41"/>
  <c r="M42"/>
  <c r="M139"/>
  <c r="M43"/>
  <c r="M44"/>
  <c r="M45"/>
  <c r="M47"/>
  <c r="M48"/>
  <c r="M49"/>
  <c r="M50"/>
  <c r="M51"/>
  <c r="M52"/>
  <c r="M53"/>
  <c r="M54"/>
  <c r="M55"/>
  <c r="M56"/>
  <c r="M57"/>
  <c r="M58"/>
  <c r="M59"/>
  <c r="M60"/>
  <c r="M62"/>
  <c r="M63"/>
  <c r="M64"/>
  <c r="M65"/>
  <c r="M66"/>
  <c r="M67"/>
  <c r="M68"/>
  <c r="M69"/>
  <c r="M70"/>
  <c r="M71"/>
  <c r="M72"/>
  <c r="M73"/>
  <c r="M74"/>
  <c r="M75"/>
  <c r="M76"/>
  <c r="M77"/>
  <c r="M79"/>
  <c r="M80"/>
  <c r="M81"/>
  <c r="M82"/>
  <c r="M83"/>
  <c r="M84"/>
  <c r="M85"/>
  <c r="M86"/>
  <c r="M87"/>
  <c r="M88"/>
  <c r="M89"/>
  <c r="M90"/>
  <c r="M91"/>
  <c r="M92"/>
  <c r="M93"/>
  <c r="M94"/>
  <c r="M95"/>
  <c r="M254"/>
  <c r="M96"/>
  <c r="M97"/>
  <c r="M98"/>
  <c r="M99"/>
  <c r="M100"/>
  <c r="M101"/>
  <c r="M102"/>
  <c r="M103"/>
  <c r="M104"/>
  <c r="M105"/>
  <c r="M106"/>
  <c r="M108"/>
  <c r="M109"/>
  <c r="M110"/>
  <c r="M111"/>
  <c r="M112"/>
  <c r="M113"/>
  <c r="M114"/>
  <c r="M115"/>
  <c r="M117"/>
  <c r="M118"/>
  <c r="M119"/>
  <c r="M121"/>
  <c r="M122"/>
  <c r="M123"/>
  <c r="M125"/>
  <c r="M126"/>
  <c r="M127"/>
  <c r="M129"/>
  <c r="M130"/>
  <c r="M131"/>
  <c r="M132"/>
  <c r="M133"/>
  <c r="M134"/>
  <c r="M137"/>
  <c r="M315"/>
  <c r="M316"/>
  <c r="M317"/>
  <c r="M318"/>
  <c r="M141"/>
  <c r="M142"/>
  <c r="M143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6"/>
  <c r="M207"/>
  <c r="M208"/>
  <c r="M209"/>
  <c r="M210"/>
  <c r="M211"/>
  <c r="M212"/>
  <c r="M213"/>
  <c r="M214"/>
  <c r="M215"/>
  <c r="M216"/>
  <c r="M217"/>
  <c r="M218"/>
  <c r="M219"/>
  <c r="M205"/>
  <c r="M220"/>
  <c r="M221"/>
  <c r="M226"/>
  <c r="M227"/>
  <c r="M228"/>
  <c r="M229"/>
  <c r="M231"/>
  <c r="M232"/>
  <c r="M233"/>
  <c r="M234"/>
  <c r="M236"/>
  <c r="M237"/>
  <c r="M238"/>
  <c r="M239"/>
  <c r="M240"/>
  <c r="M241"/>
  <c r="M242"/>
  <c r="M245"/>
  <c r="M246"/>
  <c r="M248"/>
  <c r="M249"/>
  <c r="M250"/>
  <c r="M251"/>
  <c r="M252"/>
  <c r="M253"/>
  <c r="M286"/>
  <c r="M287"/>
  <c r="M288"/>
  <c r="M289"/>
  <c r="M290"/>
  <c r="M291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11"/>
  <c r="L4" i="8"/>
  <c r="C6" i="6"/>
  <c r="A6"/>
</calcChain>
</file>

<file path=xl/sharedStrings.xml><?xml version="1.0" encoding="utf-8"?>
<sst xmlns="http://schemas.openxmlformats.org/spreadsheetml/2006/main" count="8482" uniqueCount="1924">
  <si>
    <t>Sahnan</t>
  </si>
  <si>
    <t>L</t>
  </si>
  <si>
    <t>Kawin</t>
  </si>
  <si>
    <t>Islam</t>
  </si>
  <si>
    <t>-</t>
  </si>
  <si>
    <t>Pekerja lepas</t>
  </si>
  <si>
    <t>KK</t>
  </si>
  <si>
    <t>Midarah</t>
  </si>
  <si>
    <t>P</t>
  </si>
  <si>
    <t>Istri</t>
  </si>
  <si>
    <t>Kahpi</t>
  </si>
  <si>
    <t>Belum kawin</t>
  </si>
  <si>
    <t>SLTA/MA</t>
  </si>
  <si>
    <t>Anak</t>
  </si>
  <si>
    <t>Pahriah</t>
  </si>
  <si>
    <t>Asmuniati</t>
  </si>
  <si>
    <t>SLTP/MTSN</t>
  </si>
  <si>
    <t>Selemah</t>
  </si>
  <si>
    <t>Janda</t>
  </si>
  <si>
    <t>520101 7112590015</t>
  </si>
  <si>
    <t>Ardan</t>
  </si>
  <si>
    <t>520101 3112850019</t>
  </si>
  <si>
    <t>Rakmah</t>
  </si>
  <si>
    <t>Lain-lain</t>
  </si>
  <si>
    <t>520101 7112600015</t>
  </si>
  <si>
    <t>Rukiah</t>
  </si>
  <si>
    <t>520101 4107690049</t>
  </si>
  <si>
    <t>Masnah</t>
  </si>
  <si>
    <t>SD/MI</t>
  </si>
  <si>
    <t>520101 4107920337</t>
  </si>
  <si>
    <t>Nuriah</t>
  </si>
  <si>
    <t>p</t>
  </si>
  <si>
    <t>520101 7112400042</t>
  </si>
  <si>
    <t>Rafli</t>
  </si>
  <si>
    <t>Duda</t>
  </si>
  <si>
    <t>520101 1128201088</t>
  </si>
  <si>
    <t>Abdul Rahim</t>
  </si>
  <si>
    <t>520101 2406050003</t>
  </si>
  <si>
    <t>Abdul Rahman</t>
  </si>
  <si>
    <t>520101 2406050002</t>
  </si>
  <si>
    <t>Ratiah</t>
  </si>
  <si>
    <t>520101 1810470001</t>
  </si>
  <si>
    <t>Muhsinin</t>
  </si>
  <si>
    <t>Siti Sahmin</t>
  </si>
  <si>
    <t>520101 4107940185</t>
  </si>
  <si>
    <t>520101 0804140002</t>
  </si>
  <si>
    <t>Sadiah</t>
  </si>
  <si>
    <t>520101 4107570152</t>
  </si>
  <si>
    <t>Irun</t>
  </si>
  <si>
    <t>Mawardi</t>
  </si>
  <si>
    <t>520101 0107930293</t>
  </si>
  <si>
    <t>Sukardi</t>
  </si>
  <si>
    <t>520101 0107970327</t>
  </si>
  <si>
    <t>Nasrudin</t>
  </si>
  <si>
    <t>520101 3112870018</t>
  </si>
  <si>
    <t>Faoziah</t>
  </si>
  <si>
    <t>M. Adit Nasrul Ilham</t>
  </si>
  <si>
    <t>520101 1403100003</t>
  </si>
  <si>
    <t>Syamsudin</t>
  </si>
  <si>
    <t>520101 0609820001</t>
  </si>
  <si>
    <t>Marianah</t>
  </si>
  <si>
    <t>Zahratullaili</t>
  </si>
  <si>
    <t>520101 5701090001</t>
  </si>
  <si>
    <t>520101 1601120003</t>
  </si>
  <si>
    <t>Saminah</t>
  </si>
  <si>
    <t>520101 4107520237</t>
  </si>
  <si>
    <t>Suriadi</t>
  </si>
  <si>
    <t>520101 1012830002</t>
  </si>
  <si>
    <t>Haerani</t>
  </si>
  <si>
    <t>520101 7112840093</t>
  </si>
  <si>
    <t>Saenap</t>
  </si>
  <si>
    <t>520101 4107760053</t>
  </si>
  <si>
    <t>520101 4604010002</t>
  </si>
  <si>
    <t>Lutfi Har Anjani</t>
  </si>
  <si>
    <t>520101 4104070004</t>
  </si>
  <si>
    <t>Lutfi Septianingsih</t>
  </si>
  <si>
    <t>520101 6409130002</t>
  </si>
  <si>
    <t>Sahrim Bin Amaq Aliah</t>
  </si>
  <si>
    <t>520101 3112530005</t>
  </si>
  <si>
    <t>Sahdan</t>
  </si>
  <si>
    <t>PNS/TNI/ POLRI</t>
  </si>
  <si>
    <t>520101 3012711001</t>
  </si>
  <si>
    <t>Rapinah</t>
  </si>
  <si>
    <t>520101 7112721025</t>
  </si>
  <si>
    <t>Wawan Satriawan</t>
  </si>
  <si>
    <t>Wiraswasta</t>
  </si>
  <si>
    <t>520101 0609951001</t>
  </si>
  <si>
    <t>Ismawati</t>
  </si>
  <si>
    <t>520101 4307991001</t>
  </si>
  <si>
    <t>Widiawati</t>
  </si>
  <si>
    <t>520101 4307021003</t>
  </si>
  <si>
    <t>Amerem</t>
  </si>
  <si>
    <t>520101 0107420163</t>
  </si>
  <si>
    <t>Saniah</t>
  </si>
  <si>
    <t>520101 4107820732</t>
  </si>
  <si>
    <t>Je’un</t>
  </si>
  <si>
    <t>520101 2004102057</t>
  </si>
  <si>
    <t>Atiah</t>
  </si>
  <si>
    <t>520101 2004102058</t>
  </si>
  <si>
    <t>Moh. Zaenun</t>
  </si>
  <si>
    <t>520101 2004102059</t>
  </si>
  <si>
    <t>Sahri</t>
  </si>
  <si>
    <t>Hotiah</t>
  </si>
  <si>
    <t>520101 4107820714</t>
  </si>
  <si>
    <t>Samsul Hadi</t>
  </si>
  <si>
    <t>Alinah</t>
  </si>
  <si>
    <t>520101 7112440003</t>
  </si>
  <si>
    <t>Bohari</t>
  </si>
  <si>
    <t>520101 3112780002</t>
  </si>
  <si>
    <t>Kamarudin</t>
  </si>
  <si>
    <t>520101 3112680005</t>
  </si>
  <si>
    <t>520101 7112750205</t>
  </si>
  <si>
    <t>Andi Irawan</t>
  </si>
  <si>
    <t>520101 2808990003</t>
  </si>
  <si>
    <t>520101 4405100004</t>
  </si>
  <si>
    <t>Tohri Sp</t>
  </si>
  <si>
    <t>PT/Akademi</t>
  </si>
  <si>
    <t>520101 0107820104</t>
  </si>
  <si>
    <t>Sariani Amd</t>
  </si>
  <si>
    <t>Pedagang</t>
  </si>
  <si>
    <t>520101 410784068</t>
  </si>
  <si>
    <t>Muhammad Thorib Adnan</t>
  </si>
  <si>
    <t>520101 1607080002</t>
  </si>
  <si>
    <t>Yumna Wafirah</t>
  </si>
  <si>
    <t>520101 4108140002</t>
  </si>
  <si>
    <t>Haji Muhlis</t>
  </si>
  <si>
    <t>Petani</t>
  </si>
  <si>
    <t>520101 3112561005</t>
  </si>
  <si>
    <t>520101 7112721013</t>
  </si>
  <si>
    <t>Baehaki</t>
  </si>
  <si>
    <t>520101 3112921008</t>
  </si>
  <si>
    <t>Ahmad Zakaki</t>
  </si>
  <si>
    <t>520101 010793106</t>
  </si>
  <si>
    <t>Habibullah</t>
  </si>
  <si>
    <t>520101 0107001001</t>
  </si>
  <si>
    <t>Harun Wahid Nurhidayatullah</t>
  </si>
  <si>
    <t>520101 0107040258</t>
  </si>
  <si>
    <t>Sakiah</t>
  </si>
  <si>
    <t>520101 4107570413</t>
  </si>
  <si>
    <t>Naswin</t>
  </si>
  <si>
    <t>520101 0107880021</t>
  </si>
  <si>
    <t>Haji Karman</t>
  </si>
  <si>
    <t>islam</t>
  </si>
  <si>
    <t>Haerun Nisa</t>
  </si>
  <si>
    <t>Ratu Bilqis</t>
  </si>
  <si>
    <t>Sayadi</t>
  </si>
  <si>
    <t>520101 0304500004</t>
  </si>
  <si>
    <t>Munirin</t>
  </si>
  <si>
    <t>520101 4501650001</t>
  </si>
  <si>
    <t>Muhaini</t>
  </si>
  <si>
    <t>Belum Kawin</t>
  </si>
  <si>
    <t>520101 5512800002</t>
  </si>
  <si>
    <t>Nurhazizah</t>
  </si>
  <si>
    <t>520101 8809920003</t>
  </si>
  <si>
    <t>Adiasaputra</t>
  </si>
  <si>
    <t>520101 0802980003</t>
  </si>
  <si>
    <t>Zaenudin</t>
  </si>
  <si>
    <t>Moh. Haekal</t>
  </si>
  <si>
    <t>Thasya</t>
  </si>
  <si>
    <t>Haji Jamiludin</t>
  </si>
  <si>
    <t>520101 3112520010</t>
  </si>
  <si>
    <t>Hajah Sri Wahyuni</t>
  </si>
  <si>
    <t>520101 7112650013</t>
  </si>
  <si>
    <t>Saeful Bahri</t>
  </si>
  <si>
    <t>Pegawai swasta</t>
  </si>
  <si>
    <t>Ibrahim</t>
  </si>
  <si>
    <t>520101 1003900001</t>
  </si>
  <si>
    <t>520101 3112790109</t>
  </si>
  <si>
    <t>520101 4307560003</t>
  </si>
  <si>
    <t>Siti Mahrani</t>
  </si>
  <si>
    <t>520101 5604930002</t>
  </si>
  <si>
    <t>520101 0101980001</t>
  </si>
  <si>
    <t>520101 0707050004</t>
  </si>
  <si>
    <t>Sulaiman</t>
  </si>
  <si>
    <t>520101 3112700239</t>
  </si>
  <si>
    <t>Nikmah</t>
  </si>
  <si>
    <t>520101 7112740146</t>
  </si>
  <si>
    <t>Muslehudin</t>
  </si>
  <si>
    <t>Almanik</t>
  </si>
  <si>
    <t>520101 6611010002</t>
  </si>
  <si>
    <t>520101 1408060008</t>
  </si>
  <si>
    <t>Jahmin</t>
  </si>
  <si>
    <t>520101 4107600087</t>
  </si>
  <si>
    <t>Musliadi</t>
  </si>
  <si>
    <t>520101 0107800438</t>
  </si>
  <si>
    <t>520101 4107850007</t>
  </si>
  <si>
    <t>Habibah</t>
  </si>
  <si>
    <t>Anisa Karimatul Aini</t>
  </si>
  <si>
    <t>Murni</t>
  </si>
  <si>
    <t>Hudairi</t>
  </si>
  <si>
    <t>Rifqi</t>
  </si>
  <si>
    <t>Arini</t>
  </si>
  <si>
    <t>Multazam</t>
  </si>
  <si>
    <t>520101 3112851012</t>
  </si>
  <si>
    <t>Salmah</t>
  </si>
  <si>
    <t>520101 1203100005</t>
  </si>
  <si>
    <t>Miskiah</t>
  </si>
  <si>
    <t>520101 7112870187</t>
  </si>
  <si>
    <t>M. Zulkifli</t>
  </si>
  <si>
    <t>520101 2304110003</t>
  </si>
  <si>
    <t>Tamin</t>
  </si>
  <si>
    <t>Salman</t>
  </si>
  <si>
    <t>520101 2704880001</t>
  </si>
  <si>
    <t>Tahriah</t>
  </si>
  <si>
    <t>M. Fatoni</t>
  </si>
  <si>
    <t>520101 2308120003</t>
  </si>
  <si>
    <t>Jumisah</t>
  </si>
  <si>
    <t>Masni</t>
  </si>
  <si>
    <t>Rian Permadani</t>
  </si>
  <si>
    <t>Husni</t>
  </si>
  <si>
    <t>Samariah</t>
  </si>
  <si>
    <t>Muhamad Munawardi</t>
  </si>
  <si>
    <t>520101 1539100003</t>
  </si>
  <si>
    <t>Ahmad</t>
  </si>
  <si>
    <t>Rianah</t>
  </si>
  <si>
    <t>Arkan</t>
  </si>
  <si>
    <t>520101 3105000001</t>
  </si>
  <si>
    <t>Sabandi</t>
  </si>
  <si>
    <t>520101 2412050001</t>
  </si>
  <si>
    <t>Hanipah</t>
  </si>
  <si>
    <t>Suriah</t>
  </si>
  <si>
    <t>520101 4107470074</t>
  </si>
  <si>
    <t>Sahabudin</t>
  </si>
  <si>
    <t>Satiah</t>
  </si>
  <si>
    <t>Siti Ratibah</t>
  </si>
  <si>
    <t>Sahwin</t>
  </si>
  <si>
    <t>Suasmin</t>
  </si>
  <si>
    <t>Almira Hidayah</t>
  </si>
  <si>
    <t>520101 4907090002</t>
  </si>
  <si>
    <t>Muhali</t>
  </si>
  <si>
    <t>520101 7112530034</t>
  </si>
  <si>
    <t>Munisah</t>
  </si>
  <si>
    <t>520101 4107940048</t>
  </si>
  <si>
    <t>Haji Busyairi</t>
  </si>
  <si>
    <t>520101 3112650024</t>
  </si>
  <si>
    <t>Hajah Surniati</t>
  </si>
  <si>
    <t>520101 7112710015</t>
  </si>
  <si>
    <t>Fiktori</t>
  </si>
  <si>
    <t>520101 1612910002</t>
  </si>
  <si>
    <t>Roby Indrawan</t>
  </si>
  <si>
    <t>Ank</t>
  </si>
  <si>
    <t>520101 1011970004</t>
  </si>
  <si>
    <t>Nanang Samudra</t>
  </si>
  <si>
    <t>520101 2405000004</t>
  </si>
  <si>
    <t>Suhari</t>
  </si>
  <si>
    <t>Kwin</t>
  </si>
  <si>
    <t>Ahmadi</t>
  </si>
  <si>
    <t>Rohinin</t>
  </si>
  <si>
    <t>520101 3112680050</t>
  </si>
  <si>
    <t>Suryani</t>
  </si>
  <si>
    <t>520101 4107700500</t>
  </si>
  <si>
    <t>Bahrul Ulumi</t>
  </si>
  <si>
    <t>520101 0708921001</t>
  </si>
  <si>
    <t>Srimaulida</t>
  </si>
  <si>
    <t>520101 4707021001</t>
  </si>
  <si>
    <t>Nunung Dewi Kartika</t>
  </si>
  <si>
    <t>Joki Umar Bakri</t>
  </si>
  <si>
    <t>Ernawati</t>
  </si>
  <si>
    <t>Kanaya Ulfiana</t>
  </si>
  <si>
    <t>Mirdasih</t>
  </si>
  <si>
    <t>Hadijah</t>
  </si>
  <si>
    <t>Ancah</t>
  </si>
  <si>
    <t>520101 4107670547</t>
  </si>
  <si>
    <t>Hendrawati</t>
  </si>
  <si>
    <t>520101 0107880320</t>
  </si>
  <si>
    <t>Kandiawan</t>
  </si>
  <si>
    <t>Fatanah</t>
  </si>
  <si>
    <t>520101 1204670001</t>
  </si>
  <si>
    <t>Rahmin</t>
  </si>
  <si>
    <t>520101 6207690001</t>
  </si>
  <si>
    <t>520101 7003920001</t>
  </si>
  <si>
    <t>Mukminah</t>
  </si>
  <si>
    <t>520101 1005910001</t>
  </si>
  <si>
    <t>Arman Maulana</t>
  </si>
  <si>
    <t>520101 0008090002</t>
  </si>
  <si>
    <t>Haji Sulaiman</t>
  </si>
  <si>
    <t>520101 3112510012</t>
  </si>
  <si>
    <t>Hajah Hotiah</t>
  </si>
  <si>
    <t>520101 520370001</t>
  </si>
  <si>
    <t>Heniyah</t>
  </si>
  <si>
    <t>520101 4505940001</t>
  </si>
  <si>
    <t>Muh Zaenal</t>
  </si>
  <si>
    <t>520101 1507960001</t>
  </si>
  <si>
    <t>Al Wakiatun Nisa</t>
  </si>
  <si>
    <t>520101 4609100001</t>
  </si>
  <si>
    <t>Mahsun</t>
  </si>
  <si>
    <t>520101 3112680002</t>
  </si>
  <si>
    <t>Maknah</t>
  </si>
  <si>
    <t>520101 7112710002</t>
  </si>
  <si>
    <t>520101 3112890003</t>
  </si>
  <si>
    <t>Mardaningsih</t>
  </si>
  <si>
    <t>520101 7103950001</t>
  </si>
  <si>
    <t>Ziandar Kurniawan</t>
  </si>
  <si>
    <t>520101 0005900001</t>
  </si>
  <si>
    <t>Sigit Purnama</t>
  </si>
  <si>
    <t>520101 2411090001</t>
  </si>
  <si>
    <t>Mahli</t>
  </si>
  <si>
    <t>Senah</t>
  </si>
  <si>
    <t>Muhamad</t>
  </si>
  <si>
    <t>Aminah</t>
  </si>
  <si>
    <t>Mahdi</t>
  </si>
  <si>
    <t>Kamariah</t>
  </si>
  <si>
    <t>Nasrullah</t>
  </si>
  <si>
    <t>Istr i</t>
  </si>
  <si>
    <t>Sahati</t>
  </si>
  <si>
    <t>520101 5501870002</t>
  </si>
  <si>
    <t>520101 0507040001</t>
  </si>
  <si>
    <t>520101 1906131005</t>
  </si>
  <si>
    <t>Sahmin</t>
  </si>
  <si>
    <t>520101 3112800188</t>
  </si>
  <si>
    <t>Kaniah</t>
  </si>
  <si>
    <t>520101 7112850058</t>
  </si>
  <si>
    <t>520101 0409040002</t>
  </si>
  <si>
    <t>520101 0107710132</t>
  </si>
  <si>
    <t>Amenah</t>
  </si>
  <si>
    <t>Mardiana</t>
  </si>
  <si>
    <t>Fitri Handayani</t>
  </si>
  <si>
    <t>Mahmud</t>
  </si>
  <si>
    <t>520101 2308881001</t>
  </si>
  <si>
    <t>Heriah</t>
  </si>
  <si>
    <t>520101 4107851032</t>
  </si>
  <si>
    <t>Muhamad Aditya Pratama</t>
  </si>
  <si>
    <t>520101 0280711001</t>
  </si>
  <si>
    <t>Hendra Dwi Nurmaulana</t>
  </si>
  <si>
    <t>520101 0205140003</t>
  </si>
  <si>
    <t>Mahsin</t>
  </si>
  <si>
    <t>520101 0107670284</t>
  </si>
  <si>
    <t>Sahnin</t>
  </si>
  <si>
    <t>520101 4107720540</t>
  </si>
  <si>
    <t>520101 7112830158</t>
  </si>
  <si>
    <t>Baiq Helmiyati</t>
  </si>
  <si>
    <t>520101 4605030004</t>
  </si>
  <si>
    <t>Baiq Asmiati</t>
  </si>
  <si>
    <t>Baiq Nurul Aidi</t>
  </si>
  <si>
    <t>520101 7112460027</t>
  </si>
  <si>
    <t>520101 2701320001</t>
  </si>
  <si>
    <t>Marisah</t>
  </si>
  <si>
    <t>520101 4407570001</t>
  </si>
  <si>
    <t>Ilam Cahya</t>
  </si>
  <si>
    <t>Muhamad Ruslan</t>
  </si>
  <si>
    <t>520101 0503040001</t>
  </si>
  <si>
    <t>Muhamad Pahrul</t>
  </si>
  <si>
    <t>Rimawati</t>
  </si>
  <si>
    <t>Rudi Sopian Hakim</t>
  </si>
  <si>
    <t>Hamdiah</t>
  </si>
  <si>
    <t>Halimah</t>
  </si>
  <si>
    <t>520101 5903000001</t>
  </si>
  <si>
    <t>Abdul Hayat</t>
  </si>
  <si>
    <t>Zohri</t>
  </si>
  <si>
    <t>Haerudin</t>
  </si>
  <si>
    <t>520101 2102820003</t>
  </si>
  <si>
    <t>Sahni</t>
  </si>
  <si>
    <t>Hendriawan Ahmad</t>
  </si>
  <si>
    <t>Efendi</t>
  </si>
  <si>
    <t>520101 3112850250</t>
  </si>
  <si>
    <t>Asmawati</t>
  </si>
  <si>
    <t>520101 4303940003</t>
  </si>
  <si>
    <t>Rizkiawan Efendi</t>
  </si>
  <si>
    <t>520101 1805130001</t>
  </si>
  <si>
    <t>Tgh Moh Ilham</t>
  </si>
  <si>
    <t>520101 3112620020</t>
  </si>
  <si>
    <t>Hajah Suhartini</t>
  </si>
  <si>
    <t>520101 7112700043</t>
  </si>
  <si>
    <t>Hendri Wahyudi</t>
  </si>
  <si>
    <t>520101 3112020004</t>
  </si>
  <si>
    <t>Moh Suryadi</t>
  </si>
  <si>
    <t>520101 1510870003</t>
  </si>
  <si>
    <t>Harmawati</t>
  </si>
  <si>
    <t>520101 4101880007</t>
  </si>
  <si>
    <t>M Faeza Maulana Ilhami</t>
  </si>
  <si>
    <t>520101 0210100001</t>
  </si>
  <si>
    <t>Denny Ilhamy</t>
  </si>
  <si>
    <t>520101 080993006</t>
  </si>
  <si>
    <t>Siti Azizatul Fatmala</t>
  </si>
  <si>
    <t>520101 6506930002</t>
  </si>
  <si>
    <t>M Khaeradava Ilhami</t>
  </si>
  <si>
    <t>520101 0409110003</t>
  </si>
  <si>
    <t>Haji  Wahid Syahril Lc</t>
  </si>
  <si>
    <t>520101 3112720138</t>
  </si>
  <si>
    <t>Dewi Purnamawatim.Kep</t>
  </si>
  <si>
    <t>520101 4708760004</t>
  </si>
  <si>
    <t>Muhamad Fida Al -Haq</t>
  </si>
  <si>
    <t>520101 1004000001</t>
  </si>
  <si>
    <t>Muhammad Jihad Rabbany</t>
  </si>
  <si>
    <t>520101 1312010004</t>
  </si>
  <si>
    <t>Athiya Karima</t>
  </si>
  <si>
    <t>520101 4511070001</t>
  </si>
  <si>
    <t>Masitah</t>
  </si>
  <si>
    <t>520101 7112840124</t>
  </si>
  <si>
    <t>Haji Nasrullah</t>
  </si>
  <si>
    <t>520101 0507520278</t>
  </si>
  <si>
    <t>Hajah Siti Mardiana</t>
  </si>
  <si>
    <t>Istra</t>
  </si>
  <si>
    <t>520101 4107570332</t>
  </si>
  <si>
    <t>Siti Nurhasanah</t>
  </si>
  <si>
    <t>520101 6908971001</t>
  </si>
  <si>
    <t>520101 5212700001</t>
  </si>
  <si>
    <t>Siti Husniah</t>
  </si>
  <si>
    <t>520101 1110620001</t>
  </si>
  <si>
    <t>Siti Bastiah</t>
  </si>
  <si>
    <t>520101 4107800375</t>
  </si>
  <si>
    <t>Suselo</t>
  </si>
  <si>
    <t>520101 0402640002</t>
  </si>
  <si>
    <t>Syarayah</t>
  </si>
  <si>
    <t>520101 4503670001</t>
  </si>
  <si>
    <t>Ihsan Bagus Perkasa</t>
  </si>
  <si>
    <t>520101 2212910001</t>
  </si>
  <si>
    <t>Billy Sukma Dwi Prasetya</t>
  </si>
  <si>
    <t>520101 1303990001</t>
  </si>
  <si>
    <t>Cyntia Aura Tripngestu</t>
  </si>
  <si>
    <t>520101 6903060001</t>
  </si>
  <si>
    <t>Swasta</t>
  </si>
  <si>
    <t>520101 311276066</t>
  </si>
  <si>
    <t>Erna Hambali</t>
  </si>
  <si>
    <t>520101 4107810134</t>
  </si>
  <si>
    <t>Mahnun</t>
  </si>
  <si>
    <t>Mahyudin</t>
  </si>
  <si>
    <t>Sidun</t>
  </si>
  <si>
    <t>Kindun</t>
  </si>
  <si>
    <t>Jamal</t>
  </si>
  <si>
    <t>Ani</t>
  </si>
  <si>
    <t>H Sulhakim</t>
  </si>
  <si>
    <t>Salbah</t>
  </si>
  <si>
    <t>No</t>
  </si>
  <si>
    <t>Nama Lengkap/panggilan</t>
  </si>
  <si>
    <t>Jenis Kelamin (L/P)</t>
  </si>
  <si>
    <t>Status Perkawinan</t>
  </si>
  <si>
    <t>Agama</t>
  </si>
  <si>
    <t>Pendidikan Terakhir</t>
  </si>
  <si>
    <t>Pekerjaan</t>
  </si>
  <si>
    <t>Kedudukan dalam Keluarga</t>
  </si>
  <si>
    <t>NIK</t>
  </si>
  <si>
    <t>Imran Hadi</t>
  </si>
  <si>
    <t>520101 1004090002</t>
  </si>
  <si>
    <t>Muhammad Ruhadian</t>
  </si>
  <si>
    <t>Jalaludin</t>
  </si>
  <si>
    <t>Wulan</t>
  </si>
  <si>
    <t>520101 7112650023</t>
  </si>
  <si>
    <t>Sarilah</t>
  </si>
  <si>
    <t>Lainnya</t>
  </si>
  <si>
    <t>520101 0304770001</t>
  </si>
  <si>
    <t>Saparudin</t>
  </si>
  <si>
    <t>Misa’ah</t>
  </si>
  <si>
    <t>520101 5011781001</t>
  </si>
  <si>
    <t>Eka Hilmiati</t>
  </si>
  <si>
    <t>520101 4802011001</t>
  </si>
  <si>
    <t>Salim</t>
  </si>
  <si>
    <t>Sabariah</t>
  </si>
  <si>
    <t>520101 7112700184</t>
  </si>
  <si>
    <t>Suparman</t>
  </si>
  <si>
    <t>520101 2009920001</t>
  </si>
  <si>
    <t>Laila Kudriatun Agusyani</t>
  </si>
  <si>
    <t>520101 4109930002</t>
  </si>
  <si>
    <t>Jihan Talitaulfa</t>
  </si>
  <si>
    <t>520101 6307140004</t>
  </si>
  <si>
    <t>Mas’ud</t>
  </si>
  <si>
    <t>520101 3112820140</t>
  </si>
  <si>
    <t>Harni</t>
  </si>
  <si>
    <t>Erlina Hardian</t>
  </si>
  <si>
    <t>Jamil</t>
  </si>
  <si>
    <t>520101 0107600040</t>
  </si>
  <si>
    <t>Senirah</t>
  </si>
  <si>
    <t>520101 4107590154</t>
  </si>
  <si>
    <t>Ahdarullah</t>
  </si>
  <si>
    <t>520101 3112790101</t>
  </si>
  <si>
    <t>Isrti</t>
  </si>
  <si>
    <t>520101 2102120003</t>
  </si>
  <si>
    <t>Sinarep</t>
  </si>
  <si>
    <t>520101 0101741001</t>
  </si>
  <si>
    <t>520101 7112751001</t>
  </si>
  <si>
    <t>Burhanudin</t>
  </si>
  <si>
    <t>Belum  kawin</t>
  </si>
  <si>
    <t>520101 3112860025</t>
  </si>
  <si>
    <t>Suriati</t>
  </si>
  <si>
    <t>Wiraswata</t>
  </si>
  <si>
    <t>520101 3112330164</t>
  </si>
  <si>
    <t>Marni Hidayat</t>
  </si>
  <si>
    <t>520101 5506880001</t>
  </si>
  <si>
    <t>Muzainul Irfan</t>
  </si>
  <si>
    <t>520101 1509120001</t>
  </si>
  <si>
    <t>Salmin</t>
  </si>
  <si>
    <t>520101 7112631008</t>
  </si>
  <si>
    <t>Susmita Dewi</t>
  </si>
  <si>
    <t>520101 4410981001</t>
  </si>
  <si>
    <t>520101 0506011001</t>
  </si>
  <si>
    <t>Solikin</t>
  </si>
  <si>
    <t>520101 1003820001</t>
  </si>
  <si>
    <t>Sartini</t>
  </si>
  <si>
    <t>520101 1303090001</t>
  </si>
  <si>
    <t>Dimah</t>
  </si>
  <si>
    <t>520101 3112640054</t>
  </si>
  <si>
    <t>Raddah</t>
  </si>
  <si>
    <t>520101 5001700010</t>
  </si>
  <si>
    <t>Muhidin</t>
  </si>
  <si>
    <t>520101 3112420025</t>
  </si>
  <si>
    <t>Sahnim</t>
  </si>
  <si>
    <t>Sriyani</t>
  </si>
  <si>
    <t>520101 7112850267</t>
  </si>
  <si>
    <t>Marhamah</t>
  </si>
  <si>
    <t>520101 7112800125</t>
  </si>
  <si>
    <t>Patiah</t>
  </si>
  <si>
    <t>Andika</t>
  </si>
  <si>
    <t>M. Todi</t>
  </si>
  <si>
    <t>Muslimah</t>
  </si>
  <si>
    <t>520101 4107520244</t>
  </si>
  <si>
    <t>520101 3112600284</t>
  </si>
  <si>
    <t>Saimah</t>
  </si>
  <si>
    <t>520101 6009660001</t>
  </si>
  <si>
    <t>Namin</t>
  </si>
  <si>
    <t>Rofiah</t>
  </si>
  <si>
    <t>520101 4710840001</t>
  </si>
  <si>
    <t>Riani</t>
  </si>
  <si>
    <t>Samin</t>
  </si>
  <si>
    <t>520101 4107370145</t>
  </si>
  <si>
    <t>Anan</t>
  </si>
  <si>
    <t>Suariati</t>
  </si>
  <si>
    <t>Islamis</t>
  </si>
  <si>
    <t>520101 7001120001</t>
  </si>
  <si>
    <t>Rahman</t>
  </si>
  <si>
    <t>520101 3012740008</t>
  </si>
  <si>
    <t>520101 1810020001</t>
  </si>
  <si>
    <t>Iwan Dahlan</t>
  </si>
  <si>
    <t>520101 2703840005</t>
  </si>
  <si>
    <t>Mirah Hardiyanti</t>
  </si>
  <si>
    <t>520101 5005950001</t>
  </si>
  <si>
    <t>Ida Yanti</t>
  </si>
  <si>
    <t>520101 6311130001</t>
  </si>
  <si>
    <t>Ridwan</t>
  </si>
  <si>
    <t>520101 2012721001</t>
  </si>
  <si>
    <t>Murtini</t>
  </si>
  <si>
    <t>Arini Putri</t>
  </si>
  <si>
    <t>520101 7001131001</t>
  </si>
  <si>
    <t>Suhadi</t>
  </si>
  <si>
    <t>520101 0109890003</t>
  </si>
  <si>
    <t>Rizal Ahmad</t>
  </si>
  <si>
    <t>anak</t>
  </si>
  <si>
    <t>520101 2801110001</t>
  </si>
  <si>
    <t>Haji Sahri</t>
  </si>
  <si>
    <t>Haji Amnah</t>
  </si>
  <si>
    <t>Haji Herry Zohri</t>
  </si>
  <si>
    <t>520101 0108880307</t>
  </si>
  <si>
    <t>Titik Indrawati</t>
  </si>
  <si>
    <t>520101 5707910003</t>
  </si>
  <si>
    <t>Danial Ghassany</t>
  </si>
  <si>
    <t>520101 1406140005</t>
  </si>
  <si>
    <t>Jaswan</t>
  </si>
  <si>
    <t>Sumarni</t>
  </si>
  <si>
    <t>520101 4107880147</t>
  </si>
  <si>
    <t>Jul Saputra</t>
  </si>
  <si>
    <t>Adday Robby</t>
  </si>
  <si>
    <t>520101 2611100001</t>
  </si>
  <si>
    <t>Sahiman</t>
  </si>
  <si>
    <t>520101 1112830003</t>
  </si>
  <si>
    <t>Sriatun</t>
  </si>
  <si>
    <t>520101 7112910037</t>
  </si>
  <si>
    <t>520101 1906110001</t>
  </si>
  <si>
    <t>Sarman</t>
  </si>
  <si>
    <t>520101 4107570402</t>
  </si>
  <si>
    <t>Subaen</t>
  </si>
  <si>
    <t>Suami</t>
  </si>
  <si>
    <t>520101 0211720001</t>
  </si>
  <si>
    <t>Sahmih</t>
  </si>
  <si>
    <t>520101 0107820054</t>
  </si>
  <si>
    <t>Harjan</t>
  </si>
  <si>
    <t>520101 1909840007</t>
  </si>
  <si>
    <t>Suranti</t>
  </si>
  <si>
    <t>520101 5011940003</t>
  </si>
  <si>
    <t>520101 1008120001</t>
  </si>
  <si>
    <t>Amaq Deni</t>
  </si>
  <si>
    <t>520101 0107420168</t>
  </si>
  <si>
    <t>Sahram</t>
  </si>
  <si>
    <t>520101 4107850019</t>
  </si>
  <si>
    <t>Puasi</t>
  </si>
  <si>
    <t>520101 3112670143</t>
  </si>
  <si>
    <t>Sapni</t>
  </si>
  <si>
    <t>Idayanti</t>
  </si>
  <si>
    <t>Oyik</t>
  </si>
  <si>
    <t>Bohari Rahmah</t>
  </si>
  <si>
    <t>520101 1912760003</t>
  </si>
  <si>
    <t>Nurjannah</t>
  </si>
  <si>
    <t>520101 7011800006</t>
  </si>
  <si>
    <t>Liayu</t>
  </si>
  <si>
    <t>520101 5403020002</t>
  </si>
  <si>
    <t>Amanda</t>
  </si>
  <si>
    <t>520101 5007100002</t>
  </si>
  <si>
    <t>Kk</t>
  </si>
  <si>
    <t>520101 2604780001</t>
  </si>
  <si>
    <t>Patmawati</t>
  </si>
  <si>
    <t>520101 5281820003</t>
  </si>
  <si>
    <t>Ida Rosanti</t>
  </si>
  <si>
    <t>520101 6505020004</t>
  </si>
  <si>
    <t>Abdul Roni Al Fikri</t>
  </si>
  <si>
    <t>520101 0303090005</t>
  </si>
  <si>
    <t>Aviva Sahira</t>
  </si>
  <si>
    <t>Kemur</t>
  </si>
  <si>
    <t>520101 4107470232</t>
  </si>
  <si>
    <t>Napisah</t>
  </si>
  <si>
    <t>Siti Aisah</t>
  </si>
  <si>
    <t>520101 6912000002</t>
  </si>
  <si>
    <t>Timah</t>
  </si>
  <si>
    <t>520101 4107720492</t>
  </si>
  <si>
    <t>Puesi</t>
  </si>
  <si>
    <t>Kawain</t>
  </si>
  <si>
    <t>520101 3112770201</t>
  </si>
  <si>
    <t>520101 7112620208</t>
  </si>
  <si>
    <t>Irtoni</t>
  </si>
  <si>
    <t>520101 3112920089</t>
  </si>
  <si>
    <t>M. Anawi</t>
  </si>
  <si>
    <t>520101 3112020016</t>
  </si>
  <si>
    <t>Idah</t>
  </si>
  <si>
    <t>520101 7112780112</t>
  </si>
  <si>
    <t>Nurul Hayati</t>
  </si>
  <si>
    <t>520101 5701980001</t>
  </si>
  <si>
    <t>Maulidia Putri</t>
  </si>
  <si>
    <t>520101 4510090002</t>
  </si>
  <si>
    <t>Suhaimi</t>
  </si>
  <si>
    <t>520101 0107920476</t>
  </si>
  <si>
    <t>Nurman</t>
  </si>
  <si>
    <t>520101 0511940002</t>
  </si>
  <si>
    <t>520101 5002980002</t>
  </si>
  <si>
    <t>Marzuki</t>
  </si>
  <si>
    <t>Siti Halimah</t>
  </si>
  <si>
    <t>520101 4907900002</t>
  </si>
  <si>
    <t>520101 1807090001</t>
  </si>
  <si>
    <t>Sahrun</t>
  </si>
  <si>
    <t>Sahiri</t>
  </si>
  <si>
    <t>520101 5410550001</t>
  </si>
  <si>
    <t>Sahwan</t>
  </si>
  <si>
    <t>520101 1807820002</t>
  </si>
  <si>
    <t>Saepul</t>
  </si>
  <si>
    <t>520101 3112790175</t>
  </si>
  <si>
    <t>520101 5005900001</t>
  </si>
  <si>
    <t>Yahya Alghifary</t>
  </si>
  <si>
    <t>520101 1808090002</t>
  </si>
  <si>
    <t>Aisah Hasna</t>
  </si>
  <si>
    <t>520101 4403150001</t>
  </si>
  <si>
    <t>Haji Sukri</t>
  </si>
  <si>
    <t>520101 3112430001</t>
  </si>
  <si>
    <t>Hajah Minerah</t>
  </si>
  <si>
    <t>520101 7112450003</t>
  </si>
  <si>
    <t>Rusdin</t>
  </si>
  <si>
    <t>520101 0107720247</t>
  </si>
  <si>
    <t>Dayati</t>
  </si>
  <si>
    <t>520101 4107750031</t>
  </si>
  <si>
    <t>Ardi Hidayat</t>
  </si>
  <si>
    <t>520101 1210960002</t>
  </si>
  <si>
    <t>Aini Amalia</t>
  </si>
  <si>
    <t>520101 6008020001</t>
  </si>
  <si>
    <t>Aldy Al Ghazali</t>
  </si>
  <si>
    <t>520101 2006131003</t>
  </si>
  <si>
    <t>Burhan</t>
  </si>
  <si>
    <t>Ema Elviana</t>
  </si>
  <si>
    <t>Humaira Sakira</t>
  </si>
  <si>
    <t>Hilman</t>
  </si>
  <si>
    <t>520101 0504840002</t>
  </si>
  <si>
    <t>520101 3112860006</t>
  </si>
  <si>
    <t>Asyah Aprillia</t>
  </si>
  <si>
    <t>520101 2201411002</t>
  </si>
  <si>
    <t>520101 5303690001</t>
  </si>
  <si>
    <t>Mahuni</t>
  </si>
  <si>
    <t>520101 4107950049</t>
  </si>
  <si>
    <t>Murad</t>
  </si>
  <si>
    <t>Sinarah</t>
  </si>
  <si>
    <t>Rusli</t>
  </si>
  <si>
    <t>Adam</t>
  </si>
  <si>
    <t>520101 2708820001</t>
  </si>
  <si>
    <t>Salni</t>
  </si>
  <si>
    <t>Arni Maulina</t>
  </si>
  <si>
    <t>520101 0107470255</t>
  </si>
  <si>
    <t>520101 4107800138</t>
  </si>
  <si>
    <t>M. Solihin</t>
  </si>
  <si>
    <t>520101 3005980003</t>
  </si>
  <si>
    <t>M. Jaelani</t>
  </si>
  <si>
    <t>Maryam</t>
  </si>
  <si>
    <t>520101 4107490063</t>
  </si>
  <si>
    <t>Doan</t>
  </si>
  <si>
    <t>520101 7112780200</t>
  </si>
  <si>
    <t>Rahmat Hidayat</t>
  </si>
  <si>
    <t>520101 2505010003</t>
  </si>
  <si>
    <t>Sarni</t>
  </si>
  <si>
    <t>520101 3112760052</t>
  </si>
  <si>
    <t>Majni</t>
  </si>
  <si>
    <t>520101 7112700037</t>
  </si>
  <si>
    <t>Ummi Aidi</t>
  </si>
  <si>
    <t>520101 2010080001</t>
  </si>
  <si>
    <t>Harun Saputra</t>
  </si>
  <si>
    <t>Aruman</t>
  </si>
  <si>
    <t>Emi</t>
  </si>
  <si>
    <t>Ruslan</t>
  </si>
  <si>
    <t>Haji Sahdi</t>
  </si>
  <si>
    <t>520101 0107650486</t>
  </si>
  <si>
    <t>Saean</t>
  </si>
  <si>
    <t>520101 7112670030</t>
  </si>
  <si>
    <t>Adbdullaah</t>
  </si>
  <si>
    <t>520101 2402030002</t>
  </si>
  <si>
    <t>Haji Mahdim</t>
  </si>
  <si>
    <t>520101 0305820003</t>
  </si>
  <si>
    <t>Khasyiah</t>
  </si>
  <si>
    <t>520101 5206910001</t>
  </si>
  <si>
    <t>Nabila</t>
  </si>
  <si>
    <t>520101 4104110001</t>
  </si>
  <si>
    <t>Furqon</t>
  </si>
  <si>
    <t>Belum kawan</t>
  </si>
  <si>
    <t>520101 1201140001</t>
  </si>
  <si>
    <t>Safrah</t>
  </si>
  <si>
    <t>520101 3112730139</t>
  </si>
  <si>
    <t>Mudmah</t>
  </si>
  <si>
    <t>520101 7112820137</t>
  </si>
  <si>
    <t>Limatul Afidah</t>
  </si>
  <si>
    <t>520101 5206020002</t>
  </si>
  <si>
    <t>M. Nizam Azhari Rasyid</t>
  </si>
  <si>
    <t>520101 1302120001</t>
  </si>
  <si>
    <t>Haji Hasan Azhari</t>
  </si>
  <si>
    <t>520101 3112681014</t>
  </si>
  <si>
    <t>Hajah Roimah</t>
  </si>
  <si>
    <t>520101 6012731001</t>
  </si>
  <si>
    <t>Haji Irpan</t>
  </si>
  <si>
    <t>520101 1212911002</t>
  </si>
  <si>
    <t>Arman</t>
  </si>
  <si>
    <t>520101 0409931001</t>
  </si>
  <si>
    <t>Hambali</t>
  </si>
  <si>
    <t>520101 0206011001</t>
  </si>
  <si>
    <t>Haji Misbah</t>
  </si>
  <si>
    <t>520101 2004102163</t>
  </si>
  <si>
    <t>Hajah Budiah</t>
  </si>
  <si>
    <t>Haji Wildan</t>
  </si>
  <si>
    <t>--</t>
  </si>
  <si>
    <t>Ruminah</t>
  </si>
  <si>
    <t>Sul Kipli</t>
  </si>
  <si>
    <t>M. Ishar</t>
  </si>
  <si>
    <t>Ramli</t>
  </si>
  <si>
    <t>Supardi</t>
  </si>
  <si>
    <t>520101 0107890427</t>
  </si>
  <si>
    <t>Siti Soleha</t>
  </si>
  <si>
    <t>520101 6303960002</t>
  </si>
  <si>
    <t>Muhamad Isrol</t>
  </si>
  <si>
    <t>520101 2305140003</t>
  </si>
  <si>
    <t>Haji Helmi</t>
  </si>
  <si>
    <t>520101 0107530125</t>
  </si>
  <si>
    <t>Pajri</t>
  </si>
  <si>
    <t>520101 4107540098</t>
  </si>
  <si>
    <t>Nurul Aini</t>
  </si>
  <si>
    <t>520101 7112866101</t>
  </si>
  <si>
    <t>520101 6810001001</t>
  </si>
  <si>
    <t>Badrun</t>
  </si>
  <si>
    <t>520101 0905041002</t>
  </si>
  <si>
    <t>Husin</t>
  </si>
  <si>
    <t>520101 3112710096</t>
  </si>
  <si>
    <t>Sapiq</t>
  </si>
  <si>
    <t>520101 7112730005</t>
  </si>
  <si>
    <t>Erwin Rohadi</t>
  </si>
  <si>
    <t>520101 0107920063</t>
  </si>
  <si>
    <t>Jaswadi</t>
  </si>
  <si>
    <t>520101 0107990012</t>
  </si>
  <si>
    <t>Lutfia Nikmatillah</t>
  </si>
  <si>
    <t>520101 7010030001</t>
  </si>
  <si>
    <t>Haji Satar</t>
  </si>
  <si>
    <t>Tarni</t>
  </si>
  <si>
    <t>Maharani</t>
  </si>
  <si>
    <t>Sanah</t>
  </si>
  <si>
    <t>520101 7112720195</t>
  </si>
  <si>
    <t>520101 0107620070</t>
  </si>
  <si>
    <t>Sahini</t>
  </si>
  <si>
    <t>520101 4107720475</t>
  </si>
  <si>
    <t>520101 4107960100</t>
  </si>
  <si>
    <t>Nurhikmah</t>
  </si>
  <si>
    <t>520101 4607010002</t>
  </si>
  <si>
    <t>Muhamad Ramdan</t>
  </si>
  <si>
    <t>520101 2703920003</t>
  </si>
  <si>
    <t>Muriah</t>
  </si>
  <si>
    <t>520101 6104921002</t>
  </si>
  <si>
    <t>Atika Nayla</t>
  </si>
  <si>
    <t>520101 5612140002</t>
  </si>
  <si>
    <t>Sakrah</t>
  </si>
  <si>
    <t>Romy Saputra</t>
  </si>
  <si>
    <t>520101 0506010001</t>
  </si>
  <si>
    <t>Rizwana Mutia Wardani</t>
  </si>
  <si>
    <t>520101 5906080001</t>
  </si>
  <si>
    <t>Haerudin S.Pd</t>
  </si>
  <si>
    <t>520101 3112810008</t>
  </si>
  <si>
    <t>Waddatun Nisa</t>
  </si>
  <si>
    <t>520101 7112890078</t>
  </si>
  <si>
    <t>Hilyatul Ulyana</t>
  </si>
  <si>
    <t>520101 4509060003</t>
  </si>
  <si>
    <t>Ubadullah</t>
  </si>
  <si>
    <t>520101 5204100002</t>
  </si>
  <si>
    <t>520101 4107270036</t>
  </si>
  <si>
    <t>520101 4107730204</t>
  </si>
  <si>
    <t>Nuradani</t>
  </si>
  <si>
    <t>520101 4107900547</t>
  </si>
  <si>
    <t>Samsudin</t>
  </si>
  <si>
    <t>Ipah</t>
  </si>
  <si>
    <t>Saprah</t>
  </si>
  <si>
    <t>Nurdiah</t>
  </si>
  <si>
    <t>Mujiah</t>
  </si>
  <si>
    <t>Sinrah</t>
  </si>
  <si>
    <t>Nurisah</t>
  </si>
  <si>
    <t>Nurimah</t>
  </si>
  <si>
    <t>Hajah Mawarni</t>
  </si>
  <si>
    <t>Sariah</t>
  </si>
  <si>
    <t>Haji Sabriah</t>
  </si>
  <si>
    <t>Derok</t>
  </si>
  <si>
    <t>Rudik</t>
  </si>
  <si>
    <t>Aswin</t>
  </si>
  <si>
    <t>Miderah</t>
  </si>
  <si>
    <t>520101 0107680327</t>
  </si>
  <si>
    <t>520101 4107700556</t>
  </si>
  <si>
    <t>Tawahid Sarip</t>
  </si>
  <si>
    <t>520101 0905920001</t>
  </si>
  <si>
    <t>Supriadi</t>
  </si>
  <si>
    <t>520101 1111950001</t>
  </si>
  <si>
    <t>Yuliani</t>
  </si>
  <si>
    <t>520101 7112890057</t>
  </si>
  <si>
    <t>Muhammad Iqbal</t>
  </si>
  <si>
    <t>520101 2012080002</t>
  </si>
  <si>
    <t>Munansah</t>
  </si>
  <si>
    <t>Munariah</t>
  </si>
  <si>
    <t>Irma Hasanah</t>
  </si>
  <si>
    <t>520101 681281001</t>
  </si>
  <si>
    <t>Fahrizal Arif</t>
  </si>
  <si>
    <t>Fahri Husaini</t>
  </si>
  <si>
    <t>520101 1904940001</t>
  </si>
  <si>
    <t>520101 3112680084</t>
  </si>
  <si>
    <t>HajahCahya Haerani S.H</t>
  </si>
  <si>
    <t>520101 5808670002</t>
  </si>
  <si>
    <t>Nunang Fradana</t>
  </si>
  <si>
    <t>520101 2204890003</t>
  </si>
  <si>
    <t>Yayak Fradana</t>
  </si>
  <si>
    <t>- PT/Akademi</t>
  </si>
  <si>
    <t>520101 0309020001</t>
  </si>
  <si>
    <t>Rizki Afriani Islamiyah</t>
  </si>
  <si>
    <t>520101 7404980003</t>
  </si>
  <si>
    <t>Kudin</t>
  </si>
  <si>
    <t>Saiun</t>
  </si>
  <si>
    <t>Rosihin</t>
  </si>
  <si>
    <t>520101 1005920001</t>
  </si>
  <si>
    <t>Zaitun</t>
  </si>
  <si>
    <t>520101 0510970001</t>
  </si>
  <si>
    <t>Junaidi</t>
  </si>
  <si>
    <t>Mudaah</t>
  </si>
  <si>
    <t>Hamni</t>
  </si>
  <si>
    <t>520101 4107620406</t>
  </si>
  <si>
    <t>Muhammad Mahsup</t>
  </si>
  <si>
    <t>520101 0107940290</t>
  </si>
  <si>
    <t>Bilmah</t>
  </si>
  <si>
    <t>520101 4107720484</t>
  </si>
  <si>
    <t>Sifayah</t>
  </si>
  <si>
    <t>520101 5909780001</t>
  </si>
  <si>
    <t>Mehram</t>
  </si>
  <si>
    <t>520101 4107430066</t>
  </si>
  <si>
    <t>Jamilah</t>
  </si>
  <si>
    <t>520101 7112700270</t>
  </si>
  <si>
    <t>Muhadisin</t>
  </si>
  <si>
    <t>520101 0511920005</t>
  </si>
  <si>
    <t>Aldi Budiman Saputra</t>
  </si>
  <si>
    <t>520101 0305020003</t>
  </si>
  <si>
    <t>Jamaan</t>
  </si>
  <si>
    <t>Jumrah</t>
  </si>
  <si>
    <t>Kasmiati</t>
  </si>
  <si>
    <t>520101 5110850003</t>
  </si>
  <si>
    <t>Selfia Ramdani</t>
  </si>
  <si>
    <t>520101 4101080008</t>
  </si>
  <si>
    <t>Tilem</t>
  </si>
  <si>
    <t>520101 4107270039</t>
  </si>
  <si>
    <t>Sebah</t>
  </si>
  <si>
    <t>520101 7112650022</t>
  </si>
  <si>
    <t>Kanahar</t>
  </si>
  <si>
    <t>520101 0107630195</t>
  </si>
  <si>
    <t>520101 4107630127</t>
  </si>
  <si>
    <t>Arya Gadi</t>
  </si>
  <si>
    <t>520101 0101041002</t>
  </si>
  <si>
    <t>Aldi Jaenal</t>
  </si>
  <si>
    <t>520101 0910081002</t>
  </si>
  <si>
    <t>520101 6303111001</t>
  </si>
  <si>
    <t>520101 0107650034</t>
  </si>
  <si>
    <t>Minrah</t>
  </si>
  <si>
    <t>Rina Nuni Artati</t>
  </si>
  <si>
    <t>520101 4107420027</t>
  </si>
  <si>
    <t>Sulviana</t>
  </si>
  <si>
    <t>Hilsa Dwi Pratama</t>
  </si>
  <si>
    <t>Atikah</t>
  </si>
  <si>
    <t>520101 4501960003</t>
  </si>
  <si>
    <t>520101 3112810095</t>
  </si>
  <si>
    <t>Dewi Ratnawati</t>
  </si>
  <si>
    <t>520101 7112880071</t>
  </si>
  <si>
    <t>Winda Febrianti</t>
  </si>
  <si>
    <t>520101 4107570150</t>
  </si>
  <si>
    <t>520101 4107820728</t>
  </si>
  <si>
    <t>Mutiara Hati</t>
  </si>
  <si>
    <t>520101 4402010001</t>
  </si>
  <si>
    <t>520101 0707680083</t>
  </si>
  <si>
    <t>Mikanah</t>
  </si>
  <si>
    <t>520101 4107730295</t>
  </si>
  <si>
    <t>Thariq Ziadi</t>
  </si>
  <si>
    <t>Belum kakwin</t>
  </si>
  <si>
    <t>520101 2411991001</t>
  </si>
  <si>
    <t>Dede Rusmedi</t>
  </si>
  <si>
    <t>520101 2503091002</t>
  </si>
  <si>
    <t>Sedah</t>
  </si>
  <si>
    <t>520101 4107570396</t>
  </si>
  <si>
    <t>Rusni</t>
  </si>
  <si>
    <t>520101 0107870252</t>
  </si>
  <si>
    <t>Salbini</t>
  </si>
  <si>
    <t>520101 0107920173</t>
  </si>
  <si>
    <t>Rifai</t>
  </si>
  <si>
    <t>520101 1303880006</t>
  </si>
  <si>
    <t>Hamidah</t>
  </si>
  <si>
    <t>520101 5705910004</t>
  </si>
  <si>
    <t>M. Faza Padlan</t>
  </si>
  <si>
    <t>520101 1305100003</t>
  </si>
  <si>
    <t>Kastari</t>
  </si>
  <si>
    <t>520101 0402691001</t>
  </si>
  <si>
    <t>Sapiah</t>
  </si>
  <si>
    <t>520101 4705881001</t>
  </si>
  <si>
    <t>Niviselfiana Pratama</t>
  </si>
  <si>
    <t>520101 5311071001</t>
  </si>
  <si>
    <t>Usman Raditya</t>
  </si>
  <si>
    <t>520101 0302910001</t>
  </si>
  <si>
    <t>Rohani</t>
  </si>
  <si>
    <t>520101 4107910434</t>
  </si>
  <si>
    <t>Riski Mahesa</t>
  </si>
  <si>
    <t>520101 0605130001</t>
  </si>
  <si>
    <t>Saurih</t>
  </si>
  <si>
    <t>520101 5206880006</t>
  </si>
  <si>
    <t>Ahm Adharis Septiadi</t>
  </si>
  <si>
    <t>520101 0409120003</t>
  </si>
  <si>
    <t>Mursid</t>
  </si>
  <si>
    <t>520101 3112600197</t>
  </si>
  <si>
    <t>520101 7112850190</t>
  </si>
  <si>
    <t>Yasan</t>
  </si>
  <si>
    <t>520101 0304910001</t>
  </si>
  <si>
    <t>520101 5111980001</t>
  </si>
  <si>
    <t>Yudia Yunus</t>
  </si>
  <si>
    <t>520101 5704030002</t>
  </si>
  <si>
    <t>Fitriana</t>
  </si>
  <si>
    <t>520101 7112990001</t>
  </si>
  <si>
    <t>Sailah</t>
  </si>
  <si>
    <t>Icah</t>
  </si>
  <si>
    <t>520101 1206840002</t>
  </si>
  <si>
    <t>Siti Mayani</t>
  </si>
  <si>
    <t>520101 7112880123</t>
  </si>
  <si>
    <t>Istiani Fadila</t>
  </si>
  <si>
    <t>520101 6812110001</t>
  </si>
  <si>
    <t>Sahanan</t>
  </si>
  <si>
    <t>520101 3112760030</t>
  </si>
  <si>
    <t>Haeriah</t>
  </si>
  <si>
    <t>520101 7112760030</t>
  </si>
  <si>
    <t>Suardi</t>
  </si>
  <si>
    <t>520101 1011950002</t>
  </si>
  <si>
    <t>520101 5205000002</t>
  </si>
  <si>
    <t>Pekerja Lepas</t>
  </si>
  <si>
    <t>520101 0107880042</t>
  </si>
  <si>
    <t>Nurhidayah</t>
  </si>
  <si>
    <t>520101 4607890004</t>
  </si>
  <si>
    <t>Hasna Zalva Humaero</t>
  </si>
  <si>
    <t>520101 6909120003</t>
  </si>
  <si>
    <t>Raisah</t>
  </si>
  <si>
    <t>Makyah</t>
  </si>
  <si>
    <t>520101 4107730300</t>
  </si>
  <si>
    <t>Pesah</t>
  </si>
  <si>
    <t>520101 4107670584</t>
  </si>
  <si>
    <t>520101 4107050163</t>
  </si>
  <si>
    <t>Sari</t>
  </si>
  <si>
    <t>520101 0102770002</t>
  </si>
  <si>
    <t>Rohimah</t>
  </si>
  <si>
    <t>520101 6710790001</t>
  </si>
  <si>
    <t>Rosi Irawan</t>
  </si>
  <si>
    <t>520101 0406910002</t>
  </si>
  <si>
    <t>Rosita Sari Irawati</t>
  </si>
  <si>
    <t>520101 6604070002</t>
  </si>
  <si>
    <t>Roky Irawan Saputra</t>
  </si>
  <si>
    <t>Haji Mahsun</t>
  </si>
  <si>
    <t>520101 3112480021</t>
  </si>
  <si>
    <t>Uye</t>
  </si>
  <si>
    <t>520101 2112500057</t>
  </si>
  <si>
    <t>Lalu Umar Solihin</t>
  </si>
  <si>
    <t>520101 3112900116</t>
  </si>
  <si>
    <t>Nispu Hidayah</t>
  </si>
  <si>
    <t>520101 4312990001</t>
  </si>
  <si>
    <t>Baiq Adelia Novita Sari</t>
  </si>
  <si>
    <t>520101 7009140002</t>
  </si>
  <si>
    <t>520101 0512810002</t>
  </si>
  <si>
    <t>Nanik Fitria Islamy</t>
  </si>
  <si>
    <t>Wiraswasa</t>
  </si>
  <si>
    <t>520101 5410890004</t>
  </si>
  <si>
    <t>Tazkiyatunnufus</t>
  </si>
  <si>
    <t>520101 5103090001</t>
  </si>
  <si>
    <t>Ahmad Azam</t>
  </si>
  <si>
    <t>520101 1501120002</t>
  </si>
  <si>
    <t>Aman</t>
  </si>
  <si>
    <t>520101 3112700054</t>
  </si>
  <si>
    <t>Ikah</t>
  </si>
  <si>
    <t>520101 7112700047</t>
  </si>
  <si>
    <t>Nurhikam</t>
  </si>
  <si>
    <t>520101 4508961002</t>
  </si>
  <si>
    <t>Najiha Sofiani</t>
  </si>
  <si>
    <t>520101 0112070002</t>
  </si>
  <si>
    <t>Yakkub</t>
  </si>
  <si>
    <t>Ariah</t>
  </si>
  <si>
    <t>520101 7112640096</t>
  </si>
  <si>
    <t>Indah Nurhayati</t>
  </si>
  <si>
    <t>520101 4508080004</t>
  </si>
  <si>
    <t>Muridin</t>
  </si>
  <si>
    <t>Muliati</t>
  </si>
  <si>
    <t>Dinda Wati</t>
  </si>
  <si>
    <t>520101 3112720024</t>
  </si>
  <si>
    <t>Mahsen</t>
  </si>
  <si>
    <t>520101 711274000</t>
  </si>
  <si>
    <t>Deha Nur Fitri</t>
  </si>
  <si>
    <t>520101 7101040001</t>
  </si>
  <si>
    <t>Septiana Juniarti</t>
  </si>
  <si>
    <t>520101 4206140002</t>
  </si>
  <si>
    <t>520101 4107740194</t>
  </si>
  <si>
    <t>520101 4705960002</t>
  </si>
  <si>
    <t>520101 1202720003</t>
  </si>
  <si>
    <t>520101 7112715035</t>
  </si>
  <si>
    <t>Hunain Fikri</t>
  </si>
  <si>
    <t>520101 3009960002</t>
  </si>
  <si>
    <t>Saumi Mardiani</t>
  </si>
  <si>
    <t>520101 5210060002</t>
  </si>
  <si>
    <t>Nasar</t>
  </si>
  <si>
    <t>520101 3112650072</t>
  </si>
  <si>
    <t>520101 2112630032</t>
  </si>
  <si>
    <t>520101 1011900001</t>
  </si>
  <si>
    <t>Sulfi Umar</t>
  </si>
  <si>
    <t>520101 0505950001</t>
  </si>
  <si>
    <t>M Fauzan Haris</t>
  </si>
  <si>
    <t>520101 0606010001</t>
  </si>
  <si>
    <t>M Roni Kurniawan</t>
  </si>
  <si>
    <t>520101 1510030001</t>
  </si>
  <si>
    <t>Ardawang</t>
  </si>
  <si>
    <t>Munawar</t>
  </si>
  <si>
    <t>Mustaal</t>
  </si>
  <si>
    <t>Linawati</t>
  </si>
  <si>
    <t>520101 5609930003</t>
  </si>
  <si>
    <t>Murad S.P M.P</t>
  </si>
  <si>
    <t>Pegeawai swasta</t>
  </si>
  <si>
    <t>520101 0107770209</t>
  </si>
  <si>
    <t>Nurmayasari S.Km</t>
  </si>
  <si>
    <t>520101 4107720490</t>
  </si>
  <si>
    <t>Nadia Wafidatuzzahra</t>
  </si>
  <si>
    <t>520101 4107070280</t>
  </si>
  <si>
    <t>Meuthia Syaza Ramadhani</t>
  </si>
  <si>
    <t>520101 4107090036</t>
  </si>
  <si>
    <t>Muhammad Dzakky Almair Saad</t>
  </si>
  <si>
    <t>520101 0710140001</t>
  </si>
  <si>
    <t>520101 0509620001</t>
  </si>
  <si>
    <t>Merah</t>
  </si>
  <si>
    <t>520101 4211640001</t>
  </si>
  <si>
    <t>520101 4408890002</t>
  </si>
  <si>
    <t>Haryati</t>
  </si>
  <si>
    <t>Haji Saeful</t>
  </si>
  <si>
    <t>Rohana S.Pd</t>
  </si>
  <si>
    <t>Pera Pratiwi</t>
  </si>
  <si>
    <t>Reza</t>
  </si>
  <si>
    <t>Noval</t>
  </si>
  <si>
    <t>520101 1105541001</t>
  </si>
  <si>
    <t>Eram</t>
  </si>
  <si>
    <t>520101 7112841024</t>
  </si>
  <si>
    <t>520101 1405091001</t>
  </si>
  <si>
    <t>Moh Kholil</t>
  </si>
  <si>
    <t>520101 1212501001</t>
  </si>
  <si>
    <t>520101 4107790343</t>
  </si>
  <si>
    <t>Siti Arifah</t>
  </si>
  <si>
    <t>520101 5706961001</t>
  </si>
  <si>
    <t>Khomsatun</t>
  </si>
  <si>
    <t>520101 4112061001</t>
  </si>
  <si>
    <t>Mulinto</t>
  </si>
  <si>
    <t>520101 2905091001</t>
  </si>
  <si>
    <t>Dwi Hermawan</t>
  </si>
  <si>
    <t>520101 0205870004</t>
  </si>
  <si>
    <t>Rabitah</t>
  </si>
  <si>
    <t>520101 5306860001</t>
  </si>
  <si>
    <t>Sherli Anindita Dewi</t>
  </si>
  <si>
    <t>520101 4607100003</t>
  </si>
  <si>
    <t>Baski</t>
  </si>
  <si>
    <t>520101 2307850003</t>
  </si>
  <si>
    <t>Nurhasanah</t>
  </si>
  <si>
    <t>520101 7112870055</t>
  </si>
  <si>
    <t>Hendy Hidayatullah</t>
  </si>
  <si>
    <t>520101 2410080003</t>
  </si>
  <si>
    <t>Naela Safitri</t>
  </si>
  <si>
    <t>520101 5409131002</t>
  </si>
  <si>
    <t>Haji Rafi’i</t>
  </si>
  <si>
    <t>Hajah Maenmunah</t>
  </si>
  <si>
    <t>Salman S.E</t>
  </si>
  <si>
    <t>520101 3112760080</t>
  </si>
  <si>
    <t>520101 5010820005</t>
  </si>
  <si>
    <t>Aufa Rihadatu Aisy</t>
  </si>
  <si>
    <t>520101 5309060002</t>
  </si>
  <si>
    <t>Muhammad Tiffan Asyamadillah</t>
  </si>
  <si>
    <t>520101 2802100001</t>
  </si>
  <si>
    <t>520101 1909710002</t>
  </si>
  <si>
    <t>Jamnah</t>
  </si>
  <si>
    <t>520101 7112840191</t>
  </si>
  <si>
    <t>Armi Sasmika</t>
  </si>
  <si>
    <t>520101 7112070004</t>
  </si>
  <si>
    <t>Nurliza</t>
  </si>
  <si>
    <t>520101 7012120001</t>
  </si>
  <si>
    <t>Hajah Nurhasiah</t>
  </si>
  <si>
    <t>520101 7112600032</t>
  </si>
  <si>
    <t>520101 1511700001</t>
  </si>
  <si>
    <t>Fauzan</t>
  </si>
  <si>
    <t>520101 0509830001</t>
  </si>
  <si>
    <t>520101 5210850001</t>
  </si>
  <si>
    <t>Fadhil Haaziim Muzaqqi</t>
  </si>
  <si>
    <t>520101 0105100001</t>
  </si>
  <si>
    <t>H Mawardi S.H</t>
  </si>
  <si>
    <t>520101 0501620002</t>
  </si>
  <si>
    <t>Hajah Kasenah</t>
  </si>
  <si>
    <t>520101 4303690001</t>
  </si>
  <si>
    <t>Johari Asa Ardihan  Hariri</t>
  </si>
  <si>
    <t>Zohratul Laily Ardihan</t>
  </si>
  <si>
    <t>520101 5504980001</t>
  </si>
  <si>
    <t>Mohtar</t>
  </si>
  <si>
    <t>520101 3112690048</t>
  </si>
  <si>
    <t>Susilawati</t>
  </si>
  <si>
    <t>520101 7112790197</t>
  </si>
  <si>
    <t>Ainaya Alfatiha</t>
  </si>
  <si>
    <t>520101 4511980001</t>
  </si>
  <si>
    <t>Mutiara Putri Malika</t>
  </si>
  <si>
    <t>520101 4608080002</t>
  </si>
  <si>
    <t>Ahmad Anggara Putra</t>
  </si>
  <si>
    <t>520101 0406130003</t>
  </si>
  <si>
    <t>Ayub</t>
  </si>
  <si>
    <t>Cum</t>
  </si>
  <si>
    <t>520101 0607900009</t>
  </si>
  <si>
    <t>520101 5903900001</t>
  </si>
  <si>
    <t>Desok</t>
  </si>
  <si>
    <t>Nurilah</t>
  </si>
  <si>
    <t>Kadri</t>
  </si>
  <si>
    <t>Mustiah</t>
  </si>
  <si>
    <t>520101 1204880001</t>
  </si>
  <si>
    <t>Salamn</t>
  </si>
  <si>
    <t>520101 1011910001</t>
  </si>
  <si>
    <t>Murtiah</t>
  </si>
  <si>
    <t>520101 4507950001</t>
  </si>
  <si>
    <t>Mudemah</t>
  </si>
  <si>
    <t>520101 7112450037</t>
  </si>
  <si>
    <t>Muhajirin</t>
  </si>
  <si>
    <t>520101 0107820107</t>
  </si>
  <si>
    <t>Siti Apadah</t>
  </si>
  <si>
    <t>520101 4107870484</t>
  </si>
  <si>
    <t>Mulyani</t>
  </si>
  <si>
    <t>520101 5806040001</t>
  </si>
  <si>
    <t>Zul Fahmi</t>
  </si>
  <si>
    <t>520101 2007090004</t>
  </si>
  <si>
    <t>Kimah</t>
  </si>
  <si>
    <t>Jumlah</t>
  </si>
  <si>
    <t>Jiwa</t>
  </si>
  <si>
    <t>Nomor KK</t>
  </si>
  <si>
    <t>Tempat</t>
  </si>
  <si>
    <t>Tanggal</t>
  </si>
  <si>
    <t>Tahun</t>
  </si>
  <si>
    <t>Lahir</t>
  </si>
  <si>
    <t>Usia</t>
  </si>
  <si>
    <t>Etnis</t>
  </si>
  <si>
    <t>Jurusan</t>
  </si>
  <si>
    <t>Cacat</t>
  </si>
  <si>
    <t>Mental</t>
  </si>
  <si>
    <t>Fisik</t>
  </si>
  <si>
    <t>Ada</t>
  </si>
  <si>
    <t>KTP / KIA</t>
  </si>
  <si>
    <t xml:space="preserve">Buku Nikah </t>
  </si>
  <si>
    <t>Akta Kelahiran</t>
  </si>
  <si>
    <t>520101 0107270029</t>
  </si>
  <si>
    <t>Aik Ampat</t>
  </si>
  <si>
    <t>Petani/Pekebun</t>
  </si>
  <si>
    <t>Mengurus Rumah Tangga</t>
  </si>
  <si>
    <t>Sasak</t>
  </si>
  <si>
    <t>Anggrat</t>
  </si>
  <si>
    <t>520101 0503081790</t>
  </si>
  <si>
    <t>Cemare Karang Tengak</t>
  </si>
  <si>
    <t>SD/Sederajat</t>
  </si>
  <si>
    <t>SLTA/Sederajat</t>
  </si>
  <si>
    <t>Pelajar/Mahasiswa</t>
  </si>
  <si>
    <t>Belum Tamat SD/Sederajat</t>
  </si>
  <si>
    <t>Tidak/Belum Sekolah</t>
  </si>
  <si>
    <t>Buruh Harian Lepas</t>
  </si>
  <si>
    <t xml:space="preserve">Sajim Inaq </t>
  </si>
  <si>
    <t>520101 4107430068</t>
  </si>
  <si>
    <t>Tamat SD/Sederajat</t>
  </si>
  <si>
    <t>520101 4107820751</t>
  </si>
  <si>
    <t>H. Ahyar Badri</t>
  </si>
  <si>
    <t>Hj. Jamilah</t>
  </si>
  <si>
    <t>520101 0503081086</t>
  </si>
  <si>
    <t>520101 4107770548</t>
  </si>
  <si>
    <t>520101 0503081020</t>
  </si>
  <si>
    <t>520101 0107760206</t>
  </si>
  <si>
    <t>520101 4910720001</t>
  </si>
  <si>
    <t>520101 2003990002</t>
  </si>
  <si>
    <t>520101 1011100001</t>
  </si>
  <si>
    <t>Belum/Tidak Bekerja</t>
  </si>
  <si>
    <t>520101 0503081024</t>
  </si>
  <si>
    <t>Muhadesun</t>
  </si>
  <si>
    <t>Cucu</t>
  </si>
  <si>
    <t>520101 4107520250</t>
  </si>
  <si>
    <t>Cerai Hidup</t>
  </si>
  <si>
    <t>Bawak Gunung</t>
  </si>
  <si>
    <t>SLTP/Sederajat</t>
  </si>
  <si>
    <t>Buruh Tani/Perkebunan</t>
  </si>
  <si>
    <t>520101 0503081487</t>
  </si>
  <si>
    <t>520101 2809120064</t>
  </si>
  <si>
    <t>520101 4505820005</t>
  </si>
  <si>
    <t>520101 0403110035</t>
  </si>
  <si>
    <t>520101 0107950017</t>
  </si>
  <si>
    <t>Cemare</t>
  </si>
  <si>
    <t>M. Samsul Rizal</t>
  </si>
  <si>
    <t>M. Abidzhar</t>
  </si>
  <si>
    <t>520101 0503081900</t>
  </si>
  <si>
    <t>Khadijah</t>
  </si>
  <si>
    <t>520101 0503081322</t>
  </si>
  <si>
    <t>520101 0107470260</t>
  </si>
  <si>
    <t>520101 4107670550</t>
  </si>
  <si>
    <t>520101 0503081903</t>
  </si>
  <si>
    <t>520101 4107690064</t>
  </si>
  <si>
    <t>520101 0302100040</t>
  </si>
  <si>
    <t>520101 7112880026</t>
  </si>
  <si>
    <t>Suhandi</t>
  </si>
  <si>
    <t>Budiman</t>
  </si>
  <si>
    <t>520101 0503082156</t>
  </si>
  <si>
    <t>Cerai Mati</t>
  </si>
  <si>
    <t>520101 4107600100</t>
  </si>
  <si>
    <t>520101 2707930004</t>
  </si>
  <si>
    <t>520101 1712950001</t>
  </si>
  <si>
    <t>520101 1211090017</t>
  </si>
  <si>
    <t>Kurniawati</t>
  </si>
  <si>
    <t>Tsnggal</t>
  </si>
  <si>
    <t>Pelajar/Mahasiwa</t>
  </si>
  <si>
    <t>SLTP/Sederaja</t>
  </si>
  <si>
    <t>520101 0503081815</t>
  </si>
  <si>
    <t>Dewi Ayu Kusuma Ningsih</t>
  </si>
  <si>
    <t>520101 4107730294</t>
  </si>
  <si>
    <t>520101 0503081808</t>
  </si>
  <si>
    <t>Sumbawa</t>
  </si>
  <si>
    <t>Siti Nurjanah</t>
  </si>
  <si>
    <t>520101 0612090093</t>
  </si>
  <si>
    <t>Ca'ah</t>
  </si>
  <si>
    <t>Istikharah</t>
  </si>
  <si>
    <t>520101 4511971001</t>
  </si>
  <si>
    <t>520101 0503081639</t>
  </si>
  <si>
    <t>Ayup</t>
  </si>
  <si>
    <t>520101 0107720676</t>
  </si>
  <si>
    <t>520101 0503081876</t>
  </si>
  <si>
    <t>Intan Ayu Nuraini</t>
  </si>
  <si>
    <t>520101 0107670305</t>
  </si>
  <si>
    <t>520101 4107670597</t>
  </si>
  <si>
    <t>520101 4107050181</t>
  </si>
  <si>
    <t>Konstruksi</t>
  </si>
  <si>
    <t>Gerung</t>
  </si>
  <si>
    <t>Dasan Geres</t>
  </si>
  <si>
    <t>Rifa'ah</t>
  </si>
  <si>
    <t>520101 0503082162</t>
  </si>
  <si>
    <t>520101 0503081273</t>
  </si>
  <si>
    <t>520101 0503082208</t>
  </si>
  <si>
    <t>520101 0107570521</t>
  </si>
  <si>
    <t>520101 6704580001</t>
  </si>
  <si>
    <t>520101 0503081382</t>
  </si>
  <si>
    <t>H. Taufiqur Rahman</t>
  </si>
  <si>
    <t>Hj. Siti Mariyam</t>
  </si>
  <si>
    <t>Suhainah</t>
  </si>
  <si>
    <t>520101 0107720678</t>
  </si>
  <si>
    <t>520101 4107730312</t>
  </si>
  <si>
    <t>520101 4107950053</t>
  </si>
  <si>
    <t>520101 4106070004</t>
  </si>
  <si>
    <t>520101 0503081369</t>
  </si>
  <si>
    <t>Hj. Faizah</t>
  </si>
  <si>
    <t>Ahmad Paisal Hakiki</t>
  </si>
  <si>
    <t>520101 2511090048</t>
  </si>
  <si>
    <t>520101 7112900018</t>
  </si>
  <si>
    <t>520101 6102090001</t>
  </si>
  <si>
    <t>520101 2009170002</t>
  </si>
  <si>
    <t>520101 1408140020</t>
  </si>
  <si>
    <t>Budiah</t>
  </si>
  <si>
    <t>520101 4107670555</t>
  </si>
  <si>
    <t>520101 0212090004</t>
  </si>
  <si>
    <t>520101 3112690038</t>
  </si>
  <si>
    <t>520101 7112730031</t>
  </si>
  <si>
    <t>Aik Ampat Karang Tengak</t>
  </si>
  <si>
    <t>520101 1602100032</t>
  </si>
  <si>
    <t>520101 3112600005</t>
  </si>
  <si>
    <t>520101 7112650226</t>
  </si>
  <si>
    <t>520101 1010940001</t>
  </si>
  <si>
    <t>520101 0103970004</t>
  </si>
  <si>
    <t>520101 6503000003</t>
  </si>
  <si>
    <t>520101 0208030002</t>
  </si>
  <si>
    <t>520101 4509060002</t>
  </si>
  <si>
    <t>KT.Cemara</t>
  </si>
  <si>
    <t>520101 0202100028</t>
  </si>
  <si>
    <t>Saharudin</t>
  </si>
  <si>
    <t>Mahyuni</t>
  </si>
  <si>
    <t>520101 3112690037</t>
  </si>
  <si>
    <t>520101 7112700031</t>
  </si>
  <si>
    <t>520101 3112840044</t>
  </si>
  <si>
    <t>520101 7112850024</t>
  </si>
  <si>
    <t>520101 0503081297</t>
  </si>
  <si>
    <t>H. Zaini</t>
  </si>
  <si>
    <t>520101 4107700435</t>
  </si>
  <si>
    <t>520101 4110921001</t>
  </si>
  <si>
    <t>520101 4107970367</t>
  </si>
  <si>
    <t>Karyawan Swasta</t>
  </si>
  <si>
    <t>520101 0503150007</t>
  </si>
  <si>
    <t>520101 0603141009</t>
  </si>
  <si>
    <t>M. Rizki</t>
  </si>
  <si>
    <t>Lintak Buwur</t>
  </si>
  <si>
    <t>520101 0503081567</t>
  </si>
  <si>
    <t>Mainah</t>
  </si>
  <si>
    <t>520101 0107570378</t>
  </si>
  <si>
    <t>520101 7112620019</t>
  </si>
  <si>
    <t>Tempos</t>
  </si>
  <si>
    <t>520101 1811090091</t>
  </si>
  <si>
    <t>M. Salehudin</t>
  </si>
  <si>
    <t>520101 3112660012</t>
  </si>
  <si>
    <t>520101 3112990031</t>
  </si>
  <si>
    <t>KR. Tengak</t>
  </si>
  <si>
    <t>Aik Ampat KR. Tengak</t>
  </si>
  <si>
    <t>M. Abdallani</t>
  </si>
  <si>
    <t>M. Hapiz</t>
  </si>
  <si>
    <t>520101 1602150005</t>
  </si>
  <si>
    <t>520101 5105880006</t>
  </si>
  <si>
    <t>520101 2009150003</t>
  </si>
  <si>
    <t>520101 0603089757</t>
  </si>
  <si>
    <t>Moh. Kiyadanu</t>
  </si>
  <si>
    <t>520101 4107720011</t>
  </si>
  <si>
    <t>520101 2209110005</t>
  </si>
  <si>
    <t>Karang Tengah</t>
  </si>
  <si>
    <t>Siti Parida</t>
  </si>
  <si>
    <t>520101 0407750001</t>
  </si>
  <si>
    <t>520101 1011020002</t>
  </si>
  <si>
    <t>520101 4506080006</t>
  </si>
  <si>
    <t>520101 050308176</t>
  </si>
  <si>
    <t>Karang Tengak Cemare</t>
  </si>
  <si>
    <t>Pegawai Negeri Sipil (PNS)</t>
  </si>
  <si>
    <t>520101 0503081499</t>
  </si>
  <si>
    <t>Linatul Afidah</t>
  </si>
  <si>
    <t>Muhammad Nizam Azhari Rasyid</t>
  </si>
  <si>
    <t>Muharar Arifin Ilham</t>
  </si>
  <si>
    <t>520101 0107420176</t>
  </si>
  <si>
    <t>520101 4107830073</t>
  </si>
  <si>
    <t>520101 4107020181</t>
  </si>
  <si>
    <t>520101 1302120002</t>
  </si>
  <si>
    <t>520101 0310180004</t>
  </si>
  <si>
    <t>Perdagangan</t>
  </si>
  <si>
    <t>520101 1407110001</t>
  </si>
  <si>
    <t>Atika</t>
  </si>
  <si>
    <t>520101 0107760025</t>
  </si>
  <si>
    <t>520101 4107890450</t>
  </si>
  <si>
    <t>520101 5505990001</t>
  </si>
  <si>
    <t>Tamat SLTP/sederajat</t>
  </si>
  <si>
    <t>Runiah</t>
  </si>
  <si>
    <t>520101 0609131005</t>
  </si>
  <si>
    <t>520101 0107870119</t>
  </si>
  <si>
    <t>520101 6504850001</t>
  </si>
  <si>
    <t>520101 5101100004</t>
  </si>
  <si>
    <t>Zahira Hayatul Nisa</t>
  </si>
  <si>
    <t>520101 1603860003</t>
  </si>
  <si>
    <t>520101 4107870552</t>
  </si>
  <si>
    <t>520101 0503081205</t>
  </si>
  <si>
    <t>Salimah</t>
  </si>
  <si>
    <t>520101 0503081111</t>
  </si>
  <si>
    <t>520101 0107670302</t>
  </si>
  <si>
    <t>520101 2109120019</t>
  </si>
  <si>
    <t>520101 7112770193</t>
  </si>
  <si>
    <t>520101 5609010002</t>
  </si>
  <si>
    <t>Fatakhurrahman</t>
  </si>
  <si>
    <t>520101 0107360166</t>
  </si>
  <si>
    <t>520101 4107570440</t>
  </si>
  <si>
    <t>520101 0107970343</t>
  </si>
  <si>
    <t>Kapek</t>
  </si>
  <si>
    <t>520101 1807110019</t>
  </si>
  <si>
    <t>Menang Barat</t>
  </si>
  <si>
    <t>Sullaeni</t>
  </si>
  <si>
    <t>520101 4107850017</t>
  </si>
  <si>
    <t>Lain-Lain</t>
  </si>
  <si>
    <t>520101 0811160027</t>
  </si>
  <si>
    <t>Tidak/Belum Bekerja</t>
  </si>
  <si>
    <t>520101 0503081129</t>
  </si>
  <si>
    <t>H. Sirojudin</t>
  </si>
  <si>
    <t>Bajur</t>
  </si>
  <si>
    <t>520101 2804140009</t>
  </si>
  <si>
    <t>520101 2804140006</t>
  </si>
  <si>
    <t>Barak Bokong</t>
  </si>
  <si>
    <t>520101 2903120023</t>
  </si>
  <si>
    <t>520101 0503081881</t>
  </si>
  <si>
    <t>M Fahrul Rozim</t>
  </si>
  <si>
    <t>520101 0107540085</t>
  </si>
  <si>
    <t>520101 4107610072</t>
  </si>
  <si>
    <t>520101 0107800439</t>
  </si>
  <si>
    <t>520101 0107890465</t>
  </si>
  <si>
    <t>Bandung</t>
  </si>
  <si>
    <t>520101 2004150008</t>
  </si>
  <si>
    <t>Pari'ah Nuraini</t>
  </si>
  <si>
    <t>520101 4606960005</t>
  </si>
  <si>
    <t>520101 6002060001</t>
  </si>
  <si>
    <t xml:space="preserve"> Abdul Mutolib</t>
  </si>
  <si>
    <t>Haji Mahsuri</t>
  </si>
  <si>
    <t>Mulimah</t>
  </si>
  <si>
    <t>Rizfatul Aini</t>
  </si>
  <si>
    <t>520101 0503081713</t>
  </si>
  <si>
    <t>520101 0107780085</t>
  </si>
  <si>
    <t>520101 4107800398</t>
  </si>
  <si>
    <t>520101 4107990266</t>
  </si>
  <si>
    <t>520101 0107060226</t>
  </si>
  <si>
    <t>520101 5710150003</t>
  </si>
  <si>
    <t>Sopir</t>
  </si>
  <si>
    <t>520101 0612090015</t>
  </si>
  <si>
    <t>520101 3112590021</t>
  </si>
  <si>
    <t>520101 7112590002</t>
  </si>
  <si>
    <t>520101 1406920001</t>
  </si>
  <si>
    <t>Muhamad Ulus</t>
  </si>
  <si>
    <t>520101 0503081603</t>
  </si>
  <si>
    <t>520101 1012930001</t>
  </si>
  <si>
    <t>520101 0712090034</t>
  </si>
  <si>
    <t>520101 3112780005</t>
  </si>
  <si>
    <t>520101 7112820024</t>
  </si>
  <si>
    <t>520101 2005070001</t>
  </si>
  <si>
    <t>Maknam</t>
  </si>
  <si>
    <t>520101 2112090053</t>
  </si>
  <si>
    <t>520101 0107600017</t>
  </si>
  <si>
    <t>520101 4107620398</t>
  </si>
  <si>
    <t>520101 1007140013</t>
  </si>
  <si>
    <t>Dewi Yanti</t>
  </si>
  <si>
    <t>M. Khairul Rifban</t>
  </si>
  <si>
    <t>520101 1901150001</t>
  </si>
  <si>
    <t>Moh. Fitran Alfatih</t>
  </si>
  <si>
    <t>520101 0306140011</t>
  </si>
  <si>
    <t>520101 1404870002</t>
  </si>
  <si>
    <t>520101 3005150001</t>
  </si>
  <si>
    <t>Perampuan</t>
  </si>
  <si>
    <t>520101 0503081120</t>
  </si>
  <si>
    <t>Rabiah</t>
  </si>
  <si>
    <t>520101 0107760195</t>
  </si>
  <si>
    <t>520101 4107850018</t>
  </si>
  <si>
    <t>520101 0206040001</t>
  </si>
  <si>
    <t>520101 0303110003</t>
  </si>
  <si>
    <t>520101 3009580001</t>
  </si>
  <si>
    <t>520101 5205630001</t>
  </si>
  <si>
    <t>520101 1007860001</t>
  </si>
  <si>
    <t>520101 6204990002</t>
  </si>
  <si>
    <t>520101 3001020001</t>
  </si>
  <si>
    <t>Peteni/Pekebun</t>
  </si>
  <si>
    <t>520101 1611170006</t>
  </si>
  <si>
    <t>Kahfi</t>
  </si>
  <si>
    <t>520115 7112890057</t>
  </si>
  <si>
    <t>Kuripan</t>
  </si>
  <si>
    <t>520101 2103110048</t>
  </si>
  <si>
    <t>520101 3112850101</t>
  </si>
  <si>
    <t>520101 4107930105</t>
  </si>
  <si>
    <t>520101 6701110001</t>
  </si>
  <si>
    <t>Karang Tengak</t>
  </si>
  <si>
    <t>Bantir</t>
  </si>
  <si>
    <t>520101 0510120015</t>
  </si>
  <si>
    <t>520101 5206060006</t>
  </si>
  <si>
    <t>520101 17008100001</t>
  </si>
  <si>
    <t>520101 2211110012</t>
  </si>
  <si>
    <t>H. Junaidi Safawi</t>
  </si>
  <si>
    <t>Hj. Misa'ah</t>
  </si>
  <si>
    <t>520101 1508160011</t>
  </si>
  <si>
    <t>Suhaimi, A.Md</t>
  </si>
  <si>
    <t>Husna Hilmiati</t>
  </si>
  <si>
    <t>Hana Wahidah</t>
  </si>
  <si>
    <t>520101 1011900004</t>
  </si>
  <si>
    <t>520101 6010900001</t>
  </si>
  <si>
    <t>520101 6302170002</t>
  </si>
  <si>
    <t>Bilekedit Barat</t>
  </si>
  <si>
    <t>Akademi/Diploma III/Sarjana Muda</t>
  </si>
  <si>
    <t>kamariah</t>
  </si>
  <si>
    <t>520101 1004150006</t>
  </si>
  <si>
    <t>Amira</t>
  </si>
  <si>
    <t>520101 6309150003</t>
  </si>
  <si>
    <t>520101 3009120014</t>
  </si>
  <si>
    <t>520101 3112820221</t>
  </si>
  <si>
    <t>520101 7112870179</t>
  </si>
  <si>
    <t>520101 6109121001</t>
  </si>
  <si>
    <t>Langko</t>
  </si>
  <si>
    <t>Aniah</t>
  </si>
  <si>
    <t>520101 0910100018</t>
  </si>
  <si>
    <t>520101 0503082093</t>
  </si>
  <si>
    <t>520101 4107670618</t>
  </si>
  <si>
    <t>520101 1905150018</t>
  </si>
  <si>
    <t>Lia Oktaviana</t>
  </si>
  <si>
    <t>520101 0503081631</t>
  </si>
  <si>
    <t>520101 0107620086</t>
  </si>
  <si>
    <t>520101 0503082134</t>
  </si>
  <si>
    <t>520101 3112710003</t>
  </si>
  <si>
    <t>520101 080610008</t>
  </si>
  <si>
    <t xml:space="preserve"> 520101 3112870054</t>
  </si>
  <si>
    <t xml:space="preserve"> 520101 7112890057</t>
  </si>
  <si>
    <t>aik Ampat</t>
  </si>
  <si>
    <t xml:space="preserve"> 520101 0503081892</t>
  </si>
  <si>
    <t>Bainudin</t>
  </si>
  <si>
    <t>Sumaida</t>
  </si>
  <si>
    <t xml:space="preserve"> 520101 2105120045</t>
  </si>
  <si>
    <t>M. Azro`i</t>
  </si>
  <si>
    <t>520101 3112910068</t>
  </si>
  <si>
    <t>520101 2601100019</t>
  </si>
  <si>
    <t>Cerai</t>
  </si>
  <si>
    <t xml:space="preserve"> 520101 2910120054</t>
  </si>
  <si>
    <t>Menang</t>
  </si>
  <si>
    <t>31 Desember 1987</t>
  </si>
  <si>
    <t>Tazkiyatun Nufus</t>
  </si>
  <si>
    <t>Ilyas gufron</t>
  </si>
  <si>
    <t>Qoisya Hanum</t>
  </si>
  <si>
    <t>520101 4111150001</t>
  </si>
  <si>
    <t>Tempos Daye</t>
  </si>
  <si>
    <t>Diploma IV/Strata I</t>
  </si>
  <si>
    <t>520101 2504110007</t>
  </si>
  <si>
    <t>Purniati</t>
  </si>
  <si>
    <t>Ahmad Madani</t>
  </si>
  <si>
    <t>520101 3112730005</t>
  </si>
  <si>
    <t>520101 7112750124</t>
  </si>
  <si>
    <t>520101 4707920003</t>
  </si>
  <si>
    <t>520101 0107120003</t>
  </si>
  <si>
    <t>Luwuk</t>
  </si>
  <si>
    <t>M. Ridwan</t>
  </si>
  <si>
    <t>520101 0107990079</t>
  </si>
  <si>
    <t>520101 0510120011</t>
  </si>
  <si>
    <t>Dahrum</t>
  </si>
  <si>
    <t>520101 3112520002</t>
  </si>
  <si>
    <t>520101 3112950025</t>
  </si>
  <si>
    <t>Rukyah</t>
  </si>
  <si>
    <t>520101 0503081465</t>
  </si>
  <si>
    <t>520101 0107820069</t>
  </si>
  <si>
    <t>520101 4107840052</t>
  </si>
  <si>
    <t>520101 0503081784</t>
  </si>
  <si>
    <t>Sahenep</t>
  </si>
  <si>
    <t>520101 0503081828</t>
  </si>
  <si>
    <t>520101 5003001002</t>
  </si>
  <si>
    <t>520101 2502141016</t>
  </si>
  <si>
    <t>520101 2803120031</t>
  </si>
  <si>
    <t>Risa Diana</t>
  </si>
  <si>
    <t>520101 4204030003</t>
  </si>
  <si>
    <t>520101 2707760002</t>
  </si>
  <si>
    <t>520101 0503081285</t>
  </si>
  <si>
    <t>520101 2504110006</t>
  </si>
  <si>
    <t>520101 6706131001</t>
  </si>
  <si>
    <t>Bebae</t>
  </si>
  <si>
    <t>520101 0503082166</t>
  </si>
  <si>
    <t>A Udin</t>
  </si>
  <si>
    <t>520101 2504130006</t>
  </si>
  <si>
    <t>Hayatul Fatimah</t>
  </si>
  <si>
    <t>527102 500882000</t>
  </si>
  <si>
    <t>520101 5905170001</t>
  </si>
  <si>
    <t>Karang Anyar</t>
  </si>
  <si>
    <t>Mataram</t>
  </si>
  <si>
    <t>520101 2912110069</t>
  </si>
  <si>
    <t>520101 5908140001</t>
  </si>
  <si>
    <t>Seriatun</t>
  </si>
  <si>
    <t>Rafa Qhutibul Amri</t>
  </si>
  <si>
    <t>Elsa Dinda Karisma</t>
  </si>
  <si>
    <t>Karyawan Honorer</t>
  </si>
  <si>
    <t>520101 0503081344</t>
  </si>
  <si>
    <t xml:space="preserve">Karang Tengak </t>
  </si>
  <si>
    <t>520101 4107800370</t>
  </si>
  <si>
    <t>520101 0107770293</t>
  </si>
  <si>
    <t>5201010 0503081894</t>
  </si>
  <si>
    <t>520101 2610090002</t>
  </si>
  <si>
    <t>520101 0503081241</t>
  </si>
  <si>
    <t>520101 4107910105</t>
  </si>
  <si>
    <t>520101 0503081190</t>
  </si>
  <si>
    <t>Saidun</t>
  </si>
  <si>
    <t>520101 0107600031</t>
  </si>
  <si>
    <t>Tukang Kayu</t>
  </si>
  <si>
    <t>520101 1302150036</t>
  </si>
  <si>
    <t>520101 7112620015</t>
  </si>
  <si>
    <t>520101 1305150014</t>
  </si>
  <si>
    <t>520101 0503081688</t>
  </si>
  <si>
    <t>520101 0503081209</t>
  </si>
  <si>
    <t>520101 0503081045</t>
  </si>
  <si>
    <t>520101 0503081155</t>
  </si>
  <si>
    <t>520101 2205150001</t>
  </si>
  <si>
    <t>Saebah</t>
  </si>
  <si>
    <t>520101 4107660155</t>
  </si>
  <si>
    <t>520101 0602150031</t>
  </si>
  <si>
    <t>520101 1202150077</t>
  </si>
  <si>
    <t>Sifakyah</t>
  </si>
  <si>
    <t>520101 2309120093</t>
  </si>
  <si>
    <t>520101 0503082178</t>
  </si>
  <si>
    <t>Haji Jamaludin</t>
  </si>
  <si>
    <t>Hj. Sriwahyuni Wati</t>
  </si>
  <si>
    <t>520101 0711670002</t>
  </si>
  <si>
    <t>520101 6701720001</t>
  </si>
  <si>
    <t>520101 271190001</t>
  </si>
  <si>
    <t>Aik Ampat Bawak Gunung</t>
  </si>
  <si>
    <t>Haji Al Amin</t>
  </si>
  <si>
    <t>Industri</t>
  </si>
  <si>
    <t>Suherli</t>
  </si>
  <si>
    <t>520101 1409120025</t>
  </si>
  <si>
    <t>520101 3112750285</t>
  </si>
  <si>
    <t>520101 7112800274</t>
  </si>
  <si>
    <t>520101 3112950031</t>
  </si>
  <si>
    <t>520101 3112010005</t>
  </si>
  <si>
    <t>520101 4202110004</t>
  </si>
  <si>
    <t>520101 2306140015</t>
  </si>
  <si>
    <t>Kediri</t>
  </si>
  <si>
    <t>520101 0602190016</t>
  </si>
  <si>
    <t>Nazipatul Mukarromah</t>
  </si>
  <si>
    <t>520101 6911970001</t>
  </si>
  <si>
    <t>Kebon Jurang</t>
  </si>
  <si>
    <t>520101 0507120007</t>
  </si>
  <si>
    <t>Rizkia Maulina</t>
  </si>
  <si>
    <t>520101 3112870156</t>
  </si>
  <si>
    <t>520101 4107850370</t>
  </si>
  <si>
    <t>520101 0601160001</t>
  </si>
  <si>
    <t>520101 4601160001</t>
  </si>
  <si>
    <t>Beleke</t>
  </si>
  <si>
    <t>Vivit Septiana</t>
  </si>
  <si>
    <t>520101 0503081010</t>
  </si>
  <si>
    <t>520101 0107580040</t>
  </si>
  <si>
    <t>520101 4107790364</t>
  </si>
  <si>
    <t>520101 4409160001</t>
  </si>
  <si>
    <t>Kumbak - LOTENG</t>
  </si>
  <si>
    <t>Elsa Ameliya</t>
  </si>
  <si>
    <t>520101 6304880002</t>
  </si>
  <si>
    <t>520101 420112 0004</t>
  </si>
  <si>
    <t>520101 650514004</t>
  </si>
  <si>
    <t>520101 3003150003</t>
  </si>
  <si>
    <t>520101 2809120066</t>
  </si>
  <si>
    <t>520101 1007140005</t>
  </si>
  <si>
    <t>H. Salman Alfarizi</t>
  </si>
  <si>
    <t>520101 28 9120068</t>
  </si>
  <si>
    <t xml:space="preserve"> 520101 0503081065</t>
  </si>
  <si>
    <t>520101 0107670275</t>
  </si>
  <si>
    <t>520101 0503081212</t>
  </si>
  <si>
    <t>H. Ibrahim</t>
  </si>
  <si>
    <t>Fatemah</t>
  </si>
  <si>
    <t>Adi Putra</t>
  </si>
  <si>
    <t>520101 0503081470</t>
  </si>
  <si>
    <t>520101 0107500016</t>
  </si>
  <si>
    <t>520101 0107930303</t>
  </si>
  <si>
    <t>520101 4107440031</t>
  </si>
  <si>
    <t>520101 0503081771</t>
  </si>
  <si>
    <t>520101 0503081862</t>
  </si>
  <si>
    <t>520101 0503081415</t>
  </si>
  <si>
    <t>Je'un</t>
  </si>
  <si>
    <t>Hatiah</t>
  </si>
  <si>
    <t>M. Zaenul</t>
  </si>
  <si>
    <t>520101 0107820110</t>
  </si>
  <si>
    <t>520101 4107820734</t>
  </si>
  <si>
    <t>Adinda Septiani</t>
  </si>
  <si>
    <t>520101 6109180001</t>
  </si>
  <si>
    <t>520101 0712110004</t>
  </si>
  <si>
    <t>Hidayati</t>
  </si>
  <si>
    <t>Tifatul Akbar Ansory</t>
  </si>
  <si>
    <t>520101 0107000165</t>
  </si>
  <si>
    <t>520101 1707850001</t>
  </si>
  <si>
    <t>520101 3101110003</t>
  </si>
  <si>
    <t>520101 0503081126</t>
  </si>
  <si>
    <t>Alpiah</t>
  </si>
  <si>
    <t>Hafiz Habiburrahman</t>
  </si>
  <si>
    <t>520101 0107750460</t>
  </si>
  <si>
    <t>520101 4107860100</t>
  </si>
  <si>
    <t>520101 4107010023</t>
  </si>
  <si>
    <t>520101 4205050002</t>
  </si>
  <si>
    <t>520101 0209140006</t>
  </si>
  <si>
    <t>520101 0503081842</t>
  </si>
  <si>
    <t>H. Misbah</t>
  </si>
  <si>
    <t>Hj Rohanah</t>
  </si>
  <si>
    <t>Yuniati</t>
  </si>
  <si>
    <t>520101 5202880006</t>
  </si>
  <si>
    <t>520101 0107530128</t>
  </si>
  <si>
    <t>520101 4107620280</t>
  </si>
  <si>
    <t>520101 4403900002</t>
  </si>
  <si>
    <t>520101 0503081339</t>
  </si>
  <si>
    <t>520101 0503081228</t>
  </si>
  <si>
    <t>Inaq Indi</t>
  </si>
  <si>
    <t>520101 4107450127</t>
  </si>
  <si>
    <t>Raodah Muhamad Amin Muje</t>
  </si>
  <si>
    <t>520101 0503080991</t>
  </si>
  <si>
    <t>520101 040569001</t>
  </si>
  <si>
    <t>520101 7112800195</t>
  </si>
  <si>
    <t>520101 0107010267</t>
  </si>
  <si>
    <t xml:space="preserve">Cemare </t>
  </si>
  <si>
    <t>Ulfatun Nisa</t>
  </si>
  <si>
    <t>520101 5102190001</t>
  </si>
  <si>
    <t>Badarudin</t>
  </si>
  <si>
    <t>520101 0107270028</t>
  </si>
  <si>
    <t>520101 0503081310</t>
  </si>
  <si>
    <t>520101 0503082219</t>
  </si>
  <si>
    <t>520101 1304840003</t>
  </si>
  <si>
    <t>520101 0602150043</t>
  </si>
  <si>
    <t>520101 2610110041</t>
  </si>
  <si>
    <t>520101 0503081078</t>
  </si>
  <si>
    <t>520101 0307170005</t>
  </si>
  <si>
    <t>520101 0503081174</t>
  </si>
  <si>
    <t>Haji Muzammil</t>
  </si>
  <si>
    <t>Rohaini</t>
  </si>
  <si>
    <t>Sri Handayani</t>
  </si>
  <si>
    <t>Siti Karisa Ramdani</t>
  </si>
  <si>
    <t>520101 0107770303</t>
  </si>
  <si>
    <t>520101 6612961001</t>
  </si>
  <si>
    <t>520101 5403080004</t>
  </si>
  <si>
    <t>520101 4107150004</t>
  </si>
  <si>
    <t>520101 0604160012</t>
  </si>
  <si>
    <t>Amirullah</t>
  </si>
  <si>
    <t>Nuruh Ismi Taharah</t>
  </si>
  <si>
    <t>520101 0607920003</t>
  </si>
  <si>
    <t>520805 7008990001</t>
  </si>
  <si>
    <t>Bentek</t>
  </si>
  <si>
    <t>520101 1704180010</t>
  </si>
  <si>
    <t>Lutfi Harbaiti</t>
  </si>
  <si>
    <t>Dahiyatul Anggraini</t>
  </si>
  <si>
    <t>520101 5303180002</t>
  </si>
  <si>
    <t>Aik Ampst</t>
  </si>
  <si>
    <t>520101 2811110007</t>
  </si>
  <si>
    <t>520101 6009850001</t>
  </si>
  <si>
    <t>Muhamad Adnan</t>
  </si>
  <si>
    <t>Ahmad Azizi</t>
  </si>
  <si>
    <t>520101 2106180001</t>
  </si>
  <si>
    <t>Sanipah</t>
  </si>
  <si>
    <t>520101 4107680060</t>
  </si>
  <si>
    <t>520101 0404120029</t>
  </si>
  <si>
    <t>Saliminah</t>
  </si>
  <si>
    <t>520101 3112691014</t>
  </si>
  <si>
    <t>520101 2604120016</t>
  </si>
  <si>
    <t>Devina Putri</t>
  </si>
  <si>
    <t>520101 3112850181</t>
  </si>
  <si>
    <t>520101 7112860118</t>
  </si>
  <si>
    <t>520101 4512150002</t>
  </si>
  <si>
    <t>Beber Loteng</t>
  </si>
  <si>
    <t>Sayyid Ahsanul Khaliq</t>
  </si>
  <si>
    <t>520101 0503081908</t>
  </si>
  <si>
    <t>520101 4107880131</t>
  </si>
  <si>
    <t>520101 1210120006</t>
  </si>
  <si>
    <t xml:space="preserve">Alfian </t>
  </si>
  <si>
    <t>Alfina Zahra</t>
  </si>
  <si>
    <t xml:space="preserve"> 520101 1409120023</t>
  </si>
  <si>
    <t>520101 1708820001</t>
  </si>
  <si>
    <t>520101 4107870553</t>
  </si>
  <si>
    <t>520101 1005060002</t>
  </si>
  <si>
    <t>520101 1409120023</t>
  </si>
  <si>
    <t>520101 2511090046</t>
  </si>
  <si>
    <t>520101 3112750080</t>
  </si>
  <si>
    <t>520101 7112790031</t>
  </si>
  <si>
    <t>520101 4107130002</t>
  </si>
  <si>
    <t>Hanifa Mawaddah</t>
  </si>
  <si>
    <t>520101 2501100006</t>
  </si>
  <si>
    <t>Muhammad Tamiah</t>
  </si>
  <si>
    <t>Muhammad Holilulloh</t>
  </si>
  <si>
    <t xml:space="preserve">Anak </t>
  </si>
  <si>
    <t>Orang Tua</t>
  </si>
  <si>
    <t>520101 1412170001</t>
  </si>
  <si>
    <t>Hulbayan</t>
  </si>
  <si>
    <t>Ahmad Daffa Maulana</t>
  </si>
  <si>
    <t>520101 0608140009</t>
  </si>
  <si>
    <t>520101 2104840004</t>
  </si>
  <si>
    <t>520101 0510120013</t>
  </si>
  <si>
    <t>520101 0503081909</t>
  </si>
  <si>
    <t>Tiara Anggun Permadani</t>
  </si>
  <si>
    <t>520101 0107820111</t>
  </si>
  <si>
    <t>520101 4107850009</t>
  </si>
  <si>
    <t>520101 0107040009</t>
  </si>
  <si>
    <t>520101 4504170002</t>
  </si>
  <si>
    <t>Dasan Tapen</t>
  </si>
  <si>
    <t>520101 1602100033</t>
  </si>
  <si>
    <t>520101 4906020003</t>
  </si>
  <si>
    <t>H. Kamarudin</t>
  </si>
  <si>
    <t>Hj. Siti Nuraini</t>
  </si>
  <si>
    <t>520101 0512110046</t>
  </si>
  <si>
    <t>M. Imam Azroi</t>
  </si>
  <si>
    <t>520101 1909180002</t>
  </si>
  <si>
    <t>Moh. Humaini</t>
  </si>
  <si>
    <t>Padilawati</t>
  </si>
  <si>
    <t>Muhammad Ikhsan Ismail</t>
  </si>
  <si>
    <t>520101 4712990001</t>
  </si>
  <si>
    <t>520101 2312180002</t>
  </si>
  <si>
    <t>Mekanik</t>
  </si>
  <si>
    <t>520101 1304130002</t>
  </si>
  <si>
    <t>Nasha Khumairoh</t>
  </si>
  <si>
    <t>520101 4808880001</t>
  </si>
  <si>
    <t>520101 6109090001</t>
  </si>
  <si>
    <t>520101 4808160003</t>
  </si>
  <si>
    <t>SLTA/sederajat</t>
  </si>
  <si>
    <t>Achyar Rosidi</t>
  </si>
  <si>
    <t>Maenah</t>
  </si>
  <si>
    <t>Muhammad Azizul Yusuf</t>
  </si>
  <si>
    <t>520101 3012851005</t>
  </si>
  <si>
    <t>520101 7112890037</t>
  </si>
  <si>
    <t>520101 5001081003</t>
  </si>
  <si>
    <t>520101 1101160001</t>
  </si>
  <si>
    <t>520101 1408131001</t>
  </si>
  <si>
    <t>Azka Aulia</t>
  </si>
  <si>
    <t>520101 5012180001</t>
  </si>
  <si>
    <t>520101 3001150005</t>
  </si>
  <si>
    <t>H. Saharudin</t>
  </si>
  <si>
    <t>Masirah</t>
  </si>
  <si>
    <t>Ulya Jumiatur Radia</t>
  </si>
  <si>
    <t>520101 0510850004</t>
  </si>
  <si>
    <t>520101 4107880063</t>
  </si>
  <si>
    <t>520101 6404160007</t>
  </si>
  <si>
    <t>520101 2503150005</t>
  </si>
  <si>
    <t>520101 7112400044</t>
  </si>
  <si>
    <t>217110 1006809010</t>
  </si>
  <si>
    <t>520101 0306140021</t>
  </si>
  <si>
    <t>Hafadah</t>
  </si>
  <si>
    <t>Hurin IN</t>
  </si>
  <si>
    <t>520101 0107850002</t>
  </si>
  <si>
    <t>527104 4407900001</t>
  </si>
  <si>
    <t>520101 6506140002</t>
  </si>
  <si>
    <t>Sekarbela</t>
  </si>
  <si>
    <t>Herudin</t>
  </si>
  <si>
    <t>Muhammad Amrul Al-Farizi</t>
  </si>
  <si>
    <t>520101 2309120094</t>
  </si>
  <si>
    <t>520101 0706100001</t>
  </si>
  <si>
    <t>520101 0609180002</t>
  </si>
  <si>
    <t>520101 0208160005</t>
  </si>
  <si>
    <t>Muhamad Epan Alpani</t>
  </si>
  <si>
    <t>Irfan</t>
  </si>
  <si>
    <t>520101 3112850049</t>
  </si>
  <si>
    <t>520101 5505910001</t>
  </si>
  <si>
    <t>520101 3107160005</t>
  </si>
  <si>
    <t>520101 1303120027</t>
  </si>
  <si>
    <t>520101 3112670095</t>
  </si>
  <si>
    <t>520101 4107690068</t>
  </si>
  <si>
    <t>520101 0107920160</t>
  </si>
  <si>
    <t>Sapii</t>
  </si>
  <si>
    <t>Nova Unzila</t>
  </si>
  <si>
    <t>520101 0107590113</t>
  </si>
  <si>
    <t>520101 4411150004</t>
  </si>
  <si>
    <t>520101 2405130021</t>
  </si>
  <si>
    <t>520101 1409120021</t>
  </si>
  <si>
    <t>Azwin Nawawi</t>
  </si>
  <si>
    <t>Riatim</t>
  </si>
  <si>
    <t>Azril Raffasya Akbar</t>
  </si>
  <si>
    <t>520101 3112780185</t>
  </si>
  <si>
    <t>520101 4107870536</t>
  </si>
  <si>
    <t>520101 0609170004</t>
  </si>
  <si>
    <t>520101 2408150004</t>
  </si>
  <si>
    <t>Marji'i</t>
  </si>
  <si>
    <t>Mirani</t>
  </si>
  <si>
    <t>M. Ahyar Rosidi</t>
  </si>
  <si>
    <t>520101 0107920360</t>
  </si>
  <si>
    <t>520115 7001940001</t>
  </si>
  <si>
    <t>520101 1303160002</t>
  </si>
  <si>
    <t>Monggal</t>
  </si>
  <si>
    <t>520101 1905140012</t>
  </si>
  <si>
    <t>AdzrilAfif Iftikar</t>
  </si>
  <si>
    <t>520101 240119002</t>
  </si>
  <si>
    <t>520101 1409120022</t>
  </si>
  <si>
    <t>Khaerur Rhazaky</t>
  </si>
  <si>
    <t>Zahra Isna Rizki</t>
  </si>
  <si>
    <t>520101 0107840176</t>
  </si>
  <si>
    <t>520101 5011160002</t>
  </si>
  <si>
    <t>Rumak</t>
  </si>
  <si>
    <t>520101 0503081438</t>
  </si>
  <si>
    <t xml:space="preserve">Raodah </t>
  </si>
  <si>
    <t>520101 0107600039</t>
  </si>
  <si>
    <t>520101 4107720512</t>
  </si>
  <si>
    <t>520101 0107760203</t>
  </si>
  <si>
    <t>520101 0109030002</t>
  </si>
  <si>
    <t>520101 0503082056</t>
  </si>
  <si>
    <t>Suhaili</t>
  </si>
  <si>
    <t>520101 0102590001</t>
  </si>
  <si>
    <t>520101 0205760002</t>
  </si>
  <si>
    <t>520101 1904170018</t>
  </si>
  <si>
    <t>Nurmah</t>
  </si>
  <si>
    <t>Muhamad TomyAl-Fatih</t>
  </si>
  <si>
    <t>520113 5408930001</t>
  </si>
  <si>
    <t>520101 2205170001</t>
  </si>
  <si>
    <t>Gerebegan</t>
  </si>
  <si>
    <t>520101 1304170002</t>
  </si>
  <si>
    <t>Sulaipi</t>
  </si>
  <si>
    <t>Siti Saleha</t>
  </si>
  <si>
    <t>Muhamad Sulton Sabil</t>
  </si>
  <si>
    <t>520101 2604900002</t>
  </si>
  <si>
    <t>520101 5510820002</t>
  </si>
  <si>
    <t>520101 2305140006</t>
  </si>
  <si>
    <t>Beremi</t>
  </si>
  <si>
    <t>520101 0302141021</t>
  </si>
  <si>
    <t>Muhammad Aditia Pratama</t>
  </si>
  <si>
    <t>Sapa'ah</t>
  </si>
  <si>
    <t>Muhamad Zainul Karim</t>
  </si>
  <si>
    <t>Muhamad Hafatit Wahyudautani</t>
  </si>
  <si>
    <t>Abbad Nailull Nabhan</t>
  </si>
  <si>
    <t>Adibha Azahra</t>
  </si>
  <si>
    <t>520101 7112870207</t>
  </si>
  <si>
    <t>520101 0710150001</t>
  </si>
  <si>
    <t>520101 6722280002</t>
  </si>
  <si>
    <t>520101 1204130003</t>
  </si>
  <si>
    <t>520120 0410216470</t>
  </si>
  <si>
    <t>Situbondo</t>
  </si>
  <si>
    <t>Hendra Du Nur Maulana</t>
  </si>
  <si>
    <t>Jumlah Jiwa</t>
  </si>
  <si>
    <t>520101 7601150001</t>
  </si>
  <si>
    <t>Salsabila Putri Hilbayanti</t>
  </si>
  <si>
    <t>Nelayan</t>
  </si>
  <si>
    <t>520101 2112970004</t>
  </si>
  <si>
    <t>Luppi Himiati</t>
  </si>
  <si>
    <t>520101 1212940001</t>
  </si>
  <si>
    <t>Bambang Rusmiadi</t>
  </si>
  <si>
    <t>520101 3112930001</t>
  </si>
  <si>
    <t>Masniah</t>
  </si>
  <si>
    <t>520101 7112600006</t>
  </si>
  <si>
    <t>520101 0212510001</t>
  </si>
  <si>
    <t>Abdullah</t>
  </si>
  <si>
    <t>520101 0702080001</t>
  </si>
  <si>
    <t>Husnul Fuadi</t>
  </si>
  <si>
    <t>520101 7112860050</t>
  </si>
  <si>
    <t>Jumenah</t>
  </si>
  <si>
    <t>520101 3112750104</t>
  </si>
  <si>
    <t>Muhammad</t>
  </si>
  <si>
    <t>Jumlah Penduduk</t>
  </si>
  <si>
    <t>Total</t>
  </si>
  <si>
    <t>Jumlah KK</t>
  </si>
  <si>
    <t>Jumlah Duda / Janda</t>
  </si>
  <si>
    <t>Jumlah Lansia ( =&gt;60 )</t>
  </si>
  <si>
    <t>RT 1</t>
  </si>
  <si>
    <t>RT 2</t>
  </si>
  <si>
    <t>RT 3</t>
  </si>
  <si>
    <t>JUMLAH TOTAL</t>
  </si>
  <si>
    <t>DATA INDUK PENDUDUK KELURAHAN DASAN GERES</t>
  </si>
  <si>
    <t>TAHUN 2019</t>
  </si>
  <si>
    <t>LINGKUNGAN CEMARA</t>
  </si>
  <si>
    <t>Nama Lengkap/ Panggilan</t>
  </si>
  <si>
    <t>RT 03</t>
  </si>
  <si>
    <t>RT 01</t>
  </si>
  <si>
    <t>RT 02</t>
  </si>
  <si>
    <t>Mengetahui</t>
  </si>
  <si>
    <t>Lurah Dasan Geres</t>
  </si>
  <si>
    <t>Kepala Lingkungan</t>
  </si>
  <si>
    <t>Hulaifi, S.H.</t>
  </si>
  <si>
    <t>NIP. 19841231 201101 1 023</t>
  </si>
  <si>
    <t>REKAP DATA PENDUDUK</t>
  </si>
  <si>
    <t>RT</t>
  </si>
</sst>
</file>

<file path=xl/styles.xml><?xml version="1.0" encoding="utf-8"?>
<styleSheet xmlns="http://schemas.openxmlformats.org/spreadsheetml/2006/main">
  <numFmts count="1">
    <numFmt numFmtId="164" formatCode="[$-421]dd\ mmmm\ yyyy;@"/>
  </numFmts>
  <fonts count="7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/>
    <xf numFmtId="164" fontId="2" fillId="3" borderId="2" xfId="0" applyNumberFormat="1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0" borderId="1" xfId="0" applyNumberFormat="1" applyFont="1" applyBorder="1" applyAlignment="1">
      <alignment horizontal="center" vertical="center" wrapText="1"/>
    </xf>
    <xf numFmtId="0" fontId="1" fillId="0" borderId="11" xfId="0" applyNumberFormat="1" applyFont="1" applyBorder="1" applyAlignment="1">
      <alignment horizontal="center" vertical="center" wrapText="1"/>
    </xf>
    <xf numFmtId="0" fontId="0" fillId="0" borderId="0" xfId="0" applyNumberFormat="1"/>
    <xf numFmtId="1" fontId="2" fillId="3" borderId="2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4" borderId="0" xfId="0" applyFill="1"/>
    <xf numFmtId="164" fontId="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164" fontId="1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0" xfId="0" applyFill="1" applyBorder="1"/>
    <xf numFmtId="0" fontId="0" fillId="6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5" borderId="6" xfId="0" applyFill="1" applyBorder="1"/>
    <xf numFmtId="0" fontId="1" fillId="6" borderId="7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6" xfId="0" applyFont="1" applyFill="1" applyBorder="1"/>
    <xf numFmtId="0" fontId="1" fillId="4" borderId="1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/>
    <xf numFmtId="3" fontId="4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0" fontId="4" fillId="0" borderId="0" xfId="0" applyFont="1" applyFill="1"/>
    <xf numFmtId="0" fontId="4" fillId="0" borderId="0" xfId="0" applyFont="1"/>
    <xf numFmtId="3" fontId="4" fillId="0" borderId="0" xfId="0" applyNumberFormat="1" applyFont="1"/>
    <xf numFmtId="3" fontId="5" fillId="0" borderId="17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3" fontId="4" fillId="0" borderId="27" xfId="0" applyNumberFormat="1" applyFont="1" applyBorder="1" applyAlignment="1">
      <alignment horizontal="center" vertical="center"/>
    </xf>
    <xf numFmtId="3" fontId="4" fillId="0" borderId="28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3" fontId="4" fillId="0" borderId="30" xfId="0" applyNumberFormat="1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  <xf numFmtId="164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3" fontId="4" fillId="0" borderId="0" xfId="0" applyNumberFormat="1" applyFont="1" applyBorder="1"/>
    <xf numFmtId="0" fontId="4" fillId="0" borderId="0" xfId="0" applyFont="1" applyBorder="1"/>
    <xf numFmtId="3" fontId="5" fillId="0" borderId="6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5" fillId="0" borderId="21" xfId="0" applyNumberFormat="1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O19"/>
  <sheetViews>
    <sheetView workbookViewId="0">
      <selection activeCell="G12" sqref="G12"/>
    </sheetView>
  </sheetViews>
  <sheetFormatPr defaultRowHeight="15"/>
  <cols>
    <col min="2" max="2" width="19.140625" bestFit="1" customWidth="1"/>
    <col min="3" max="8" width="9.140625" style="71"/>
    <col min="9" max="10" width="10.7109375" style="71" customWidth="1"/>
    <col min="11" max="11" width="9.140625" style="71"/>
    <col min="12" max="13" width="11.7109375" style="71" customWidth="1"/>
    <col min="14" max="14" width="9.140625" style="71"/>
  </cols>
  <sheetData>
    <row r="1" spans="2:15" ht="15.75" thickBot="1"/>
    <row r="2" spans="2:15" s="73" customFormat="1" ht="15.75" thickBot="1">
      <c r="B2" s="126" t="s">
        <v>1922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8"/>
      <c r="O2" s="74"/>
    </row>
    <row r="3" spans="2:15" s="73" customFormat="1" ht="15.75" thickBot="1">
      <c r="B3" s="129" t="s">
        <v>1912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  <c r="O3" s="74"/>
    </row>
    <row r="4" spans="2:15" ht="15.75">
      <c r="B4" s="136" t="s">
        <v>1923</v>
      </c>
      <c r="C4" s="123" t="s">
        <v>1901</v>
      </c>
      <c r="D4" s="124"/>
      <c r="E4" s="133" t="s">
        <v>1902</v>
      </c>
      <c r="F4" s="119" t="s">
        <v>1903</v>
      </c>
      <c r="G4" s="120"/>
      <c r="H4" s="121" t="s">
        <v>1902</v>
      </c>
      <c r="I4" s="123" t="s">
        <v>1904</v>
      </c>
      <c r="J4" s="124"/>
      <c r="K4" s="133" t="s">
        <v>1902</v>
      </c>
      <c r="L4" s="119" t="s">
        <v>1905</v>
      </c>
      <c r="M4" s="120"/>
      <c r="N4" s="135" t="s">
        <v>1902</v>
      </c>
    </row>
    <row r="5" spans="2:15">
      <c r="B5" s="136"/>
      <c r="C5" s="78" t="s">
        <v>1</v>
      </c>
      <c r="D5" s="70" t="s">
        <v>8</v>
      </c>
      <c r="E5" s="134"/>
      <c r="F5" s="77" t="s">
        <v>1</v>
      </c>
      <c r="G5" s="70" t="s">
        <v>8</v>
      </c>
      <c r="H5" s="122"/>
      <c r="I5" s="78" t="s">
        <v>1</v>
      </c>
      <c r="J5" s="70" t="s">
        <v>8</v>
      </c>
      <c r="K5" s="134"/>
      <c r="L5" s="77" t="s">
        <v>1</v>
      </c>
      <c r="M5" s="70" t="s">
        <v>8</v>
      </c>
      <c r="N5" s="134"/>
    </row>
    <row r="6" spans="2:15" ht="15.75">
      <c r="B6" s="79" t="s">
        <v>1906</v>
      </c>
      <c r="C6" s="78">
        <f>COUNTIF('RT 01'!$H$8:$H$329,"L")</f>
        <v>152</v>
      </c>
      <c r="D6" s="70">
        <f>COUNTIF('RT 01'!$H$8:$H$329,"P")</f>
        <v>170</v>
      </c>
      <c r="E6" s="75">
        <f>SUM(C6:D6)</f>
        <v>322</v>
      </c>
      <c r="F6" s="77">
        <f>COUNTIFS('RT 01'!$F$8:$F$329,"KK",'RT 01'!$H$8:$H$329,"L")</f>
        <v>86</v>
      </c>
      <c r="G6" s="70">
        <f>COUNTIFS('RT 01'!$F$8:$F$329,"KK",'RT 01'!$H$8:$H$329,"P")</f>
        <v>32</v>
      </c>
      <c r="H6" s="76">
        <f>SUM(F6:G6)</f>
        <v>118</v>
      </c>
      <c r="I6" s="78">
        <f>COUNTIFS('RT 01'!$I$8:$I$329,"Cerai Mati",'RT 01'!$H$8:$H$329,"L")+COUNTIFS('RT 01'!$I$8:$I$329,"Cerai Hidup",'RT 01'!$H$8:$H$329,"L")+COUNTIFS('RT 01'!$I$8:$I$329,"Duda",'RT 01'!$H$8:$H$329,"L")</f>
        <v>4</v>
      </c>
      <c r="J6" s="70">
        <f>COUNTIFS('RT 01'!$I$8:$I$329,"Cerai Mati",'RT 01'!$H$8:$H$329,"P")+COUNTIFS('RT 01'!$I$8:$I$329,"Cerai Hidup",'RT 01'!$H$8:$H$329,"P")+COUNTIFS('RT 01'!$I$8:$I$329,"Janda",'RT 01'!$H$8:$H$329,"P")</f>
        <v>31</v>
      </c>
      <c r="K6" s="75">
        <f>SUM(I6:J6)</f>
        <v>35</v>
      </c>
      <c r="L6" s="77">
        <v>19</v>
      </c>
      <c r="M6" s="70">
        <v>29</v>
      </c>
      <c r="N6" s="75">
        <f>SUM(L6:M6)</f>
        <v>48</v>
      </c>
    </row>
    <row r="7" spans="2:15" ht="15.75">
      <c r="B7" s="79" t="s">
        <v>1907</v>
      </c>
      <c r="C7" s="78">
        <f>COUNTIF('RT 02'!$H$8:$H$324,"L")</f>
        <v>165</v>
      </c>
      <c r="D7" s="70">
        <f>COUNTIF('RT 02'!$H$8:$H$324,"P")</f>
        <v>152</v>
      </c>
      <c r="E7" s="75">
        <f t="shared" ref="E7:E8" si="0">SUM(C7:D7)</f>
        <v>317</v>
      </c>
      <c r="F7" s="77">
        <f>COUNTIFS('RT 02'!$F$8:$F$324,"KK",'RT 02'!$H$8:$H$324,"L")</f>
        <v>82</v>
      </c>
      <c r="G7" s="70">
        <f>COUNTIFS('RT 02'!$F$8:$F$324,"KK",'RT 02'!$H$8:$H$324,"P")</f>
        <v>15</v>
      </c>
      <c r="H7" s="76">
        <f t="shared" ref="H7:H8" si="1">SUM(F7:G7)</f>
        <v>97</v>
      </c>
      <c r="I7" s="78">
        <f>COUNTIFS('RT 02'!$I$8:$I$324,"Cerai Mati",'RT 02'!$H$8:$H$324,"L")+COUNTIFS('RT 02'!$I$8:$I$324,"Cerai Hidup",'RT 02'!$H$8:$H$324,"L")+COUNTIFS('RT 02'!$I$8:$I$324,"Duda",'RT 02'!$H$8:$H$324,"L")</f>
        <v>8</v>
      </c>
      <c r="J7" s="70">
        <f>COUNTIFS('RT 02'!$I$8:$I$324,"Cerai Mati",'RT 02'!$H$8:$H$324,"P")+COUNTIFS('RT 02'!$I$8:$I$324,"Cerai Hidup",'RT 02'!$H$8:$H$324,"P")+COUNTIFS('RT 02'!$I$8:$I$324,"Janda",'RT 02'!$H$8:$H$324,"P")</f>
        <v>16</v>
      </c>
      <c r="K7" s="75">
        <f t="shared" ref="K7:K8" si="2">SUM(I7:J7)</f>
        <v>24</v>
      </c>
      <c r="L7" s="77">
        <v>15</v>
      </c>
      <c r="M7" s="70">
        <v>13</v>
      </c>
      <c r="N7" s="75">
        <f t="shared" ref="N7:N8" si="3">SUM(L7:M7)</f>
        <v>28</v>
      </c>
    </row>
    <row r="8" spans="2:15" ht="16.5" thickBot="1">
      <c r="B8" s="80" t="s">
        <v>1908</v>
      </c>
      <c r="C8" s="81">
        <f>COUNTIF('RT 03'!$H$8:$H$223,"L")</f>
        <v>100</v>
      </c>
      <c r="D8" s="82">
        <f>COUNTIF('RT 03'!$H$8:$H$223,"P")</f>
        <v>116</v>
      </c>
      <c r="E8" s="83">
        <f t="shared" si="0"/>
        <v>216</v>
      </c>
      <c r="F8" s="84">
        <f>COUNTIFS('RT 03'!$F$8:$F$223,"KK",'RT 03'!$H$8:$H$223,"L")</f>
        <v>53</v>
      </c>
      <c r="G8" s="82">
        <f>COUNTIFS('RT 03'!$F$8:$F$223,"KK",'RT 03'!$H$8:$H$223,"P")</f>
        <v>19</v>
      </c>
      <c r="H8" s="85">
        <f t="shared" si="1"/>
        <v>72</v>
      </c>
      <c r="I8" s="81">
        <f>COUNTIFS('RT 03'!$I$8:$I$223,"Cerai Mati",'RT 03'!$H$8:$H$223,"L")+COUNTIFS('RT 03'!$I$8:$I$223,"Cerai Hidup",'RT 03'!$H$8:$H$223,"L")+COUNTIFS('RT 03'!$I$8:$I$223,"Duda",'RT 03'!$H$8:$H$223,"L")</f>
        <v>3</v>
      </c>
      <c r="J8" s="82">
        <f>COUNTIFS('RT 03'!$I$8:$I$223,"Cerai Mati",'RT 03'!$H$8:$H$223,"P")+COUNTIFS('RT 03'!$I$8:$I$223,"Cerai Hidup",'RT 03'!$H$8:$H$223,"P")+COUNTIFS('RT 03'!$I$8:$I$223,"Janda",'RT 03'!$H$8:$H$223,"P")</f>
        <v>19</v>
      </c>
      <c r="K8" s="83">
        <f t="shared" si="2"/>
        <v>22</v>
      </c>
      <c r="L8" s="84">
        <v>11</v>
      </c>
      <c r="M8" s="82">
        <v>9</v>
      </c>
      <c r="N8" s="83">
        <f t="shared" si="3"/>
        <v>20</v>
      </c>
    </row>
    <row r="9" spans="2:15" ht="16.5" thickBot="1">
      <c r="B9" s="86" t="s">
        <v>1909</v>
      </c>
      <c r="C9" s="87">
        <f>SUM(C6:C8)</f>
        <v>417</v>
      </c>
      <c r="D9" s="88">
        <f>SUM(D6:D8)</f>
        <v>438</v>
      </c>
      <c r="E9" s="89">
        <f>SUM(E6:E8)</f>
        <v>855</v>
      </c>
      <c r="F9" s="90">
        <f t="shared" ref="F9:N9" si="4">SUM(F6:F8)</f>
        <v>221</v>
      </c>
      <c r="G9" s="88">
        <f t="shared" si="4"/>
        <v>66</v>
      </c>
      <c r="H9" s="91">
        <f t="shared" si="4"/>
        <v>287</v>
      </c>
      <c r="I9" s="87">
        <f t="shared" si="4"/>
        <v>15</v>
      </c>
      <c r="J9" s="88">
        <f t="shared" si="4"/>
        <v>66</v>
      </c>
      <c r="K9" s="89">
        <f t="shared" si="4"/>
        <v>81</v>
      </c>
      <c r="L9" s="90">
        <f t="shared" si="4"/>
        <v>45</v>
      </c>
      <c r="M9" s="88">
        <f t="shared" si="4"/>
        <v>51</v>
      </c>
      <c r="N9" s="89">
        <f t="shared" si="4"/>
        <v>96</v>
      </c>
    </row>
    <row r="13" spans="2:15" s="73" customFormat="1">
      <c r="C13" s="132" t="s">
        <v>1917</v>
      </c>
      <c r="D13" s="132"/>
      <c r="E13" s="132"/>
      <c r="F13" s="74"/>
      <c r="G13" s="74"/>
      <c r="H13" s="74"/>
      <c r="I13" s="74"/>
      <c r="J13" s="74"/>
      <c r="K13" s="132"/>
      <c r="L13" s="132"/>
      <c r="M13" s="74"/>
      <c r="N13" s="74"/>
    </row>
    <row r="14" spans="2:15" s="73" customFormat="1">
      <c r="C14" s="132" t="s">
        <v>1918</v>
      </c>
      <c r="D14" s="132"/>
      <c r="E14" s="132"/>
      <c r="F14" s="74"/>
      <c r="G14" s="74"/>
      <c r="H14" s="74"/>
      <c r="I14" s="74"/>
      <c r="J14" s="74"/>
      <c r="K14" s="132" t="s">
        <v>1919</v>
      </c>
      <c r="L14" s="132"/>
      <c r="M14" s="74"/>
      <c r="N14" s="74"/>
    </row>
    <row r="15" spans="2:15" s="73" customFormat="1">
      <c r="C15" s="74"/>
      <c r="E15" s="74"/>
      <c r="F15" s="74"/>
      <c r="G15" s="74"/>
      <c r="H15" s="74"/>
      <c r="I15" s="74"/>
      <c r="J15" s="74"/>
      <c r="L15" s="74"/>
      <c r="M15" s="74"/>
      <c r="N15" s="74"/>
    </row>
    <row r="16" spans="2:15" s="73" customFormat="1">
      <c r="C16" s="74"/>
      <c r="E16" s="74"/>
      <c r="F16" s="74"/>
      <c r="G16" s="74"/>
      <c r="H16" s="74"/>
      <c r="I16" s="74"/>
      <c r="J16" s="74"/>
      <c r="L16" s="74"/>
      <c r="M16" s="74"/>
      <c r="N16" s="74"/>
    </row>
    <row r="17" spans="3:14" s="73" customFormat="1">
      <c r="C17" s="74"/>
      <c r="E17" s="74"/>
      <c r="F17" s="74"/>
      <c r="G17" s="74"/>
      <c r="H17" s="74"/>
      <c r="I17" s="74"/>
      <c r="J17" s="74"/>
      <c r="L17" s="74"/>
      <c r="M17" s="74"/>
      <c r="N17" s="74"/>
    </row>
    <row r="18" spans="3:14" s="73" customFormat="1">
      <c r="C18" s="125" t="s">
        <v>1920</v>
      </c>
      <c r="D18" s="125"/>
      <c r="E18" s="125"/>
      <c r="F18" s="74"/>
      <c r="G18" s="74"/>
      <c r="H18" s="74"/>
      <c r="I18" s="74"/>
      <c r="J18" s="74"/>
      <c r="K18" s="125" t="s">
        <v>551</v>
      </c>
      <c r="L18" s="125"/>
      <c r="M18" s="74"/>
      <c r="N18" s="74"/>
    </row>
    <row r="19" spans="3:14" s="73" customFormat="1">
      <c r="C19" s="125" t="s">
        <v>1921</v>
      </c>
      <c r="D19" s="125"/>
      <c r="E19" s="125"/>
      <c r="F19" s="74"/>
      <c r="G19" s="74"/>
      <c r="H19" s="74"/>
      <c r="I19" s="74"/>
      <c r="J19" s="74"/>
      <c r="K19" s="125"/>
      <c r="L19" s="125"/>
      <c r="M19" s="74"/>
      <c r="N19" s="74"/>
    </row>
  </sheetData>
  <mergeCells count="19">
    <mergeCell ref="B2:N2"/>
    <mergeCell ref="B3:N3"/>
    <mergeCell ref="C13:E13"/>
    <mergeCell ref="K13:L13"/>
    <mergeCell ref="C14:E14"/>
    <mergeCell ref="K14:L14"/>
    <mergeCell ref="K4:K5"/>
    <mergeCell ref="L4:M4"/>
    <mergeCell ref="N4:N5"/>
    <mergeCell ref="B4:B5"/>
    <mergeCell ref="C4:D4"/>
    <mergeCell ref="E4:E5"/>
    <mergeCell ref="F4:G4"/>
    <mergeCell ref="H4:H5"/>
    <mergeCell ref="I4:J4"/>
    <mergeCell ref="C19:E19"/>
    <mergeCell ref="K19:L19"/>
    <mergeCell ref="C18:E18"/>
    <mergeCell ref="K18:L18"/>
  </mergeCells>
  <printOptions horizontalCentered="1" verticalCentered="1"/>
  <pageMargins left="1.37795275590551" right="0.39370078740157499" top="0.78740157480314998" bottom="0.78740157480314998" header="0.31496062992126" footer="0.31496062992126"/>
  <pageSetup paperSize="10000" scale="10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R339"/>
  <sheetViews>
    <sheetView tabSelected="1" workbookViewId="0">
      <pane ySplit="6" topLeftCell="A284" activePane="bottomLeft" state="frozen"/>
      <selection pane="bottomLeft" activeCell="E286" sqref="E286:E290"/>
    </sheetView>
  </sheetViews>
  <sheetFormatPr defaultRowHeight="12.75"/>
  <cols>
    <col min="1" max="1" width="9.140625" style="62"/>
    <col min="2" max="2" width="3.85546875" style="98" bestFit="1" customWidth="1"/>
    <col min="3" max="3" width="15.7109375" style="98" customWidth="1"/>
    <col min="4" max="4" width="6.7109375" style="98" customWidth="1"/>
    <col min="5" max="5" width="12.7109375" style="99" customWidth="1"/>
    <col min="6" max="6" width="9.7109375" style="98" customWidth="1"/>
    <col min="7" max="7" width="15.28515625" style="98" customWidth="1"/>
    <col min="8" max="8" width="7.7109375" style="98" customWidth="1"/>
    <col min="9" max="9" width="10.7109375" style="98" customWidth="1"/>
    <col min="10" max="10" width="13.7109375" style="99" customWidth="1"/>
    <col min="11" max="11" width="16.28515625" style="100" bestFit="1" customWidth="1"/>
    <col min="12" max="12" width="6.28515625" style="101" bestFit="1" customWidth="1"/>
    <col min="13" max="13" width="5" style="102" bestFit="1" customWidth="1"/>
    <col min="14" max="14" width="6.42578125" style="98" bestFit="1" customWidth="1"/>
    <col min="15" max="15" width="5.42578125" style="98" bestFit="1" customWidth="1"/>
    <col min="16" max="16" width="16.7109375" style="99" customWidth="1"/>
    <col min="17" max="17" width="7.5703125" style="98" bestFit="1" customWidth="1"/>
    <col min="18" max="18" width="15.7109375" style="99" customWidth="1"/>
    <col min="19" max="16384" width="9.140625" style="62"/>
  </cols>
  <sheetData>
    <row r="1" spans="2:18" s="72" customFormat="1" ht="15.75">
      <c r="B1" s="143" t="s">
        <v>1910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 spans="2:18" s="72" customFormat="1" ht="15.75">
      <c r="B2" s="143" t="s">
        <v>1911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spans="2:18" s="72" customFormat="1" ht="15.75">
      <c r="B3" s="115" t="s">
        <v>1912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</row>
    <row r="4" spans="2:18" ht="15.75">
      <c r="B4" s="115" t="s">
        <v>1915</v>
      </c>
    </row>
    <row r="5" spans="2:18" ht="20.100000000000001" customHeight="1">
      <c r="B5" s="140" t="s">
        <v>423</v>
      </c>
      <c r="C5" s="140" t="s">
        <v>1150</v>
      </c>
      <c r="D5" s="139" t="s">
        <v>1882</v>
      </c>
      <c r="E5" s="139" t="s">
        <v>1913</v>
      </c>
      <c r="F5" s="139" t="s">
        <v>430</v>
      </c>
      <c r="G5" s="142" t="s">
        <v>431</v>
      </c>
      <c r="H5" s="139" t="s">
        <v>425</v>
      </c>
      <c r="I5" s="139" t="s">
        <v>426</v>
      </c>
      <c r="J5" s="140" t="s">
        <v>1154</v>
      </c>
      <c r="K5" s="140"/>
      <c r="L5" s="140"/>
      <c r="M5" s="141" t="s">
        <v>1155</v>
      </c>
      <c r="N5" s="140" t="s">
        <v>427</v>
      </c>
      <c r="O5" s="140" t="s">
        <v>1156</v>
      </c>
      <c r="P5" s="139" t="s">
        <v>428</v>
      </c>
      <c r="Q5" s="140" t="s">
        <v>1157</v>
      </c>
      <c r="R5" s="139" t="s">
        <v>429</v>
      </c>
    </row>
    <row r="6" spans="2:18" ht="20.100000000000001" customHeight="1">
      <c r="B6" s="140"/>
      <c r="C6" s="140"/>
      <c r="D6" s="139"/>
      <c r="E6" s="139"/>
      <c r="F6" s="139"/>
      <c r="G6" s="142"/>
      <c r="H6" s="139"/>
      <c r="I6" s="139"/>
      <c r="J6" s="103" t="s">
        <v>1151</v>
      </c>
      <c r="K6" s="104" t="s">
        <v>1152</v>
      </c>
      <c r="L6" s="105" t="s">
        <v>1153</v>
      </c>
      <c r="M6" s="141"/>
      <c r="N6" s="140"/>
      <c r="O6" s="140"/>
      <c r="P6" s="139"/>
      <c r="Q6" s="140"/>
      <c r="R6" s="139"/>
    </row>
    <row r="7" spans="2:18">
      <c r="B7" s="106"/>
      <c r="C7" s="106"/>
      <c r="D7" s="106"/>
      <c r="E7" s="103"/>
      <c r="F7" s="106"/>
      <c r="G7" s="105"/>
      <c r="H7" s="106"/>
      <c r="I7" s="106"/>
      <c r="J7" s="103"/>
      <c r="K7" s="104"/>
      <c r="L7" s="105"/>
      <c r="M7" s="107"/>
      <c r="N7" s="106"/>
      <c r="O7" s="106"/>
      <c r="P7" s="103"/>
      <c r="Q7" s="106"/>
      <c r="R7" s="103"/>
    </row>
    <row r="8" spans="2:18" s="63" customFormat="1" ht="25.5">
      <c r="B8" s="137">
        <v>1</v>
      </c>
      <c r="C8" s="137" t="s">
        <v>1521</v>
      </c>
      <c r="D8" s="64">
        <v>1</v>
      </c>
      <c r="E8" s="33" t="s">
        <v>432</v>
      </c>
      <c r="F8" s="64" t="s">
        <v>6</v>
      </c>
      <c r="G8" s="64" t="s">
        <v>1522</v>
      </c>
      <c r="H8" s="64" t="s">
        <v>1</v>
      </c>
      <c r="I8" s="64" t="s">
        <v>2</v>
      </c>
      <c r="J8" s="33" t="s">
        <v>1166</v>
      </c>
      <c r="K8" s="65">
        <v>27760</v>
      </c>
      <c r="L8" s="66">
        <v>1976</v>
      </c>
      <c r="M8" s="67">
        <f t="shared" ref="M8:M71" si="0">2019-L8</f>
        <v>43</v>
      </c>
      <c r="N8" s="64" t="s">
        <v>3</v>
      </c>
      <c r="O8" s="64" t="s">
        <v>1169</v>
      </c>
      <c r="P8" s="33" t="s">
        <v>1177</v>
      </c>
      <c r="Q8" s="64"/>
      <c r="R8" s="33" t="s">
        <v>1178</v>
      </c>
    </row>
    <row r="9" spans="2:18" s="63" customFormat="1" ht="25.5">
      <c r="B9" s="137"/>
      <c r="C9" s="137"/>
      <c r="D9" s="64">
        <v>2</v>
      </c>
      <c r="E9" s="33" t="s">
        <v>1520</v>
      </c>
      <c r="F9" s="64" t="s">
        <v>9</v>
      </c>
      <c r="G9" s="64" t="s">
        <v>1523</v>
      </c>
      <c r="H9" s="64" t="s">
        <v>8</v>
      </c>
      <c r="I9" s="64" t="s">
        <v>2</v>
      </c>
      <c r="J9" s="33" t="s">
        <v>1172</v>
      </c>
      <c r="K9" s="65">
        <v>30864</v>
      </c>
      <c r="L9" s="66">
        <v>1984</v>
      </c>
      <c r="M9" s="67">
        <f t="shared" si="0"/>
        <v>35</v>
      </c>
      <c r="N9" s="64" t="s">
        <v>3</v>
      </c>
      <c r="O9" s="64" t="s">
        <v>1169</v>
      </c>
      <c r="P9" s="33" t="s">
        <v>1177</v>
      </c>
      <c r="Q9" s="64"/>
      <c r="R9" s="33" t="s">
        <v>1178</v>
      </c>
    </row>
    <row r="10" spans="2:18" s="63" customFormat="1" ht="25.5">
      <c r="B10" s="137"/>
      <c r="C10" s="137"/>
      <c r="D10" s="64">
        <v>3</v>
      </c>
      <c r="E10" s="33" t="s">
        <v>434</v>
      </c>
      <c r="F10" s="64" t="s">
        <v>13</v>
      </c>
      <c r="G10" s="64" t="s">
        <v>433</v>
      </c>
      <c r="H10" s="64" t="s">
        <v>1</v>
      </c>
      <c r="I10" s="64" t="s">
        <v>11</v>
      </c>
      <c r="J10" s="33" t="s">
        <v>1166</v>
      </c>
      <c r="K10" s="65">
        <v>39913</v>
      </c>
      <c r="L10" s="66">
        <v>2009</v>
      </c>
      <c r="M10" s="67">
        <f t="shared" si="0"/>
        <v>10</v>
      </c>
      <c r="N10" s="64" t="s">
        <v>3</v>
      </c>
      <c r="O10" s="64" t="s">
        <v>1169</v>
      </c>
      <c r="P10" s="33" t="s">
        <v>1176</v>
      </c>
      <c r="Q10" s="64"/>
      <c r="R10" s="33" t="s">
        <v>1175</v>
      </c>
    </row>
    <row r="11" spans="2:18" s="63" customFormat="1" ht="25.5">
      <c r="B11" s="137"/>
      <c r="C11" s="137"/>
      <c r="D11" s="64">
        <v>4</v>
      </c>
      <c r="E11" s="33" t="s">
        <v>1639</v>
      </c>
      <c r="F11" s="64" t="s">
        <v>13</v>
      </c>
      <c r="G11" s="64" t="s">
        <v>1640</v>
      </c>
      <c r="H11" s="64" t="s">
        <v>8</v>
      </c>
      <c r="I11" s="64" t="s">
        <v>11</v>
      </c>
      <c r="J11" s="33" t="s">
        <v>1249</v>
      </c>
      <c r="K11" s="65">
        <v>43364</v>
      </c>
      <c r="L11" s="66">
        <v>2018</v>
      </c>
      <c r="M11" s="67">
        <f t="shared" si="0"/>
        <v>1</v>
      </c>
      <c r="N11" s="64" t="s">
        <v>3</v>
      </c>
      <c r="O11" s="64" t="s">
        <v>1169</v>
      </c>
      <c r="P11" s="33" t="s">
        <v>1177</v>
      </c>
      <c r="Q11" s="64"/>
      <c r="R11" s="33" t="s">
        <v>1192</v>
      </c>
    </row>
    <row r="12" spans="2:18" s="63" customFormat="1" ht="25.5">
      <c r="B12" s="137">
        <v>2</v>
      </c>
      <c r="C12" s="137" t="s">
        <v>1350</v>
      </c>
      <c r="D12" s="64">
        <v>5</v>
      </c>
      <c r="E12" s="33" t="s">
        <v>435</v>
      </c>
      <c r="F12" s="64" t="s">
        <v>6</v>
      </c>
      <c r="G12" s="64" t="s">
        <v>1351</v>
      </c>
      <c r="H12" s="64" t="s">
        <v>1</v>
      </c>
      <c r="I12" s="64" t="s">
        <v>2</v>
      </c>
      <c r="J12" s="33" t="s">
        <v>1172</v>
      </c>
      <c r="K12" s="65">
        <v>31959</v>
      </c>
      <c r="L12" s="66">
        <v>1987</v>
      </c>
      <c r="M12" s="67">
        <f t="shared" si="0"/>
        <v>32</v>
      </c>
      <c r="N12" s="64" t="s">
        <v>3</v>
      </c>
      <c r="O12" s="64" t="s">
        <v>1169</v>
      </c>
      <c r="P12" s="33" t="s">
        <v>1199</v>
      </c>
      <c r="Q12" s="64"/>
      <c r="R12" s="33" t="s">
        <v>1178</v>
      </c>
    </row>
    <row r="13" spans="2:18" s="63" customFormat="1" ht="25.5">
      <c r="B13" s="137"/>
      <c r="C13" s="137"/>
      <c r="D13" s="64">
        <v>6</v>
      </c>
      <c r="E13" s="33" t="s">
        <v>1349</v>
      </c>
      <c r="F13" s="64" t="s">
        <v>9</v>
      </c>
      <c r="G13" s="64" t="s">
        <v>1352</v>
      </c>
      <c r="H13" s="64" t="s">
        <v>8</v>
      </c>
      <c r="I13" s="64" t="s">
        <v>2</v>
      </c>
      <c r="J13" s="33" t="s">
        <v>1166</v>
      </c>
      <c r="K13" s="65">
        <v>33103</v>
      </c>
      <c r="L13" s="66">
        <v>1990</v>
      </c>
      <c r="M13" s="67">
        <f t="shared" si="0"/>
        <v>29</v>
      </c>
      <c r="N13" s="64" t="s">
        <v>3</v>
      </c>
      <c r="O13" s="64" t="s">
        <v>1169</v>
      </c>
      <c r="P13" s="33" t="s">
        <v>1181</v>
      </c>
      <c r="Q13" s="64"/>
      <c r="R13" s="33" t="s">
        <v>1178</v>
      </c>
    </row>
    <row r="14" spans="2:18" s="63" customFormat="1" ht="25.5">
      <c r="B14" s="137"/>
      <c r="C14" s="137"/>
      <c r="D14" s="64">
        <v>7</v>
      </c>
      <c r="E14" s="33" t="s">
        <v>436</v>
      </c>
      <c r="F14" s="64" t="s">
        <v>13</v>
      </c>
      <c r="G14" s="64" t="s">
        <v>1353</v>
      </c>
      <c r="H14" s="64" t="s">
        <v>8</v>
      </c>
      <c r="I14" s="64" t="s">
        <v>11</v>
      </c>
      <c r="J14" s="33" t="s">
        <v>1166</v>
      </c>
      <c r="K14" s="65">
        <v>40189</v>
      </c>
      <c r="L14" s="66">
        <v>2010</v>
      </c>
      <c r="M14" s="67">
        <f t="shared" si="0"/>
        <v>9</v>
      </c>
      <c r="N14" s="64" t="s">
        <v>3</v>
      </c>
      <c r="O14" s="64" t="s">
        <v>1169</v>
      </c>
      <c r="P14" s="33" t="s">
        <v>1176</v>
      </c>
      <c r="Q14" s="64"/>
      <c r="R14" s="33" t="s">
        <v>1175</v>
      </c>
    </row>
    <row r="15" spans="2:18" s="63" customFormat="1" ht="25.5">
      <c r="B15" s="137"/>
      <c r="C15" s="137"/>
      <c r="D15" s="64">
        <v>8</v>
      </c>
      <c r="E15" s="33" t="s">
        <v>1781</v>
      </c>
      <c r="F15" s="64" t="s">
        <v>13</v>
      </c>
      <c r="G15" s="64" t="s">
        <v>1782</v>
      </c>
      <c r="H15" s="64" t="s">
        <v>8</v>
      </c>
      <c r="I15" s="64" t="s">
        <v>11</v>
      </c>
      <c r="J15" s="33" t="s">
        <v>1166</v>
      </c>
      <c r="K15" s="65">
        <v>43444</v>
      </c>
      <c r="L15" s="66">
        <v>2018</v>
      </c>
      <c r="M15" s="67">
        <f t="shared" si="0"/>
        <v>1</v>
      </c>
      <c r="N15" s="64" t="s">
        <v>3</v>
      </c>
      <c r="O15" s="64" t="s">
        <v>1169</v>
      </c>
      <c r="P15" s="33" t="s">
        <v>1177</v>
      </c>
      <c r="Q15" s="64"/>
      <c r="R15" s="33" t="s">
        <v>1192</v>
      </c>
    </row>
    <row r="16" spans="2:18" s="63" customFormat="1" ht="25.5">
      <c r="B16" s="137">
        <v>3</v>
      </c>
      <c r="C16" s="137" t="s">
        <v>1528</v>
      </c>
      <c r="D16" s="64">
        <v>9</v>
      </c>
      <c r="E16" s="33" t="s">
        <v>442</v>
      </c>
      <c r="F16" s="64" t="s">
        <v>6</v>
      </c>
      <c r="G16" s="64" t="s">
        <v>443</v>
      </c>
      <c r="H16" s="64" t="s">
        <v>8</v>
      </c>
      <c r="I16" s="64" t="s">
        <v>1221</v>
      </c>
      <c r="J16" s="33" t="s">
        <v>1166</v>
      </c>
      <c r="K16" s="65">
        <v>28804</v>
      </c>
      <c r="L16" s="66">
        <v>1978</v>
      </c>
      <c r="M16" s="67">
        <f t="shared" si="0"/>
        <v>41</v>
      </c>
      <c r="N16" s="64" t="s">
        <v>3</v>
      </c>
      <c r="O16" s="64" t="s">
        <v>1169</v>
      </c>
      <c r="P16" s="33" t="s">
        <v>1181</v>
      </c>
      <c r="Q16" s="64"/>
      <c r="R16" s="33" t="s">
        <v>1178</v>
      </c>
    </row>
    <row r="17" spans="2:18" s="63" customFormat="1" ht="25.5">
      <c r="B17" s="137"/>
      <c r="C17" s="137"/>
      <c r="D17" s="64">
        <v>10</v>
      </c>
      <c r="E17" s="33" t="s">
        <v>444</v>
      </c>
      <c r="F17" s="64" t="s">
        <v>13</v>
      </c>
      <c r="G17" s="64" t="s">
        <v>445</v>
      </c>
      <c r="H17" s="64" t="s">
        <v>8</v>
      </c>
      <c r="I17" s="64" t="s">
        <v>11</v>
      </c>
      <c r="J17" s="33" t="s">
        <v>1198</v>
      </c>
      <c r="K17" s="65">
        <v>36930</v>
      </c>
      <c r="L17" s="66">
        <v>2001</v>
      </c>
      <c r="M17" s="67">
        <f t="shared" si="0"/>
        <v>18</v>
      </c>
      <c r="N17" s="64" t="s">
        <v>3</v>
      </c>
      <c r="O17" s="64" t="s">
        <v>1169</v>
      </c>
      <c r="P17" s="33" t="s">
        <v>1181</v>
      </c>
      <c r="Q17" s="64"/>
      <c r="R17" s="33" t="s">
        <v>1192</v>
      </c>
    </row>
    <row r="18" spans="2:18" s="63" customFormat="1" ht="25.5">
      <c r="B18" s="137">
        <v>4</v>
      </c>
      <c r="C18" s="137" t="s">
        <v>1529</v>
      </c>
      <c r="D18" s="64">
        <v>11</v>
      </c>
      <c r="E18" s="33" t="s">
        <v>446</v>
      </c>
      <c r="F18" s="64" t="s">
        <v>6</v>
      </c>
      <c r="G18" s="64" t="s">
        <v>1532</v>
      </c>
      <c r="H18" s="64" t="s">
        <v>1</v>
      </c>
      <c r="I18" s="64" t="s">
        <v>2</v>
      </c>
      <c r="J18" s="33" t="s">
        <v>1166</v>
      </c>
      <c r="K18" s="65">
        <v>27968</v>
      </c>
      <c r="L18" s="66">
        <v>1976</v>
      </c>
      <c r="M18" s="67">
        <f t="shared" si="0"/>
        <v>43</v>
      </c>
      <c r="N18" s="64" t="s">
        <v>3</v>
      </c>
      <c r="O18" s="64" t="s">
        <v>1169</v>
      </c>
      <c r="P18" s="33" t="s">
        <v>1181</v>
      </c>
      <c r="Q18" s="64"/>
      <c r="R18" s="33" t="s">
        <v>1178</v>
      </c>
    </row>
    <row r="19" spans="2:18" s="63" customFormat="1" ht="25.5">
      <c r="B19" s="137"/>
      <c r="C19" s="137"/>
      <c r="D19" s="64">
        <v>12</v>
      </c>
      <c r="E19" s="33" t="s">
        <v>447</v>
      </c>
      <c r="F19" s="64" t="s">
        <v>9</v>
      </c>
      <c r="G19" s="64" t="s">
        <v>448</v>
      </c>
      <c r="H19" s="64" t="s">
        <v>8</v>
      </c>
      <c r="I19" s="64" t="s">
        <v>2</v>
      </c>
      <c r="J19" s="33" t="s">
        <v>1166</v>
      </c>
      <c r="K19" s="65">
        <v>25933</v>
      </c>
      <c r="L19" s="66">
        <v>1970</v>
      </c>
      <c r="M19" s="67">
        <f t="shared" si="0"/>
        <v>49</v>
      </c>
      <c r="N19" s="64" t="s">
        <v>3</v>
      </c>
      <c r="O19" s="64" t="s">
        <v>1169</v>
      </c>
      <c r="P19" s="33" t="s">
        <v>1181</v>
      </c>
      <c r="Q19" s="64"/>
      <c r="R19" s="33" t="s">
        <v>1178</v>
      </c>
    </row>
    <row r="20" spans="2:18" s="63" customFormat="1" ht="25.5">
      <c r="B20" s="137"/>
      <c r="C20" s="137"/>
      <c r="D20" s="64">
        <v>13</v>
      </c>
      <c r="E20" s="33" t="s">
        <v>1530</v>
      </c>
      <c r="F20" s="64" t="s">
        <v>13</v>
      </c>
      <c r="G20" s="64" t="s">
        <v>1531</v>
      </c>
      <c r="H20" s="64" t="s">
        <v>8</v>
      </c>
      <c r="I20" s="64" t="s">
        <v>11</v>
      </c>
      <c r="J20" s="33" t="s">
        <v>1166</v>
      </c>
      <c r="K20" s="65">
        <v>37733</v>
      </c>
      <c r="L20" s="66">
        <v>2003</v>
      </c>
      <c r="M20" s="67">
        <f t="shared" si="0"/>
        <v>16</v>
      </c>
      <c r="N20" s="64" t="s">
        <v>3</v>
      </c>
      <c r="O20" s="64" t="s">
        <v>1169</v>
      </c>
      <c r="P20" s="33" t="s">
        <v>1176</v>
      </c>
      <c r="Q20" s="64"/>
      <c r="R20" s="33" t="s">
        <v>1175</v>
      </c>
    </row>
    <row r="21" spans="2:18" s="63" customFormat="1">
      <c r="B21" s="137">
        <v>5</v>
      </c>
      <c r="C21" s="137"/>
      <c r="D21" s="64">
        <v>14</v>
      </c>
      <c r="E21" s="33" t="s">
        <v>449</v>
      </c>
      <c r="F21" s="64" t="s">
        <v>6</v>
      </c>
      <c r="G21" s="64" t="s">
        <v>450</v>
      </c>
      <c r="H21" s="64" t="s">
        <v>1</v>
      </c>
      <c r="I21" s="64" t="s">
        <v>2</v>
      </c>
      <c r="J21" s="33"/>
      <c r="K21" s="65">
        <v>33867</v>
      </c>
      <c r="L21" s="66">
        <f>YEAR(K21)</f>
        <v>1992</v>
      </c>
      <c r="M21" s="67">
        <f t="shared" si="0"/>
        <v>27</v>
      </c>
      <c r="N21" s="64" t="s">
        <v>3</v>
      </c>
      <c r="O21" s="64"/>
      <c r="P21" s="33" t="s">
        <v>12</v>
      </c>
      <c r="Q21" s="64"/>
      <c r="R21" s="33" t="s">
        <v>5</v>
      </c>
    </row>
    <row r="22" spans="2:18" s="63" customFormat="1" ht="25.5">
      <c r="B22" s="137"/>
      <c r="C22" s="137"/>
      <c r="D22" s="64">
        <v>15</v>
      </c>
      <c r="E22" s="33" t="s">
        <v>451</v>
      </c>
      <c r="F22" s="64" t="s">
        <v>9</v>
      </c>
      <c r="G22" s="64" t="s">
        <v>452</v>
      </c>
      <c r="H22" s="64" t="s">
        <v>8</v>
      </c>
      <c r="I22" s="64" t="s">
        <v>2</v>
      </c>
      <c r="J22" s="33"/>
      <c r="K22" s="65">
        <v>34213</v>
      </c>
      <c r="L22" s="66">
        <f t="shared" ref="L22:L23" si="1">YEAR(K22)</f>
        <v>1993</v>
      </c>
      <c r="M22" s="67">
        <f t="shared" si="0"/>
        <v>26</v>
      </c>
      <c r="N22" s="64" t="s">
        <v>3</v>
      </c>
      <c r="O22" s="64"/>
      <c r="P22" s="33" t="s">
        <v>12</v>
      </c>
      <c r="Q22" s="64"/>
      <c r="R22" s="33" t="s">
        <v>439</v>
      </c>
    </row>
    <row r="23" spans="2:18" s="63" customFormat="1">
      <c r="B23" s="137"/>
      <c r="C23" s="137"/>
      <c r="D23" s="64">
        <v>16</v>
      </c>
      <c r="E23" s="33" t="s">
        <v>453</v>
      </c>
      <c r="F23" s="64" t="s">
        <v>13</v>
      </c>
      <c r="G23" s="64" t="s">
        <v>454</v>
      </c>
      <c r="H23" s="64" t="s">
        <v>8</v>
      </c>
      <c r="I23" s="64" t="s">
        <v>11</v>
      </c>
      <c r="J23" s="33"/>
      <c r="K23" s="65">
        <v>41843</v>
      </c>
      <c r="L23" s="66">
        <f t="shared" si="1"/>
        <v>2014</v>
      </c>
      <c r="M23" s="67">
        <f t="shared" si="0"/>
        <v>5</v>
      </c>
      <c r="N23" s="64" t="s">
        <v>3</v>
      </c>
      <c r="O23" s="64"/>
      <c r="P23" s="33" t="s">
        <v>4</v>
      </c>
      <c r="Q23" s="64"/>
      <c r="R23" s="33" t="s">
        <v>4</v>
      </c>
    </row>
    <row r="24" spans="2:18" s="63" customFormat="1" ht="25.5">
      <c r="B24" s="137">
        <v>6</v>
      </c>
      <c r="C24" s="137" t="s">
        <v>1632</v>
      </c>
      <c r="D24" s="64">
        <v>17</v>
      </c>
      <c r="E24" s="33" t="s">
        <v>222</v>
      </c>
      <c r="F24" s="64" t="s">
        <v>6</v>
      </c>
      <c r="G24" s="64" t="s">
        <v>1365</v>
      </c>
      <c r="H24" s="64" t="s">
        <v>1</v>
      </c>
      <c r="I24" s="64" t="s">
        <v>2</v>
      </c>
      <c r="J24" s="33" t="s">
        <v>1368</v>
      </c>
      <c r="K24" s="65">
        <v>13697</v>
      </c>
      <c r="L24" s="66">
        <v>1937</v>
      </c>
      <c r="M24" s="67">
        <f t="shared" si="0"/>
        <v>82</v>
      </c>
      <c r="N24" s="64" t="s">
        <v>3</v>
      </c>
      <c r="O24" s="64" t="s">
        <v>1169</v>
      </c>
      <c r="P24" s="33" t="s">
        <v>1181</v>
      </c>
      <c r="Q24" s="64"/>
      <c r="R24" s="33" t="s">
        <v>1178</v>
      </c>
    </row>
    <row r="25" spans="2:18" s="63" customFormat="1" ht="25.5">
      <c r="B25" s="137"/>
      <c r="C25" s="137"/>
      <c r="D25" s="64">
        <v>18</v>
      </c>
      <c r="E25" s="33" t="s">
        <v>1131</v>
      </c>
      <c r="F25" s="64" t="s">
        <v>9</v>
      </c>
      <c r="G25" s="64" t="s">
        <v>1366</v>
      </c>
      <c r="H25" s="64" t="s">
        <v>8</v>
      </c>
      <c r="I25" s="64" t="s">
        <v>2</v>
      </c>
      <c r="J25" s="33" t="s">
        <v>1172</v>
      </c>
      <c r="K25" s="65">
        <v>21185</v>
      </c>
      <c r="L25" s="66">
        <v>1957</v>
      </c>
      <c r="M25" s="67">
        <f t="shared" si="0"/>
        <v>62</v>
      </c>
      <c r="N25" s="64" t="s">
        <v>3</v>
      </c>
      <c r="O25" s="64" t="s">
        <v>1169</v>
      </c>
      <c r="P25" s="33" t="s">
        <v>1177</v>
      </c>
      <c r="Q25" s="64"/>
      <c r="R25" s="33" t="s">
        <v>1178</v>
      </c>
    </row>
    <row r="26" spans="2:18" s="63" customFormat="1" ht="25.5">
      <c r="B26" s="137"/>
      <c r="C26" s="137"/>
      <c r="D26" s="64">
        <v>19</v>
      </c>
      <c r="E26" s="33" t="s">
        <v>1364</v>
      </c>
      <c r="F26" s="64" t="s">
        <v>13</v>
      </c>
      <c r="G26" s="64" t="s">
        <v>1367</v>
      </c>
      <c r="H26" s="64" t="s">
        <v>1</v>
      </c>
      <c r="I26" s="64" t="s">
        <v>11</v>
      </c>
      <c r="J26" s="33" t="s">
        <v>1172</v>
      </c>
      <c r="K26" s="65">
        <v>35612</v>
      </c>
      <c r="L26" s="66">
        <v>1997</v>
      </c>
      <c r="M26" s="67">
        <f t="shared" si="0"/>
        <v>22</v>
      </c>
      <c r="N26" s="64" t="s">
        <v>3</v>
      </c>
      <c r="O26" s="64" t="s">
        <v>1169</v>
      </c>
      <c r="P26" s="33" t="s">
        <v>1176</v>
      </c>
      <c r="Q26" s="64"/>
      <c r="R26" s="33" t="s">
        <v>1175</v>
      </c>
    </row>
    <row r="27" spans="2:18" s="63" customFormat="1">
      <c r="B27" s="137">
        <v>7</v>
      </c>
      <c r="C27" s="137" t="s">
        <v>1506</v>
      </c>
      <c r="D27" s="64">
        <v>20</v>
      </c>
      <c r="E27" s="33" t="s">
        <v>730</v>
      </c>
      <c r="F27" s="64" t="s">
        <v>6</v>
      </c>
      <c r="G27" s="64" t="s">
        <v>1509</v>
      </c>
      <c r="H27" s="64" t="s">
        <v>1</v>
      </c>
      <c r="I27" s="64" t="s">
        <v>2</v>
      </c>
      <c r="J27" s="33" t="s">
        <v>1166</v>
      </c>
      <c r="K27" s="65">
        <v>27029</v>
      </c>
      <c r="L27" s="66">
        <v>1973</v>
      </c>
      <c r="M27" s="67">
        <f t="shared" si="0"/>
        <v>46</v>
      </c>
      <c r="N27" s="64" t="s">
        <v>3</v>
      </c>
      <c r="O27" s="64" t="s">
        <v>1169</v>
      </c>
      <c r="P27" s="33" t="s">
        <v>1181</v>
      </c>
      <c r="Q27" s="64"/>
      <c r="R27" s="33" t="s">
        <v>1167</v>
      </c>
    </row>
    <row r="28" spans="2:18" s="63" customFormat="1">
      <c r="B28" s="137"/>
      <c r="C28" s="137"/>
      <c r="D28" s="64">
        <v>21</v>
      </c>
      <c r="E28" s="33" t="s">
        <v>659</v>
      </c>
      <c r="F28" s="64" t="s">
        <v>9</v>
      </c>
      <c r="G28" s="64" t="s">
        <v>1510</v>
      </c>
      <c r="H28" s="64" t="s">
        <v>8</v>
      </c>
      <c r="I28" s="64" t="s">
        <v>2</v>
      </c>
      <c r="J28" s="33" t="s">
        <v>1513</v>
      </c>
      <c r="K28" s="65">
        <v>27759</v>
      </c>
      <c r="L28" s="66">
        <v>1975</v>
      </c>
      <c r="M28" s="67">
        <f t="shared" si="0"/>
        <v>44</v>
      </c>
      <c r="N28" s="64" t="s">
        <v>3</v>
      </c>
      <c r="O28" s="64" t="s">
        <v>1169</v>
      </c>
      <c r="P28" s="33" t="s">
        <v>1181</v>
      </c>
      <c r="Q28" s="64"/>
      <c r="R28" s="33" t="s">
        <v>1167</v>
      </c>
    </row>
    <row r="29" spans="2:18" s="63" customFormat="1" ht="25.5">
      <c r="B29" s="137"/>
      <c r="C29" s="137"/>
      <c r="D29" s="64">
        <v>22</v>
      </c>
      <c r="E29" s="33" t="s">
        <v>1507</v>
      </c>
      <c r="F29" s="64" t="s">
        <v>13</v>
      </c>
      <c r="G29" s="64" t="s">
        <v>1511</v>
      </c>
      <c r="H29" s="64" t="s">
        <v>8</v>
      </c>
      <c r="I29" s="64" t="s">
        <v>11</v>
      </c>
      <c r="J29" s="33" t="s">
        <v>1166</v>
      </c>
      <c r="K29" s="65">
        <v>34157</v>
      </c>
      <c r="L29" s="66">
        <v>1993</v>
      </c>
      <c r="M29" s="67">
        <f t="shared" si="0"/>
        <v>26</v>
      </c>
      <c r="N29" s="64" t="s">
        <v>3</v>
      </c>
      <c r="O29" s="64" t="s">
        <v>1169</v>
      </c>
      <c r="P29" s="33" t="s">
        <v>1199</v>
      </c>
      <c r="Q29" s="64"/>
      <c r="R29" s="33" t="s">
        <v>1192</v>
      </c>
    </row>
    <row r="30" spans="2:18" s="63" customFormat="1" ht="25.5">
      <c r="B30" s="137"/>
      <c r="C30" s="137"/>
      <c r="D30" s="64">
        <v>23</v>
      </c>
      <c r="E30" s="33" t="s">
        <v>1508</v>
      </c>
      <c r="F30" s="64" t="s">
        <v>13</v>
      </c>
      <c r="G30" s="64" t="s">
        <v>1512</v>
      </c>
      <c r="H30" s="64" t="s">
        <v>1</v>
      </c>
      <c r="I30" s="64" t="s">
        <v>11</v>
      </c>
      <c r="J30" s="33" t="s">
        <v>1249</v>
      </c>
      <c r="K30" s="65">
        <v>41091</v>
      </c>
      <c r="L30" s="66">
        <v>2012</v>
      </c>
      <c r="M30" s="67">
        <f t="shared" si="0"/>
        <v>7</v>
      </c>
      <c r="N30" s="64" t="s">
        <v>3</v>
      </c>
      <c r="O30" s="64" t="s">
        <v>1169</v>
      </c>
      <c r="P30" s="33" t="s">
        <v>1177</v>
      </c>
      <c r="Q30" s="64"/>
      <c r="R30" s="33" t="s">
        <v>1192</v>
      </c>
    </row>
    <row r="31" spans="2:18" s="63" customFormat="1">
      <c r="B31" s="137">
        <v>8</v>
      </c>
      <c r="C31" s="137" t="s">
        <v>1618</v>
      </c>
      <c r="D31" s="64">
        <v>24</v>
      </c>
      <c r="E31" s="33" t="s">
        <v>731</v>
      </c>
      <c r="F31" s="64" t="s">
        <v>6</v>
      </c>
      <c r="G31" s="64" t="s">
        <v>732</v>
      </c>
      <c r="H31" s="64" t="s">
        <v>1</v>
      </c>
      <c r="I31" s="64" t="s">
        <v>2</v>
      </c>
      <c r="J31" s="33" t="s">
        <v>1166</v>
      </c>
      <c r="K31" s="65">
        <v>32690</v>
      </c>
      <c r="L31" s="66">
        <v>1989</v>
      </c>
      <c r="M31" s="67">
        <f t="shared" si="0"/>
        <v>30</v>
      </c>
      <c r="N31" s="64" t="s">
        <v>3</v>
      </c>
      <c r="O31" s="64" t="s">
        <v>1169</v>
      </c>
      <c r="P31" s="33" t="s">
        <v>1199</v>
      </c>
      <c r="Q31" s="64"/>
      <c r="R31" s="33" t="s">
        <v>85</v>
      </c>
    </row>
    <row r="32" spans="2:18" s="63" customFormat="1" ht="25.5">
      <c r="B32" s="137"/>
      <c r="C32" s="137"/>
      <c r="D32" s="64">
        <v>25</v>
      </c>
      <c r="E32" s="33" t="s">
        <v>733</v>
      </c>
      <c r="F32" s="64" t="s">
        <v>9</v>
      </c>
      <c r="G32" s="64" t="s">
        <v>734</v>
      </c>
      <c r="H32" s="64" t="s">
        <v>8</v>
      </c>
      <c r="I32" s="64" t="s">
        <v>2</v>
      </c>
      <c r="J32" s="33" t="s">
        <v>1166</v>
      </c>
      <c r="K32" s="65">
        <v>35147</v>
      </c>
      <c r="L32" s="66">
        <v>1996</v>
      </c>
      <c r="M32" s="67">
        <f t="shared" si="0"/>
        <v>23</v>
      </c>
      <c r="N32" s="64" t="s">
        <v>3</v>
      </c>
      <c r="O32" s="64" t="s">
        <v>1169</v>
      </c>
      <c r="P32" s="33" t="s">
        <v>1199</v>
      </c>
      <c r="Q32" s="64"/>
      <c r="R32" s="33" t="s">
        <v>1168</v>
      </c>
    </row>
    <row r="33" spans="2:18" s="63" customFormat="1" ht="25.5">
      <c r="B33" s="137"/>
      <c r="C33" s="137"/>
      <c r="D33" s="64">
        <v>26</v>
      </c>
      <c r="E33" s="33" t="s">
        <v>735</v>
      </c>
      <c r="F33" s="64" t="s">
        <v>13</v>
      </c>
      <c r="G33" s="64" t="s">
        <v>736</v>
      </c>
      <c r="H33" s="64" t="s">
        <v>8</v>
      </c>
      <c r="I33" s="64" t="s">
        <v>11</v>
      </c>
      <c r="J33" s="33" t="s">
        <v>1250</v>
      </c>
      <c r="K33" s="65">
        <v>41782</v>
      </c>
      <c r="L33" s="66">
        <v>2014</v>
      </c>
      <c r="M33" s="67">
        <f t="shared" si="0"/>
        <v>5</v>
      </c>
      <c r="N33" s="64" t="s">
        <v>3</v>
      </c>
      <c r="O33" s="64" t="s">
        <v>1169</v>
      </c>
      <c r="P33" s="33" t="s">
        <v>1177</v>
      </c>
      <c r="Q33" s="64"/>
      <c r="R33" s="33" t="s">
        <v>1192</v>
      </c>
    </row>
    <row r="34" spans="2:18" s="63" customFormat="1" ht="25.5">
      <c r="B34" s="137">
        <v>9</v>
      </c>
      <c r="C34" s="137" t="s">
        <v>1631</v>
      </c>
      <c r="D34" s="64">
        <v>27</v>
      </c>
      <c r="E34" s="33" t="s">
        <v>459</v>
      </c>
      <c r="F34" s="64" t="s">
        <v>6</v>
      </c>
      <c r="G34" s="64" t="s">
        <v>460</v>
      </c>
      <c r="H34" s="64" t="s">
        <v>1</v>
      </c>
      <c r="I34" s="64" t="s">
        <v>2</v>
      </c>
      <c r="J34" s="33" t="s">
        <v>1172</v>
      </c>
      <c r="K34" s="65">
        <v>21002</v>
      </c>
      <c r="L34" s="66">
        <v>1957</v>
      </c>
      <c r="M34" s="67">
        <f t="shared" si="0"/>
        <v>62</v>
      </c>
      <c r="N34" s="64" t="s">
        <v>3</v>
      </c>
      <c r="O34" s="64" t="s">
        <v>1169</v>
      </c>
      <c r="P34" s="33" t="s">
        <v>1181</v>
      </c>
      <c r="Q34" s="64"/>
      <c r="R34" s="33" t="s">
        <v>1178</v>
      </c>
    </row>
    <row r="35" spans="2:18" s="63" customFormat="1" ht="25.5">
      <c r="B35" s="137"/>
      <c r="C35" s="137"/>
      <c r="D35" s="64">
        <v>28</v>
      </c>
      <c r="E35" s="33" t="s">
        <v>461</v>
      </c>
      <c r="F35" s="64" t="s">
        <v>9</v>
      </c>
      <c r="G35" s="64" t="s">
        <v>462</v>
      </c>
      <c r="H35" s="64" t="s">
        <v>8</v>
      </c>
      <c r="I35" s="64" t="s">
        <v>2</v>
      </c>
      <c r="J35" s="33" t="s">
        <v>1172</v>
      </c>
      <c r="K35" s="65">
        <v>21732</v>
      </c>
      <c r="L35" s="66">
        <v>1959</v>
      </c>
      <c r="M35" s="67">
        <f t="shared" si="0"/>
        <v>60</v>
      </c>
      <c r="N35" s="64" t="s">
        <v>3</v>
      </c>
      <c r="O35" s="64" t="s">
        <v>1169</v>
      </c>
      <c r="P35" s="33" t="s">
        <v>1181</v>
      </c>
      <c r="Q35" s="64"/>
      <c r="R35" s="33" t="s">
        <v>1178</v>
      </c>
    </row>
    <row r="36" spans="2:18" s="63" customFormat="1" ht="25.5">
      <c r="B36" s="137">
        <v>10</v>
      </c>
      <c r="C36" s="137" t="s">
        <v>1516</v>
      </c>
      <c r="D36" s="64">
        <v>29</v>
      </c>
      <c r="E36" s="33" t="s">
        <v>1517</v>
      </c>
      <c r="F36" s="64" t="s">
        <v>6</v>
      </c>
      <c r="G36" s="64" t="s">
        <v>1518</v>
      </c>
      <c r="H36" s="64" t="s">
        <v>1</v>
      </c>
      <c r="I36" s="64" t="s">
        <v>1197</v>
      </c>
      <c r="J36" s="33" t="s">
        <v>1166</v>
      </c>
      <c r="K36" s="65">
        <v>19359</v>
      </c>
      <c r="L36" s="66">
        <v>1952</v>
      </c>
      <c r="M36" s="67">
        <f t="shared" si="0"/>
        <v>67</v>
      </c>
      <c r="N36" s="64" t="s">
        <v>3</v>
      </c>
      <c r="O36" s="64" t="s">
        <v>1169</v>
      </c>
      <c r="P36" s="33" t="s">
        <v>1181</v>
      </c>
      <c r="Q36" s="64"/>
      <c r="R36" s="33" t="s">
        <v>1178</v>
      </c>
    </row>
    <row r="37" spans="2:18" s="63" customFormat="1" ht="25.5">
      <c r="B37" s="137"/>
      <c r="C37" s="137"/>
      <c r="D37" s="64">
        <v>30</v>
      </c>
      <c r="E37" s="33" t="s">
        <v>470</v>
      </c>
      <c r="F37" s="64" t="s">
        <v>13</v>
      </c>
      <c r="G37" s="64" t="s">
        <v>1519</v>
      </c>
      <c r="H37" s="64" t="s">
        <v>1</v>
      </c>
      <c r="I37" s="64" t="s">
        <v>150</v>
      </c>
      <c r="J37" s="33" t="s">
        <v>1166</v>
      </c>
      <c r="K37" s="65">
        <v>35064</v>
      </c>
      <c r="L37" s="66">
        <v>1995</v>
      </c>
      <c r="M37" s="67">
        <f t="shared" si="0"/>
        <v>24</v>
      </c>
      <c r="N37" s="64" t="s">
        <v>3</v>
      </c>
      <c r="O37" s="64" t="s">
        <v>1169</v>
      </c>
      <c r="P37" s="33" t="s">
        <v>1181</v>
      </c>
      <c r="Q37" s="64"/>
      <c r="R37" s="33" t="s">
        <v>1192</v>
      </c>
    </row>
    <row r="38" spans="2:18" s="63" customFormat="1" ht="25.5">
      <c r="B38" s="137">
        <v>11</v>
      </c>
      <c r="C38" s="137" t="s">
        <v>1524</v>
      </c>
      <c r="D38" s="64">
        <v>31</v>
      </c>
      <c r="E38" s="33" t="s">
        <v>467</v>
      </c>
      <c r="F38" s="64" t="s">
        <v>6</v>
      </c>
      <c r="G38" s="64" t="s">
        <v>468</v>
      </c>
      <c r="H38" s="64" t="s">
        <v>1</v>
      </c>
      <c r="I38" s="64" t="s">
        <v>2</v>
      </c>
      <c r="J38" s="33" t="s">
        <v>1166</v>
      </c>
      <c r="K38" s="65">
        <v>27030</v>
      </c>
      <c r="L38" s="66">
        <v>1974</v>
      </c>
      <c r="M38" s="67">
        <f t="shared" si="0"/>
        <v>45</v>
      </c>
      <c r="N38" s="64" t="s">
        <v>3</v>
      </c>
      <c r="O38" s="64" t="s">
        <v>1169</v>
      </c>
      <c r="P38" s="33" t="s">
        <v>1177</v>
      </c>
      <c r="Q38" s="64"/>
      <c r="R38" s="33" t="s">
        <v>1167</v>
      </c>
    </row>
    <row r="39" spans="2:18" s="63" customFormat="1" ht="25.5">
      <c r="B39" s="137"/>
      <c r="C39" s="137"/>
      <c r="D39" s="64">
        <v>32</v>
      </c>
      <c r="E39" s="33" t="s">
        <v>1525</v>
      </c>
      <c r="F39" s="64" t="s">
        <v>9</v>
      </c>
      <c r="G39" s="64" t="s">
        <v>469</v>
      </c>
      <c r="H39" s="64" t="s">
        <v>8</v>
      </c>
      <c r="I39" s="64" t="s">
        <v>2</v>
      </c>
      <c r="J39" s="33" t="s">
        <v>1166</v>
      </c>
      <c r="K39" s="65">
        <v>27759</v>
      </c>
      <c r="L39" s="66">
        <v>1975</v>
      </c>
      <c r="M39" s="67">
        <f t="shared" si="0"/>
        <v>44</v>
      </c>
      <c r="N39" s="64" t="s">
        <v>3</v>
      </c>
      <c r="O39" s="64" t="s">
        <v>1169</v>
      </c>
      <c r="P39" s="33" t="s">
        <v>1177</v>
      </c>
      <c r="Q39" s="64"/>
      <c r="R39" s="33" t="s">
        <v>1167</v>
      </c>
    </row>
    <row r="40" spans="2:18" s="63" customFormat="1" ht="25.5">
      <c r="B40" s="137">
        <v>12</v>
      </c>
      <c r="C40" s="137" t="s">
        <v>1467</v>
      </c>
      <c r="D40" s="64">
        <v>33</v>
      </c>
      <c r="E40" s="33" t="s">
        <v>858</v>
      </c>
      <c r="F40" s="64" t="s">
        <v>6</v>
      </c>
      <c r="G40" s="64" t="s">
        <v>859</v>
      </c>
      <c r="H40" s="64" t="s">
        <v>8</v>
      </c>
      <c r="I40" s="64" t="s">
        <v>1221</v>
      </c>
      <c r="J40" s="33" t="s">
        <v>1206</v>
      </c>
      <c r="K40" s="65">
        <v>31331</v>
      </c>
      <c r="L40" s="66">
        <v>1985</v>
      </c>
      <c r="M40" s="67">
        <f t="shared" si="0"/>
        <v>34</v>
      </c>
      <c r="N40" s="64" t="s">
        <v>3</v>
      </c>
      <c r="O40" s="64" t="s">
        <v>1169</v>
      </c>
      <c r="P40" s="33" t="s">
        <v>1181</v>
      </c>
      <c r="Q40" s="64"/>
      <c r="R40" s="33" t="s">
        <v>1178</v>
      </c>
    </row>
    <row r="41" spans="2:18" s="63" customFormat="1" ht="25.5">
      <c r="B41" s="137"/>
      <c r="C41" s="137"/>
      <c r="D41" s="64">
        <v>34</v>
      </c>
      <c r="E41" s="33" t="s">
        <v>860</v>
      </c>
      <c r="F41" s="64" t="s">
        <v>13</v>
      </c>
      <c r="G41" s="64" t="s">
        <v>861</v>
      </c>
      <c r="H41" s="64" t="s">
        <v>8</v>
      </c>
      <c r="I41" s="64" t="s">
        <v>150</v>
      </c>
      <c r="J41" s="33" t="s">
        <v>1206</v>
      </c>
      <c r="K41" s="65">
        <v>39448</v>
      </c>
      <c r="L41" s="66">
        <v>2008</v>
      </c>
      <c r="M41" s="67">
        <f t="shared" si="0"/>
        <v>11</v>
      </c>
      <c r="N41" s="64" t="s">
        <v>3</v>
      </c>
      <c r="O41" s="64" t="s">
        <v>1169</v>
      </c>
      <c r="P41" s="33" t="s">
        <v>1177</v>
      </c>
      <c r="Q41" s="64"/>
      <c r="R41" s="33" t="s">
        <v>1192</v>
      </c>
    </row>
    <row r="42" spans="2:18" s="63" customFormat="1" ht="25.5">
      <c r="B42" s="137"/>
      <c r="C42" s="137"/>
      <c r="D42" s="64">
        <v>35</v>
      </c>
      <c r="E42" s="33" t="s">
        <v>1468</v>
      </c>
      <c r="F42" s="64" t="s">
        <v>13</v>
      </c>
      <c r="G42" s="64" t="s">
        <v>1469</v>
      </c>
      <c r="H42" s="64" t="s">
        <v>8</v>
      </c>
      <c r="I42" s="64" t="s">
        <v>150</v>
      </c>
      <c r="J42" s="33" t="s">
        <v>1166</v>
      </c>
      <c r="K42" s="65">
        <v>42270</v>
      </c>
      <c r="L42" s="66">
        <v>2015</v>
      </c>
      <c r="M42" s="67">
        <f t="shared" si="0"/>
        <v>4</v>
      </c>
      <c r="N42" s="64" t="s">
        <v>3</v>
      </c>
      <c r="O42" s="64" t="s">
        <v>1169</v>
      </c>
      <c r="P42" s="33" t="s">
        <v>1177</v>
      </c>
      <c r="Q42" s="64"/>
      <c r="R42" s="33" t="s">
        <v>1192</v>
      </c>
    </row>
    <row r="43" spans="2:18" s="63" customFormat="1">
      <c r="B43" s="137">
        <v>13</v>
      </c>
      <c r="C43" s="137" t="s">
        <v>1599</v>
      </c>
      <c r="D43" s="64">
        <v>36</v>
      </c>
      <c r="E43" s="33" t="s">
        <v>201</v>
      </c>
      <c r="F43" s="64" t="s">
        <v>6</v>
      </c>
      <c r="G43" s="64" t="s">
        <v>1601</v>
      </c>
      <c r="H43" s="64" t="s">
        <v>1</v>
      </c>
      <c r="I43" s="64" t="s">
        <v>2</v>
      </c>
      <c r="J43" s="33" t="s">
        <v>1166</v>
      </c>
      <c r="K43" s="65">
        <v>20454</v>
      </c>
      <c r="L43" s="66">
        <v>1955</v>
      </c>
      <c r="M43" s="67">
        <f t="shared" si="0"/>
        <v>64</v>
      </c>
      <c r="N43" s="64" t="s">
        <v>3</v>
      </c>
      <c r="O43" s="64" t="s">
        <v>1169</v>
      </c>
      <c r="P43" s="33" t="s">
        <v>1181</v>
      </c>
      <c r="Q43" s="64"/>
      <c r="R43" s="33" t="s">
        <v>5</v>
      </c>
    </row>
    <row r="44" spans="2:18" s="63" customFormat="1">
      <c r="B44" s="137"/>
      <c r="C44" s="137"/>
      <c r="D44" s="64">
        <v>37</v>
      </c>
      <c r="E44" s="33" t="s">
        <v>473</v>
      </c>
      <c r="F44" s="64" t="s">
        <v>9</v>
      </c>
      <c r="G44" s="64" t="s">
        <v>1602</v>
      </c>
      <c r="H44" s="64" t="s">
        <v>8</v>
      </c>
      <c r="I44" s="64" t="s">
        <v>2</v>
      </c>
      <c r="J44" s="33" t="s">
        <v>1605</v>
      </c>
      <c r="K44" s="65">
        <v>21915</v>
      </c>
      <c r="L44" s="66">
        <v>1959</v>
      </c>
      <c r="M44" s="67">
        <f t="shared" si="0"/>
        <v>60</v>
      </c>
      <c r="N44" s="64" t="s">
        <v>3</v>
      </c>
      <c r="O44" s="64" t="s">
        <v>1169</v>
      </c>
      <c r="P44" s="33" t="s">
        <v>1181</v>
      </c>
      <c r="Q44" s="64"/>
      <c r="R44" s="33" t="s">
        <v>5</v>
      </c>
    </row>
    <row r="45" spans="2:18" s="63" customFormat="1" ht="25.5">
      <c r="B45" s="137"/>
      <c r="C45" s="137"/>
      <c r="D45" s="64">
        <v>38</v>
      </c>
      <c r="E45" s="33" t="s">
        <v>1303</v>
      </c>
      <c r="F45" s="64" t="s">
        <v>13</v>
      </c>
      <c r="G45" s="64" t="s">
        <v>1603</v>
      </c>
      <c r="H45" s="64" t="s">
        <v>1</v>
      </c>
      <c r="I45" s="64" t="s">
        <v>11</v>
      </c>
      <c r="J45" s="33" t="s">
        <v>1166</v>
      </c>
      <c r="K45" s="65">
        <v>42375</v>
      </c>
      <c r="L45" s="66">
        <v>2016</v>
      </c>
      <c r="M45" s="67">
        <f t="shared" si="0"/>
        <v>3</v>
      </c>
      <c r="N45" s="64" t="s">
        <v>3</v>
      </c>
      <c r="O45" s="64" t="s">
        <v>1169</v>
      </c>
      <c r="P45" s="33" t="s">
        <v>1177</v>
      </c>
      <c r="Q45" s="64"/>
      <c r="R45" s="33"/>
    </row>
    <row r="46" spans="2:18" s="63" customFormat="1" ht="25.5">
      <c r="B46" s="137"/>
      <c r="C46" s="137"/>
      <c r="D46" s="64">
        <v>39</v>
      </c>
      <c r="E46" s="33" t="s">
        <v>1600</v>
      </c>
      <c r="F46" s="64" t="s">
        <v>13</v>
      </c>
      <c r="G46" s="64" t="s">
        <v>1604</v>
      </c>
      <c r="H46" s="64" t="s">
        <v>8</v>
      </c>
      <c r="I46" s="64" t="s">
        <v>11</v>
      </c>
      <c r="J46" s="33" t="s">
        <v>1166</v>
      </c>
      <c r="K46" s="65">
        <v>42375</v>
      </c>
      <c r="L46" s="66">
        <v>2016</v>
      </c>
      <c r="M46" s="67">
        <f t="shared" si="0"/>
        <v>3</v>
      </c>
      <c r="N46" s="64" t="s">
        <v>3</v>
      </c>
      <c r="O46" s="64" t="s">
        <v>1169</v>
      </c>
      <c r="P46" s="33" t="s">
        <v>1177</v>
      </c>
      <c r="Q46" s="64"/>
      <c r="R46" s="33"/>
    </row>
    <row r="47" spans="2:18" s="63" customFormat="1">
      <c r="B47" s="137">
        <v>14</v>
      </c>
      <c r="C47" s="137"/>
      <c r="D47" s="64">
        <v>40</v>
      </c>
      <c r="E47" s="33" t="s">
        <v>317</v>
      </c>
      <c r="F47" s="64" t="s">
        <v>6</v>
      </c>
      <c r="G47" s="64" t="s">
        <v>475</v>
      </c>
      <c r="H47" s="64" t="s">
        <v>1</v>
      </c>
      <c r="I47" s="64" t="s">
        <v>2</v>
      </c>
      <c r="J47" s="33"/>
      <c r="K47" s="65">
        <v>30681</v>
      </c>
      <c r="L47" s="66">
        <f t="shared" ref="L47:L49" si="2">YEAR(K47)</f>
        <v>1983</v>
      </c>
      <c r="M47" s="67">
        <f t="shared" si="0"/>
        <v>36</v>
      </c>
      <c r="N47" s="64" t="s">
        <v>3</v>
      </c>
      <c r="O47" s="64"/>
      <c r="P47" s="33" t="s">
        <v>116</v>
      </c>
      <c r="Q47" s="64"/>
      <c r="R47" s="33" t="s">
        <v>474</v>
      </c>
    </row>
    <row r="48" spans="2:18" s="63" customFormat="1">
      <c r="B48" s="137"/>
      <c r="C48" s="137"/>
      <c r="D48" s="64">
        <v>41</v>
      </c>
      <c r="E48" s="33" t="s">
        <v>476</v>
      </c>
      <c r="F48" s="64" t="s">
        <v>9</v>
      </c>
      <c r="G48" s="64" t="s">
        <v>477</v>
      </c>
      <c r="H48" s="64" t="s">
        <v>8</v>
      </c>
      <c r="I48" s="64" t="s">
        <v>2</v>
      </c>
      <c r="J48" s="33"/>
      <c r="K48" s="65">
        <v>32309</v>
      </c>
      <c r="L48" s="66">
        <f t="shared" si="2"/>
        <v>1988</v>
      </c>
      <c r="M48" s="67">
        <f t="shared" si="0"/>
        <v>31</v>
      </c>
      <c r="N48" s="64" t="s">
        <v>3</v>
      </c>
      <c r="O48" s="64"/>
      <c r="P48" s="33" t="s">
        <v>12</v>
      </c>
      <c r="Q48" s="64"/>
      <c r="R48" s="33" t="s">
        <v>119</v>
      </c>
    </row>
    <row r="49" spans="2:18" s="63" customFormat="1">
      <c r="B49" s="137"/>
      <c r="C49" s="137"/>
      <c r="D49" s="64">
        <v>42</v>
      </c>
      <c r="E49" s="33" t="s">
        <v>478</v>
      </c>
      <c r="F49" s="64" t="s">
        <v>13</v>
      </c>
      <c r="G49" s="64" t="s">
        <v>479</v>
      </c>
      <c r="H49" s="64" t="s">
        <v>1</v>
      </c>
      <c r="I49" s="64" t="s">
        <v>11</v>
      </c>
      <c r="J49" s="33"/>
      <c r="K49" s="65">
        <v>41167</v>
      </c>
      <c r="L49" s="66">
        <f t="shared" si="2"/>
        <v>2012</v>
      </c>
      <c r="M49" s="67">
        <f t="shared" si="0"/>
        <v>7</v>
      </c>
      <c r="N49" s="64" t="s">
        <v>3</v>
      </c>
      <c r="O49" s="64"/>
      <c r="P49" s="33" t="s">
        <v>4</v>
      </c>
      <c r="Q49" s="64"/>
      <c r="R49" s="33" t="s">
        <v>4</v>
      </c>
    </row>
    <row r="50" spans="2:18" s="63" customFormat="1" ht="25.5">
      <c r="B50" s="137">
        <v>15</v>
      </c>
      <c r="C50" s="137" t="s">
        <v>1193</v>
      </c>
      <c r="D50" s="64">
        <v>43</v>
      </c>
      <c r="E50" s="33" t="s">
        <v>795</v>
      </c>
      <c r="F50" s="64" t="s">
        <v>6</v>
      </c>
      <c r="G50" s="64" t="s">
        <v>1196</v>
      </c>
      <c r="H50" s="64" t="s">
        <v>8</v>
      </c>
      <c r="I50" s="64" t="s">
        <v>1197</v>
      </c>
      <c r="J50" s="33" t="s">
        <v>1172</v>
      </c>
      <c r="K50" s="65">
        <v>19176</v>
      </c>
      <c r="L50" s="66">
        <v>1952</v>
      </c>
      <c r="M50" s="67">
        <f t="shared" si="0"/>
        <v>67</v>
      </c>
      <c r="N50" s="64" t="s">
        <v>3</v>
      </c>
      <c r="O50" s="64" t="s">
        <v>1169</v>
      </c>
      <c r="P50" s="33" t="s">
        <v>1177</v>
      </c>
      <c r="Q50" s="64"/>
      <c r="R50" s="33" t="s">
        <v>1200</v>
      </c>
    </row>
    <row r="51" spans="2:18" s="63" customFormat="1" ht="25.5">
      <c r="B51" s="137"/>
      <c r="C51" s="137"/>
      <c r="D51" s="64">
        <v>44</v>
      </c>
      <c r="E51" s="33" t="s">
        <v>480</v>
      </c>
      <c r="F51" s="64" t="s">
        <v>13</v>
      </c>
      <c r="G51" s="64" t="s">
        <v>481</v>
      </c>
      <c r="H51" s="64" t="s">
        <v>8</v>
      </c>
      <c r="I51" s="64" t="s">
        <v>1197</v>
      </c>
      <c r="J51" s="33" t="s">
        <v>1166</v>
      </c>
      <c r="K51" s="65">
        <v>23376</v>
      </c>
      <c r="L51" s="66">
        <v>1963</v>
      </c>
      <c r="M51" s="67">
        <f t="shared" si="0"/>
        <v>56</v>
      </c>
      <c r="N51" s="64" t="s">
        <v>3</v>
      </c>
      <c r="O51" s="64"/>
      <c r="P51" s="33" t="s">
        <v>1177</v>
      </c>
      <c r="Q51" s="64"/>
      <c r="R51" s="33" t="s">
        <v>1178</v>
      </c>
    </row>
    <row r="52" spans="2:18" s="63" customFormat="1">
      <c r="B52" s="137"/>
      <c r="C52" s="137"/>
      <c r="D52" s="64">
        <v>45</v>
      </c>
      <c r="E52" s="33" t="s">
        <v>1194</v>
      </c>
      <c r="F52" s="64" t="s">
        <v>1195</v>
      </c>
      <c r="G52" s="64" t="s">
        <v>484</v>
      </c>
      <c r="H52" s="64" t="s">
        <v>1</v>
      </c>
      <c r="I52" s="64" t="s">
        <v>11</v>
      </c>
      <c r="J52" s="33" t="s">
        <v>1198</v>
      </c>
      <c r="K52" s="65">
        <v>37054</v>
      </c>
      <c r="L52" s="66">
        <v>2001</v>
      </c>
      <c r="M52" s="67">
        <f t="shared" si="0"/>
        <v>18</v>
      </c>
      <c r="N52" s="64" t="s">
        <v>3</v>
      </c>
      <c r="O52" s="64"/>
      <c r="P52" s="33" t="s">
        <v>1199</v>
      </c>
      <c r="Q52" s="64"/>
      <c r="R52" s="33" t="s">
        <v>1175</v>
      </c>
    </row>
    <row r="53" spans="2:18" s="63" customFormat="1">
      <c r="B53" s="137">
        <v>16</v>
      </c>
      <c r="C53" s="137" t="s">
        <v>1704</v>
      </c>
      <c r="D53" s="64">
        <v>46</v>
      </c>
      <c r="E53" s="33" t="s">
        <v>485</v>
      </c>
      <c r="F53" s="64" t="s">
        <v>6</v>
      </c>
      <c r="G53" s="64" t="s">
        <v>486</v>
      </c>
      <c r="H53" s="64" t="s">
        <v>1</v>
      </c>
      <c r="I53" s="64" t="s">
        <v>2</v>
      </c>
      <c r="J53" s="33" t="s">
        <v>1166</v>
      </c>
      <c r="K53" s="65">
        <v>30020</v>
      </c>
      <c r="L53" s="66">
        <v>1982</v>
      </c>
      <c r="M53" s="67">
        <f t="shared" si="0"/>
        <v>37</v>
      </c>
      <c r="N53" s="64" t="s">
        <v>3</v>
      </c>
      <c r="O53" s="64" t="s">
        <v>1169</v>
      </c>
      <c r="P53" s="33" t="s">
        <v>1181</v>
      </c>
      <c r="Q53" s="64"/>
      <c r="R53" s="33" t="s">
        <v>1167</v>
      </c>
    </row>
    <row r="54" spans="2:18" s="63" customFormat="1" ht="25.5">
      <c r="B54" s="137"/>
      <c r="C54" s="137"/>
      <c r="D54" s="64">
        <v>47</v>
      </c>
      <c r="E54" s="33" t="s">
        <v>487</v>
      </c>
      <c r="F54" s="64" t="s">
        <v>9</v>
      </c>
      <c r="G54" s="64" t="s">
        <v>1705</v>
      </c>
      <c r="H54" s="64" t="s">
        <v>8</v>
      </c>
      <c r="I54" s="64" t="s">
        <v>2</v>
      </c>
      <c r="J54" s="33" t="s">
        <v>1166</v>
      </c>
      <c r="K54" s="65">
        <v>31310</v>
      </c>
      <c r="L54" s="66">
        <v>1985</v>
      </c>
      <c r="M54" s="67">
        <f t="shared" si="0"/>
        <v>34</v>
      </c>
      <c r="N54" s="64" t="s">
        <v>3</v>
      </c>
      <c r="O54" s="64" t="s">
        <v>1169</v>
      </c>
      <c r="P54" s="33" t="s">
        <v>1199</v>
      </c>
      <c r="Q54" s="64"/>
      <c r="R54" s="33" t="s">
        <v>1192</v>
      </c>
    </row>
    <row r="55" spans="2:18" s="63" customFormat="1" ht="25.5">
      <c r="B55" s="137"/>
      <c r="C55" s="137"/>
      <c r="D55" s="64">
        <v>48</v>
      </c>
      <c r="E55" s="33" t="s">
        <v>1706</v>
      </c>
      <c r="F55" s="64" t="s">
        <v>13</v>
      </c>
      <c r="G55" s="64" t="s">
        <v>488</v>
      </c>
      <c r="H55" s="64" t="s">
        <v>1</v>
      </c>
      <c r="I55" s="64" t="s">
        <v>11</v>
      </c>
      <c r="J55" s="33" t="s">
        <v>1166</v>
      </c>
      <c r="K55" s="65">
        <v>39885</v>
      </c>
      <c r="L55" s="66">
        <v>2009</v>
      </c>
      <c r="M55" s="67">
        <f t="shared" si="0"/>
        <v>10</v>
      </c>
      <c r="N55" s="64" t="s">
        <v>3</v>
      </c>
      <c r="O55" s="64" t="s">
        <v>1169</v>
      </c>
      <c r="P55" s="33" t="s">
        <v>1177</v>
      </c>
      <c r="Q55" s="64"/>
      <c r="R55" s="33" t="s">
        <v>1192</v>
      </c>
    </row>
    <row r="56" spans="2:18" s="63" customFormat="1" ht="25.5">
      <c r="B56" s="64">
        <v>17</v>
      </c>
      <c r="C56" s="64" t="s">
        <v>1477</v>
      </c>
      <c r="D56" s="64">
        <v>49</v>
      </c>
      <c r="E56" s="33" t="s">
        <v>489</v>
      </c>
      <c r="F56" s="64" t="s">
        <v>6</v>
      </c>
      <c r="G56" s="64" t="s">
        <v>1478</v>
      </c>
      <c r="H56" s="64" t="s">
        <v>8</v>
      </c>
      <c r="I56" s="64" t="s">
        <v>1197</v>
      </c>
      <c r="J56" s="33" t="s">
        <v>1166</v>
      </c>
      <c r="K56" s="65">
        <v>24837</v>
      </c>
      <c r="L56" s="66">
        <v>1967</v>
      </c>
      <c r="M56" s="67">
        <f t="shared" si="0"/>
        <v>52</v>
      </c>
      <c r="N56" s="64" t="s">
        <v>3</v>
      </c>
      <c r="O56" s="64" t="s">
        <v>1169</v>
      </c>
      <c r="P56" s="33" t="s">
        <v>1177</v>
      </c>
      <c r="Q56" s="64"/>
      <c r="R56" s="33" t="s">
        <v>1178</v>
      </c>
    </row>
    <row r="57" spans="2:18" s="63" customFormat="1">
      <c r="B57" s="137">
        <v>18</v>
      </c>
      <c r="C57" s="137"/>
      <c r="D57" s="64">
        <v>50</v>
      </c>
      <c r="E57" s="33" t="s">
        <v>213</v>
      </c>
      <c r="F57" s="64" t="s">
        <v>6</v>
      </c>
      <c r="G57" s="64" t="s">
        <v>490</v>
      </c>
      <c r="H57" s="64" t="s">
        <v>1</v>
      </c>
      <c r="I57" s="64" t="s">
        <v>2</v>
      </c>
      <c r="J57" s="33"/>
      <c r="K57" s="65">
        <v>23742</v>
      </c>
      <c r="L57" s="66">
        <f t="shared" ref="L57:L58" si="3">YEAR(K57)</f>
        <v>1964</v>
      </c>
      <c r="M57" s="67">
        <f t="shared" si="0"/>
        <v>55</v>
      </c>
      <c r="N57" s="64" t="s">
        <v>3</v>
      </c>
      <c r="O57" s="64"/>
      <c r="P57" s="33" t="s">
        <v>4</v>
      </c>
      <c r="Q57" s="64"/>
      <c r="R57" s="33" t="s">
        <v>5</v>
      </c>
    </row>
    <row r="58" spans="2:18" s="63" customFormat="1">
      <c r="B58" s="137"/>
      <c r="C58" s="137"/>
      <c r="D58" s="64">
        <v>51</v>
      </c>
      <c r="E58" s="33" t="s">
        <v>491</v>
      </c>
      <c r="F58" s="64" t="s">
        <v>9</v>
      </c>
      <c r="G58" s="64" t="s">
        <v>492</v>
      </c>
      <c r="H58" s="64" t="s">
        <v>8</v>
      </c>
      <c r="I58" s="64" t="s">
        <v>2</v>
      </c>
      <c r="J58" s="33"/>
      <c r="K58" s="65">
        <v>25578</v>
      </c>
      <c r="L58" s="66">
        <f t="shared" si="3"/>
        <v>1970</v>
      </c>
      <c r="M58" s="67">
        <f t="shared" si="0"/>
        <v>49</v>
      </c>
      <c r="N58" s="64" t="s">
        <v>3</v>
      </c>
      <c r="O58" s="64"/>
      <c r="P58" s="33" t="s">
        <v>4</v>
      </c>
      <c r="Q58" s="64"/>
      <c r="R58" s="33" t="s">
        <v>5</v>
      </c>
    </row>
    <row r="59" spans="2:18" s="63" customFormat="1" ht="25.5">
      <c r="B59" s="137">
        <v>19</v>
      </c>
      <c r="C59" s="137" t="s">
        <v>1361</v>
      </c>
      <c r="D59" s="64">
        <v>52</v>
      </c>
      <c r="E59" s="33" t="s">
        <v>493</v>
      </c>
      <c r="F59" s="64" t="s">
        <v>6</v>
      </c>
      <c r="G59" s="64" t="s">
        <v>494</v>
      </c>
      <c r="H59" s="64" t="s">
        <v>1</v>
      </c>
      <c r="I59" s="64" t="s">
        <v>2</v>
      </c>
      <c r="J59" s="33" t="s">
        <v>1166</v>
      </c>
      <c r="K59" s="65">
        <v>15706</v>
      </c>
      <c r="L59" s="66">
        <v>1942</v>
      </c>
      <c r="M59" s="67">
        <f t="shared" si="0"/>
        <v>77</v>
      </c>
      <c r="N59" s="64" t="s">
        <v>3</v>
      </c>
      <c r="O59" s="64" t="s">
        <v>1169</v>
      </c>
      <c r="P59" s="33" t="s">
        <v>1181</v>
      </c>
      <c r="Q59" s="64"/>
      <c r="R59" s="33" t="s">
        <v>1178</v>
      </c>
    </row>
    <row r="60" spans="2:18" s="63" customFormat="1" ht="25.5">
      <c r="B60" s="137"/>
      <c r="C60" s="137"/>
      <c r="D60" s="64">
        <v>53</v>
      </c>
      <c r="E60" s="33" t="s">
        <v>495</v>
      </c>
      <c r="F60" s="64" t="s">
        <v>9</v>
      </c>
      <c r="G60" s="64" t="s">
        <v>1362</v>
      </c>
      <c r="H60" s="64" t="s">
        <v>8</v>
      </c>
      <c r="I60" s="64" t="s">
        <v>2</v>
      </c>
      <c r="J60" s="33" t="s">
        <v>1166</v>
      </c>
      <c r="K60" s="65">
        <v>28490</v>
      </c>
      <c r="L60" s="66">
        <v>1977</v>
      </c>
      <c r="M60" s="67">
        <f t="shared" si="0"/>
        <v>42</v>
      </c>
      <c r="N60" s="64" t="s">
        <v>3</v>
      </c>
      <c r="O60" s="64" t="s">
        <v>1169</v>
      </c>
      <c r="P60" s="33" t="s">
        <v>1181</v>
      </c>
      <c r="Q60" s="64"/>
      <c r="R60" s="33" t="s">
        <v>1178</v>
      </c>
    </row>
    <row r="61" spans="2:18" s="63" customFormat="1" ht="25.5">
      <c r="B61" s="137"/>
      <c r="C61" s="137"/>
      <c r="D61" s="64">
        <v>54</v>
      </c>
      <c r="E61" s="33" t="s">
        <v>496</v>
      </c>
      <c r="F61" s="64" t="s">
        <v>13</v>
      </c>
      <c r="G61" s="64" t="s">
        <v>497</v>
      </c>
      <c r="H61" s="64" t="s">
        <v>8</v>
      </c>
      <c r="I61" s="64" t="s">
        <v>11</v>
      </c>
      <c r="J61" s="33" t="s">
        <v>1166</v>
      </c>
      <c r="K61" s="65">
        <v>31412</v>
      </c>
      <c r="L61" s="66">
        <v>1985</v>
      </c>
      <c r="M61" s="67">
        <f t="shared" si="0"/>
        <v>34</v>
      </c>
      <c r="N61" s="64" t="s">
        <v>3</v>
      </c>
      <c r="O61" s="64" t="s">
        <v>1169</v>
      </c>
      <c r="P61" s="33" t="s">
        <v>1181</v>
      </c>
      <c r="Q61" s="64"/>
      <c r="R61" s="33" t="s">
        <v>1178</v>
      </c>
    </row>
    <row r="62" spans="2:18" s="63" customFormat="1" ht="25.5">
      <c r="B62" s="137"/>
      <c r="C62" s="137"/>
      <c r="D62" s="64">
        <v>55</v>
      </c>
      <c r="E62" s="33" t="s">
        <v>500</v>
      </c>
      <c r="F62" s="64" t="s">
        <v>13</v>
      </c>
      <c r="G62" s="64" t="s">
        <v>1363</v>
      </c>
      <c r="H62" s="64" t="s">
        <v>8</v>
      </c>
      <c r="I62" s="64" t="s">
        <v>11</v>
      </c>
      <c r="J62" s="33" t="s">
        <v>1166</v>
      </c>
      <c r="K62" s="65">
        <v>37150</v>
      </c>
      <c r="L62" s="66">
        <v>2001</v>
      </c>
      <c r="M62" s="67">
        <f t="shared" si="0"/>
        <v>18</v>
      </c>
      <c r="N62" s="64" t="s">
        <v>3</v>
      </c>
      <c r="O62" s="64" t="s">
        <v>1169</v>
      </c>
      <c r="P62" s="33" t="s">
        <v>1176</v>
      </c>
      <c r="Q62" s="64"/>
      <c r="R62" s="33" t="s">
        <v>1175</v>
      </c>
    </row>
    <row r="63" spans="2:18" s="63" customFormat="1" ht="25.5">
      <c r="B63" s="137">
        <v>20</v>
      </c>
      <c r="C63" s="137" t="s">
        <v>1187</v>
      </c>
      <c r="D63" s="64">
        <v>56</v>
      </c>
      <c r="E63" s="33" t="s">
        <v>518</v>
      </c>
      <c r="F63" s="64" t="s">
        <v>6</v>
      </c>
      <c r="G63" s="64" t="s">
        <v>1188</v>
      </c>
      <c r="H63" s="64" t="s">
        <v>1</v>
      </c>
      <c r="I63" s="64" t="s">
        <v>2</v>
      </c>
      <c r="J63" s="33" t="s">
        <v>1172</v>
      </c>
      <c r="K63" s="65">
        <v>27942</v>
      </c>
      <c r="L63" s="66">
        <v>1976</v>
      </c>
      <c r="M63" s="67">
        <f t="shared" si="0"/>
        <v>43</v>
      </c>
      <c r="N63" s="64" t="s">
        <v>3</v>
      </c>
      <c r="O63" s="64" t="s">
        <v>1169</v>
      </c>
      <c r="P63" s="33" t="s">
        <v>1177</v>
      </c>
      <c r="Q63" s="64"/>
      <c r="R63" s="33" t="s">
        <v>1178</v>
      </c>
    </row>
    <row r="64" spans="2:18" s="63" customFormat="1" ht="25.5">
      <c r="B64" s="137"/>
      <c r="C64" s="137"/>
      <c r="D64" s="64">
        <v>57</v>
      </c>
      <c r="E64" s="33" t="s">
        <v>260</v>
      </c>
      <c r="F64" s="64" t="s">
        <v>9</v>
      </c>
      <c r="G64" s="64" t="s">
        <v>1189</v>
      </c>
      <c r="H64" s="64" t="s">
        <v>8</v>
      </c>
      <c r="I64" s="64" t="s">
        <v>2</v>
      </c>
      <c r="J64" s="33" t="s">
        <v>1172</v>
      </c>
      <c r="K64" s="65">
        <v>26581</v>
      </c>
      <c r="L64" s="66">
        <v>1972</v>
      </c>
      <c r="M64" s="67">
        <f t="shared" si="0"/>
        <v>47</v>
      </c>
      <c r="N64" s="64" t="s">
        <v>3</v>
      </c>
      <c r="O64" s="64" t="s">
        <v>1169</v>
      </c>
      <c r="P64" s="33" t="s">
        <v>1177</v>
      </c>
      <c r="Q64" s="64"/>
      <c r="R64" s="33" t="s">
        <v>1178</v>
      </c>
    </row>
    <row r="65" spans="2:18" s="63" customFormat="1" ht="25.5">
      <c r="B65" s="137"/>
      <c r="C65" s="137"/>
      <c r="D65" s="64">
        <v>58</v>
      </c>
      <c r="E65" s="33" t="s">
        <v>502</v>
      </c>
      <c r="F65" s="64" t="s">
        <v>13</v>
      </c>
      <c r="G65" s="64" t="s">
        <v>1191</v>
      </c>
      <c r="H65" s="64" t="s">
        <v>1</v>
      </c>
      <c r="I65" s="64" t="s">
        <v>11</v>
      </c>
      <c r="J65" s="33" t="s">
        <v>1166</v>
      </c>
      <c r="K65" s="65">
        <v>40492</v>
      </c>
      <c r="L65" s="66">
        <v>2010</v>
      </c>
      <c r="M65" s="67">
        <f t="shared" si="0"/>
        <v>9</v>
      </c>
      <c r="N65" s="64" t="s">
        <v>3</v>
      </c>
      <c r="O65" s="64" t="s">
        <v>1169</v>
      </c>
      <c r="P65" s="33" t="s">
        <v>1177</v>
      </c>
      <c r="Q65" s="64"/>
      <c r="R65" s="33" t="s">
        <v>1192</v>
      </c>
    </row>
    <row r="66" spans="2:18" s="63" customFormat="1" ht="25.5">
      <c r="B66" s="64">
        <v>21</v>
      </c>
      <c r="C66" s="64" t="s">
        <v>1623</v>
      </c>
      <c r="D66" s="64">
        <v>59</v>
      </c>
      <c r="E66" s="33" t="s">
        <v>503</v>
      </c>
      <c r="F66" s="64" t="s">
        <v>6</v>
      </c>
      <c r="G66" s="64" t="s">
        <v>504</v>
      </c>
      <c r="H66" s="64" t="s">
        <v>8</v>
      </c>
      <c r="I66" s="64" t="s">
        <v>1221</v>
      </c>
      <c r="J66" s="33" t="s">
        <v>1172</v>
      </c>
      <c r="K66" s="65">
        <v>19176</v>
      </c>
      <c r="L66" s="66">
        <v>1952</v>
      </c>
      <c r="M66" s="67">
        <f t="shared" si="0"/>
        <v>67</v>
      </c>
      <c r="N66" s="64" t="s">
        <v>3</v>
      </c>
      <c r="O66" s="64" t="s">
        <v>1169</v>
      </c>
      <c r="P66" s="33" t="s">
        <v>1177</v>
      </c>
      <c r="Q66" s="64"/>
      <c r="R66" s="33" t="s">
        <v>1192</v>
      </c>
    </row>
    <row r="67" spans="2:18" s="63" customFormat="1">
      <c r="B67" s="137">
        <v>22</v>
      </c>
      <c r="C67" s="137" t="s">
        <v>1617</v>
      </c>
      <c r="D67" s="64">
        <v>60</v>
      </c>
      <c r="E67" s="33" t="s">
        <v>1584</v>
      </c>
      <c r="F67" s="64" t="s">
        <v>6</v>
      </c>
      <c r="G67" s="64" t="s">
        <v>505</v>
      </c>
      <c r="H67" s="64" t="s">
        <v>1</v>
      </c>
      <c r="I67" s="64" t="s">
        <v>2</v>
      </c>
      <c r="J67" s="33" t="s">
        <v>1166</v>
      </c>
      <c r="K67" s="65">
        <v>18628</v>
      </c>
      <c r="L67" s="66">
        <v>1950</v>
      </c>
      <c r="M67" s="67">
        <f t="shared" si="0"/>
        <v>69</v>
      </c>
      <c r="N67" s="64" t="s">
        <v>3</v>
      </c>
      <c r="O67" s="64" t="s">
        <v>1169</v>
      </c>
      <c r="P67" s="33" t="s">
        <v>1181</v>
      </c>
      <c r="Q67" s="64"/>
      <c r="R67" s="33" t="s">
        <v>1585</v>
      </c>
    </row>
    <row r="68" spans="2:18" s="63" customFormat="1">
      <c r="B68" s="137"/>
      <c r="C68" s="137"/>
      <c r="D68" s="64">
        <v>61</v>
      </c>
      <c r="E68" s="33" t="s">
        <v>506</v>
      </c>
      <c r="F68" s="64" t="s">
        <v>9</v>
      </c>
      <c r="G68" s="64" t="s">
        <v>507</v>
      </c>
      <c r="H68" s="64" t="s">
        <v>8</v>
      </c>
      <c r="I68" s="64" t="s">
        <v>2</v>
      </c>
      <c r="J68" s="33" t="s">
        <v>1166</v>
      </c>
      <c r="K68" s="65">
        <v>24370</v>
      </c>
      <c r="L68" s="66">
        <v>1966</v>
      </c>
      <c r="M68" s="67">
        <f t="shared" si="0"/>
        <v>53</v>
      </c>
      <c r="N68" s="64" t="s">
        <v>3</v>
      </c>
      <c r="O68" s="64" t="s">
        <v>1169</v>
      </c>
      <c r="P68" s="33" t="s">
        <v>1181</v>
      </c>
      <c r="Q68" s="64"/>
      <c r="R68" s="33" t="s">
        <v>1167</v>
      </c>
    </row>
    <row r="69" spans="2:18" s="63" customFormat="1" ht="25.5">
      <c r="B69" s="64">
        <v>23</v>
      </c>
      <c r="C69" s="64" t="s">
        <v>1563</v>
      </c>
      <c r="D69" s="64">
        <v>62</v>
      </c>
      <c r="E69" s="33" t="s">
        <v>508</v>
      </c>
      <c r="F69" s="64" t="s">
        <v>6</v>
      </c>
      <c r="G69" s="64" t="s">
        <v>1564</v>
      </c>
      <c r="H69" s="64" t="s">
        <v>8</v>
      </c>
      <c r="I69" s="64" t="s">
        <v>1221</v>
      </c>
      <c r="J69" s="33" t="s">
        <v>1166</v>
      </c>
      <c r="K69" s="65">
        <v>23011</v>
      </c>
      <c r="L69" s="66">
        <v>1962</v>
      </c>
      <c r="M69" s="67">
        <f t="shared" si="0"/>
        <v>57</v>
      </c>
      <c r="N69" s="64" t="s">
        <v>3</v>
      </c>
      <c r="O69" s="64" t="s">
        <v>1169</v>
      </c>
      <c r="P69" s="33" t="s">
        <v>1177</v>
      </c>
      <c r="Q69" s="64"/>
      <c r="R69" s="33" t="s">
        <v>1168</v>
      </c>
    </row>
    <row r="70" spans="2:18" s="63" customFormat="1" ht="25.5">
      <c r="B70" s="137">
        <v>24</v>
      </c>
      <c r="C70" s="137" t="s">
        <v>1780</v>
      </c>
      <c r="D70" s="64">
        <v>63</v>
      </c>
      <c r="E70" s="33" t="s">
        <v>1773</v>
      </c>
      <c r="F70" s="64" t="s">
        <v>6</v>
      </c>
      <c r="G70" s="64" t="s">
        <v>1776</v>
      </c>
      <c r="H70" s="64" t="s">
        <v>1</v>
      </c>
      <c r="I70" s="64" t="s">
        <v>2</v>
      </c>
      <c r="J70" s="33" t="s">
        <v>1166</v>
      </c>
      <c r="K70" s="65">
        <v>30132</v>
      </c>
      <c r="L70" s="66">
        <v>1982</v>
      </c>
      <c r="M70" s="67">
        <f t="shared" si="0"/>
        <v>37</v>
      </c>
      <c r="N70" s="64" t="s">
        <v>3</v>
      </c>
      <c r="O70" s="64" t="s">
        <v>1169</v>
      </c>
      <c r="P70" s="33" t="s">
        <v>1177</v>
      </c>
      <c r="Q70" s="64"/>
      <c r="R70" s="33" t="s">
        <v>1178</v>
      </c>
    </row>
    <row r="71" spans="2:18" s="63" customFormat="1" ht="25.5">
      <c r="B71" s="137"/>
      <c r="C71" s="137"/>
      <c r="D71" s="64">
        <v>64</v>
      </c>
      <c r="E71" s="33" t="s">
        <v>1774</v>
      </c>
      <c r="F71" s="64" t="s">
        <v>9</v>
      </c>
      <c r="G71" s="64" t="s">
        <v>1777</v>
      </c>
      <c r="H71" s="64" t="s">
        <v>8</v>
      </c>
      <c r="I71" s="64" t="s">
        <v>2</v>
      </c>
      <c r="J71" s="33" t="s">
        <v>1166</v>
      </c>
      <c r="K71" s="65">
        <v>32873</v>
      </c>
      <c r="L71" s="66">
        <v>1989</v>
      </c>
      <c r="M71" s="67">
        <f t="shared" si="0"/>
        <v>30</v>
      </c>
      <c r="N71" s="64" t="s">
        <v>3</v>
      </c>
      <c r="O71" s="64" t="s">
        <v>1169</v>
      </c>
      <c r="P71" s="33" t="s">
        <v>1177</v>
      </c>
      <c r="Q71" s="64"/>
      <c r="R71" s="33" t="s">
        <v>1168</v>
      </c>
    </row>
    <row r="72" spans="2:18" s="63" customFormat="1" ht="25.5">
      <c r="B72" s="137"/>
      <c r="C72" s="137"/>
      <c r="D72" s="64">
        <v>65</v>
      </c>
      <c r="E72" s="33" t="s">
        <v>511</v>
      </c>
      <c r="F72" s="64" t="s">
        <v>13</v>
      </c>
      <c r="G72" s="64" t="s">
        <v>1778</v>
      </c>
      <c r="H72" s="64" t="s">
        <v>8</v>
      </c>
      <c r="I72" s="64" t="s">
        <v>11</v>
      </c>
      <c r="J72" s="33" t="s">
        <v>1166</v>
      </c>
      <c r="K72" s="65">
        <v>38727</v>
      </c>
      <c r="L72" s="66">
        <v>2006</v>
      </c>
      <c r="M72" s="67">
        <f t="shared" ref="M72:M135" si="4">2019-L72</f>
        <v>13</v>
      </c>
      <c r="N72" s="64" t="s">
        <v>3</v>
      </c>
      <c r="O72" s="64" t="s">
        <v>1169</v>
      </c>
      <c r="P72" s="33" t="s">
        <v>1176</v>
      </c>
      <c r="Q72" s="64"/>
      <c r="R72" s="33" t="s">
        <v>1175</v>
      </c>
    </row>
    <row r="73" spans="2:18" s="63" customFormat="1" ht="25.5">
      <c r="B73" s="137"/>
      <c r="C73" s="137"/>
      <c r="D73" s="64">
        <v>66</v>
      </c>
      <c r="E73" s="33" t="s">
        <v>1775</v>
      </c>
      <c r="F73" s="64" t="s">
        <v>13</v>
      </c>
      <c r="G73" s="64" t="s">
        <v>1779</v>
      </c>
      <c r="H73" s="64" t="s">
        <v>1</v>
      </c>
      <c r="I73" s="64" t="s">
        <v>11</v>
      </c>
      <c r="J73" s="33" t="s">
        <v>1166</v>
      </c>
      <c r="K73" s="65">
        <v>42380</v>
      </c>
      <c r="L73" s="66">
        <v>2016</v>
      </c>
      <c r="M73" s="67">
        <f t="shared" si="4"/>
        <v>3</v>
      </c>
      <c r="N73" s="64" t="s">
        <v>3</v>
      </c>
      <c r="O73" s="64" t="s">
        <v>1169</v>
      </c>
      <c r="P73" s="33" t="s">
        <v>1177</v>
      </c>
      <c r="Q73" s="64"/>
      <c r="R73" s="33" t="s">
        <v>1192</v>
      </c>
    </row>
    <row r="74" spans="2:18" s="63" customFormat="1" ht="25.5">
      <c r="B74" s="64">
        <v>25</v>
      </c>
      <c r="C74" s="64" t="s">
        <v>1567</v>
      </c>
      <c r="D74" s="64">
        <v>67</v>
      </c>
      <c r="E74" s="33" t="s">
        <v>512</v>
      </c>
      <c r="F74" s="64" t="s">
        <v>6</v>
      </c>
      <c r="G74" s="64" t="s">
        <v>513</v>
      </c>
      <c r="H74" s="64" t="s">
        <v>8</v>
      </c>
      <c r="I74" s="64" t="s">
        <v>1221</v>
      </c>
      <c r="J74" s="33" t="s">
        <v>1172</v>
      </c>
      <c r="K74" s="65">
        <v>13697</v>
      </c>
      <c r="L74" s="66">
        <v>1937</v>
      </c>
      <c r="M74" s="67">
        <f t="shared" si="4"/>
        <v>82</v>
      </c>
      <c r="N74" s="64" t="s">
        <v>3</v>
      </c>
      <c r="O74" s="64" t="s">
        <v>1169</v>
      </c>
      <c r="P74" s="33" t="s">
        <v>1177</v>
      </c>
      <c r="Q74" s="64"/>
      <c r="R74" s="33" t="s">
        <v>1192</v>
      </c>
    </row>
    <row r="75" spans="2:18" s="63" customFormat="1">
      <c r="B75" s="137">
        <v>26</v>
      </c>
      <c r="C75" s="137" t="s">
        <v>1723</v>
      </c>
      <c r="D75" s="64">
        <v>68</v>
      </c>
      <c r="E75" s="33" t="s">
        <v>514</v>
      </c>
      <c r="F75" s="64" t="s">
        <v>6</v>
      </c>
      <c r="G75" s="64" t="s">
        <v>1355</v>
      </c>
      <c r="H75" s="64" t="s">
        <v>1</v>
      </c>
      <c r="I75" s="64" t="s">
        <v>2</v>
      </c>
      <c r="J75" s="33" t="s">
        <v>1166</v>
      </c>
      <c r="K75" s="65">
        <v>31487</v>
      </c>
      <c r="L75" s="66">
        <v>1986</v>
      </c>
      <c r="M75" s="67">
        <f t="shared" si="4"/>
        <v>33</v>
      </c>
      <c r="N75" s="64" t="s">
        <v>3</v>
      </c>
      <c r="O75" s="64"/>
      <c r="P75" s="33" t="s">
        <v>1199</v>
      </c>
      <c r="Q75" s="64"/>
      <c r="R75" s="33" t="s">
        <v>474</v>
      </c>
    </row>
    <row r="76" spans="2:18" s="63" customFormat="1" ht="25.5">
      <c r="B76" s="137"/>
      <c r="C76" s="137"/>
      <c r="D76" s="64">
        <v>69</v>
      </c>
      <c r="E76" s="33" t="s">
        <v>515</v>
      </c>
      <c r="F76" s="64" t="s">
        <v>9</v>
      </c>
      <c r="G76" s="64" t="s">
        <v>1356</v>
      </c>
      <c r="H76" s="64" t="s">
        <v>8</v>
      </c>
      <c r="I76" s="64" t="s">
        <v>2</v>
      </c>
      <c r="J76" s="33" t="s">
        <v>1278</v>
      </c>
      <c r="K76" s="65">
        <v>32238</v>
      </c>
      <c r="L76" s="66">
        <v>1988</v>
      </c>
      <c r="M76" s="67">
        <f t="shared" si="4"/>
        <v>31</v>
      </c>
      <c r="N76" s="64" t="s">
        <v>516</v>
      </c>
      <c r="O76" s="64"/>
      <c r="P76" s="33" t="s">
        <v>1199</v>
      </c>
      <c r="Q76" s="64"/>
      <c r="R76" s="33" t="s">
        <v>1168</v>
      </c>
    </row>
    <row r="77" spans="2:18" s="63" customFormat="1" ht="25.5">
      <c r="B77" s="137"/>
      <c r="C77" s="137"/>
      <c r="D77" s="64">
        <v>70</v>
      </c>
      <c r="E77" s="33" t="s">
        <v>1354</v>
      </c>
      <c r="F77" s="64" t="s">
        <v>13</v>
      </c>
      <c r="G77" s="64" t="s">
        <v>517</v>
      </c>
      <c r="H77" s="64" t="s">
        <v>31</v>
      </c>
      <c r="I77" s="64" t="s">
        <v>11</v>
      </c>
      <c r="J77" s="33" t="s">
        <v>1278</v>
      </c>
      <c r="K77" s="65">
        <v>40938</v>
      </c>
      <c r="L77" s="66">
        <v>2012</v>
      </c>
      <c r="M77" s="67">
        <f t="shared" si="4"/>
        <v>7</v>
      </c>
      <c r="N77" s="64" t="s">
        <v>3</v>
      </c>
      <c r="O77" s="64"/>
      <c r="P77" s="33" t="s">
        <v>1177</v>
      </c>
      <c r="Q77" s="64"/>
      <c r="R77" s="33" t="s">
        <v>1192</v>
      </c>
    </row>
    <row r="78" spans="2:18" s="63" customFormat="1">
      <c r="B78" s="137">
        <v>27</v>
      </c>
      <c r="C78" s="137"/>
      <c r="D78" s="64">
        <v>71</v>
      </c>
      <c r="E78" s="33" t="s">
        <v>518</v>
      </c>
      <c r="F78" s="64" t="s">
        <v>6</v>
      </c>
      <c r="G78" s="64" t="s">
        <v>519</v>
      </c>
      <c r="H78" s="64" t="s">
        <v>1</v>
      </c>
      <c r="I78" s="64" t="s">
        <v>34</v>
      </c>
      <c r="J78" s="33"/>
      <c r="K78" s="65">
        <v>27393</v>
      </c>
      <c r="L78" s="66">
        <f t="shared" ref="L78:L79" si="5">YEAR(K78)</f>
        <v>1974</v>
      </c>
      <c r="M78" s="67">
        <f t="shared" si="4"/>
        <v>45</v>
      </c>
      <c r="N78" s="64" t="s">
        <v>3</v>
      </c>
      <c r="O78" s="64"/>
      <c r="P78" s="33" t="s">
        <v>4</v>
      </c>
      <c r="Q78" s="64"/>
      <c r="R78" s="33" t="s">
        <v>5</v>
      </c>
    </row>
    <row r="79" spans="2:18" s="63" customFormat="1">
      <c r="B79" s="137"/>
      <c r="C79" s="137"/>
      <c r="D79" s="64">
        <v>72</v>
      </c>
      <c r="E79" s="33" t="s">
        <v>109</v>
      </c>
      <c r="F79" s="64" t="s">
        <v>13</v>
      </c>
      <c r="G79" s="64" t="s">
        <v>520</v>
      </c>
      <c r="H79" s="64" t="s">
        <v>1</v>
      </c>
      <c r="I79" s="64" t="s">
        <v>11</v>
      </c>
      <c r="J79" s="33"/>
      <c r="K79" s="65">
        <v>37548</v>
      </c>
      <c r="L79" s="66">
        <f t="shared" si="5"/>
        <v>2002</v>
      </c>
      <c r="M79" s="67">
        <f t="shared" si="4"/>
        <v>17</v>
      </c>
      <c r="N79" s="64" t="s">
        <v>3</v>
      </c>
      <c r="O79" s="64"/>
      <c r="P79" s="33" t="s">
        <v>4</v>
      </c>
      <c r="Q79" s="64"/>
      <c r="R79" s="33" t="s">
        <v>4</v>
      </c>
    </row>
    <row r="80" spans="2:18" s="63" customFormat="1" ht="25.5">
      <c r="B80" s="137">
        <v>28</v>
      </c>
      <c r="C80" s="137" t="s">
        <v>1593</v>
      </c>
      <c r="D80" s="64">
        <v>73</v>
      </c>
      <c r="E80" s="33" t="s">
        <v>521</v>
      </c>
      <c r="F80" s="64" t="s">
        <v>6</v>
      </c>
      <c r="G80" s="64" t="s">
        <v>522</v>
      </c>
      <c r="H80" s="64" t="s">
        <v>1</v>
      </c>
      <c r="I80" s="64" t="s">
        <v>2</v>
      </c>
      <c r="J80" s="33" t="s">
        <v>1166</v>
      </c>
      <c r="K80" s="65">
        <v>30768</v>
      </c>
      <c r="L80" s="66">
        <v>1984</v>
      </c>
      <c r="M80" s="67">
        <f t="shared" si="4"/>
        <v>35</v>
      </c>
      <c r="N80" s="64" t="s">
        <v>3</v>
      </c>
      <c r="O80" s="64" t="s">
        <v>1169</v>
      </c>
      <c r="P80" s="33" t="s">
        <v>1176</v>
      </c>
      <c r="Q80" s="64"/>
      <c r="R80" s="33" t="s">
        <v>1178</v>
      </c>
    </row>
    <row r="81" spans="2:18" s="63" customFormat="1" ht="25.5">
      <c r="B81" s="137"/>
      <c r="C81" s="137"/>
      <c r="D81" s="64">
        <v>74</v>
      </c>
      <c r="E81" s="33" t="s">
        <v>523</v>
      </c>
      <c r="F81" s="64" t="s">
        <v>9</v>
      </c>
      <c r="G81" s="64" t="s">
        <v>524</v>
      </c>
      <c r="H81" s="64" t="s">
        <v>8</v>
      </c>
      <c r="I81" s="64" t="s">
        <v>2</v>
      </c>
      <c r="J81" s="33" t="s">
        <v>1594</v>
      </c>
      <c r="K81" s="65">
        <v>34829</v>
      </c>
      <c r="L81" s="66">
        <v>1995</v>
      </c>
      <c r="M81" s="67">
        <f t="shared" si="4"/>
        <v>24</v>
      </c>
      <c r="N81" s="64" t="s">
        <v>3</v>
      </c>
      <c r="O81" s="64" t="s">
        <v>1169</v>
      </c>
      <c r="P81" s="33" t="s">
        <v>1181</v>
      </c>
      <c r="Q81" s="64"/>
      <c r="R81" s="33" t="s">
        <v>1168</v>
      </c>
    </row>
    <row r="82" spans="2:18" s="63" customFormat="1" ht="25.5">
      <c r="B82" s="137"/>
      <c r="C82" s="137"/>
      <c r="D82" s="64">
        <v>75</v>
      </c>
      <c r="E82" s="33" t="s">
        <v>525</v>
      </c>
      <c r="F82" s="64" t="s">
        <v>13</v>
      </c>
      <c r="G82" s="64" t="s">
        <v>526</v>
      </c>
      <c r="H82" s="64" t="s">
        <v>31</v>
      </c>
      <c r="I82" s="64" t="s">
        <v>11</v>
      </c>
      <c r="J82" s="33" t="s">
        <v>1166</v>
      </c>
      <c r="K82" s="65">
        <v>41601</v>
      </c>
      <c r="L82" s="66">
        <v>2013</v>
      </c>
      <c r="M82" s="67">
        <f t="shared" si="4"/>
        <v>6</v>
      </c>
      <c r="N82" s="64" t="s">
        <v>3</v>
      </c>
      <c r="O82" s="64" t="s">
        <v>1169</v>
      </c>
      <c r="P82" s="33" t="s">
        <v>1177</v>
      </c>
      <c r="Q82" s="64"/>
      <c r="R82" s="33" t="s">
        <v>1192</v>
      </c>
    </row>
    <row r="83" spans="2:18" s="63" customFormat="1" ht="25.5">
      <c r="B83" s="137">
        <v>29</v>
      </c>
      <c r="C83" s="137" t="s">
        <v>1526</v>
      </c>
      <c r="D83" s="64">
        <v>76</v>
      </c>
      <c r="E83" s="33" t="s">
        <v>527</v>
      </c>
      <c r="F83" s="64" t="s">
        <v>6</v>
      </c>
      <c r="G83" s="64" t="s">
        <v>528</v>
      </c>
      <c r="H83" s="64" t="s">
        <v>1</v>
      </c>
      <c r="I83" s="64" t="s">
        <v>1496</v>
      </c>
      <c r="J83" s="33" t="s">
        <v>1166</v>
      </c>
      <c r="K83" s="65">
        <v>26653</v>
      </c>
      <c r="L83" s="66">
        <v>1972</v>
      </c>
      <c r="M83" s="67">
        <f t="shared" si="4"/>
        <v>47</v>
      </c>
      <c r="N83" s="64" t="s">
        <v>3</v>
      </c>
      <c r="O83" s="64" t="s">
        <v>1169</v>
      </c>
      <c r="P83" s="33" t="s">
        <v>1181</v>
      </c>
      <c r="Q83" s="64"/>
      <c r="R83" s="33" t="s">
        <v>1178</v>
      </c>
    </row>
    <row r="84" spans="2:18" s="63" customFormat="1">
      <c r="B84" s="137"/>
      <c r="C84" s="137"/>
      <c r="D84" s="64">
        <v>77</v>
      </c>
      <c r="E84" s="33" t="s">
        <v>529</v>
      </c>
      <c r="F84" s="64" t="s">
        <v>13</v>
      </c>
      <c r="G84" s="64" t="s">
        <v>1527</v>
      </c>
      <c r="H84" s="64" t="s">
        <v>8</v>
      </c>
      <c r="I84" s="64" t="s">
        <v>11</v>
      </c>
      <c r="J84" s="33" t="s">
        <v>1166</v>
      </c>
      <c r="K84" s="65">
        <v>36600</v>
      </c>
      <c r="L84" s="66">
        <v>2000</v>
      </c>
      <c r="M84" s="67">
        <f t="shared" si="4"/>
        <v>19</v>
      </c>
      <c r="N84" s="64" t="s">
        <v>3</v>
      </c>
      <c r="O84" s="64" t="s">
        <v>1169</v>
      </c>
      <c r="P84" s="33" t="s">
        <v>1199</v>
      </c>
      <c r="Q84" s="64"/>
      <c r="R84" s="33" t="s">
        <v>1175</v>
      </c>
    </row>
    <row r="85" spans="2:18" s="63" customFormat="1" ht="25.5">
      <c r="B85" s="137"/>
      <c r="C85" s="137"/>
      <c r="D85" s="64">
        <v>78</v>
      </c>
      <c r="E85" s="33" t="s">
        <v>530</v>
      </c>
      <c r="F85" s="64" t="s">
        <v>13</v>
      </c>
      <c r="G85" s="64" t="s">
        <v>531</v>
      </c>
      <c r="H85" s="64" t="s">
        <v>8</v>
      </c>
      <c r="I85" s="64" t="s">
        <v>11</v>
      </c>
      <c r="J85" s="33" t="s">
        <v>1249</v>
      </c>
      <c r="K85" s="65">
        <v>41304</v>
      </c>
      <c r="L85" s="66">
        <v>2013</v>
      </c>
      <c r="M85" s="67">
        <f t="shared" si="4"/>
        <v>6</v>
      </c>
      <c r="N85" s="64" t="s">
        <v>3</v>
      </c>
      <c r="O85" s="64" t="s">
        <v>1169</v>
      </c>
      <c r="P85" s="33" t="s">
        <v>1177</v>
      </c>
      <c r="Q85" s="64"/>
      <c r="R85" s="33" t="s">
        <v>1192</v>
      </c>
    </row>
    <row r="86" spans="2:18" s="63" customFormat="1" ht="25.5">
      <c r="B86" s="137">
        <v>30</v>
      </c>
      <c r="C86" s="137" t="s">
        <v>1374</v>
      </c>
      <c r="D86" s="64">
        <v>79</v>
      </c>
      <c r="E86" s="33" t="s">
        <v>1371</v>
      </c>
      <c r="F86" s="64" t="s">
        <v>6</v>
      </c>
      <c r="G86" s="64" t="s">
        <v>1372</v>
      </c>
      <c r="H86" s="64" t="s">
        <v>8</v>
      </c>
      <c r="I86" s="64" t="s">
        <v>1197</v>
      </c>
      <c r="J86" s="33" t="s">
        <v>1172</v>
      </c>
      <c r="K86" s="65">
        <v>31412</v>
      </c>
      <c r="L86" s="66">
        <v>1985</v>
      </c>
      <c r="M86" s="67">
        <f t="shared" si="4"/>
        <v>34</v>
      </c>
      <c r="N86" s="64" t="s">
        <v>3</v>
      </c>
      <c r="O86" s="64" t="s">
        <v>1169</v>
      </c>
      <c r="P86" s="33" t="s">
        <v>1174</v>
      </c>
      <c r="Q86" s="64"/>
      <c r="R86" s="33" t="s">
        <v>119</v>
      </c>
    </row>
    <row r="87" spans="2:18" s="63" customFormat="1" ht="25.5">
      <c r="B87" s="137"/>
      <c r="C87" s="137"/>
      <c r="D87" s="64">
        <v>80</v>
      </c>
      <c r="E87" s="33" t="s">
        <v>534</v>
      </c>
      <c r="F87" s="64" t="s">
        <v>535</v>
      </c>
      <c r="G87" s="64" t="s">
        <v>536</v>
      </c>
      <c r="H87" s="64" t="s">
        <v>1</v>
      </c>
      <c r="I87" s="64" t="s">
        <v>11</v>
      </c>
      <c r="J87" s="33" t="s">
        <v>1172</v>
      </c>
      <c r="K87" s="65">
        <v>40571</v>
      </c>
      <c r="L87" s="66">
        <v>2011</v>
      </c>
      <c r="M87" s="67">
        <f t="shared" si="4"/>
        <v>8</v>
      </c>
      <c r="N87" s="64" t="s">
        <v>3</v>
      </c>
      <c r="O87" s="64" t="s">
        <v>1169</v>
      </c>
      <c r="P87" s="33" t="s">
        <v>1177</v>
      </c>
      <c r="Q87" s="64"/>
      <c r="R87" s="33" t="s">
        <v>1192</v>
      </c>
    </row>
    <row r="88" spans="2:18" s="63" customFormat="1">
      <c r="B88" s="137">
        <v>31</v>
      </c>
      <c r="C88" s="137"/>
      <c r="D88" s="64">
        <v>81</v>
      </c>
      <c r="E88" s="33" t="s">
        <v>537</v>
      </c>
      <c r="F88" s="64" t="s">
        <v>6</v>
      </c>
      <c r="G88" s="64">
        <v>0</v>
      </c>
      <c r="H88" s="64" t="s">
        <v>1</v>
      </c>
      <c r="I88" s="64" t="s">
        <v>2</v>
      </c>
      <c r="J88" s="33"/>
      <c r="K88" s="65">
        <v>20454</v>
      </c>
      <c r="L88" s="66">
        <f t="shared" ref="L88:L92" si="6">YEAR(K88)</f>
        <v>1955</v>
      </c>
      <c r="M88" s="67">
        <f t="shared" si="4"/>
        <v>64</v>
      </c>
      <c r="N88" s="64" t="s">
        <v>3</v>
      </c>
      <c r="O88" s="64"/>
      <c r="P88" s="33" t="s">
        <v>28</v>
      </c>
      <c r="Q88" s="64"/>
      <c r="R88" s="33" t="s">
        <v>119</v>
      </c>
    </row>
    <row r="89" spans="2:18" s="63" customFormat="1">
      <c r="B89" s="137"/>
      <c r="C89" s="137"/>
      <c r="D89" s="64">
        <v>82</v>
      </c>
      <c r="E89" s="33" t="s">
        <v>538</v>
      </c>
      <c r="F89" s="64" t="s">
        <v>9</v>
      </c>
      <c r="G89" s="64">
        <v>0</v>
      </c>
      <c r="H89" s="64" t="s">
        <v>8</v>
      </c>
      <c r="I89" s="64" t="s">
        <v>2</v>
      </c>
      <c r="J89" s="33"/>
      <c r="K89" s="65">
        <v>20454</v>
      </c>
      <c r="L89" s="66">
        <f t="shared" si="6"/>
        <v>1955</v>
      </c>
      <c r="M89" s="67">
        <f t="shared" si="4"/>
        <v>64</v>
      </c>
      <c r="N89" s="64" t="s">
        <v>3</v>
      </c>
      <c r="O89" s="64"/>
      <c r="P89" s="33" t="s">
        <v>4</v>
      </c>
      <c r="Q89" s="64"/>
      <c r="R89" s="33" t="s">
        <v>119</v>
      </c>
    </row>
    <row r="90" spans="2:18" s="63" customFormat="1" ht="25.5">
      <c r="B90" s="137">
        <v>32</v>
      </c>
      <c r="C90" s="137"/>
      <c r="D90" s="64">
        <v>83</v>
      </c>
      <c r="E90" s="33" t="s">
        <v>539</v>
      </c>
      <c r="F90" s="64" t="s">
        <v>6</v>
      </c>
      <c r="G90" s="64" t="s">
        <v>540</v>
      </c>
      <c r="H90" s="64" t="s">
        <v>1</v>
      </c>
      <c r="I90" s="64" t="s">
        <v>2</v>
      </c>
      <c r="J90" s="33"/>
      <c r="K90" s="65">
        <v>30284</v>
      </c>
      <c r="L90" s="66">
        <f t="shared" si="6"/>
        <v>1982</v>
      </c>
      <c r="M90" s="67">
        <f t="shared" si="4"/>
        <v>37</v>
      </c>
      <c r="N90" s="64" t="s">
        <v>3</v>
      </c>
      <c r="O90" s="64"/>
      <c r="P90" s="33" t="s">
        <v>12</v>
      </c>
      <c r="Q90" s="64"/>
      <c r="R90" s="33" t="s">
        <v>5</v>
      </c>
    </row>
    <row r="91" spans="2:18" s="63" customFormat="1">
      <c r="B91" s="137"/>
      <c r="C91" s="137"/>
      <c r="D91" s="64">
        <v>84</v>
      </c>
      <c r="E91" s="33" t="s">
        <v>541</v>
      </c>
      <c r="F91" s="64" t="s">
        <v>9</v>
      </c>
      <c r="G91" s="64" t="s">
        <v>542</v>
      </c>
      <c r="H91" s="64" t="s">
        <v>8</v>
      </c>
      <c r="I91" s="64" t="s">
        <v>2</v>
      </c>
      <c r="J91" s="33"/>
      <c r="K91" s="65">
        <v>33286</v>
      </c>
      <c r="L91" s="66">
        <f t="shared" si="6"/>
        <v>1991</v>
      </c>
      <c r="M91" s="67">
        <f t="shared" si="4"/>
        <v>28</v>
      </c>
      <c r="N91" s="64" t="s">
        <v>3</v>
      </c>
      <c r="O91" s="64"/>
      <c r="P91" s="33" t="s">
        <v>12</v>
      </c>
      <c r="Q91" s="64"/>
      <c r="R91" s="33" t="s">
        <v>119</v>
      </c>
    </row>
    <row r="92" spans="2:18" s="63" customFormat="1" ht="25.5">
      <c r="B92" s="137"/>
      <c r="C92" s="137"/>
      <c r="D92" s="64">
        <v>85</v>
      </c>
      <c r="E92" s="33" t="s">
        <v>543</v>
      </c>
      <c r="F92" s="64" t="s">
        <v>13</v>
      </c>
      <c r="G92" s="64" t="s">
        <v>544</v>
      </c>
      <c r="H92" s="64" t="s">
        <v>1</v>
      </c>
      <c r="I92" s="64" t="s">
        <v>11</v>
      </c>
      <c r="J92" s="33"/>
      <c r="K92" s="65">
        <v>41804</v>
      </c>
      <c r="L92" s="66">
        <f t="shared" si="6"/>
        <v>2014</v>
      </c>
      <c r="M92" s="67">
        <f t="shared" si="4"/>
        <v>5</v>
      </c>
      <c r="N92" s="64" t="s">
        <v>142</v>
      </c>
      <c r="O92" s="64"/>
      <c r="P92" s="33" t="s">
        <v>4</v>
      </c>
      <c r="Q92" s="64"/>
      <c r="R92" s="33" t="s">
        <v>4</v>
      </c>
    </row>
    <row r="93" spans="2:18" s="63" customFormat="1" ht="25.5">
      <c r="B93" s="137">
        <v>33</v>
      </c>
      <c r="C93" s="137" t="s">
        <v>1595</v>
      </c>
      <c r="D93" s="64">
        <v>86</v>
      </c>
      <c r="E93" s="33" t="s">
        <v>501</v>
      </c>
      <c r="F93" s="64" t="s">
        <v>6</v>
      </c>
      <c r="G93" s="64" t="s">
        <v>1190</v>
      </c>
      <c r="H93" s="64" t="s">
        <v>1</v>
      </c>
      <c r="I93" s="64" t="s">
        <v>2</v>
      </c>
      <c r="J93" s="33" t="s">
        <v>1166</v>
      </c>
      <c r="K93" s="65">
        <v>34778</v>
      </c>
      <c r="L93" s="66">
        <v>1995</v>
      </c>
      <c r="M93" s="67">
        <f t="shared" si="4"/>
        <v>24</v>
      </c>
      <c r="N93" s="64" t="s">
        <v>3</v>
      </c>
      <c r="O93" s="64" t="s">
        <v>1169</v>
      </c>
      <c r="P93" s="33" t="s">
        <v>1181</v>
      </c>
      <c r="Q93" s="64"/>
      <c r="R93" s="33" t="s">
        <v>1178</v>
      </c>
    </row>
    <row r="94" spans="2:18" s="63" customFormat="1" ht="25.5">
      <c r="B94" s="137"/>
      <c r="C94" s="137"/>
      <c r="D94" s="64">
        <v>87</v>
      </c>
      <c r="E94" s="33" t="s">
        <v>1596</v>
      </c>
      <c r="F94" s="64" t="s">
        <v>9</v>
      </c>
      <c r="G94" s="64" t="s">
        <v>1597</v>
      </c>
      <c r="H94" s="64" t="s">
        <v>8</v>
      </c>
      <c r="I94" s="64" t="s">
        <v>2</v>
      </c>
      <c r="J94" s="33" t="s">
        <v>1598</v>
      </c>
      <c r="K94" s="65">
        <v>35753</v>
      </c>
      <c r="L94" s="66">
        <v>1997</v>
      </c>
      <c r="M94" s="67">
        <f t="shared" si="4"/>
        <v>22</v>
      </c>
      <c r="N94" s="64" t="s">
        <v>3</v>
      </c>
      <c r="O94" s="64" t="s">
        <v>1169</v>
      </c>
      <c r="P94" s="33" t="s">
        <v>1199</v>
      </c>
      <c r="Q94" s="64"/>
      <c r="R94" s="33" t="s">
        <v>1168</v>
      </c>
    </row>
    <row r="95" spans="2:18" s="59" customFormat="1">
      <c r="B95" s="137">
        <v>34</v>
      </c>
      <c r="C95" s="137" t="s">
        <v>1627</v>
      </c>
      <c r="D95" s="64">
        <v>88</v>
      </c>
      <c r="E95" s="33" t="s">
        <v>1624</v>
      </c>
      <c r="F95" s="64" t="s">
        <v>6</v>
      </c>
      <c r="G95" s="64" t="s">
        <v>1628</v>
      </c>
      <c r="H95" s="64" t="s">
        <v>1</v>
      </c>
      <c r="I95" s="64" t="s">
        <v>2</v>
      </c>
      <c r="J95" s="33" t="s">
        <v>1166</v>
      </c>
      <c r="K95" s="65">
        <v>18445</v>
      </c>
      <c r="L95" s="66">
        <v>1950</v>
      </c>
      <c r="M95" s="67">
        <f t="shared" si="4"/>
        <v>69</v>
      </c>
      <c r="N95" s="64" t="s">
        <v>3</v>
      </c>
      <c r="O95" s="64" t="s">
        <v>1169</v>
      </c>
      <c r="P95" s="33" t="s">
        <v>1181</v>
      </c>
      <c r="Q95" s="64"/>
      <c r="R95" s="33" t="s">
        <v>1167</v>
      </c>
    </row>
    <row r="96" spans="2:18" s="59" customFormat="1" ht="25.5">
      <c r="B96" s="137"/>
      <c r="C96" s="137"/>
      <c r="D96" s="64">
        <v>89</v>
      </c>
      <c r="E96" s="33" t="s">
        <v>1625</v>
      </c>
      <c r="F96" s="64" t="s">
        <v>9</v>
      </c>
      <c r="G96" s="64" t="s">
        <v>1630</v>
      </c>
      <c r="H96" s="64" t="s">
        <v>8</v>
      </c>
      <c r="I96" s="64" t="s">
        <v>2</v>
      </c>
      <c r="J96" s="33" t="s">
        <v>1172</v>
      </c>
      <c r="K96" s="65">
        <v>25568</v>
      </c>
      <c r="L96" s="66">
        <v>1969</v>
      </c>
      <c r="M96" s="67">
        <f t="shared" si="4"/>
        <v>50</v>
      </c>
      <c r="N96" s="64" t="s">
        <v>3</v>
      </c>
      <c r="O96" s="64" t="s">
        <v>1169</v>
      </c>
      <c r="P96" s="33" t="s">
        <v>1181</v>
      </c>
      <c r="Q96" s="64"/>
      <c r="R96" s="33" t="s">
        <v>119</v>
      </c>
    </row>
    <row r="97" spans="2:18" s="59" customFormat="1" ht="25.5">
      <c r="B97" s="137"/>
      <c r="C97" s="137"/>
      <c r="D97" s="64">
        <v>90</v>
      </c>
      <c r="E97" s="33" t="s">
        <v>1626</v>
      </c>
      <c r="F97" s="64" t="s">
        <v>13</v>
      </c>
      <c r="G97" s="64" t="s">
        <v>1629</v>
      </c>
      <c r="H97" s="64" t="s">
        <v>1</v>
      </c>
      <c r="I97" s="64" t="s">
        <v>150</v>
      </c>
      <c r="J97" s="33" t="s">
        <v>1172</v>
      </c>
      <c r="K97" s="65">
        <v>34270</v>
      </c>
      <c r="L97" s="66">
        <v>1993</v>
      </c>
      <c r="M97" s="67">
        <f t="shared" si="4"/>
        <v>26</v>
      </c>
      <c r="N97" s="64" t="s">
        <v>3</v>
      </c>
      <c r="O97" s="64" t="s">
        <v>1169</v>
      </c>
      <c r="P97" s="33" t="s">
        <v>1505</v>
      </c>
      <c r="Q97" s="64"/>
      <c r="R97" s="33" t="s">
        <v>1550</v>
      </c>
    </row>
    <row r="98" spans="2:18" s="63" customFormat="1">
      <c r="B98" s="137">
        <v>35</v>
      </c>
      <c r="C98" s="137" t="s">
        <v>1376</v>
      </c>
      <c r="D98" s="64">
        <v>91</v>
      </c>
      <c r="E98" s="33" t="s">
        <v>545</v>
      </c>
      <c r="F98" s="64" t="s">
        <v>6</v>
      </c>
      <c r="G98" s="64" t="s">
        <v>1848</v>
      </c>
      <c r="H98" s="64" t="s">
        <v>1</v>
      </c>
      <c r="I98" s="64" t="s">
        <v>2</v>
      </c>
      <c r="J98" s="33" t="s">
        <v>1166</v>
      </c>
      <c r="K98" s="65">
        <v>27942</v>
      </c>
      <c r="L98" s="66">
        <v>1976</v>
      </c>
      <c r="M98" s="67">
        <f t="shared" si="4"/>
        <v>43</v>
      </c>
      <c r="N98" s="64" t="s">
        <v>3</v>
      </c>
      <c r="O98" s="64" t="s">
        <v>1169</v>
      </c>
      <c r="P98" s="33" t="s">
        <v>1181</v>
      </c>
      <c r="Q98" s="64"/>
      <c r="R98" s="33" t="s">
        <v>85</v>
      </c>
    </row>
    <row r="99" spans="2:18" s="63" customFormat="1" ht="25.5">
      <c r="B99" s="137"/>
      <c r="C99" s="137"/>
      <c r="D99" s="64">
        <v>92</v>
      </c>
      <c r="E99" s="33" t="s">
        <v>546</v>
      </c>
      <c r="F99" s="64" t="s">
        <v>6</v>
      </c>
      <c r="G99" s="64" t="s">
        <v>547</v>
      </c>
      <c r="H99" s="64" t="s">
        <v>8</v>
      </c>
      <c r="I99" s="64" t="s">
        <v>2</v>
      </c>
      <c r="J99" s="33" t="s">
        <v>1166</v>
      </c>
      <c r="K99" s="65">
        <v>32325</v>
      </c>
      <c r="L99" s="66">
        <v>1988</v>
      </c>
      <c r="M99" s="67">
        <f t="shared" si="4"/>
        <v>31</v>
      </c>
      <c r="N99" s="64" t="s">
        <v>3</v>
      </c>
      <c r="O99" s="64" t="s">
        <v>1169</v>
      </c>
      <c r="P99" s="33" t="s">
        <v>1199</v>
      </c>
      <c r="Q99" s="64"/>
      <c r="R99" s="33" t="s">
        <v>1168</v>
      </c>
    </row>
    <row r="100" spans="2:18" s="63" customFormat="1" ht="25.5">
      <c r="B100" s="137"/>
      <c r="C100" s="137"/>
      <c r="D100" s="64">
        <v>93</v>
      </c>
      <c r="E100" s="33" t="s">
        <v>548</v>
      </c>
      <c r="F100" s="64" t="s">
        <v>6</v>
      </c>
      <c r="G100" s="64" t="s">
        <v>1849</v>
      </c>
      <c r="H100" s="64" t="s">
        <v>1</v>
      </c>
      <c r="I100" s="64" t="s">
        <v>11</v>
      </c>
      <c r="J100" s="33" t="s">
        <v>1166</v>
      </c>
      <c r="K100" s="65">
        <v>37865</v>
      </c>
      <c r="L100" s="66">
        <v>2003</v>
      </c>
      <c r="M100" s="67">
        <f t="shared" si="4"/>
        <v>16</v>
      </c>
      <c r="N100" s="64" t="s">
        <v>3</v>
      </c>
      <c r="O100" s="64" t="s">
        <v>1169</v>
      </c>
      <c r="P100" s="33" t="s">
        <v>1176</v>
      </c>
      <c r="Q100" s="64"/>
      <c r="R100" s="33" t="s">
        <v>1175</v>
      </c>
    </row>
    <row r="101" spans="2:18" s="63" customFormat="1" ht="25.5">
      <c r="B101" s="137"/>
      <c r="C101" s="137"/>
      <c r="D101" s="64">
        <v>94</v>
      </c>
      <c r="E101" s="33" t="s">
        <v>549</v>
      </c>
      <c r="F101" s="64" t="s">
        <v>6</v>
      </c>
      <c r="G101" s="64" t="s">
        <v>550</v>
      </c>
      <c r="H101" s="64" t="s">
        <v>1</v>
      </c>
      <c r="I101" s="64" t="s">
        <v>11</v>
      </c>
      <c r="J101" s="33" t="s">
        <v>1166</v>
      </c>
      <c r="K101" s="65">
        <v>40508</v>
      </c>
      <c r="L101" s="66">
        <v>2010</v>
      </c>
      <c r="M101" s="67">
        <f t="shared" si="4"/>
        <v>9</v>
      </c>
      <c r="N101" s="64" t="s">
        <v>3</v>
      </c>
      <c r="O101" s="64" t="s">
        <v>1169</v>
      </c>
      <c r="P101" s="33" t="s">
        <v>1177</v>
      </c>
      <c r="Q101" s="64"/>
      <c r="R101" s="33" t="s">
        <v>1375</v>
      </c>
    </row>
    <row r="102" spans="2:18" s="63" customFormat="1" ht="25.5">
      <c r="B102" s="137">
        <v>36</v>
      </c>
      <c r="C102" s="137" t="s">
        <v>1566</v>
      </c>
      <c r="D102" s="64">
        <v>95</v>
      </c>
      <c r="E102" s="33" t="s">
        <v>137</v>
      </c>
      <c r="F102" s="64" t="s">
        <v>6</v>
      </c>
      <c r="G102" s="64" t="s">
        <v>138</v>
      </c>
      <c r="H102" s="64" t="s">
        <v>8</v>
      </c>
      <c r="I102" s="64" t="s">
        <v>1221</v>
      </c>
      <c r="J102" s="33" t="s">
        <v>1172</v>
      </c>
      <c r="K102" s="65">
        <v>16619</v>
      </c>
      <c r="L102" s="66">
        <v>1945</v>
      </c>
      <c r="M102" s="66">
        <f t="shared" si="4"/>
        <v>74</v>
      </c>
      <c r="N102" s="64" t="s">
        <v>3</v>
      </c>
      <c r="O102" s="64" t="s">
        <v>1169</v>
      </c>
      <c r="P102" s="33" t="s">
        <v>1199</v>
      </c>
      <c r="Q102" s="64"/>
      <c r="R102" s="33" t="s">
        <v>1178</v>
      </c>
    </row>
    <row r="103" spans="2:18" s="63" customFormat="1" ht="25.5">
      <c r="B103" s="137"/>
      <c r="C103" s="137"/>
      <c r="D103" s="64">
        <v>96</v>
      </c>
      <c r="E103" s="33" t="s">
        <v>139</v>
      </c>
      <c r="F103" s="64" t="s">
        <v>13</v>
      </c>
      <c r="G103" s="64" t="s">
        <v>140</v>
      </c>
      <c r="H103" s="64" t="s">
        <v>1</v>
      </c>
      <c r="I103" s="64" t="s">
        <v>11</v>
      </c>
      <c r="J103" s="33" t="s">
        <v>1172</v>
      </c>
      <c r="K103" s="65">
        <v>32375</v>
      </c>
      <c r="L103" s="66">
        <v>1988</v>
      </c>
      <c r="M103" s="66">
        <f t="shared" si="4"/>
        <v>31</v>
      </c>
      <c r="N103" s="64" t="s">
        <v>3</v>
      </c>
      <c r="O103" s="64" t="s">
        <v>1169</v>
      </c>
      <c r="P103" s="33" t="s">
        <v>1199</v>
      </c>
      <c r="Q103" s="64"/>
      <c r="R103" s="33" t="s">
        <v>1300</v>
      </c>
    </row>
    <row r="104" spans="2:18" s="63" customFormat="1" ht="25.5">
      <c r="B104" s="137">
        <v>37</v>
      </c>
      <c r="C104" s="137" t="s">
        <v>1568</v>
      </c>
      <c r="D104" s="64">
        <v>97</v>
      </c>
      <c r="E104" s="33" t="s">
        <v>556</v>
      </c>
      <c r="F104" s="64" t="s">
        <v>6</v>
      </c>
      <c r="G104" s="64" t="s">
        <v>557</v>
      </c>
      <c r="H104" s="64" t="s">
        <v>8</v>
      </c>
      <c r="I104" s="64" t="s">
        <v>1496</v>
      </c>
      <c r="J104" s="33" t="s">
        <v>1172</v>
      </c>
      <c r="K104" s="65">
        <v>21002</v>
      </c>
      <c r="L104" s="66">
        <v>1957</v>
      </c>
      <c r="M104" s="67">
        <f t="shared" si="4"/>
        <v>62</v>
      </c>
      <c r="N104" s="64" t="s">
        <v>3</v>
      </c>
      <c r="O104" s="64" t="s">
        <v>1169</v>
      </c>
      <c r="P104" s="33" t="s">
        <v>1177</v>
      </c>
      <c r="Q104" s="64"/>
      <c r="R104" s="33" t="s">
        <v>1168</v>
      </c>
    </row>
    <row r="105" spans="2:18" s="63" customFormat="1" ht="25.5">
      <c r="B105" s="137"/>
      <c r="C105" s="137"/>
      <c r="D105" s="64">
        <v>98</v>
      </c>
      <c r="E105" s="33" t="s">
        <v>558</v>
      </c>
      <c r="F105" s="64" t="s">
        <v>13</v>
      </c>
      <c r="G105" s="64" t="s">
        <v>560</v>
      </c>
      <c r="H105" s="64" t="s">
        <v>1</v>
      </c>
      <c r="I105" s="64" t="s">
        <v>2</v>
      </c>
      <c r="J105" s="33" t="s">
        <v>1172</v>
      </c>
      <c r="K105" s="65">
        <v>26605</v>
      </c>
      <c r="L105" s="66">
        <v>1972</v>
      </c>
      <c r="M105" s="67">
        <f t="shared" si="4"/>
        <v>47</v>
      </c>
      <c r="N105" s="64" t="s">
        <v>3</v>
      </c>
      <c r="O105" s="64" t="s">
        <v>1169</v>
      </c>
      <c r="P105" s="33" t="s">
        <v>1181</v>
      </c>
      <c r="Q105" s="64"/>
      <c r="R105" s="33" t="s">
        <v>1178</v>
      </c>
    </row>
    <row r="106" spans="2:18" s="63" customFormat="1" ht="25.5">
      <c r="B106" s="137"/>
      <c r="C106" s="137"/>
      <c r="D106" s="64">
        <v>99</v>
      </c>
      <c r="E106" s="33" t="s">
        <v>561</v>
      </c>
      <c r="F106" s="64" t="s">
        <v>13</v>
      </c>
      <c r="G106" s="64" t="s">
        <v>562</v>
      </c>
      <c r="H106" s="64" t="s">
        <v>8</v>
      </c>
      <c r="I106" s="64" t="s">
        <v>2</v>
      </c>
      <c r="J106" s="33" t="s">
        <v>1172</v>
      </c>
      <c r="K106" s="65">
        <v>30133</v>
      </c>
      <c r="L106" s="66">
        <v>1982</v>
      </c>
      <c r="M106" s="67">
        <f t="shared" si="4"/>
        <v>37</v>
      </c>
      <c r="N106" s="64" t="s">
        <v>3</v>
      </c>
      <c r="O106" s="64" t="s">
        <v>1169</v>
      </c>
      <c r="P106" s="33" t="s">
        <v>1174</v>
      </c>
      <c r="Q106" s="64"/>
      <c r="R106" s="33" t="s">
        <v>1178</v>
      </c>
    </row>
    <row r="107" spans="2:18" s="63" customFormat="1">
      <c r="B107" s="137">
        <v>38</v>
      </c>
      <c r="C107" s="137" t="s">
        <v>1201</v>
      </c>
      <c r="D107" s="64">
        <v>100</v>
      </c>
      <c r="E107" s="33" t="s">
        <v>594</v>
      </c>
      <c r="F107" s="64" t="s">
        <v>6</v>
      </c>
      <c r="G107" s="64" t="s">
        <v>1165</v>
      </c>
      <c r="H107" s="64" t="s">
        <v>1</v>
      </c>
      <c r="I107" s="64" t="s">
        <v>2</v>
      </c>
      <c r="J107" s="33" t="s">
        <v>1166</v>
      </c>
      <c r="K107" s="65">
        <v>10044</v>
      </c>
      <c r="L107" s="66">
        <v>1927</v>
      </c>
      <c r="M107" s="67">
        <f t="shared" si="4"/>
        <v>92</v>
      </c>
      <c r="N107" s="64" t="s">
        <v>3</v>
      </c>
      <c r="O107" s="64" t="s">
        <v>1169</v>
      </c>
      <c r="P107" s="33" t="s">
        <v>1173</v>
      </c>
      <c r="Q107" s="64"/>
      <c r="R107" s="33" t="s">
        <v>1167</v>
      </c>
    </row>
    <row r="108" spans="2:18" s="63" customFormat="1" ht="25.5">
      <c r="B108" s="137"/>
      <c r="C108" s="137"/>
      <c r="D108" s="64">
        <v>101</v>
      </c>
      <c r="E108" s="33" t="s">
        <v>17</v>
      </c>
      <c r="F108" s="64" t="s">
        <v>9</v>
      </c>
      <c r="G108" s="64" t="s">
        <v>595</v>
      </c>
      <c r="H108" s="64" t="s">
        <v>8</v>
      </c>
      <c r="I108" s="64" t="s">
        <v>2</v>
      </c>
      <c r="J108" s="33" t="s">
        <v>1166</v>
      </c>
      <c r="K108" s="65">
        <v>16619</v>
      </c>
      <c r="L108" s="66">
        <v>1945</v>
      </c>
      <c r="M108" s="67">
        <f t="shared" si="4"/>
        <v>74</v>
      </c>
      <c r="N108" s="64" t="s">
        <v>3</v>
      </c>
      <c r="O108" s="64" t="s">
        <v>1169</v>
      </c>
      <c r="P108" s="33" t="s">
        <v>1173</v>
      </c>
      <c r="Q108" s="64"/>
      <c r="R108" s="33" t="s">
        <v>1168</v>
      </c>
    </row>
    <row r="109" spans="2:18" s="63" customFormat="1" ht="25.5">
      <c r="B109" s="137">
        <v>39</v>
      </c>
      <c r="C109" s="137" t="s">
        <v>1202</v>
      </c>
      <c r="D109" s="64">
        <v>102</v>
      </c>
      <c r="E109" s="33" t="s">
        <v>596</v>
      </c>
      <c r="F109" s="64" t="s">
        <v>6</v>
      </c>
      <c r="G109" s="64" t="s">
        <v>1203</v>
      </c>
      <c r="H109" s="64" t="s">
        <v>8</v>
      </c>
      <c r="I109" s="64" t="s">
        <v>1197</v>
      </c>
      <c r="J109" s="33" t="s">
        <v>1166</v>
      </c>
      <c r="K109" s="65">
        <v>30076</v>
      </c>
      <c r="L109" s="66">
        <v>1982</v>
      </c>
      <c r="M109" s="67">
        <f t="shared" si="4"/>
        <v>37</v>
      </c>
      <c r="N109" s="64" t="s">
        <v>3</v>
      </c>
      <c r="O109" s="64" t="s">
        <v>1169</v>
      </c>
      <c r="P109" s="33" t="s">
        <v>1181</v>
      </c>
      <c r="Q109" s="64"/>
      <c r="R109" s="33" t="s">
        <v>1178</v>
      </c>
    </row>
    <row r="110" spans="2:18" s="63" customFormat="1">
      <c r="B110" s="137"/>
      <c r="C110" s="137"/>
      <c r="D110" s="64">
        <v>103</v>
      </c>
      <c r="E110" s="33" t="s">
        <v>597</v>
      </c>
      <c r="F110" s="64" t="s">
        <v>13</v>
      </c>
      <c r="G110" s="64" t="s">
        <v>598</v>
      </c>
      <c r="H110" s="64" t="s">
        <v>8</v>
      </c>
      <c r="I110" s="64" t="s">
        <v>11</v>
      </c>
      <c r="J110" s="33" t="s">
        <v>1166</v>
      </c>
      <c r="K110" s="65">
        <v>36876</v>
      </c>
      <c r="L110" s="66">
        <v>2000</v>
      </c>
      <c r="M110" s="67">
        <f t="shared" si="4"/>
        <v>19</v>
      </c>
      <c r="N110" s="64" t="s">
        <v>3</v>
      </c>
      <c r="O110" s="64" t="s">
        <v>1169</v>
      </c>
      <c r="P110" s="33" t="s">
        <v>1199</v>
      </c>
      <c r="Q110" s="64"/>
      <c r="R110" s="33" t="s">
        <v>1175</v>
      </c>
    </row>
    <row r="111" spans="2:18" s="59" customFormat="1" ht="25.5">
      <c r="B111" s="64">
        <v>40</v>
      </c>
      <c r="C111" s="64" t="s">
        <v>1565</v>
      </c>
      <c r="D111" s="64">
        <v>104</v>
      </c>
      <c r="E111" s="33" t="s">
        <v>1147</v>
      </c>
      <c r="F111" s="64" t="s">
        <v>6</v>
      </c>
      <c r="G111" s="64" t="s">
        <v>1138</v>
      </c>
      <c r="H111" s="64" t="s">
        <v>8</v>
      </c>
      <c r="I111" s="64" t="s">
        <v>1221</v>
      </c>
      <c r="J111" s="33" t="s">
        <v>1449</v>
      </c>
      <c r="K111" s="65">
        <v>16802</v>
      </c>
      <c r="L111" s="66">
        <v>1945</v>
      </c>
      <c r="M111" s="67">
        <f t="shared" si="4"/>
        <v>74</v>
      </c>
      <c r="N111" s="64" t="s">
        <v>3</v>
      </c>
      <c r="O111" s="64" t="s">
        <v>1169</v>
      </c>
      <c r="P111" s="33" t="s">
        <v>1177</v>
      </c>
      <c r="Q111" s="64"/>
      <c r="R111" s="33" t="s">
        <v>1200</v>
      </c>
    </row>
    <row r="112" spans="2:18" s="63" customFormat="1" ht="25.5">
      <c r="B112" s="137">
        <v>41</v>
      </c>
      <c r="C112" s="137" t="s">
        <v>1633</v>
      </c>
      <c r="D112" s="64">
        <v>105</v>
      </c>
      <c r="E112" s="33" t="s">
        <v>568</v>
      </c>
      <c r="F112" s="64" t="s">
        <v>6</v>
      </c>
      <c r="G112" s="64" t="s">
        <v>569</v>
      </c>
      <c r="H112" s="64" t="s">
        <v>1</v>
      </c>
      <c r="I112" s="64" t="s">
        <v>2</v>
      </c>
      <c r="J112" s="33" t="s">
        <v>1172</v>
      </c>
      <c r="K112" s="65">
        <v>15523</v>
      </c>
      <c r="L112" s="66">
        <v>1942</v>
      </c>
      <c r="M112" s="67">
        <f t="shared" si="4"/>
        <v>77</v>
      </c>
      <c r="N112" s="64" t="s">
        <v>3</v>
      </c>
      <c r="O112" s="64" t="s">
        <v>1169</v>
      </c>
      <c r="P112" s="33" t="s">
        <v>1177</v>
      </c>
      <c r="Q112" s="64"/>
      <c r="R112" s="33" t="s">
        <v>1178</v>
      </c>
    </row>
    <row r="113" spans="2:18" s="63" customFormat="1" ht="25.5">
      <c r="B113" s="137"/>
      <c r="C113" s="137"/>
      <c r="D113" s="64">
        <v>106</v>
      </c>
      <c r="E113" s="33" t="s">
        <v>1179</v>
      </c>
      <c r="F113" s="64" t="s">
        <v>9</v>
      </c>
      <c r="G113" s="66" t="s">
        <v>1180</v>
      </c>
      <c r="H113" s="64" t="s">
        <v>8</v>
      </c>
      <c r="I113" s="64" t="s">
        <v>2</v>
      </c>
      <c r="J113" s="33" t="s">
        <v>1172</v>
      </c>
      <c r="K113" s="65">
        <v>15888</v>
      </c>
      <c r="L113" s="66">
        <v>1943</v>
      </c>
      <c r="M113" s="67">
        <f t="shared" si="4"/>
        <v>76</v>
      </c>
      <c r="N113" s="64" t="s">
        <v>3</v>
      </c>
      <c r="O113" s="64" t="s">
        <v>1169</v>
      </c>
      <c r="P113" s="33" t="s">
        <v>1181</v>
      </c>
      <c r="Q113" s="64"/>
      <c r="R113" s="33" t="s">
        <v>1178</v>
      </c>
    </row>
    <row r="114" spans="2:18" s="63" customFormat="1" ht="25.5">
      <c r="B114" s="137"/>
      <c r="C114" s="137"/>
      <c r="D114" s="64">
        <v>107</v>
      </c>
      <c r="E114" s="33" t="s">
        <v>351</v>
      </c>
      <c r="F114" s="64" t="s">
        <v>13</v>
      </c>
      <c r="G114" s="66" t="s">
        <v>1182</v>
      </c>
      <c r="H114" s="64" t="s">
        <v>8</v>
      </c>
      <c r="I114" s="64" t="s">
        <v>11</v>
      </c>
      <c r="J114" s="33" t="s">
        <v>1172</v>
      </c>
      <c r="K114" s="65">
        <v>30133</v>
      </c>
      <c r="L114" s="66">
        <v>1982</v>
      </c>
      <c r="M114" s="67">
        <f t="shared" si="4"/>
        <v>37</v>
      </c>
      <c r="N114" s="64" t="s">
        <v>3</v>
      </c>
      <c r="O114" s="64" t="s">
        <v>1169</v>
      </c>
      <c r="P114" s="33" t="s">
        <v>1181</v>
      </c>
      <c r="Q114" s="64"/>
      <c r="R114" s="33" t="s">
        <v>1178</v>
      </c>
    </row>
    <row r="115" spans="2:18" s="63" customFormat="1" ht="25.5">
      <c r="B115" s="137"/>
      <c r="C115" s="137"/>
      <c r="D115" s="64">
        <v>108</v>
      </c>
      <c r="E115" s="33" t="s">
        <v>570</v>
      </c>
      <c r="F115" s="64" t="s">
        <v>13</v>
      </c>
      <c r="G115" s="64" t="s">
        <v>571</v>
      </c>
      <c r="H115" s="64" t="s">
        <v>8</v>
      </c>
      <c r="I115" s="64" t="s">
        <v>11</v>
      </c>
      <c r="J115" s="33" t="s">
        <v>1172</v>
      </c>
      <c r="K115" s="65">
        <v>31229</v>
      </c>
      <c r="L115" s="66">
        <v>1985</v>
      </c>
      <c r="M115" s="67">
        <f t="shared" si="4"/>
        <v>34</v>
      </c>
      <c r="N115" s="64" t="s">
        <v>3</v>
      </c>
      <c r="O115" s="64" t="s">
        <v>1169</v>
      </c>
      <c r="P115" s="33" t="s">
        <v>1181</v>
      </c>
      <c r="Q115" s="64"/>
      <c r="R115" s="33" t="s">
        <v>1178</v>
      </c>
    </row>
    <row r="116" spans="2:18" s="63" customFormat="1" ht="25.5">
      <c r="B116" s="137">
        <v>42</v>
      </c>
      <c r="C116" s="137" t="s">
        <v>1321</v>
      </c>
      <c r="D116" s="64">
        <v>109</v>
      </c>
      <c r="E116" s="33" t="s">
        <v>574</v>
      </c>
      <c r="F116" s="64" t="s">
        <v>6</v>
      </c>
      <c r="G116" s="64" t="s">
        <v>1323</v>
      </c>
      <c r="H116" s="64" t="s">
        <v>8</v>
      </c>
      <c r="I116" s="64" t="s">
        <v>1197</v>
      </c>
      <c r="J116" s="33" t="s">
        <v>1172</v>
      </c>
      <c r="K116" s="65">
        <v>26481</v>
      </c>
      <c r="L116" s="66">
        <v>1972</v>
      </c>
      <c r="M116" s="67">
        <f t="shared" si="4"/>
        <v>47</v>
      </c>
      <c r="N116" s="64" t="s">
        <v>3</v>
      </c>
      <c r="O116" s="64" t="s">
        <v>1169</v>
      </c>
      <c r="P116" s="33" t="s">
        <v>1177</v>
      </c>
      <c r="Q116" s="64"/>
      <c r="R116" s="33" t="s">
        <v>1178</v>
      </c>
    </row>
    <row r="117" spans="2:18" s="63" customFormat="1" ht="25.5">
      <c r="B117" s="137"/>
      <c r="C117" s="137"/>
      <c r="D117" s="64">
        <v>110</v>
      </c>
      <c r="E117" s="33" t="s">
        <v>1322</v>
      </c>
      <c r="F117" s="64" t="s">
        <v>13</v>
      </c>
      <c r="G117" s="64" t="s">
        <v>1324</v>
      </c>
      <c r="H117" s="64" t="s">
        <v>1</v>
      </c>
      <c r="I117" s="64" t="s">
        <v>11</v>
      </c>
      <c r="J117" s="33" t="s">
        <v>1325</v>
      </c>
      <c r="K117" s="65">
        <v>40808</v>
      </c>
      <c r="L117" s="66">
        <v>2011</v>
      </c>
      <c r="M117" s="67">
        <f t="shared" si="4"/>
        <v>8</v>
      </c>
      <c r="N117" s="64" t="s">
        <v>3</v>
      </c>
      <c r="O117" s="64" t="s">
        <v>1169</v>
      </c>
      <c r="P117" s="33" t="s">
        <v>1177</v>
      </c>
      <c r="Q117" s="64"/>
      <c r="R117" s="33" t="s">
        <v>1192</v>
      </c>
    </row>
    <row r="118" spans="2:18" s="63" customFormat="1">
      <c r="B118" s="137">
        <v>43</v>
      </c>
      <c r="C118" s="137"/>
      <c r="D118" s="64">
        <v>111</v>
      </c>
      <c r="E118" s="33" t="s">
        <v>302</v>
      </c>
      <c r="F118" s="64" t="s">
        <v>6</v>
      </c>
      <c r="G118" s="64">
        <v>0</v>
      </c>
      <c r="H118" s="64" t="s">
        <v>1</v>
      </c>
      <c r="I118" s="64" t="s">
        <v>2</v>
      </c>
      <c r="J118" s="33"/>
      <c r="K118" s="65">
        <v>31412</v>
      </c>
      <c r="L118" s="66">
        <f t="shared" ref="L118:L124" si="7">YEAR(K118)</f>
        <v>1985</v>
      </c>
      <c r="M118" s="67">
        <f t="shared" si="4"/>
        <v>34</v>
      </c>
      <c r="N118" s="64" t="s">
        <v>3</v>
      </c>
      <c r="O118" s="64" t="s">
        <v>1169</v>
      </c>
      <c r="P118" s="33" t="s">
        <v>12</v>
      </c>
      <c r="Q118" s="64"/>
      <c r="R118" s="33" t="s">
        <v>5</v>
      </c>
    </row>
    <row r="119" spans="2:18" s="63" customFormat="1">
      <c r="B119" s="137"/>
      <c r="C119" s="137"/>
      <c r="D119" s="64">
        <v>112</v>
      </c>
      <c r="E119" s="33" t="s">
        <v>575</v>
      </c>
      <c r="F119" s="64" t="s">
        <v>9</v>
      </c>
      <c r="G119" s="64">
        <v>0</v>
      </c>
      <c r="H119" s="64" t="s">
        <v>8</v>
      </c>
      <c r="I119" s="64" t="s">
        <v>2</v>
      </c>
      <c r="J119" s="33"/>
      <c r="K119" s="65">
        <v>31412</v>
      </c>
      <c r="L119" s="66">
        <f t="shared" si="7"/>
        <v>1985</v>
      </c>
      <c r="M119" s="67">
        <f t="shared" si="4"/>
        <v>34</v>
      </c>
      <c r="N119" s="64" t="s">
        <v>3</v>
      </c>
      <c r="O119" s="64"/>
      <c r="P119" s="33" t="s">
        <v>12</v>
      </c>
      <c r="Q119" s="64"/>
      <c r="R119" s="33" t="s">
        <v>5</v>
      </c>
    </row>
    <row r="120" spans="2:18" s="63" customFormat="1">
      <c r="B120" s="137"/>
      <c r="C120" s="137"/>
      <c r="D120" s="64">
        <v>113</v>
      </c>
      <c r="E120" s="33" t="s">
        <v>576</v>
      </c>
      <c r="F120" s="64" t="s">
        <v>13</v>
      </c>
      <c r="G120" s="64">
        <v>0</v>
      </c>
      <c r="H120" s="64" t="s">
        <v>8</v>
      </c>
      <c r="I120" s="64" t="s">
        <v>11</v>
      </c>
      <c r="J120" s="33"/>
      <c r="K120" s="65">
        <v>40456</v>
      </c>
      <c r="L120" s="66">
        <f t="shared" si="7"/>
        <v>2010</v>
      </c>
      <c r="M120" s="67">
        <f t="shared" si="4"/>
        <v>9</v>
      </c>
      <c r="N120" s="64" t="s">
        <v>3</v>
      </c>
      <c r="O120" s="64"/>
      <c r="P120" s="33" t="s">
        <v>4</v>
      </c>
      <c r="Q120" s="64"/>
      <c r="R120" s="33" t="s">
        <v>4</v>
      </c>
    </row>
    <row r="121" spans="2:18" s="63" customFormat="1">
      <c r="B121" s="137">
        <v>44</v>
      </c>
      <c r="C121" s="137"/>
      <c r="D121" s="64">
        <v>114</v>
      </c>
      <c r="E121" s="33" t="s">
        <v>577</v>
      </c>
      <c r="F121" s="64" t="s">
        <v>6</v>
      </c>
      <c r="G121" s="64" t="s">
        <v>578</v>
      </c>
      <c r="H121" s="64" t="s">
        <v>1</v>
      </c>
      <c r="I121" s="64" t="s">
        <v>2</v>
      </c>
      <c r="J121" s="33"/>
      <c r="K121" s="65">
        <v>28112</v>
      </c>
      <c r="L121" s="66">
        <f t="shared" si="7"/>
        <v>1976</v>
      </c>
      <c r="M121" s="67">
        <f t="shared" si="4"/>
        <v>43</v>
      </c>
      <c r="N121" s="64" t="s">
        <v>3</v>
      </c>
      <c r="O121" s="64"/>
      <c r="P121" s="33" t="s">
        <v>4</v>
      </c>
      <c r="Q121" s="64"/>
      <c r="R121" s="33" t="s">
        <v>5</v>
      </c>
    </row>
    <row r="122" spans="2:18" s="63" customFormat="1">
      <c r="B122" s="137"/>
      <c r="C122" s="137"/>
      <c r="D122" s="64">
        <v>115</v>
      </c>
      <c r="E122" s="33" t="s">
        <v>579</v>
      </c>
      <c r="F122" s="64" t="s">
        <v>9</v>
      </c>
      <c r="G122" s="64" t="s">
        <v>580</v>
      </c>
      <c r="H122" s="64" t="s">
        <v>8</v>
      </c>
      <c r="I122" s="64" t="s">
        <v>2</v>
      </c>
      <c r="J122" s="33"/>
      <c r="K122" s="65">
        <v>29555</v>
      </c>
      <c r="L122" s="66">
        <f t="shared" si="7"/>
        <v>1980</v>
      </c>
      <c r="M122" s="67">
        <f t="shared" si="4"/>
        <v>39</v>
      </c>
      <c r="N122" s="64" t="s">
        <v>3</v>
      </c>
      <c r="O122" s="64"/>
      <c r="P122" s="33" t="s">
        <v>4</v>
      </c>
      <c r="Q122" s="64"/>
      <c r="R122" s="33" t="s">
        <v>5</v>
      </c>
    </row>
    <row r="123" spans="2:18" s="63" customFormat="1">
      <c r="B123" s="137"/>
      <c r="C123" s="137"/>
      <c r="D123" s="64">
        <v>116</v>
      </c>
      <c r="E123" s="33" t="s">
        <v>581</v>
      </c>
      <c r="F123" s="64" t="s">
        <v>13</v>
      </c>
      <c r="G123" s="64" t="s">
        <v>582</v>
      </c>
      <c r="H123" s="64" t="s">
        <v>8</v>
      </c>
      <c r="I123" s="64" t="s">
        <v>11</v>
      </c>
      <c r="J123" s="33"/>
      <c r="K123" s="65">
        <v>37382</v>
      </c>
      <c r="L123" s="66">
        <f t="shared" si="7"/>
        <v>2002</v>
      </c>
      <c r="M123" s="67">
        <f t="shared" si="4"/>
        <v>17</v>
      </c>
      <c r="N123" s="64" t="s">
        <v>3</v>
      </c>
      <c r="O123" s="64"/>
      <c r="P123" s="33" t="s">
        <v>28</v>
      </c>
      <c r="Q123" s="64"/>
      <c r="R123" s="33" t="s">
        <v>4</v>
      </c>
    </row>
    <row r="124" spans="2:18" s="63" customFormat="1">
      <c r="B124" s="137"/>
      <c r="C124" s="137"/>
      <c r="D124" s="64">
        <v>117</v>
      </c>
      <c r="E124" s="33" t="s">
        <v>583</v>
      </c>
      <c r="F124" s="64" t="s">
        <v>13</v>
      </c>
      <c r="G124" s="64" t="s">
        <v>584</v>
      </c>
      <c r="H124" s="64" t="s">
        <v>8</v>
      </c>
      <c r="I124" s="64" t="s">
        <v>11</v>
      </c>
      <c r="J124" s="33"/>
      <c r="K124" s="65">
        <v>40379</v>
      </c>
      <c r="L124" s="66">
        <f t="shared" si="7"/>
        <v>2010</v>
      </c>
      <c r="M124" s="67">
        <f t="shared" si="4"/>
        <v>9</v>
      </c>
      <c r="N124" s="64" t="s">
        <v>3</v>
      </c>
      <c r="O124" s="64"/>
      <c r="P124" s="33" t="s">
        <v>4</v>
      </c>
      <c r="Q124" s="64"/>
      <c r="R124" s="33" t="s">
        <v>4</v>
      </c>
    </row>
    <row r="125" spans="2:18" s="63" customFormat="1" ht="25.5">
      <c r="B125" s="137">
        <v>45</v>
      </c>
      <c r="C125" s="137" t="s">
        <v>1850</v>
      </c>
      <c r="D125" s="64">
        <v>118</v>
      </c>
      <c r="E125" s="33" t="s">
        <v>624</v>
      </c>
      <c r="F125" s="64" t="s">
        <v>6</v>
      </c>
      <c r="G125" s="64" t="s">
        <v>1852</v>
      </c>
      <c r="H125" s="64" t="s">
        <v>1</v>
      </c>
      <c r="I125" s="64" t="s">
        <v>2</v>
      </c>
      <c r="J125" s="33" t="s">
        <v>1172</v>
      </c>
      <c r="K125" s="65">
        <v>21582</v>
      </c>
      <c r="L125" s="66">
        <v>1959</v>
      </c>
      <c r="M125" s="67">
        <f t="shared" si="4"/>
        <v>60</v>
      </c>
      <c r="N125" s="64" t="s">
        <v>3</v>
      </c>
      <c r="O125" s="64" t="s">
        <v>1169</v>
      </c>
      <c r="P125" s="33" t="s">
        <v>1181</v>
      </c>
      <c r="Q125" s="64"/>
      <c r="R125" s="33" t="s">
        <v>1178</v>
      </c>
    </row>
    <row r="126" spans="2:18" s="63" customFormat="1">
      <c r="B126" s="137"/>
      <c r="C126" s="137"/>
      <c r="D126" s="64">
        <v>119</v>
      </c>
      <c r="E126" s="33" t="s">
        <v>625</v>
      </c>
      <c r="F126" s="64" t="s">
        <v>9</v>
      </c>
      <c r="G126" s="64" t="s">
        <v>626</v>
      </c>
      <c r="H126" s="64" t="s">
        <v>8</v>
      </c>
      <c r="I126" s="64" t="s">
        <v>2</v>
      </c>
      <c r="J126" s="33" t="s">
        <v>1166</v>
      </c>
      <c r="K126" s="65">
        <v>20376</v>
      </c>
      <c r="L126" s="66">
        <v>1955</v>
      </c>
      <c r="M126" s="67">
        <f t="shared" si="4"/>
        <v>64</v>
      </c>
      <c r="N126" s="64" t="s">
        <v>3</v>
      </c>
      <c r="O126" s="64" t="s">
        <v>1169</v>
      </c>
      <c r="P126" s="33" t="s">
        <v>1181</v>
      </c>
      <c r="Q126" s="64"/>
      <c r="R126" s="33" t="s">
        <v>1167</v>
      </c>
    </row>
    <row r="127" spans="2:18" s="63" customFormat="1" ht="25.5">
      <c r="B127" s="137"/>
      <c r="C127" s="137"/>
      <c r="D127" s="64">
        <v>120</v>
      </c>
      <c r="E127" s="33" t="s">
        <v>1851</v>
      </c>
      <c r="F127" s="64" t="s">
        <v>13</v>
      </c>
      <c r="G127" s="64" t="s">
        <v>1853</v>
      </c>
      <c r="H127" s="64" t="s">
        <v>1</v>
      </c>
      <c r="I127" s="64" t="s">
        <v>11</v>
      </c>
      <c r="J127" s="33" t="s">
        <v>1166</v>
      </c>
      <c r="K127" s="65">
        <v>28612</v>
      </c>
      <c r="L127" s="66">
        <v>1978</v>
      </c>
      <c r="M127" s="67">
        <f t="shared" si="4"/>
        <v>41</v>
      </c>
      <c r="N127" s="64" t="s">
        <v>3</v>
      </c>
      <c r="O127" s="64" t="s">
        <v>1169</v>
      </c>
      <c r="P127" s="33" t="s">
        <v>1181</v>
      </c>
      <c r="Q127" s="64"/>
      <c r="R127" s="33" t="s">
        <v>1178</v>
      </c>
    </row>
    <row r="128" spans="2:18" s="63" customFormat="1" ht="25.5">
      <c r="B128" s="137"/>
      <c r="C128" s="137"/>
      <c r="D128" s="64">
        <v>121</v>
      </c>
      <c r="E128" s="33" t="s">
        <v>627</v>
      </c>
      <c r="F128" s="64" t="s">
        <v>13</v>
      </c>
      <c r="G128" s="64" t="s">
        <v>628</v>
      </c>
      <c r="H128" s="64" t="s">
        <v>1</v>
      </c>
      <c r="I128" s="64" t="s">
        <v>11</v>
      </c>
      <c r="J128" s="33" t="s">
        <v>1166</v>
      </c>
      <c r="K128" s="65">
        <v>30150</v>
      </c>
      <c r="L128" s="66">
        <v>1982</v>
      </c>
      <c r="M128" s="67">
        <f t="shared" si="4"/>
        <v>37</v>
      </c>
      <c r="N128" s="64" t="s">
        <v>3</v>
      </c>
      <c r="O128" s="64" t="s">
        <v>1169</v>
      </c>
      <c r="P128" s="33" t="s">
        <v>1177</v>
      </c>
      <c r="Q128" s="64"/>
      <c r="R128" s="33" t="s">
        <v>1178</v>
      </c>
    </row>
    <row r="129" spans="2:18" s="63" customFormat="1" ht="25.5">
      <c r="B129" s="137">
        <v>46</v>
      </c>
      <c r="C129" s="137" t="s">
        <v>1621</v>
      </c>
      <c r="D129" s="64">
        <v>122</v>
      </c>
      <c r="E129" s="33" t="s">
        <v>209</v>
      </c>
      <c r="F129" s="64" t="s">
        <v>6</v>
      </c>
      <c r="G129" s="64" t="s">
        <v>1622</v>
      </c>
      <c r="H129" s="64" t="s">
        <v>1</v>
      </c>
      <c r="I129" s="64" t="s">
        <v>1221</v>
      </c>
      <c r="J129" s="33" t="s">
        <v>1166</v>
      </c>
      <c r="K129" s="65">
        <v>25871</v>
      </c>
      <c r="L129" s="66">
        <v>1970</v>
      </c>
      <c r="M129" s="67">
        <f t="shared" si="4"/>
        <v>49</v>
      </c>
      <c r="N129" s="64" t="s">
        <v>3</v>
      </c>
      <c r="O129" s="64" t="s">
        <v>1169</v>
      </c>
      <c r="P129" s="33" t="s">
        <v>1181</v>
      </c>
      <c r="Q129" s="64"/>
      <c r="R129" s="33" t="s">
        <v>1178</v>
      </c>
    </row>
    <row r="130" spans="2:18" s="63" customFormat="1">
      <c r="B130" s="137"/>
      <c r="C130" s="137"/>
      <c r="D130" s="64">
        <v>123</v>
      </c>
      <c r="E130" s="33" t="s">
        <v>1514</v>
      </c>
      <c r="F130" s="64" t="s">
        <v>13</v>
      </c>
      <c r="G130" s="64" t="s">
        <v>1515</v>
      </c>
      <c r="H130" s="64" t="s">
        <v>1</v>
      </c>
      <c r="I130" s="64" t="s">
        <v>11</v>
      </c>
      <c r="J130" s="33" t="s">
        <v>1166</v>
      </c>
      <c r="K130" s="65">
        <v>36431</v>
      </c>
      <c r="L130" s="66">
        <v>1999</v>
      </c>
      <c r="M130" s="67">
        <f t="shared" si="4"/>
        <v>20</v>
      </c>
      <c r="N130" s="64" t="s">
        <v>3</v>
      </c>
      <c r="O130" s="64" t="s">
        <v>1169</v>
      </c>
      <c r="P130" s="33" t="s">
        <v>1199</v>
      </c>
      <c r="Q130" s="64"/>
      <c r="R130" s="33" t="s">
        <v>1175</v>
      </c>
    </row>
    <row r="131" spans="2:18" s="63" customFormat="1">
      <c r="B131" s="137">
        <v>47</v>
      </c>
      <c r="C131" s="137" t="s">
        <v>1288</v>
      </c>
      <c r="D131" s="64">
        <v>124</v>
      </c>
      <c r="E131" s="33" t="s">
        <v>790</v>
      </c>
      <c r="F131" s="64" t="s">
        <v>6</v>
      </c>
      <c r="G131" s="64" t="s">
        <v>1291</v>
      </c>
      <c r="H131" s="64" t="s">
        <v>1</v>
      </c>
      <c r="I131" s="64" t="s">
        <v>2</v>
      </c>
      <c r="J131" s="33" t="s">
        <v>1166</v>
      </c>
      <c r="K131" s="65">
        <v>25568</v>
      </c>
      <c r="L131" s="66">
        <v>1969</v>
      </c>
      <c r="M131" s="67">
        <f t="shared" si="4"/>
        <v>50</v>
      </c>
      <c r="N131" s="64" t="s">
        <v>3</v>
      </c>
      <c r="O131" s="64" t="s">
        <v>1169</v>
      </c>
      <c r="P131" s="33" t="s">
        <v>1181</v>
      </c>
      <c r="Q131" s="64"/>
      <c r="R131" s="33" t="s">
        <v>85</v>
      </c>
    </row>
    <row r="132" spans="2:18" s="63" customFormat="1" ht="25.5">
      <c r="B132" s="137"/>
      <c r="C132" s="137"/>
      <c r="D132" s="64">
        <v>125</v>
      </c>
      <c r="E132" s="33" t="s">
        <v>1709</v>
      </c>
      <c r="F132" s="64" t="s">
        <v>9</v>
      </c>
      <c r="G132" s="64" t="s">
        <v>1710</v>
      </c>
      <c r="H132" s="64" t="s">
        <v>8</v>
      </c>
      <c r="I132" s="64" t="s">
        <v>2</v>
      </c>
      <c r="J132" s="33" t="s">
        <v>1172</v>
      </c>
      <c r="K132" s="65">
        <v>25020</v>
      </c>
      <c r="L132" s="66">
        <v>1968</v>
      </c>
      <c r="M132" s="67">
        <f t="shared" si="4"/>
        <v>51</v>
      </c>
      <c r="N132" s="64" t="s">
        <v>3</v>
      </c>
      <c r="O132" s="64" t="s">
        <v>1169</v>
      </c>
      <c r="P132" s="33" t="s">
        <v>1177</v>
      </c>
      <c r="Q132" s="64"/>
      <c r="R132" s="33" t="s">
        <v>1200</v>
      </c>
    </row>
    <row r="133" spans="2:18" s="63" customFormat="1">
      <c r="B133" s="64">
        <v>48</v>
      </c>
      <c r="C133" s="64"/>
      <c r="D133" s="64">
        <v>126</v>
      </c>
      <c r="E133" s="33" t="s">
        <v>599</v>
      </c>
      <c r="F133" s="64" t="s">
        <v>6</v>
      </c>
      <c r="G133" s="64" t="s">
        <v>600</v>
      </c>
      <c r="H133" s="64" t="s">
        <v>8</v>
      </c>
      <c r="I133" s="64" t="s">
        <v>18</v>
      </c>
      <c r="J133" s="33"/>
      <c r="K133" s="65">
        <v>26481</v>
      </c>
      <c r="L133" s="66">
        <f t="shared" ref="L133:L137" si="8">YEAR(K133)</f>
        <v>1972</v>
      </c>
      <c r="M133" s="67">
        <f t="shared" si="4"/>
        <v>47</v>
      </c>
      <c r="N133" s="64" t="s">
        <v>3</v>
      </c>
      <c r="O133" s="64"/>
      <c r="P133" s="33" t="s">
        <v>4</v>
      </c>
      <c r="Q133" s="64"/>
      <c r="R133" s="33" t="s">
        <v>5</v>
      </c>
    </row>
    <row r="134" spans="2:18" s="63" customFormat="1">
      <c r="B134" s="137">
        <v>49</v>
      </c>
      <c r="C134" s="137"/>
      <c r="D134" s="64">
        <v>127</v>
      </c>
      <c r="E134" s="33" t="s">
        <v>601</v>
      </c>
      <c r="F134" s="64" t="s">
        <v>6</v>
      </c>
      <c r="G134" s="64" t="s">
        <v>603</v>
      </c>
      <c r="H134" s="64" t="s">
        <v>1</v>
      </c>
      <c r="I134" s="64" t="s">
        <v>602</v>
      </c>
      <c r="J134" s="33"/>
      <c r="K134" s="65">
        <v>28490</v>
      </c>
      <c r="L134" s="66">
        <f t="shared" si="8"/>
        <v>1977</v>
      </c>
      <c r="M134" s="67">
        <f t="shared" si="4"/>
        <v>42</v>
      </c>
      <c r="N134" s="64" t="s">
        <v>3</v>
      </c>
      <c r="O134" s="64"/>
      <c r="P134" s="33" t="s">
        <v>4</v>
      </c>
      <c r="Q134" s="64"/>
      <c r="R134" s="33" t="s">
        <v>5</v>
      </c>
    </row>
    <row r="135" spans="2:18" s="63" customFormat="1">
      <c r="B135" s="137"/>
      <c r="C135" s="137"/>
      <c r="D135" s="64">
        <v>128</v>
      </c>
      <c r="E135" s="33" t="s">
        <v>231</v>
      </c>
      <c r="F135" s="64" t="s">
        <v>9</v>
      </c>
      <c r="G135" s="64" t="s">
        <v>604</v>
      </c>
      <c r="H135" s="64" t="s">
        <v>8</v>
      </c>
      <c r="I135" s="64" t="s">
        <v>2</v>
      </c>
      <c r="J135" s="33"/>
      <c r="K135" s="65">
        <v>23011</v>
      </c>
      <c r="L135" s="66">
        <f t="shared" si="8"/>
        <v>1962</v>
      </c>
      <c r="M135" s="67">
        <f t="shared" si="4"/>
        <v>57</v>
      </c>
      <c r="N135" s="64" t="s">
        <v>3</v>
      </c>
      <c r="O135" s="64"/>
      <c r="P135" s="33" t="s">
        <v>4</v>
      </c>
      <c r="Q135" s="64"/>
      <c r="R135" s="33" t="s">
        <v>5</v>
      </c>
    </row>
    <row r="136" spans="2:18" s="63" customFormat="1">
      <c r="B136" s="137"/>
      <c r="C136" s="137"/>
      <c r="D136" s="64">
        <v>129</v>
      </c>
      <c r="E136" s="33" t="s">
        <v>605</v>
      </c>
      <c r="F136" s="64" t="s">
        <v>13</v>
      </c>
      <c r="G136" s="64" t="s">
        <v>606</v>
      </c>
      <c r="H136" s="64" t="s">
        <v>1</v>
      </c>
      <c r="I136" s="64" t="s">
        <v>11</v>
      </c>
      <c r="J136" s="33"/>
      <c r="K136" s="65">
        <v>33969</v>
      </c>
      <c r="L136" s="66">
        <f t="shared" si="8"/>
        <v>1992</v>
      </c>
      <c r="M136" s="67">
        <f t="shared" ref="M136:M199" si="9">2019-L136</f>
        <v>27</v>
      </c>
      <c r="N136" s="64" t="s">
        <v>3</v>
      </c>
      <c r="O136" s="64"/>
      <c r="P136" s="33" t="s">
        <v>16</v>
      </c>
      <c r="Q136" s="64"/>
      <c r="R136" s="33" t="s">
        <v>5</v>
      </c>
    </row>
    <row r="137" spans="2:18" s="63" customFormat="1">
      <c r="B137" s="137"/>
      <c r="C137" s="137"/>
      <c r="D137" s="64">
        <v>130</v>
      </c>
      <c r="E137" s="33" t="s">
        <v>607</v>
      </c>
      <c r="F137" s="64" t="s">
        <v>13</v>
      </c>
      <c r="G137" s="64" t="s">
        <v>608</v>
      </c>
      <c r="H137" s="64" t="s">
        <v>1</v>
      </c>
      <c r="I137" s="64" t="s">
        <v>11</v>
      </c>
      <c r="J137" s="33"/>
      <c r="K137" s="65">
        <v>37621</v>
      </c>
      <c r="L137" s="66">
        <f t="shared" si="8"/>
        <v>2002</v>
      </c>
      <c r="M137" s="67">
        <f t="shared" si="9"/>
        <v>17</v>
      </c>
      <c r="N137" s="64" t="s">
        <v>3</v>
      </c>
      <c r="O137" s="64"/>
      <c r="P137" s="33" t="s">
        <v>4</v>
      </c>
      <c r="Q137" s="64"/>
      <c r="R137" s="33" t="s">
        <v>4</v>
      </c>
    </row>
    <row r="138" spans="2:18" s="63" customFormat="1" ht="25.5">
      <c r="B138" s="137">
        <v>50</v>
      </c>
      <c r="C138" s="137" t="s">
        <v>1819</v>
      </c>
      <c r="D138" s="64">
        <v>131</v>
      </c>
      <c r="E138" s="33" t="s">
        <v>1815</v>
      </c>
      <c r="F138" s="64" t="s">
        <v>6</v>
      </c>
      <c r="G138" s="64" t="s">
        <v>1817</v>
      </c>
      <c r="H138" s="64" t="s">
        <v>1</v>
      </c>
      <c r="I138" s="64" t="s">
        <v>2</v>
      </c>
      <c r="J138" s="33" t="s">
        <v>1206</v>
      </c>
      <c r="K138" s="65">
        <v>28125</v>
      </c>
      <c r="L138" s="66">
        <v>1976</v>
      </c>
      <c r="M138" s="67">
        <f t="shared" si="9"/>
        <v>43</v>
      </c>
      <c r="N138" s="64" t="s">
        <v>3</v>
      </c>
      <c r="O138" s="64" t="s">
        <v>1169</v>
      </c>
      <c r="P138" s="33" t="s">
        <v>1181</v>
      </c>
      <c r="Q138" s="64"/>
      <c r="R138" s="33" t="s">
        <v>1178</v>
      </c>
    </row>
    <row r="139" spans="2:18" s="63" customFormat="1" ht="25.5">
      <c r="B139" s="137"/>
      <c r="C139" s="137"/>
      <c r="D139" s="64">
        <v>132</v>
      </c>
      <c r="E139" s="33" t="s">
        <v>609</v>
      </c>
      <c r="F139" s="64" t="s">
        <v>9</v>
      </c>
      <c r="G139" s="64" t="s">
        <v>610</v>
      </c>
      <c r="H139" s="64" t="s">
        <v>8</v>
      </c>
      <c r="I139" s="64" t="s">
        <v>2</v>
      </c>
      <c r="J139" s="33" t="s">
        <v>1166</v>
      </c>
      <c r="K139" s="65">
        <v>28855</v>
      </c>
      <c r="L139" s="66">
        <v>1978</v>
      </c>
      <c r="M139" s="67">
        <f t="shared" si="9"/>
        <v>41</v>
      </c>
      <c r="N139" s="64" t="s">
        <v>3</v>
      </c>
      <c r="O139" s="64" t="s">
        <v>1169</v>
      </c>
      <c r="P139" s="33" t="s">
        <v>1181</v>
      </c>
      <c r="Q139" s="64"/>
      <c r="R139" s="33" t="s">
        <v>1178</v>
      </c>
    </row>
    <row r="140" spans="2:18" s="63" customFormat="1" ht="25.5">
      <c r="B140" s="137"/>
      <c r="C140" s="137"/>
      <c r="D140" s="64">
        <v>133</v>
      </c>
      <c r="E140" s="33" t="s">
        <v>613</v>
      </c>
      <c r="F140" s="64" t="s">
        <v>13</v>
      </c>
      <c r="G140" s="64" t="s">
        <v>614</v>
      </c>
      <c r="H140" s="64" t="s">
        <v>8</v>
      </c>
      <c r="I140" s="64" t="s">
        <v>11</v>
      </c>
      <c r="J140" s="33" t="s">
        <v>1166</v>
      </c>
      <c r="K140" s="65">
        <v>40091</v>
      </c>
      <c r="L140" s="66">
        <v>2009</v>
      </c>
      <c r="M140" s="67">
        <f t="shared" si="9"/>
        <v>10</v>
      </c>
      <c r="N140" s="64" t="s">
        <v>3</v>
      </c>
      <c r="O140" s="64" t="s">
        <v>1169</v>
      </c>
      <c r="P140" s="33" t="s">
        <v>1177</v>
      </c>
      <c r="Q140" s="64"/>
      <c r="R140" s="33" t="s">
        <v>1192</v>
      </c>
    </row>
    <row r="141" spans="2:18" s="63" customFormat="1" ht="25.5">
      <c r="B141" s="137"/>
      <c r="C141" s="137"/>
      <c r="D141" s="64">
        <v>134</v>
      </c>
      <c r="E141" s="33" t="s">
        <v>1816</v>
      </c>
      <c r="F141" s="64" t="s">
        <v>13</v>
      </c>
      <c r="G141" s="64" t="s">
        <v>1818</v>
      </c>
      <c r="H141" s="64" t="s">
        <v>8</v>
      </c>
      <c r="I141" s="64" t="s">
        <v>11</v>
      </c>
      <c r="J141" s="33" t="s">
        <v>1166</v>
      </c>
      <c r="K141" s="65">
        <v>42312</v>
      </c>
      <c r="L141" s="66">
        <v>2015</v>
      </c>
      <c r="M141" s="67">
        <f t="shared" si="9"/>
        <v>4</v>
      </c>
      <c r="N141" s="64" t="s">
        <v>3</v>
      </c>
      <c r="O141" s="64" t="s">
        <v>1169</v>
      </c>
      <c r="P141" s="33" t="s">
        <v>1177</v>
      </c>
      <c r="Q141" s="64"/>
      <c r="R141" s="33" t="s">
        <v>1192</v>
      </c>
    </row>
    <row r="142" spans="2:18" s="63" customFormat="1">
      <c r="B142" s="64">
        <v>51</v>
      </c>
      <c r="C142" s="64" t="s">
        <v>1272</v>
      </c>
      <c r="D142" s="64">
        <v>135</v>
      </c>
      <c r="E142" s="33" t="s">
        <v>220</v>
      </c>
      <c r="F142" s="64" t="s">
        <v>6</v>
      </c>
      <c r="G142" s="64" t="s">
        <v>1274</v>
      </c>
      <c r="H142" s="64" t="s">
        <v>8</v>
      </c>
      <c r="I142" s="64" t="s">
        <v>1221</v>
      </c>
      <c r="J142" s="33" t="s">
        <v>1166</v>
      </c>
      <c r="K142" s="65">
        <v>24654</v>
      </c>
      <c r="L142" s="66">
        <v>1967</v>
      </c>
      <c r="M142" s="67">
        <f t="shared" si="9"/>
        <v>52</v>
      </c>
      <c r="N142" s="64" t="s">
        <v>3</v>
      </c>
      <c r="O142" s="64" t="s">
        <v>1169</v>
      </c>
      <c r="P142" s="33" t="s">
        <v>1181</v>
      </c>
      <c r="Q142" s="64"/>
      <c r="R142" s="33" t="s">
        <v>1167</v>
      </c>
    </row>
    <row r="143" spans="2:18" s="63" customFormat="1">
      <c r="B143" s="137">
        <v>52</v>
      </c>
      <c r="C143" s="137" t="s">
        <v>1838</v>
      </c>
      <c r="D143" s="64">
        <v>136</v>
      </c>
      <c r="E143" s="33" t="s">
        <v>620</v>
      </c>
      <c r="F143" s="64" t="s">
        <v>6</v>
      </c>
      <c r="G143" s="64" t="s">
        <v>1841</v>
      </c>
      <c r="H143" s="64" t="s">
        <v>1</v>
      </c>
      <c r="I143" s="64" t="s">
        <v>2</v>
      </c>
      <c r="J143" s="33" t="s">
        <v>1166</v>
      </c>
      <c r="K143" s="65">
        <v>30864</v>
      </c>
      <c r="L143" s="66">
        <v>1984</v>
      </c>
      <c r="M143" s="67">
        <f t="shared" si="9"/>
        <v>35</v>
      </c>
      <c r="N143" s="64" t="s">
        <v>3</v>
      </c>
      <c r="O143" s="64" t="s">
        <v>1169</v>
      </c>
      <c r="P143" s="33" t="s">
        <v>1174</v>
      </c>
      <c r="Q143" s="64"/>
      <c r="R143" s="33" t="s">
        <v>85</v>
      </c>
    </row>
    <row r="144" spans="2:18" s="63" customFormat="1" ht="25.5">
      <c r="B144" s="137"/>
      <c r="C144" s="137"/>
      <c r="D144" s="64">
        <v>137</v>
      </c>
      <c r="E144" s="33" t="s">
        <v>621</v>
      </c>
      <c r="F144" s="64" t="s">
        <v>9</v>
      </c>
      <c r="G144" s="64" t="s">
        <v>622</v>
      </c>
      <c r="H144" s="64" t="s">
        <v>8</v>
      </c>
      <c r="I144" s="64" t="s">
        <v>2</v>
      </c>
      <c r="J144" s="33" t="s">
        <v>1843</v>
      </c>
      <c r="K144" s="65">
        <v>33063</v>
      </c>
      <c r="L144" s="66">
        <v>1990</v>
      </c>
      <c r="M144" s="67">
        <f t="shared" si="9"/>
        <v>29</v>
      </c>
      <c r="N144" s="64" t="s">
        <v>3</v>
      </c>
      <c r="O144" s="64" t="s">
        <v>1169</v>
      </c>
      <c r="P144" s="33" t="s">
        <v>1174</v>
      </c>
      <c r="Q144" s="64"/>
      <c r="R144" s="33" t="s">
        <v>1168</v>
      </c>
    </row>
    <row r="145" spans="2:18" s="63" customFormat="1" ht="25.5">
      <c r="B145" s="137"/>
      <c r="C145" s="137"/>
      <c r="D145" s="64">
        <v>138</v>
      </c>
      <c r="E145" s="33" t="s">
        <v>1839</v>
      </c>
      <c r="F145" s="64" t="s">
        <v>13</v>
      </c>
      <c r="G145" s="64" t="s">
        <v>623</v>
      </c>
      <c r="H145" s="64" t="s">
        <v>1</v>
      </c>
      <c r="I145" s="64" t="s">
        <v>11</v>
      </c>
      <c r="J145" s="33" t="s">
        <v>1843</v>
      </c>
      <c r="K145" s="65">
        <v>40012</v>
      </c>
      <c r="L145" s="66">
        <v>2009</v>
      </c>
      <c r="M145" s="67">
        <f t="shared" si="9"/>
        <v>10</v>
      </c>
      <c r="N145" s="64" t="s">
        <v>3</v>
      </c>
      <c r="O145" s="64" t="s">
        <v>1169</v>
      </c>
      <c r="P145" s="33" t="s">
        <v>1176</v>
      </c>
      <c r="Q145" s="64"/>
      <c r="R145" s="33" t="s">
        <v>1175</v>
      </c>
    </row>
    <row r="146" spans="2:18" s="63" customFormat="1" ht="25.5">
      <c r="B146" s="137"/>
      <c r="C146" s="137"/>
      <c r="D146" s="64">
        <v>139</v>
      </c>
      <c r="E146" s="33" t="s">
        <v>1840</v>
      </c>
      <c r="F146" s="64" t="s">
        <v>13</v>
      </c>
      <c r="G146" s="64" t="s">
        <v>1842</v>
      </c>
      <c r="H146" s="64" t="s">
        <v>8</v>
      </c>
      <c r="I146" s="64" t="s">
        <v>11</v>
      </c>
      <c r="J146" s="33" t="s">
        <v>1166</v>
      </c>
      <c r="K146" s="65">
        <v>42684</v>
      </c>
      <c r="L146" s="66">
        <v>2016</v>
      </c>
      <c r="M146" s="67">
        <f t="shared" si="9"/>
        <v>3</v>
      </c>
      <c r="N146" s="64" t="s">
        <v>3</v>
      </c>
      <c r="O146" s="64" t="s">
        <v>1169</v>
      </c>
      <c r="P146" s="33" t="s">
        <v>1177</v>
      </c>
      <c r="Q146" s="64"/>
      <c r="R146" s="33" t="s">
        <v>1192</v>
      </c>
    </row>
    <row r="147" spans="2:18" s="59" customFormat="1" ht="25.5">
      <c r="B147" s="64">
        <v>53</v>
      </c>
      <c r="C147" s="64" t="s">
        <v>1664</v>
      </c>
      <c r="D147" s="64">
        <v>140</v>
      </c>
      <c r="E147" s="33" t="s">
        <v>1665</v>
      </c>
      <c r="F147" s="64" t="s">
        <v>6</v>
      </c>
      <c r="G147" s="64" t="s">
        <v>1666</v>
      </c>
      <c r="H147" s="64" t="s">
        <v>8</v>
      </c>
      <c r="I147" s="64" t="s">
        <v>1221</v>
      </c>
      <c r="J147" s="33" t="s">
        <v>1166</v>
      </c>
      <c r="K147" s="65">
        <v>16619</v>
      </c>
      <c r="L147" s="66">
        <v>1945</v>
      </c>
      <c r="M147" s="67">
        <f t="shared" si="9"/>
        <v>74</v>
      </c>
      <c r="N147" s="64" t="s">
        <v>3</v>
      </c>
      <c r="O147" s="64" t="s">
        <v>1169</v>
      </c>
      <c r="P147" s="33" t="s">
        <v>1177</v>
      </c>
      <c r="Q147" s="64"/>
      <c r="R147" s="33" t="s">
        <v>1178</v>
      </c>
    </row>
    <row r="148" spans="2:18" s="59" customFormat="1" ht="25.5">
      <c r="B148" s="137">
        <v>54</v>
      </c>
      <c r="C148" s="137" t="s">
        <v>1663</v>
      </c>
      <c r="D148" s="64">
        <v>141</v>
      </c>
      <c r="E148" s="33" t="s">
        <v>1634</v>
      </c>
      <c r="F148" s="64" t="s">
        <v>6</v>
      </c>
      <c r="G148" s="64" t="s">
        <v>1637</v>
      </c>
      <c r="H148" s="64" t="s">
        <v>1</v>
      </c>
      <c r="I148" s="64" t="s">
        <v>2</v>
      </c>
      <c r="J148" s="33" t="s">
        <v>1172</v>
      </c>
      <c r="K148" s="65">
        <v>30316</v>
      </c>
      <c r="L148" s="66">
        <v>1982</v>
      </c>
      <c r="M148" s="67">
        <f t="shared" si="9"/>
        <v>37</v>
      </c>
      <c r="N148" s="64" t="s">
        <v>3</v>
      </c>
      <c r="O148" s="64" t="s">
        <v>1169</v>
      </c>
      <c r="P148" s="33" t="s">
        <v>1199</v>
      </c>
      <c r="Q148" s="64"/>
      <c r="R148" s="33" t="s">
        <v>85</v>
      </c>
    </row>
    <row r="149" spans="2:18" s="59" customFormat="1" ht="25.5">
      <c r="B149" s="137"/>
      <c r="C149" s="137"/>
      <c r="D149" s="64">
        <v>142</v>
      </c>
      <c r="E149" s="33" t="s">
        <v>1635</v>
      </c>
      <c r="F149" s="64" t="s">
        <v>9</v>
      </c>
      <c r="G149" s="64" t="s">
        <v>1638</v>
      </c>
      <c r="H149" s="64" t="s">
        <v>8</v>
      </c>
      <c r="I149" s="64" t="s">
        <v>2</v>
      </c>
      <c r="J149" s="33" t="s">
        <v>1172</v>
      </c>
      <c r="K149" s="65">
        <v>30133</v>
      </c>
      <c r="L149" s="66">
        <v>1982</v>
      </c>
      <c r="M149" s="67">
        <f t="shared" si="9"/>
        <v>37</v>
      </c>
      <c r="N149" s="64" t="s">
        <v>3</v>
      </c>
      <c r="O149" s="64" t="s">
        <v>1169</v>
      </c>
      <c r="P149" s="33" t="s">
        <v>1181</v>
      </c>
      <c r="Q149" s="64"/>
      <c r="R149" s="33" t="s">
        <v>1168</v>
      </c>
    </row>
    <row r="150" spans="2:18" s="59" customFormat="1">
      <c r="B150" s="137"/>
      <c r="C150" s="137"/>
      <c r="D150" s="64">
        <v>143</v>
      </c>
      <c r="E150" s="33" t="s">
        <v>1636</v>
      </c>
      <c r="F150" s="64" t="s">
        <v>13</v>
      </c>
      <c r="G150" s="64" t="s">
        <v>1644</v>
      </c>
      <c r="H150" s="64" t="s">
        <v>1</v>
      </c>
      <c r="I150" s="64" t="s">
        <v>150</v>
      </c>
      <c r="J150" s="33" t="s">
        <v>1166</v>
      </c>
      <c r="K150" s="65">
        <v>36662</v>
      </c>
      <c r="L150" s="66">
        <v>2000</v>
      </c>
      <c r="M150" s="67">
        <f t="shared" si="9"/>
        <v>19</v>
      </c>
      <c r="N150" s="64" t="s">
        <v>3</v>
      </c>
      <c r="O150" s="64" t="s">
        <v>1169</v>
      </c>
      <c r="P150" s="33" t="s">
        <v>1199</v>
      </c>
      <c r="Q150" s="64"/>
      <c r="R150" s="33" t="s">
        <v>1175</v>
      </c>
    </row>
    <row r="151" spans="2:18" s="59" customFormat="1">
      <c r="B151" s="137">
        <v>55</v>
      </c>
      <c r="C151" s="137" t="s">
        <v>1641</v>
      </c>
      <c r="D151" s="64">
        <v>144</v>
      </c>
      <c r="E151" s="33" t="s">
        <v>53</v>
      </c>
      <c r="F151" s="64" t="s">
        <v>6</v>
      </c>
      <c r="G151" s="64" t="s">
        <v>1645</v>
      </c>
      <c r="H151" s="64" t="s">
        <v>1</v>
      </c>
      <c r="I151" s="64" t="s">
        <v>2</v>
      </c>
      <c r="J151" s="33" t="s">
        <v>1166</v>
      </c>
      <c r="K151" s="65">
        <v>31245</v>
      </c>
      <c r="L151" s="66">
        <v>1985</v>
      </c>
      <c r="M151" s="67">
        <f t="shared" si="9"/>
        <v>34</v>
      </c>
      <c r="N151" s="64" t="s">
        <v>3</v>
      </c>
      <c r="O151" s="64" t="s">
        <v>1169</v>
      </c>
      <c r="P151" s="33" t="s">
        <v>1174</v>
      </c>
      <c r="Q151" s="64"/>
      <c r="R151" s="33" t="s">
        <v>85</v>
      </c>
    </row>
    <row r="152" spans="2:18" s="59" customFormat="1" ht="25.5">
      <c r="B152" s="137"/>
      <c r="C152" s="137"/>
      <c r="D152" s="64">
        <v>145</v>
      </c>
      <c r="E152" s="33" t="s">
        <v>1642</v>
      </c>
      <c r="F152" s="64" t="s">
        <v>9</v>
      </c>
      <c r="G152" s="64" t="s">
        <v>1659</v>
      </c>
      <c r="H152" s="64" t="s">
        <v>8</v>
      </c>
      <c r="I152" s="64" t="s">
        <v>2</v>
      </c>
      <c r="J152" s="33" t="s">
        <v>1166</v>
      </c>
      <c r="K152" s="65">
        <v>32185</v>
      </c>
      <c r="L152" s="66">
        <v>1988</v>
      </c>
      <c r="M152" s="67">
        <f t="shared" si="9"/>
        <v>31</v>
      </c>
      <c r="N152" s="64" t="s">
        <v>3</v>
      </c>
      <c r="O152" s="64" t="s">
        <v>1169</v>
      </c>
      <c r="P152" s="33" t="s">
        <v>1174</v>
      </c>
      <c r="Q152" s="64"/>
      <c r="R152" s="33" t="s">
        <v>1168</v>
      </c>
    </row>
    <row r="153" spans="2:18" s="59" customFormat="1" ht="25.5">
      <c r="B153" s="137"/>
      <c r="C153" s="137"/>
      <c r="D153" s="64">
        <v>146</v>
      </c>
      <c r="E153" s="33" t="s">
        <v>1643</v>
      </c>
      <c r="F153" s="64" t="s">
        <v>13</v>
      </c>
      <c r="G153" s="64" t="s">
        <v>1646</v>
      </c>
      <c r="H153" s="64" t="s">
        <v>1</v>
      </c>
      <c r="I153" s="64" t="s">
        <v>150</v>
      </c>
      <c r="J153" s="33" t="s">
        <v>1166</v>
      </c>
      <c r="K153" s="65">
        <v>40574</v>
      </c>
      <c r="L153" s="66">
        <v>2011</v>
      </c>
      <c r="M153" s="67">
        <f t="shared" si="9"/>
        <v>8</v>
      </c>
      <c r="N153" s="64" t="s">
        <v>3</v>
      </c>
      <c r="O153" s="64" t="s">
        <v>1169</v>
      </c>
      <c r="P153" s="33" t="s">
        <v>1177</v>
      </c>
      <c r="Q153" s="64"/>
      <c r="R153" s="33" t="s">
        <v>1192</v>
      </c>
    </row>
    <row r="154" spans="2:18" s="59" customFormat="1" ht="25.5">
      <c r="B154" s="137">
        <v>56</v>
      </c>
      <c r="C154" s="137" t="s">
        <v>1655</v>
      </c>
      <c r="D154" s="64">
        <v>147</v>
      </c>
      <c r="E154" s="33" t="s">
        <v>1656</v>
      </c>
      <c r="F154" s="64" t="s">
        <v>6</v>
      </c>
      <c r="G154" s="64" t="s">
        <v>1660</v>
      </c>
      <c r="H154" s="64" t="s">
        <v>1</v>
      </c>
      <c r="I154" s="64" t="s">
        <v>2</v>
      </c>
      <c r="J154" s="33" t="s">
        <v>1172</v>
      </c>
      <c r="K154" s="65">
        <v>19541</v>
      </c>
      <c r="L154" s="66">
        <v>1953</v>
      </c>
      <c r="M154" s="67">
        <f t="shared" si="9"/>
        <v>66</v>
      </c>
      <c r="N154" s="64" t="s">
        <v>3</v>
      </c>
      <c r="O154" s="64" t="s">
        <v>1169</v>
      </c>
      <c r="P154" s="33" t="s">
        <v>1181</v>
      </c>
      <c r="Q154" s="64"/>
      <c r="R154" s="33" t="s">
        <v>1300</v>
      </c>
    </row>
    <row r="155" spans="2:18" s="59" customFormat="1" ht="25.5">
      <c r="B155" s="137"/>
      <c r="C155" s="137"/>
      <c r="D155" s="64">
        <v>148</v>
      </c>
      <c r="E155" s="33" t="s">
        <v>1657</v>
      </c>
      <c r="F155" s="64" t="s">
        <v>9</v>
      </c>
      <c r="G155" s="64" t="s">
        <v>1661</v>
      </c>
      <c r="H155" s="64" t="s">
        <v>8</v>
      </c>
      <c r="I155" s="64" t="s">
        <v>2</v>
      </c>
      <c r="J155" s="33" t="s">
        <v>1172</v>
      </c>
      <c r="K155" s="65">
        <v>22828</v>
      </c>
      <c r="L155" s="66">
        <v>1962</v>
      </c>
      <c r="M155" s="67">
        <f t="shared" si="9"/>
        <v>57</v>
      </c>
      <c r="N155" s="64" t="s">
        <v>3</v>
      </c>
      <c r="O155" s="64" t="s">
        <v>1169</v>
      </c>
      <c r="P155" s="33" t="s">
        <v>1177</v>
      </c>
      <c r="Q155" s="64"/>
      <c r="R155" s="33" t="s">
        <v>1168</v>
      </c>
    </row>
    <row r="156" spans="2:18" s="59" customFormat="1" ht="25.5">
      <c r="B156" s="137"/>
      <c r="C156" s="137"/>
      <c r="D156" s="64">
        <v>149</v>
      </c>
      <c r="E156" s="33" t="s">
        <v>1658</v>
      </c>
      <c r="F156" s="64" t="s">
        <v>13</v>
      </c>
      <c r="G156" s="64" t="s">
        <v>1662</v>
      </c>
      <c r="H156" s="64" t="s">
        <v>8</v>
      </c>
      <c r="I156" s="64" t="s">
        <v>150</v>
      </c>
      <c r="J156" s="33" t="s">
        <v>1172</v>
      </c>
      <c r="K156" s="65">
        <v>32936</v>
      </c>
      <c r="L156" s="66">
        <v>1990</v>
      </c>
      <c r="M156" s="67">
        <f t="shared" si="9"/>
        <v>29</v>
      </c>
      <c r="N156" s="64" t="s">
        <v>3</v>
      </c>
      <c r="O156" s="64" t="s">
        <v>1169</v>
      </c>
      <c r="P156" s="33" t="s">
        <v>1174</v>
      </c>
      <c r="Q156" s="64"/>
      <c r="R156" s="33" t="s">
        <v>1192</v>
      </c>
    </row>
    <row r="157" spans="2:18" s="63" customFormat="1" ht="25.5">
      <c r="B157" s="137">
        <v>57</v>
      </c>
      <c r="C157" s="137" t="s">
        <v>1647</v>
      </c>
      <c r="D157" s="64">
        <v>150</v>
      </c>
      <c r="E157" s="33" t="s">
        <v>650</v>
      </c>
      <c r="F157" s="64" t="s">
        <v>6</v>
      </c>
      <c r="G157" s="64" t="s">
        <v>1650</v>
      </c>
      <c r="H157" s="64" t="s">
        <v>1</v>
      </c>
      <c r="I157" s="64" t="s">
        <v>2</v>
      </c>
      <c r="J157" s="33" t="s">
        <v>1172</v>
      </c>
      <c r="K157" s="65">
        <v>27576</v>
      </c>
      <c r="L157" s="66">
        <v>1975</v>
      </c>
      <c r="M157" s="67">
        <f t="shared" si="9"/>
        <v>44</v>
      </c>
      <c r="N157" s="64" t="s">
        <v>3</v>
      </c>
      <c r="O157" s="64" t="s">
        <v>1169</v>
      </c>
      <c r="P157" s="33" t="s">
        <v>1181</v>
      </c>
      <c r="Q157" s="64"/>
      <c r="R157" s="33" t="s">
        <v>85</v>
      </c>
    </row>
    <row r="158" spans="2:18" s="63" customFormat="1" ht="25.5">
      <c r="B158" s="137"/>
      <c r="C158" s="137"/>
      <c r="D158" s="64">
        <v>151</v>
      </c>
      <c r="E158" s="33" t="s">
        <v>1648</v>
      </c>
      <c r="F158" s="64" t="s">
        <v>9</v>
      </c>
      <c r="G158" s="64" t="s">
        <v>1651</v>
      </c>
      <c r="H158" s="64" t="s">
        <v>8</v>
      </c>
      <c r="I158" s="64" t="s">
        <v>2</v>
      </c>
      <c r="J158" s="33" t="s">
        <v>1172</v>
      </c>
      <c r="K158" s="65">
        <v>31533</v>
      </c>
      <c r="L158" s="66">
        <v>1986</v>
      </c>
      <c r="M158" s="67">
        <f t="shared" si="9"/>
        <v>33</v>
      </c>
      <c r="N158" s="64" t="s">
        <v>3</v>
      </c>
      <c r="O158" s="64" t="s">
        <v>1169</v>
      </c>
      <c r="P158" s="33" t="s">
        <v>1199</v>
      </c>
      <c r="Q158" s="64"/>
      <c r="R158" s="33" t="s">
        <v>1168</v>
      </c>
    </row>
    <row r="159" spans="2:18" s="63" customFormat="1">
      <c r="B159" s="137"/>
      <c r="C159" s="137"/>
      <c r="D159" s="64">
        <v>152</v>
      </c>
      <c r="E159" s="33" t="s">
        <v>651</v>
      </c>
      <c r="F159" s="64" t="s">
        <v>13</v>
      </c>
      <c r="G159" s="64" t="s">
        <v>1652</v>
      </c>
      <c r="H159" s="64" t="s">
        <v>8</v>
      </c>
      <c r="I159" s="64" t="s">
        <v>11</v>
      </c>
      <c r="J159" s="33" t="s">
        <v>1166</v>
      </c>
      <c r="K159" s="65">
        <v>37186</v>
      </c>
      <c r="L159" s="66">
        <v>2001</v>
      </c>
      <c r="M159" s="67">
        <f t="shared" si="9"/>
        <v>18</v>
      </c>
      <c r="N159" s="64" t="s">
        <v>3</v>
      </c>
      <c r="O159" s="64" t="s">
        <v>1169</v>
      </c>
      <c r="P159" s="33" t="s">
        <v>1181</v>
      </c>
      <c r="Q159" s="64"/>
      <c r="R159" s="33" t="s">
        <v>1175</v>
      </c>
    </row>
    <row r="160" spans="2:18" s="63" customFormat="1" ht="25.5">
      <c r="B160" s="137"/>
      <c r="C160" s="137"/>
      <c r="D160" s="64">
        <v>153</v>
      </c>
      <c r="E160" s="33" t="s">
        <v>652</v>
      </c>
      <c r="F160" s="64" t="s">
        <v>13</v>
      </c>
      <c r="G160" s="64" t="s">
        <v>1653</v>
      </c>
      <c r="H160" s="64" t="s">
        <v>8</v>
      </c>
      <c r="I160" s="64" t="s">
        <v>11</v>
      </c>
      <c r="J160" s="33" t="s">
        <v>1166</v>
      </c>
      <c r="K160" s="65">
        <v>40461</v>
      </c>
      <c r="L160" s="66">
        <v>2010</v>
      </c>
      <c r="M160" s="67">
        <f t="shared" si="9"/>
        <v>9</v>
      </c>
      <c r="N160" s="64" t="s">
        <v>3</v>
      </c>
      <c r="O160" s="64" t="s">
        <v>1169</v>
      </c>
      <c r="P160" s="33" t="s">
        <v>1177</v>
      </c>
      <c r="Q160" s="64"/>
      <c r="R160" s="33" t="s">
        <v>1192</v>
      </c>
    </row>
    <row r="161" spans="2:18" s="63" customFormat="1" ht="25.5">
      <c r="B161" s="137"/>
      <c r="C161" s="137"/>
      <c r="D161" s="64">
        <v>154</v>
      </c>
      <c r="E161" s="33" t="s">
        <v>1649</v>
      </c>
      <c r="F161" s="64" t="s">
        <v>13</v>
      </c>
      <c r="G161" s="64" t="s">
        <v>1654</v>
      </c>
      <c r="H161" s="64" t="s">
        <v>1</v>
      </c>
      <c r="I161" s="64" t="s">
        <v>11</v>
      </c>
      <c r="J161" s="33" t="s">
        <v>1488</v>
      </c>
      <c r="K161" s="65">
        <v>41884</v>
      </c>
      <c r="L161" s="66">
        <v>2014</v>
      </c>
      <c r="M161" s="67">
        <f t="shared" si="9"/>
        <v>5</v>
      </c>
      <c r="N161" s="64" t="s">
        <v>3</v>
      </c>
      <c r="O161" s="64" t="s">
        <v>1169</v>
      </c>
      <c r="P161" s="33" t="s">
        <v>1177</v>
      </c>
      <c r="Q161" s="64"/>
      <c r="R161" s="33" t="s">
        <v>1192</v>
      </c>
    </row>
    <row r="162" spans="2:18" s="63" customFormat="1">
      <c r="B162" s="137">
        <v>58</v>
      </c>
      <c r="C162" s="137" t="s">
        <v>1369</v>
      </c>
      <c r="D162" s="64">
        <v>155</v>
      </c>
      <c r="E162" s="33" t="s">
        <v>653</v>
      </c>
      <c r="F162" s="64" t="s">
        <v>6</v>
      </c>
      <c r="G162" s="64" t="s">
        <v>654</v>
      </c>
      <c r="H162" s="64" t="s">
        <v>1</v>
      </c>
      <c r="I162" s="64" t="s">
        <v>2</v>
      </c>
      <c r="J162" s="33" t="s">
        <v>1166</v>
      </c>
      <c r="K162" s="65">
        <v>30777</v>
      </c>
      <c r="L162" s="66">
        <v>1984</v>
      </c>
      <c r="M162" s="67">
        <f t="shared" si="9"/>
        <v>35</v>
      </c>
      <c r="N162" s="64" t="s">
        <v>3</v>
      </c>
      <c r="O162" s="64" t="s">
        <v>1169</v>
      </c>
      <c r="P162" s="33" t="s">
        <v>1199</v>
      </c>
      <c r="Q162" s="64"/>
      <c r="R162" s="33" t="s">
        <v>85</v>
      </c>
    </row>
    <row r="163" spans="2:18" s="63" customFormat="1">
      <c r="B163" s="137"/>
      <c r="C163" s="137"/>
      <c r="D163" s="64">
        <v>156</v>
      </c>
      <c r="E163" s="33" t="s">
        <v>503</v>
      </c>
      <c r="F163" s="64" t="s">
        <v>9</v>
      </c>
      <c r="G163" s="64" t="s">
        <v>655</v>
      </c>
      <c r="H163" s="64" t="s">
        <v>8</v>
      </c>
      <c r="I163" s="64" t="s">
        <v>2</v>
      </c>
      <c r="J163" s="33" t="s">
        <v>1370</v>
      </c>
      <c r="K163" s="65">
        <v>31777</v>
      </c>
      <c r="L163" s="66">
        <v>1986</v>
      </c>
      <c r="M163" s="67">
        <f t="shared" si="9"/>
        <v>33</v>
      </c>
      <c r="N163" s="64" t="s">
        <v>3</v>
      </c>
      <c r="O163" s="64" t="s">
        <v>1169</v>
      </c>
      <c r="P163" s="33" t="s">
        <v>1199</v>
      </c>
      <c r="Q163" s="64"/>
      <c r="R163" s="33" t="s">
        <v>85</v>
      </c>
    </row>
    <row r="164" spans="2:18" s="63" customFormat="1" ht="25.5">
      <c r="B164" s="137"/>
      <c r="C164" s="137"/>
      <c r="D164" s="64">
        <v>157</v>
      </c>
      <c r="E164" s="33" t="s">
        <v>656</v>
      </c>
      <c r="F164" s="64" t="s">
        <v>13</v>
      </c>
      <c r="G164" s="64" t="s">
        <v>657</v>
      </c>
      <c r="H164" s="64" t="s">
        <v>8</v>
      </c>
      <c r="I164" s="64" t="s">
        <v>11</v>
      </c>
      <c r="J164" s="33" t="s">
        <v>1166</v>
      </c>
      <c r="K164" s="65">
        <v>40655</v>
      </c>
      <c r="L164" s="66">
        <v>2011</v>
      </c>
      <c r="M164" s="67">
        <f t="shared" si="9"/>
        <v>8</v>
      </c>
      <c r="N164" s="64" t="s">
        <v>3</v>
      </c>
      <c r="O164" s="64" t="s">
        <v>1169</v>
      </c>
      <c r="P164" s="33" t="s">
        <v>1177</v>
      </c>
      <c r="Q164" s="64"/>
      <c r="R164" s="33" t="s">
        <v>1192</v>
      </c>
    </row>
    <row r="165" spans="2:18" s="63" customFormat="1" ht="25.5">
      <c r="B165" s="137">
        <v>59</v>
      </c>
      <c r="C165" s="137" t="s">
        <v>1359</v>
      </c>
      <c r="D165" s="64">
        <v>158</v>
      </c>
      <c r="E165" s="33" t="s">
        <v>1619</v>
      </c>
      <c r="F165" s="64" t="s">
        <v>6</v>
      </c>
      <c r="G165" s="64" t="s">
        <v>1360</v>
      </c>
      <c r="H165" s="64" t="s">
        <v>1</v>
      </c>
      <c r="I165" s="64" t="s">
        <v>2</v>
      </c>
      <c r="J165" s="33" t="s">
        <v>1172</v>
      </c>
      <c r="K165" s="65">
        <v>24654</v>
      </c>
      <c r="L165" s="66">
        <v>1967</v>
      </c>
      <c r="M165" s="67">
        <f t="shared" si="9"/>
        <v>52</v>
      </c>
      <c r="N165" s="64" t="s">
        <v>3</v>
      </c>
      <c r="O165" s="64" t="s">
        <v>1169</v>
      </c>
      <c r="P165" s="33" t="s">
        <v>1177</v>
      </c>
      <c r="Q165" s="64"/>
      <c r="R165" s="33" t="s">
        <v>1178</v>
      </c>
    </row>
    <row r="166" spans="2:18" s="63" customFormat="1" ht="25.5">
      <c r="B166" s="137"/>
      <c r="C166" s="137"/>
      <c r="D166" s="64">
        <v>159</v>
      </c>
      <c r="E166" s="33" t="s">
        <v>659</v>
      </c>
      <c r="F166" s="64" t="s">
        <v>9</v>
      </c>
      <c r="G166" s="64" t="s">
        <v>658</v>
      </c>
      <c r="H166" s="64" t="s">
        <v>8</v>
      </c>
      <c r="I166" s="64" t="s">
        <v>2</v>
      </c>
      <c r="J166" s="33" t="s">
        <v>1166</v>
      </c>
      <c r="K166" s="65">
        <v>25275</v>
      </c>
      <c r="L166" s="66">
        <v>1969</v>
      </c>
      <c r="M166" s="67">
        <f t="shared" si="9"/>
        <v>50</v>
      </c>
      <c r="N166" s="64" t="s">
        <v>3</v>
      </c>
      <c r="O166" s="64" t="s">
        <v>1169</v>
      </c>
      <c r="P166" s="33" t="s">
        <v>1177</v>
      </c>
      <c r="Q166" s="64"/>
      <c r="R166" s="33" t="s">
        <v>1178</v>
      </c>
    </row>
    <row r="167" spans="2:18" s="63" customFormat="1" ht="25.5">
      <c r="B167" s="137"/>
      <c r="C167" s="137"/>
      <c r="D167" s="64">
        <v>160</v>
      </c>
      <c r="E167" s="33" t="s">
        <v>271</v>
      </c>
      <c r="F167" s="64" t="s">
        <v>13</v>
      </c>
      <c r="G167" s="64" t="s">
        <v>660</v>
      </c>
      <c r="H167" s="64" t="s">
        <v>8</v>
      </c>
      <c r="I167" s="64" t="s">
        <v>11</v>
      </c>
      <c r="J167" s="33" t="s">
        <v>1166</v>
      </c>
      <c r="K167" s="65">
        <v>35256</v>
      </c>
      <c r="L167" s="66">
        <v>1996</v>
      </c>
      <c r="M167" s="67">
        <f t="shared" si="9"/>
        <v>23</v>
      </c>
      <c r="N167" s="64" t="s">
        <v>3</v>
      </c>
      <c r="O167" s="64" t="s">
        <v>1169</v>
      </c>
      <c r="P167" s="33" t="s">
        <v>1174</v>
      </c>
      <c r="Q167" s="64"/>
      <c r="R167" s="33" t="s">
        <v>1192</v>
      </c>
    </row>
    <row r="168" spans="2:18" s="63" customFormat="1" ht="25.5">
      <c r="B168" s="137">
        <v>60</v>
      </c>
      <c r="C168" s="137" t="s">
        <v>1668</v>
      </c>
      <c r="D168" s="64">
        <v>161</v>
      </c>
      <c r="E168" s="33" t="s">
        <v>661</v>
      </c>
      <c r="F168" s="64" t="s">
        <v>6</v>
      </c>
      <c r="G168" s="64" t="s">
        <v>1669</v>
      </c>
      <c r="H168" s="64" t="s">
        <v>1</v>
      </c>
      <c r="I168" s="64" t="s">
        <v>2</v>
      </c>
      <c r="J168" s="33" t="s">
        <v>1166</v>
      </c>
      <c r="K168" s="65">
        <v>27518</v>
      </c>
      <c r="L168" s="66">
        <v>1975</v>
      </c>
      <c r="M168" s="67">
        <f t="shared" si="9"/>
        <v>44</v>
      </c>
      <c r="N168" s="64" t="s">
        <v>3</v>
      </c>
      <c r="O168" s="64" t="s">
        <v>1169</v>
      </c>
      <c r="P168" s="33" t="s">
        <v>1177</v>
      </c>
      <c r="Q168" s="64"/>
      <c r="R168" s="33" t="s">
        <v>1178</v>
      </c>
    </row>
    <row r="169" spans="2:18" s="63" customFormat="1" ht="38.25">
      <c r="B169" s="137"/>
      <c r="C169" s="137"/>
      <c r="D169" s="64">
        <v>162</v>
      </c>
      <c r="E169" s="33" t="s">
        <v>1667</v>
      </c>
      <c r="F169" s="64" t="s">
        <v>9</v>
      </c>
      <c r="G169" s="64" t="s">
        <v>1670</v>
      </c>
      <c r="H169" s="64" t="s">
        <v>8</v>
      </c>
      <c r="I169" s="64" t="s">
        <v>2</v>
      </c>
      <c r="J169" s="33" t="s">
        <v>1166</v>
      </c>
      <c r="K169" s="65">
        <v>24837</v>
      </c>
      <c r="L169" s="66">
        <v>1967</v>
      </c>
      <c r="M169" s="67">
        <f t="shared" si="9"/>
        <v>52</v>
      </c>
      <c r="N169" s="64" t="s">
        <v>3</v>
      </c>
      <c r="O169" s="64" t="s">
        <v>1169</v>
      </c>
      <c r="P169" s="33" t="s">
        <v>1181</v>
      </c>
      <c r="Q169" s="64"/>
      <c r="R169" s="33" t="s">
        <v>85</v>
      </c>
    </row>
    <row r="170" spans="2:18" s="63" customFormat="1">
      <c r="B170" s="137"/>
      <c r="C170" s="137"/>
      <c r="D170" s="64">
        <v>163</v>
      </c>
      <c r="E170" s="33" t="s">
        <v>663</v>
      </c>
      <c r="F170" s="64" t="s">
        <v>13</v>
      </c>
      <c r="G170" s="64" t="s">
        <v>1671</v>
      </c>
      <c r="H170" s="64" t="s">
        <v>1</v>
      </c>
      <c r="I170" s="64" t="s">
        <v>11</v>
      </c>
      <c r="J170" s="33" t="s">
        <v>1672</v>
      </c>
      <c r="K170" s="65">
        <v>37256</v>
      </c>
      <c r="L170" s="66">
        <v>2001</v>
      </c>
      <c r="M170" s="67">
        <f t="shared" si="9"/>
        <v>18</v>
      </c>
      <c r="N170" s="64" t="s">
        <v>3</v>
      </c>
      <c r="O170" s="64" t="s">
        <v>1169</v>
      </c>
      <c r="P170" s="33" t="s">
        <v>1181</v>
      </c>
      <c r="Q170" s="64"/>
      <c r="R170" s="33" t="s">
        <v>1175</v>
      </c>
    </row>
    <row r="171" spans="2:18" s="63" customFormat="1">
      <c r="B171" s="137">
        <v>61</v>
      </c>
      <c r="C171" s="137" t="s">
        <v>1268</v>
      </c>
      <c r="D171" s="64">
        <v>164</v>
      </c>
      <c r="E171" s="33" t="s">
        <v>664</v>
      </c>
      <c r="F171" s="64" t="s">
        <v>6</v>
      </c>
      <c r="G171" s="64" t="s">
        <v>665</v>
      </c>
      <c r="H171" s="64" t="s">
        <v>1</v>
      </c>
      <c r="I171" s="64" t="s">
        <v>2</v>
      </c>
      <c r="J171" s="33" t="s">
        <v>1166</v>
      </c>
      <c r="K171" s="65">
        <v>29460</v>
      </c>
      <c r="L171" s="66">
        <v>1980</v>
      </c>
      <c r="M171" s="67">
        <f t="shared" si="9"/>
        <v>39</v>
      </c>
      <c r="N171" s="64" t="s">
        <v>3</v>
      </c>
      <c r="O171" s="64" t="s">
        <v>1169</v>
      </c>
      <c r="P171" s="33" t="s">
        <v>1181</v>
      </c>
      <c r="Q171" s="64"/>
      <c r="R171" s="33" t="s">
        <v>85</v>
      </c>
    </row>
    <row r="172" spans="2:18" s="63" customFormat="1" ht="25.5">
      <c r="B172" s="137"/>
      <c r="C172" s="137"/>
      <c r="D172" s="64">
        <v>165</v>
      </c>
      <c r="E172" s="33" t="s">
        <v>666</v>
      </c>
      <c r="F172" s="64" t="s">
        <v>9</v>
      </c>
      <c r="G172" s="64" t="s">
        <v>1269</v>
      </c>
      <c r="H172" s="64" t="s">
        <v>8</v>
      </c>
      <c r="I172" s="64" t="s">
        <v>2</v>
      </c>
      <c r="J172" s="33" t="s">
        <v>1166</v>
      </c>
      <c r="K172" s="65">
        <v>33238</v>
      </c>
      <c r="L172" s="66">
        <v>1990</v>
      </c>
      <c r="M172" s="67">
        <f t="shared" si="9"/>
        <v>29</v>
      </c>
      <c r="N172" s="64" t="s">
        <v>3</v>
      </c>
      <c r="O172" s="64" t="s">
        <v>1169</v>
      </c>
      <c r="P172" s="33" t="s">
        <v>1181</v>
      </c>
      <c r="Q172" s="64"/>
      <c r="R172" s="33" t="s">
        <v>1168</v>
      </c>
    </row>
    <row r="173" spans="2:18" s="63" customFormat="1" ht="25.5">
      <c r="B173" s="137"/>
      <c r="C173" s="137"/>
      <c r="D173" s="64">
        <v>166</v>
      </c>
      <c r="E173" s="33" t="s">
        <v>667</v>
      </c>
      <c r="F173" s="64" t="s">
        <v>13</v>
      </c>
      <c r="G173" s="64" t="s">
        <v>1270</v>
      </c>
      <c r="H173" s="64" t="s">
        <v>31</v>
      </c>
      <c r="I173" s="64" t="s">
        <v>11</v>
      </c>
      <c r="J173" s="33" t="s">
        <v>1166</v>
      </c>
      <c r="K173" s="65">
        <v>39865</v>
      </c>
      <c r="L173" s="66">
        <v>2009</v>
      </c>
      <c r="M173" s="67">
        <f t="shared" si="9"/>
        <v>10</v>
      </c>
      <c r="N173" s="64" t="s">
        <v>3</v>
      </c>
      <c r="O173" s="64" t="s">
        <v>1169</v>
      </c>
      <c r="P173" s="33" t="s">
        <v>1176</v>
      </c>
      <c r="Q173" s="64"/>
      <c r="R173" s="33" t="s">
        <v>1175</v>
      </c>
    </row>
    <row r="174" spans="2:18" s="63" customFormat="1" ht="25.5">
      <c r="B174" s="137"/>
      <c r="C174" s="137"/>
      <c r="D174" s="64">
        <v>167</v>
      </c>
      <c r="E174" s="33" t="s">
        <v>1267</v>
      </c>
      <c r="F174" s="64" t="s">
        <v>13</v>
      </c>
      <c r="G174" s="64" t="s">
        <v>1271</v>
      </c>
      <c r="H174" s="64" t="s">
        <v>1</v>
      </c>
      <c r="I174" s="64" t="s">
        <v>11</v>
      </c>
      <c r="J174" s="33" t="s">
        <v>1166</v>
      </c>
      <c r="K174" s="65">
        <v>42787</v>
      </c>
      <c r="L174" s="66">
        <v>2017</v>
      </c>
      <c r="M174" s="67">
        <f t="shared" si="9"/>
        <v>2</v>
      </c>
      <c r="N174" s="64" t="s">
        <v>3</v>
      </c>
      <c r="O174" s="64" t="s">
        <v>1169</v>
      </c>
      <c r="P174" s="33" t="s">
        <v>1177</v>
      </c>
      <c r="Q174" s="64"/>
      <c r="R174" s="33" t="s">
        <v>1192</v>
      </c>
    </row>
    <row r="175" spans="2:18" s="63" customFormat="1" ht="25.5">
      <c r="B175" s="137">
        <v>62</v>
      </c>
      <c r="C175" s="137" t="s">
        <v>1185</v>
      </c>
      <c r="D175" s="64">
        <v>168</v>
      </c>
      <c r="E175" s="33" t="s">
        <v>1183</v>
      </c>
      <c r="F175" s="64" t="s">
        <v>6</v>
      </c>
      <c r="G175" s="64" t="s">
        <v>668</v>
      </c>
      <c r="H175" s="64" t="s">
        <v>1</v>
      </c>
      <c r="I175" s="64" t="s">
        <v>2</v>
      </c>
      <c r="J175" s="33" t="s">
        <v>1172</v>
      </c>
      <c r="K175" s="65">
        <v>17349</v>
      </c>
      <c r="L175" s="66">
        <v>1947</v>
      </c>
      <c r="M175" s="67">
        <f t="shared" si="9"/>
        <v>72</v>
      </c>
      <c r="N175" s="64" t="s">
        <v>3</v>
      </c>
      <c r="O175" s="64" t="s">
        <v>1169</v>
      </c>
      <c r="P175" s="33" t="s">
        <v>1177</v>
      </c>
      <c r="Q175" s="64"/>
      <c r="R175" s="33" t="s">
        <v>1167</v>
      </c>
    </row>
    <row r="176" spans="2:18" s="63" customFormat="1" ht="25.5">
      <c r="B176" s="137"/>
      <c r="C176" s="137"/>
      <c r="D176" s="64">
        <v>169</v>
      </c>
      <c r="E176" s="33" t="s">
        <v>1184</v>
      </c>
      <c r="F176" s="64" t="s">
        <v>9</v>
      </c>
      <c r="G176" s="64" t="s">
        <v>1186</v>
      </c>
      <c r="H176" s="64" t="s">
        <v>8</v>
      </c>
      <c r="I176" s="64" t="s">
        <v>2</v>
      </c>
      <c r="J176" s="33" t="s">
        <v>1172</v>
      </c>
      <c r="K176" s="65">
        <v>20271</v>
      </c>
      <c r="L176" s="66">
        <v>1955</v>
      </c>
      <c r="M176" s="67">
        <f t="shared" si="9"/>
        <v>64</v>
      </c>
      <c r="N176" s="64" t="s">
        <v>3</v>
      </c>
      <c r="O176" s="64" t="s">
        <v>1169</v>
      </c>
      <c r="P176" s="33" t="s">
        <v>1177</v>
      </c>
      <c r="Q176" s="64"/>
      <c r="R176" s="33" t="s">
        <v>1167</v>
      </c>
    </row>
    <row r="177" spans="2:18" s="63" customFormat="1" ht="25.5">
      <c r="B177" s="137"/>
      <c r="C177" s="137"/>
      <c r="D177" s="64">
        <v>170</v>
      </c>
      <c r="E177" s="33" t="s">
        <v>662</v>
      </c>
      <c r="F177" s="64" t="s">
        <v>13</v>
      </c>
      <c r="G177" s="64" t="s">
        <v>669</v>
      </c>
      <c r="H177" s="64" t="s">
        <v>8</v>
      </c>
      <c r="I177" s="64" t="s">
        <v>11</v>
      </c>
      <c r="J177" s="33" t="s">
        <v>1172</v>
      </c>
      <c r="K177" s="65">
        <v>29403</v>
      </c>
      <c r="L177" s="66">
        <v>1980</v>
      </c>
      <c r="M177" s="67">
        <f t="shared" si="9"/>
        <v>39</v>
      </c>
      <c r="N177" s="64" t="s">
        <v>3</v>
      </c>
      <c r="O177" s="64" t="s">
        <v>1169</v>
      </c>
      <c r="P177" s="33" t="s">
        <v>1181</v>
      </c>
      <c r="Q177" s="64"/>
      <c r="R177" s="33" t="s">
        <v>1167</v>
      </c>
    </row>
    <row r="178" spans="2:18" s="63" customFormat="1" ht="25.5">
      <c r="B178" s="137">
        <v>63</v>
      </c>
      <c r="C178" s="137" t="s">
        <v>1429</v>
      </c>
      <c r="D178" s="64">
        <v>171</v>
      </c>
      <c r="E178" s="33" t="s">
        <v>459</v>
      </c>
      <c r="F178" s="64" t="s">
        <v>6</v>
      </c>
      <c r="G178" s="64" t="s">
        <v>1431</v>
      </c>
      <c r="H178" s="64" t="s">
        <v>1</v>
      </c>
      <c r="I178" s="64" t="s">
        <v>2</v>
      </c>
      <c r="J178" s="33" t="s">
        <v>1172</v>
      </c>
      <c r="K178" s="65">
        <v>27942</v>
      </c>
      <c r="L178" s="66">
        <v>1976</v>
      </c>
      <c r="M178" s="67">
        <f t="shared" si="9"/>
        <v>43</v>
      </c>
      <c r="N178" s="64" t="s">
        <v>3</v>
      </c>
      <c r="O178" s="64" t="s">
        <v>1169</v>
      </c>
      <c r="P178" s="33" t="s">
        <v>1181</v>
      </c>
      <c r="Q178" s="64"/>
      <c r="R178" s="33" t="s">
        <v>1178</v>
      </c>
    </row>
    <row r="179" spans="2:18" s="63" customFormat="1" ht="25.5">
      <c r="B179" s="137"/>
      <c r="C179" s="137"/>
      <c r="D179" s="64">
        <v>172</v>
      </c>
      <c r="E179" s="33" t="s">
        <v>1430</v>
      </c>
      <c r="F179" s="64" t="s">
        <v>9</v>
      </c>
      <c r="G179" s="64" t="s">
        <v>1432</v>
      </c>
      <c r="H179" s="64" t="s">
        <v>8</v>
      </c>
      <c r="I179" s="64" t="s">
        <v>2</v>
      </c>
      <c r="J179" s="33" t="s">
        <v>1172</v>
      </c>
      <c r="K179" s="65">
        <v>31229</v>
      </c>
      <c r="L179" s="66">
        <v>1985</v>
      </c>
      <c r="M179" s="67">
        <f t="shared" si="9"/>
        <v>34</v>
      </c>
      <c r="N179" s="64" t="s">
        <v>3</v>
      </c>
      <c r="O179" s="64" t="s">
        <v>1169</v>
      </c>
      <c r="P179" s="33" t="s">
        <v>1181</v>
      </c>
      <c r="Q179" s="64"/>
      <c r="R179" s="33" t="s">
        <v>1178</v>
      </c>
    </row>
    <row r="180" spans="2:18" s="63" customFormat="1">
      <c r="B180" s="137"/>
      <c r="C180" s="137"/>
      <c r="D180" s="64">
        <v>173</v>
      </c>
      <c r="E180" s="33" t="s">
        <v>670</v>
      </c>
      <c r="F180" s="64" t="s">
        <v>13</v>
      </c>
      <c r="G180" s="64" t="s">
        <v>671</v>
      </c>
      <c r="H180" s="64" t="s">
        <v>1</v>
      </c>
      <c r="I180" s="64" t="s">
        <v>11</v>
      </c>
      <c r="J180" s="33" t="s">
        <v>1166</v>
      </c>
      <c r="K180" s="65">
        <v>35945</v>
      </c>
      <c r="L180" s="66">
        <v>1998</v>
      </c>
      <c r="M180" s="67">
        <f t="shared" si="9"/>
        <v>21</v>
      </c>
      <c r="N180" s="64" t="s">
        <v>3</v>
      </c>
      <c r="O180" s="64" t="s">
        <v>1169</v>
      </c>
      <c r="P180" s="33" t="s">
        <v>1199</v>
      </c>
      <c r="Q180" s="64"/>
      <c r="R180" s="33" t="s">
        <v>1175</v>
      </c>
    </row>
    <row r="181" spans="2:18" s="63" customFormat="1" ht="25.5">
      <c r="B181" s="137"/>
      <c r="C181" s="137"/>
      <c r="D181" s="64">
        <v>174</v>
      </c>
      <c r="E181" s="33" t="s">
        <v>672</v>
      </c>
      <c r="F181" s="64" t="s">
        <v>13</v>
      </c>
      <c r="G181" s="64" t="s">
        <v>1433</v>
      </c>
      <c r="H181" s="64" t="s">
        <v>1</v>
      </c>
      <c r="I181" s="64" t="s">
        <v>11</v>
      </c>
      <c r="J181" s="33" t="s">
        <v>1166</v>
      </c>
      <c r="K181" s="65">
        <v>38140</v>
      </c>
      <c r="L181" s="66">
        <v>2004</v>
      </c>
      <c r="M181" s="67">
        <f t="shared" si="9"/>
        <v>15</v>
      </c>
      <c r="N181" s="64" t="s">
        <v>3</v>
      </c>
      <c r="O181" s="64" t="s">
        <v>1169</v>
      </c>
      <c r="P181" s="33" t="s">
        <v>1176</v>
      </c>
      <c r="Q181" s="64"/>
      <c r="R181" s="33" t="s">
        <v>1175</v>
      </c>
    </row>
    <row r="182" spans="2:18" s="63" customFormat="1" ht="25.5">
      <c r="B182" s="64">
        <v>64</v>
      </c>
      <c r="C182" s="64" t="s">
        <v>1253</v>
      </c>
      <c r="D182" s="64">
        <v>175</v>
      </c>
      <c r="E182" s="33" t="s">
        <v>673</v>
      </c>
      <c r="F182" s="64" t="s">
        <v>6</v>
      </c>
      <c r="G182" s="64" t="s">
        <v>674</v>
      </c>
      <c r="H182" s="64" t="s">
        <v>8</v>
      </c>
      <c r="I182" s="64" t="s">
        <v>1221</v>
      </c>
      <c r="J182" s="33" t="s">
        <v>1172</v>
      </c>
      <c r="K182" s="65">
        <v>18080</v>
      </c>
      <c r="L182" s="66">
        <v>1949</v>
      </c>
      <c r="M182" s="67">
        <f t="shared" si="9"/>
        <v>70</v>
      </c>
      <c r="N182" s="64" t="s">
        <v>3</v>
      </c>
      <c r="O182" s="64" t="s">
        <v>1169</v>
      </c>
      <c r="P182" s="33" t="s">
        <v>1177</v>
      </c>
      <c r="Q182" s="64"/>
      <c r="R182" s="33" t="s">
        <v>1178</v>
      </c>
    </row>
    <row r="183" spans="2:18" s="63" customFormat="1" ht="25.5">
      <c r="B183" s="137">
        <v>65</v>
      </c>
      <c r="C183" s="137" t="s">
        <v>1576</v>
      </c>
      <c r="D183" s="64">
        <v>176</v>
      </c>
      <c r="E183" s="33" t="s">
        <v>675</v>
      </c>
      <c r="F183" s="64" t="s">
        <v>6</v>
      </c>
      <c r="G183" s="64" t="s">
        <v>676</v>
      </c>
      <c r="H183" s="64" t="s">
        <v>8</v>
      </c>
      <c r="I183" s="64" t="s">
        <v>1221</v>
      </c>
      <c r="J183" s="33" t="s">
        <v>1166</v>
      </c>
      <c r="K183" s="65">
        <v>28855</v>
      </c>
      <c r="L183" s="66">
        <v>1978</v>
      </c>
      <c r="M183" s="67">
        <f t="shared" si="9"/>
        <v>41</v>
      </c>
      <c r="N183" s="64" t="s">
        <v>3</v>
      </c>
      <c r="O183" s="64" t="s">
        <v>1169</v>
      </c>
      <c r="P183" s="33" t="s">
        <v>1181</v>
      </c>
      <c r="Q183" s="64"/>
      <c r="R183" s="33" t="s">
        <v>1178</v>
      </c>
    </row>
    <row r="184" spans="2:18" s="63" customFormat="1" ht="25.5">
      <c r="B184" s="137"/>
      <c r="C184" s="137"/>
      <c r="D184" s="64">
        <v>177</v>
      </c>
      <c r="E184" s="33" t="s">
        <v>677</v>
      </c>
      <c r="F184" s="64" t="s">
        <v>13</v>
      </c>
      <c r="G184" s="64" t="s">
        <v>678</v>
      </c>
      <c r="H184" s="64" t="s">
        <v>1</v>
      </c>
      <c r="I184" s="64" t="s">
        <v>11</v>
      </c>
      <c r="J184" s="33" t="s">
        <v>1166</v>
      </c>
      <c r="K184" s="65">
        <v>37036</v>
      </c>
      <c r="L184" s="66">
        <v>2001</v>
      </c>
      <c r="M184" s="67">
        <f t="shared" si="9"/>
        <v>18</v>
      </c>
      <c r="N184" s="64" t="s">
        <v>3</v>
      </c>
      <c r="O184" s="64" t="s">
        <v>1169</v>
      </c>
      <c r="P184" s="33" t="s">
        <v>1181</v>
      </c>
      <c r="Q184" s="64"/>
      <c r="R184" s="33" t="s">
        <v>1175</v>
      </c>
    </row>
    <row r="185" spans="2:18" s="63" customFormat="1">
      <c r="B185" s="137">
        <v>66</v>
      </c>
      <c r="C185" s="137" t="s">
        <v>1754</v>
      </c>
      <c r="D185" s="64">
        <v>178</v>
      </c>
      <c r="E185" s="33" t="s">
        <v>679</v>
      </c>
      <c r="F185" s="64" t="s">
        <v>6</v>
      </c>
      <c r="G185" s="64" t="s">
        <v>680</v>
      </c>
      <c r="H185" s="64" t="s">
        <v>1</v>
      </c>
      <c r="I185" s="64" t="s">
        <v>2</v>
      </c>
      <c r="J185" s="33" t="s">
        <v>1166</v>
      </c>
      <c r="K185" s="65">
        <v>28125</v>
      </c>
      <c r="L185" s="66">
        <v>1976</v>
      </c>
      <c r="M185" s="67">
        <f t="shared" si="9"/>
        <v>43</v>
      </c>
      <c r="N185" s="64" t="s">
        <v>3</v>
      </c>
      <c r="O185" s="64" t="s">
        <v>1169</v>
      </c>
      <c r="P185" s="33" t="s">
        <v>1181</v>
      </c>
      <c r="Q185" s="64"/>
      <c r="R185" s="33" t="s">
        <v>85</v>
      </c>
    </row>
    <row r="186" spans="2:18" s="63" customFormat="1">
      <c r="B186" s="137"/>
      <c r="C186" s="137"/>
      <c r="D186" s="64">
        <v>179</v>
      </c>
      <c r="E186" s="33" t="s">
        <v>681</v>
      </c>
      <c r="F186" s="64" t="s">
        <v>9</v>
      </c>
      <c r="G186" s="64" t="s">
        <v>682</v>
      </c>
      <c r="H186" s="64" t="s">
        <v>8</v>
      </c>
      <c r="I186" s="64" t="s">
        <v>2</v>
      </c>
      <c r="J186" s="33" t="s">
        <v>1166</v>
      </c>
      <c r="K186" s="65">
        <v>25933</v>
      </c>
      <c r="L186" s="66">
        <v>1970</v>
      </c>
      <c r="M186" s="67">
        <f t="shared" si="9"/>
        <v>49</v>
      </c>
      <c r="N186" s="64" t="s">
        <v>3</v>
      </c>
      <c r="O186" s="64" t="s">
        <v>1169</v>
      </c>
      <c r="P186" s="33" t="s">
        <v>1181</v>
      </c>
      <c r="Q186" s="64"/>
      <c r="R186" s="33" t="s">
        <v>85</v>
      </c>
    </row>
    <row r="187" spans="2:18" s="63" customFormat="1" ht="25.5">
      <c r="B187" s="137"/>
      <c r="C187" s="137"/>
      <c r="D187" s="64">
        <v>180</v>
      </c>
      <c r="E187" s="33" t="s">
        <v>683</v>
      </c>
      <c r="F187" s="64" t="s">
        <v>13</v>
      </c>
      <c r="G187" s="64" t="s">
        <v>1755</v>
      </c>
      <c r="H187" s="64" t="s">
        <v>8</v>
      </c>
      <c r="I187" s="64" t="s">
        <v>11</v>
      </c>
      <c r="J187" s="33" t="s">
        <v>1166</v>
      </c>
      <c r="K187" s="65">
        <v>37416</v>
      </c>
      <c r="L187" s="66">
        <v>2002</v>
      </c>
      <c r="M187" s="67">
        <f t="shared" si="9"/>
        <v>17</v>
      </c>
      <c r="N187" s="64" t="s">
        <v>3</v>
      </c>
      <c r="O187" s="64" t="s">
        <v>1169</v>
      </c>
      <c r="P187" s="33" t="s">
        <v>1176</v>
      </c>
      <c r="Q187" s="64"/>
      <c r="R187" s="33" t="s">
        <v>1175</v>
      </c>
    </row>
    <row r="188" spans="2:18" s="63" customFormat="1" ht="25.5">
      <c r="B188" s="137"/>
      <c r="C188" s="137"/>
      <c r="D188" s="64">
        <v>181</v>
      </c>
      <c r="E188" s="33" t="s">
        <v>685</v>
      </c>
      <c r="F188" s="64" t="s">
        <v>13</v>
      </c>
      <c r="G188" s="64" t="s">
        <v>684</v>
      </c>
      <c r="H188" s="64" t="s">
        <v>1</v>
      </c>
      <c r="I188" s="64" t="s">
        <v>11</v>
      </c>
      <c r="J188" s="33" t="s">
        <v>1166</v>
      </c>
      <c r="K188" s="65">
        <v>39742</v>
      </c>
      <c r="L188" s="66">
        <v>2008</v>
      </c>
      <c r="M188" s="67">
        <f t="shared" si="9"/>
        <v>11</v>
      </c>
      <c r="N188" s="64" t="s">
        <v>3</v>
      </c>
      <c r="O188" s="64" t="s">
        <v>1169</v>
      </c>
      <c r="P188" s="33" t="s">
        <v>1177</v>
      </c>
      <c r="Q188" s="64"/>
      <c r="R188" s="33" t="s">
        <v>1192</v>
      </c>
    </row>
    <row r="189" spans="2:18" s="63" customFormat="1">
      <c r="B189" s="137">
        <v>67</v>
      </c>
      <c r="C189" s="137" t="s">
        <v>1405</v>
      </c>
      <c r="D189" s="64">
        <v>182</v>
      </c>
      <c r="E189" s="33" t="s">
        <v>686</v>
      </c>
      <c r="F189" s="64" t="s">
        <v>6</v>
      </c>
      <c r="G189" s="64" t="s">
        <v>1406</v>
      </c>
      <c r="H189" s="64" t="s">
        <v>1</v>
      </c>
      <c r="I189" s="64" t="s">
        <v>2</v>
      </c>
      <c r="J189" s="33" t="s">
        <v>1166</v>
      </c>
      <c r="K189" s="65">
        <v>21915</v>
      </c>
      <c r="L189" s="66">
        <v>1959</v>
      </c>
      <c r="M189" s="67">
        <f t="shared" si="9"/>
        <v>60</v>
      </c>
      <c r="N189" s="64" t="s">
        <v>3</v>
      </c>
      <c r="O189" s="64" t="s">
        <v>1169</v>
      </c>
      <c r="P189" s="33" t="s">
        <v>1181</v>
      </c>
      <c r="Q189" s="64"/>
      <c r="R189" s="33" t="s">
        <v>85</v>
      </c>
    </row>
    <row r="190" spans="2:18" s="63" customFormat="1" ht="25.5">
      <c r="B190" s="137"/>
      <c r="C190" s="137"/>
      <c r="D190" s="64">
        <v>183</v>
      </c>
      <c r="E190" s="33" t="s">
        <v>687</v>
      </c>
      <c r="F190" s="64" t="s">
        <v>9</v>
      </c>
      <c r="G190" s="64" t="s">
        <v>1407</v>
      </c>
      <c r="H190" s="64" t="s">
        <v>8</v>
      </c>
      <c r="I190" s="64" t="s">
        <v>2</v>
      </c>
      <c r="J190" s="33" t="s">
        <v>1166</v>
      </c>
      <c r="K190" s="65">
        <v>21915</v>
      </c>
      <c r="L190" s="66">
        <v>1959</v>
      </c>
      <c r="M190" s="67">
        <f t="shared" si="9"/>
        <v>60</v>
      </c>
      <c r="N190" s="64" t="s">
        <v>142</v>
      </c>
      <c r="O190" s="64" t="s">
        <v>1169</v>
      </c>
      <c r="P190" s="33" t="s">
        <v>1181</v>
      </c>
      <c r="Q190" s="64"/>
      <c r="R190" s="33" t="s">
        <v>1178</v>
      </c>
    </row>
    <row r="191" spans="2:18" s="63" customFormat="1">
      <c r="B191" s="137"/>
      <c r="C191" s="137"/>
      <c r="D191" s="64">
        <v>184</v>
      </c>
      <c r="E191" s="33" t="s">
        <v>688</v>
      </c>
      <c r="F191" s="64" t="s">
        <v>13</v>
      </c>
      <c r="G191" s="64" t="s">
        <v>1408</v>
      </c>
      <c r="H191" s="64" t="s">
        <v>1</v>
      </c>
      <c r="I191" s="64" t="s">
        <v>11</v>
      </c>
      <c r="J191" s="33" t="s">
        <v>1166</v>
      </c>
      <c r="K191" s="65">
        <v>33769</v>
      </c>
      <c r="L191" s="66">
        <v>1992</v>
      </c>
      <c r="M191" s="67">
        <f t="shared" si="9"/>
        <v>27</v>
      </c>
      <c r="N191" s="64" t="s">
        <v>3</v>
      </c>
      <c r="O191" s="64" t="s">
        <v>1169</v>
      </c>
      <c r="P191" s="33" t="s">
        <v>1199</v>
      </c>
      <c r="Q191" s="64"/>
      <c r="R191" s="33" t="s">
        <v>85</v>
      </c>
    </row>
    <row r="192" spans="2:18" s="60" customFormat="1" ht="25.5">
      <c r="B192" s="138">
        <v>68</v>
      </c>
      <c r="C192" s="138" t="s">
        <v>1783</v>
      </c>
      <c r="D192" s="64">
        <v>185</v>
      </c>
      <c r="E192" s="93" t="s">
        <v>1784</v>
      </c>
      <c r="F192" s="94" t="s">
        <v>6</v>
      </c>
      <c r="G192" s="94" t="s">
        <v>1787</v>
      </c>
      <c r="H192" s="94" t="s">
        <v>1</v>
      </c>
      <c r="I192" s="94" t="s">
        <v>2</v>
      </c>
      <c r="J192" s="93" t="s">
        <v>1250</v>
      </c>
      <c r="K192" s="95">
        <v>31325</v>
      </c>
      <c r="L192" s="96">
        <v>1985</v>
      </c>
      <c r="M192" s="97">
        <f t="shared" si="9"/>
        <v>34</v>
      </c>
      <c r="N192" s="94" t="s">
        <v>3</v>
      </c>
      <c r="O192" s="94" t="s">
        <v>1169</v>
      </c>
      <c r="P192" s="93" t="s">
        <v>1174</v>
      </c>
      <c r="Q192" s="94"/>
      <c r="R192" s="93" t="s">
        <v>1178</v>
      </c>
    </row>
    <row r="193" spans="2:18" s="60" customFormat="1" ht="25.5">
      <c r="B193" s="138"/>
      <c r="C193" s="138"/>
      <c r="D193" s="64">
        <v>186</v>
      </c>
      <c r="E193" s="93" t="s">
        <v>1785</v>
      </c>
      <c r="F193" s="94" t="s">
        <v>9</v>
      </c>
      <c r="G193" s="94" t="s">
        <v>1788</v>
      </c>
      <c r="H193" s="94" t="s">
        <v>8</v>
      </c>
      <c r="I193" s="94" t="s">
        <v>2</v>
      </c>
      <c r="J193" s="93" t="s">
        <v>1166</v>
      </c>
      <c r="K193" s="95">
        <v>32508</v>
      </c>
      <c r="L193" s="96">
        <v>1988</v>
      </c>
      <c r="M193" s="97">
        <f t="shared" si="9"/>
        <v>31</v>
      </c>
      <c r="N193" s="94" t="s">
        <v>3</v>
      </c>
      <c r="O193" s="94" t="s">
        <v>1169</v>
      </c>
      <c r="P193" s="93" t="s">
        <v>1177</v>
      </c>
      <c r="Q193" s="94"/>
      <c r="R193" s="93" t="s">
        <v>1168</v>
      </c>
    </row>
    <row r="194" spans="2:18" s="60" customFormat="1" ht="25.5">
      <c r="B194" s="138"/>
      <c r="C194" s="138"/>
      <c r="D194" s="64">
        <v>187</v>
      </c>
      <c r="E194" s="93" t="s">
        <v>1786</v>
      </c>
      <c r="F194" s="94" t="s">
        <v>13</v>
      </c>
      <c r="G194" s="94" t="s">
        <v>1789</v>
      </c>
      <c r="H194" s="94" t="s">
        <v>8</v>
      </c>
      <c r="I194" s="94" t="s">
        <v>150</v>
      </c>
      <c r="J194" s="93" t="s">
        <v>1250</v>
      </c>
      <c r="K194" s="95">
        <v>42484</v>
      </c>
      <c r="L194" s="96">
        <v>2016</v>
      </c>
      <c r="M194" s="97">
        <f t="shared" si="9"/>
        <v>3</v>
      </c>
      <c r="N194" s="94" t="s">
        <v>3</v>
      </c>
      <c r="O194" s="94" t="s">
        <v>1169</v>
      </c>
      <c r="P194" s="93" t="s">
        <v>1177</v>
      </c>
      <c r="Q194" s="94"/>
      <c r="R194" s="93" t="s">
        <v>1192</v>
      </c>
    </row>
    <row r="195" spans="2:18" s="59" customFormat="1" ht="25.5">
      <c r="B195" s="137">
        <v>69</v>
      </c>
      <c r="C195" s="137" t="s">
        <v>1790</v>
      </c>
      <c r="D195" s="64">
        <v>188</v>
      </c>
      <c r="E195" s="33" t="s">
        <v>937</v>
      </c>
      <c r="F195" s="64" t="s">
        <v>6</v>
      </c>
      <c r="G195" s="64" t="s">
        <v>1791</v>
      </c>
      <c r="H195" s="64" t="s">
        <v>8</v>
      </c>
      <c r="I195" s="64" t="s">
        <v>1221</v>
      </c>
      <c r="J195" s="33" t="s">
        <v>1166</v>
      </c>
      <c r="K195" s="65">
        <v>14976</v>
      </c>
      <c r="L195" s="66">
        <v>1940</v>
      </c>
      <c r="M195" s="67">
        <f t="shared" si="9"/>
        <v>79</v>
      </c>
      <c r="N195" s="64" t="s">
        <v>3</v>
      </c>
      <c r="O195" s="64" t="s">
        <v>1169</v>
      </c>
      <c r="P195" s="33" t="s">
        <v>1177</v>
      </c>
      <c r="Q195" s="64"/>
      <c r="R195" s="33" t="s">
        <v>1168</v>
      </c>
    </row>
    <row r="196" spans="2:18" s="59" customFormat="1">
      <c r="B196" s="137"/>
      <c r="C196" s="137"/>
      <c r="D196" s="64">
        <v>189</v>
      </c>
      <c r="E196" s="33" t="s">
        <v>545</v>
      </c>
      <c r="F196" s="64" t="s">
        <v>13</v>
      </c>
      <c r="G196" s="64" t="s">
        <v>1792</v>
      </c>
      <c r="H196" s="64" t="s">
        <v>1</v>
      </c>
      <c r="I196" s="64" t="s">
        <v>150</v>
      </c>
      <c r="J196" s="33" t="s">
        <v>1166</v>
      </c>
      <c r="K196" s="65">
        <v>27029</v>
      </c>
      <c r="L196" s="66">
        <v>1973</v>
      </c>
      <c r="M196" s="67">
        <f t="shared" si="9"/>
        <v>46</v>
      </c>
      <c r="N196" s="64" t="s">
        <v>3</v>
      </c>
      <c r="O196" s="64" t="s">
        <v>1169</v>
      </c>
      <c r="P196" s="33" t="s">
        <v>1181</v>
      </c>
      <c r="Q196" s="64"/>
      <c r="R196" s="33" t="s">
        <v>1300</v>
      </c>
    </row>
    <row r="197" spans="2:18" s="59" customFormat="1" ht="25.5">
      <c r="B197" s="137">
        <v>70</v>
      </c>
      <c r="C197" s="137" t="s">
        <v>1811</v>
      </c>
      <c r="D197" s="64">
        <v>190</v>
      </c>
      <c r="E197" s="33" t="s">
        <v>209</v>
      </c>
      <c r="F197" s="64" t="s">
        <v>6</v>
      </c>
      <c r="G197" s="64" t="s">
        <v>1812</v>
      </c>
      <c r="H197" s="64" t="s">
        <v>1</v>
      </c>
      <c r="I197" s="64" t="s">
        <v>2</v>
      </c>
      <c r="J197" s="33" t="s">
        <v>1166</v>
      </c>
      <c r="K197" s="65">
        <v>24837</v>
      </c>
      <c r="L197" s="66">
        <v>1967</v>
      </c>
      <c r="M197" s="67">
        <f t="shared" si="9"/>
        <v>52</v>
      </c>
      <c r="N197" s="64" t="s">
        <v>3</v>
      </c>
      <c r="O197" s="64" t="s">
        <v>1169</v>
      </c>
      <c r="P197" s="33" t="s">
        <v>1177</v>
      </c>
      <c r="Q197" s="64"/>
      <c r="R197" s="33" t="s">
        <v>1167</v>
      </c>
    </row>
    <row r="198" spans="2:18" s="59" customFormat="1" ht="25.5">
      <c r="B198" s="137"/>
      <c r="C198" s="137"/>
      <c r="D198" s="64">
        <v>191</v>
      </c>
      <c r="E198" s="33" t="s">
        <v>210</v>
      </c>
      <c r="F198" s="64" t="s">
        <v>9</v>
      </c>
      <c r="G198" s="64" t="s">
        <v>1813</v>
      </c>
      <c r="H198" s="64" t="s">
        <v>8</v>
      </c>
      <c r="I198" s="64" t="s">
        <v>2</v>
      </c>
      <c r="J198" s="33" t="s">
        <v>1172</v>
      </c>
      <c r="K198" s="65">
        <v>25568</v>
      </c>
      <c r="L198" s="66">
        <v>1969</v>
      </c>
      <c r="M198" s="67">
        <f t="shared" si="9"/>
        <v>50</v>
      </c>
      <c r="N198" s="64" t="s">
        <v>3</v>
      </c>
      <c r="O198" s="64" t="s">
        <v>1169</v>
      </c>
      <c r="P198" s="33" t="s">
        <v>1177</v>
      </c>
      <c r="Q198" s="64"/>
      <c r="R198" s="33" t="s">
        <v>1168</v>
      </c>
    </row>
    <row r="199" spans="2:18" s="59" customFormat="1" ht="25.5">
      <c r="B199" s="137"/>
      <c r="C199" s="137"/>
      <c r="D199" s="64">
        <v>192</v>
      </c>
      <c r="E199" s="33" t="s">
        <v>211</v>
      </c>
      <c r="F199" s="64" t="s">
        <v>13</v>
      </c>
      <c r="G199" s="64" t="s">
        <v>1814</v>
      </c>
      <c r="H199" s="64" t="s">
        <v>1</v>
      </c>
      <c r="I199" s="64" t="s">
        <v>150</v>
      </c>
      <c r="J199" s="33" t="s">
        <v>1166</v>
      </c>
      <c r="K199" s="65">
        <v>33312</v>
      </c>
      <c r="L199" s="66">
        <v>1991</v>
      </c>
      <c r="M199" s="67">
        <f t="shared" si="9"/>
        <v>28</v>
      </c>
      <c r="N199" s="64" t="s">
        <v>3</v>
      </c>
      <c r="O199" s="64" t="s">
        <v>1169</v>
      </c>
      <c r="P199" s="33" t="s">
        <v>1174</v>
      </c>
      <c r="Q199" s="64"/>
      <c r="R199" s="33" t="s">
        <v>85</v>
      </c>
    </row>
    <row r="200" spans="2:18" s="63" customFormat="1">
      <c r="B200" s="137">
        <v>71</v>
      </c>
      <c r="C200" s="137" t="s">
        <v>1820</v>
      </c>
      <c r="D200" s="64">
        <v>193</v>
      </c>
      <c r="E200" s="33" t="s">
        <v>1821</v>
      </c>
      <c r="F200" s="64" t="s">
        <v>6</v>
      </c>
      <c r="G200" s="64" t="s">
        <v>1824</v>
      </c>
      <c r="H200" s="64" t="s">
        <v>1</v>
      </c>
      <c r="I200" s="64" t="s">
        <v>2</v>
      </c>
      <c r="J200" s="33" t="s">
        <v>1166</v>
      </c>
      <c r="K200" s="65">
        <v>28125</v>
      </c>
      <c r="L200" s="66">
        <v>1976</v>
      </c>
      <c r="M200" s="67">
        <f t="shared" ref="M200:M263" si="10">2019-L200</f>
        <v>43</v>
      </c>
      <c r="N200" s="64" t="s">
        <v>3</v>
      </c>
      <c r="O200" s="64" t="s">
        <v>1169</v>
      </c>
      <c r="P200" s="33" t="s">
        <v>1199</v>
      </c>
      <c r="Q200" s="64"/>
      <c r="R200" s="33" t="s">
        <v>85</v>
      </c>
    </row>
    <row r="201" spans="2:18" s="63" customFormat="1">
      <c r="B201" s="137"/>
      <c r="C201" s="137"/>
      <c r="D201" s="64">
        <v>194</v>
      </c>
      <c r="E201" s="33" t="s">
        <v>1822</v>
      </c>
      <c r="F201" s="64" t="s">
        <v>9</v>
      </c>
      <c r="G201" s="64" t="s">
        <v>1825</v>
      </c>
      <c r="H201" s="64" t="s">
        <v>8</v>
      </c>
      <c r="I201" s="64" t="s">
        <v>2</v>
      </c>
      <c r="J201" s="33" t="s">
        <v>1166</v>
      </c>
      <c r="K201" s="65">
        <v>32331</v>
      </c>
      <c r="L201" s="66">
        <v>1988</v>
      </c>
      <c r="M201" s="67">
        <f t="shared" si="10"/>
        <v>31</v>
      </c>
      <c r="N201" s="64" t="s">
        <v>3</v>
      </c>
      <c r="O201" s="64" t="s">
        <v>1169</v>
      </c>
      <c r="P201" s="33" t="s">
        <v>1505</v>
      </c>
      <c r="Q201" s="64"/>
      <c r="R201" s="33" t="s">
        <v>85</v>
      </c>
    </row>
    <row r="202" spans="2:18" s="63" customFormat="1" ht="25.5">
      <c r="B202" s="137"/>
      <c r="C202" s="137"/>
      <c r="D202" s="64">
        <v>195</v>
      </c>
      <c r="E202" s="33" t="s">
        <v>1823</v>
      </c>
      <c r="F202" s="64" t="s">
        <v>13</v>
      </c>
      <c r="G202" s="64" t="s">
        <v>1826</v>
      </c>
      <c r="H202" s="64" t="s">
        <v>1</v>
      </c>
      <c r="I202" s="64" t="s">
        <v>150</v>
      </c>
      <c r="J202" s="33" t="s">
        <v>1250</v>
      </c>
      <c r="K202" s="65">
        <v>42984</v>
      </c>
      <c r="L202" s="66">
        <v>2017</v>
      </c>
      <c r="M202" s="67">
        <f t="shared" si="10"/>
        <v>2</v>
      </c>
      <c r="N202" s="64" t="s">
        <v>3</v>
      </c>
      <c r="O202" s="64" t="s">
        <v>1169</v>
      </c>
      <c r="P202" s="33" t="s">
        <v>1177</v>
      </c>
      <c r="Q202" s="64"/>
      <c r="R202" s="33" t="s">
        <v>1192</v>
      </c>
    </row>
    <row r="203" spans="2:18" s="63" customFormat="1" ht="25.5">
      <c r="B203" s="137">
        <v>72</v>
      </c>
      <c r="C203" s="137" t="s">
        <v>1827</v>
      </c>
      <c r="D203" s="64">
        <v>196</v>
      </c>
      <c r="E203" s="33" t="s">
        <v>1828</v>
      </c>
      <c r="F203" s="64" t="s">
        <v>6</v>
      </c>
      <c r="G203" s="64" t="s">
        <v>1831</v>
      </c>
      <c r="H203" s="64" t="s">
        <v>1</v>
      </c>
      <c r="I203" s="64" t="s">
        <v>2</v>
      </c>
      <c r="J203" s="33" t="s">
        <v>1166</v>
      </c>
      <c r="K203" s="65">
        <v>34229</v>
      </c>
      <c r="L203" s="66">
        <v>1993</v>
      </c>
      <c r="M203" s="67">
        <f t="shared" si="10"/>
        <v>26</v>
      </c>
      <c r="N203" s="64" t="s">
        <v>3</v>
      </c>
      <c r="O203" s="64" t="s">
        <v>1169</v>
      </c>
      <c r="P203" s="33" t="s">
        <v>1199</v>
      </c>
      <c r="Q203" s="64"/>
      <c r="R203" s="33" t="s">
        <v>1178</v>
      </c>
    </row>
    <row r="204" spans="2:18" s="63" customFormat="1" ht="25.5">
      <c r="B204" s="137"/>
      <c r="C204" s="137"/>
      <c r="D204" s="64">
        <v>197</v>
      </c>
      <c r="E204" s="33" t="s">
        <v>1829</v>
      </c>
      <c r="F204" s="64" t="s">
        <v>9</v>
      </c>
      <c r="G204" s="64" t="s">
        <v>1832</v>
      </c>
      <c r="H204" s="64" t="s">
        <v>8</v>
      </c>
      <c r="I204" s="64" t="s">
        <v>2</v>
      </c>
      <c r="J204" s="33" t="s">
        <v>1834</v>
      </c>
      <c r="K204" s="65">
        <v>34365</v>
      </c>
      <c r="L204" s="66">
        <v>1994</v>
      </c>
      <c r="M204" s="67">
        <f t="shared" si="10"/>
        <v>25</v>
      </c>
      <c r="N204" s="64" t="s">
        <v>3</v>
      </c>
      <c r="O204" s="64" t="s">
        <v>1169</v>
      </c>
      <c r="P204" s="33" t="s">
        <v>1181</v>
      </c>
      <c r="Q204" s="64"/>
      <c r="R204" s="33" t="s">
        <v>1168</v>
      </c>
    </row>
    <row r="205" spans="2:18" s="63" customFormat="1" ht="25.5">
      <c r="B205" s="137"/>
      <c r="C205" s="137"/>
      <c r="D205" s="64">
        <v>198</v>
      </c>
      <c r="E205" s="33" t="s">
        <v>1830</v>
      </c>
      <c r="F205" s="64" t="s">
        <v>13</v>
      </c>
      <c r="G205" s="64" t="s">
        <v>1833</v>
      </c>
      <c r="H205" s="64" t="s">
        <v>1</v>
      </c>
      <c r="I205" s="64" t="s">
        <v>11</v>
      </c>
      <c r="J205" s="33" t="s">
        <v>1166</v>
      </c>
      <c r="K205" s="65">
        <v>42442</v>
      </c>
      <c r="L205" s="66">
        <v>2016</v>
      </c>
      <c r="M205" s="67">
        <f t="shared" si="10"/>
        <v>3</v>
      </c>
      <c r="N205" s="64" t="s">
        <v>3</v>
      </c>
      <c r="O205" s="64" t="s">
        <v>1169</v>
      </c>
      <c r="P205" s="33" t="s">
        <v>1177</v>
      </c>
      <c r="Q205" s="64"/>
      <c r="R205" s="33" t="s">
        <v>1192</v>
      </c>
    </row>
    <row r="206" spans="2:18" s="63" customFormat="1" ht="25.5">
      <c r="B206" s="137">
        <v>73</v>
      </c>
      <c r="C206" s="137" t="s">
        <v>1844</v>
      </c>
      <c r="D206" s="64">
        <v>199</v>
      </c>
      <c r="E206" s="33" t="s">
        <v>298</v>
      </c>
      <c r="F206" s="64" t="s">
        <v>6</v>
      </c>
      <c r="G206" s="64" t="s">
        <v>1846</v>
      </c>
      <c r="H206" s="64" t="s">
        <v>1</v>
      </c>
      <c r="I206" s="64" t="s">
        <v>2</v>
      </c>
      <c r="J206" s="33" t="s">
        <v>1166</v>
      </c>
      <c r="K206" s="65">
        <v>22098</v>
      </c>
      <c r="L206" s="66">
        <v>1960</v>
      </c>
      <c r="M206" s="67">
        <f t="shared" si="10"/>
        <v>59</v>
      </c>
      <c r="N206" s="64" t="s">
        <v>3</v>
      </c>
      <c r="O206" s="64" t="s">
        <v>1169</v>
      </c>
      <c r="P206" s="33" t="s">
        <v>1181</v>
      </c>
      <c r="Q206" s="64"/>
      <c r="R206" s="33" t="s">
        <v>1178</v>
      </c>
    </row>
    <row r="207" spans="2:18" s="63" customFormat="1" ht="25.5">
      <c r="B207" s="137"/>
      <c r="C207" s="137"/>
      <c r="D207" s="64">
        <v>200</v>
      </c>
      <c r="E207" s="33" t="s">
        <v>1845</v>
      </c>
      <c r="F207" s="64" t="s">
        <v>9</v>
      </c>
      <c r="G207" s="64" t="s">
        <v>1847</v>
      </c>
      <c r="H207" s="64" t="s">
        <v>8</v>
      </c>
      <c r="I207" s="64" t="s">
        <v>2</v>
      </c>
      <c r="J207" s="33" t="s">
        <v>1166</v>
      </c>
      <c r="K207" s="65">
        <v>26481</v>
      </c>
      <c r="L207" s="66">
        <v>1972</v>
      </c>
      <c r="M207" s="67">
        <f t="shared" si="10"/>
        <v>47</v>
      </c>
      <c r="N207" s="64" t="s">
        <v>3</v>
      </c>
      <c r="O207" s="64" t="s">
        <v>1169</v>
      </c>
      <c r="P207" s="33" t="s">
        <v>1181</v>
      </c>
      <c r="Q207" s="64"/>
      <c r="R207" s="33" t="s">
        <v>1178</v>
      </c>
    </row>
    <row r="208" spans="2:18" s="63" customFormat="1" ht="25.5">
      <c r="B208" s="137">
        <v>74</v>
      </c>
      <c r="C208" s="137" t="s">
        <v>1854</v>
      </c>
      <c r="D208" s="64">
        <v>201</v>
      </c>
      <c r="E208" s="33" t="s">
        <v>615</v>
      </c>
      <c r="F208" s="64" t="s">
        <v>6</v>
      </c>
      <c r="G208" s="64" t="s">
        <v>616</v>
      </c>
      <c r="H208" s="64" t="s">
        <v>1</v>
      </c>
      <c r="I208" s="64" t="s">
        <v>2</v>
      </c>
      <c r="J208" s="33" t="s">
        <v>1166</v>
      </c>
      <c r="K208" s="65">
        <v>30477</v>
      </c>
      <c r="L208" s="66">
        <v>1983</v>
      </c>
      <c r="M208" s="67">
        <f t="shared" si="10"/>
        <v>36</v>
      </c>
      <c r="N208" s="64" t="s">
        <v>3</v>
      </c>
      <c r="O208" s="64" t="s">
        <v>1169</v>
      </c>
      <c r="P208" s="33" t="s">
        <v>1199</v>
      </c>
      <c r="Q208" s="64"/>
      <c r="R208" s="33" t="s">
        <v>1192</v>
      </c>
    </row>
    <row r="209" spans="2:18" s="63" customFormat="1" ht="25.5">
      <c r="B209" s="137"/>
      <c r="C209" s="137"/>
      <c r="D209" s="64">
        <v>202</v>
      </c>
      <c r="E209" s="33" t="s">
        <v>1855</v>
      </c>
      <c r="F209" s="64" t="s">
        <v>9</v>
      </c>
      <c r="G209" s="64" t="s">
        <v>1857</v>
      </c>
      <c r="H209" s="64" t="s">
        <v>8</v>
      </c>
      <c r="I209" s="64" t="s">
        <v>2</v>
      </c>
      <c r="J209" s="33" t="s">
        <v>1859</v>
      </c>
      <c r="K209" s="65">
        <v>34699</v>
      </c>
      <c r="L209" s="66">
        <v>1994</v>
      </c>
      <c r="M209" s="67">
        <f t="shared" si="10"/>
        <v>25</v>
      </c>
      <c r="N209" s="64" t="s">
        <v>3</v>
      </c>
      <c r="O209" s="64" t="s">
        <v>1169</v>
      </c>
      <c r="P209" s="33" t="s">
        <v>1181</v>
      </c>
      <c r="Q209" s="64"/>
      <c r="R209" s="33" t="s">
        <v>1168</v>
      </c>
    </row>
    <row r="210" spans="2:18" s="63" customFormat="1" ht="25.5">
      <c r="B210" s="137"/>
      <c r="C210" s="137"/>
      <c r="D210" s="64">
        <v>203</v>
      </c>
      <c r="E210" s="33" t="s">
        <v>1856</v>
      </c>
      <c r="F210" s="64" t="s">
        <v>13</v>
      </c>
      <c r="G210" s="64" t="s">
        <v>1858</v>
      </c>
      <c r="H210" s="64" t="s">
        <v>1</v>
      </c>
      <c r="I210" s="64" t="s">
        <v>150</v>
      </c>
      <c r="J210" s="33" t="s">
        <v>1249</v>
      </c>
      <c r="K210" s="65">
        <v>42877</v>
      </c>
      <c r="L210" s="66">
        <v>2017</v>
      </c>
      <c r="M210" s="67">
        <f t="shared" si="10"/>
        <v>2</v>
      </c>
      <c r="N210" s="64" t="s">
        <v>3</v>
      </c>
      <c r="O210" s="64" t="s">
        <v>1169</v>
      </c>
      <c r="P210" s="33" t="s">
        <v>1177</v>
      </c>
      <c r="Q210" s="64"/>
      <c r="R210" s="33" t="s">
        <v>1192</v>
      </c>
    </row>
    <row r="211" spans="2:18" s="63" customFormat="1" ht="25.5">
      <c r="B211" s="137">
        <v>75</v>
      </c>
      <c r="C211" s="137" t="s">
        <v>1860</v>
      </c>
      <c r="D211" s="64">
        <v>204</v>
      </c>
      <c r="E211" s="33" t="s">
        <v>1861</v>
      </c>
      <c r="F211" s="64" t="s">
        <v>6</v>
      </c>
      <c r="G211" s="64" t="s">
        <v>1864</v>
      </c>
      <c r="H211" s="64" t="s">
        <v>1</v>
      </c>
      <c r="I211" s="64" t="s">
        <v>2</v>
      </c>
      <c r="J211" s="33" t="s">
        <v>1166</v>
      </c>
      <c r="K211" s="65">
        <v>32334</v>
      </c>
      <c r="L211" s="66">
        <v>1988</v>
      </c>
      <c r="M211" s="67">
        <f t="shared" si="10"/>
        <v>31</v>
      </c>
      <c r="N211" s="64" t="s">
        <v>3</v>
      </c>
      <c r="O211" s="64" t="s">
        <v>1169</v>
      </c>
      <c r="P211" s="33" t="s">
        <v>1181</v>
      </c>
      <c r="Q211" s="64"/>
      <c r="R211" s="33" t="s">
        <v>1178</v>
      </c>
    </row>
    <row r="212" spans="2:18" s="63" customFormat="1" ht="25.5">
      <c r="B212" s="137"/>
      <c r="C212" s="137"/>
      <c r="D212" s="64">
        <v>205</v>
      </c>
      <c r="E212" s="33" t="s">
        <v>1862</v>
      </c>
      <c r="F212" s="64" t="s">
        <v>9</v>
      </c>
      <c r="G212" s="64" t="s">
        <v>1865</v>
      </c>
      <c r="H212" s="64" t="s">
        <v>8</v>
      </c>
      <c r="I212" s="64" t="s">
        <v>2</v>
      </c>
      <c r="J212" s="33" t="s">
        <v>1867</v>
      </c>
      <c r="K212" s="65">
        <v>32462</v>
      </c>
      <c r="L212" s="66">
        <v>1988</v>
      </c>
      <c r="M212" s="67">
        <f t="shared" si="10"/>
        <v>31</v>
      </c>
      <c r="N212" s="64" t="s">
        <v>3</v>
      </c>
      <c r="O212" s="64" t="s">
        <v>1169</v>
      </c>
      <c r="P212" s="33" t="s">
        <v>1174</v>
      </c>
      <c r="Q212" s="64"/>
      <c r="R212" s="33" t="s">
        <v>1168</v>
      </c>
    </row>
    <row r="213" spans="2:18" s="63" customFormat="1" ht="25.5">
      <c r="B213" s="137"/>
      <c r="C213" s="137"/>
      <c r="D213" s="64">
        <v>206</v>
      </c>
      <c r="E213" s="33" t="s">
        <v>1863</v>
      </c>
      <c r="F213" s="64" t="s">
        <v>13</v>
      </c>
      <c r="G213" s="64" t="s">
        <v>1866</v>
      </c>
      <c r="H213" s="64" t="s">
        <v>1</v>
      </c>
      <c r="I213" s="64" t="s">
        <v>150</v>
      </c>
      <c r="J213" s="33" t="s">
        <v>1250</v>
      </c>
      <c r="K213" s="65">
        <v>41781</v>
      </c>
      <c r="L213" s="66">
        <v>2014</v>
      </c>
      <c r="M213" s="67">
        <f t="shared" si="10"/>
        <v>5</v>
      </c>
      <c r="N213" s="64" t="s">
        <v>3</v>
      </c>
      <c r="O213" s="64" t="s">
        <v>1169</v>
      </c>
      <c r="P213" s="33" t="s">
        <v>1177</v>
      </c>
      <c r="Q213" s="64"/>
      <c r="R213" s="33" t="s">
        <v>1192</v>
      </c>
    </row>
    <row r="214" spans="2:18" s="63" customFormat="1">
      <c r="B214" s="137">
        <v>76</v>
      </c>
      <c r="C214" s="137"/>
      <c r="D214" s="64">
        <v>207</v>
      </c>
      <c r="E214" s="33" t="s">
        <v>689</v>
      </c>
      <c r="F214" s="64" t="s">
        <v>6</v>
      </c>
      <c r="G214" s="64" t="s">
        <v>690</v>
      </c>
      <c r="H214" s="64" t="s">
        <v>1</v>
      </c>
      <c r="I214" s="64" t="s">
        <v>2</v>
      </c>
      <c r="J214" s="33"/>
      <c r="K214" s="65">
        <v>23924</v>
      </c>
      <c r="L214" s="66">
        <f t="shared" ref="L214:L220" si="11">YEAR(K214)</f>
        <v>1965</v>
      </c>
      <c r="M214" s="67">
        <f t="shared" si="10"/>
        <v>54</v>
      </c>
      <c r="N214" s="64" t="s">
        <v>3</v>
      </c>
      <c r="O214" s="64"/>
      <c r="P214" s="33" t="s">
        <v>4</v>
      </c>
      <c r="Q214" s="64"/>
      <c r="R214" s="33" t="s">
        <v>5</v>
      </c>
    </row>
    <row r="215" spans="2:18" s="63" customFormat="1">
      <c r="B215" s="137"/>
      <c r="C215" s="137"/>
      <c r="D215" s="64">
        <v>208</v>
      </c>
      <c r="E215" s="33" t="s">
        <v>691</v>
      </c>
      <c r="F215" s="64" t="s">
        <v>9</v>
      </c>
      <c r="G215" s="64" t="s">
        <v>692</v>
      </c>
      <c r="H215" s="64" t="s">
        <v>8</v>
      </c>
      <c r="I215" s="64" t="s">
        <v>2</v>
      </c>
      <c r="J215" s="33"/>
      <c r="K215" s="65">
        <v>24837</v>
      </c>
      <c r="L215" s="66">
        <f t="shared" si="11"/>
        <v>1967</v>
      </c>
      <c r="M215" s="67">
        <f t="shared" si="10"/>
        <v>52</v>
      </c>
      <c r="N215" s="64" t="s">
        <v>3</v>
      </c>
      <c r="O215" s="64"/>
      <c r="P215" s="33" t="s">
        <v>4</v>
      </c>
      <c r="Q215" s="64"/>
      <c r="R215" s="33" t="s">
        <v>5</v>
      </c>
    </row>
    <row r="216" spans="2:18" s="63" customFormat="1">
      <c r="B216" s="137"/>
      <c r="C216" s="137"/>
      <c r="D216" s="64">
        <v>209</v>
      </c>
      <c r="E216" s="33" t="s">
        <v>693</v>
      </c>
      <c r="F216" s="64" t="s">
        <v>13</v>
      </c>
      <c r="G216" s="64" t="s">
        <v>694</v>
      </c>
      <c r="H216" s="64" t="s">
        <v>1</v>
      </c>
      <c r="I216" s="64" t="s">
        <v>11</v>
      </c>
      <c r="J216" s="33"/>
      <c r="K216" s="65">
        <v>37676</v>
      </c>
      <c r="L216" s="66">
        <f t="shared" si="11"/>
        <v>2003</v>
      </c>
      <c r="M216" s="67">
        <f t="shared" si="10"/>
        <v>16</v>
      </c>
      <c r="N216" s="64" t="s">
        <v>3</v>
      </c>
      <c r="O216" s="64"/>
      <c r="P216" s="33" t="s">
        <v>4</v>
      </c>
      <c r="Q216" s="64"/>
      <c r="R216" s="33" t="s">
        <v>4</v>
      </c>
    </row>
    <row r="217" spans="2:18" s="63" customFormat="1">
      <c r="B217" s="137">
        <v>77</v>
      </c>
      <c r="C217" s="137"/>
      <c r="D217" s="64">
        <v>210</v>
      </c>
      <c r="E217" s="33" t="s">
        <v>695</v>
      </c>
      <c r="F217" s="64" t="s">
        <v>6</v>
      </c>
      <c r="G217" s="64" t="s">
        <v>696</v>
      </c>
      <c r="H217" s="64" t="s">
        <v>1</v>
      </c>
      <c r="I217" s="64" t="s">
        <v>2</v>
      </c>
      <c r="J217" s="33"/>
      <c r="K217" s="65">
        <v>30074</v>
      </c>
      <c r="L217" s="66">
        <f t="shared" si="11"/>
        <v>1982</v>
      </c>
      <c r="M217" s="67">
        <f t="shared" si="10"/>
        <v>37</v>
      </c>
      <c r="N217" s="64" t="s">
        <v>3</v>
      </c>
      <c r="O217" s="64"/>
      <c r="P217" s="33" t="s">
        <v>16</v>
      </c>
      <c r="Q217" s="64"/>
      <c r="R217" s="33" t="s">
        <v>85</v>
      </c>
    </row>
    <row r="218" spans="2:18" s="63" customFormat="1">
      <c r="B218" s="137"/>
      <c r="C218" s="137"/>
      <c r="D218" s="64">
        <v>211</v>
      </c>
      <c r="E218" s="33" t="s">
        <v>697</v>
      </c>
      <c r="F218" s="64" t="s">
        <v>9</v>
      </c>
      <c r="G218" s="64" t="s">
        <v>698</v>
      </c>
      <c r="H218" s="64" t="s">
        <v>8</v>
      </c>
      <c r="I218" s="64" t="s">
        <v>2</v>
      </c>
      <c r="J218" s="33"/>
      <c r="K218" s="65">
        <v>33401</v>
      </c>
      <c r="L218" s="66">
        <f t="shared" si="11"/>
        <v>1991</v>
      </c>
      <c r="M218" s="67">
        <f t="shared" si="10"/>
        <v>28</v>
      </c>
      <c r="N218" s="64" t="s">
        <v>3</v>
      </c>
      <c r="O218" s="64"/>
      <c r="P218" s="33" t="s">
        <v>16</v>
      </c>
      <c r="Q218" s="64"/>
      <c r="R218" s="33" t="s">
        <v>4</v>
      </c>
    </row>
    <row r="219" spans="2:18" s="63" customFormat="1">
      <c r="B219" s="137"/>
      <c r="C219" s="137"/>
      <c r="D219" s="64">
        <v>212</v>
      </c>
      <c r="E219" s="33" t="s">
        <v>699</v>
      </c>
      <c r="F219" s="64" t="s">
        <v>13</v>
      </c>
      <c r="G219" s="64" t="s">
        <v>700</v>
      </c>
      <c r="H219" s="64" t="s">
        <v>1</v>
      </c>
      <c r="I219" s="64" t="s">
        <v>11</v>
      </c>
      <c r="J219" s="33"/>
      <c r="K219" s="65">
        <v>40634</v>
      </c>
      <c r="L219" s="66">
        <f t="shared" si="11"/>
        <v>2011</v>
      </c>
      <c r="M219" s="67">
        <f t="shared" si="10"/>
        <v>8</v>
      </c>
      <c r="N219" s="64" t="s">
        <v>3</v>
      </c>
      <c r="O219" s="64"/>
      <c r="P219" s="33" t="s">
        <v>4</v>
      </c>
      <c r="Q219" s="64"/>
      <c r="R219" s="33" t="s">
        <v>4</v>
      </c>
    </row>
    <row r="220" spans="2:18" s="63" customFormat="1">
      <c r="B220" s="137"/>
      <c r="C220" s="137"/>
      <c r="D220" s="64">
        <v>213</v>
      </c>
      <c r="E220" s="33" t="s">
        <v>701</v>
      </c>
      <c r="F220" s="64" t="s">
        <v>13</v>
      </c>
      <c r="G220" s="64" t="s">
        <v>703</v>
      </c>
      <c r="H220" s="64" t="s">
        <v>8</v>
      </c>
      <c r="I220" s="64" t="s">
        <v>702</v>
      </c>
      <c r="J220" s="33"/>
      <c r="K220" s="65">
        <v>41651</v>
      </c>
      <c r="L220" s="66">
        <f t="shared" si="11"/>
        <v>2014</v>
      </c>
      <c r="M220" s="67">
        <f t="shared" si="10"/>
        <v>5</v>
      </c>
      <c r="N220" s="64" t="s">
        <v>3</v>
      </c>
      <c r="O220" s="64"/>
      <c r="P220" s="33" t="s">
        <v>4</v>
      </c>
      <c r="Q220" s="64"/>
      <c r="R220" s="33" t="s">
        <v>4</v>
      </c>
    </row>
    <row r="221" spans="2:18" s="63" customFormat="1">
      <c r="B221" s="137">
        <v>78</v>
      </c>
      <c r="C221" s="137" t="s">
        <v>1288</v>
      </c>
      <c r="D221" s="64">
        <v>214</v>
      </c>
      <c r="E221" s="33" t="s">
        <v>790</v>
      </c>
      <c r="F221" s="64" t="s">
        <v>6</v>
      </c>
      <c r="G221" s="64" t="s">
        <v>1291</v>
      </c>
      <c r="H221" s="64" t="s">
        <v>1</v>
      </c>
      <c r="I221" s="64" t="s">
        <v>2</v>
      </c>
      <c r="J221" s="33" t="s">
        <v>1166</v>
      </c>
      <c r="K221" s="65">
        <v>25568</v>
      </c>
      <c r="L221" s="66">
        <v>1969</v>
      </c>
      <c r="M221" s="67">
        <f t="shared" si="10"/>
        <v>50</v>
      </c>
      <c r="N221" s="64" t="s">
        <v>3</v>
      </c>
      <c r="O221" s="64" t="s">
        <v>1169</v>
      </c>
      <c r="P221" s="33" t="s">
        <v>1181</v>
      </c>
      <c r="Q221" s="64"/>
      <c r="R221" s="33" t="s">
        <v>85</v>
      </c>
    </row>
    <row r="222" spans="2:18" s="63" customFormat="1">
      <c r="B222" s="137"/>
      <c r="C222" s="137"/>
      <c r="D222" s="64">
        <v>215</v>
      </c>
      <c r="E222" s="33" t="s">
        <v>219</v>
      </c>
      <c r="F222" s="64" t="s">
        <v>9</v>
      </c>
      <c r="G222" s="64" t="s">
        <v>1292</v>
      </c>
      <c r="H222" s="64" t="s">
        <v>8</v>
      </c>
      <c r="I222" s="64" t="s">
        <v>2</v>
      </c>
      <c r="J222" s="33" t="s">
        <v>1166</v>
      </c>
      <c r="K222" s="65">
        <v>25933</v>
      </c>
      <c r="L222" s="66">
        <v>1970</v>
      </c>
      <c r="M222" s="67">
        <f t="shared" si="10"/>
        <v>49</v>
      </c>
      <c r="N222" s="64" t="s">
        <v>3</v>
      </c>
      <c r="O222" s="64" t="s">
        <v>1169</v>
      </c>
      <c r="P222" s="33" t="s">
        <v>1181</v>
      </c>
      <c r="Q222" s="64"/>
      <c r="R222" s="33" t="s">
        <v>1167</v>
      </c>
    </row>
    <row r="223" spans="2:18" s="63" customFormat="1">
      <c r="B223" s="137"/>
      <c r="C223" s="137"/>
      <c r="D223" s="64">
        <v>216</v>
      </c>
      <c r="E223" s="33" t="s">
        <v>1289</v>
      </c>
      <c r="F223" s="64" t="s">
        <v>13</v>
      </c>
      <c r="G223" s="64" t="s">
        <v>1293</v>
      </c>
      <c r="H223" s="64" t="s">
        <v>1</v>
      </c>
      <c r="I223" s="64" t="s">
        <v>150</v>
      </c>
      <c r="J223" s="33" t="s">
        <v>1166</v>
      </c>
      <c r="K223" s="65">
        <v>31047</v>
      </c>
      <c r="L223" s="66">
        <v>1984</v>
      </c>
      <c r="M223" s="67">
        <f t="shared" si="10"/>
        <v>35</v>
      </c>
      <c r="N223" s="64" t="s">
        <v>3</v>
      </c>
      <c r="O223" s="64" t="s">
        <v>1169</v>
      </c>
      <c r="P223" s="33" t="s">
        <v>1174</v>
      </c>
      <c r="Q223" s="64"/>
      <c r="R223" s="33" t="s">
        <v>85</v>
      </c>
    </row>
    <row r="224" spans="2:18" s="63" customFormat="1" ht="25.5">
      <c r="B224" s="137"/>
      <c r="C224" s="137"/>
      <c r="D224" s="64">
        <v>217</v>
      </c>
      <c r="E224" s="33" t="s">
        <v>1290</v>
      </c>
      <c r="F224" s="64" t="s">
        <v>13</v>
      </c>
      <c r="G224" s="64" t="s">
        <v>1294</v>
      </c>
      <c r="H224" s="64" t="s">
        <v>8</v>
      </c>
      <c r="I224" s="64" t="s">
        <v>11</v>
      </c>
      <c r="J224" s="33" t="s">
        <v>1166</v>
      </c>
      <c r="K224" s="65">
        <v>31412</v>
      </c>
      <c r="L224" s="66">
        <v>1985</v>
      </c>
      <c r="M224" s="67">
        <f t="shared" si="10"/>
        <v>34</v>
      </c>
      <c r="N224" s="64" t="s">
        <v>3</v>
      </c>
      <c r="O224" s="64" t="s">
        <v>1169</v>
      </c>
      <c r="P224" s="33" t="s">
        <v>1174</v>
      </c>
      <c r="Q224" s="64"/>
      <c r="R224" s="33" t="s">
        <v>1192</v>
      </c>
    </row>
    <row r="225" spans="2:18" s="63" customFormat="1">
      <c r="B225" s="137">
        <v>79</v>
      </c>
      <c r="C225" s="137" t="s">
        <v>1301</v>
      </c>
      <c r="D225" s="64">
        <v>218</v>
      </c>
      <c r="E225" s="33" t="s">
        <v>620</v>
      </c>
      <c r="F225" s="64" t="s">
        <v>6</v>
      </c>
      <c r="G225" s="64" t="s">
        <v>1291</v>
      </c>
      <c r="H225" s="64" t="s">
        <v>1</v>
      </c>
      <c r="I225" s="64" t="s">
        <v>2</v>
      </c>
      <c r="J225" s="33" t="s">
        <v>1166</v>
      </c>
      <c r="K225" s="65">
        <v>25568</v>
      </c>
      <c r="L225" s="66">
        <v>1969</v>
      </c>
      <c r="M225" s="67">
        <f t="shared" si="10"/>
        <v>50</v>
      </c>
      <c r="N225" s="64" t="s">
        <v>3</v>
      </c>
      <c r="O225" s="64" t="s">
        <v>1169</v>
      </c>
      <c r="P225" s="33" t="s">
        <v>1181</v>
      </c>
      <c r="Q225" s="64"/>
      <c r="R225" s="33" t="s">
        <v>85</v>
      </c>
    </row>
    <row r="226" spans="2:18" s="63" customFormat="1">
      <c r="B226" s="137"/>
      <c r="C226" s="137"/>
      <c r="D226" s="64">
        <v>219</v>
      </c>
      <c r="E226" s="33" t="s">
        <v>271</v>
      </c>
      <c r="F226" s="64" t="s">
        <v>9</v>
      </c>
      <c r="G226" s="64" t="s">
        <v>1292</v>
      </c>
      <c r="H226" s="64" t="s">
        <v>8</v>
      </c>
      <c r="I226" s="64" t="s">
        <v>2</v>
      </c>
      <c r="J226" s="33" t="s">
        <v>1166</v>
      </c>
      <c r="K226" s="65">
        <v>25933</v>
      </c>
      <c r="L226" s="66">
        <v>1970</v>
      </c>
      <c r="M226" s="67">
        <f t="shared" si="10"/>
        <v>49</v>
      </c>
      <c r="N226" s="64" t="s">
        <v>3</v>
      </c>
      <c r="O226" s="64" t="s">
        <v>1169</v>
      </c>
      <c r="P226" s="33" t="s">
        <v>1181</v>
      </c>
      <c r="Q226" s="64"/>
      <c r="R226" s="33" t="s">
        <v>1167</v>
      </c>
    </row>
    <row r="227" spans="2:18" s="63" customFormat="1">
      <c r="B227" s="137"/>
      <c r="C227" s="137"/>
      <c r="D227" s="64">
        <v>220</v>
      </c>
      <c r="E227" s="33" t="s">
        <v>1289</v>
      </c>
      <c r="F227" s="64" t="s">
        <v>13</v>
      </c>
      <c r="G227" s="64" t="s">
        <v>1293</v>
      </c>
      <c r="H227" s="64" t="s">
        <v>1</v>
      </c>
      <c r="I227" s="64" t="s">
        <v>150</v>
      </c>
      <c r="J227" s="33" t="s">
        <v>1166</v>
      </c>
      <c r="K227" s="65">
        <v>31047</v>
      </c>
      <c r="L227" s="66">
        <v>1984</v>
      </c>
      <c r="M227" s="67">
        <f t="shared" si="10"/>
        <v>35</v>
      </c>
      <c r="N227" s="64" t="s">
        <v>3</v>
      </c>
      <c r="O227" s="64" t="s">
        <v>1169</v>
      </c>
      <c r="P227" s="33" t="s">
        <v>1174</v>
      </c>
      <c r="Q227" s="64"/>
      <c r="R227" s="33" t="s">
        <v>85</v>
      </c>
    </row>
    <row r="228" spans="2:18" s="63" customFormat="1" ht="25.5">
      <c r="B228" s="137"/>
      <c r="C228" s="137"/>
      <c r="D228" s="64">
        <v>221</v>
      </c>
      <c r="E228" s="33" t="s">
        <v>1290</v>
      </c>
      <c r="F228" s="64" t="s">
        <v>13</v>
      </c>
      <c r="G228" s="64" t="s">
        <v>1294</v>
      </c>
      <c r="H228" s="64" t="s">
        <v>8</v>
      </c>
      <c r="I228" s="64" t="s">
        <v>11</v>
      </c>
      <c r="J228" s="33" t="s">
        <v>1166</v>
      </c>
      <c r="K228" s="65">
        <v>31412</v>
      </c>
      <c r="L228" s="66">
        <v>1985</v>
      </c>
      <c r="M228" s="67">
        <f t="shared" si="10"/>
        <v>34</v>
      </c>
      <c r="N228" s="64" t="s">
        <v>3</v>
      </c>
      <c r="O228" s="64" t="s">
        <v>1169</v>
      </c>
      <c r="P228" s="33" t="s">
        <v>1174</v>
      </c>
      <c r="Q228" s="64"/>
      <c r="R228" s="33" t="s">
        <v>1192</v>
      </c>
    </row>
    <row r="229" spans="2:18" s="63" customFormat="1" ht="25.5">
      <c r="B229" s="137">
        <v>80</v>
      </c>
      <c r="C229" s="137" t="s">
        <v>1333</v>
      </c>
      <c r="D229" s="64">
        <v>222</v>
      </c>
      <c r="E229" s="33" t="s">
        <v>792</v>
      </c>
      <c r="F229" s="64" t="s">
        <v>6</v>
      </c>
      <c r="G229" s="64" t="s">
        <v>1337</v>
      </c>
      <c r="H229" s="64" t="s">
        <v>1</v>
      </c>
      <c r="I229" s="64" t="s">
        <v>2</v>
      </c>
      <c r="J229" s="33" t="s">
        <v>1172</v>
      </c>
      <c r="K229" s="65">
        <v>27576</v>
      </c>
      <c r="L229" s="66">
        <v>1975</v>
      </c>
      <c r="M229" s="67">
        <f t="shared" si="10"/>
        <v>44</v>
      </c>
      <c r="N229" s="64" t="s">
        <v>3</v>
      </c>
      <c r="O229" s="64" t="s">
        <v>1169</v>
      </c>
      <c r="P229" s="33" t="s">
        <v>1181</v>
      </c>
      <c r="Q229" s="64"/>
      <c r="R229" s="33" t="s">
        <v>1178</v>
      </c>
    </row>
    <row r="230" spans="2:18" s="63" customFormat="1" ht="25.5">
      <c r="B230" s="137"/>
      <c r="C230" s="137"/>
      <c r="D230" s="64">
        <v>223</v>
      </c>
      <c r="E230" s="33" t="s">
        <v>1137</v>
      </c>
      <c r="F230" s="64" t="s">
        <v>9</v>
      </c>
      <c r="G230" s="64" t="s">
        <v>1338</v>
      </c>
      <c r="H230" s="64" t="s">
        <v>8</v>
      </c>
      <c r="I230" s="64" t="s">
        <v>2</v>
      </c>
      <c r="J230" s="33" t="s">
        <v>1172</v>
      </c>
      <c r="K230" s="65">
        <v>30498</v>
      </c>
      <c r="L230" s="66">
        <v>1983</v>
      </c>
      <c r="M230" s="67">
        <f t="shared" si="10"/>
        <v>36</v>
      </c>
      <c r="N230" s="64" t="s">
        <v>3</v>
      </c>
      <c r="O230" s="64" t="s">
        <v>1169</v>
      </c>
      <c r="P230" s="33" t="s">
        <v>1174</v>
      </c>
      <c r="Q230" s="64"/>
      <c r="R230" s="33" t="s">
        <v>1342</v>
      </c>
    </row>
    <row r="231" spans="2:18" s="63" customFormat="1">
      <c r="B231" s="137"/>
      <c r="C231" s="137"/>
      <c r="D231" s="64">
        <v>224</v>
      </c>
      <c r="E231" s="33" t="s">
        <v>1334</v>
      </c>
      <c r="F231" s="64" t="s">
        <v>13</v>
      </c>
      <c r="G231" s="64" t="s">
        <v>1339</v>
      </c>
      <c r="H231" s="64" t="s">
        <v>8</v>
      </c>
      <c r="I231" s="64" t="s">
        <v>150</v>
      </c>
      <c r="J231" s="33" t="s">
        <v>1166</v>
      </c>
      <c r="K231" s="65">
        <v>37419</v>
      </c>
      <c r="L231" s="66">
        <v>2002</v>
      </c>
      <c r="M231" s="67">
        <f t="shared" si="10"/>
        <v>17</v>
      </c>
      <c r="N231" s="64" t="s">
        <v>3</v>
      </c>
      <c r="O231" s="64" t="s">
        <v>1169</v>
      </c>
      <c r="P231" s="33" t="s">
        <v>1199</v>
      </c>
      <c r="Q231" s="64"/>
      <c r="R231" s="33" t="s">
        <v>1175</v>
      </c>
    </row>
    <row r="232" spans="2:18" s="63" customFormat="1" ht="38.25">
      <c r="B232" s="137"/>
      <c r="C232" s="137"/>
      <c r="D232" s="64">
        <v>225</v>
      </c>
      <c r="E232" s="33" t="s">
        <v>1335</v>
      </c>
      <c r="F232" s="64" t="s">
        <v>13</v>
      </c>
      <c r="G232" s="64" t="s">
        <v>1340</v>
      </c>
      <c r="H232" s="64" t="s">
        <v>1</v>
      </c>
      <c r="I232" s="64" t="s">
        <v>11</v>
      </c>
      <c r="J232" s="33" t="s">
        <v>1250</v>
      </c>
      <c r="K232" s="65">
        <v>40952</v>
      </c>
      <c r="L232" s="66">
        <v>2012</v>
      </c>
      <c r="M232" s="67">
        <f t="shared" si="10"/>
        <v>7</v>
      </c>
      <c r="N232" s="64" t="s">
        <v>3</v>
      </c>
      <c r="O232" s="64" t="s">
        <v>1169</v>
      </c>
      <c r="P232" s="33" t="s">
        <v>1177</v>
      </c>
      <c r="Q232" s="64"/>
      <c r="R232" s="33" t="s">
        <v>1175</v>
      </c>
    </row>
    <row r="233" spans="2:18" s="63" customFormat="1" ht="25.5">
      <c r="B233" s="137"/>
      <c r="C233" s="137"/>
      <c r="D233" s="64">
        <v>226</v>
      </c>
      <c r="E233" s="33" t="s">
        <v>1336</v>
      </c>
      <c r="F233" s="64" t="s">
        <v>13</v>
      </c>
      <c r="G233" s="64" t="s">
        <v>1341</v>
      </c>
      <c r="H233" s="64" t="s">
        <v>1</v>
      </c>
      <c r="I233" s="64" t="s">
        <v>11</v>
      </c>
      <c r="J233" s="33" t="s">
        <v>1250</v>
      </c>
      <c r="K233" s="65">
        <v>42646</v>
      </c>
      <c r="L233" s="66">
        <v>2016</v>
      </c>
      <c r="M233" s="67">
        <f t="shared" si="10"/>
        <v>3</v>
      </c>
      <c r="N233" s="64" t="s">
        <v>3</v>
      </c>
      <c r="O233" s="64" t="s">
        <v>1169</v>
      </c>
      <c r="P233" s="33" t="s">
        <v>1177</v>
      </c>
      <c r="Q233" s="64"/>
      <c r="R233" s="33" t="s">
        <v>1192</v>
      </c>
    </row>
    <row r="234" spans="2:18" s="63" customFormat="1" ht="25.5">
      <c r="B234" s="137">
        <v>81</v>
      </c>
      <c r="C234" s="137" t="s">
        <v>1202</v>
      </c>
      <c r="D234" s="64">
        <v>227</v>
      </c>
      <c r="E234" s="33" t="s">
        <v>596</v>
      </c>
      <c r="F234" s="64" t="s">
        <v>6</v>
      </c>
      <c r="G234" s="64" t="s">
        <v>1203</v>
      </c>
      <c r="H234" s="64" t="s">
        <v>8</v>
      </c>
      <c r="I234" s="64" t="s">
        <v>1197</v>
      </c>
      <c r="J234" s="33" t="s">
        <v>1166</v>
      </c>
      <c r="K234" s="65">
        <v>30076</v>
      </c>
      <c r="L234" s="66">
        <v>1982</v>
      </c>
      <c r="M234" s="67">
        <f t="shared" si="10"/>
        <v>37</v>
      </c>
      <c r="N234" s="64" t="s">
        <v>3</v>
      </c>
      <c r="O234" s="64" t="s">
        <v>1169</v>
      </c>
      <c r="P234" s="33" t="s">
        <v>1181</v>
      </c>
      <c r="Q234" s="64"/>
      <c r="R234" s="33" t="s">
        <v>1178</v>
      </c>
    </row>
    <row r="235" spans="2:18" s="63" customFormat="1">
      <c r="B235" s="137"/>
      <c r="C235" s="137"/>
      <c r="D235" s="64">
        <v>228</v>
      </c>
      <c r="E235" s="33" t="s">
        <v>597</v>
      </c>
      <c r="F235" s="64" t="s">
        <v>13</v>
      </c>
      <c r="G235" s="64" t="s">
        <v>598</v>
      </c>
      <c r="H235" s="64" t="s">
        <v>8</v>
      </c>
      <c r="I235" s="64" t="s">
        <v>2</v>
      </c>
      <c r="J235" s="33" t="s">
        <v>1166</v>
      </c>
      <c r="K235" s="65">
        <v>36876</v>
      </c>
      <c r="L235" s="66">
        <v>2000</v>
      </c>
      <c r="M235" s="67">
        <f t="shared" si="10"/>
        <v>19</v>
      </c>
      <c r="N235" s="64" t="s">
        <v>3</v>
      </c>
      <c r="O235" s="64" t="s">
        <v>1169</v>
      </c>
      <c r="P235" s="33" t="s">
        <v>1199</v>
      </c>
      <c r="Q235" s="64"/>
      <c r="R235" s="33" t="s">
        <v>1175</v>
      </c>
    </row>
    <row r="236" spans="2:18" s="59" customFormat="1" ht="25.5">
      <c r="B236" s="64">
        <v>82</v>
      </c>
      <c r="C236" s="64" t="s">
        <v>1357</v>
      </c>
      <c r="D236" s="64">
        <v>229</v>
      </c>
      <c r="E236" s="33" t="s">
        <v>1358</v>
      </c>
      <c r="F236" s="64" t="s">
        <v>6</v>
      </c>
      <c r="G236" s="64" t="s">
        <v>786</v>
      </c>
      <c r="H236" s="64" t="s">
        <v>8</v>
      </c>
      <c r="I236" s="64" t="s">
        <v>1221</v>
      </c>
      <c r="J236" s="33" t="s">
        <v>1172</v>
      </c>
      <c r="K236" s="65">
        <v>10044</v>
      </c>
      <c r="L236" s="66">
        <v>1927</v>
      </c>
      <c r="M236" s="67">
        <f t="shared" si="10"/>
        <v>92</v>
      </c>
      <c r="N236" s="64" t="s">
        <v>3</v>
      </c>
      <c r="O236" s="64" t="s">
        <v>1169</v>
      </c>
      <c r="P236" s="33" t="s">
        <v>1177</v>
      </c>
      <c r="Q236" s="64"/>
      <c r="R236" s="33" t="s">
        <v>1192</v>
      </c>
    </row>
    <row r="237" spans="2:18" s="63" customFormat="1">
      <c r="B237" s="137">
        <v>83</v>
      </c>
      <c r="C237" s="137"/>
      <c r="D237" s="64">
        <v>230</v>
      </c>
      <c r="E237" s="33" t="s">
        <v>704</v>
      </c>
      <c r="F237" s="64" t="s">
        <v>6</v>
      </c>
      <c r="G237" s="64" t="s">
        <v>705</v>
      </c>
      <c r="H237" s="64" t="s">
        <v>1</v>
      </c>
      <c r="I237" s="64" t="s">
        <v>2</v>
      </c>
      <c r="J237" s="33"/>
      <c r="K237" s="65">
        <v>27029</v>
      </c>
      <c r="L237" s="66">
        <f t="shared" ref="L237:L263" si="12">YEAR(K237)</f>
        <v>1973</v>
      </c>
      <c r="M237" s="67">
        <f t="shared" si="10"/>
        <v>46</v>
      </c>
      <c r="N237" s="64" t="s">
        <v>3</v>
      </c>
      <c r="O237" s="64"/>
      <c r="P237" s="33" t="s">
        <v>28</v>
      </c>
      <c r="Q237" s="64"/>
      <c r="R237" s="33" t="s">
        <v>5</v>
      </c>
    </row>
    <row r="238" spans="2:18" s="63" customFormat="1">
      <c r="B238" s="137"/>
      <c r="C238" s="137"/>
      <c r="D238" s="64">
        <v>231</v>
      </c>
      <c r="E238" s="33" t="s">
        <v>706</v>
      </c>
      <c r="F238" s="64" t="s">
        <v>9</v>
      </c>
      <c r="G238" s="64" t="s">
        <v>707</v>
      </c>
      <c r="H238" s="64" t="s">
        <v>8</v>
      </c>
      <c r="I238" s="64" t="s">
        <v>2</v>
      </c>
      <c r="J238" s="33"/>
      <c r="K238" s="65">
        <v>30316</v>
      </c>
      <c r="L238" s="66">
        <f t="shared" si="12"/>
        <v>1982</v>
      </c>
      <c r="M238" s="67">
        <f t="shared" si="10"/>
        <v>37</v>
      </c>
      <c r="N238" s="64" t="s">
        <v>3</v>
      </c>
      <c r="O238" s="64"/>
      <c r="P238" s="33" t="s">
        <v>12</v>
      </c>
      <c r="Q238" s="64"/>
      <c r="R238" s="33" t="s">
        <v>5</v>
      </c>
    </row>
    <row r="239" spans="2:18" s="63" customFormat="1">
      <c r="B239" s="137"/>
      <c r="C239" s="137"/>
      <c r="D239" s="64">
        <v>232</v>
      </c>
      <c r="E239" s="33" t="s">
        <v>708</v>
      </c>
      <c r="F239" s="64" t="s">
        <v>13</v>
      </c>
      <c r="G239" s="64" t="s">
        <v>709</v>
      </c>
      <c r="H239" s="64" t="s">
        <v>8</v>
      </c>
      <c r="I239" s="64" t="s">
        <v>11</v>
      </c>
      <c r="J239" s="33"/>
      <c r="K239" s="65">
        <v>37419</v>
      </c>
      <c r="L239" s="66">
        <f t="shared" si="12"/>
        <v>2002</v>
      </c>
      <c r="M239" s="67">
        <f t="shared" si="10"/>
        <v>17</v>
      </c>
      <c r="N239" s="64" t="s">
        <v>3</v>
      </c>
      <c r="O239" s="64"/>
      <c r="P239" s="33" t="s">
        <v>28</v>
      </c>
      <c r="Q239" s="64"/>
      <c r="R239" s="33" t="s">
        <v>4</v>
      </c>
    </row>
    <row r="240" spans="2:18" s="63" customFormat="1" ht="25.5">
      <c r="B240" s="137"/>
      <c r="C240" s="137"/>
      <c r="D240" s="64">
        <v>233</v>
      </c>
      <c r="E240" s="33" t="s">
        <v>710</v>
      </c>
      <c r="F240" s="64" t="s">
        <v>13</v>
      </c>
      <c r="G240" s="64" t="s">
        <v>711</v>
      </c>
      <c r="H240" s="64" t="s">
        <v>1</v>
      </c>
      <c r="I240" s="64" t="s">
        <v>11</v>
      </c>
      <c r="J240" s="33"/>
      <c r="K240" s="65">
        <v>40952</v>
      </c>
      <c r="L240" s="66">
        <f t="shared" si="12"/>
        <v>2012</v>
      </c>
      <c r="M240" s="67">
        <f t="shared" si="10"/>
        <v>7</v>
      </c>
      <c r="N240" s="64" t="s">
        <v>3</v>
      </c>
      <c r="O240" s="64"/>
      <c r="P240" s="33" t="s">
        <v>4</v>
      </c>
      <c r="Q240" s="64"/>
      <c r="R240" s="33" t="s">
        <v>4</v>
      </c>
    </row>
    <row r="241" spans="2:18" s="63" customFormat="1" ht="25.5">
      <c r="B241" s="137">
        <v>84</v>
      </c>
      <c r="C241" s="137"/>
      <c r="D241" s="64">
        <v>234</v>
      </c>
      <c r="E241" s="33" t="s">
        <v>712</v>
      </c>
      <c r="F241" s="64" t="s">
        <v>6</v>
      </c>
      <c r="G241" s="64" t="s">
        <v>713</v>
      </c>
      <c r="H241" s="64" t="s">
        <v>1</v>
      </c>
      <c r="I241" s="64" t="s">
        <v>2</v>
      </c>
      <c r="J241" s="33"/>
      <c r="K241" s="65">
        <v>25203</v>
      </c>
      <c r="L241" s="66">
        <f t="shared" si="12"/>
        <v>1968</v>
      </c>
      <c r="M241" s="67">
        <f t="shared" si="10"/>
        <v>51</v>
      </c>
      <c r="N241" s="64" t="s">
        <v>3</v>
      </c>
      <c r="O241" s="64"/>
      <c r="P241" s="33" t="s">
        <v>4</v>
      </c>
      <c r="Q241" s="64"/>
      <c r="R241" s="33" t="s">
        <v>126</v>
      </c>
    </row>
    <row r="242" spans="2:18" s="63" customFormat="1">
      <c r="B242" s="137"/>
      <c r="C242" s="137"/>
      <c r="D242" s="64">
        <v>235</v>
      </c>
      <c r="E242" s="33" t="s">
        <v>714</v>
      </c>
      <c r="F242" s="64" t="s">
        <v>9</v>
      </c>
      <c r="G242" s="64" t="s">
        <v>715</v>
      </c>
      <c r="H242" s="64" t="s">
        <v>8</v>
      </c>
      <c r="I242" s="64" t="s">
        <v>2</v>
      </c>
      <c r="J242" s="33"/>
      <c r="K242" s="65">
        <v>27018</v>
      </c>
      <c r="L242" s="66">
        <f t="shared" si="12"/>
        <v>1973</v>
      </c>
      <c r="M242" s="67">
        <f t="shared" si="10"/>
        <v>46</v>
      </c>
      <c r="N242" s="64" t="s">
        <v>3</v>
      </c>
      <c r="O242" s="64"/>
      <c r="P242" s="33" t="s">
        <v>4</v>
      </c>
      <c r="Q242" s="64"/>
      <c r="R242" s="33" t="s">
        <v>4</v>
      </c>
    </row>
    <row r="243" spans="2:18" s="63" customFormat="1">
      <c r="B243" s="137"/>
      <c r="C243" s="137"/>
      <c r="D243" s="64">
        <v>236</v>
      </c>
      <c r="E243" s="33" t="s">
        <v>716</v>
      </c>
      <c r="F243" s="64" t="s">
        <v>13</v>
      </c>
      <c r="G243" s="64" t="s">
        <v>717</v>
      </c>
      <c r="H243" s="64" t="s">
        <v>1</v>
      </c>
      <c r="I243" s="64" t="s">
        <v>11</v>
      </c>
      <c r="J243" s="33"/>
      <c r="K243" s="65">
        <v>33584</v>
      </c>
      <c r="L243" s="66">
        <f t="shared" si="12"/>
        <v>1991</v>
      </c>
      <c r="M243" s="67">
        <f t="shared" si="10"/>
        <v>28</v>
      </c>
      <c r="N243" s="64" t="s">
        <v>3</v>
      </c>
      <c r="O243" s="64"/>
      <c r="P243" s="33" t="s">
        <v>12</v>
      </c>
      <c r="Q243" s="64"/>
      <c r="R243" s="33" t="s">
        <v>5</v>
      </c>
    </row>
    <row r="244" spans="2:18" s="63" customFormat="1">
      <c r="B244" s="137"/>
      <c r="C244" s="137"/>
      <c r="D244" s="64">
        <v>237</v>
      </c>
      <c r="E244" s="33" t="s">
        <v>718</v>
      </c>
      <c r="F244" s="64" t="s">
        <v>13</v>
      </c>
      <c r="G244" s="64" t="s">
        <v>719</v>
      </c>
      <c r="H244" s="64" t="s">
        <v>1</v>
      </c>
      <c r="I244" s="64" t="s">
        <v>11</v>
      </c>
      <c r="J244" s="33"/>
      <c r="K244" s="65">
        <v>34216</v>
      </c>
      <c r="L244" s="66">
        <f t="shared" si="12"/>
        <v>1993</v>
      </c>
      <c r="M244" s="67">
        <f t="shared" si="10"/>
        <v>26</v>
      </c>
      <c r="N244" s="64" t="s">
        <v>3</v>
      </c>
      <c r="O244" s="64"/>
      <c r="P244" s="33" t="s">
        <v>12</v>
      </c>
      <c r="Q244" s="64"/>
      <c r="R244" s="33" t="s">
        <v>5</v>
      </c>
    </row>
    <row r="245" spans="2:18" s="63" customFormat="1">
      <c r="B245" s="137"/>
      <c r="C245" s="137"/>
      <c r="D245" s="64">
        <v>238</v>
      </c>
      <c r="E245" s="33" t="s">
        <v>720</v>
      </c>
      <c r="F245" s="64" t="s">
        <v>13</v>
      </c>
      <c r="G245" s="64" t="s">
        <v>721</v>
      </c>
      <c r="H245" s="64" t="s">
        <v>1</v>
      </c>
      <c r="I245" s="64" t="s">
        <v>11</v>
      </c>
      <c r="J245" s="33"/>
      <c r="K245" s="65">
        <v>38839</v>
      </c>
      <c r="L245" s="66">
        <f t="shared" si="12"/>
        <v>2006</v>
      </c>
      <c r="M245" s="67">
        <f t="shared" si="10"/>
        <v>13</v>
      </c>
      <c r="N245" s="64" t="s">
        <v>3</v>
      </c>
      <c r="O245" s="64"/>
      <c r="P245" s="33" t="s">
        <v>28</v>
      </c>
      <c r="Q245" s="64"/>
      <c r="R245" s="33" t="s">
        <v>4</v>
      </c>
    </row>
    <row r="246" spans="2:18" s="63" customFormat="1">
      <c r="B246" s="137">
        <v>85</v>
      </c>
      <c r="C246" s="137"/>
      <c r="D246" s="64">
        <v>239</v>
      </c>
      <c r="E246" s="33" t="s">
        <v>722</v>
      </c>
      <c r="F246" s="64" t="s">
        <v>6</v>
      </c>
      <c r="G246" s="64" t="s">
        <v>723</v>
      </c>
      <c r="H246" s="64" t="s">
        <v>1</v>
      </c>
      <c r="I246" s="64" t="s">
        <v>2</v>
      </c>
      <c r="J246" s="33"/>
      <c r="K246" s="65">
        <v>23011</v>
      </c>
      <c r="L246" s="66">
        <f t="shared" si="12"/>
        <v>1962</v>
      </c>
      <c r="M246" s="67">
        <f t="shared" si="10"/>
        <v>57</v>
      </c>
      <c r="N246" s="64" t="s">
        <v>3</v>
      </c>
      <c r="O246" s="64"/>
      <c r="P246" s="33" t="s">
        <v>4</v>
      </c>
      <c r="Q246" s="64"/>
      <c r="R246" s="33" t="s">
        <v>126</v>
      </c>
    </row>
    <row r="247" spans="2:18" s="63" customFormat="1">
      <c r="B247" s="137"/>
      <c r="C247" s="137"/>
      <c r="D247" s="64">
        <v>240</v>
      </c>
      <c r="E247" s="33" t="s">
        <v>724</v>
      </c>
      <c r="F247" s="64" t="s">
        <v>9</v>
      </c>
      <c r="G247" s="64" t="s">
        <v>1879</v>
      </c>
      <c r="H247" s="64" t="s">
        <v>8</v>
      </c>
      <c r="I247" s="64" t="s">
        <v>2</v>
      </c>
      <c r="J247" s="33"/>
      <c r="K247" s="65">
        <v>25203</v>
      </c>
      <c r="L247" s="66">
        <f t="shared" si="12"/>
        <v>1968</v>
      </c>
      <c r="M247" s="67">
        <f t="shared" si="10"/>
        <v>51</v>
      </c>
      <c r="N247" s="64" t="s">
        <v>3</v>
      </c>
      <c r="O247" s="64"/>
      <c r="P247" s="33" t="s">
        <v>4</v>
      </c>
      <c r="Q247" s="64"/>
      <c r="R247" s="33" t="s">
        <v>126</v>
      </c>
    </row>
    <row r="248" spans="2:18" s="63" customFormat="1">
      <c r="B248" s="137">
        <v>86</v>
      </c>
      <c r="C248" s="137"/>
      <c r="D248" s="64">
        <v>241</v>
      </c>
      <c r="E248" s="33" t="s">
        <v>737</v>
      </c>
      <c r="F248" s="64" t="s">
        <v>6</v>
      </c>
      <c r="G248" s="64" t="s">
        <v>738</v>
      </c>
      <c r="H248" s="64" t="s">
        <v>1</v>
      </c>
      <c r="I248" s="64" t="s">
        <v>2</v>
      </c>
      <c r="J248" s="33"/>
      <c r="K248" s="65">
        <v>19541</v>
      </c>
      <c r="L248" s="66">
        <f t="shared" si="12"/>
        <v>1953</v>
      </c>
      <c r="M248" s="67">
        <f t="shared" si="10"/>
        <v>66</v>
      </c>
      <c r="N248" s="64" t="s">
        <v>3</v>
      </c>
      <c r="O248" s="64"/>
      <c r="P248" s="33" t="s">
        <v>28</v>
      </c>
      <c r="Q248" s="64"/>
      <c r="R248" s="33" t="s">
        <v>126</v>
      </c>
    </row>
    <row r="249" spans="2:18" s="63" customFormat="1">
      <c r="B249" s="137"/>
      <c r="C249" s="137"/>
      <c r="D249" s="64">
        <v>242</v>
      </c>
      <c r="E249" s="33" t="s">
        <v>739</v>
      </c>
      <c r="F249" s="64" t="s">
        <v>9</v>
      </c>
      <c r="G249" s="64" t="s">
        <v>740</v>
      </c>
      <c r="H249" s="64" t="s">
        <v>8</v>
      </c>
      <c r="I249" s="64" t="s">
        <v>2</v>
      </c>
      <c r="J249" s="33"/>
      <c r="K249" s="65">
        <v>19906</v>
      </c>
      <c r="L249" s="66">
        <f t="shared" si="12"/>
        <v>1954</v>
      </c>
      <c r="M249" s="67">
        <f t="shared" si="10"/>
        <v>65</v>
      </c>
      <c r="N249" s="64" t="s">
        <v>3</v>
      </c>
      <c r="O249" s="64"/>
      <c r="P249" s="33" t="s">
        <v>4</v>
      </c>
      <c r="Q249" s="64"/>
      <c r="R249" s="33" t="s">
        <v>119</v>
      </c>
    </row>
    <row r="250" spans="2:18" s="63" customFormat="1">
      <c r="B250" s="137"/>
      <c r="C250" s="137"/>
      <c r="D250" s="64">
        <v>243</v>
      </c>
      <c r="E250" s="33" t="s">
        <v>741</v>
      </c>
      <c r="F250" s="64" t="s">
        <v>13</v>
      </c>
      <c r="G250" s="64" t="s">
        <v>742</v>
      </c>
      <c r="H250" s="64" t="s">
        <v>8</v>
      </c>
      <c r="I250" s="64" t="s">
        <v>11</v>
      </c>
      <c r="J250" s="33"/>
      <c r="K250" s="65">
        <v>31777</v>
      </c>
      <c r="L250" s="66">
        <f t="shared" si="12"/>
        <v>1986</v>
      </c>
      <c r="M250" s="67">
        <f t="shared" si="10"/>
        <v>33</v>
      </c>
      <c r="N250" s="64" t="s">
        <v>3</v>
      </c>
      <c r="O250" s="64"/>
      <c r="P250" s="33" t="s">
        <v>16</v>
      </c>
      <c r="Q250" s="64"/>
      <c r="R250" s="33" t="s">
        <v>5</v>
      </c>
    </row>
    <row r="251" spans="2:18" s="63" customFormat="1">
      <c r="B251" s="137"/>
      <c r="C251" s="137"/>
      <c r="D251" s="64">
        <v>244</v>
      </c>
      <c r="E251" s="33" t="s">
        <v>579</v>
      </c>
      <c r="F251" s="64" t="s">
        <v>13</v>
      </c>
      <c r="G251" s="64" t="s">
        <v>743</v>
      </c>
      <c r="H251" s="64" t="s">
        <v>8</v>
      </c>
      <c r="I251" s="64" t="s">
        <v>11</v>
      </c>
      <c r="J251" s="33"/>
      <c r="K251" s="65">
        <v>33905</v>
      </c>
      <c r="L251" s="66">
        <f t="shared" si="12"/>
        <v>1992</v>
      </c>
      <c r="M251" s="67">
        <f t="shared" si="10"/>
        <v>27</v>
      </c>
      <c r="N251" s="64" t="s">
        <v>3</v>
      </c>
      <c r="O251" s="64"/>
      <c r="P251" s="33" t="s">
        <v>28</v>
      </c>
      <c r="Q251" s="64"/>
      <c r="R251" s="33" t="s">
        <v>4</v>
      </c>
    </row>
    <row r="252" spans="2:18" s="63" customFormat="1">
      <c r="B252" s="137"/>
      <c r="C252" s="137"/>
      <c r="D252" s="64">
        <v>245</v>
      </c>
      <c r="E252" s="33" t="s">
        <v>744</v>
      </c>
      <c r="F252" s="64" t="s">
        <v>13</v>
      </c>
      <c r="G252" s="64" t="s">
        <v>745</v>
      </c>
      <c r="H252" s="64" t="s">
        <v>1</v>
      </c>
      <c r="I252" s="64" t="s">
        <v>11</v>
      </c>
      <c r="J252" s="33"/>
      <c r="K252" s="65">
        <v>38116</v>
      </c>
      <c r="L252" s="66">
        <f t="shared" si="12"/>
        <v>2004</v>
      </c>
      <c r="M252" s="67">
        <f t="shared" si="10"/>
        <v>15</v>
      </c>
      <c r="N252" s="64" t="s">
        <v>3</v>
      </c>
      <c r="O252" s="64"/>
      <c r="P252" s="33" t="s">
        <v>4</v>
      </c>
      <c r="Q252" s="64"/>
      <c r="R252" s="33" t="s">
        <v>4</v>
      </c>
    </row>
    <row r="253" spans="2:18" s="63" customFormat="1">
      <c r="B253" s="137">
        <v>87</v>
      </c>
      <c r="C253" s="137"/>
      <c r="D253" s="64">
        <v>246</v>
      </c>
      <c r="E253" s="33" t="s">
        <v>746</v>
      </c>
      <c r="F253" s="64" t="s">
        <v>6</v>
      </c>
      <c r="G253" s="64" t="s">
        <v>747</v>
      </c>
      <c r="H253" s="64" t="s">
        <v>1</v>
      </c>
      <c r="I253" s="64" t="s">
        <v>2</v>
      </c>
      <c r="J253" s="33"/>
      <c r="K253" s="65">
        <v>26298</v>
      </c>
      <c r="L253" s="66">
        <f t="shared" si="12"/>
        <v>1971</v>
      </c>
      <c r="M253" s="67">
        <f t="shared" si="10"/>
        <v>48</v>
      </c>
      <c r="N253" s="64" t="s">
        <v>3</v>
      </c>
      <c r="O253" s="64"/>
      <c r="P253" s="33" t="s">
        <v>28</v>
      </c>
      <c r="Q253" s="64"/>
      <c r="R253" s="33" t="s">
        <v>119</v>
      </c>
    </row>
    <row r="254" spans="2:18" s="63" customFormat="1">
      <c r="B254" s="137"/>
      <c r="C254" s="137"/>
      <c r="D254" s="64">
        <v>247</v>
      </c>
      <c r="E254" s="33" t="s">
        <v>748</v>
      </c>
      <c r="F254" s="64" t="s">
        <v>9</v>
      </c>
      <c r="G254" s="64" t="s">
        <v>749</v>
      </c>
      <c r="H254" s="64" t="s">
        <v>8</v>
      </c>
      <c r="I254" s="64" t="s">
        <v>2</v>
      </c>
      <c r="J254" s="33"/>
      <c r="K254" s="65">
        <v>27029</v>
      </c>
      <c r="L254" s="66">
        <f t="shared" si="12"/>
        <v>1973</v>
      </c>
      <c r="M254" s="67">
        <f t="shared" si="10"/>
        <v>46</v>
      </c>
      <c r="N254" s="64" t="s">
        <v>3</v>
      </c>
      <c r="O254" s="64"/>
      <c r="P254" s="33" t="s">
        <v>4</v>
      </c>
      <c r="Q254" s="64"/>
      <c r="R254" s="33" t="s">
        <v>119</v>
      </c>
    </row>
    <row r="255" spans="2:18" s="63" customFormat="1">
      <c r="B255" s="137"/>
      <c r="C255" s="137"/>
      <c r="D255" s="64">
        <v>248</v>
      </c>
      <c r="E255" s="33" t="s">
        <v>750</v>
      </c>
      <c r="F255" s="64" t="s">
        <v>13</v>
      </c>
      <c r="G255" s="64" t="s">
        <v>751</v>
      </c>
      <c r="H255" s="64" t="s">
        <v>1</v>
      </c>
      <c r="I255" s="64" t="s">
        <v>11</v>
      </c>
      <c r="J255" s="33"/>
      <c r="K255" s="65">
        <v>33786</v>
      </c>
      <c r="L255" s="66">
        <f t="shared" si="12"/>
        <v>1992</v>
      </c>
      <c r="M255" s="67">
        <f t="shared" si="10"/>
        <v>27</v>
      </c>
      <c r="N255" s="64" t="s">
        <v>3</v>
      </c>
      <c r="O255" s="64"/>
      <c r="P255" s="33" t="s">
        <v>16</v>
      </c>
      <c r="Q255" s="64"/>
      <c r="R255" s="33" t="s">
        <v>4</v>
      </c>
    </row>
    <row r="256" spans="2:18" s="63" customFormat="1">
      <c r="B256" s="137"/>
      <c r="C256" s="137"/>
      <c r="D256" s="64">
        <v>249</v>
      </c>
      <c r="E256" s="33" t="s">
        <v>752</v>
      </c>
      <c r="F256" s="64" t="s">
        <v>13</v>
      </c>
      <c r="G256" s="64" t="s">
        <v>753</v>
      </c>
      <c r="H256" s="64" t="s">
        <v>1</v>
      </c>
      <c r="I256" s="64" t="s">
        <v>11</v>
      </c>
      <c r="J256" s="33"/>
      <c r="K256" s="65">
        <v>36342</v>
      </c>
      <c r="L256" s="66">
        <f t="shared" si="12"/>
        <v>1999</v>
      </c>
      <c r="M256" s="67">
        <f t="shared" si="10"/>
        <v>20</v>
      </c>
      <c r="N256" s="64" t="s">
        <v>3</v>
      </c>
      <c r="O256" s="64"/>
      <c r="P256" s="33" t="s">
        <v>16</v>
      </c>
      <c r="Q256" s="64"/>
      <c r="R256" s="33" t="s">
        <v>4</v>
      </c>
    </row>
    <row r="257" spans="2:18" s="63" customFormat="1" ht="25.5">
      <c r="B257" s="137"/>
      <c r="C257" s="137"/>
      <c r="D257" s="64">
        <v>250</v>
      </c>
      <c r="E257" s="33" t="s">
        <v>754</v>
      </c>
      <c r="F257" s="64" t="s">
        <v>13</v>
      </c>
      <c r="G257" s="64" t="s">
        <v>755</v>
      </c>
      <c r="H257" s="64" t="s">
        <v>8</v>
      </c>
      <c r="I257" s="64" t="s">
        <v>11</v>
      </c>
      <c r="J257" s="33"/>
      <c r="K257" s="65">
        <v>37924</v>
      </c>
      <c r="L257" s="66">
        <f t="shared" si="12"/>
        <v>2003</v>
      </c>
      <c r="M257" s="67">
        <f t="shared" si="10"/>
        <v>16</v>
      </c>
      <c r="N257" s="64" t="s">
        <v>3</v>
      </c>
      <c r="O257" s="64"/>
      <c r="P257" s="33" t="s">
        <v>4</v>
      </c>
      <c r="Q257" s="64"/>
      <c r="R257" s="33" t="s">
        <v>4</v>
      </c>
    </row>
    <row r="258" spans="2:18" s="63" customFormat="1">
      <c r="B258" s="64">
        <v>88</v>
      </c>
      <c r="C258" s="64"/>
      <c r="D258" s="64">
        <v>251</v>
      </c>
      <c r="E258" s="33" t="s">
        <v>759</v>
      </c>
      <c r="F258" s="64" t="s">
        <v>6</v>
      </c>
      <c r="G258" s="64" t="s">
        <v>760</v>
      </c>
      <c r="H258" s="64" t="s">
        <v>8</v>
      </c>
      <c r="I258" s="64" t="s">
        <v>18</v>
      </c>
      <c r="J258" s="33"/>
      <c r="K258" s="65">
        <v>17532</v>
      </c>
      <c r="L258" s="66">
        <f t="shared" si="12"/>
        <v>1947</v>
      </c>
      <c r="M258" s="67">
        <f t="shared" si="10"/>
        <v>72</v>
      </c>
      <c r="N258" s="64" t="s">
        <v>3</v>
      </c>
      <c r="O258" s="64"/>
      <c r="P258" s="33" t="s">
        <v>4</v>
      </c>
      <c r="Q258" s="64"/>
      <c r="R258" s="33" t="s">
        <v>5</v>
      </c>
    </row>
    <row r="259" spans="2:18" s="63" customFormat="1">
      <c r="B259" s="137">
        <v>89</v>
      </c>
      <c r="C259" s="137"/>
      <c r="D259" s="64">
        <v>252</v>
      </c>
      <c r="E259" s="33" t="s">
        <v>778</v>
      </c>
      <c r="F259" s="64" t="s">
        <v>6</v>
      </c>
      <c r="G259" s="64" t="s">
        <v>779</v>
      </c>
      <c r="H259" s="64" t="s">
        <v>1</v>
      </c>
      <c r="I259" s="64" t="s">
        <v>2</v>
      </c>
      <c r="J259" s="33"/>
      <c r="K259" s="65">
        <v>29951</v>
      </c>
      <c r="L259" s="66">
        <f t="shared" si="12"/>
        <v>1981</v>
      </c>
      <c r="M259" s="67">
        <f t="shared" si="10"/>
        <v>38</v>
      </c>
      <c r="N259" s="64" t="s">
        <v>3</v>
      </c>
      <c r="O259" s="64"/>
      <c r="P259" s="33" t="s">
        <v>116</v>
      </c>
      <c r="Q259" s="64"/>
      <c r="R259" s="33" t="s">
        <v>164</v>
      </c>
    </row>
    <row r="260" spans="2:18" s="63" customFormat="1" ht="25.5">
      <c r="B260" s="137"/>
      <c r="C260" s="137"/>
      <c r="D260" s="64">
        <v>253</v>
      </c>
      <c r="E260" s="33" t="s">
        <v>780</v>
      </c>
      <c r="F260" s="64" t="s">
        <v>9</v>
      </c>
      <c r="G260" s="64" t="s">
        <v>781</v>
      </c>
      <c r="H260" s="64" t="s">
        <v>8</v>
      </c>
      <c r="I260" s="64" t="s">
        <v>2</v>
      </c>
      <c r="J260" s="33"/>
      <c r="K260" s="65">
        <v>32873</v>
      </c>
      <c r="L260" s="66">
        <f t="shared" si="12"/>
        <v>1989</v>
      </c>
      <c r="M260" s="67">
        <f t="shared" si="10"/>
        <v>30</v>
      </c>
      <c r="N260" s="64" t="s">
        <v>3</v>
      </c>
      <c r="O260" s="64"/>
      <c r="P260" s="33" t="s">
        <v>12</v>
      </c>
      <c r="Q260" s="64"/>
      <c r="R260" s="33" t="s">
        <v>5</v>
      </c>
    </row>
    <row r="261" spans="2:18" s="63" customFormat="1" ht="25.5">
      <c r="B261" s="137"/>
      <c r="C261" s="137"/>
      <c r="D261" s="64">
        <v>254</v>
      </c>
      <c r="E261" s="33" t="s">
        <v>782</v>
      </c>
      <c r="F261" s="64" t="s">
        <v>13</v>
      </c>
      <c r="G261" s="64" t="s">
        <v>783</v>
      </c>
      <c r="H261" s="64" t="s">
        <v>8</v>
      </c>
      <c r="I261" s="64" t="s">
        <v>11</v>
      </c>
      <c r="J261" s="33"/>
      <c r="K261" s="65">
        <v>38965</v>
      </c>
      <c r="L261" s="66">
        <f t="shared" si="12"/>
        <v>2006</v>
      </c>
      <c r="M261" s="67">
        <f t="shared" si="10"/>
        <v>13</v>
      </c>
      <c r="N261" s="64" t="s">
        <v>3</v>
      </c>
      <c r="O261" s="64"/>
      <c r="P261" s="33" t="s">
        <v>4</v>
      </c>
      <c r="Q261" s="64"/>
      <c r="R261" s="33" t="s">
        <v>4</v>
      </c>
    </row>
    <row r="262" spans="2:18" s="63" customFormat="1">
      <c r="B262" s="137"/>
      <c r="C262" s="137"/>
      <c r="D262" s="64">
        <v>255</v>
      </c>
      <c r="E262" s="33" t="s">
        <v>784</v>
      </c>
      <c r="F262" s="64" t="s">
        <v>13</v>
      </c>
      <c r="G262" s="64" t="s">
        <v>785</v>
      </c>
      <c r="H262" s="64" t="s">
        <v>1</v>
      </c>
      <c r="I262" s="64" t="s">
        <v>11</v>
      </c>
      <c r="J262" s="33"/>
      <c r="K262" s="65">
        <v>40280</v>
      </c>
      <c r="L262" s="66">
        <f t="shared" si="12"/>
        <v>2010</v>
      </c>
      <c r="M262" s="67">
        <f t="shared" si="10"/>
        <v>9</v>
      </c>
      <c r="N262" s="64" t="s">
        <v>3</v>
      </c>
      <c r="O262" s="64"/>
      <c r="P262" s="33" t="s">
        <v>4</v>
      </c>
      <c r="Q262" s="64"/>
      <c r="R262" s="33" t="s">
        <v>4</v>
      </c>
    </row>
    <row r="263" spans="2:18" s="63" customFormat="1">
      <c r="B263" s="64">
        <v>90</v>
      </c>
      <c r="C263" s="64"/>
      <c r="D263" s="64">
        <v>256</v>
      </c>
      <c r="E263" s="33" t="s">
        <v>194</v>
      </c>
      <c r="F263" s="64" t="s">
        <v>6</v>
      </c>
      <c r="G263" s="64" t="s">
        <v>786</v>
      </c>
      <c r="H263" s="64" t="s">
        <v>8</v>
      </c>
      <c r="I263" s="64" t="s">
        <v>18</v>
      </c>
      <c r="J263" s="33"/>
      <c r="K263" s="65">
        <v>10044</v>
      </c>
      <c r="L263" s="66">
        <f t="shared" si="12"/>
        <v>1927</v>
      </c>
      <c r="M263" s="67">
        <f t="shared" si="10"/>
        <v>92</v>
      </c>
      <c r="N263" s="64" t="s">
        <v>3</v>
      </c>
      <c r="O263" s="64"/>
      <c r="P263" s="33" t="s">
        <v>4</v>
      </c>
      <c r="Q263" s="64"/>
      <c r="R263" s="33" t="s">
        <v>5</v>
      </c>
    </row>
    <row r="264" spans="2:18" s="63" customFormat="1">
      <c r="B264" s="137">
        <v>91</v>
      </c>
      <c r="C264" s="137" t="s">
        <v>1171</v>
      </c>
      <c r="D264" s="64">
        <v>257</v>
      </c>
      <c r="E264" s="33" t="s">
        <v>1170</v>
      </c>
      <c r="F264" s="64" t="s">
        <v>6</v>
      </c>
      <c r="G264" s="64" t="s">
        <v>761</v>
      </c>
      <c r="H264" s="64" t="s">
        <v>1</v>
      </c>
      <c r="I264" s="64" t="s">
        <v>2</v>
      </c>
      <c r="J264" s="33" t="s">
        <v>1166</v>
      </c>
      <c r="K264" s="65">
        <v>23742</v>
      </c>
      <c r="L264" s="66">
        <v>1964</v>
      </c>
      <c r="M264" s="67">
        <f t="shared" ref="M264:M305" si="13">2019-L264</f>
        <v>55</v>
      </c>
      <c r="N264" s="64" t="s">
        <v>3</v>
      </c>
      <c r="O264" s="64" t="s">
        <v>1169</v>
      </c>
      <c r="P264" s="33" t="s">
        <v>16</v>
      </c>
      <c r="Q264" s="64"/>
      <c r="R264" s="33" t="s">
        <v>85</v>
      </c>
    </row>
    <row r="265" spans="2:18" s="63" customFormat="1" ht="25.5">
      <c r="B265" s="137"/>
      <c r="C265" s="137"/>
      <c r="D265" s="64">
        <v>258</v>
      </c>
      <c r="E265" s="33" t="s">
        <v>762</v>
      </c>
      <c r="F265" s="64" t="s">
        <v>9</v>
      </c>
      <c r="G265" s="64" t="s">
        <v>763</v>
      </c>
      <c r="H265" s="64" t="s">
        <v>8</v>
      </c>
      <c r="I265" s="64" t="s">
        <v>2</v>
      </c>
      <c r="J265" s="33" t="s">
        <v>1172</v>
      </c>
      <c r="K265" s="65">
        <v>26481</v>
      </c>
      <c r="L265" s="66">
        <v>1972</v>
      </c>
      <c r="M265" s="67">
        <f t="shared" si="13"/>
        <v>47</v>
      </c>
      <c r="N265" s="64" t="s">
        <v>3</v>
      </c>
      <c r="O265" s="64" t="s">
        <v>1169</v>
      </c>
      <c r="P265" s="33" t="s">
        <v>1173</v>
      </c>
      <c r="Q265" s="64"/>
      <c r="R265" s="33" t="s">
        <v>1168</v>
      </c>
    </row>
    <row r="266" spans="2:18" s="63" customFormat="1" ht="25.5">
      <c r="B266" s="137"/>
      <c r="C266" s="137"/>
      <c r="D266" s="64">
        <v>259</v>
      </c>
      <c r="E266" s="33" t="s">
        <v>575</v>
      </c>
      <c r="F266" s="64" t="s">
        <v>13</v>
      </c>
      <c r="G266" s="64" t="s">
        <v>764</v>
      </c>
      <c r="H266" s="64" t="s">
        <v>8</v>
      </c>
      <c r="I266" s="64" t="s">
        <v>11</v>
      </c>
      <c r="J266" s="33" t="s">
        <v>1172</v>
      </c>
      <c r="K266" s="65">
        <v>35188</v>
      </c>
      <c r="L266" s="66">
        <v>1996</v>
      </c>
      <c r="M266" s="67">
        <f t="shared" si="13"/>
        <v>23</v>
      </c>
      <c r="N266" s="64" t="s">
        <v>3</v>
      </c>
      <c r="O266" s="64" t="s">
        <v>1169</v>
      </c>
      <c r="P266" s="33" t="s">
        <v>1174</v>
      </c>
      <c r="Q266" s="64"/>
      <c r="R266" s="33" t="s">
        <v>1175</v>
      </c>
    </row>
    <row r="267" spans="2:18" s="63" customFormat="1" ht="25.5">
      <c r="B267" s="137"/>
      <c r="C267" s="137"/>
      <c r="D267" s="64">
        <v>260</v>
      </c>
      <c r="E267" s="33" t="s">
        <v>765</v>
      </c>
      <c r="F267" s="64" t="s">
        <v>13</v>
      </c>
      <c r="G267" s="64" t="s">
        <v>766</v>
      </c>
      <c r="H267" s="64" t="s">
        <v>8</v>
      </c>
      <c r="I267" s="64" t="s">
        <v>11</v>
      </c>
      <c r="J267" s="33" t="s">
        <v>1166</v>
      </c>
      <c r="K267" s="65">
        <v>37078</v>
      </c>
      <c r="L267" s="66">
        <v>2001</v>
      </c>
      <c r="M267" s="67">
        <f t="shared" si="13"/>
        <v>18</v>
      </c>
      <c r="N267" s="64" t="s">
        <v>3</v>
      </c>
      <c r="O267" s="64" t="s">
        <v>1169</v>
      </c>
      <c r="P267" s="33" t="s">
        <v>1176</v>
      </c>
      <c r="Q267" s="64"/>
      <c r="R267" s="33" t="s">
        <v>1175</v>
      </c>
    </row>
    <row r="268" spans="2:18" s="63" customFormat="1" ht="25.5">
      <c r="B268" s="137">
        <v>92</v>
      </c>
      <c r="C268" s="137" t="s">
        <v>1835</v>
      </c>
      <c r="D268" s="64">
        <v>261</v>
      </c>
      <c r="E268" s="33" t="s">
        <v>767</v>
      </c>
      <c r="F268" s="64" t="s">
        <v>6</v>
      </c>
      <c r="G268" s="64" t="s">
        <v>768</v>
      </c>
      <c r="H268" s="64" t="s">
        <v>1</v>
      </c>
      <c r="I268" s="64" t="s">
        <v>2</v>
      </c>
      <c r="J268" s="33" t="s">
        <v>1166</v>
      </c>
      <c r="K268" s="65">
        <v>33690</v>
      </c>
      <c r="L268" s="66">
        <v>1992</v>
      </c>
      <c r="M268" s="67">
        <f t="shared" si="13"/>
        <v>27</v>
      </c>
      <c r="N268" s="64" t="s">
        <v>3</v>
      </c>
      <c r="O268" s="64" t="s">
        <v>1169</v>
      </c>
      <c r="P268" s="33" t="s">
        <v>1174</v>
      </c>
      <c r="Q268" s="64"/>
      <c r="R268" s="33" t="s">
        <v>85</v>
      </c>
    </row>
    <row r="269" spans="2:18" s="63" customFormat="1" ht="25.5">
      <c r="B269" s="137"/>
      <c r="C269" s="137"/>
      <c r="D269" s="64">
        <v>262</v>
      </c>
      <c r="E269" s="33" t="s">
        <v>769</v>
      </c>
      <c r="F269" s="64" t="s">
        <v>9</v>
      </c>
      <c r="G269" s="64" t="s">
        <v>770</v>
      </c>
      <c r="H269" s="64" t="s">
        <v>8</v>
      </c>
      <c r="I269" s="64" t="s">
        <v>2</v>
      </c>
      <c r="J269" s="33" t="s">
        <v>1449</v>
      </c>
      <c r="K269" s="65">
        <v>33715</v>
      </c>
      <c r="L269" s="66">
        <v>1992</v>
      </c>
      <c r="M269" s="67">
        <f t="shared" si="13"/>
        <v>27</v>
      </c>
      <c r="N269" s="64" t="s">
        <v>3</v>
      </c>
      <c r="O269" s="64" t="s">
        <v>1169</v>
      </c>
      <c r="P269" s="33" t="s">
        <v>1174</v>
      </c>
      <c r="Q269" s="64"/>
      <c r="R269" s="33" t="s">
        <v>1168</v>
      </c>
    </row>
    <row r="270" spans="2:18" s="63" customFormat="1" ht="25.5">
      <c r="B270" s="137"/>
      <c r="C270" s="137"/>
      <c r="D270" s="64">
        <v>263</v>
      </c>
      <c r="E270" s="33" t="s">
        <v>771</v>
      </c>
      <c r="F270" s="64" t="s">
        <v>13</v>
      </c>
      <c r="G270" s="64" t="s">
        <v>772</v>
      </c>
      <c r="H270" s="64" t="s">
        <v>8</v>
      </c>
      <c r="I270" s="64" t="s">
        <v>11</v>
      </c>
      <c r="J270" s="33" t="s">
        <v>1753</v>
      </c>
      <c r="K270" s="65">
        <v>41989</v>
      </c>
      <c r="L270" s="66">
        <v>2014</v>
      </c>
      <c r="M270" s="67">
        <f t="shared" si="13"/>
        <v>5</v>
      </c>
      <c r="N270" s="64" t="s">
        <v>3</v>
      </c>
      <c r="O270" s="64" t="s">
        <v>1169</v>
      </c>
      <c r="P270" s="33" t="s">
        <v>1177</v>
      </c>
      <c r="Q270" s="64"/>
      <c r="R270" s="33" t="s">
        <v>1192</v>
      </c>
    </row>
    <row r="271" spans="2:18" s="63" customFormat="1" ht="25.5">
      <c r="B271" s="137">
        <v>93</v>
      </c>
      <c r="C271" s="137" t="s">
        <v>1607</v>
      </c>
      <c r="D271" s="64">
        <v>264</v>
      </c>
      <c r="E271" s="33" t="s">
        <v>731</v>
      </c>
      <c r="F271" s="64" t="s">
        <v>6</v>
      </c>
      <c r="G271" s="64" t="s">
        <v>1608</v>
      </c>
      <c r="H271" s="64" t="s">
        <v>1</v>
      </c>
      <c r="I271" s="64" t="s">
        <v>2</v>
      </c>
      <c r="J271" s="33" t="s">
        <v>1611</v>
      </c>
      <c r="K271" s="65">
        <v>25203</v>
      </c>
      <c r="L271" s="66">
        <v>1968</v>
      </c>
      <c r="M271" s="67">
        <f t="shared" si="13"/>
        <v>51</v>
      </c>
      <c r="N271" s="64" t="s">
        <v>3</v>
      </c>
      <c r="O271" s="64" t="s">
        <v>1169</v>
      </c>
      <c r="P271" s="33" t="s">
        <v>1174</v>
      </c>
      <c r="Q271" s="64"/>
      <c r="R271" s="33" t="s">
        <v>1332</v>
      </c>
    </row>
    <row r="272" spans="2:18" s="63" customFormat="1" ht="25.5">
      <c r="B272" s="137"/>
      <c r="C272" s="137"/>
      <c r="D272" s="64">
        <v>265</v>
      </c>
      <c r="E272" s="33" t="s">
        <v>773</v>
      </c>
      <c r="F272" s="64" t="s">
        <v>9</v>
      </c>
      <c r="G272" s="64" t="s">
        <v>1609</v>
      </c>
      <c r="H272" s="64" t="s">
        <v>8</v>
      </c>
      <c r="I272" s="64" t="s">
        <v>2</v>
      </c>
      <c r="J272" s="33" t="s">
        <v>1166</v>
      </c>
      <c r="K272" s="65">
        <v>29220</v>
      </c>
      <c r="L272" s="66">
        <v>1979</v>
      </c>
      <c r="M272" s="67">
        <f t="shared" si="13"/>
        <v>40</v>
      </c>
      <c r="N272" s="64" t="s">
        <v>3</v>
      </c>
      <c r="O272" s="64" t="s">
        <v>1169</v>
      </c>
      <c r="P272" s="33" t="s">
        <v>1181</v>
      </c>
      <c r="Q272" s="64"/>
      <c r="R272" s="33" t="s">
        <v>1168</v>
      </c>
    </row>
    <row r="273" spans="2:18" s="63" customFormat="1">
      <c r="B273" s="137"/>
      <c r="C273" s="137"/>
      <c r="D273" s="64">
        <v>266</v>
      </c>
      <c r="E273" s="33" t="s">
        <v>774</v>
      </c>
      <c r="F273" s="64" t="s">
        <v>13</v>
      </c>
      <c r="G273" s="64" t="s">
        <v>775</v>
      </c>
      <c r="H273" s="64" t="s">
        <v>1</v>
      </c>
      <c r="I273" s="64" t="s">
        <v>471</v>
      </c>
      <c r="J273" s="33" t="s">
        <v>1250</v>
      </c>
      <c r="K273" s="65">
        <v>37047</v>
      </c>
      <c r="L273" s="66">
        <v>2001</v>
      </c>
      <c r="M273" s="67">
        <f t="shared" si="13"/>
        <v>18</v>
      </c>
      <c r="N273" s="64" t="s">
        <v>3</v>
      </c>
      <c r="O273" s="64" t="s">
        <v>1169</v>
      </c>
      <c r="P273" s="33" t="s">
        <v>1199</v>
      </c>
      <c r="Q273" s="64"/>
      <c r="R273" s="33" t="s">
        <v>1175</v>
      </c>
    </row>
    <row r="274" spans="2:18" s="63" customFormat="1" ht="25.5">
      <c r="B274" s="137"/>
      <c r="C274" s="137"/>
      <c r="D274" s="64">
        <v>267</v>
      </c>
      <c r="E274" s="33" t="s">
        <v>776</v>
      </c>
      <c r="F274" s="64" t="s">
        <v>13</v>
      </c>
      <c r="G274" s="64" t="s">
        <v>777</v>
      </c>
      <c r="H274" s="64" t="s">
        <v>8</v>
      </c>
      <c r="I274" s="64" t="s">
        <v>11</v>
      </c>
      <c r="J274" s="33" t="s">
        <v>1249</v>
      </c>
      <c r="K274" s="65">
        <v>39618</v>
      </c>
      <c r="L274" s="66">
        <v>2008</v>
      </c>
      <c r="M274" s="67">
        <f t="shared" si="13"/>
        <v>11</v>
      </c>
      <c r="N274" s="64" t="s">
        <v>3</v>
      </c>
      <c r="O274" s="64" t="s">
        <v>1169</v>
      </c>
      <c r="P274" s="33" t="s">
        <v>1176</v>
      </c>
      <c r="Q274" s="64"/>
      <c r="R274" s="33" t="s">
        <v>1175</v>
      </c>
    </row>
    <row r="275" spans="2:18" s="63" customFormat="1" ht="25.5">
      <c r="B275" s="137"/>
      <c r="C275" s="137"/>
      <c r="D275" s="64">
        <v>268</v>
      </c>
      <c r="E275" s="33" t="s">
        <v>1606</v>
      </c>
      <c r="F275" s="64" t="s">
        <v>13</v>
      </c>
      <c r="G275" s="64" t="s">
        <v>1610</v>
      </c>
      <c r="H275" s="64" t="s">
        <v>8</v>
      </c>
      <c r="I275" s="64" t="s">
        <v>11</v>
      </c>
      <c r="J275" s="33" t="s">
        <v>1544</v>
      </c>
      <c r="K275" s="65">
        <v>42617</v>
      </c>
      <c r="L275" s="66">
        <v>2016</v>
      </c>
      <c r="M275" s="67">
        <f t="shared" si="13"/>
        <v>3</v>
      </c>
      <c r="N275" s="64" t="s">
        <v>3</v>
      </c>
      <c r="O275" s="64" t="s">
        <v>1169</v>
      </c>
      <c r="P275" s="33" t="s">
        <v>1177</v>
      </c>
      <c r="Q275" s="64"/>
      <c r="R275" s="33" t="s">
        <v>1192</v>
      </c>
    </row>
    <row r="276" spans="2:18" s="63" customFormat="1" ht="25.5">
      <c r="B276" s="137">
        <v>85</v>
      </c>
      <c r="C276" s="137" t="s">
        <v>1621</v>
      </c>
      <c r="D276" s="64">
        <v>269</v>
      </c>
      <c r="E276" s="33" t="s">
        <v>209</v>
      </c>
      <c r="F276" s="64" t="s">
        <v>6</v>
      </c>
      <c r="G276" s="64" t="s">
        <v>1622</v>
      </c>
      <c r="H276" s="64" t="s">
        <v>1</v>
      </c>
      <c r="I276" s="64" t="s">
        <v>1221</v>
      </c>
      <c r="J276" s="33" t="s">
        <v>1166</v>
      </c>
      <c r="K276" s="65">
        <v>25871</v>
      </c>
      <c r="L276" s="66">
        <v>1970</v>
      </c>
      <c r="M276" s="67">
        <f t="shared" si="13"/>
        <v>49</v>
      </c>
      <c r="N276" s="64" t="s">
        <v>3</v>
      </c>
      <c r="O276" s="64" t="s">
        <v>1169</v>
      </c>
      <c r="P276" s="33" t="s">
        <v>1181</v>
      </c>
      <c r="Q276" s="64"/>
      <c r="R276" s="33" t="s">
        <v>1178</v>
      </c>
    </row>
    <row r="277" spans="2:18" s="63" customFormat="1">
      <c r="B277" s="137"/>
      <c r="C277" s="137"/>
      <c r="D277" s="64">
        <v>270</v>
      </c>
      <c r="E277" s="33" t="s">
        <v>1514</v>
      </c>
      <c r="F277" s="64" t="s">
        <v>13</v>
      </c>
      <c r="G277" s="64" t="s">
        <v>1515</v>
      </c>
      <c r="H277" s="64" t="s">
        <v>1</v>
      </c>
      <c r="I277" s="64" t="s">
        <v>11</v>
      </c>
      <c r="J277" s="33" t="s">
        <v>1166</v>
      </c>
      <c r="K277" s="65">
        <v>36431</v>
      </c>
      <c r="L277" s="66">
        <v>1999</v>
      </c>
      <c r="M277" s="67">
        <f t="shared" si="13"/>
        <v>20</v>
      </c>
      <c r="N277" s="64" t="s">
        <v>3</v>
      </c>
      <c r="O277" s="64" t="s">
        <v>1169</v>
      </c>
      <c r="P277" s="33" t="s">
        <v>1199</v>
      </c>
      <c r="Q277" s="64"/>
      <c r="R277" s="33" t="s">
        <v>1175</v>
      </c>
    </row>
    <row r="278" spans="2:18" s="63" customFormat="1">
      <c r="B278" s="137">
        <v>86</v>
      </c>
      <c r="C278" s="137" t="s">
        <v>1288</v>
      </c>
      <c r="D278" s="64">
        <v>271</v>
      </c>
      <c r="E278" s="33" t="s">
        <v>790</v>
      </c>
      <c r="F278" s="64" t="s">
        <v>6</v>
      </c>
      <c r="G278" s="64" t="s">
        <v>1291</v>
      </c>
      <c r="H278" s="64" t="s">
        <v>1</v>
      </c>
      <c r="I278" s="64" t="s">
        <v>2</v>
      </c>
      <c r="J278" s="33" t="s">
        <v>1166</v>
      </c>
      <c r="K278" s="65">
        <v>25568</v>
      </c>
      <c r="L278" s="66">
        <v>1969</v>
      </c>
      <c r="M278" s="67">
        <f t="shared" si="13"/>
        <v>50</v>
      </c>
      <c r="N278" s="64" t="s">
        <v>3</v>
      </c>
      <c r="O278" s="64" t="s">
        <v>1169</v>
      </c>
      <c r="P278" s="33" t="s">
        <v>1181</v>
      </c>
      <c r="Q278" s="64"/>
      <c r="R278" s="33" t="s">
        <v>85</v>
      </c>
    </row>
    <row r="279" spans="2:18" s="63" customFormat="1" ht="25.5">
      <c r="B279" s="137"/>
      <c r="C279" s="137"/>
      <c r="D279" s="64">
        <v>272</v>
      </c>
      <c r="E279" s="33" t="s">
        <v>1709</v>
      </c>
      <c r="F279" s="64" t="s">
        <v>9</v>
      </c>
      <c r="G279" s="64" t="s">
        <v>1710</v>
      </c>
      <c r="H279" s="64" t="s">
        <v>8</v>
      </c>
      <c r="I279" s="64" t="s">
        <v>2</v>
      </c>
      <c r="J279" s="33" t="s">
        <v>1172</v>
      </c>
      <c r="K279" s="65">
        <v>25020</v>
      </c>
      <c r="L279" s="66">
        <v>1968</v>
      </c>
      <c r="M279" s="67">
        <f t="shared" si="13"/>
        <v>51</v>
      </c>
      <c r="N279" s="64" t="s">
        <v>3</v>
      </c>
      <c r="O279" s="64" t="s">
        <v>1169</v>
      </c>
      <c r="P279" s="33" t="s">
        <v>1177</v>
      </c>
      <c r="Q279" s="64"/>
      <c r="R279" s="33" t="s">
        <v>1200</v>
      </c>
    </row>
    <row r="280" spans="2:18" s="63" customFormat="1">
      <c r="B280" s="137">
        <v>87</v>
      </c>
      <c r="C280" s="137"/>
      <c r="D280" s="64">
        <v>273</v>
      </c>
      <c r="E280" s="33" t="s">
        <v>629</v>
      </c>
      <c r="F280" s="64" t="s">
        <v>6</v>
      </c>
      <c r="G280" s="64" t="s">
        <v>630</v>
      </c>
      <c r="H280" s="64" t="s">
        <v>1</v>
      </c>
      <c r="I280" s="64" t="s">
        <v>2</v>
      </c>
      <c r="J280" s="33"/>
      <c r="K280" s="65">
        <v>29220</v>
      </c>
      <c r="L280" s="66">
        <f t="shared" ref="L280:L291" si="14">YEAR(K280)</f>
        <v>1979</v>
      </c>
      <c r="M280" s="67">
        <f t="shared" si="13"/>
        <v>40</v>
      </c>
      <c r="N280" s="64" t="s">
        <v>3</v>
      </c>
      <c r="O280" s="64"/>
      <c r="P280" s="33" t="s">
        <v>116</v>
      </c>
      <c r="Q280" s="64"/>
      <c r="R280" s="33" t="s">
        <v>85</v>
      </c>
    </row>
    <row r="281" spans="2:18" s="63" customFormat="1">
      <c r="B281" s="137"/>
      <c r="C281" s="137"/>
      <c r="D281" s="64">
        <v>274</v>
      </c>
      <c r="E281" s="33" t="s">
        <v>301</v>
      </c>
      <c r="F281" s="64" t="s">
        <v>9</v>
      </c>
      <c r="G281" s="64" t="s">
        <v>631</v>
      </c>
      <c r="H281" s="64" t="s">
        <v>8</v>
      </c>
      <c r="I281" s="64" t="s">
        <v>2</v>
      </c>
      <c r="J281" s="33"/>
      <c r="K281" s="65">
        <v>33217</v>
      </c>
      <c r="L281" s="66">
        <f t="shared" si="14"/>
        <v>1990</v>
      </c>
      <c r="M281" s="67">
        <f t="shared" si="13"/>
        <v>29</v>
      </c>
      <c r="N281" s="64" t="s">
        <v>3</v>
      </c>
      <c r="O281" s="64"/>
      <c r="P281" s="33" t="s">
        <v>116</v>
      </c>
      <c r="Q281" s="64"/>
      <c r="R281" s="33" t="s">
        <v>4</v>
      </c>
    </row>
    <row r="282" spans="2:18" s="63" customFormat="1" ht="25.5">
      <c r="B282" s="137"/>
      <c r="C282" s="137"/>
      <c r="D282" s="64">
        <v>275</v>
      </c>
      <c r="E282" s="33" t="s">
        <v>632</v>
      </c>
      <c r="F282" s="64" t="s">
        <v>13</v>
      </c>
      <c r="G282" s="64" t="s">
        <v>633</v>
      </c>
      <c r="H282" s="64" t="s">
        <v>1</v>
      </c>
      <c r="I282" s="64" t="s">
        <v>11</v>
      </c>
      <c r="J282" s="33"/>
      <c r="K282" s="65">
        <v>40043</v>
      </c>
      <c r="L282" s="66">
        <f t="shared" si="14"/>
        <v>2009</v>
      </c>
      <c r="M282" s="67">
        <f t="shared" si="13"/>
        <v>10</v>
      </c>
      <c r="N282" s="64" t="s">
        <v>3</v>
      </c>
      <c r="O282" s="64"/>
      <c r="P282" s="33" t="s">
        <v>4</v>
      </c>
      <c r="Q282" s="64"/>
      <c r="R282" s="33" t="s">
        <v>4</v>
      </c>
    </row>
    <row r="283" spans="2:18" s="63" customFormat="1">
      <c r="B283" s="137"/>
      <c r="C283" s="137"/>
      <c r="D283" s="64">
        <v>276</v>
      </c>
      <c r="E283" s="33" t="s">
        <v>634</v>
      </c>
      <c r="F283" s="64" t="s">
        <v>13</v>
      </c>
      <c r="G283" s="64" t="s">
        <v>635</v>
      </c>
      <c r="H283" s="64" t="s">
        <v>31</v>
      </c>
      <c r="I283" s="64" t="s">
        <v>11</v>
      </c>
      <c r="J283" s="33"/>
      <c r="K283" s="65">
        <v>42067</v>
      </c>
      <c r="L283" s="66">
        <f t="shared" si="14"/>
        <v>2015</v>
      </c>
      <c r="M283" s="67">
        <f t="shared" si="13"/>
        <v>4</v>
      </c>
      <c r="N283" s="64" t="s">
        <v>3</v>
      </c>
      <c r="O283" s="64"/>
      <c r="P283" s="33" t="s">
        <v>4</v>
      </c>
      <c r="Q283" s="64"/>
      <c r="R283" s="33" t="s">
        <v>4</v>
      </c>
    </row>
    <row r="284" spans="2:18" s="63" customFormat="1">
      <c r="B284" s="137">
        <v>88</v>
      </c>
      <c r="C284" s="137"/>
      <c r="D284" s="64">
        <v>277</v>
      </c>
      <c r="E284" s="33" t="s">
        <v>636</v>
      </c>
      <c r="F284" s="64" t="s">
        <v>6</v>
      </c>
      <c r="G284" s="64" t="s">
        <v>637</v>
      </c>
      <c r="H284" s="64" t="s">
        <v>1</v>
      </c>
      <c r="I284" s="64" t="s">
        <v>2</v>
      </c>
      <c r="J284" s="33"/>
      <c r="K284" s="65">
        <v>16071</v>
      </c>
      <c r="L284" s="66">
        <f t="shared" si="14"/>
        <v>1943</v>
      </c>
      <c r="M284" s="67">
        <f t="shared" si="13"/>
        <v>76</v>
      </c>
      <c r="N284" s="64" t="s">
        <v>3</v>
      </c>
      <c r="O284" s="64"/>
      <c r="P284" s="33" t="s">
        <v>4</v>
      </c>
      <c r="Q284" s="64"/>
      <c r="R284" s="33" t="s">
        <v>5</v>
      </c>
    </row>
    <row r="285" spans="2:18" s="63" customFormat="1">
      <c r="B285" s="137"/>
      <c r="C285" s="137"/>
      <c r="D285" s="64">
        <v>278</v>
      </c>
      <c r="E285" s="33" t="s">
        <v>638</v>
      </c>
      <c r="F285" s="64" t="s">
        <v>9</v>
      </c>
      <c r="G285" s="64" t="s">
        <v>639</v>
      </c>
      <c r="H285" s="64" t="s">
        <v>8</v>
      </c>
      <c r="I285" s="64" t="s">
        <v>2</v>
      </c>
      <c r="J285" s="33"/>
      <c r="K285" s="65">
        <v>16802</v>
      </c>
      <c r="L285" s="66">
        <f t="shared" si="14"/>
        <v>1945</v>
      </c>
      <c r="M285" s="67">
        <f t="shared" si="13"/>
        <v>74</v>
      </c>
      <c r="N285" s="64" t="s">
        <v>3</v>
      </c>
      <c r="O285" s="64"/>
      <c r="P285" s="33" t="s">
        <v>4</v>
      </c>
      <c r="Q285" s="64"/>
      <c r="R285" s="33" t="s">
        <v>5</v>
      </c>
    </row>
    <row r="286" spans="2:18" s="63" customFormat="1">
      <c r="B286" s="137">
        <v>89</v>
      </c>
      <c r="C286" s="137"/>
      <c r="D286" s="64">
        <v>279</v>
      </c>
      <c r="E286" s="33" t="s">
        <v>640</v>
      </c>
      <c r="F286" s="64" t="s">
        <v>6</v>
      </c>
      <c r="G286" s="64" t="s">
        <v>641</v>
      </c>
      <c r="H286" s="64" t="s">
        <v>1</v>
      </c>
      <c r="I286" s="64" t="s">
        <v>2</v>
      </c>
      <c r="J286" s="33"/>
      <c r="K286" s="65">
        <v>26664</v>
      </c>
      <c r="L286" s="66">
        <f t="shared" si="14"/>
        <v>1972</v>
      </c>
      <c r="M286" s="67">
        <f t="shared" si="13"/>
        <v>47</v>
      </c>
      <c r="N286" s="64" t="s">
        <v>3</v>
      </c>
      <c r="O286" s="64"/>
      <c r="P286" s="33" t="s">
        <v>12</v>
      </c>
      <c r="Q286" s="64"/>
      <c r="R286" s="33" t="s">
        <v>5</v>
      </c>
    </row>
    <row r="287" spans="2:18" s="63" customFormat="1">
      <c r="B287" s="137"/>
      <c r="C287" s="137"/>
      <c r="D287" s="64">
        <v>280</v>
      </c>
      <c r="E287" s="33" t="s">
        <v>642</v>
      </c>
      <c r="F287" s="64" t="s">
        <v>9</v>
      </c>
      <c r="G287" s="64" t="s">
        <v>643</v>
      </c>
      <c r="H287" s="64" t="s">
        <v>8</v>
      </c>
      <c r="I287" s="64" t="s">
        <v>2</v>
      </c>
      <c r="J287" s="33"/>
      <c r="K287" s="65">
        <v>27759</v>
      </c>
      <c r="L287" s="66">
        <f t="shared" si="14"/>
        <v>1975</v>
      </c>
      <c r="M287" s="67">
        <f t="shared" si="13"/>
        <v>44</v>
      </c>
      <c r="N287" s="64" t="s">
        <v>3</v>
      </c>
      <c r="O287" s="64"/>
      <c r="P287" s="33" t="s">
        <v>12</v>
      </c>
      <c r="Q287" s="64"/>
      <c r="R287" s="33" t="s">
        <v>5</v>
      </c>
    </row>
    <row r="288" spans="2:18" s="63" customFormat="1">
      <c r="B288" s="137"/>
      <c r="C288" s="137"/>
      <c r="D288" s="64">
        <v>281</v>
      </c>
      <c r="E288" s="33" t="s">
        <v>644</v>
      </c>
      <c r="F288" s="64" t="s">
        <v>13</v>
      </c>
      <c r="G288" s="64" t="s">
        <v>645</v>
      </c>
      <c r="H288" s="64" t="s">
        <v>1</v>
      </c>
      <c r="I288" s="64" t="s">
        <v>11</v>
      </c>
      <c r="J288" s="33"/>
      <c r="K288" s="65">
        <v>35350</v>
      </c>
      <c r="L288" s="66">
        <f t="shared" si="14"/>
        <v>1996</v>
      </c>
      <c r="M288" s="67">
        <f t="shared" si="13"/>
        <v>23</v>
      </c>
      <c r="N288" s="64" t="s">
        <v>3</v>
      </c>
      <c r="O288" s="64"/>
      <c r="P288" s="33" t="s">
        <v>16</v>
      </c>
      <c r="Q288" s="64"/>
      <c r="R288" s="33" t="s">
        <v>4</v>
      </c>
    </row>
    <row r="289" spans="2:18" s="63" customFormat="1">
      <c r="B289" s="137"/>
      <c r="C289" s="137"/>
      <c r="D289" s="64">
        <v>282</v>
      </c>
      <c r="E289" s="33" t="s">
        <v>646</v>
      </c>
      <c r="F289" s="64" t="s">
        <v>13</v>
      </c>
      <c r="G289" s="64" t="s">
        <v>647</v>
      </c>
      <c r="H289" s="64" t="s">
        <v>8</v>
      </c>
      <c r="I289" s="64" t="s">
        <v>11</v>
      </c>
      <c r="J289" s="33"/>
      <c r="K289" s="65">
        <v>963</v>
      </c>
      <c r="L289" s="66">
        <f t="shared" si="14"/>
        <v>1902</v>
      </c>
      <c r="M289" s="67">
        <f t="shared" si="13"/>
        <v>117</v>
      </c>
      <c r="N289" s="64" t="s">
        <v>3</v>
      </c>
      <c r="O289" s="64"/>
      <c r="P289" s="33" t="s">
        <v>28</v>
      </c>
      <c r="Q289" s="64"/>
      <c r="R289" s="33" t="s">
        <v>4</v>
      </c>
    </row>
    <row r="290" spans="2:18" s="63" customFormat="1" ht="25.5">
      <c r="B290" s="137"/>
      <c r="C290" s="137"/>
      <c r="D290" s="64">
        <v>283</v>
      </c>
      <c r="E290" s="33" t="s">
        <v>648</v>
      </c>
      <c r="F290" s="64" t="s">
        <v>13</v>
      </c>
      <c r="G290" s="64" t="s">
        <v>649</v>
      </c>
      <c r="H290" s="64" t="s">
        <v>1</v>
      </c>
      <c r="I290" s="64" t="s">
        <v>11</v>
      </c>
      <c r="J290" s="33"/>
      <c r="K290" s="65">
        <v>41445</v>
      </c>
      <c r="L290" s="66">
        <f t="shared" si="14"/>
        <v>2013</v>
      </c>
      <c r="M290" s="67">
        <f t="shared" si="13"/>
        <v>6</v>
      </c>
      <c r="N290" s="64" t="s">
        <v>3</v>
      </c>
      <c r="O290" s="64"/>
      <c r="P290" s="33" t="s">
        <v>4</v>
      </c>
      <c r="Q290" s="64"/>
      <c r="R290" s="33" t="s">
        <v>4</v>
      </c>
    </row>
    <row r="291" spans="2:18" s="63" customFormat="1">
      <c r="B291" s="64">
        <v>90</v>
      </c>
      <c r="C291" s="64"/>
      <c r="D291" s="64">
        <v>284</v>
      </c>
      <c r="E291" s="33" t="s">
        <v>463</v>
      </c>
      <c r="F291" s="64" t="s">
        <v>6</v>
      </c>
      <c r="G291" s="64" t="s">
        <v>464</v>
      </c>
      <c r="H291" s="64" t="s">
        <v>1</v>
      </c>
      <c r="I291" s="64" t="s">
        <v>2</v>
      </c>
      <c r="J291" s="33"/>
      <c r="K291" s="65">
        <v>29220</v>
      </c>
      <c r="L291" s="66">
        <f t="shared" si="14"/>
        <v>1979</v>
      </c>
      <c r="M291" s="67">
        <f t="shared" si="13"/>
        <v>40</v>
      </c>
      <c r="N291" s="64" t="s">
        <v>3</v>
      </c>
      <c r="O291" s="64"/>
      <c r="P291" s="33" t="s">
        <v>4</v>
      </c>
      <c r="Q291" s="64"/>
      <c r="R291" s="33" t="s">
        <v>5</v>
      </c>
    </row>
    <row r="292" spans="2:18" s="63" customFormat="1">
      <c r="B292" s="137">
        <v>91</v>
      </c>
      <c r="C292" s="137" t="s">
        <v>1878</v>
      </c>
      <c r="D292" s="64">
        <v>285</v>
      </c>
      <c r="E292" s="33" t="s">
        <v>563</v>
      </c>
      <c r="F292" s="64" t="s">
        <v>6</v>
      </c>
      <c r="G292" s="64" t="s">
        <v>564</v>
      </c>
      <c r="H292" s="64" t="s">
        <v>1</v>
      </c>
      <c r="I292" s="64" t="s">
        <v>2</v>
      </c>
      <c r="J292" s="33" t="s">
        <v>1166</v>
      </c>
      <c r="K292" s="65">
        <v>30944</v>
      </c>
      <c r="L292" s="66">
        <v>1984</v>
      </c>
      <c r="M292" s="67">
        <f t="shared" si="13"/>
        <v>35</v>
      </c>
      <c r="N292" s="64" t="s">
        <v>3</v>
      </c>
      <c r="O292" s="64" t="s">
        <v>1169</v>
      </c>
      <c r="P292" s="33" t="s">
        <v>1181</v>
      </c>
      <c r="Q292" s="64"/>
      <c r="R292" s="33" t="s">
        <v>85</v>
      </c>
    </row>
    <row r="293" spans="2:18" s="63" customFormat="1">
      <c r="B293" s="137"/>
      <c r="C293" s="137"/>
      <c r="D293" s="64">
        <v>286</v>
      </c>
      <c r="E293" s="33" t="s">
        <v>1870</v>
      </c>
      <c r="F293" s="64" t="s">
        <v>465</v>
      </c>
      <c r="G293" s="64" t="s">
        <v>1875</v>
      </c>
      <c r="H293" s="64" t="s">
        <v>8</v>
      </c>
      <c r="I293" s="64" t="s">
        <v>2</v>
      </c>
      <c r="J293" s="33" t="s">
        <v>1166</v>
      </c>
      <c r="K293" s="65">
        <v>32142</v>
      </c>
      <c r="L293" s="66">
        <v>1987</v>
      </c>
      <c r="M293" s="67">
        <f t="shared" si="13"/>
        <v>32</v>
      </c>
      <c r="N293" s="64" t="s">
        <v>3</v>
      </c>
      <c r="O293" s="64" t="s">
        <v>1169</v>
      </c>
      <c r="P293" s="33" t="s">
        <v>1181</v>
      </c>
      <c r="Q293" s="64"/>
      <c r="R293" s="33" t="s">
        <v>85</v>
      </c>
    </row>
    <row r="294" spans="2:18" s="63" customFormat="1" ht="25.5">
      <c r="B294" s="137"/>
      <c r="C294" s="137"/>
      <c r="D294" s="64">
        <v>287</v>
      </c>
      <c r="E294" s="33" t="s">
        <v>1871</v>
      </c>
      <c r="F294" s="64" t="s">
        <v>13</v>
      </c>
      <c r="G294" s="64" t="s">
        <v>466</v>
      </c>
      <c r="H294" s="64" t="s">
        <v>1</v>
      </c>
      <c r="I294" s="64" t="s">
        <v>150</v>
      </c>
      <c r="J294" s="33" t="s">
        <v>1166</v>
      </c>
      <c r="K294" s="65">
        <v>40960</v>
      </c>
      <c r="L294" s="66">
        <v>2012</v>
      </c>
      <c r="M294" s="67">
        <f t="shared" si="13"/>
        <v>7</v>
      </c>
      <c r="N294" s="64" t="s">
        <v>3</v>
      </c>
      <c r="O294" s="64" t="s">
        <v>1169</v>
      </c>
      <c r="P294" s="33" t="s">
        <v>1177</v>
      </c>
      <c r="Q294" s="64"/>
      <c r="R294" s="33" t="s">
        <v>1192</v>
      </c>
    </row>
    <row r="295" spans="2:18" s="63" customFormat="1" ht="38.25">
      <c r="B295" s="137"/>
      <c r="C295" s="137"/>
      <c r="D295" s="64">
        <v>288</v>
      </c>
      <c r="E295" s="33" t="s">
        <v>1872</v>
      </c>
      <c r="F295" s="64" t="s">
        <v>13</v>
      </c>
      <c r="G295" s="64" t="s">
        <v>567</v>
      </c>
      <c r="H295" s="64" t="s">
        <v>1</v>
      </c>
      <c r="I295" s="64" t="s">
        <v>150</v>
      </c>
      <c r="J295" s="33" t="s">
        <v>1166</v>
      </c>
      <c r="K295" s="65">
        <v>41131</v>
      </c>
      <c r="L295" s="66">
        <v>2012</v>
      </c>
      <c r="M295" s="67">
        <f t="shared" si="13"/>
        <v>7</v>
      </c>
      <c r="N295" s="64" t="s">
        <v>3</v>
      </c>
      <c r="O295" s="64" t="s">
        <v>1169</v>
      </c>
      <c r="P295" s="33" t="s">
        <v>1177</v>
      </c>
      <c r="Q295" s="64"/>
      <c r="R295" s="33" t="s">
        <v>1192</v>
      </c>
    </row>
    <row r="296" spans="2:18" s="63" customFormat="1" ht="25.5">
      <c r="B296" s="137"/>
      <c r="C296" s="137"/>
      <c r="D296" s="64">
        <v>289</v>
      </c>
      <c r="E296" s="33" t="s">
        <v>1873</v>
      </c>
      <c r="F296" s="64" t="s">
        <v>13</v>
      </c>
      <c r="G296" s="64" t="s">
        <v>1876</v>
      </c>
      <c r="H296" s="64" t="s">
        <v>1</v>
      </c>
      <c r="I296" s="64" t="s">
        <v>150</v>
      </c>
      <c r="J296" s="33" t="s">
        <v>1249</v>
      </c>
      <c r="K296" s="65">
        <v>42284</v>
      </c>
      <c r="L296" s="66">
        <v>2015</v>
      </c>
      <c r="M296" s="67">
        <f t="shared" si="13"/>
        <v>4</v>
      </c>
      <c r="N296" s="64" t="s">
        <v>3</v>
      </c>
      <c r="O296" s="64" t="s">
        <v>1169</v>
      </c>
      <c r="P296" s="33" t="s">
        <v>1177</v>
      </c>
      <c r="Q296" s="64"/>
      <c r="R296" s="33" t="s">
        <v>1192</v>
      </c>
    </row>
    <row r="297" spans="2:18" s="63" customFormat="1" ht="25.5">
      <c r="B297" s="137"/>
      <c r="C297" s="137"/>
      <c r="D297" s="64">
        <v>290</v>
      </c>
      <c r="E297" s="33" t="s">
        <v>1874</v>
      </c>
      <c r="F297" s="64" t="s">
        <v>13</v>
      </c>
      <c r="G297" s="64" t="s">
        <v>1877</v>
      </c>
      <c r="H297" s="64" t="s">
        <v>8</v>
      </c>
      <c r="I297" s="64" t="s">
        <v>150</v>
      </c>
      <c r="J297" s="33" t="s">
        <v>1250</v>
      </c>
      <c r="K297" s="65">
        <v>43431</v>
      </c>
      <c r="L297" s="66">
        <v>2018</v>
      </c>
      <c r="M297" s="67">
        <f t="shared" si="13"/>
        <v>1</v>
      </c>
      <c r="N297" s="64" t="s">
        <v>3</v>
      </c>
      <c r="O297" s="64" t="s">
        <v>1169</v>
      </c>
      <c r="P297" s="33" t="s">
        <v>1177</v>
      </c>
      <c r="Q297" s="64"/>
      <c r="R297" s="33" t="s">
        <v>1192</v>
      </c>
    </row>
    <row r="298" spans="2:18" s="63" customFormat="1">
      <c r="B298" s="64">
        <v>92</v>
      </c>
      <c r="C298" s="64"/>
      <c r="D298" s="64">
        <v>291</v>
      </c>
      <c r="E298" s="33" t="s">
        <v>565</v>
      </c>
      <c r="F298" s="64" t="s">
        <v>9</v>
      </c>
      <c r="G298" s="64" t="s">
        <v>566</v>
      </c>
      <c r="H298" s="64" t="s">
        <v>8</v>
      </c>
      <c r="I298" s="64" t="s">
        <v>2</v>
      </c>
      <c r="J298" s="33"/>
      <c r="K298" s="65">
        <v>34648</v>
      </c>
      <c r="L298" s="66">
        <f>YEAR(K298)</f>
        <v>1994</v>
      </c>
      <c r="M298" s="67">
        <f t="shared" si="13"/>
        <v>25</v>
      </c>
      <c r="N298" s="64" t="s">
        <v>3</v>
      </c>
      <c r="O298" s="64"/>
      <c r="P298" s="33" t="s">
        <v>16</v>
      </c>
      <c r="Q298" s="64"/>
      <c r="R298" s="33" t="s">
        <v>5</v>
      </c>
    </row>
    <row r="299" spans="2:18" s="61" customFormat="1">
      <c r="B299" s="137">
        <v>93</v>
      </c>
      <c r="C299" s="137">
        <v>520101</v>
      </c>
      <c r="D299" s="64">
        <v>292</v>
      </c>
      <c r="E299" s="33" t="s">
        <v>1490</v>
      </c>
      <c r="F299" s="64" t="s">
        <v>6</v>
      </c>
      <c r="G299" s="64"/>
      <c r="H299" s="64" t="s">
        <v>1</v>
      </c>
      <c r="I299" s="64" t="s">
        <v>2</v>
      </c>
      <c r="J299" s="33" t="s">
        <v>1166</v>
      </c>
      <c r="K299" s="65">
        <v>30001</v>
      </c>
      <c r="L299" s="66">
        <v>1982</v>
      </c>
      <c r="M299" s="67">
        <f t="shared" si="13"/>
        <v>37</v>
      </c>
      <c r="N299" s="64" t="s">
        <v>3</v>
      </c>
      <c r="O299" s="64" t="s">
        <v>1169</v>
      </c>
      <c r="P299" s="33" t="s">
        <v>1181</v>
      </c>
      <c r="Q299" s="64"/>
      <c r="R299" s="33" t="s">
        <v>85</v>
      </c>
    </row>
    <row r="300" spans="2:18" s="61" customFormat="1">
      <c r="B300" s="137"/>
      <c r="C300" s="137"/>
      <c r="D300" s="64">
        <v>293</v>
      </c>
      <c r="E300" s="33" t="s">
        <v>1491</v>
      </c>
      <c r="F300" s="64" t="s">
        <v>9</v>
      </c>
      <c r="G300" s="64"/>
      <c r="H300" s="64" t="s">
        <v>8</v>
      </c>
      <c r="I300" s="64" t="s">
        <v>2</v>
      </c>
      <c r="J300" s="33" t="s">
        <v>1166</v>
      </c>
      <c r="K300" s="65">
        <v>29496</v>
      </c>
      <c r="L300" s="66">
        <v>1980</v>
      </c>
      <c r="M300" s="67">
        <f t="shared" si="13"/>
        <v>39</v>
      </c>
      <c r="N300" s="64" t="s">
        <v>3</v>
      </c>
      <c r="O300" s="64" t="s">
        <v>1169</v>
      </c>
      <c r="P300" s="33" t="s">
        <v>1181</v>
      </c>
      <c r="Q300" s="64"/>
      <c r="R300" s="33" t="s">
        <v>85</v>
      </c>
    </row>
    <row r="301" spans="2:18" s="63" customFormat="1">
      <c r="B301" s="137">
        <v>94</v>
      </c>
      <c r="C301" s="137" t="s">
        <v>1620</v>
      </c>
      <c r="D301" s="64">
        <v>294</v>
      </c>
      <c r="E301" s="33" t="s">
        <v>446</v>
      </c>
      <c r="F301" s="64" t="s">
        <v>585</v>
      </c>
      <c r="G301" s="64" t="s">
        <v>586</v>
      </c>
      <c r="H301" s="64" t="s">
        <v>1</v>
      </c>
      <c r="I301" s="64" t="s">
        <v>2</v>
      </c>
      <c r="J301" s="33" t="s">
        <v>1166</v>
      </c>
      <c r="K301" s="65">
        <v>28606</v>
      </c>
      <c r="L301" s="66">
        <v>1978</v>
      </c>
      <c r="M301" s="67">
        <f t="shared" si="13"/>
        <v>41</v>
      </c>
      <c r="N301" s="64" t="s">
        <v>3</v>
      </c>
      <c r="O301" s="64" t="s">
        <v>1169</v>
      </c>
      <c r="P301" s="33" t="s">
        <v>1181</v>
      </c>
      <c r="Q301" s="64"/>
      <c r="R301" s="33" t="s">
        <v>85</v>
      </c>
    </row>
    <row r="302" spans="2:18" s="63" customFormat="1" ht="25.5">
      <c r="B302" s="137"/>
      <c r="C302" s="137"/>
      <c r="D302" s="64">
        <v>295</v>
      </c>
      <c r="E302" s="33" t="s">
        <v>587</v>
      </c>
      <c r="F302" s="64" t="s">
        <v>9</v>
      </c>
      <c r="G302" s="64" t="s">
        <v>588</v>
      </c>
      <c r="H302" s="64" t="s">
        <v>8</v>
      </c>
      <c r="I302" s="64" t="s">
        <v>2</v>
      </c>
      <c r="J302" s="33" t="s">
        <v>1166</v>
      </c>
      <c r="K302" s="65">
        <v>29963</v>
      </c>
      <c r="L302" s="66">
        <v>1982</v>
      </c>
      <c r="M302" s="67">
        <f t="shared" si="13"/>
        <v>37</v>
      </c>
      <c r="N302" s="64" t="s">
        <v>3</v>
      </c>
      <c r="O302" s="64" t="s">
        <v>1169</v>
      </c>
      <c r="P302" s="33" t="s">
        <v>1181</v>
      </c>
      <c r="Q302" s="64"/>
      <c r="R302" s="33" t="s">
        <v>1168</v>
      </c>
    </row>
    <row r="303" spans="2:18" s="63" customFormat="1" ht="25.5">
      <c r="B303" s="137"/>
      <c r="C303" s="137"/>
      <c r="D303" s="64">
        <v>296</v>
      </c>
      <c r="E303" s="33" t="s">
        <v>589</v>
      </c>
      <c r="F303" s="64" t="s">
        <v>13</v>
      </c>
      <c r="G303" s="64" t="s">
        <v>590</v>
      </c>
      <c r="H303" s="64" t="s">
        <v>1</v>
      </c>
      <c r="I303" s="64" t="s">
        <v>11</v>
      </c>
      <c r="J303" s="33" t="s">
        <v>1166</v>
      </c>
      <c r="K303" s="65">
        <v>37401</v>
      </c>
      <c r="L303" s="66">
        <v>2002</v>
      </c>
      <c r="M303" s="67">
        <f t="shared" si="13"/>
        <v>17</v>
      </c>
      <c r="N303" s="64" t="s">
        <v>3</v>
      </c>
      <c r="O303" s="64" t="s">
        <v>1169</v>
      </c>
      <c r="P303" s="33" t="s">
        <v>1176</v>
      </c>
      <c r="Q303" s="64"/>
      <c r="R303" s="33" t="s">
        <v>1175</v>
      </c>
    </row>
    <row r="304" spans="2:18" s="63" customFormat="1" ht="25.5">
      <c r="B304" s="137"/>
      <c r="C304" s="137"/>
      <c r="D304" s="64">
        <v>297</v>
      </c>
      <c r="E304" s="33" t="s">
        <v>591</v>
      </c>
      <c r="F304" s="64" t="s">
        <v>13</v>
      </c>
      <c r="G304" s="64" t="s">
        <v>592</v>
      </c>
      <c r="H304" s="64" t="s">
        <v>8</v>
      </c>
      <c r="I304" s="64" t="s">
        <v>11</v>
      </c>
      <c r="J304" s="33" t="s">
        <v>1166</v>
      </c>
      <c r="K304" s="65">
        <v>39875</v>
      </c>
      <c r="L304" s="66">
        <v>2009</v>
      </c>
      <c r="M304" s="67">
        <f t="shared" si="13"/>
        <v>10</v>
      </c>
      <c r="N304" s="64" t="s">
        <v>3</v>
      </c>
      <c r="O304" s="64" t="s">
        <v>1169</v>
      </c>
      <c r="P304" s="33" t="s">
        <v>1177</v>
      </c>
      <c r="Q304" s="64"/>
      <c r="R304" s="33" t="s">
        <v>1192</v>
      </c>
    </row>
    <row r="305" spans="2:18" s="63" customFormat="1">
      <c r="B305" s="137"/>
      <c r="C305" s="137"/>
      <c r="D305" s="64">
        <v>298</v>
      </c>
      <c r="E305" s="33" t="s">
        <v>593</v>
      </c>
      <c r="F305" s="64" t="s">
        <v>13</v>
      </c>
      <c r="G305" s="64">
        <v>0</v>
      </c>
      <c r="H305" s="64" t="s">
        <v>8</v>
      </c>
      <c r="I305" s="64" t="s">
        <v>11</v>
      </c>
      <c r="J305" s="33" t="s">
        <v>1166</v>
      </c>
      <c r="K305" s="65">
        <v>41915</v>
      </c>
      <c r="L305" s="66">
        <f t="shared" ref="L305:L329" si="15">YEAR(K305)</f>
        <v>2014</v>
      </c>
      <c r="M305" s="67">
        <f t="shared" si="13"/>
        <v>5</v>
      </c>
      <c r="N305" s="64" t="s">
        <v>3</v>
      </c>
      <c r="O305" s="64" t="s">
        <v>1169</v>
      </c>
      <c r="P305" s="33" t="s">
        <v>4</v>
      </c>
      <c r="Q305" s="64"/>
      <c r="R305" s="33" t="s">
        <v>4</v>
      </c>
    </row>
    <row r="306" spans="2:18" s="63" customFormat="1">
      <c r="B306" s="137">
        <v>95</v>
      </c>
      <c r="C306" s="137" t="s">
        <v>1868</v>
      </c>
      <c r="D306" s="64">
        <v>299</v>
      </c>
      <c r="E306" s="33" t="s">
        <v>317</v>
      </c>
      <c r="F306" s="64" t="s">
        <v>6</v>
      </c>
      <c r="G306" s="64"/>
      <c r="H306" s="64" t="s">
        <v>1</v>
      </c>
      <c r="I306" s="64" t="s">
        <v>2</v>
      </c>
      <c r="J306" s="33" t="s">
        <v>1166</v>
      </c>
      <c r="K306" s="65"/>
      <c r="L306" s="66"/>
      <c r="M306" s="67"/>
      <c r="N306" s="64" t="s">
        <v>3</v>
      </c>
      <c r="O306" s="64"/>
      <c r="P306" s="33" t="s">
        <v>1199</v>
      </c>
      <c r="Q306" s="64"/>
      <c r="R306" s="33" t="s">
        <v>1300</v>
      </c>
    </row>
    <row r="307" spans="2:18" s="63" customFormat="1" ht="25.5">
      <c r="B307" s="137"/>
      <c r="C307" s="137"/>
      <c r="D307" s="64">
        <v>300</v>
      </c>
      <c r="E307" s="33" t="s">
        <v>319</v>
      </c>
      <c r="F307" s="64" t="s">
        <v>9</v>
      </c>
      <c r="G307" s="64"/>
      <c r="H307" s="64" t="s">
        <v>8</v>
      </c>
      <c r="I307" s="64" t="s">
        <v>2</v>
      </c>
      <c r="J307" s="33" t="s">
        <v>1880</v>
      </c>
      <c r="K307" s="65"/>
      <c r="L307" s="66"/>
      <c r="M307" s="67"/>
      <c r="N307" s="64" t="s">
        <v>3</v>
      </c>
      <c r="O307" s="64"/>
      <c r="P307" s="33" t="s">
        <v>1181</v>
      </c>
      <c r="Q307" s="64"/>
      <c r="R307" s="33" t="s">
        <v>1168</v>
      </c>
    </row>
    <row r="308" spans="2:18" s="63" customFormat="1" ht="25.5">
      <c r="B308" s="137"/>
      <c r="C308" s="137"/>
      <c r="D308" s="64">
        <v>301</v>
      </c>
      <c r="E308" s="33" t="s">
        <v>1869</v>
      </c>
      <c r="F308" s="64" t="s">
        <v>13</v>
      </c>
      <c r="G308" s="64"/>
      <c r="H308" s="64" t="s">
        <v>1</v>
      </c>
      <c r="I308" s="64" t="s">
        <v>150</v>
      </c>
      <c r="J308" s="33" t="s">
        <v>1880</v>
      </c>
      <c r="K308" s="65"/>
      <c r="L308" s="66"/>
      <c r="M308" s="67"/>
      <c r="N308" s="64" t="s">
        <v>3</v>
      </c>
      <c r="O308" s="64"/>
      <c r="P308" s="33" t="s">
        <v>1177</v>
      </c>
      <c r="Q308" s="64"/>
      <c r="R308" s="33" t="s">
        <v>1192</v>
      </c>
    </row>
    <row r="309" spans="2:18" s="63" customFormat="1" ht="25.5">
      <c r="B309" s="137"/>
      <c r="C309" s="137"/>
      <c r="D309" s="64">
        <v>302</v>
      </c>
      <c r="E309" s="33" t="s">
        <v>1881</v>
      </c>
      <c r="F309" s="64" t="s">
        <v>13</v>
      </c>
      <c r="G309" s="64"/>
      <c r="H309" s="64" t="s">
        <v>1</v>
      </c>
      <c r="I309" s="64" t="s">
        <v>150</v>
      </c>
      <c r="J309" s="33" t="s">
        <v>1880</v>
      </c>
      <c r="K309" s="65"/>
      <c r="L309" s="66"/>
      <c r="M309" s="67"/>
      <c r="N309" s="64" t="s">
        <v>3</v>
      </c>
      <c r="O309" s="64"/>
      <c r="P309" s="33" t="s">
        <v>1177</v>
      </c>
      <c r="Q309" s="64"/>
      <c r="R309" s="33" t="s">
        <v>1192</v>
      </c>
    </row>
    <row r="310" spans="2:18" s="63" customFormat="1">
      <c r="B310" s="137">
        <v>96</v>
      </c>
      <c r="C310" s="137"/>
      <c r="D310" s="64">
        <v>303</v>
      </c>
      <c r="E310" s="33" t="s">
        <v>756</v>
      </c>
      <c r="F310" s="64" t="s">
        <v>6</v>
      </c>
      <c r="G310" s="64">
        <v>0</v>
      </c>
      <c r="H310" s="64" t="s">
        <v>1</v>
      </c>
      <c r="I310" s="64" t="s">
        <v>2</v>
      </c>
      <c r="J310" s="33"/>
      <c r="K310" s="65">
        <v>18628</v>
      </c>
      <c r="L310" s="66">
        <f t="shared" si="15"/>
        <v>1950</v>
      </c>
      <c r="M310" s="67">
        <f t="shared" ref="M310:M329" si="16">2019-L310</f>
        <v>69</v>
      </c>
      <c r="N310" s="64" t="s">
        <v>3</v>
      </c>
      <c r="O310" s="64"/>
      <c r="P310" s="33" t="s">
        <v>12</v>
      </c>
      <c r="Q310" s="64"/>
      <c r="R310" s="33" t="s">
        <v>80</v>
      </c>
    </row>
    <row r="311" spans="2:18" s="63" customFormat="1">
      <c r="B311" s="137"/>
      <c r="C311" s="137"/>
      <c r="D311" s="64">
        <v>304</v>
      </c>
      <c r="E311" s="33" t="s">
        <v>659</v>
      </c>
      <c r="F311" s="64" t="s">
        <v>9</v>
      </c>
      <c r="G311" s="64">
        <v>0</v>
      </c>
      <c r="H311" s="64" t="s">
        <v>8</v>
      </c>
      <c r="I311" s="64" t="s">
        <v>2</v>
      </c>
      <c r="J311" s="33"/>
      <c r="K311" s="65">
        <v>27029</v>
      </c>
      <c r="L311" s="66">
        <f t="shared" si="15"/>
        <v>1973</v>
      </c>
      <c r="M311" s="67">
        <f t="shared" si="16"/>
        <v>46</v>
      </c>
      <c r="N311" s="64" t="s">
        <v>3</v>
      </c>
      <c r="O311" s="64"/>
      <c r="P311" s="33" t="s">
        <v>4</v>
      </c>
      <c r="Q311" s="64"/>
      <c r="R311" s="33" t="s">
        <v>119</v>
      </c>
    </row>
    <row r="312" spans="2:18" s="63" customFormat="1">
      <c r="B312" s="137"/>
      <c r="C312" s="137"/>
      <c r="D312" s="64">
        <v>305</v>
      </c>
      <c r="E312" s="33" t="s">
        <v>757</v>
      </c>
      <c r="F312" s="64" t="s">
        <v>13</v>
      </c>
      <c r="G312" s="64">
        <v>0</v>
      </c>
      <c r="H312" s="64" t="s">
        <v>8</v>
      </c>
      <c r="I312" s="64" t="s">
        <v>11</v>
      </c>
      <c r="J312" s="33"/>
      <c r="K312" s="65">
        <v>37442</v>
      </c>
      <c r="L312" s="66">
        <f t="shared" si="15"/>
        <v>2002</v>
      </c>
      <c r="M312" s="67">
        <f t="shared" si="16"/>
        <v>17</v>
      </c>
      <c r="N312" s="64" t="s">
        <v>3</v>
      </c>
      <c r="O312" s="64"/>
      <c r="P312" s="33" t="s">
        <v>28</v>
      </c>
      <c r="Q312" s="64"/>
      <c r="R312" s="33" t="s">
        <v>4</v>
      </c>
    </row>
    <row r="313" spans="2:18" s="63" customFormat="1">
      <c r="B313" s="137"/>
      <c r="C313" s="137"/>
      <c r="D313" s="64">
        <v>306</v>
      </c>
      <c r="E313" s="33" t="s">
        <v>758</v>
      </c>
      <c r="F313" s="64" t="s">
        <v>13</v>
      </c>
      <c r="G313" s="64">
        <v>0</v>
      </c>
      <c r="H313" s="64" t="s">
        <v>31</v>
      </c>
      <c r="I313" s="64" t="s">
        <v>11</v>
      </c>
      <c r="J313" s="33"/>
      <c r="K313" s="65">
        <v>39634</v>
      </c>
      <c r="L313" s="66">
        <f t="shared" si="15"/>
        <v>2008</v>
      </c>
      <c r="M313" s="67">
        <f t="shared" si="16"/>
        <v>11</v>
      </c>
      <c r="N313" s="64" t="s">
        <v>3</v>
      </c>
      <c r="O313" s="64"/>
      <c r="P313" s="33" t="s">
        <v>4</v>
      </c>
      <c r="Q313" s="64"/>
      <c r="R313" s="33" t="s">
        <v>4</v>
      </c>
    </row>
    <row r="314" spans="2:18" s="63" customFormat="1">
      <c r="B314" s="137">
        <v>97</v>
      </c>
      <c r="C314" s="137"/>
      <c r="D314" s="64">
        <v>307</v>
      </c>
      <c r="E314" s="33" t="s">
        <v>725</v>
      </c>
      <c r="F314" s="64" t="s">
        <v>6</v>
      </c>
      <c r="G314" s="64">
        <v>0</v>
      </c>
      <c r="H314" s="64" t="s">
        <v>1</v>
      </c>
      <c r="I314" s="64" t="s">
        <v>2</v>
      </c>
      <c r="J314" s="33"/>
      <c r="K314" s="65">
        <v>25203</v>
      </c>
      <c r="L314" s="66">
        <f t="shared" si="15"/>
        <v>1968</v>
      </c>
      <c r="M314" s="67">
        <f t="shared" si="16"/>
        <v>51</v>
      </c>
      <c r="N314" s="64" t="s">
        <v>3</v>
      </c>
      <c r="O314" s="64"/>
      <c r="P314" s="33" t="s">
        <v>726</v>
      </c>
      <c r="Q314" s="64"/>
      <c r="R314" s="33" t="s">
        <v>126</v>
      </c>
    </row>
    <row r="315" spans="2:18" s="63" customFormat="1">
      <c r="B315" s="137"/>
      <c r="C315" s="137"/>
      <c r="D315" s="64">
        <v>308</v>
      </c>
      <c r="E315" s="33" t="s">
        <v>727</v>
      </c>
      <c r="F315" s="64" t="s">
        <v>9</v>
      </c>
      <c r="G315" s="64">
        <v>0</v>
      </c>
      <c r="H315" s="64" t="s">
        <v>8</v>
      </c>
      <c r="I315" s="64" t="s">
        <v>2</v>
      </c>
      <c r="J315" s="33"/>
      <c r="K315" s="65">
        <v>25203</v>
      </c>
      <c r="L315" s="66">
        <f t="shared" si="15"/>
        <v>1968</v>
      </c>
      <c r="M315" s="67">
        <f t="shared" si="16"/>
        <v>51</v>
      </c>
      <c r="N315" s="64" t="s">
        <v>3</v>
      </c>
      <c r="O315" s="64"/>
      <c r="P315" s="33" t="s">
        <v>4</v>
      </c>
      <c r="Q315" s="64"/>
      <c r="R315" s="33" t="s">
        <v>119</v>
      </c>
    </row>
    <row r="316" spans="2:18" s="63" customFormat="1">
      <c r="B316" s="137"/>
      <c r="C316" s="137"/>
      <c r="D316" s="64">
        <v>309</v>
      </c>
      <c r="E316" s="33" t="s">
        <v>728</v>
      </c>
      <c r="F316" s="64" t="s">
        <v>13</v>
      </c>
      <c r="G316" s="64">
        <v>0</v>
      </c>
      <c r="H316" s="64" t="s">
        <v>1</v>
      </c>
      <c r="I316" s="64" t="s">
        <v>11</v>
      </c>
      <c r="J316" s="33"/>
      <c r="K316" s="65">
        <v>32508</v>
      </c>
      <c r="L316" s="66">
        <f t="shared" si="15"/>
        <v>1988</v>
      </c>
      <c r="M316" s="67">
        <f t="shared" si="16"/>
        <v>31</v>
      </c>
      <c r="N316" s="64" t="s">
        <v>3</v>
      </c>
      <c r="O316" s="64"/>
      <c r="P316" s="33" t="s">
        <v>4</v>
      </c>
      <c r="Q316" s="64"/>
      <c r="R316" s="33" t="s">
        <v>4</v>
      </c>
    </row>
    <row r="317" spans="2:18" s="63" customFormat="1">
      <c r="B317" s="137"/>
      <c r="C317" s="137"/>
      <c r="D317" s="64">
        <v>310</v>
      </c>
      <c r="E317" s="33" t="s">
        <v>729</v>
      </c>
      <c r="F317" s="64" t="s">
        <v>13</v>
      </c>
      <c r="G317" s="64">
        <v>0</v>
      </c>
      <c r="H317" s="64" t="s">
        <v>1</v>
      </c>
      <c r="I317" s="64" t="s">
        <v>11</v>
      </c>
      <c r="J317" s="33"/>
      <c r="K317" s="65">
        <v>40908</v>
      </c>
      <c r="L317" s="66">
        <f t="shared" si="15"/>
        <v>2011</v>
      </c>
      <c r="M317" s="67">
        <f t="shared" si="16"/>
        <v>8</v>
      </c>
      <c r="N317" s="64" t="s">
        <v>3</v>
      </c>
      <c r="O317" s="64"/>
      <c r="P317" s="33" t="s">
        <v>4</v>
      </c>
      <c r="Q317" s="64"/>
      <c r="R317" s="33" t="s">
        <v>4</v>
      </c>
    </row>
    <row r="318" spans="2:18" s="63" customFormat="1">
      <c r="B318" s="137">
        <v>98</v>
      </c>
      <c r="C318" s="137"/>
      <c r="D318" s="64">
        <v>311</v>
      </c>
      <c r="E318" s="33" t="s">
        <v>792</v>
      </c>
      <c r="F318" s="64" t="s">
        <v>6</v>
      </c>
      <c r="G318" s="64">
        <v>0</v>
      </c>
      <c r="H318" s="64" t="s">
        <v>1</v>
      </c>
      <c r="I318" s="64" t="s">
        <v>2</v>
      </c>
      <c r="J318" s="33"/>
      <c r="K318" s="65">
        <v>20454</v>
      </c>
      <c r="L318" s="66">
        <f t="shared" si="15"/>
        <v>1955</v>
      </c>
      <c r="M318" s="67">
        <f t="shared" si="16"/>
        <v>64</v>
      </c>
      <c r="N318" s="64" t="s">
        <v>3</v>
      </c>
      <c r="O318" s="64"/>
      <c r="P318" s="33" t="s">
        <v>4</v>
      </c>
      <c r="Q318" s="64"/>
      <c r="R318" s="33" t="s">
        <v>5</v>
      </c>
    </row>
    <row r="319" spans="2:18" s="63" customFormat="1">
      <c r="B319" s="137"/>
      <c r="C319" s="137"/>
      <c r="D319" s="64">
        <v>312</v>
      </c>
      <c r="E319" s="33" t="s">
        <v>793</v>
      </c>
      <c r="F319" s="64" t="s">
        <v>9</v>
      </c>
      <c r="G319" s="64">
        <v>0</v>
      </c>
      <c r="H319" s="64" t="s">
        <v>8</v>
      </c>
      <c r="I319" s="64" t="s">
        <v>2</v>
      </c>
      <c r="J319" s="33"/>
      <c r="K319" s="65">
        <v>24107</v>
      </c>
      <c r="L319" s="66">
        <f t="shared" si="15"/>
        <v>1965</v>
      </c>
      <c r="M319" s="67">
        <f t="shared" si="16"/>
        <v>54</v>
      </c>
      <c r="N319" s="64" t="s">
        <v>3</v>
      </c>
      <c r="O319" s="64"/>
      <c r="P319" s="33"/>
      <c r="Q319" s="64"/>
      <c r="R319" s="33" t="s">
        <v>5</v>
      </c>
    </row>
    <row r="320" spans="2:18" s="63" customFormat="1">
      <c r="B320" s="137"/>
      <c r="C320" s="137"/>
      <c r="D320" s="64">
        <v>313</v>
      </c>
      <c r="E320" s="33" t="s">
        <v>794</v>
      </c>
      <c r="F320" s="64" t="s">
        <v>13</v>
      </c>
      <c r="G320" s="64">
        <v>0</v>
      </c>
      <c r="H320" s="64" t="s">
        <v>8</v>
      </c>
      <c r="I320" s="64" t="s">
        <v>11</v>
      </c>
      <c r="J320" s="33"/>
      <c r="K320" s="65">
        <v>35409</v>
      </c>
      <c r="L320" s="66">
        <f t="shared" si="15"/>
        <v>1996</v>
      </c>
      <c r="M320" s="67">
        <f t="shared" si="16"/>
        <v>23</v>
      </c>
      <c r="N320" s="64" t="s">
        <v>3</v>
      </c>
      <c r="O320" s="64"/>
      <c r="P320" s="33" t="s">
        <v>28</v>
      </c>
      <c r="Q320" s="64"/>
      <c r="R320" s="33" t="s">
        <v>5</v>
      </c>
    </row>
    <row r="321" spans="2:18" s="63" customFormat="1">
      <c r="B321" s="64">
        <v>99</v>
      </c>
      <c r="C321" s="64"/>
      <c r="D321" s="64">
        <v>314</v>
      </c>
      <c r="E321" s="33" t="s">
        <v>796</v>
      </c>
      <c r="F321" s="64" t="s">
        <v>6</v>
      </c>
      <c r="G321" s="64">
        <v>0</v>
      </c>
      <c r="H321" s="64" t="s">
        <v>8</v>
      </c>
      <c r="I321" s="64" t="s">
        <v>18</v>
      </c>
      <c r="J321" s="33"/>
      <c r="K321" s="65">
        <v>20820</v>
      </c>
      <c r="L321" s="66">
        <f t="shared" si="15"/>
        <v>1956</v>
      </c>
      <c r="M321" s="67">
        <f t="shared" si="16"/>
        <v>63</v>
      </c>
      <c r="N321" s="64" t="s">
        <v>3</v>
      </c>
      <c r="O321" s="64"/>
      <c r="P321" s="33" t="s">
        <v>4</v>
      </c>
      <c r="Q321" s="64"/>
      <c r="R321" s="33" t="s">
        <v>5</v>
      </c>
    </row>
    <row r="322" spans="2:18" s="63" customFormat="1">
      <c r="B322" s="64">
        <v>100</v>
      </c>
      <c r="C322" s="64"/>
      <c r="D322" s="64">
        <v>315</v>
      </c>
      <c r="E322" s="33" t="s">
        <v>797</v>
      </c>
      <c r="F322" s="64" t="s">
        <v>6</v>
      </c>
      <c r="G322" s="64">
        <v>0</v>
      </c>
      <c r="H322" s="64" t="s">
        <v>8</v>
      </c>
      <c r="I322" s="64" t="s">
        <v>18</v>
      </c>
      <c r="J322" s="33"/>
      <c r="K322" s="65">
        <v>18628</v>
      </c>
      <c r="L322" s="66">
        <f t="shared" si="15"/>
        <v>1950</v>
      </c>
      <c r="M322" s="67">
        <f t="shared" si="16"/>
        <v>69</v>
      </c>
      <c r="N322" s="64" t="s">
        <v>3</v>
      </c>
      <c r="O322" s="64"/>
      <c r="P322" s="33" t="s">
        <v>4</v>
      </c>
      <c r="Q322" s="64"/>
      <c r="R322" s="33" t="s">
        <v>5</v>
      </c>
    </row>
    <row r="323" spans="2:18" s="63" customFormat="1">
      <c r="B323" s="64">
        <v>101</v>
      </c>
      <c r="C323" s="64"/>
      <c r="D323" s="64">
        <v>316</v>
      </c>
      <c r="E323" s="33" t="s">
        <v>798</v>
      </c>
      <c r="F323" s="64" t="s">
        <v>6</v>
      </c>
      <c r="G323" s="64">
        <v>0</v>
      </c>
      <c r="H323" s="64" t="s">
        <v>31</v>
      </c>
      <c r="I323" s="64" t="s">
        <v>18</v>
      </c>
      <c r="J323" s="33"/>
      <c r="K323" s="65">
        <v>27029</v>
      </c>
      <c r="L323" s="66">
        <f t="shared" si="15"/>
        <v>1973</v>
      </c>
      <c r="M323" s="67">
        <f t="shared" si="16"/>
        <v>46</v>
      </c>
      <c r="N323" s="64" t="s">
        <v>3</v>
      </c>
      <c r="O323" s="64"/>
      <c r="P323" s="33" t="s">
        <v>28</v>
      </c>
      <c r="Q323" s="64"/>
      <c r="R323" s="33" t="s">
        <v>119</v>
      </c>
    </row>
    <row r="324" spans="2:18" s="63" customFormat="1">
      <c r="B324" s="64">
        <v>102</v>
      </c>
      <c r="C324" s="64"/>
      <c r="D324" s="64">
        <v>317</v>
      </c>
      <c r="E324" s="33" t="s">
        <v>799</v>
      </c>
      <c r="F324" s="64" t="s">
        <v>6</v>
      </c>
      <c r="G324" s="64">
        <v>0</v>
      </c>
      <c r="H324" s="64" t="s">
        <v>8</v>
      </c>
      <c r="I324" s="64" t="s">
        <v>18</v>
      </c>
      <c r="J324" s="33"/>
      <c r="K324" s="65">
        <v>14976</v>
      </c>
      <c r="L324" s="66">
        <f t="shared" si="15"/>
        <v>1940</v>
      </c>
      <c r="M324" s="67">
        <f t="shared" si="16"/>
        <v>79</v>
      </c>
      <c r="N324" s="64" t="s">
        <v>3</v>
      </c>
      <c r="O324" s="64"/>
      <c r="P324" s="33" t="s">
        <v>4</v>
      </c>
      <c r="Q324" s="64"/>
      <c r="R324" s="33" t="s">
        <v>5</v>
      </c>
    </row>
    <row r="325" spans="2:18" s="63" customFormat="1">
      <c r="B325" s="64">
        <v>103</v>
      </c>
      <c r="C325" s="64"/>
      <c r="D325" s="64">
        <v>318</v>
      </c>
      <c r="E325" s="33" t="s">
        <v>800</v>
      </c>
      <c r="F325" s="64" t="s">
        <v>6</v>
      </c>
      <c r="G325" s="64">
        <v>0</v>
      </c>
      <c r="H325" s="64" t="s">
        <v>8</v>
      </c>
      <c r="I325" s="64" t="s">
        <v>18</v>
      </c>
      <c r="J325" s="33"/>
      <c r="K325" s="65">
        <v>28855</v>
      </c>
      <c r="L325" s="66">
        <f t="shared" si="15"/>
        <v>1978</v>
      </c>
      <c r="M325" s="67">
        <f t="shared" si="16"/>
        <v>41</v>
      </c>
      <c r="N325" s="64" t="s">
        <v>3</v>
      </c>
      <c r="O325" s="64"/>
      <c r="P325" s="33" t="s">
        <v>4</v>
      </c>
      <c r="Q325" s="64"/>
      <c r="R325" s="33" t="s">
        <v>439</v>
      </c>
    </row>
    <row r="326" spans="2:18" s="63" customFormat="1">
      <c r="B326" s="64">
        <v>104</v>
      </c>
      <c r="C326" s="64"/>
      <c r="D326" s="64">
        <v>319</v>
      </c>
      <c r="E326" s="33" t="s">
        <v>609</v>
      </c>
      <c r="F326" s="64" t="s">
        <v>6</v>
      </c>
      <c r="G326" s="64">
        <v>0</v>
      </c>
      <c r="H326" s="64" t="s">
        <v>31</v>
      </c>
      <c r="I326" s="64" t="s">
        <v>18</v>
      </c>
      <c r="J326" s="33"/>
      <c r="K326" s="65">
        <v>27759</v>
      </c>
      <c r="L326" s="66">
        <f t="shared" si="15"/>
        <v>1975</v>
      </c>
      <c r="M326" s="67">
        <f t="shared" si="16"/>
        <v>44</v>
      </c>
      <c r="N326" s="64" t="s">
        <v>3</v>
      </c>
      <c r="O326" s="64"/>
      <c r="P326" s="33" t="s">
        <v>4</v>
      </c>
      <c r="Q326" s="64"/>
      <c r="R326" s="33" t="s">
        <v>5</v>
      </c>
    </row>
    <row r="327" spans="2:18" s="63" customFormat="1">
      <c r="B327" s="64">
        <v>105</v>
      </c>
      <c r="C327" s="64"/>
      <c r="D327" s="64">
        <v>320</v>
      </c>
      <c r="E327" s="33" t="s">
        <v>801</v>
      </c>
      <c r="F327" s="64" t="s">
        <v>6</v>
      </c>
      <c r="G327" s="64">
        <v>0</v>
      </c>
      <c r="H327" s="64" t="s">
        <v>8</v>
      </c>
      <c r="I327" s="64" t="s">
        <v>18</v>
      </c>
      <c r="J327" s="33"/>
      <c r="K327" s="65">
        <v>16802</v>
      </c>
      <c r="L327" s="66">
        <f t="shared" si="15"/>
        <v>1945</v>
      </c>
      <c r="M327" s="67">
        <f t="shared" si="16"/>
        <v>74</v>
      </c>
      <c r="N327" s="64" t="s">
        <v>3</v>
      </c>
      <c r="O327" s="64"/>
      <c r="P327" s="33" t="s">
        <v>4</v>
      </c>
      <c r="Q327" s="64"/>
      <c r="R327" s="33" t="s">
        <v>5</v>
      </c>
    </row>
    <row r="328" spans="2:18" s="63" customFormat="1">
      <c r="B328" s="64">
        <v>106</v>
      </c>
      <c r="C328" s="64"/>
      <c r="D328" s="64">
        <v>321</v>
      </c>
      <c r="E328" s="33" t="s">
        <v>802</v>
      </c>
      <c r="F328" s="64" t="s">
        <v>6</v>
      </c>
      <c r="G328" s="64">
        <v>0</v>
      </c>
      <c r="H328" s="64" t="s">
        <v>8</v>
      </c>
      <c r="I328" s="64" t="s">
        <v>18</v>
      </c>
      <c r="J328" s="33"/>
      <c r="K328" s="65">
        <v>18628</v>
      </c>
      <c r="L328" s="66">
        <f t="shared" si="15"/>
        <v>1950</v>
      </c>
      <c r="M328" s="67">
        <f t="shared" si="16"/>
        <v>69</v>
      </c>
      <c r="N328" s="64" t="s">
        <v>3</v>
      </c>
      <c r="O328" s="64"/>
      <c r="P328" s="33" t="s">
        <v>4</v>
      </c>
      <c r="Q328" s="64"/>
      <c r="R328" s="33" t="s">
        <v>5</v>
      </c>
    </row>
    <row r="329" spans="2:18" s="63" customFormat="1">
      <c r="B329" s="64">
        <v>107</v>
      </c>
      <c r="C329" s="64"/>
      <c r="D329" s="64">
        <v>322</v>
      </c>
      <c r="E329" s="33" t="s">
        <v>803</v>
      </c>
      <c r="F329" s="64" t="s">
        <v>6</v>
      </c>
      <c r="G329" s="64">
        <v>0</v>
      </c>
      <c r="H329" s="64" t="s">
        <v>1</v>
      </c>
      <c r="I329" s="64" t="s">
        <v>2</v>
      </c>
      <c r="J329" s="33"/>
      <c r="K329" s="65">
        <v>18629</v>
      </c>
      <c r="L329" s="66">
        <f t="shared" si="15"/>
        <v>1951</v>
      </c>
      <c r="M329" s="67">
        <f t="shared" si="16"/>
        <v>68</v>
      </c>
      <c r="N329" s="64" t="s">
        <v>3</v>
      </c>
      <c r="O329" s="64"/>
      <c r="P329" s="33" t="s">
        <v>28</v>
      </c>
      <c r="Q329" s="64"/>
      <c r="R329" s="33" t="s">
        <v>5</v>
      </c>
    </row>
    <row r="333" spans="2:18" s="59" customFormat="1" ht="15">
      <c r="D333" s="144" t="s">
        <v>1917</v>
      </c>
      <c r="E333" s="144"/>
      <c r="F333" s="144"/>
      <c r="L333" s="116"/>
      <c r="P333" s="113"/>
      <c r="R333" s="113"/>
    </row>
    <row r="334" spans="2:18" s="59" customFormat="1" ht="15">
      <c r="D334" s="144" t="s">
        <v>1918</v>
      </c>
      <c r="E334" s="144"/>
      <c r="F334" s="144"/>
      <c r="L334" s="116"/>
      <c r="P334" s="132" t="s">
        <v>1919</v>
      </c>
      <c r="Q334" s="132"/>
      <c r="R334" s="113"/>
    </row>
    <row r="335" spans="2:18" s="59" customFormat="1" ht="15">
      <c r="D335" s="117"/>
      <c r="E335" s="118"/>
      <c r="F335" s="117"/>
      <c r="L335" s="116"/>
      <c r="P335" s="73"/>
      <c r="Q335" s="74"/>
      <c r="R335" s="113"/>
    </row>
    <row r="336" spans="2:18" s="59" customFormat="1" ht="15">
      <c r="D336" s="117"/>
      <c r="E336" s="118"/>
      <c r="F336" s="117"/>
      <c r="L336" s="116"/>
      <c r="P336" s="73"/>
      <c r="Q336" s="74"/>
      <c r="R336" s="113"/>
    </row>
    <row r="337" spans="4:18" s="59" customFormat="1" ht="15">
      <c r="D337" s="117"/>
      <c r="E337" s="118"/>
      <c r="F337" s="117"/>
      <c r="L337" s="116"/>
      <c r="P337" s="73"/>
      <c r="Q337" s="74"/>
      <c r="R337" s="113"/>
    </row>
    <row r="338" spans="4:18" s="59" customFormat="1" ht="14.25">
      <c r="D338" s="145" t="s">
        <v>1920</v>
      </c>
      <c r="E338" s="145"/>
      <c r="F338" s="145"/>
      <c r="L338" s="116"/>
      <c r="P338" s="125" t="s">
        <v>551</v>
      </c>
      <c r="Q338" s="125"/>
      <c r="R338" s="113"/>
    </row>
    <row r="339" spans="4:18" s="59" customFormat="1" ht="14.25">
      <c r="D339" s="145" t="s">
        <v>1921</v>
      </c>
      <c r="E339" s="145"/>
      <c r="F339" s="145"/>
      <c r="L339" s="116"/>
      <c r="P339" s="113"/>
      <c r="R339" s="113"/>
    </row>
  </sheetData>
  <autoFilter ref="B7:R329"/>
  <mergeCells count="209">
    <mergeCell ref="D333:F333"/>
    <mergeCell ref="D334:F334"/>
    <mergeCell ref="P334:Q334"/>
    <mergeCell ref="D338:F338"/>
    <mergeCell ref="P338:Q338"/>
    <mergeCell ref="D339:F339"/>
    <mergeCell ref="C286:C290"/>
    <mergeCell ref="C310:C313"/>
    <mergeCell ref="C314:C317"/>
    <mergeCell ref="C318:C320"/>
    <mergeCell ref="B1:R1"/>
    <mergeCell ref="B2:R2"/>
    <mergeCell ref="C217:C220"/>
    <mergeCell ref="C237:C240"/>
    <mergeCell ref="C241:C245"/>
    <mergeCell ref="C246:C247"/>
    <mergeCell ref="C248:C252"/>
    <mergeCell ref="C253:C257"/>
    <mergeCell ref="C259:C262"/>
    <mergeCell ref="C112:C115"/>
    <mergeCell ref="C43:C46"/>
    <mergeCell ref="C93:C94"/>
    <mergeCell ref="B86:B87"/>
    <mergeCell ref="C86:C87"/>
    <mergeCell ref="C98:C101"/>
    <mergeCell ref="B36:B37"/>
    <mergeCell ref="C36:C37"/>
    <mergeCell ref="B38:B39"/>
    <mergeCell ref="B59:B62"/>
    <mergeCell ref="C59:C62"/>
    <mergeCell ref="B80:B82"/>
    <mergeCell ref="B53:B55"/>
    <mergeCell ref="B57:B58"/>
    <mergeCell ref="B102:B103"/>
    <mergeCell ref="C280:C283"/>
    <mergeCell ref="C284:C285"/>
    <mergeCell ref="C12:C15"/>
    <mergeCell ref="C31:C33"/>
    <mergeCell ref="B107:B108"/>
    <mergeCell ref="C107:C108"/>
    <mergeCell ref="B109:B110"/>
    <mergeCell ref="C109:C110"/>
    <mergeCell ref="B129:B130"/>
    <mergeCell ref="C129:C130"/>
    <mergeCell ref="B131:B132"/>
    <mergeCell ref="C118:C120"/>
    <mergeCell ref="C121:C124"/>
    <mergeCell ref="C134:C137"/>
    <mergeCell ref="C214:C216"/>
    <mergeCell ref="C131:C132"/>
    <mergeCell ref="B95:B97"/>
    <mergeCell ref="C95:C97"/>
    <mergeCell ref="C34:C35"/>
    <mergeCell ref="B125:B128"/>
    <mergeCell ref="B116:B117"/>
    <mergeCell ref="B63:B65"/>
    <mergeCell ref="B121:B124"/>
    <mergeCell ref="C70:C73"/>
    <mergeCell ref="B70:B73"/>
    <mergeCell ref="C67:C68"/>
    <mergeCell ref="C80:C82"/>
    <mergeCell ref="C53:C55"/>
    <mergeCell ref="C75:C77"/>
    <mergeCell ref="C57:C58"/>
    <mergeCell ref="C78:C79"/>
    <mergeCell ref="C88:C89"/>
    <mergeCell ref="C90:C92"/>
    <mergeCell ref="B276:B277"/>
    <mergeCell ref="B83:B85"/>
    <mergeCell ref="B229:B233"/>
    <mergeCell ref="B88:B89"/>
    <mergeCell ref="B90:B92"/>
    <mergeCell ref="B98:B101"/>
    <mergeCell ref="B237:B240"/>
    <mergeCell ref="B104:B106"/>
    <mergeCell ref="B178:B181"/>
    <mergeCell ref="B151:B153"/>
    <mergeCell ref="B225:B228"/>
    <mergeCell ref="B221:B224"/>
    <mergeCell ref="B217:B220"/>
    <mergeCell ref="B134:B137"/>
    <mergeCell ref="B112:B115"/>
    <mergeCell ref="B118:B120"/>
    <mergeCell ref="B154:B156"/>
    <mergeCell ref="B192:B194"/>
    <mergeCell ref="B200:B202"/>
    <mergeCell ref="B253:B257"/>
    <mergeCell ref="B143:B146"/>
    <mergeCell ref="B21:B23"/>
    <mergeCell ref="C38:C39"/>
    <mergeCell ref="C125:C128"/>
    <mergeCell ref="C50:C52"/>
    <mergeCell ref="C83:C85"/>
    <mergeCell ref="C116:C117"/>
    <mergeCell ref="C63:C65"/>
    <mergeCell ref="B40:B42"/>
    <mergeCell ref="C40:C42"/>
    <mergeCell ref="B75:B77"/>
    <mergeCell ref="B27:B30"/>
    <mergeCell ref="C27:C30"/>
    <mergeCell ref="B31:B33"/>
    <mergeCell ref="B43:B46"/>
    <mergeCell ref="B34:B35"/>
    <mergeCell ref="B47:B49"/>
    <mergeCell ref="B50:B52"/>
    <mergeCell ref="C21:C23"/>
    <mergeCell ref="C47:C49"/>
    <mergeCell ref="B93:B94"/>
    <mergeCell ref="C102:C103"/>
    <mergeCell ref="C104:C106"/>
    <mergeCell ref="B67:B68"/>
    <mergeCell ref="B78:B79"/>
    <mergeCell ref="R5:R6"/>
    <mergeCell ref="B16:B17"/>
    <mergeCell ref="B18:B20"/>
    <mergeCell ref="C5:C6"/>
    <mergeCell ref="J5:L5"/>
    <mergeCell ref="M5:M6"/>
    <mergeCell ref="C24:C26"/>
    <mergeCell ref="B24:B26"/>
    <mergeCell ref="B12:B15"/>
    <mergeCell ref="O5:O6"/>
    <mergeCell ref="Q5:Q6"/>
    <mergeCell ref="F5:F6"/>
    <mergeCell ref="G5:G6"/>
    <mergeCell ref="B5:B6"/>
    <mergeCell ref="E5:E6"/>
    <mergeCell ref="H5:H6"/>
    <mergeCell ref="I5:I6"/>
    <mergeCell ref="P5:P6"/>
    <mergeCell ref="N5:N6"/>
    <mergeCell ref="D5:D6"/>
    <mergeCell ref="B8:B11"/>
    <mergeCell ref="C8:C11"/>
    <mergeCell ref="C16:C17"/>
    <mergeCell ref="C18:C20"/>
    <mergeCell ref="C189:C191"/>
    <mergeCell ref="C178:C181"/>
    <mergeCell ref="C165:C167"/>
    <mergeCell ref="C162:C164"/>
    <mergeCell ref="C195:C196"/>
    <mergeCell ref="C154:C156"/>
    <mergeCell ref="C168:C170"/>
    <mergeCell ref="B148:B150"/>
    <mergeCell ref="C148:C150"/>
    <mergeCell ref="C192:C194"/>
    <mergeCell ref="C171:C174"/>
    <mergeCell ref="B157:B161"/>
    <mergeCell ref="B162:B164"/>
    <mergeCell ref="B165:B167"/>
    <mergeCell ref="B168:B170"/>
    <mergeCell ref="B195:B196"/>
    <mergeCell ref="C143:C146"/>
    <mergeCell ref="C185:C188"/>
    <mergeCell ref="B138:B141"/>
    <mergeCell ref="C175:C177"/>
    <mergeCell ref="B171:B174"/>
    <mergeCell ref="B175:B177"/>
    <mergeCell ref="C151:C153"/>
    <mergeCell ref="C157:C161"/>
    <mergeCell ref="C138:C141"/>
    <mergeCell ref="B318:B320"/>
    <mergeCell ref="B278:B279"/>
    <mergeCell ref="B310:B313"/>
    <mergeCell ref="B264:B267"/>
    <mergeCell ref="B268:B270"/>
    <mergeCell ref="B206:B207"/>
    <mergeCell ref="C206:C207"/>
    <mergeCell ref="B208:B210"/>
    <mergeCell ref="C208:C210"/>
    <mergeCell ref="B211:B213"/>
    <mergeCell ref="C211:C213"/>
    <mergeCell ref="C268:C270"/>
    <mergeCell ref="C278:C279"/>
    <mergeCell ref="B259:B262"/>
    <mergeCell ref="B241:B245"/>
    <mergeCell ref="B246:B247"/>
    <mergeCell ref="B314:B317"/>
    <mergeCell ref="B306:B309"/>
    <mergeCell ref="C306:C309"/>
    <mergeCell ref="B280:B283"/>
    <mergeCell ref="B284:B285"/>
    <mergeCell ref="C276:C277"/>
    <mergeCell ref="B234:B235"/>
    <mergeCell ref="C234:C235"/>
    <mergeCell ref="B301:B305"/>
    <mergeCell ref="B299:B300"/>
    <mergeCell ref="C299:C300"/>
    <mergeCell ref="B248:B252"/>
    <mergeCell ref="B183:B184"/>
    <mergeCell ref="B185:B188"/>
    <mergeCell ref="B189:B191"/>
    <mergeCell ref="C301:C305"/>
    <mergeCell ref="C183:C184"/>
    <mergeCell ref="B292:B297"/>
    <mergeCell ref="C292:C297"/>
    <mergeCell ref="B197:B199"/>
    <mergeCell ref="C197:C199"/>
    <mergeCell ref="C264:C267"/>
    <mergeCell ref="B271:B275"/>
    <mergeCell ref="C271:C275"/>
    <mergeCell ref="B214:B216"/>
    <mergeCell ref="C229:C233"/>
    <mergeCell ref="B286:B290"/>
    <mergeCell ref="C225:C228"/>
    <mergeCell ref="C221:C224"/>
    <mergeCell ref="C200:C202"/>
    <mergeCell ref="B203:B205"/>
    <mergeCell ref="C203:C205"/>
  </mergeCells>
  <pageMargins left="1.37795275590551" right="0.196850393700787" top="0.39370078740157499" bottom="0.643700787" header="0.31496062992126" footer="0.31496062992126"/>
  <pageSetup paperSize="10000" scale="82" orientation="landscape" horizontalDpi="4294967293" verticalDpi="360" r:id="rId1"/>
  <headerFooter>
    <oddFooter>&amp;C&amp;"-,Bold"&amp;12&amp;P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B1:R330"/>
  <sheetViews>
    <sheetView workbookViewId="0">
      <pane ySplit="6" topLeftCell="A7" activePane="bottomLeft" state="frozen"/>
      <selection pane="bottomLeft" activeCell="E19" sqref="E19"/>
    </sheetView>
  </sheetViews>
  <sheetFormatPr defaultRowHeight="12.75"/>
  <cols>
    <col min="1" max="1" width="9.140625" style="63"/>
    <col min="2" max="2" width="3.42578125" style="63" bestFit="1" customWidth="1"/>
    <col min="3" max="3" width="15.7109375" style="63" customWidth="1"/>
    <col min="4" max="4" width="6.7109375" style="63" customWidth="1"/>
    <col min="5" max="5" width="12.7109375" style="108" customWidth="1"/>
    <col min="6" max="6" width="9.7109375" style="63" customWidth="1"/>
    <col min="7" max="7" width="15.7109375" style="63" customWidth="1"/>
    <col min="8" max="8" width="7.7109375" style="63" customWidth="1"/>
    <col min="9" max="9" width="10.7109375" style="63" customWidth="1"/>
    <col min="10" max="10" width="13.7109375" style="108" customWidth="1"/>
    <col min="11" max="11" width="16.28515625" style="109" bestFit="1" customWidth="1"/>
    <col min="12" max="12" width="6.28515625" style="110" bestFit="1" customWidth="1"/>
    <col min="13" max="13" width="5" style="110" bestFit="1" customWidth="1"/>
    <col min="14" max="14" width="6.42578125" style="63" bestFit="1" customWidth="1"/>
    <col min="15" max="15" width="5.42578125" style="63" bestFit="1" customWidth="1"/>
    <col min="16" max="16" width="16.7109375" style="108" customWidth="1"/>
    <col min="17" max="17" width="7.5703125" style="63" bestFit="1" customWidth="1"/>
    <col min="18" max="18" width="15.7109375" style="108" customWidth="1"/>
    <col min="19" max="16384" width="9.140625" style="63"/>
  </cols>
  <sheetData>
    <row r="1" spans="2:18" s="72" customFormat="1" ht="15.75">
      <c r="B1" s="143" t="s">
        <v>1910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 spans="2:18" s="72" customFormat="1" ht="15.75">
      <c r="B2" s="143" t="s">
        <v>1911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spans="2:18" s="72" customFormat="1" ht="15.75">
      <c r="B3" s="115" t="s">
        <v>1912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</row>
    <row r="4" spans="2:18" ht="15.75">
      <c r="B4" s="115" t="s">
        <v>1916</v>
      </c>
    </row>
    <row r="5" spans="2:18" ht="20.100000000000001" customHeight="1">
      <c r="B5" s="140" t="s">
        <v>423</v>
      </c>
      <c r="C5" s="140" t="s">
        <v>1150</v>
      </c>
      <c r="D5" s="139" t="s">
        <v>1882</v>
      </c>
      <c r="E5" s="139" t="s">
        <v>1913</v>
      </c>
      <c r="F5" s="139" t="s">
        <v>430</v>
      </c>
      <c r="G5" s="142" t="s">
        <v>431</v>
      </c>
      <c r="H5" s="139" t="s">
        <v>425</v>
      </c>
      <c r="I5" s="139" t="s">
        <v>426</v>
      </c>
      <c r="J5" s="140" t="s">
        <v>1154</v>
      </c>
      <c r="K5" s="140"/>
      <c r="L5" s="140"/>
      <c r="M5" s="142" t="s">
        <v>1155</v>
      </c>
      <c r="N5" s="140" t="s">
        <v>427</v>
      </c>
      <c r="O5" s="140" t="s">
        <v>1156</v>
      </c>
      <c r="P5" s="139" t="s">
        <v>428</v>
      </c>
      <c r="Q5" s="140" t="s">
        <v>1157</v>
      </c>
      <c r="R5" s="139" t="s">
        <v>429</v>
      </c>
    </row>
    <row r="6" spans="2:18" ht="20.100000000000001" customHeight="1">
      <c r="B6" s="140"/>
      <c r="C6" s="140"/>
      <c r="D6" s="139"/>
      <c r="E6" s="139"/>
      <c r="F6" s="139"/>
      <c r="G6" s="142"/>
      <c r="H6" s="139"/>
      <c r="I6" s="139"/>
      <c r="J6" s="103" t="s">
        <v>1151</v>
      </c>
      <c r="K6" s="104" t="s">
        <v>1152</v>
      </c>
      <c r="L6" s="105" t="s">
        <v>1153</v>
      </c>
      <c r="M6" s="142"/>
      <c r="N6" s="140"/>
      <c r="O6" s="140"/>
      <c r="P6" s="139"/>
      <c r="Q6" s="140"/>
      <c r="R6" s="139"/>
    </row>
    <row r="7" spans="2:18">
      <c r="B7" s="106"/>
      <c r="C7" s="106"/>
      <c r="D7" s="106"/>
      <c r="E7" s="103"/>
      <c r="F7" s="106"/>
      <c r="G7" s="105"/>
      <c r="H7" s="106"/>
      <c r="I7" s="106"/>
      <c r="J7" s="103"/>
      <c r="K7" s="104"/>
      <c r="L7" s="105"/>
      <c r="M7" s="105"/>
      <c r="N7" s="106"/>
      <c r="O7" s="106"/>
      <c r="P7" s="103"/>
      <c r="Q7" s="106"/>
      <c r="R7" s="103"/>
    </row>
    <row r="8" spans="2:18" ht="25.5">
      <c r="B8" s="137">
        <v>1</v>
      </c>
      <c r="C8" s="137" t="s">
        <v>1204</v>
      </c>
      <c r="D8" s="64">
        <v>1</v>
      </c>
      <c r="E8" s="33" t="s">
        <v>194</v>
      </c>
      <c r="F8" s="64" t="s">
        <v>6</v>
      </c>
      <c r="G8" s="64" t="s">
        <v>437</v>
      </c>
      <c r="H8" s="64" t="s">
        <v>8</v>
      </c>
      <c r="I8" s="64" t="s">
        <v>11</v>
      </c>
      <c r="J8" s="33" t="s">
        <v>1166</v>
      </c>
      <c r="K8" s="65">
        <v>24107</v>
      </c>
      <c r="L8" s="66">
        <v>1965</v>
      </c>
      <c r="M8" s="67">
        <f t="shared" ref="M8:M38" si="0">2019-L8</f>
        <v>54</v>
      </c>
      <c r="N8" s="64" t="s">
        <v>3</v>
      </c>
      <c r="O8" s="64" t="s">
        <v>1169</v>
      </c>
      <c r="P8" s="33" t="s">
        <v>1177</v>
      </c>
      <c r="Q8" s="64"/>
      <c r="R8" s="33" t="s">
        <v>1192</v>
      </c>
    </row>
    <row r="9" spans="2:18" ht="25.5">
      <c r="B9" s="137"/>
      <c r="C9" s="137"/>
      <c r="D9" s="64">
        <v>2</v>
      </c>
      <c r="E9" s="33" t="s">
        <v>438</v>
      </c>
      <c r="F9" s="64" t="s">
        <v>13</v>
      </c>
      <c r="G9" s="64" t="s">
        <v>440</v>
      </c>
      <c r="H9" s="64" t="s">
        <v>8</v>
      </c>
      <c r="I9" s="64" t="s">
        <v>1197</v>
      </c>
      <c r="J9" s="33" t="s">
        <v>1206</v>
      </c>
      <c r="K9" s="65">
        <v>28218</v>
      </c>
      <c r="L9" s="66">
        <v>1977</v>
      </c>
      <c r="M9" s="67">
        <f t="shared" si="0"/>
        <v>42</v>
      </c>
      <c r="N9" s="64" t="s">
        <v>3</v>
      </c>
      <c r="O9" s="64" t="s">
        <v>1169</v>
      </c>
      <c r="P9" s="33" t="s">
        <v>1181</v>
      </c>
      <c r="Q9" s="64"/>
      <c r="R9" s="33" t="s">
        <v>1192</v>
      </c>
    </row>
    <row r="10" spans="2:18" ht="25.5">
      <c r="B10" s="137"/>
      <c r="C10" s="137"/>
      <c r="D10" s="64">
        <v>3</v>
      </c>
      <c r="E10" s="33" t="s">
        <v>441</v>
      </c>
      <c r="F10" s="64" t="s">
        <v>13</v>
      </c>
      <c r="G10" s="64" t="s">
        <v>1205</v>
      </c>
      <c r="H10" s="64" t="s">
        <v>1</v>
      </c>
      <c r="I10" s="64" t="s">
        <v>11</v>
      </c>
      <c r="J10" s="33" t="s">
        <v>1166</v>
      </c>
      <c r="K10" s="65">
        <v>34699</v>
      </c>
      <c r="L10" s="66">
        <v>1994</v>
      </c>
      <c r="M10" s="67">
        <f t="shared" si="0"/>
        <v>25</v>
      </c>
      <c r="N10" s="64" t="s">
        <v>3</v>
      </c>
      <c r="O10" s="64" t="s">
        <v>1169</v>
      </c>
      <c r="P10" s="33" t="s">
        <v>1199</v>
      </c>
      <c r="Q10" s="64"/>
      <c r="R10" s="33" t="s">
        <v>1192</v>
      </c>
    </row>
    <row r="11" spans="2:18" ht="25.5">
      <c r="B11" s="137">
        <v>2</v>
      </c>
      <c r="C11" s="137" t="s">
        <v>1434</v>
      </c>
      <c r="D11" s="64">
        <v>4</v>
      </c>
      <c r="E11" s="33" t="s">
        <v>0</v>
      </c>
      <c r="F11" s="64" t="s">
        <v>6</v>
      </c>
      <c r="G11" s="64" t="s">
        <v>1435</v>
      </c>
      <c r="H11" s="64" t="s">
        <v>1</v>
      </c>
      <c r="I11" s="64" t="s">
        <v>2</v>
      </c>
      <c r="J11" s="33" t="s">
        <v>1166</v>
      </c>
      <c r="K11" s="65">
        <v>21458</v>
      </c>
      <c r="L11" s="66">
        <v>1958</v>
      </c>
      <c r="M11" s="66">
        <f t="shared" si="0"/>
        <v>61</v>
      </c>
      <c r="N11" s="64" t="s">
        <v>3</v>
      </c>
      <c r="O11" s="64" t="s">
        <v>1169</v>
      </c>
      <c r="P11" s="33" t="s">
        <v>1177</v>
      </c>
      <c r="Q11" s="64"/>
      <c r="R11" s="33" t="s">
        <v>1440</v>
      </c>
    </row>
    <row r="12" spans="2:18">
      <c r="B12" s="137"/>
      <c r="C12" s="137"/>
      <c r="D12" s="64">
        <v>5</v>
      </c>
      <c r="E12" s="33" t="s">
        <v>7</v>
      </c>
      <c r="F12" s="64" t="s">
        <v>9</v>
      </c>
      <c r="G12" s="64" t="s">
        <v>1436</v>
      </c>
      <c r="H12" s="64" t="s">
        <v>8</v>
      </c>
      <c r="I12" s="64" t="s">
        <v>2</v>
      </c>
      <c r="J12" s="33" t="s">
        <v>1166</v>
      </c>
      <c r="K12" s="65">
        <v>23143</v>
      </c>
      <c r="L12" s="66">
        <v>1963</v>
      </c>
      <c r="M12" s="66">
        <f t="shared" si="0"/>
        <v>56</v>
      </c>
      <c r="N12" s="64" t="s">
        <v>3</v>
      </c>
      <c r="O12" s="64" t="s">
        <v>1169</v>
      </c>
      <c r="P12" s="33" t="s">
        <v>1181</v>
      </c>
      <c r="Q12" s="64"/>
      <c r="R12" s="33" t="s">
        <v>1440</v>
      </c>
    </row>
    <row r="13" spans="2:18">
      <c r="B13" s="137"/>
      <c r="C13" s="137"/>
      <c r="D13" s="64">
        <v>6</v>
      </c>
      <c r="E13" s="33" t="s">
        <v>10</v>
      </c>
      <c r="F13" s="64" t="s">
        <v>13</v>
      </c>
      <c r="G13" s="64" t="s">
        <v>1437</v>
      </c>
      <c r="H13" s="64" t="s">
        <v>1</v>
      </c>
      <c r="I13" s="64" t="s">
        <v>11</v>
      </c>
      <c r="J13" s="33" t="s">
        <v>1166</v>
      </c>
      <c r="K13" s="65">
        <v>31603</v>
      </c>
      <c r="L13" s="66">
        <v>1986</v>
      </c>
      <c r="M13" s="66">
        <f t="shared" si="0"/>
        <v>33</v>
      </c>
      <c r="N13" s="64" t="s">
        <v>3</v>
      </c>
      <c r="O13" s="64" t="s">
        <v>1169</v>
      </c>
      <c r="P13" s="33" t="s">
        <v>1174</v>
      </c>
      <c r="Q13" s="64"/>
      <c r="R13" s="33" t="s">
        <v>1440</v>
      </c>
    </row>
    <row r="14" spans="2:18">
      <c r="B14" s="137"/>
      <c r="C14" s="137"/>
      <c r="D14" s="64">
        <v>7</v>
      </c>
      <c r="E14" s="33" t="s">
        <v>15</v>
      </c>
      <c r="F14" s="64" t="s">
        <v>13</v>
      </c>
      <c r="G14" s="64" t="s">
        <v>1438</v>
      </c>
      <c r="H14" s="64" t="s">
        <v>8</v>
      </c>
      <c r="I14" s="64" t="s">
        <v>11</v>
      </c>
      <c r="J14" s="33" t="s">
        <v>1166</v>
      </c>
      <c r="K14" s="65">
        <v>36182</v>
      </c>
      <c r="L14" s="66">
        <v>1999</v>
      </c>
      <c r="M14" s="66">
        <f t="shared" si="0"/>
        <v>20</v>
      </c>
      <c r="N14" s="64" t="s">
        <v>3</v>
      </c>
      <c r="O14" s="64" t="s">
        <v>1169</v>
      </c>
      <c r="P14" s="33" t="s">
        <v>1174</v>
      </c>
      <c r="Q14" s="64"/>
      <c r="R14" s="33" t="s">
        <v>1175</v>
      </c>
    </row>
    <row r="15" spans="2:18">
      <c r="B15" s="137"/>
      <c r="C15" s="137"/>
      <c r="D15" s="64">
        <v>8</v>
      </c>
      <c r="E15" s="33" t="s">
        <v>1742</v>
      </c>
      <c r="F15" s="64" t="s">
        <v>13</v>
      </c>
      <c r="G15" s="64" t="s">
        <v>1439</v>
      </c>
      <c r="H15" s="64" t="s">
        <v>1</v>
      </c>
      <c r="I15" s="64" t="s">
        <v>11</v>
      </c>
      <c r="J15" s="33" t="s">
        <v>1166</v>
      </c>
      <c r="K15" s="65">
        <v>37286</v>
      </c>
      <c r="L15" s="66">
        <v>2002</v>
      </c>
      <c r="M15" s="66">
        <f t="shared" si="0"/>
        <v>17</v>
      </c>
      <c r="N15" s="64" t="s">
        <v>3</v>
      </c>
      <c r="O15" s="64" t="s">
        <v>1169</v>
      </c>
      <c r="P15" s="33" t="s">
        <v>1199</v>
      </c>
      <c r="Q15" s="64"/>
      <c r="R15" s="33" t="s">
        <v>1175</v>
      </c>
    </row>
    <row r="16" spans="2:18">
      <c r="B16" s="137">
        <v>3</v>
      </c>
      <c r="C16" s="137"/>
      <c r="D16" s="64">
        <v>9</v>
      </c>
      <c r="E16" s="33"/>
      <c r="F16" s="64" t="s">
        <v>6</v>
      </c>
      <c r="G16" s="64" t="s">
        <v>19</v>
      </c>
      <c r="H16" s="64" t="s">
        <v>1</v>
      </c>
      <c r="I16" s="64" t="s">
        <v>18</v>
      </c>
      <c r="J16" s="33"/>
      <c r="K16" s="65">
        <v>21915</v>
      </c>
      <c r="L16" s="66">
        <f>YEAR(K16)</f>
        <v>1959</v>
      </c>
      <c r="M16" s="66">
        <f t="shared" si="0"/>
        <v>60</v>
      </c>
      <c r="N16" s="64" t="s">
        <v>3</v>
      </c>
      <c r="O16" s="64"/>
      <c r="P16" s="33" t="s">
        <v>4</v>
      </c>
      <c r="Q16" s="64"/>
      <c r="R16" s="33" t="s">
        <v>5</v>
      </c>
    </row>
    <row r="17" spans="2:18">
      <c r="B17" s="137"/>
      <c r="C17" s="137"/>
      <c r="D17" s="64">
        <v>10</v>
      </c>
      <c r="E17" s="33" t="s">
        <v>20</v>
      </c>
      <c r="F17" s="64" t="s">
        <v>13</v>
      </c>
      <c r="G17" s="64" t="s">
        <v>21</v>
      </c>
      <c r="H17" s="64" t="s">
        <v>8</v>
      </c>
      <c r="I17" s="64" t="s">
        <v>11</v>
      </c>
      <c r="J17" s="33"/>
      <c r="K17" s="65">
        <v>31412</v>
      </c>
      <c r="L17" s="66">
        <f t="shared" ref="L17:L18" si="1">YEAR(K17)</f>
        <v>1985</v>
      </c>
      <c r="M17" s="66">
        <f t="shared" si="0"/>
        <v>34</v>
      </c>
      <c r="N17" s="64" t="s">
        <v>3</v>
      </c>
      <c r="O17" s="64"/>
      <c r="P17" s="33" t="s">
        <v>16</v>
      </c>
      <c r="Q17" s="64"/>
      <c r="R17" s="33" t="s">
        <v>5</v>
      </c>
    </row>
    <row r="18" spans="2:18">
      <c r="B18" s="137"/>
      <c r="C18" s="137"/>
      <c r="D18" s="64">
        <v>11</v>
      </c>
      <c r="E18" s="33" t="s">
        <v>22</v>
      </c>
      <c r="F18" s="64" t="s">
        <v>23</v>
      </c>
      <c r="G18" s="64" t="s">
        <v>24</v>
      </c>
      <c r="H18" s="64" t="s">
        <v>8</v>
      </c>
      <c r="I18" s="64" t="s">
        <v>18</v>
      </c>
      <c r="J18" s="33"/>
      <c r="K18" s="65">
        <v>31412</v>
      </c>
      <c r="L18" s="66">
        <f t="shared" si="1"/>
        <v>1985</v>
      </c>
      <c r="M18" s="66">
        <f t="shared" si="0"/>
        <v>34</v>
      </c>
      <c r="N18" s="64" t="s">
        <v>3</v>
      </c>
      <c r="O18" s="64"/>
      <c r="P18" s="33" t="s">
        <v>4</v>
      </c>
      <c r="Q18" s="64"/>
      <c r="R18" s="33" t="s">
        <v>5</v>
      </c>
    </row>
    <row r="19" spans="2:18" ht="25.5">
      <c r="B19" s="137">
        <v>4</v>
      </c>
      <c r="C19" s="137" t="s">
        <v>1209</v>
      </c>
      <c r="D19" s="64">
        <v>12</v>
      </c>
      <c r="E19" s="33" t="s">
        <v>25</v>
      </c>
      <c r="F19" s="64" t="s">
        <v>6</v>
      </c>
      <c r="G19" s="64" t="s">
        <v>26</v>
      </c>
      <c r="H19" s="64" t="s">
        <v>8</v>
      </c>
      <c r="I19" s="64" t="s">
        <v>1197</v>
      </c>
      <c r="J19" s="33" t="s">
        <v>1172</v>
      </c>
      <c r="K19" s="65">
        <v>25385</v>
      </c>
      <c r="L19" s="66">
        <v>1969</v>
      </c>
      <c r="M19" s="66">
        <f t="shared" si="0"/>
        <v>50</v>
      </c>
      <c r="N19" s="64" t="s">
        <v>3</v>
      </c>
      <c r="O19" s="64" t="s">
        <v>1169</v>
      </c>
      <c r="P19" s="33" t="s">
        <v>1177</v>
      </c>
      <c r="Q19" s="64"/>
      <c r="R19" s="33" t="s">
        <v>1178</v>
      </c>
    </row>
    <row r="20" spans="2:18" ht="25.5">
      <c r="B20" s="137"/>
      <c r="C20" s="137"/>
      <c r="D20" s="64">
        <v>13</v>
      </c>
      <c r="E20" s="33" t="s">
        <v>27</v>
      </c>
      <c r="F20" s="64" t="s">
        <v>13</v>
      </c>
      <c r="G20" s="64" t="s">
        <v>29</v>
      </c>
      <c r="H20" s="64" t="s">
        <v>8</v>
      </c>
      <c r="I20" s="64" t="s">
        <v>11</v>
      </c>
      <c r="J20" s="33" t="s">
        <v>1172</v>
      </c>
      <c r="K20" s="65">
        <v>33786</v>
      </c>
      <c r="L20" s="66">
        <v>1992</v>
      </c>
      <c r="M20" s="66">
        <f t="shared" si="0"/>
        <v>27</v>
      </c>
      <c r="N20" s="64" t="s">
        <v>3</v>
      </c>
      <c r="O20" s="64" t="s">
        <v>1169</v>
      </c>
      <c r="P20" s="33" t="s">
        <v>1199</v>
      </c>
      <c r="Q20" s="64"/>
      <c r="R20" s="33" t="s">
        <v>1178</v>
      </c>
    </row>
    <row r="21" spans="2:18">
      <c r="B21" s="64">
        <v>5</v>
      </c>
      <c r="C21" s="64"/>
      <c r="D21" s="64">
        <v>14</v>
      </c>
      <c r="E21" s="33" t="s">
        <v>30</v>
      </c>
      <c r="F21" s="64" t="s">
        <v>6</v>
      </c>
      <c r="G21" s="64" t="s">
        <v>32</v>
      </c>
      <c r="H21" s="64" t="s">
        <v>8</v>
      </c>
      <c r="I21" s="64" t="s">
        <v>18</v>
      </c>
      <c r="J21" s="33"/>
      <c r="K21" s="65">
        <v>14976</v>
      </c>
      <c r="L21" s="66">
        <f t="shared" ref="L21:L24" si="2">YEAR(K21)</f>
        <v>1940</v>
      </c>
      <c r="M21" s="66">
        <f t="shared" si="0"/>
        <v>79</v>
      </c>
      <c r="N21" s="64" t="s">
        <v>3</v>
      </c>
      <c r="O21" s="64"/>
      <c r="P21" s="33" t="s">
        <v>4</v>
      </c>
      <c r="Q21" s="64"/>
      <c r="R21" s="33" t="s">
        <v>5</v>
      </c>
    </row>
    <row r="22" spans="2:18">
      <c r="B22" s="137">
        <v>6</v>
      </c>
      <c r="C22" s="137"/>
      <c r="D22" s="64">
        <v>15</v>
      </c>
      <c r="E22" s="33" t="s">
        <v>33</v>
      </c>
      <c r="F22" s="64" t="s">
        <v>6</v>
      </c>
      <c r="G22" s="64" t="s">
        <v>35</v>
      </c>
      <c r="H22" s="64" t="s">
        <v>1</v>
      </c>
      <c r="I22" s="64" t="s">
        <v>34</v>
      </c>
      <c r="J22" s="33"/>
      <c r="K22" s="65">
        <v>30316</v>
      </c>
      <c r="L22" s="66">
        <f t="shared" si="2"/>
        <v>1982</v>
      </c>
      <c r="M22" s="66">
        <f t="shared" si="0"/>
        <v>37</v>
      </c>
      <c r="N22" s="64" t="s">
        <v>3</v>
      </c>
      <c r="O22" s="64"/>
      <c r="P22" s="33" t="s">
        <v>4</v>
      </c>
      <c r="Q22" s="64"/>
      <c r="R22" s="33" t="s">
        <v>5</v>
      </c>
    </row>
    <row r="23" spans="2:18">
      <c r="B23" s="137"/>
      <c r="C23" s="137"/>
      <c r="D23" s="64">
        <v>16</v>
      </c>
      <c r="E23" s="33" t="s">
        <v>36</v>
      </c>
      <c r="F23" s="64" t="s">
        <v>13</v>
      </c>
      <c r="G23" s="64" t="s">
        <v>37</v>
      </c>
      <c r="H23" s="64" t="s">
        <v>1</v>
      </c>
      <c r="I23" s="64" t="s">
        <v>11</v>
      </c>
      <c r="J23" s="33"/>
      <c r="K23" s="65">
        <v>38527</v>
      </c>
      <c r="L23" s="66">
        <f t="shared" si="2"/>
        <v>2005</v>
      </c>
      <c r="M23" s="66">
        <f t="shared" si="0"/>
        <v>14</v>
      </c>
      <c r="N23" s="64" t="s">
        <v>3</v>
      </c>
      <c r="O23" s="64"/>
      <c r="P23" s="33" t="s">
        <v>4</v>
      </c>
      <c r="Q23" s="64"/>
      <c r="R23" s="33" t="s">
        <v>4</v>
      </c>
    </row>
    <row r="24" spans="2:18">
      <c r="B24" s="137"/>
      <c r="C24" s="137"/>
      <c r="D24" s="64">
        <v>17</v>
      </c>
      <c r="E24" s="33" t="s">
        <v>38</v>
      </c>
      <c r="F24" s="64" t="s">
        <v>13</v>
      </c>
      <c r="G24" s="64" t="s">
        <v>39</v>
      </c>
      <c r="H24" s="64" t="s">
        <v>1</v>
      </c>
      <c r="I24" s="64" t="s">
        <v>11</v>
      </c>
      <c r="J24" s="33"/>
      <c r="K24" s="65">
        <v>38527</v>
      </c>
      <c r="L24" s="66">
        <f t="shared" si="2"/>
        <v>2005</v>
      </c>
      <c r="M24" s="66">
        <f t="shared" si="0"/>
        <v>14</v>
      </c>
      <c r="N24" s="64" t="s">
        <v>3</v>
      </c>
      <c r="O24" s="64"/>
      <c r="P24" s="33" t="s">
        <v>4</v>
      </c>
      <c r="Q24" s="64"/>
      <c r="R24" s="33" t="s">
        <v>4</v>
      </c>
    </row>
    <row r="25" spans="2:18" ht="25.5">
      <c r="B25" s="137">
        <v>7</v>
      </c>
      <c r="C25" s="137" t="s">
        <v>1744</v>
      </c>
      <c r="D25" s="64">
        <v>18</v>
      </c>
      <c r="E25" s="33" t="s">
        <v>42</v>
      </c>
      <c r="F25" s="64" t="s">
        <v>6</v>
      </c>
      <c r="G25" s="64" t="s">
        <v>1745</v>
      </c>
      <c r="H25" s="64" t="s">
        <v>1</v>
      </c>
      <c r="I25" s="64" t="s">
        <v>2</v>
      </c>
      <c r="J25" s="33" t="s">
        <v>1166</v>
      </c>
      <c r="K25" s="65">
        <v>30793</v>
      </c>
      <c r="L25" s="66">
        <v>1984</v>
      </c>
      <c r="M25" s="66">
        <f t="shared" si="0"/>
        <v>35</v>
      </c>
      <c r="N25" s="64" t="s">
        <v>3</v>
      </c>
      <c r="O25" s="64" t="s">
        <v>1169</v>
      </c>
      <c r="P25" s="33" t="s">
        <v>1199</v>
      </c>
      <c r="Q25" s="64"/>
      <c r="R25" s="33" t="s">
        <v>1178</v>
      </c>
    </row>
    <row r="26" spans="2:18" ht="25.5">
      <c r="B26" s="137"/>
      <c r="C26" s="137"/>
      <c r="D26" s="64">
        <v>19</v>
      </c>
      <c r="E26" s="33" t="s">
        <v>43</v>
      </c>
      <c r="F26" s="64" t="s">
        <v>9</v>
      </c>
      <c r="G26" s="64" t="s">
        <v>44</v>
      </c>
      <c r="H26" s="64" t="s">
        <v>8</v>
      </c>
      <c r="I26" s="64" t="s">
        <v>2</v>
      </c>
      <c r="J26" s="33" t="s">
        <v>1206</v>
      </c>
      <c r="K26" s="65">
        <v>34048</v>
      </c>
      <c r="L26" s="66">
        <v>1993</v>
      </c>
      <c r="M26" s="66">
        <f t="shared" si="0"/>
        <v>26</v>
      </c>
      <c r="N26" s="64" t="s">
        <v>3</v>
      </c>
      <c r="O26" s="64" t="s">
        <v>1169</v>
      </c>
      <c r="P26" s="33" t="s">
        <v>1174</v>
      </c>
      <c r="Q26" s="64"/>
      <c r="R26" s="33" t="s">
        <v>1168</v>
      </c>
    </row>
    <row r="27" spans="2:18" ht="25.5">
      <c r="B27" s="137"/>
      <c r="C27" s="137"/>
      <c r="D27" s="64">
        <v>20</v>
      </c>
      <c r="E27" s="33" t="s">
        <v>1743</v>
      </c>
      <c r="F27" s="64" t="s">
        <v>13</v>
      </c>
      <c r="G27" s="64" t="s">
        <v>45</v>
      </c>
      <c r="H27" s="64" t="s">
        <v>1</v>
      </c>
      <c r="I27" s="64" t="s">
        <v>11</v>
      </c>
      <c r="J27" s="33" t="s">
        <v>1250</v>
      </c>
      <c r="K27" s="65">
        <v>41737</v>
      </c>
      <c r="L27" s="66">
        <v>2014</v>
      </c>
      <c r="M27" s="66">
        <f t="shared" si="0"/>
        <v>5</v>
      </c>
      <c r="N27" s="64" t="s">
        <v>3</v>
      </c>
      <c r="O27" s="64" t="s">
        <v>1169</v>
      </c>
      <c r="P27" s="33" t="s">
        <v>1177</v>
      </c>
      <c r="Q27" s="64"/>
      <c r="R27" s="33" t="s">
        <v>1192</v>
      </c>
    </row>
    <row r="28" spans="2:18" ht="25.5">
      <c r="B28" s="64">
        <v>8</v>
      </c>
      <c r="C28" s="64" t="s">
        <v>1680</v>
      </c>
      <c r="D28" s="64">
        <v>21</v>
      </c>
      <c r="E28" s="33" t="s">
        <v>46</v>
      </c>
      <c r="F28" s="64" t="s">
        <v>6</v>
      </c>
      <c r="G28" s="64" t="s">
        <v>47</v>
      </c>
      <c r="H28" s="64" t="s">
        <v>8</v>
      </c>
      <c r="I28" s="64" t="s">
        <v>1197</v>
      </c>
      <c r="J28" s="33" t="s">
        <v>1172</v>
      </c>
      <c r="K28" s="65">
        <v>21002</v>
      </c>
      <c r="L28" s="66">
        <v>1957</v>
      </c>
      <c r="M28" s="66">
        <f t="shared" si="0"/>
        <v>62</v>
      </c>
      <c r="N28" s="64" t="s">
        <v>3</v>
      </c>
      <c r="O28" s="64" t="s">
        <v>1169</v>
      </c>
      <c r="P28" s="33" t="s">
        <v>1177</v>
      </c>
      <c r="Q28" s="64"/>
      <c r="R28" s="33" t="s">
        <v>1178</v>
      </c>
    </row>
    <row r="29" spans="2:18" ht="25.5">
      <c r="B29" s="137">
        <v>9</v>
      </c>
      <c r="C29" s="137" t="s">
        <v>1214</v>
      </c>
      <c r="D29" s="64">
        <v>22</v>
      </c>
      <c r="E29" s="33" t="s">
        <v>48</v>
      </c>
      <c r="F29" s="64" t="s">
        <v>6</v>
      </c>
      <c r="G29" s="64" t="s">
        <v>1215</v>
      </c>
      <c r="H29" s="64" t="s">
        <v>8</v>
      </c>
      <c r="I29" s="64" t="s">
        <v>2</v>
      </c>
      <c r="J29" s="33" t="s">
        <v>1172</v>
      </c>
      <c r="K29" s="65">
        <v>25568</v>
      </c>
      <c r="L29" s="66">
        <v>1969</v>
      </c>
      <c r="M29" s="66">
        <f t="shared" si="0"/>
        <v>50</v>
      </c>
      <c r="N29" s="64" t="s">
        <v>3</v>
      </c>
      <c r="O29" s="64" t="s">
        <v>1169</v>
      </c>
      <c r="P29" s="33" t="s">
        <v>1177</v>
      </c>
      <c r="Q29" s="64"/>
      <c r="R29" s="33" t="s">
        <v>1168</v>
      </c>
    </row>
    <row r="30" spans="2:18">
      <c r="B30" s="137"/>
      <c r="C30" s="137"/>
      <c r="D30" s="64">
        <v>23</v>
      </c>
      <c r="E30" s="33" t="s">
        <v>49</v>
      </c>
      <c r="F30" s="64" t="s">
        <v>13</v>
      </c>
      <c r="G30" s="64" t="s">
        <v>50</v>
      </c>
      <c r="H30" s="64" t="s">
        <v>1</v>
      </c>
      <c r="I30" s="64" t="s">
        <v>11</v>
      </c>
      <c r="J30" s="33" t="s">
        <v>1166</v>
      </c>
      <c r="K30" s="65">
        <v>34151</v>
      </c>
      <c r="L30" s="66">
        <v>1993</v>
      </c>
      <c r="M30" s="66">
        <f t="shared" si="0"/>
        <v>26</v>
      </c>
      <c r="N30" s="64" t="s">
        <v>3</v>
      </c>
      <c r="O30" s="64" t="s">
        <v>1169</v>
      </c>
      <c r="P30" s="33" t="s">
        <v>1199</v>
      </c>
      <c r="Q30" s="64"/>
      <c r="R30" s="33" t="s">
        <v>1175</v>
      </c>
    </row>
    <row r="31" spans="2:18" s="61" customFormat="1" ht="25.5">
      <c r="B31" s="137"/>
      <c r="C31" s="137"/>
      <c r="D31" s="64">
        <v>24</v>
      </c>
      <c r="E31" s="111" t="s">
        <v>51</v>
      </c>
      <c r="F31" s="64" t="s">
        <v>13</v>
      </c>
      <c r="G31" s="112" t="s">
        <v>52</v>
      </c>
      <c r="H31" s="64" t="s">
        <v>1</v>
      </c>
      <c r="I31" s="64" t="s">
        <v>11</v>
      </c>
      <c r="J31" s="33" t="s">
        <v>1166</v>
      </c>
      <c r="K31" s="65">
        <v>35612</v>
      </c>
      <c r="L31" s="66">
        <v>1997</v>
      </c>
      <c r="M31" s="66">
        <f t="shared" si="0"/>
        <v>22</v>
      </c>
      <c r="N31" s="64" t="s">
        <v>3</v>
      </c>
      <c r="O31" s="64" t="s">
        <v>1169</v>
      </c>
      <c r="P31" s="33" t="s">
        <v>1176</v>
      </c>
      <c r="Q31" s="64"/>
      <c r="R31" s="33" t="s">
        <v>1175</v>
      </c>
    </row>
    <row r="32" spans="2:18">
      <c r="B32" s="137">
        <v>10</v>
      </c>
      <c r="C32" s="137" t="s">
        <v>1216</v>
      </c>
      <c r="D32" s="64">
        <v>25</v>
      </c>
      <c r="E32" s="33" t="s">
        <v>53</v>
      </c>
      <c r="F32" s="64" t="s">
        <v>6</v>
      </c>
      <c r="G32" s="64" t="s">
        <v>54</v>
      </c>
      <c r="H32" s="64" t="s">
        <v>1</v>
      </c>
      <c r="I32" s="64" t="s">
        <v>2</v>
      </c>
      <c r="J32" s="33" t="s">
        <v>1166</v>
      </c>
      <c r="K32" s="65">
        <v>32142</v>
      </c>
      <c r="L32" s="66">
        <v>1987</v>
      </c>
      <c r="M32" s="66">
        <f t="shared" si="0"/>
        <v>32</v>
      </c>
      <c r="N32" s="64" t="s">
        <v>3</v>
      </c>
      <c r="O32" s="64" t="s">
        <v>1169</v>
      </c>
      <c r="P32" s="33" t="s">
        <v>1181</v>
      </c>
      <c r="Q32" s="64"/>
      <c r="R32" s="33" t="s">
        <v>85</v>
      </c>
    </row>
    <row r="33" spans="2:18" ht="25.5">
      <c r="B33" s="137"/>
      <c r="C33" s="137"/>
      <c r="D33" s="64">
        <v>26</v>
      </c>
      <c r="E33" s="33" t="s">
        <v>55</v>
      </c>
      <c r="F33" s="64" t="s">
        <v>9</v>
      </c>
      <c r="G33" s="64" t="s">
        <v>1217</v>
      </c>
      <c r="H33" s="64" t="s">
        <v>8</v>
      </c>
      <c r="I33" s="64" t="s">
        <v>2</v>
      </c>
      <c r="J33" s="33" t="s">
        <v>1166</v>
      </c>
      <c r="K33" s="65">
        <v>32508</v>
      </c>
      <c r="L33" s="66">
        <v>1988</v>
      </c>
      <c r="M33" s="66">
        <f t="shared" si="0"/>
        <v>31</v>
      </c>
      <c r="N33" s="64" t="s">
        <v>3</v>
      </c>
      <c r="O33" s="64" t="s">
        <v>1169</v>
      </c>
      <c r="P33" s="33" t="s">
        <v>1181</v>
      </c>
      <c r="Q33" s="64"/>
      <c r="R33" s="33" t="s">
        <v>1168</v>
      </c>
    </row>
    <row r="34" spans="2:18" ht="25.5">
      <c r="B34" s="137"/>
      <c r="C34" s="137"/>
      <c r="D34" s="64">
        <v>27</v>
      </c>
      <c r="E34" s="33" t="s">
        <v>56</v>
      </c>
      <c r="F34" s="64" t="s">
        <v>13</v>
      </c>
      <c r="G34" s="64" t="s">
        <v>57</v>
      </c>
      <c r="H34" s="64" t="s">
        <v>1</v>
      </c>
      <c r="I34" s="64" t="s">
        <v>11</v>
      </c>
      <c r="J34" s="33" t="s">
        <v>1166</v>
      </c>
      <c r="K34" s="65">
        <v>40251</v>
      </c>
      <c r="L34" s="66">
        <v>2010</v>
      </c>
      <c r="M34" s="66">
        <f t="shared" si="0"/>
        <v>9</v>
      </c>
      <c r="N34" s="64" t="s">
        <v>3</v>
      </c>
      <c r="O34" s="64" t="s">
        <v>1169</v>
      </c>
      <c r="P34" s="33" t="s">
        <v>1177</v>
      </c>
      <c r="Q34" s="64"/>
      <c r="R34" s="33" t="s">
        <v>1192</v>
      </c>
    </row>
    <row r="35" spans="2:18" ht="25.5">
      <c r="B35" s="137">
        <v>11</v>
      </c>
      <c r="C35" s="137" t="s">
        <v>1721</v>
      </c>
      <c r="D35" s="64">
        <v>28</v>
      </c>
      <c r="E35" s="33" t="s">
        <v>58</v>
      </c>
      <c r="F35" s="64" t="s">
        <v>6</v>
      </c>
      <c r="G35" s="64" t="s">
        <v>59</v>
      </c>
      <c r="H35" s="64" t="s">
        <v>1</v>
      </c>
      <c r="I35" s="64" t="s">
        <v>2</v>
      </c>
      <c r="J35" s="33" t="s">
        <v>1331</v>
      </c>
      <c r="K35" s="65">
        <v>30200</v>
      </c>
      <c r="L35" s="66">
        <v>1982</v>
      </c>
      <c r="M35" s="66">
        <f t="shared" si="0"/>
        <v>37</v>
      </c>
      <c r="N35" s="64" t="s">
        <v>3</v>
      </c>
      <c r="O35" s="64" t="s">
        <v>1169</v>
      </c>
      <c r="P35" s="33" t="s">
        <v>1181</v>
      </c>
      <c r="Q35" s="64"/>
      <c r="R35" s="33" t="s">
        <v>85</v>
      </c>
    </row>
    <row r="36" spans="2:18" ht="25.5">
      <c r="B36" s="137"/>
      <c r="C36" s="137"/>
      <c r="D36" s="64">
        <v>29</v>
      </c>
      <c r="E36" s="33" t="s">
        <v>60</v>
      </c>
      <c r="F36" s="64" t="s">
        <v>9</v>
      </c>
      <c r="G36" s="64" t="s">
        <v>1722</v>
      </c>
      <c r="H36" s="64" t="s">
        <v>8</v>
      </c>
      <c r="I36" s="64" t="s">
        <v>2</v>
      </c>
      <c r="J36" s="33" t="s">
        <v>1172</v>
      </c>
      <c r="K36" s="65">
        <v>32325</v>
      </c>
      <c r="L36" s="66">
        <v>1988</v>
      </c>
      <c r="M36" s="66">
        <f t="shared" si="0"/>
        <v>31</v>
      </c>
      <c r="N36" s="64" t="s">
        <v>3</v>
      </c>
      <c r="O36" s="64" t="s">
        <v>1169</v>
      </c>
      <c r="P36" s="33" t="s">
        <v>1174</v>
      </c>
      <c r="Q36" s="64"/>
      <c r="R36" s="33" t="s">
        <v>1168</v>
      </c>
    </row>
    <row r="37" spans="2:18" ht="25.5">
      <c r="B37" s="137"/>
      <c r="C37" s="137"/>
      <c r="D37" s="64">
        <v>30</v>
      </c>
      <c r="E37" s="33" t="s">
        <v>61</v>
      </c>
      <c r="F37" s="64" t="s">
        <v>13</v>
      </c>
      <c r="G37" s="64" t="s">
        <v>62</v>
      </c>
      <c r="H37" s="64" t="s">
        <v>8</v>
      </c>
      <c r="I37" s="64" t="s">
        <v>11</v>
      </c>
      <c r="J37" s="33" t="s">
        <v>1250</v>
      </c>
      <c r="K37" s="65">
        <v>39830</v>
      </c>
      <c r="L37" s="66">
        <v>2009</v>
      </c>
      <c r="M37" s="66">
        <f t="shared" si="0"/>
        <v>10</v>
      </c>
      <c r="N37" s="64" t="s">
        <v>3</v>
      </c>
      <c r="O37" s="64" t="s">
        <v>1169</v>
      </c>
      <c r="P37" s="33" t="s">
        <v>1177</v>
      </c>
      <c r="Q37" s="64"/>
      <c r="R37" s="33" t="s">
        <v>1192</v>
      </c>
    </row>
    <row r="38" spans="2:18" ht="38.25">
      <c r="B38" s="137"/>
      <c r="C38" s="137"/>
      <c r="D38" s="64">
        <v>31</v>
      </c>
      <c r="E38" s="33" t="s">
        <v>1720</v>
      </c>
      <c r="F38" s="64" t="s">
        <v>13</v>
      </c>
      <c r="G38" s="64" t="s">
        <v>63</v>
      </c>
      <c r="H38" s="64" t="s">
        <v>1</v>
      </c>
      <c r="I38" s="64" t="s">
        <v>11</v>
      </c>
      <c r="J38" s="33" t="s">
        <v>1250</v>
      </c>
      <c r="K38" s="65">
        <v>40924</v>
      </c>
      <c r="L38" s="66">
        <v>2012</v>
      </c>
      <c r="M38" s="66">
        <f t="shared" si="0"/>
        <v>7</v>
      </c>
      <c r="N38" s="64" t="s">
        <v>3</v>
      </c>
      <c r="O38" s="64" t="s">
        <v>1169</v>
      </c>
      <c r="P38" s="33" t="s">
        <v>1177</v>
      </c>
      <c r="Q38" s="64"/>
      <c r="R38" s="33" t="s">
        <v>1192</v>
      </c>
    </row>
    <row r="39" spans="2:18">
      <c r="B39" s="64">
        <v>12</v>
      </c>
      <c r="C39" s="64" t="s">
        <v>1495</v>
      </c>
      <c r="D39" s="64">
        <v>32</v>
      </c>
      <c r="E39" s="33" t="s">
        <v>40</v>
      </c>
      <c r="F39" s="64" t="s">
        <v>6</v>
      </c>
      <c r="G39" s="64" t="s">
        <v>41</v>
      </c>
      <c r="H39" s="64" t="s">
        <v>1</v>
      </c>
      <c r="I39" s="64" t="s">
        <v>1496</v>
      </c>
      <c r="J39" s="33" t="s">
        <v>1166</v>
      </c>
      <c r="K39" s="65">
        <v>17458</v>
      </c>
      <c r="L39" s="66">
        <v>1947</v>
      </c>
      <c r="M39" s="66">
        <f>2019-L39</f>
        <v>72</v>
      </c>
      <c r="N39" s="64" t="s">
        <v>3</v>
      </c>
      <c r="O39" s="64" t="s">
        <v>1169</v>
      </c>
      <c r="P39" s="33" t="s">
        <v>1181</v>
      </c>
      <c r="Q39" s="64"/>
      <c r="R39" s="33" t="s">
        <v>1167</v>
      </c>
    </row>
    <row r="40" spans="2:18" ht="25.5">
      <c r="B40" s="137">
        <v>13</v>
      </c>
      <c r="C40" s="137" t="s">
        <v>1681</v>
      </c>
      <c r="D40" s="64">
        <v>33</v>
      </c>
      <c r="E40" s="33" t="s">
        <v>66</v>
      </c>
      <c r="F40" s="64" t="s">
        <v>6</v>
      </c>
      <c r="G40" s="64" t="s">
        <v>67</v>
      </c>
      <c r="H40" s="64" t="s">
        <v>1</v>
      </c>
      <c r="I40" s="64" t="s">
        <v>2</v>
      </c>
      <c r="J40" s="33" t="s">
        <v>1166</v>
      </c>
      <c r="K40" s="65">
        <v>30660</v>
      </c>
      <c r="L40" s="66">
        <v>1983</v>
      </c>
      <c r="M40" s="66">
        <f t="shared" ref="M40:M71" si="3">2019-L40</f>
        <v>36</v>
      </c>
      <c r="N40" s="64" t="s">
        <v>3</v>
      </c>
      <c r="O40" s="64" t="s">
        <v>1169</v>
      </c>
      <c r="P40" s="33" t="s">
        <v>1199</v>
      </c>
      <c r="Q40" s="64"/>
      <c r="R40" s="33" t="s">
        <v>1192</v>
      </c>
    </row>
    <row r="41" spans="2:18" ht="25.5">
      <c r="B41" s="137"/>
      <c r="C41" s="137"/>
      <c r="D41" s="64">
        <v>34</v>
      </c>
      <c r="E41" s="33" t="s">
        <v>68</v>
      </c>
      <c r="F41" s="64" t="s">
        <v>9</v>
      </c>
      <c r="G41" s="64" t="s">
        <v>69</v>
      </c>
      <c r="H41" s="64" t="s">
        <v>8</v>
      </c>
      <c r="I41" s="64" t="s">
        <v>2</v>
      </c>
      <c r="J41" s="33" t="s">
        <v>1166</v>
      </c>
      <c r="K41" s="65">
        <v>31047</v>
      </c>
      <c r="L41" s="66">
        <v>1984</v>
      </c>
      <c r="M41" s="66">
        <f t="shared" si="3"/>
        <v>35</v>
      </c>
      <c r="N41" s="64" t="s">
        <v>3</v>
      </c>
      <c r="O41" s="64" t="s">
        <v>1169</v>
      </c>
      <c r="P41" s="33" t="s">
        <v>1174</v>
      </c>
      <c r="Q41" s="64"/>
      <c r="R41" s="33" t="s">
        <v>1168</v>
      </c>
    </row>
    <row r="42" spans="2:18" ht="25.5">
      <c r="B42" s="137">
        <v>14</v>
      </c>
      <c r="C42" s="137" t="s">
        <v>1380</v>
      </c>
      <c r="D42" s="64">
        <v>35</v>
      </c>
      <c r="E42" s="33" t="s">
        <v>70</v>
      </c>
      <c r="F42" s="64" t="s">
        <v>6</v>
      </c>
      <c r="G42" s="64" t="s">
        <v>71</v>
      </c>
      <c r="H42" s="64" t="s">
        <v>8</v>
      </c>
      <c r="I42" s="64" t="s">
        <v>1221</v>
      </c>
      <c r="J42" s="33" t="s">
        <v>1381</v>
      </c>
      <c r="K42" s="65">
        <v>27942</v>
      </c>
      <c r="L42" s="66">
        <v>1976</v>
      </c>
      <c r="M42" s="66">
        <f t="shared" si="3"/>
        <v>43</v>
      </c>
      <c r="N42" s="64" t="s">
        <v>3</v>
      </c>
      <c r="O42" s="64" t="s">
        <v>1169</v>
      </c>
      <c r="P42" s="33" t="s">
        <v>1181</v>
      </c>
      <c r="Q42" s="64"/>
      <c r="R42" s="33" t="s">
        <v>1178</v>
      </c>
    </row>
    <row r="43" spans="2:18" ht="25.5">
      <c r="B43" s="137"/>
      <c r="C43" s="137"/>
      <c r="D43" s="64">
        <v>36</v>
      </c>
      <c r="E43" s="33" t="s">
        <v>73</v>
      </c>
      <c r="F43" s="64" t="s">
        <v>13</v>
      </c>
      <c r="G43" s="64" t="s">
        <v>74</v>
      </c>
      <c r="H43" s="64" t="s">
        <v>8</v>
      </c>
      <c r="I43" s="64" t="s">
        <v>11</v>
      </c>
      <c r="J43" s="33" t="s">
        <v>1331</v>
      </c>
      <c r="K43" s="65">
        <v>39173</v>
      </c>
      <c r="L43" s="66">
        <v>2007</v>
      </c>
      <c r="M43" s="66">
        <f t="shared" si="3"/>
        <v>12</v>
      </c>
      <c r="N43" s="64" t="s">
        <v>3</v>
      </c>
      <c r="O43" s="64" t="s">
        <v>1169</v>
      </c>
      <c r="P43" s="33" t="s">
        <v>1199</v>
      </c>
      <c r="Q43" s="64"/>
      <c r="R43" s="33" t="s">
        <v>1175</v>
      </c>
    </row>
    <row r="44" spans="2:18" ht="25.5">
      <c r="B44" s="137"/>
      <c r="C44" s="137"/>
      <c r="D44" s="64">
        <v>37</v>
      </c>
      <c r="E44" s="33" t="s">
        <v>75</v>
      </c>
      <c r="F44" s="64" t="s">
        <v>13</v>
      </c>
      <c r="G44" s="64" t="s">
        <v>76</v>
      </c>
      <c r="H44" s="64" t="s">
        <v>8</v>
      </c>
      <c r="I44" s="64" t="s">
        <v>11</v>
      </c>
      <c r="J44" s="33" t="s">
        <v>1166</v>
      </c>
      <c r="K44" s="65">
        <v>41541</v>
      </c>
      <c r="L44" s="66">
        <v>2013</v>
      </c>
      <c r="M44" s="66">
        <f t="shared" si="3"/>
        <v>6</v>
      </c>
      <c r="N44" s="64" t="s">
        <v>3</v>
      </c>
      <c r="O44" s="64" t="s">
        <v>1169</v>
      </c>
      <c r="P44" s="33" t="s">
        <v>1177</v>
      </c>
      <c r="Q44" s="64"/>
      <c r="R44" s="33" t="s">
        <v>1192</v>
      </c>
    </row>
    <row r="45" spans="2:18" ht="25.5">
      <c r="B45" s="137">
        <v>15</v>
      </c>
      <c r="C45" s="137" t="s">
        <v>1483</v>
      </c>
      <c r="D45" s="64">
        <v>38</v>
      </c>
      <c r="E45" s="33" t="s">
        <v>77</v>
      </c>
      <c r="F45" s="64" t="s">
        <v>6</v>
      </c>
      <c r="G45" s="64" t="s">
        <v>78</v>
      </c>
      <c r="H45" s="64" t="s">
        <v>8</v>
      </c>
      <c r="I45" s="64" t="s">
        <v>1221</v>
      </c>
      <c r="J45" s="33" t="s">
        <v>1166</v>
      </c>
      <c r="K45" s="65">
        <v>19724</v>
      </c>
      <c r="L45" s="66">
        <v>1953</v>
      </c>
      <c r="M45" s="66">
        <f t="shared" si="3"/>
        <v>66</v>
      </c>
      <c r="N45" s="64" t="s">
        <v>3</v>
      </c>
      <c r="O45" s="64" t="s">
        <v>1169</v>
      </c>
      <c r="P45" s="33" t="s">
        <v>1181</v>
      </c>
      <c r="Q45" s="64"/>
      <c r="R45" s="33" t="s">
        <v>1167</v>
      </c>
    </row>
    <row r="46" spans="2:18" ht="25.5">
      <c r="B46" s="137"/>
      <c r="C46" s="137"/>
      <c r="D46" s="64">
        <v>39</v>
      </c>
      <c r="E46" s="33" t="s">
        <v>79</v>
      </c>
      <c r="F46" s="64" t="s">
        <v>13</v>
      </c>
      <c r="G46" s="64" t="s">
        <v>1484</v>
      </c>
      <c r="H46" s="64" t="s">
        <v>1</v>
      </c>
      <c r="I46" s="64" t="s">
        <v>11</v>
      </c>
      <c r="J46" s="33" t="s">
        <v>1331</v>
      </c>
      <c r="K46" s="65">
        <v>26298</v>
      </c>
      <c r="L46" s="66">
        <v>1971</v>
      </c>
      <c r="M46" s="66">
        <f t="shared" si="3"/>
        <v>48</v>
      </c>
      <c r="N46" s="64" t="s">
        <v>3</v>
      </c>
      <c r="O46" s="64" t="s">
        <v>1169</v>
      </c>
      <c r="P46" s="33" t="s">
        <v>1181</v>
      </c>
      <c r="Q46" s="64"/>
      <c r="R46" s="33" t="s">
        <v>1178</v>
      </c>
    </row>
    <row r="47" spans="2:18" ht="25.5">
      <c r="B47" s="137">
        <v>16</v>
      </c>
      <c r="C47" s="137" t="s">
        <v>1330</v>
      </c>
      <c r="D47" s="64">
        <v>40</v>
      </c>
      <c r="E47" s="33" t="s">
        <v>79</v>
      </c>
      <c r="F47" s="64" t="s">
        <v>6</v>
      </c>
      <c r="G47" s="64" t="s">
        <v>81</v>
      </c>
      <c r="H47" s="64" t="s">
        <v>1</v>
      </c>
      <c r="I47" s="64" t="s">
        <v>2</v>
      </c>
      <c r="J47" s="33" t="s">
        <v>1331</v>
      </c>
      <c r="K47" s="65">
        <v>26297</v>
      </c>
      <c r="L47" s="66">
        <v>1971</v>
      </c>
      <c r="M47" s="66">
        <f t="shared" si="3"/>
        <v>48</v>
      </c>
      <c r="N47" s="64" t="s">
        <v>3</v>
      </c>
      <c r="O47" s="64" t="s">
        <v>1169</v>
      </c>
      <c r="P47" s="33" t="s">
        <v>1199</v>
      </c>
      <c r="Q47" s="64"/>
      <c r="R47" s="33" t="s">
        <v>1332</v>
      </c>
    </row>
    <row r="48" spans="2:18" ht="25.5">
      <c r="B48" s="137"/>
      <c r="C48" s="137"/>
      <c r="D48" s="64">
        <v>41</v>
      </c>
      <c r="E48" s="33" t="s">
        <v>82</v>
      </c>
      <c r="F48" s="64" t="s">
        <v>9</v>
      </c>
      <c r="G48" s="64" t="s">
        <v>83</v>
      </c>
      <c r="H48" s="64" t="s">
        <v>8</v>
      </c>
      <c r="I48" s="64" t="s">
        <v>2</v>
      </c>
      <c r="J48" s="33" t="s">
        <v>1172</v>
      </c>
      <c r="K48" s="65">
        <v>26664</v>
      </c>
      <c r="L48" s="66">
        <v>1972</v>
      </c>
      <c r="M48" s="66">
        <f t="shared" si="3"/>
        <v>47</v>
      </c>
      <c r="N48" s="64" t="s">
        <v>3</v>
      </c>
      <c r="O48" s="64" t="s">
        <v>1169</v>
      </c>
      <c r="P48" s="33" t="s">
        <v>1177</v>
      </c>
      <c r="Q48" s="64"/>
      <c r="R48" s="33" t="s">
        <v>1168</v>
      </c>
    </row>
    <row r="49" spans="2:18" ht="25.5">
      <c r="B49" s="137"/>
      <c r="C49" s="137"/>
      <c r="D49" s="64">
        <v>42</v>
      </c>
      <c r="E49" s="33" t="s">
        <v>84</v>
      </c>
      <c r="F49" s="64" t="s">
        <v>13</v>
      </c>
      <c r="G49" s="64" t="s">
        <v>86</v>
      </c>
      <c r="H49" s="64" t="s">
        <v>1</v>
      </c>
      <c r="I49" s="64" t="s">
        <v>11</v>
      </c>
      <c r="J49" s="33" t="s">
        <v>1166</v>
      </c>
      <c r="K49" s="65">
        <v>34948</v>
      </c>
      <c r="L49" s="66">
        <v>1995</v>
      </c>
      <c r="M49" s="66">
        <f t="shared" si="3"/>
        <v>24</v>
      </c>
      <c r="N49" s="64" t="s">
        <v>3</v>
      </c>
      <c r="O49" s="64" t="s">
        <v>1169</v>
      </c>
      <c r="P49" s="33" t="s">
        <v>1174</v>
      </c>
      <c r="Q49" s="64"/>
      <c r="R49" s="33" t="s">
        <v>1192</v>
      </c>
    </row>
    <row r="50" spans="2:18" ht="25.5">
      <c r="B50" s="137"/>
      <c r="C50" s="137"/>
      <c r="D50" s="64">
        <v>43</v>
      </c>
      <c r="E50" s="33" t="s">
        <v>87</v>
      </c>
      <c r="F50" s="64" t="s">
        <v>13</v>
      </c>
      <c r="G50" s="64" t="s">
        <v>88</v>
      </c>
      <c r="H50" s="64" t="s">
        <v>8</v>
      </c>
      <c r="I50" s="64" t="s">
        <v>11</v>
      </c>
      <c r="J50" s="33" t="s">
        <v>1331</v>
      </c>
      <c r="K50" s="65">
        <v>36344</v>
      </c>
      <c r="L50" s="66">
        <v>1999</v>
      </c>
      <c r="M50" s="66">
        <f t="shared" si="3"/>
        <v>20</v>
      </c>
      <c r="N50" s="64" t="s">
        <v>3</v>
      </c>
      <c r="O50" s="64" t="s">
        <v>1169</v>
      </c>
      <c r="P50" s="33" t="s">
        <v>1199</v>
      </c>
      <c r="Q50" s="64"/>
      <c r="R50" s="33" t="s">
        <v>1175</v>
      </c>
    </row>
    <row r="51" spans="2:18" ht="25.5">
      <c r="B51" s="137"/>
      <c r="C51" s="137"/>
      <c r="D51" s="64">
        <v>44</v>
      </c>
      <c r="E51" s="33" t="s">
        <v>89</v>
      </c>
      <c r="F51" s="64" t="s">
        <v>13</v>
      </c>
      <c r="G51" s="64" t="s">
        <v>90</v>
      </c>
      <c r="H51" s="64" t="s">
        <v>8</v>
      </c>
      <c r="I51" s="64" t="s">
        <v>11</v>
      </c>
      <c r="J51" s="33" t="s">
        <v>1172</v>
      </c>
      <c r="K51" s="65">
        <v>37440</v>
      </c>
      <c r="L51" s="66">
        <v>2002</v>
      </c>
      <c r="M51" s="66">
        <f t="shared" si="3"/>
        <v>17</v>
      </c>
      <c r="N51" s="64" t="s">
        <v>3</v>
      </c>
      <c r="O51" s="64" t="s">
        <v>1169</v>
      </c>
      <c r="P51" s="33" t="s">
        <v>1176</v>
      </c>
      <c r="Q51" s="64"/>
      <c r="R51" s="33" t="s">
        <v>1175</v>
      </c>
    </row>
    <row r="52" spans="2:18" ht="25.5">
      <c r="B52" s="137">
        <v>17</v>
      </c>
      <c r="C52" s="137" t="s">
        <v>1551</v>
      </c>
      <c r="D52" s="64">
        <v>45</v>
      </c>
      <c r="E52" s="33" t="s">
        <v>91</v>
      </c>
      <c r="F52" s="64" t="s">
        <v>6</v>
      </c>
      <c r="G52" s="64" t="s">
        <v>92</v>
      </c>
      <c r="H52" s="64" t="s">
        <v>1</v>
      </c>
      <c r="I52" s="64" t="s">
        <v>1221</v>
      </c>
      <c r="J52" s="33" t="s">
        <v>1172</v>
      </c>
      <c r="K52" s="65">
        <v>15523</v>
      </c>
      <c r="L52" s="66">
        <v>1942</v>
      </c>
      <c r="M52" s="66">
        <f t="shared" si="3"/>
        <v>77</v>
      </c>
      <c r="N52" s="64" t="s">
        <v>3</v>
      </c>
      <c r="O52" s="64" t="s">
        <v>1169</v>
      </c>
      <c r="P52" s="33" t="s">
        <v>1181</v>
      </c>
      <c r="Q52" s="64"/>
      <c r="R52" s="33" t="s">
        <v>1178</v>
      </c>
    </row>
    <row r="53" spans="2:18" ht="25.5">
      <c r="B53" s="137"/>
      <c r="C53" s="137"/>
      <c r="D53" s="64">
        <v>46</v>
      </c>
      <c r="E53" s="33" t="s">
        <v>93</v>
      </c>
      <c r="F53" s="64" t="s">
        <v>13</v>
      </c>
      <c r="G53" s="64" t="s">
        <v>94</v>
      </c>
      <c r="H53" s="64" t="s">
        <v>8</v>
      </c>
      <c r="I53" s="64" t="s">
        <v>11</v>
      </c>
      <c r="J53" s="33" t="s">
        <v>1552</v>
      </c>
      <c r="K53" s="65">
        <v>28307</v>
      </c>
      <c r="L53" s="66">
        <v>1977</v>
      </c>
      <c r="M53" s="66">
        <f t="shared" si="3"/>
        <v>42</v>
      </c>
      <c r="N53" s="64" t="s">
        <v>3</v>
      </c>
      <c r="O53" s="64" t="s">
        <v>1169</v>
      </c>
      <c r="P53" s="33" t="s">
        <v>1181</v>
      </c>
      <c r="Q53" s="64"/>
      <c r="R53" s="33" t="s">
        <v>1178</v>
      </c>
    </row>
    <row r="54" spans="2:18">
      <c r="B54" s="137">
        <v>18</v>
      </c>
      <c r="C54" s="137"/>
      <c r="D54" s="64">
        <v>47</v>
      </c>
      <c r="E54" s="33" t="s">
        <v>95</v>
      </c>
      <c r="F54" s="64" t="s">
        <v>6</v>
      </c>
      <c r="G54" s="64" t="s">
        <v>96</v>
      </c>
      <c r="H54" s="64" t="s">
        <v>1</v>
      </c>
      <c r="I54" s="64" t="s">
        <v>2</v>
      </c>
      <c r="J54" s="33"/>
      <c r="K54" s="65">
        <v>29951</v>
      </c>
      <c r="L54" s="66">
        <f t="shared" ref="L54:L56" si="4">YEAR(K54)</f>
        <v>1981</v>
      </c>
      <c r="M54" s="66">
        <f t="shared" si="3"/>
        <v>38</v>
      </c>
      <c r="N54" s="64" t="s">
        <v>3</v>
      </c>
      <c r="O54" s="64"/>
      <c r="P54" s="33" t="s">
        <v>28</v>
      </c>
      <c r="Q54" s="64"/>
      <c r="R54" s="33" t="s">
        <v>5</v>
      </c>
    </row>
    <row r="55" spans="2:18">
      <c r="B55" s="137"/>
      <c r="C55" s="137"/>
      <c r="D55" s="64">
        <v>48</v>
      </c>
      <c r="E55" s="33" t="s">
        <v>97</v>
      </c>
      <c r="F55" s="64" t="s">
        <v>9</v>
      </c>
      <c r="G55" s="64" t="s">
        <v>98</v>
      </c>
      <c r="H55" s="64" t="s">
        <v>8</v>
      </c>
      <c r="I55" s="64" t="s">
        <v>2</v>
      </c>
      <c r="J55" s="33"/>
      <c r="K55" s="65">
        <v>28125</v>
      </c>
      <c r="L55" s="66">
        <f t="shared" si="4"/>
        <v>1976</v>
      </c>
      <c r="M55" s="66">
        <f t="shared" si="3"/>
        <v>43</v>
      </c>
      <c r="N55" s="64" t="s">
        <v>3</v>
      </c>
      <c r="O55" s="64"/>
      <c r="P55" s="33" t="s">
        <v>28</v>
      </c>
      <c r="Q55" s="64"/>
      <c r="R55" s="33" t="s">
        <v>5</v>
      </c>
    </row>
    <row r="56" spans="2:18">
      <c r="B56" s="137"/>
      <c r="C56" s="137"/>
      <c r="D56" s="64">
        <v>49</v>
      </c>
      <c r="E56" s="33" t="s">
        <v>99</v>
      </c>
      <c r="F56" s="64" t="s">
        <v>13</v>
      </c>
      <c r="G56" s="64" t="s">
        <v>100</v>
      </c>
      <c r="H56" s="64" t="s">
        <v>1</v>
      </c>
      <c r="I56" s="64" t="s">
        <v>11</v>
      </c>
      <c r="J56" s="33"/>
      <c r="K56" s="65">
        <v>37027</v>
      </c>
      <c r="L56" s="66">
        <f t="shared" si="4"/>
        <v>2001</v>
      </c>
      <c r="M56" s="66">
        <f t="shared" si="3"/>
        <v>18</v>
      </c>
      <c r="N56" s="64" t="s">
        <v>3</v>
      </c>
      <c r="O56" s="64"/>
      <c r="P56" s="33" t="s">
        <v>28</v>
      </c>
      <c r="Q56" s="64"/>
      <c r="R56" s="33" t="s">
        <v>4</v>
      </c>
    </row>
    <row r="57" spans="2:18" ht="25.5">
      <c r="B57" s="137">
        <v>19</v>
      </c>
      <c r="C57" s="137" t="s">
        <v>1379</v>
      </c>
      <c r="D57" s="64">
        <v>50</v>
      </c>
      <c r="E57" s="33" t="s">
        <v>101</v>
      </c>
      <c r="F57" s="64" t="s">
        <v>6</v>
      </c>
      <c r="G57" s="64" t="s">
        <v>1327</v>
      </c>
      <c r="H57" s="64" t="s">
        <v>1</v>
      </c>
      <c r="I57" s="64" t="s">
        <v>2</v>
      </c>
      <c r="J57" s="33" t="s">
        <v>1166</v>
      </c>
      <c r="K57" s="65">
        <v>27579</v>
      </c>
      <c r="L57" s="66">
        <v>1975</v>
      </c>
      <c r="M57" s="66">
        <f t="shared" si="3"/>
        <v>44</v>
      </c>
      <c r="N57" s="64" t="s">
        <v>3</v>
      </c>
      <c r="O57" s="64" t="s">
        <v>1169</v>
      </c>
      <c r="P57" s="33" t="s">
        <v>1181</v>
      </c>
      <c r="Q57" s="64"/>
      <c r="R57" s="33" t="s">
        <v>1178</v>
      </c>
    </row>
    <row r="58" spans="2:18" ht="25.5">
      <c r="B58" s="137"/>
      <c r="C58" s="137"/>
      <c r="D58" s="64">
        <v>51</v>
      </c>
      <c r="E58" s="33" t="s">
        <v>102</v>
      </c>
      <c r="F58" s="64" t="s">
        <v>9</v>
      </c>
      <c r="G58" s="64" t="s">
        <v>103</v>
      </c>
      <c r="H58" s="64" t="s">
        <v>8</v>
      </c>
      <c r="I58" s="64" t="s">
        <v>2</v>
      </c>
      <c r="J58" s="33" t="s">
        <v>1172</v>
      </c>
      <c r="K58" s="65">
        <v>30133</v>
      </c>
      <c r="L58" s="66">
        <v>1982</v>
      </c>
      <c r="M58" s="66">
        <f t="shared" si="3"/>
        <v>37</v>
      </c>
      <c r="N58" s="64" t="s">
        <v>3</v>
      </c>
      <c r="O58" s="64" t="s">
        <v>1169</v>
      </c>
      <c r="P58" s="33" t="s">
        <v>1181</v>
      </c>
      <c r="Q58" s="64"/>
      <c r="R58" s="33" t="s">
        <v>1168</v>
      </c>
    </row>
    <row r="59" spans="2:18" ht="25.5">
      <c r="B59" s="137"/>
      <c r="C59" s="137"/>
      <c r="D59" s="64">
        <v>52</v>
      </c>
      <c r="E59" s="33" t="s">
        <v>104</v>
      </c>
      <c r="F59" s="64" t="s">
        <v>13</v>
      </c>
      <c r="G59" s="64" t="s">
        <v>1328</v>
      </c>
      <c r="H59" s="64" t="s">
        <v>1</v>
      </c>
      <c r="I59" s="64" t="s">
        <v>11</v>
      </c>
      <c r="J59" s="33" t="s">
        <v>1172</v>
      </c>
      <c r="K59" s="65">
        <v>37570</v>
      </c>
      <c r="L59" s="66">
        <v>2002</v>
      </c>
      <c r="M59" s="66">
        <f t="shared" si="3"/>
        <v>17</v>
      </c>
      <c r="N59" s="64" t="s">
        <v>3</v>
      </c>
      <c r="O59" s="64" t="s">
        <v>1169</v>
      </c>
      <c r="P59" s="33" t="s">
        <v>1176</v>
      </c>
      <c r="Q59" s="64"/>
      <c r="R59" s="33" t="s">
        <v>1192</v>
      </c>
    </row>
    <row r="60" spans="2:18" ht="25.5">
      <c r="B60" s="137"/>
      <c r="C60" s="137"/>
      <c r="D60" s="64">
        <v>53</v>
      </c>
      <c r="E60" s="33" t="s">
        <v>1326</v>
      </c>
      <c r="F60" s="64" t="s">
        <v>13</v>
      </c>
      <c r="G60" s="64" t="s">
        <v>1329</v>
      </c>
      <c r="H60" s="64" t="s">
        <v>8</v>
      </c>
      <c r="I60" s="64" t="s">
        <v>11</v>
      </c>
      <c r="J60" s="33" t="s">
        <v>1172</v>
      </c>
      <c r="K60" s="65">
        <v>39604</v>
      </c>
      <c r="L60" s="66">
        <v>2008</v>
      </c>
      <c r="M60" s="66">
        <f t="shared" si="3"/>
        <v>11</v>
      </c>
      <c r="N60" s="64" t="s">
        <v>3</v>
      </c>
      <c r="O60" s="64" t="s">
        <v>1169</v>
      </c>
      <c r="P60" s="33" t="s">
        <v>1176</v>
      </c>
      <c r="Q60" s="64"/>
      <c r="R60" s="33" t="s">
        <v>1192</v>
      </c>
    </row>
    <row r="61" spans="2:18" ht="25.5">
      <c r="B61" s="137"/>
      <c r="C61" s="137"/>
      <c r="D61" s="64">
        <v>54</v>
      </c>
      <c r="E61" s="33" t="s">
        <v>1707</v>
      </c>
      <c r="F61" s="64" t="s">
        <v>13</v>
      </c>
      <c r="G61" s="64" t="s">
        <v>1708</v>
      </c>
      <c r="H61" s="64" t="s">
        <v>1</v>
      </c>
      <c r="I61" s="64" t="s">
        <v>11</v>
      </c>
      <c r="J61" s="33" t="s">
        <v>1166</v>
      </c>
      <c r="K61" s="65">
        <v>43272</v>
      </c>
      <c r="L61" s="66">
        <v>2018</v>
      </c>
      <c r="M61" s="66">
        <f t="shared" si="3"/>
        <v>1</v>
      </c>
      <c r="N61" s="64" t="s">
        <v>3</v>
      </c>
      <c r="O61" s="64" t="s">
        <v>1169</v>
      </c>
      <c r="P61" s="33" t="s">
        <v>1177</v>
      </c>
      <c r="Q61" s="64"/>
      <c r="R61" s="33" t="s">
        <v>1192</v>
      </c>
    </row>
    <row r="62" spans="2:18">
      <c r="B62" s="137">
        <v>20</v>
      </c>
      <c r="C62" s="137"/>
      <c r="D62" s="64">
        <v>55</v>
      </c>
      <c r="E62" s="33" t="s">
        <v>105</v>
      </c>
      <c r="F62" s="64" t="s">
        <v>6</v>
      </c>
      <c r="G62" s="64" t="s">
        <v>106</v>
      </c>
      <c r="H62" s="64" t="s">
        <v>8</v>
      </c>
      <c r="I62" s="64" t="s">
        <v>18</v>
      </c>
      <c r="J62" s="33"/>
      <c r="K62" s="65">
        <v>16437</v>
      </c>
      <c r="L62" s="66">
        <f t="shared" ref="L62:L63" si="5">YEAR(K62)</f>
        <v>1944</v>
      </c>
      <c r="M62" s="66">
        <f t="shared" si="3"/>
        <v>75</v>
      </c>
      <c r="N62" s="64" t="s">
        <v>3</v>
      </c>
      <c r="O62" s="64"/>
      <c r="P62" s="33" t="s">
        <v>4</v>
      </c>
      <c r="Q62" s="64"/>
      <c r="R62" s="33" t="s">
        <v>4</v>
      </c>
    </row>
    <row r="63" spans="2:18">
      <c r="B63" s="137"/>
      <c r="C63" s="137"/>
      <c r="D63" s="64">
        <v>56</v>
      </c>
      <c r="E63" s="33" t="s">
        <v>107</v>
      </c>
      <c r="F63" s="64" t="s">
        <v>13</v>
      </c>
      <c r="G63" s="64" t="s">
        <v>108</v>
      </c>
      <c r="H63" s="64" t="s">
        <v>1</v>
      </c>
      <c r="I63" s="64" t="s">
        <v>18</v>
      </c>
      <c r="J63" s="33"/>
      <c r="K63" s="65">
        <v>28855</v>
      </c>
      <c r="L63" s="66">
        <f t="shared" si="5"/>
        <v>1978</v>
      </c>
      <c r="M63" s="66">
        <f t="shared" si="3"/>
        <v>41</v>
      </c>
      <c r="N63" s="64" t="s">
        <v>3</v>
      </c>
      <c r="O63" s="64"/>
      <c r="P63" s="33" t="s">
        <v>16</v>
      </c>
      <c r="Q63" s="64"/>
      <c r="R63" s="33" t="s">
        <v>80</v>
      </c>
    </row>
    <row r="64" spans="2:18">
      <c r="B64" s="137">
        <v>21</v>
      </c>
      <c r="C64" s="137" t="s">
        <v>1225</v>
      </c>
      <c r="D64" s="64">
        <v>57</v>
      </c>
      <c r="E64" s="33" t="s">
        <v>109</v>
      </c>
      <c r="F64" s="64" t="s">
        <v>6</v>
      </c>
      <c r="G64" s="64" t="s">
        <v>110</v>
      </c>
      <c r="H64" s="64" t="s">
        <v>1</v>
      </c>
      <c r="I64" s="64" t="s">
        <v>2</v>
      </c>
      <c r="J64" s="33" t="s">
        <v>1166</v>
      </c>
      <c r="K64" s="65">
        <v>21550</v>
      </c>
      <c r="L64" s="66">
        <v>1958</v>
      </c>
      <c r="M64" s="66">
        <f t="shared" si="3"/>
        <v>61</v>
      </c>
      <c r="N64" s="64" t="s">
        <v>3</v>
      </c>
      <c r="O64" s="64" t="s">
        <v>1169</v>
      </c>
      <c r="P64" s="33" t="s">
        <v>1181</v>
      </c>
      <c r="Q64" s="64"/>
      <c r="R64" s="33" t="s">
        <v>85</v>
      </c>
    </row>
    <row r="65" spans="2:18">
      <c r="B65" s="137"/>
      <c r="C65" s="137"/>
      <c r="D65" s="64">
        <v>58</v>
      </c>
      <c r="E65" s="33" t="s">
        <v>794</v>
      </c>
      <c r="F65" s="64" t="s">
        <v>9</v>
      </c>
      <c r="G65" s="64" t="s">
        <v>111</v>
      </c>
      <c r="H65" s="64" t="s">
        <v>8</v>
      </c>
      <c r="I65" s="64" t="s">
        <v>2</v>
      </c>
      <c r="J65" s="33" t="s">
        <v>1198</v>
      </c>
      <c r="K65" s="65">
        <v>27759</v>
      </c>
      <c r="L65" s="66">
        <v>1975</v>
      </c>
      <c r="M65" s="66">
        <f t="shared" si="3"/>
        <v>44</v>
      </c>
      <c r="N65" s="64" t="s">
        <v>3</v>
      </c>
      <c r="O65" s="64" t="s">
        <v>1169</v>
      </c>
      <c r="P65" s="33" t="s">
        <v>1181</v>
      </c>
      <c r="Q65" s="64"/>
      <c r="R65" s="33" t="s">
        <v>85</v>
      </c>
    </row>
    <row r="66" spans="2:18">
      <c r="B66" s="137"/>
      <c r="C66" s="137"/>
      <c r="D66" s="64">
        <v>59</v>
      </c>
      <c r="E66" s="33" t="s">
        <v>112</v>
      </c>
      <c r="F66" s="64" t="s">
        <v>13</v>
      </c>
      <c r="G66" s="64" t="s">
        <v>113</v>
      </c>
      <c r="H66" s="64" t="s">
        <v>1</v>
      </c>
      <c r="I66" s="64" t="s">
        <v>11</v>
      </c>
      <c r="J66" s="33" t="s">
        <v>1166</v>
      </c>
      <c r="K66" s="65">
        <v>36400</v>
      </c>
      <c r="L66" s="66">
        <v>1999</v>
      </c>
      <c r="M66" s="66">
        <f t="shared" si="3"/>
        <v>20</v>
      </c>
      <c r="N66" s="64" t="s">
        <v>3</v>
      </c>
      <c r="O66" s="64" t="s">
        <v>1169</v>
      </c>
      <c r="P66" s="33" t="s">
        <v>1181</v>
      </c>
      <c r="Q66" s="64"/>
      <c r="R66" s="33" t="s">
        <v>1175</v>
      </c>
    </row>
    <row r="67" spans="2:18" ht="25.5">
      <c r="B67" s="137"/>
      <c r="C67" s="137"/>
      <c r="D67" s="64">
        <v>60</v>
      </c>
      <c r="E67" s="33" t="s">
        <v>1226</v>
      </c>
      <c r="F67" s="64" t="s">
        <v>13</v>
      </c>
      <c r="G67" s="64" t="s">
        <v>114</v>
      </c>
      <c r="H67" s="64" t="s">
        <v>8</v>
      </c>
      <c r="I67" s="64" t="s">
        <v>11</v>
      </c>
      <c r="J67" s="33" t="s">
        <v>1166</v>
      </c>
      <c r="K67" s="65">
        <v>40302</v>
      </c>
      <c r="L67" s="66">
        <v>2010</v>
      </c>
      <c r="M67" s="66">
        <f t="shared" si="3"/>
        <v>9</v>
      </c>
      <c r="N67" s="64" t="s">
        <v>3</v>
      </c>
      <c r="O67" s="64" t="s">
        <v>1169</v>
      </c>
      <c r="P67" s="33" t="s">
        <v>1177</v>
      </c>
      <c r="Q67" s="64"/>
      <c r="R67" s="33" t="s">
        <v>1192</v>
      </c>
    </row>
    <row r="68" spans="2:18">
      <c r="B68" s="137">
        <v>22</v>
      </c>
      <c r="C68" s="137"/>
      <c r="D68" s="64">
        <v>61</v>
      </c>
      <c r="E68" s="33" t="s">
        <v>115</v>
      </c>
      <c r="F68" s="64" t="s">
        <v>6</v>
      </c>
      <c r="G68" s="64" t="s">
        <v>117</v>
      </c>
      <c r="H68" s="64" t="s">
        <v>1</v>
      </c>
      <c r="I68" s="64" t="s">
        <v>2</v>
      </c>
      <c r="J68" s="33"/>
      <c r="K68" s="65">
        <v>29951</v>
      </c>
      <c r="L68" s="66">
        <f t="shared" ref="L68:L71" si="6">YEAR(K68)</f>
        <v>1981</v>
      </c>
      <c r="M68" s="66">
        <f t="shared" si="3"/>
        <v>38</v>
      </c>
      <c r="N68" s="64" t="s">
        <v>3</v>
      </c>
      <c r="O68" s="64"/>
      <c r="P68" s="33" t="s">
        <v>116</v>
      </c>
      <c r="Q68" s="64"/>
      <c r="R68" s="33" t="s">
        <v>85</v>
      </c>
    </row>
    <row r="69" spans="2:18">
      <c r="B69" s="137"/>
      <c r="C69" s="137"/>
      <c r="D69" s="64">
        <v>62</v>
      </c>
      <c r="E69" s="33" t="s">
        <v>118</v>
      </c>
      <c r="F69" s="64" t="s">
        <v>9</v>
      </c>
      <c r="G69" s="64" t="s">
        <v>120</v>
      </c>
      <c r="H69" s="64" t="s">
        <v>8</v>
      </c>
      <c r="I69" s="64" t="s">
        <v>2</v>
      </c>
      <c r="J69" s="33"/>
      <c r="K69" s="65">
        <v>29453</v>
      </c>
      <c r="L69" s="66">
        <f t="shared" si="6"/>
        <v>1980</v>
      </c>
      <c r="M69" s="66">
        <f t="shared" si="3"/>
        <v>39</v>
      </c>
      <c r="N69" s="64" t="s">
        <v>3</v>
      </c>
      <c r="O69" s="64"/>
      <c r="P69" s="33" t="s">
        <v>116</v>
      </c>
      <c r="Q69" s="64"/>
      <c r="R69" s="33" t="s">
        <v>119</v>
      </c>
    </row>
    <row r="70" spans="2:18" ht="25.5">
      <c r="B70" s="137"/>
      <c r="C70" s="137"/>
      <c r="D70" s="64">
        <v>63</v>
      </c>
      <c r="E70" s="33" t="s">
        <v>121</v>
      </c>
      <c r="F70" s="64" t="s">
        <v>13</v>
      </c>
      <c r="G70" s="64" t="s">
        <v>122</v>
      </c>
      <c r="H70" s="64" t="s">
        <v>1</v>
      </c>
      <c r="I70" s="64" t="s">
        <v>11</v>
      </c>
      <c r="J70" s="33"/>
      <c r="K70" s="65">
        <v>39615</v>
      </c>
      <c r="L70" s="66">
        <f t="shared" si="6"/>
        <v>2008</v>
      </c>
      <c r="M70" s="66">
        <f t="shared" si="3"/>
        <v>11</v>
      </c>
      <c r="N70" s="64" t="s">
        <v>3</v>
      </c>
      <c r="O70" s="64"/>
      <c r="P70" s="33" t="s">
        <v>4</v>
      </c>
      <c r="Q70" s="64"/>
      <c r="R70" s="33" t="s">
        <v>4</v>
      </c>
    </row>
    <row r="71" spans="2:18" ht="25.5">
      <c r="B71" s="137"/>
      <c r="C71" s="137"/>
      <c r="D71" s="64">
        <v>64</v>
      </c>
      <c r="E71" s="33" t="s">
        <v>123</v>
      </c>
      <c r="F71" s="64" t="s">
        <v>13</v>
      </c>
      <c r="G71" s="64" t="s">
        <v>124</v>
      </c>
      <c r="H71" s="64" t="s">
        <v>8</v>
      </c>
      <c r="I71" s="64" t="s">
        <v>11</v>
      </c>
      <c r="J71" s="33"/>
      <c r="K71" s="65">
        <v>41852</v>
      </c>
      <c r="L71" s="66">
        <f t="shared" si="6"/>
        <v>2014</v>
      </c>
      <c r="M71" s="66">
        <f t="shared" si="3"/>
        <v>5</v>
      </c>
      <c r="N71" s="64" t="s">
        <v>3</v>
      </c>
      <c r="O71" s="64"/>
      <c r="P71" s="33" t="s">
        <v>4</v>
      </c>
      <c r="Q71" s="64"/>
      <c r="R71" s="33" t="s">
        <v>4</v>
      </c>
    </row>
    <row r="72" spans="2:18">
      <c r="B72" s="137">
        <v>23</v>
      </c>
      <c r="C72" s="137" t="s">
        <v>1265</v>
      </c>
      <c r="D72" s="64">
        <v>65</v>
      </c>
      <c r="E72" s="33" t="s">
        <v>125</v>
      </c>
      <c r="F72" s="64" t="s">
        <v>6</v>
      </c>
      <c r="G72" s="64" t="s">
        <v>127</v>
      </c>
      <c r="H72" s="64" t="s">
        <v>1</v>
      </c>
      <c r="I72" s="64" t="s">
        <v>2</v>
      </c>
      <c r="J72" s="33" t="s">
        <v>1166</v>
      </c>
      <c r="K72" s="65">
        <v>20820</v>
      </c>
      <c r="L72" s="66">
        <v>1956</v>
      </c>
      <c r="M72" s="66">
        <f t="shared" ref="M72:M92" si="7">2019-L72</f>
        <v>63</v>
      </c>
      <c r="N72" s="64" t="s">
        <v>3</v>
      </c>
      <c r="O72" s="64" t="s">
        <v>1169</v>
      </c>
      <c r="P72" s="33" t="s">
        <v>1181</v>
      </c>
      <c r="Q72" s="64"/>
      <c r="R72" s="33" t="s">
        <v>1167</v>
      </c>
    </row>
    <row r="73" spans="2:18">
      <c r="B73" s="137"/>
      <c r="C73" s="137"/>
      <c r="D73" s="64">
        <v>66</v>
      </c>
      <c r="E73" s="33" t="s">
        <v>1266</v>
      </c>
      <c r="F73" s="64" t="s">
        <v>9</v>
      </c>
      <c r="G73" s="64" t="s">
        <v>128</v>
      </c>
      <c r="H73" s="64" t="s">
        <v>8</v>
      </c>
      <c r="I73" s="64" t="s">
        <v>2</v>
      </c>
      <c r="J73" s="33" t="s">
        <v>1166</v>
      </c>
      <c r="K73" s="65">
        <v>26664</v>
      </c>
      <c r="L73" s="66">
        <v>1972</v>
      </c>
      <c r="M73" s="66">
        <f t="shared" si="7"/>
        <v>47</v>
      </c>
      <c r="N73" s="64" t="s">
        <v>3</v>
      </c>
      <c r="O73" s="64" t="s">
        <v>1169</v>
      </c>
      <c r="P73" s="33" t="s">
        <v>1181</v>
      </c>
      <c r="Q73" s="64"/>
      <c r="R73" s="33" t="s">
        <v>1167</v>
      </c>
    </row>
    <row r="74" spans="2:18">
      <c r="B74" s="137"/>
      <c r="C74" s="137"/>
      <c r="D74" s="64">
        <v>67</v>
      </c>
      <c r="E74" s="33" t="s">
        <v>129</v>
      </c>
      <c r="F74" s="64" t="s">
        <v>13</v>
      </c>
      <c r="G74" s="64" t="s">
        <v>130</v>
      </c>
      <c r="H74" s="64" t="s">
        <v>1</v>
      </c>
      <c r="I74" s="64" t="s">
        <v>11</v>
      </c>
      <c r="J74" s="33" t="s">
        <v>1166</v>
      </c>
      <c r="K74" s="65">
        <v>33969</v>
      </c>
      <c r="L74" s="66">
        <v>1992</v>
      </c>
      <c r="M74" s="66">
        <f t="shared" si="7"/>
        <v>27</v>
      </c>
      <c r="N74" s="64" t="s">
        <v>3</v>
      </c>
      <c r="O74" s="64" t="s">
        <v>1169</v>
      </c>
      <c r="P74" s="33" t="s">
        <v>1174</v>
      </c>
      <c r="Q74" s="64"/>
      <c r="R74" s="33" t="s">
        <v>1175</v>
      </c>
    </row>
    <row r="75" spans="2:18">
      <c r="B75" s="137"/>
      <c r="C75" s="137"/>
      <c r="D75" s="64">
        <v>68</v>
      </c>
      <c r="E75" s="33" t="s">
        <v>131</v>
      </c>
      <c r="F75" s="64" t="s">
        <v>13</v>
      </c>
      <c r="G75" s="64" t="s">
        <v>132</v>
      </c>
      <c r="H75" s="64" t="s">
        <v>1</v>
      </c>
      <c r="I75" s="64" t="s">
        <v>11</v>
      </c>
      <c r="J75" s="33" t="s">
        <v>1166</v>
      </c>
      <c r="K75" s="65">
        <v>35064</v>
      </c>
      <c r="L75" s="66">
        <v>1995</v>
      </c>
      <c r="M75" s="66">
        <f t="shared" si="7"/>
        <v>24</v>
      </c>
      <c r="N75" s="64" t="s">
        <v>3</v>
      </c>
      <c r="O75" s="64" t="s">
        <v>1169</v>
      </c>
      <c r="P75" s="33" t="s">
        <v>1174</v>
      </c>
      <c r="Q75" s="64"/>
      <c r="R75" s="33" t="s">
        <v>1175</v>
      </c>
    </row>
    <row r="76" spans="2:18">
      <c r="B76" s="137"/>
      <c r="C76" s="137"/>
      <c r="D76" s="64">
        <v>69</v>
      </c>
      <c r="E76" s="33" t="s">
        <v>133</v>
      </c>
      <c r="F76" s="64" t="s">
        <v>13</v>
      </c>
      <c r="G76" s="64" t="s">
        <v>134</v>
      </c>
      <c r="H76" s="64" t="s">
        <v>1</v>
      </c>
      <c r="I76" s="64" t="s">
        <v>11</v>
      </c>
      <c r="J76" s="33" t="s">
        <v>1166</v>
      </c>
      <c r="K76" s="65">
        <v>36708</v>
      </c>
      <c r="L76" s="66">
        <v>2000</v>
      </c>
      <c r="M76" s="66">
        <f t="shared" si="7"/>
        <v>19</v>
      </c>
      <c r="N76" s="64" t="s">
        <v>3</v>
      </c>
      <c r="O76" s="64" t="s">
        <v>1169</v>
      </c>
      <c r="P76" s="33" t="s">
        <v>1174</v>
      </c>
      <c r="Q76" s="64"/>
      <c r="R76" s="33" t="s">
        <v>1175</v>
      </c>
    </row>
    <row r="77" spans="2:18" ht="38.25">
      <c r="B77" s="137"/>
      <c r="C77" s="137"/>
      <c r="D77" s="64">
        <v>70</v>
      </c>
      <c r="E77" s="33" t="s">
        <v>135</v>
      </c>
      <c r="F77" s="64" t="s">
        <v>13</v>
      </c>
      <c r="G77" s="64" t="s">
        <v>136</v>
      </c>
      <c r="H77" s="64" t="s">
        <v>1</v>
      </c>
      <c r="I77" s="64" t="s">
        <v>11</v>
      </c>
      <c r="J77" s="33" t="s">
        <v>1166</v>
      </c>
      <c r="K77" s="65">
        <v>38169</v>
      </c>
      <c r="L77" s="66">
        <v>2004</v>
      </c>
      <c r="M77" s="66">
        <f t="shared" si="7"/>
        <v>15</v>
      </c>
      <c r="N77" s="64" t="s">
        <v>3</v>
      </c>
      <c r="O77" s="64" t="s">
        <v>1169</v>
      </c>
      <c r="P77" s="33" t="s">
        <v>1181</v>
      </c>
      <c r="Q77" s="64"/>
      <c r="R77" s="33" t="s">
        <v>1175</v>
      </c>
    </row>
    <row r="78" spans="2:18" s="59" customFormat="1" ht="25.5">
      <c r="B78" s="64">
        <v>24</v>
      </c>
      <c r="C78" s="64" t="s">
        <v>1566</v>
      </c>
      <c r="D78" s="64">
        <v>71</v>
      </c>
      <c r="E78" s="33" t="s">
        <v>137</v>
      </c>
      <c r="F78" s="64" t="s">
        <v>6</v>
      </c>
      <c r="G78" s="64" t="s">
        <v>138</v>
      </c>
      <c r="H78" s="64" t="s">
        <v>8</v>
      </c>
      <c r="I78" s="64" t="s">
        <v>1221</v>
      </c>
      <c r="J78" s="33" t="s">
        <v>1172</v>
      </c>
      <c r="K78" s="65">
        <v>16619</v>
      </c>
      <c r="L78" s="66">
        <v>1945</v>
      </c>
      <c r="M78" s="66">
        <f>2019-L78</f>
        <v>74</v>
      </c>
      <c r="N78" s="64" t="s">
        <v>3</v>
      </c>
      <c r="O78" s="64" t="s">
        <v>1169</v>
      </c>
      <c r="P78" s="33" t="s">
        <v>1199</v>
      </c>
      <c r="Q78" s="64"/>
      <c r="R78" s="33" t="s">
        <v>1178</v>
      </c>
    </row>
    <row r="79" spans="2:18">
      <c r="B79" s="137">
        <v>25</v>
      </c>
      <c r="C79" s="137"/>
      <c r="D79" s="64">
        <v>72</v>
      </c>
      <c r="E79" s="33" t="s">
        <v>141</v>
      </c>
      <c r="F79" s="64" t="s">
        <v>6</v>
      </c>
      <c r="G79" s="64">
        <v>0</v>
      </c>
      <c r="H79" s="64" t="s">
        <v>1</v>
      </c>
      <c r="I79" s="64" t="s">
        <v>2</v>
      </c>
      <c r="J79" s="33"/>
      <c r="K79" s="65">
        <v>28855</v>
      </c>
      <c r="L79" s="66">
        <f t="shared" ref="L79:L93" si="8">YEAR(K79)</f>
        <v>1978</v>
      </c>
      <c r="M79" s="66">
        <f t="shared" si="7"/>
        <v>41</v>
      </c>
      <c r="N79" s="64" t="s">
        <v>142</v>
      </c>
      <c r="O79" s="64"/>
      <c r="P79" s="33" t="s">
        <v>12</v>
      </c>
      <c r="Q79" s="64"/>
      <c r="R79" s="33" t="s">
        <v>5</v>
      </c>
    </row>
    <row r="80" spans="2:18">
      <c r="B80" s="137"/>
      <c r="C80" s="137"/>
      <c r="D80" s="64">
        <v>73</v>
      </c>
      <c r="E80" s="33" t="s">
        <v>143</v>
      </c>
      <c r="F80" s="64" t="s">
        <v>9</v>
      </c>
      <c r="G80" s="64">
        <v>0</v>
      </c>
      <c r="H80" s="64" t="s">
        <v>8</v>
      </c>
      <c r="I80" s="64" t="s">
        <v>2</v>
      </c>
      <c r="J80" s="33"/>
      <c r="K80" s="65">
        <v>28855</v>
      </c>
      <c r="L80" s="66">
        <f t="shared" si="8"/>
        <v>1978</v>
      </c>
      <c r="M80" s="66">
        <f t="shared" si="7"/>
        <v>41</v>
      </c>
      <c r="N80" s="64" t="s">
        <v>3</v>
      </c>
      <c r="O80" s="64"/>
      <c r="P80" s="33" t="s">
        <v>12</v>
      </c>
      <c r="Q80" s="64"/>
      <c r="R80" s="33" t="s">
        <v>5</v>
      </c>
    </row>
    <row r="81" spans="2:18">
      <c r="B81" s="137"/>
      <c r="C81" s="137"/>
      <c r="D81" s="64">
        <v>74</v>
      </c>
      <c r="E81" s="33" t="s">
        <v>144</v>
      </c>
      <c r="F81" s="64" t="s">
        <v>13</v>
      </c>
      <c r="G81" s="64">
        <v>0</v>
      </c>
      <c r="H81" s="64" t="s">
        <v>1</v>
      </c>
      <c r="I81" s="64" t="s">
        <v>11</v>
      </c>
      <c r="J81" s="33"/>
      <c r="K81" s="65">
        <v>42223</v>
      </c>
      <c r="L81" s="66">
        <f t="shared" si="8"/>
        <v>2015</v>
      </c>
      <c r="M81" s="66">
        <f t="shared" si="7"/>
        <v>4</v>
      </c>
      <c r="N81" s="64" t="s">
        <v>3</v>
      </c>
      <c r="O81" s="64"/>
      <c r="P81" s="33" t="s">
        <v>4</v>
      </c>
      <c r="Q81" s="64"/>
      <c r="R81" s="33" t="s">
        <v>4</v>
      </c>
    </row>
    <row r="82" spans="2:18">
      <c r="B82" s="137">
        <v>26</v>
      </c>
      <c r="C82" s="137"/>
      <c r="D82" s="64">
        <v>75</v>
      </c>
      <c r="E82" s="33" t="s">
        <v>145</v>
      </c>
      <c r="F82" s="64" t="s">
        <v>6</v>
      </c>
      <c r="G82" s="64" t="s">
        <v>146</v>
      </c>
      <c r="H82" s="64" t="s">
        <v>1</v>
      </c>
      <c r="I82" s="64" t="s">
        <v>2</v>
      </c>
      <c r="J82" s="33"/>
      <c r="K82" s="65">
        <v>22029</v>
      </c>
      <c r="L82" s="66">
        <f t="shared" si="8"/>
        <v>1960</v>
      </c>
      <c r="M82" s="66">
        <f t="shared" si="7"/>
        <v>59</v>
      </c>
      <c r="N82" s="64" t="s">
        <v>3</v>
      </c>
      <c r="O82" s="64"/>
      <c r="P82" s="33" t="s">
        <v>4</v>
      </c>
      <c r="Q82" s="64"/>
      <c r="R82" s="33" t="s">
        <v>5</v>
      </c>
    </row>
    <row r="83" spans="2:18">
      <c r="B83" s="137"/>
      <c r="C83" s="137"/>
      <c r="D83" s="64">
        <v>76</v>
      </c>
      <c r="E83" s="33" t="s">
        <v>147</v>
      </c>
      <c r="F83" s="64" t="s">
        <v>9</v>
      </c>
      <c r="G83" s="64" t="s">
        <v>148</v>
      </c>
      <c r="H83" s="64" t="s">
        <v>8</v>
      </c>
      <c r="I83" s="64" t="s">
        <v>2</v>
      </c>
      <c r="J83" s="33"/>
      <c r="K83" s="65">
        <v>24101</v>
      </c>
      <c r="L83" s="66">
        <f>YEAR(K83)</f>
        <v>1965</v>
      </c>
      <c r="M83" s="66">
        <f t="shared" si="7"/>
        <v>54</v>
      </c>
      <c r="N83" s="64" t="s">
        <v>3</v>
      </c>
      <c r="O83" s="64"/>
      <c r="P83" s="33" t="s">
        <v>4</v>
      </c>
      <c r="Q83" s="64"/>
      <c r="R83" s="33" t="s">
        <v>5</v>
      </c>
    </row>
    <row r="84" spans="2:18">
      <c r="B84" s="137"/>
      <c r="C84" s="137"/>
      <c r="D84" s="64">
        <v>77</v>
      </c>
      <c r="E84" s="33" t="s">
        <v>149</v>
      </c>
      <c r="F84" s="64" t="s">
        <v>13</v>
      </c>
      <c r="G84" s="64" t="s">
        <v>151</v>
      </c>
      <c r="H84" s="64" t="s">
        <v>8</v>
      </c>
      <c r="I84" s="64" t="s">
        <v>150</v>
      </c>
      <c r="J84" s="33"/>
      <c r="K84" s="65">
        <v>29570</v>
      </c>
      <c r="L84" s="66">
        <f t="shared" si="8"/>
        <v>1980</v>
      </c>
      <c r="M84" s="66">
        <f t="shared" si="7"/>
        <v>39</v>
      </c>
      <c r="N84" s="64" t="s">
        <v>3</v>
      </c>
      <c r="O84" s="64"/>
      <c r="P84" s="33" t="s">
        <v>116</v>
      </c>
      <c r="Q84" s="64"/>
      <c r="R84" s="33" t="s">
        <v>85</v>
      </c>
    </row>
    <row r="85" spans="2:18">
      <c r="B85" s="137"/>
      <c r="C85" s="137"/>
      <c r="D85" s="64">
        <v>78</v>
      </c>
      <c r="E85" s="33" t="s">
        <v>152</v>
      </c>
      <c r="F85" s="64" t="s">
        <v>13</v>
      </c>
      <c r="G85" s="64" t="s">
        <v>153</v>
      </c>
      <c r="H85" s="64" t="s">
        <v>8</v>
      </c>
      <c r="I85" s="64" t="s">
        <v>150</v>
      </c>
      <c r="J85" s="33"/>
      <c r="K85" s="65">
        <v>33875</v>
      </c>
      <c r="L85" s="66">
        <f t="shared" si="8"/>
        <v>1992</v>
      </c>
      <c r="M85" s="66">
        <f t="shared" si="7"/>
        <v>27</v>
      </c>
      <c r="N85" s="64" t="s">
        <v>3</v>
      </c>
      <c r="O85" s="64"/>
      <c r="P85" s="33" t="s">
        <v>12</v>
      </c>
      <c r="Q85" s="64"/>
      <c r="R85" s="33" t="s">
        <v>4</v>
      </c>
    </row>
    <row r="86" spans="2:18">
      <c r="B86" s="137"/>
      <c r="C86" s="137"/>
      <c r="D86" s="64">
        <v>79</v>
      </c>
      <c r="E86" s="33" t="s">
        <v>154</v>
      </c>
      <c r="F86" s="64" t="s">
        <v>13</v>
      </c>
      <c r="G86" s="64" t="s">
        <v>155</v>
      </c>
      <c r="H86" s="64" t="s">
        <v>1</v>
      </c>
      <c r="I86" s="64" t="s">
        <v>11</v>
      </c>
      <c r="J86" s="33"/>
      <c r="K86" s="65">
        <v>32485</v>
      </c>
      <c r="L86" s="66">
        <f t="shared" si="8"/>
        <v>1988</v>
      </c>
      <c r="M86" s="66">
        <f t="shared" si="7"/>
        <v>31</v>
      </c>
      <c r="N86" s="64" t="s">
        <v>3</v>
      </c>
      <c r="O86" s="64"/>
      <c r="P86" s="33" t="s">
        <v>12</v>
      </c>
      <c r="Q86" s="64"/>
      <c r="R86" s="33" t="s">
        <v>4</v>
      </c>
    </row>
    <row r="87" spans="2:18">
      <c r="B87" s="137">
        <v>27</v>
      </c>
      <c r="C87" s="137"/>
      <c r="D87" s="64">
        <v>80</v>
      </c>
      <c r="E87" s="33" t="s">
        <v>156</v>
      </c>
      <c r="F87" s="64" t="s">
        <v>6</v>
      </c>
      <c r="G87" s="64">
        <v>0</v>
      </c>
      <c r="H87" s="64" t="s">
        <v>1</v>
      </c>
      <c r="I87" s="64" t="s">
        <v>2</v>
      </c>
      <c r="J87" s="33"/>
      <c r="K87" s="65">
        <v>27029</v>
      </c>
      <c r="L87" s="66">
        <f t="shared" si="8"/>
        <v>1973</v>
      </c>
      <c r="M87" s="66">
        <f t="shared" si="7"/>
        <v>46</v>
      </c>
      <c r="N87" s="64" t="s">
        <v>3</v>
      </c>
      <c r="O87" s="64"/>
      <c r="P87" s="33" t="s">
        <v>16</v>
      </c>
      <c r="Q87" s="64"/>
      <c r="R87" s="33" t="s">
        <v>80</v>
      </c>
    </row>
    <row r="88" spans="2:18">
      <c r="B88" s="137"/>
      <c r="C88" s="137"/>
      <c r="D88" s="64">
        <v>81</v>
      </c>
      <c r="E88" s="33" t="s">
        <v>15</v>
      </c>
      <c r="F88" s="64" t="s">
        <v>9</v>
      </c>
      <c r="G88" s="64">
        <v>0</v>
      </c>
      <c r="H88" s="64" t="s">
        <v>31</v>
      </c>
      <c r="I88" s="64" t="s">
        <v>2</v>
      </c>
      <c r="J88" s="33"/>
      <c r="K88" s="65">
        <v>27759</v>
      </c>
      <c r="L88" s="66">
        <f t="shared" si="8"/>
        <v>1975</v>
      </c>
      <c r="M88" s="66">
        <f t="shared" si="7"/>
        <v>44</v>
      </c>
      <c r="N88" s="64" t="s">
        <v>3</v>
      </c>
      <c r="O88" s="64"/>
      <c r="P88" s="33" t="s">
        <v>12</v>
      </c>
      <c r="Q88" s="64"/>
      <c r="R88" s="33" t="s">
        <v>4</v>
      </c>
    </row>
    <row r="89" spans="2:18">
      <c r="B89" s="137"/>
      <c r="C89" s="137"/>
      <c r="D89" s="64">
        <v>82</v>
      </c>
      <c r="E89" s="33" t="s">
        <v>157</v>
      </c>
      <c r="F89" s="64" t="s">
        <v>13</v>
      </c>
      <c r="G89" s="64">
        <v>0</v>
      </c>
      <c r="H89" s="64" t="s">
        <v>1</v>
      </c>
      <c r="I89" s="64" t="s">
        <v>11</v>
      </c>
      <c r="J89" s="33"/>
      <c r="K89" s="65">
        <v>36624</v>
      </c>
      <c r="L89" s="66">
        <f t="shared" si="8"/>
        <v>2000</v>
      </c>
      <c r="M89" s="66">
        <f t="shared" si="7"/>
        <v>19</v>
      </c>
      <c r="N89" s="64" t="s">
        <v>3</v>
      </c>
      <c r="O89" s="64"/>
      <c r="P89" s="33" t="s">
        <v>28</v>
      </c>
      <c r="Q89" s="64"/>
      <c r="R89" s="33" t="s">
        <v>4</v>
      </c>
    </row>
    <row r="90" spans="2:18">
      <c r="B90" s="137"/>
      <c r="C90" s="137"/>
      <c r="D90" s="64">
        <v>83</v>
      </c>
      <c r="E90" s="33" t="s">
        <v>158</v>
      </c>
      <c r="F90" s="64" t="s">
        <v>13</v>
      </c>
      <c r="G90" s="64">
        <v>0</v>
      </c>
      <c r="H90" s="64" t="s">
        <v>8</v>
      </c>
      <c r="I90" s="64" t="s">
        <v>11</v>
      </c>
      <c r="J90" s="33"/>
      <c r="K90" s="65">
        <v>39000</v>
      </c>
      <c r="L90" s="66">
        <f t="shared" si="8"/>
        <v>2006</v>
      </c>
      <c r="M90" s="66">
        <f t="shared" si="7"/>
        <v>13</v>
      </c>
      <c r="N90" s="64" t="s">
        <v>3</v>
      </c>
      <c r="O90" s="64"/>
      <c r="P90" s="33" t="s">
        <v>4</v>
      </c>
      <c r="Q90" s="64"/>
      <c r="R90" s="33" t="s">
        <v>4</v>
      </c>
    </row>
    <row r="91" spans="2:18">
      <c r="B91" s="137">
        <v>28</v>
      </c>
      <c r="C91" s="137"/>
      <c r="D91" s="64">
        <v>84</v>
      </c>
      <c r="E91" s="33" t="s">
        <v>159</v>
      </c>
      <c r="F91" s="64" t="s">
        <v>6</v>
      </c>
      <c r="G91" s="64" t="s">
        <v>160</v>
      </c>
      <c r="H91" s="64" t="s">
        <v>1</v>
      </c>
      <c r="I91" s="64" t="s">
        <v>2</v>
      </c>
      <c r="J91" s="33"/>
      <c r="K91" s="65">
        <v>19359</v>
      </c>
      <c r="L91" s="66">
        <f t="shared" si="8"/>
        <v>1952</v>
      </c>
      <c r="M91" s="66">
        <f t="shared" si="7"/>
        <v>67</v>
      </c>
      <c r="N91" s="64" t="s">
        <v>3</v>
      </c>
      <c r="O91" s="64"/>
      <c r="P91" s="33" t="s">
        <v>4</v>
      </c>
      <c r="Q91" s="64"/>
      <c r="R91" s="33" t="s">
        <v>126</v>
      </c>
    </row>
    <row r="92" spans="2:18" ht="25.5">
      <c r="B92" s="137"/>
      <c r="C92" s="137"/>
      <c r="D92" s="64">
        <v>85</v>
      </c>
      <c r="E92" s="33" t="s">
        <v>161</v>
      </c>
      <c r="F92" s="64" t="s">
        <v>9</v>
      </c>
      <c r="G92" s="64" t="s">
        <v>162</v>
      </c>
      <c r="H92" s="64" t="s">
        <v>8</v>
      </c>
      <c r="I92" s="64" t="s">
        <v>2</v>
      </c>
      <c r="J92" s="33"/>
      <c r="K92" s="65">
        <v>24107</v>
      </c>
      <c r="L92" s="66">
        <f t="shared" si="8"/>
        <v>1965</v>
      </c>
      <c r="M92" s="66">
        <f t="shared" si="7"/>
        <v>54</v>
      </c>
      <c r="N92" s="64" t="s">
        <v>3</v>
      </c>
      <c r="O92" s="64"/>
      <c r="P92" s="33" t="s">
        <v>4</v>
      </c>
      <c r="Q92" s="64"/>
      <c r="R92" s="33" t="s">
        <v>119</v>
      </c>
    </row>
    <row r="93" spans="2:18">
      <c r="B93" s="137"/>
      <c r="C93" s="137"/>
      <c r="D93" s="64">
        <v>86</v>
      </c>
      <c r="E93" s="33" t="s">
        <v>165</v>
      </c>
      <c r="F93" s="64" t="s">
        <v>13</v>
      </c>
      <c r="G93" s="64" t="s">
        <v>166</v>
      </c>
      <c r="H93" s="64" t="s">
        <v>1</v>
      </c>
      <c r="I93" s="64" t="s">
        <v>11</v>
      </c>
      <c r="J93" s="33"/>
      <c r="K93" s="65">
        <v>32942</v>
      </c>
      <c r="L93" s="66">
        <f t="shared" si="8"/>
        <v>1990</v>
      </c>
      <c r="M93" s="66">
        <f t="shared" ref="M93:M123" si="9">2019-L93</f>
        <v>29</v>
      </c>
      <c r="N93" s="64" t="s">
        <v>3</v>
      </c>
      <c r="O93" s="64"/>
      <c r="P93" s="33" t="s">
        <v>116</v>
      </c>
      <c r="Q93" s="64"/>
      <c r="R93" s="33" t="s">
        <v>164</v>
      </c>
    </row>
    <row r="94" spans="2:18">
      <c r="B94" s="137">
        <v>29</v>
      </c>
      <c r="C94" s="137" t="s">
        <v>1758</v>
      </c>
      <c r="D94" s="64">
        <v>87</v>
      </c>
      <c r="E94" s="33" t="s">
        <v>1756</v>
      </c>
      <c r="F94" s="64" t="s">
        <v>6</v>
      </c>
      <c r="G94" s="64" t="s">
        <v>167</v>
      </c>
      <c r="H94" s="64" t="s">
        <v>1</v>
      </c>
      <c r="I94" s="64" t="s">
        <v>2</v>
      </c>
      <c r="J94" s="33" t="s">
        <v>1166</v>
      </c>
      <c r="K94" s="65">
        <v>29220</v>
      </c>
      <c r="L94" s="66">
        <v>1979</v>
      </c>
      <c r="M94" s="66">
        <f t="shared" si="9"/>
        <v>40</v>
      </c>
      <c r="N94" s="64" t="s">
        <v>3</v>
      </c>
      <c r="O94" s="64" t="s">
        <v>1169</v>
      </c>
      <c r="P94" s="33" t="s">
        <v>1181</v>
      </c>
      <c r="Q94" s="64"/>
      <c r="R94" s="33" t="s">
        <v>1167</v>
      </c>
    </row>
    <row r="95" spans="2:18">
      <c r="B95" s="137"/>
      <c r="C95" s="137"/>
      <c r="D95" s="64">
        <v>88</v>
      </c>
      <c r="E95" s="33" t="s">
        <v>1757</v>
      </c>
      <c r="F95" s="64" t="s">
        <v>9</v>
      </c>
      <c r="G95" s="64" t="s">
        <v>168</v>
      </c>
      <c r="H95" s="64" t="s">
        <v>8</v>
      </c>
      <c r="I95" s="64" t="s">
        <v>2</v>
      </c>
      <c r="J95" s="33" t="s">
        <v>1166</v>
      </c>
      <c r="K95" s="65">
        <v>24291</v>
      </c>
      <c r="L95" s="66">
        <v>1966</v>
      </c>
      <c r="M95" s="66">
        <f t="shared" si="9"/>
        <v>53</v>
      </c>
      <c r="N95" s="64" t="s">
        <v>3</v>
      </c>
      <c r="O95" s="64" t="s">
        <v>1169</v>
      </c>
      <c r="P95" s="33" t="s">
        <v>1181</v>
      </c>
      <c r="Q95" s="64"/>
      <c r="R95" s="33" t="s">
        <v>1167</v>
      </c>
    </row>
    <row r="96" spans="2:18" ht="25.5">
      <c r="B96" s="137"/>
      <c r="C96" s="137"/>
      <c r="D96" s="64">
        <v>89</v>
      </c>
      <c r="E96" s="33" t="s">
        <v>1759</v>
      </c>
      <c r="F96" s="64" t="s">
        <v>13</v>
      </c>
      <c r="G96" s="64" t="s">
        <v>172</v>
      </c>
      <c r="H96" s="64" t="s">
        <v>1</v>
      </c>
      <c r="I96" s="64" t="s">
        <v>11</v>
      </c>
      <c r="J96" s="33" t="s">
        <v>1166</v>
      </c>
      <c r="K96" s="65">
        <v>38540</v>
      </c>
      <c r="L96" s="66">
        <v>2005</v>
      </c>
      <c r="M96" s="66">
        <f t="shared" si="9"/>
        <v>14</v>
      </c>
      <c r="N96" s="64" t="s">
        <v>3</v>
      </c>
      <c r="O96" s="64" t="s">
        <v>1169</v>
      </c>
      <c r="P96" s="33" t="s">
        <v>1177</v>
      </c>
      <c r="Q96" s="64"/>
      <c r="R96" s="33" t="s">
        <v>1192</v>
      </c>
    </row>
    <row r="97" spans="2:18">
      <c r="B97" s="137">
        <v>30</v>
      </c>
      <c r="C97" s="137" t="s">
        <v>1492</v>
      </c>
      <c r="D97" s="64">
        <v>90</v>
      </c>
      <c r="E97" s="33" t="s">
        <v>173</v>
      </c>
      <c r="F97" s="64" t="s">
        <v>6</v>
      </c>
      <c r="G97" s="64" t="s">
        <v>174</v>
      </c>
      <c r="H97" s="64" t="s">
        <v>1</v>
      </c>
      <c r="I97" s="64" t="s">
        <v>2</v>
      </c>
      <c r="J97" s="33" t="s">
        <v>1166</v>
      </c>
      <c r="K97" s="65">
        <v>25933</v>
      </c>
      <c r="L97" s="66">
        <v>1970</v>
      </c>
      <c r="M97" s="66">
        <f t="shared" si="9"/>
        <v>49</v>
      </c>
      <c r="N97" s="64" t="s">
        <v>3</v>
      </c>
      <c r="O97" s="64"/>
      <c r="P97" s="33" t="s">
        <v>1181</v>
      </c>
      <c r="Q97" s="64"/>
      <c r="R97" s="33" t="s">
        <v>85</v>
      </c>
    </row>
    <row r="98" spans="2:18" ht="25.5">
      <c r="B98" s="137"/>
      <c r="C98" s="137"/>
      <c r="D98" s="64">
        <v>91</v>
      </c>
      <c r="E98" s="33" t="s">
        <v>175</v>
      </c>
      <c r="F98" s="64" t="s">
        <v>9</v>
      </c>
      <c r="G98" s="64" t="s">
        <v>176</v>
      </c>
      <c r="H98" s="64" t="s">
        <v>8</v>
      </c>
      <c r="I98" s="64" t="s">
        <v>2</v>
      </c>
      <c r="J98" s="33" t="s">
        <v>1166</v>
      </c>
      <c r="K98" s="65">
        <v>27394</v>
      </c>
      <c r="L98" s="66">
        <v>1974</v>
      </c>
      <c r="M98" s="66">
        <f t="shared" si="9"/>
        <v>45</v>
      </c>
      <c r="N98" s="64" t="s">
        <v>3</v>
      </c>
      <c r="O98" s="64"/>
      <c r="P98" s="33" t="s">
        <v>1181</v>
      </c>
      <c r="Q98" s="64"/>
      <c r="R98" s="33" t="s">
        <v>1168</v>
      </c>
    </row>
    <row r="99" spans="2:18">
      <c r="B99" s="137"/>
      <c r="C99" s="137"/>
      <c r="D99" s="64">
        <v>92</v>
      </c>
      <c r="E99" s="33" t="s">
        <v>177</v>
      </c>
      <c r="F99" s="64" t="s">
        <v>13</v>
      </c>
      <c r="G99" s="64" t="s">
        <v>1494</v>
      </c>
      <c r="H99" s="64" t="s">
        <v>1</v>
      </c>
      <c r="I99" s="64" t="s">
        <v>11</v>
      </c>
      <c r="J99" s="33" t="s">
        <v>1488</v>
      </c>
      <c r="K99" s="65">
        <v>33603</v>
      </c>
      <c r="L99" s="66">
        <v>1991</v>
      </c>
      <c r="M99" s="66">
        <f t="shared" si="9"/>
        <v>28</v>
      </c>
      <c r="N99" s="64" t="s">
        <v>3</v>
      </c>
      <c r="O99" s="64"/>
      <c r="P99" s="33" t="s">
        <v>1181</v>
      </c>
      <c r="Q99" s="64"/>
      <c r="R99" s="33" t="s">
        <v>85</v>
      </c>
    </row>
    <row r="100" spans="2:18" ht="25.5">
      <c r="B100" s="137"/>
      <c r="C100" s="137"/>
      <c r="D100" s="64">
        <v>93</v>
      </c>
      <c r="E100" s="33" t="s">
        <v>178</v>
      </c>
      <c r="F100" s="64" t="s">
        <v>13</v>
      </c>
      <c r="G100" s="64" t="s">
        <v>179</v>
      </c>
      <c r="H100" s="64" t="s">
        <v>8</v>
      </c>
      <c r="I100" s="64" t="s">
        <v>11</v>
      </c>
      <c r="J100" s="33" t="s">
        <v>1166</v>
      </c>
      <c r="K100" s="65">
        <v>37221</v>
      </c>
      <c r="L100" s="66">
        <v>2001</v>
      </c>
      <c r="M100" s="66">
        <f t="shared" si="9"/>
        <v>18</v>
      </c>
      <c r="N100" s="64" t="s">
        <v>3</v>
      </c>
      <c r="O100" s="64"/>
      <c r="P100" s="33" t="s">
        <v>1176</v>
      </c>
      <c r="Q100" s="64"/>
      <c r="R100" s="33" t="s">
        <v>1175</v>
      </c>
    </row>
    <row r="101" spans="2:18" ht="25.5">
      <c r="B101" s="137"/>
      <c r="C101" s="137"/>
      <c r="D101" s="64">
        <v>94</v>
      </c>
      <c r="E101" s="33" t="s">
        <v>1493</v>
      </c>
      <c r="F101" s="64" t="s">
        <v>13</v>
      </c>
      <c r="G101" s="64" t="s">
        <v>180</v>
      </c>
      <c r="H101" s="64" t="s">
        <v>1</v>
      </c>
      <c r="I101" s="64" t="s">
        <v>11</v>
      </c>
      <c r="J101" s="33" t="s">
        <v>1166</v>
      </c>
      <c r="K101" s="65">
        <v>38943</v>
      </c>
      <c r="L101" s="66">
        <v>2006</v>
      </c>
      <c r="M101" s="66">
        <f t="shared" si="9"/>
        <v>13</v>
      </c>
      <c r="N101" s="64" t="s">
        <v>3</v>
      </c>
      <c r="O101" s="64"/>
      <c r="P101" s="33" t="s">
        <v>1177</v>
      </c>
      <c r="Q101" s="64"/>
      <c r="R101" s="33" t="s">
        <v>1192</v>
      </c>
    </row>
    <row r="102" spans="2:18" ht="25.5">
      <c r="B102" s="137">
        <v>31</v>
      </c>
      <c r="C102" s="137" t="s">
        <v>1489</v>
      </c>
      <c r="D102" s="64">
        <v>95</v>
      </c>
      <c r="E102" s="33" t="s">
        <v>181</v>
      </c>
      <c r="F102" s="64" t="s">
        <v>6</v>
      </c>
      <c r="G102" s="64" t="s">
        <v>182</v>
      </c>
      <c r="H102" s="64" t="s">
        <v>1</v>
      </c>
      <c r="I102" s="64" t="s">
        <v>1221</v>
      </c>
      <c r="J102" s="33" t="s">
        <v>1166</v>
      </c>
      <c r="K102" s="65">
        <v>18445</v>
      </c>
      <c r="L102" s="66">
        <v>1950</v>
      </c>
      <c r="M102" s="66">
        <f t="shared" si="9"/>
        <v>69</v>
      </c>
      <c r="N102" s="64" t="s">
        <v>3</v>
      </c>
      <c r="O102" s="64"/>
      <c r="P102" s="33" t="s">
        <v>1177</v>
      </c>
      <c r="Q102" s="64"/>
      <c r="R102" s="33" t="s">
        <v>1178</v>
      </c>
    </row>
    <row r="103" spans="2:18" ht="25.5">
      <c r="B103" s="137"/>
      <c r="C103" s="137"/>
      <c r="D103" s="64">
        <v>96</v>
      </c>
      <c r="E103" s="33" t="s">
        <v>183</v>
      </c>
      <c r="F103" s="64" t="s">
        <v>13</v>
      </c>
      <c r="G103" s="64" t="s">
        <v>184</v>
      </c>
      <c r="H103" s="64" t="s">
        <v>31</v>
      </c>
      <c r="I103" s="64" t="s">
        <v>11</v>
      </c>
      <c r="J103" s="33" t="s">
        <v>1166</v>
      </c>
      <c r="K103" s="65">
        <v>31412</v>
      </c>
      <c r="L103" s="66">
        <v>1985</v>
      </c>
      <c r="M103" s="66">
        <f t="shared" si="9"/>
        <v>34</v>
      </c>
      <c r="N103" s="64" t="s">
        <v>3</v>
      </c>
      <c r="O103" s="64"/>
      <c r="P103" s="33" t="s">
        <v>1181</v>
      </c>
      <c r="Q103" s="64"/>
      <c r="R103" s="33" t="s">
        <v>1178</v>
      </c>
    </row>
    <row r="104" spans="2:18" ht="25.5">
      <c r="B104" s="137">
        <v>32</v>
      </c>
      <c r="C104" s="137" t="s">
        <v>1767</v>
      </c>
      <c r="D104" s="64">
        <v>97</v>
      </c>
      <c r="E104" s="33" t="s">
        <v>42</v>
      </c>
      <c r="F104" s="64" t="s">
        <v>6</v>
      </c>
      <c r="G104" s="64" t="s">
        <v>185</v>
      </c>
      <c r="H104" s="64" t="s">
        <v>1</v>
      </c>
      <c r="I104" s="64" t="s">
        <v>2</v>
      </c>
      <c r="J104" s="33" t="s">
        <v>1172</v>
      </c>
      <c r="K104" s="65">
        <v>31229</v>
      </c>
      <c r="L104" s="66">
        <v>1985</v>
      </c>
      <c r="M104" s="66">
        <f t="shared" si="9"/>
        <v>34</v>
      </c>
      <c r="N104" s="64" t="s">
        <v>3</v>
      </c>
      <c r="O104" s="64" t="s">
        <v>1169</v>
      </c>
      <c r="P104" s="33" t="s">
        <v>1772</v>
      </c>
      <c r="Q104" s="64"/>
      <c r="R104" s="33" t="s">
        <v>1178</v>
      </c>
    </row>
    <row r="105" spans="2:18" ht="25.5">
      <c r="B105" s="137"/>
      <c r="C105" s="137"/>
      <c r="D105" s="64">
        <v>98</v>
      </c>
      <c r="E105" s="33" t="s">
        <v>186</v>
      </c>
      <c r="F105" s="64" t="s">
        <v>9</v>
      </c>
      <c r="G105" s="64" t="s">
        <v>1769</v>
      </c>
      <c r="H105" s="64" t="s">
        <v>8</v>
      </c>
      <c r="I105" s="64" t="s">
        <v>2</v>
      </c>
      <c r="J105" s="33" t="s">
        <v>1172</v>
      </c>
      <c r="K105" s="65">
        <v>32363</v>
      </c>
      <c r="L105" s="66">
        <v>1988</v>
      </c>
      <c r="M105" s="66">
        <f t="shared" si="9"/>
        <v>31</v>
      </c>
      <c r="N105" s="64" t="s">
        <v>3</v>
      </c>
      <c r="O105" s="64" t="s">
        <v>1169</v>
      </c>
      <c r="P105" s="33" t="s">
        <v>1772</v>
      </c>
      <c r="Q105" s="64"/>
      <c r="R105" s="33" t="s">
        <v>1168</v>
      </c>
    </row>
    <row r="106" spans="2:18" ht="25.5">
      <c r="B106" s="137"/>
      <c r="C106" s="137"/>
      <c r="D106" s="64">
        <v>99</v>
      </c>
      <c r="E106" s="33" t="s">
        <v>187</v>
      </c>
      <c r="F106" s="64" t="s">
        <v>13</v>
      </c>
      <c r="G106" s="64" t="s">
        <v>1770</v>
      </c>
      <c r="H106" s="64" t="s">
        <v>8</v>
      </c>
      <c r="I106" s="64" t="s">
        <v>11</v>
      </c>
      <c r="J106" s="33" t="s">
        <v>1172</v>
      </c>
      <c r="K106" s="65">
        <v>40077</v>
      </c>
      <c r="L106" s="66">
        <v>2009</v>
      </c>
      <c r="M106" s="66">
        <f t="shared" si="9"/>
        <v>10</v>
      </c>
      <c r="N106" s="64" t="s">
        <v>3</v>
      </c>
      <c r="O106" s="64" t="s">
        <v>1169</v>
      </c>
      <c r="P106" s="33" t="s">
        <v>1177</v>
      </c>
      <c r="Q106" s="64"/>
      <c r="R106" s="33" t="s">
        <v>1192</v>
      </c>
    </row>
    <row r="107" spans="2:18" ht="25.5">
      <c r="B107" s="137"/>
      <c r="C107" s="137"/>
      <c r="D107" s="64">
        <v>100</v>
      </c>
      <c r="E107" s="33" t="s">
        <v>1768</v>
      </c>
      <c r="F107" s="64" t="s">
        <v>13</v>
      </c>
      <c r="G107" s="64" t="s">
        <v>1771</v>
      </c>
      <c r="H107" s="64" t="s">
        <v>8</v>
      </c>
      <c r="I107" s="64" t="s">
        <v>11</v>
      </c>
      <c r="J107" s="33" t="s">
        <v>1172</v>
      </c>
      <c r="K107" s="65">
        <v>42590</v>
      </c>
      <c r="L107" s="66">
        <v>2016</v>
      </c>
      <c r="M107" s="66">
        <f t="shared" si="9"/>
        <v>3</v>
      </c>
      <c r="N107" s="64" t="s">
        <v>3</v>
      </c>
      <c r="O107" s="64" t="s">
        <v>1169</v>
      </c>
      <c r="P107" s="33" t="s">
        <v>1177</v>
      </c>
      <c r="Q107" s="64"/>
      <c r="R107" s="33" t="s">
        <v>1192</v>
      </c>
    </row>
    <row r="108" spans="2:18" ht="25.5">
      <c r="B108" s="137">
        <v>33</v>
      </c>
      <c r="C108" s="137" t="s">
        <v>1587</v>
      </c>
      <c r="D108" s="64">
        <v>101</v>
      </c>
      <c r="E108" s="33" t="s">
        <v>1586</v>
      </c>
      <c r="F108" s="64" t="s">
        <v>6</v>
      </c>
      <c r="G108" s="64" t="s">
        <v>1588</v>
      </c>
      <c r="H108" s="64" t="s">
        <v>1</v>
      </c>
      <c r="I108" s="64" t="s">
        <v>2</v>
      </c>
      <c r="J108" s="33" t="s">
        <v>1166</v>
      </c>
      <c r="K108" s="65">
        <v>27759</v>
      </c>
      <c r="L108" s="66">
        <v>1975</v>
      </c>
      <c r="M108" s="66">
        <f t="shared" si="9"/>
        <v>44</v>
      </c>
      <c r="N108" s="64" t="s">
        <v>3</v>
      </c>
      <c r="O108" s="64" t="s">
        <v>1169</v>
      </c>
      <c r="P108" s="33" t="s">
        <v>1181</v>
      </c>
      <c r="Q108" s="64"/>
      <c r="R108" s="33" t="s">
        <v>1178</v>
      </c>
    </row>
    <row r="109" spans="2:18" ht="25.5">
      <c r="B109" s="137"/>
      <c r="C109" s="137"/>
      <c r="D109" s="64">
        <v>102</v>
      </c>
      <c r="E109" s="33" t="s">
        <v>188</v>
      </c>
      <c r="F109" s="64" t="s">
        <v>9</v>
      </c>
      <c r="G109" s="64" t="s">
        <v>1589</v>
      </c>
      <c r="H109" s="64" t="s">
        <v>8</v>
      </c>
      <c r="I109" s="64" t="s">
        <v>2</v>
      </c>
      <c r="J109" s="33" t="s">
        <v>1166</v>
      </c>
      <c r="K109" s="65">
        <v>29586</v>
      </c>
      <c r="L109" s="66">
        <v>1980</v>
      </c>
      <c r="M109" s="66">
        <f t="shared" si="9"/>
        <v>39</v>
      </c>
      <c r="N109" s="64" t="s">
        <v>3</v>
      </c>
      <c r="O109" s="64" t="s">
        <v>1169</v>
      </c>
      <c r="P109" s="33" t="s">
        <v>1181</v>
      </c>
      <c r="Q109" s="64"/>
      <c r="R109" s="33" t="s">
        <v>1178</v>
      </c>
    </row>
    <row r="110" spans="2:18">
      <c r="B110" s="137"/>
      <c r="C110" s="137"/>
      <c r="D110" s="64">
        <v>103</v>
      </c>
      <c r="E110" s="33" t="s">
        <v>189</v>
      </c>
      <c r="F110" s="64" t="s">
        <v>13</v>
      </c>
      <c r="G110" s="64" t="s">
        <v>1590</v>
      </c>
      <c r="H110" s="64" t="s">
        <v>1</v>
      </c>
      <c r="I110" s="64" t="s">
        <v>11</v>
      </c>
      <c r="J110" s="33" t="s">
        <v>1166</v>
      </c>
      <c r="K110" s="65">
        <v>35064</v>
      </c>
      <c r="L110" s="66">
        <v>1995</v>
      </c>
      <c r="M110" s="66">
        <f t="shared" si="9"/>
        <v>24</v>
      </c>
      <c r="N110" s="64" t="s">
        <v>3</v>
      </c>
      <c r="O110" s="64" t="s">
        <v>1169</v>
      </c>
      <c r="P110" s="33" t="s">
        <v>1199</v>
      </c>
      <c r="Q110" s="64"/>
      <c r="R110" s="33" t="s">
        <v>85</v>
      </c>
    </row>
    <row r="111" spans="2:18" ht="25.5">
      <c r="B111" s="137"/>
      <c r="C111" s="137"/>
      <c r="D111" s="64">
        <v>104</v>
      </c>
      <c r="E111" s="33" t="s">
        <v>190</v>
      </c>
      <c r="F111" s="64" t="s">
        <v>13</v>
      </c>
      <c r="G111" s="64" t="s">
        <v>1591</v>
      </c>
      <c r="H111" s="64" t="s">
        <v>1</v>
      </c>
      <c r="I111" s="64" t="s">
        <v>11</v>
      </c>
      <c r="J111" s="33" t="s">
        <v>1166</v>
      </c>
      <c r="K111" s="65">
        <v>37256</v>
      </c>
      <c r="L111" s="66">
        <v>2001</v>
      </c>
      <c r="M111" s="66">
        <f t="shared" si="9"/>
        <v>18</v>
      </c>
      <c r="N111" s="64" t="s">
        <v>3</v>
      </c>
      <c r="O111" s="64" t="s">
        <v>1169</v>
      </c>
      <c r="P111" s="33" t="s">
        <v>1176</v>
      </c>
      <c r="Q111" s="64"/>
      <c r="R111" s="33" t="s">
        <v>1175</v>
      </c>
    </row>
    <row r="112" spans="2:18" ht="25.5">
      <c r="B112" s="137"/>
      <c r="C112" s="137"/>
      <c r="D112" s="64">
        <v>105</v>
      </c>
      <c r="E112" s="33" t="s">
        <v>191</v>
      </c>
      <c r="F112" s="64" t="s">
        <v>13</v>
      </c>
      <c r="G112" s="64" t="s">
        <v>1592</v>
      </c>
      <c r="H112" s="64" t="s">
        <v>8</v>
      </c>
      <c r="I112" s="64" t="s">
        <v>11</v>
      </c>
      <c r="J112" s="33" t="s">
        <v>1166</v>
      </c>
      <c r="K112" s="65">
        <v>40576</v>
      </c>
      <c r="L112" s="66">
        <v>2011</v>
      </c>
      <c r="M112" s="66">
        <f t="shared" si="9"/>
        <v>8</v>
      </c>
      <c r="N112" s="64" t="s">
        <v>3</v>
      </c>
      <c r="O112" s="64" t="s">
        <v>1169</v>
      </c>
      <c r="P112" s="33" t="s">
        <v>1177</v>
      </c>
      <c r="Q112" s="64"/>
      <c r="R112" s="33" t="s">
        <v>1192</v>
      </c>
    </row>
    <row r="113" spans="2:18">
      <c r="B113" s="137">
        <v>34</v>
      </c>
      <c r="C113" s="137" t="s">
        <v>1318</v>
      </c>
      <c r="D113" s="64">
        <v>106</v>
      </c>
      <c r="E113" s="33" t="s">
        <v>192</v>
      </c>
      <c r="F113" s="64" t="s">
        <v>6</v>
      </c>
      <c r="G113" s="64" t="s">
        <v>193</v>
      </c>
      <c r="H113" s="64" t="s">
        <v>1</v>
      </c>
      <c r="I113" s="64" t="s">
        <v>2</v>
      </c>
      <c r="J113" s="33" t="s">
        <v>1166</v>
      </c>
      <c r="K113" s="65">
        <v>31360</v>
      </c>
      <c r="L113" s="66">
        <v>1985</v>
      </c>
      <c r="M113" s="66">
        <f t="shared" si="9"/>
        <v>34</v>
      </c>
      <c r="N113" s="64" t="s">
        <v>3</v>
      </c>
      <c r="O113" s="64" t="s">
        <v>1169</v>
      </c>
      <c r="P113" s="33" t="s">
        <v>1199</v>
      </c>
      <c r="Q113" s="64"/>
      <c r="R113" s="33" t="s">
        <v>85</v>
      </c>
    </row>
    <row r="114" spans="2:18" ht="25.5">
      <c r="B114" s="137"/>
      <c r="C114" s="137"/>
      <c r="D114" s="64">
        <v>107</v>
      </c>
      <c r="E114" s="33" t="s">
        <v>194</v>
      </c>
      <c r="F114" s="64" t="s">
        <v>9</v>
      </c>
      <c r="G114" s="64" t="s">
        <v>1319</v>
      </c>
      <c r="H114" s="64" t="s">
        <v>8</v>
      </c>
      <c r="I114" s="64" t="s">
        <v>2</v>
      </c>
      <c r="J114" s="33" t="s">
        <v>1166</v>
      </c>
      <c r="K114" s="65">
        <v>32274</v>
      </c>
      <c r="L114" s="66">
        <v>1988</v>
      </c>
      <c r="M114" s="66">
        <f t="shared" si="9"/>
        <v>31</v>
      </c>
      <c r="N114" s="64" t="s">
        <v>3</v>
      </c>
      <c r="O114" s="64" t="s">
        <v>1169</v>
      </c>
      <c r="P114" s="33" t="s">
        <v>1199</v>
      </c>
      <c r="Q114" s="64"/>
      <c r="R114" s="33" t="s">
        <v>1168</v>
      </c>
    </row>
    <row r="115" spans="2:18" ht="25.5">
      <c r="B115" s="137"/>
      <c r="C115" s="137"/>
      <c r="D115" s="64">
        <v>108</v>
      </c>
      <c r="E115" s="33" t="s">
        <v>1317</v>
      </c>
      <c r="F115" s="64" t="s">
        <v>13</v>
      </c>
      <c r="G115" s="64" t="s">
        <v>195</v>
      </c>
      <c r="H115" s="64" t="s">
        <v>1</v>
      </c>
      <c r="I115" s="64" t="s">
        <v>11</v>
      </c>
      <c r="J115" s="33" t="s">
        <v>1166</v>
      </c>
      <c r="K115" s="65">
        <v>39775</v>
      </c>
      <c r="L115" s="66">
        <v>2008</v>
      </c>
      <c r="M115" s="66">
        <f t="shared" si="9"/>
        <v>11</v>
      </c>
      <c r="N115" s="64" t="s">
        <v>3</v>
      </c>
      <c r="O115" s="64" t="s">
        <v>1169</v>
      </c>
      <c r="P115" s="33" t="s">
        <v>1176</v>
      </c>
      <c r="Q115" s="64"/>
      <c r="R115" s="33" t="s">
        <v>1175</v>
      </c>
    </row>
    <row r="116" spans="2:18" ht="25.5">
      <c r="B116" s="137"/>
      <c r="C116" s="137"/>
      <c r="D116" s="64">
        <v>109</v>
      </c>
      <c r="E116" s="33" t="s">
        <v>1316</v>
      </c>
      <c r="F116" s="64" t="s">
        <v>13</v>
      </c>
      <c r="G116" s="64" t="s">
        <v>1320</v>
      </c>
      <c r="H116" s="64" t="s">
        <v>1</v>
      </c>
      <c r="I116" s="64" t="s">
        <v>11</v>
      </c>
      <c r="J116" s="33" t="s">
        <v>1166</v>
      </c>
      <c r="K116" s="65">
        <v>42267</v>
      </c>
      <c r="L116" s="66">
        <v>2015</v>
      </c>
      <c r="M116" s="66">
        <f t="shared" si="9"/>
        <v>4</v>
      </c>
      <c r="N116" s="64" t="s">
        <v>3</v>
      </c>
      <c r="O116" s="64" t="s">
        <v>1169</v>
      </c>
      <c r="P116" s="33" t="s">
        <v>1177</v>
      </c>
      <c r="Q116" s="64"/>
      <c r="R116" s="33" t="s">
        <v>1192</v>
      </c>
    </row>
    <row r="117" spans="2:18" ht="25.5">
      <c r="B117" s="137">
        <v>35</v>
      </c>
      <c r="C117" s="137" t="s">
        <v>1746</v>
      </c>
      <c r="D117" s="64">
        <v>110</v>
      </c>
      <c r="E117" s="33" t="s">
        <v>196</v>
      </c>
      <c r="F117" s="64" t="s">
        <v>6</v>
      </c>
      <c r="G117" s="64" t="s">
        <v>197</v>
      </c>
      <c r="H117" s="64" t="s">
        <v>8</v>
      </c>
      <c r="I117" s="64" t="s">
        <v>1197</v>
      </c>
      <c r="J117" s="33" t="s">
        <v>1166</v>
      </c>
      <c r="K117" s="65">
        <v>32142</v>
      </c>
      <c r="L117" s="66">
        <v>1987</v>
      </c>
      <c r="M117" s="66">
        <f t="shared" si="9"/>
        <v>32</v>
      </c>
      <c r="N117" s="64" t="s">
        <v>3</v>
      </c>
      <c r="O117" s="64" t="s">
        <v>1169</v>
      </c>
      <c r="P117" s="33" t="s">
        <v>1177</v>
      </c>
      <c r="Q117" s="64"/>
      <c r="R117" s="33" t="s">
        <v>1178</v>
      </c>
    </row>
    <row r="118" spans="2:18" ht="25.5">
      <c r="B118" s="137"/>
      <c r="C118" s="137"/>
      <c r="D118" s="64">
        <v>111</v>
      </c>
      <c r="E118" s="33" t="s">
        <v>198</v>
      </c>
      <c r="F118" s="64" t="s">
        <v>13</v>
      </c>
      <c r="G118" s="64" t="s">
        <v>199</v>
      </c>
      <c r="H118" s="64" t="s">
        <v>1</v>
      </c>
      <c r="I118" s="64" t="s">
        <v>11</v>
      </c>
      <c r="J118" s="33" t="s">
        <v>1166</v>
      </c>
      <c r="K118" s="65">
        <v>40656</v>
      </c>
      <c r="L118" s="66">
        <v>2011</v>
      </c>
      <c r="M118" s="66">
        <f t="shared" si="9"/>
        <v>8</v>
      </c>
      <c r="N118" s="64" t="s">
        <v>3</v>
      </c>
      <c r="O118" s="64" t="s">
        <v>1169</v>
      </c>
      <c r="P118" s="33" t="s">
        <v>1177</v>
      </c>
      <c r="Q118" s="64"/>
      <c r="R118" s="33" t="s">
        <v>1192</v>
      </c>
    </row>
    <row r="119" spans="2:18" ht="25.5">
      <c r="B119" s="137">
        <v>36</v>
      </c>
      <c r="C119" s="137" t="s">
        <v>1254</v>
      </c>
      <c r="D119" s="64">
        <v>112</v>
      </c>
      <c r="E119" s="33" t="s">
        <v>200</v>
      </c>
      <c r="F119" s="64" t="s">
        <v>6</v>
      </c>
      <c r="G119" s="64" t="s">
        <v>1255</v>
      </c>
      <c r="H119" s="64" t="s">
        <v>1</v>
      </c>
      <c r="I119" s="64" t="s">
        <v>2</v>
      </c>
      <c r="J119" s="33" t="s">
        <v>1172</v>
      </c>
      <c r="K119" s="65">
        <v>21002</v>
      </c>
      <c r="L119" s="66">
        <v>1957</v>
      </c>
      <c r="M119" s="66">
        <f t="shared" si="9"/>
        <v>62</v>
      </c>
      <c r="N119" s="64" t="s">
        <v>3</v>
      </c>
      <c r="O119" s="64" t="s">
        <v>1169</v>
      </c>
      <c r="P119" s="33" t="s">
        <v>1177</v>
      </c>
      <c r="Q119" s="64"/>
      <c r="R119" s="33" t="s">
        <v>1178</v>
      </c>
    </row>
    <row r="120" spans="2:18" ht="25.5">
      <c r="B120" s="137"/>
      <c r="C120" s="137"/>
      <c r="D120" s="64">
        <v>113</v>
      </c>
      <c r="E120" s="33" t="s">
        <v>599</v>
      </c>
      <c r="F120" s="64" t="s">
        <v>9</v>
      </c>
      <c r="G120" s="64" t="s">
        <v>1256</v>
      </c>
      <c r="H120" s="64" t="s">
        <v>8</v>
      </c>
      <c r="I120" s="64" t="s">
        <v>2</v>
      </c>
      <c r="J120" s="33" t="s">
        <v>1206</v>
      </c>
      <c r="K120" s="65">
        <v>21302</v>
      </c>
      <c r="L120" s="66">
        <v>1958</v>
      </c>
      <c r="M120" s="66">
        <f t="shared" si="9"/>
        <v>61</v>
      </c>
      <c r="N120" s="64" t="s">
        <v>3</v>
      </c>
      <c r="O120" s="64" t="s">
        <v>1169</v>
      </c>
      <c r="P120" s="33" t="s">
        <v>1177</v>
      </c>
      <c r="Q120" s="64"/>
      <c r="R120" s="33" t="s">
        <v>1178</v>
      </c>
    </row>
    <row r="121" spans="2:18" ht="25.5">
      <c r="B121" s="137">
        <v>37</v>
      </c>
      <c r="C121" s="137" t="s">
        <v>1539</v>
      </c>
      <c r="D121" s="64">
        <v>114</v>
      </c>
      <c r="E121" s="33" t="s">
        <v>201</v>
      </c>
      <c r="F121" s="64" t="s">
        <v>6</v>
      </c>
      <c r="G121" s="64" t="s">
        <v>202</v>
      </c>
      <c r="H121" s="64" t="s">
        <v>1</v>
      </c>
      <c r="I121" s="64" t="s">
        <v>2</v>
      </c>
      <c r="J121" s="33" t="s">
        <v>1172</v>
      </c>
      <c r="K121" s="65">
        <v>32260</v>
      </c>
      <c r="L121" s="66">
        <v>1988</v>
      </c>
      <c r="M121" s="66">
        <f t="shared" si="9"/>
        <v>31</v>
      </c>
      <c r="N121" s="64" t="s">
        <v>3</v>
      </c>
      <c r="O121" s="64" t="s">
        <v>1169</v>
      </c>
      <c r="P121" s="33" t="s">
        <v>1199</v>
      </c>
      <c r="Q121" s="64"/>
      <c r="R121" s="33" t="s">
        <v>85</v>
      </c>
    </row>
    <row r="122" spans="2:18" ht="25.5">
      <c r="B122" s="137"/>
      <c r="C122" s="137"/>
      <c r="D122" s="64">
        <v>115</v>
      </c>
      <c r="E122" s="33" t="s">
        <v>203</v>
      </c>
      <c r="F122" s="64" t="s">
        <v>13</v>
      </c>
      <c r="G122" s="64" t="s">
        <v>1541</v>
      </c>
      <c r="H122" s="64" t="s">
        <v>31</v>
      </c>
      <c r="I122" s="64" t="s">
        <v>2</v>
      </c>
      <c r="J122" s="33" t="s">
        <v>1543</v>
      </c>
      <c r="K122" s="65">
        <v>30173</v>
      </c>
      <c r="L122" s="66">
        <v>1982</v>
      </c>
      <c r="M122" s="66">
        <f t="shared" si="9"/>
        <v>37</v>
      </c>
      <c r="N122" s="64" t="s">
        <v>3</v>
      </c>
      <c r="O122" s="64" t="s">
        <v>1169</v>
      </c>
      <c r="P122" s="33" t="s">
        <v>1199</v>
      </c>
      <c r="Q122" s="64"/>
      <c r="R122" s="33" t="s">
        <v>1168</v>
      </c>
    </row>
    <row r="123" spans="2:18" ht="25.5">
      <c r="B123" s="137"/>
      <c r="C123" s="137"/>
      <c r="D123" s="64">
        <v>116</v>
      </c>
      <c r="E123" s="33" t="s">
        <v>204</v>
      </c>
      <c r="F123" s="64" t="s">
        <v>13</v>
      </c>
      <c r="G123" s="64" t="s">
        <v>205</v>
      </c>
      <c r="H123" s="64" t="s">
        <v>1</v>
      </c>
      <c r="I123" s="64" t="s">
        <v>11</v>
      </c>
      <c r="J123" s="33" t="s">
        <v>1166</v>
      </c>
      <c r="K123" s="65">
        <v>41144</v>
      </c>
      <c r="L123" s="66">
        <v>2012</v>
      </c>
      <c r="M123" s="66">
        <f t="shared" si="9"/>
        <v>7</v>
      </c>
      <c r="N123" s="64" t="s">
        <v>3</v>
      </c>
      <c r="O123" s="64" t="s">
        <v>1169</v>
      </c>
      <c r="P123" s="33" t="s">
        <v>1177</v>
      </c>
      <c r="Q123" s="64"/>
      <c r="R123" s="33" t="s">
        <v>1192</v>
      </c>
    </row>
    <row r="124" spans="2:18" ht="25.5">
      <c r="B124" s="137"/>
      <c r="C124" s="137"/>
      <c r="D124" s="64">
        <v>117</v>
      </c>
      <c r="E124" s="33" t="s">
        <v>1540</v>
      </c>
      <c r="F124" s="64" t="s">
        <v>13</v>
      </c>
      <c r="G124" s="64" t="s">
        <v>1542</v>
      </c>
      <c r="H124" s="64" t="s">
        <v>8</v>
      </c>
      <c r="I124" s="64" t="s">
        <v>11</v>
      </c>
      <c r="J124" s="33" t="s">
        <v>1544</v>
      </c>
      <c r="K124" s="65">
        <v>42874</v>
      </c>
      <c r="L124" s="66">
        <v>2017</v>
      </c>
      <c r="M124" s="66">
        <f t="shared" ref="M124:M158" si="10">2019-L124</f>
        <v>2</v>
      </c>
      <c r="N124" s="64" t="s">
        <v>3</v>
      </c>
      <c r="O124" s="64" t="s">
        <v>1169</v>
      </c>
      <c r="P124" s="33" t="s">
        <v>1177</v>
      </c>
      <c r="Q124" s="64"/>
      <c r="R124" s="33" t="s">
        <v>1192</v>
      </c>
    </row>
    <row r="125" spans="2:18" ht="25.5">
      <c r="B125" s="137">
        <v>38</v>
      </c>
      <c r="C125" s="137" t="s">
        <v>1747</v>
      </c>
      <c r="D125" s="64">
        <v>118</v>
      </c>
      <c r="E125" s="33" t="s">
        <v>206</v>
      </c>
      <c r="F125" s="64" t="s">
        <v>6</v>
      </c>
      <c r="G125" s="64" t="s">
        <v>1749</v>
      </c>
      <c r="H125" s="64" t="s">
        <v>1</v>
      </c>
      <c r="I125" s="64" t="s">
        <v>2</v>
      </c>
      <c r="J125" s="33" t="s">
        <v>1166</v>
      </c>
      <c r="K125" s="65">
        <v>27029</v>
      </c>
      <c r="L125" s="66">
        <v>1973</v>
      </c>
      <c r="M125" s="66">
        <f t="shared" si="10"/>
        <v>46</v>
      </c>
      <c r="N125" s="64" t="s">
        <v>3</v>
      </c>
      <c r="O125" s="64" t="s">
        <v>1169</v>
      </c>
      <c r="P125" s="33" t="s">
        <v>1181</v>
      </c>
      <c r="Q125" s="64"/>
      <c r="R125" s="33" t="s">
        <v>1178</v>
      </c>
    </row>
    <row r="126" spans="2:18" ht="25.5">
      <c r="B126" s="137"/>
      <c r="C126" s="137"/>
      <c r="D126" s="64">
        <v>119</v>
      </c>
      <c r="E126" s="33" t="s">
        <v>207</v>
      </c>
      <c r="F126" s="64" t="s">
        <v>9</v>
      </c>
      <c r="G126" s="64" t="s">
        <v>1750</v>
      </c>
      <c r="H126" s="64" t="s">
        <v>8</v>
      </c>
      <c r="I126" s="64" t="s">
        <v>2</v>
      </c>
      <c r="J126" s="33" t="s">
        <v>1166</v>
      </c>
      <c r="K126" s="65">
        <v>31229</v>
      </c>
      <c r="L126" s="66">
        <v>1985</v>
      </c>
      <c r="M126" s="66">
        <f t="shared" si="10"/>
        <v>34</v>
      </c>
      <c r="N126" s="64" t="s">
        <v>3</v>
      </c>
      <c r="O126" s="64" t="s">
        <v>1169</v>
      </c>
      <c r="P126" s="33" t="s">
        <v>1199</v>
      </c>
      <c r="Q126" s="64"/>
      <c r="R126" s="33" t="s">
        <v>1168</v>
      </c>
    </row>
    <row r="127" spans="2:18" ht="25.5">
      <c r="B127" s="137"/>
      <c r="C127" s="137"/>
      <c r="D127" s="64">
        <v>120</v>
      </c>
      <c r="E127" s="33" t="s">
        <v>208</v>
      </c>
      <c r="F127" s="64" t="s">
        <v>13</v>
      </c>
      <c r="G127" s="64" t="s">
        <v>1751</v>
      </c>
      <c r="H127" s="64" t="s">
        <v>1</v>
      </c>
      <c r="I127" s="64" t="s">
        <v>11</v>
      </c>
      <c r="J127" s="33" t="s">
        <v>1166</v>
      </c>
      <c r="K127" s="65">
        <v>38333</v>
      </c>
      <c r="L127" s="66">
        <v>2004</v>
      </c>
      <c r="M127" s="66">
        <f t="shared" si="10"/>
        <v>15</v>
      </c>
      <c r="N127" s="64" t="s">
        <v>3</v>
      </c>
      <c r="O127" s="64" t="s">
        <v>1169</v>
      </c>
      <c r="P127" s="33" t="s">
        <v>1176</v>
      </c>
      <c r="Q127" s="64"/>
      <c r="R127" s="33" t="s">
        <v>1175</v>
      </c>
    </row>
    <row r="128" spans="2:18" ht="25.5">
      <c r="B128" s="137"/>
      <c r="C128" s="137"/>
      <c r="D128" s="64">
        <v>121</v>
      </c>
      <c r="E128" s="33" t="s">
        <v>1748</v>
      </c>
      <c r="F128" s="64" t="s">
        <v>13</v>
      </c>
      <c r="G128" s="64" t="s">
        <v>1752</v>
      </c>
      <c r="H128" s="64" t="s">
        <v>8</v>
      </c>
      <c r="I128" s="64" t="s">
        <v>11</v>
      </c>
      <c r="J128" s="33" t="s">
        <v>1753</v>
      </c>
      <c r="K128" s="65">
        <v>42830</v>
      </c>
      <c r="L128" s="66">
        <v>2017</v>
      </c>
      <c r="M128" s="66">
        <f t="shared" si="10"/>
        <v>2</v>
      </c>
      <c r="N128" s="64" t="s">
        <v>3</v>
      </c>
      <c r="O128" s="64" t="s">
        <v>1169</v>
      </c>
      <c r="P128" s="33" t="s">
        <v>1177</v>
      </c>
      <c r="Q128" s="64"/>
      <c r="R128" s="33" t="s">
        <v>1192</v>
      </c>
    </row>
    <row r="129" spans="2:18">
      <c r="B129" s="137">
        <v>40</v>
      </c>
      <c r="C129" s="137" t="s">
        <v>1731</v>
      </c>
      <c r="D129" s="64">
        <v>122</v>
      </c>
      <c r="E129" s="33" t="s">
        <v>213</v>
      </c>
      <c r="F129" s="64" t="s">
        <v>6</v>
      </c>
      <c r="G129" s="64" t="s">
        <v>1732</v>
      </c>
      <c r="H129" s="64" t="s">
        <v>1</v>
      </c>
      <c r="I129" s="64" t="s">
        <v>2</v>
      </c>
      <c r="J129" s="33" t="s">
        <v>1166</v>
      </c>
      <c r="K129" s="65">
        <v>27759</v>
      </c>
      <c r="L129" s="66">
        <v>1975</v>
      </c>
      <c r="M129" s="66">
        <f t="shared" si="10"/>
        <v>44</v>
      </c>
      <c r="N129" s="64" t="s">
        <v>3</v>
      </c>
      <c r="O129" s="64" t="s">
        <v>1169</v>
      </c>
      <c r="P129" s="33" t="s">
        <v>1199</v>
      </c>
      <c r="Q129" s="64"/>
      <c r="R129" s="33" t="s">
        <v>85</v>
      </c>
    </row>
    <row r="130" spans="2:18">
      <c r="B130" s="137"/>
      <c r="C130" s="137"/>
      <c r="D130" s="64">
        <v>123</v>
      </c>
      <c r="E130" s="33" t="s">
        <v>214</v>
      </c>
      <c r="F130" s="64" t="s">
        <v>9</v>
      </c>
      <c r="G130" s="64" t="s">
        <v>1733</v>
      </c>
      <c r="H130" s="64" t="s">
        <v>8</v>
      </c>
      <c r="I130" s="64" t="s">
        <v>2</v>
      </c>
      <c r="J130" s="33" t="s">
        <v>1166</v>
      </c>
      <c r="K130" s="65">
        <v>29220</v>
      </c>
      <c r="L130" s="66">
        <v>1979</v>
      </c>
      <c r="M130" s="66">
        <f t="shared" si="10"/>
        <v>40</v>
      </c>
      <c r="N130" s="64" t="s">
        <v>3</v>
      </c>
      <c r="O130" s="64" t="s">
        <v>1169</v>
      </c>
      <c r="P130" s="33" t="s">
        <v>1181</v>
      </c>
      <c r="Q130" s="64"/>
      <c r="R130" s="33" t="s">
        <v>85</v>
      </c>
    </row>
    <row r="131" spans="2:18" ht="25.5">
      <c r="B131" s="137"/>
      <c r="C131" s="137"/>
      <c r="D131" s="64">
        <v>124</v>
      </c>
      <c r="E131" s="33" t="s">
        <v>215</v>
      </c>
      <c r="F131" s="64" t="s">
        <v>13</v>
      </c>
      <c r="G131" s="64" t="s">
        <v>216</v>
      </c>
      <c r="H131" s="64" t="s">
        <v>1</v>
      </c>
      <c r="I131" s="64" t="s">
        <v>11</v>
      </c>
      <c r="J131" s="33" t="s">
        <v>1166</v>
      </c>
      <c r="K131" s="65">
        <v>36677</v>
      </c>
      <c r="L131" s="66">
        <v>2000</v>
      </c>
      <c r="M131" s="66">
        <f t="shared" si="10"/>
        <v>19</v>
      </c>
      <c r="N131" s="64" t="s">
        <v>3</v>
      </c>
      <c r="O131" s="64" t="s">
        <v>1169</v>
      </c>
      <c r="P131" s="33" t="s">
        <v>1176</v>
      </c>
      <c r="Q131" s="64"/>
      <c r="R131" s="33" t="s">
        <v>1175</v>
      </c>
    </row>
    <row r="132" spans="2:18" ht="25.5">
      <c r="B132" s="137"/>
      <c r="C132" s="137"/>
      <c r="D132" s="64">
        <v>125</v>
      </c>
      <c r="E132" s="33" t="s">
        <v>217</v>
      </c>
      <c r="F132" s="64" t="s">
        <v>13</v>
      </c>
      <c r="G132" s="64" t="s">
        <v>218</v>
      </c>
      <c r="H132" s="64" t="s">
        <v>1</v>
      </c>
      <c r="I132" s="64" t="s">
        <v>11</v>
      </c>
      <c r="J132" s="33" t="s">
        <v>1166</v>
      </c>
      <c r="K132" s="65">
        <v>38710</v>
      </c>
      <c r="L132" s="66">
        <v>2005</v>
      </c>
      <c r="M132" s="66">
        <f t="shared" si="10"/>
        <v>14</v>
      </c>
      <c r="N132" s="64" t="s">
        <v>3</v>
      </c>
      <c r="O132" s="64" t="s">
        <v>1169</v>
      </c>
      <c r="P132" s="33" t="s">
        <v>1176</v>
      </c>
      <c r="Q132" s="64"/>
      <c r="R132" s="33" t="s">
        <v>1175</v>
      </c>
    </row>
    <row r="133" spans="2:18" ht="25.5">
      <c r="B133" s="137"/>
      <c r="C133" s="137"/>
      <c r="D133" s="64">
        <v>126</v>
      </c>
      <c r="E133" s="33" t="s">
        <v>1735</v>
      </c>
      <c r="F133" s="64" t="s">
        <v>13</v>
      </c>
      <c r="G133" s="64" t="s">
        <v>1734</v>
      </c>
      <c r="H133" s="64" t="s">
        <v>8</v>
      </c>
      <c r="I133" s="64" t="s">
        <v>11</v>
      </c>
      <c r="J133" s="33" t="s">
        <v>1166</v>
      </c>
      <c r="K133" s="65">
        <v>41456</v>
      </c>
      <c r="L133" s="66">
        <v>2013</v>
      </c>
      <c r="M133" s="66">
        <f t="shared" si="10"/>
        <v>6</v>
      </c>
      <c r="N133" s="64" t="s">
        <v>3</v>
      </c>
      <c r="O133" s="64" t="s">
        <v>1169</v>
      </c>
      <c r="P133" s="33" t="s">
        <v>1177</v>
      </c>
      <c r="Q133" s="64"/>
      <c r="R133" s="33" t="s">
        <v>1192</v>
      </c>
    </row>
    <row r="134" spans="2:18" ht="25.5">
      <c r="B134" s="137"/>
      <c r="C134" s="137"/>
      <c r="D134" s="64">
        <v>127</v>
      </c>
      <c r="E134" s="33" t="s">
        <v>220</v>
      </c>
      <c r="F134" s="64" t="s">
        <v>6</v>
      </c>
      <c r="G134" s="64" t="s">
        <v>221</v>
      </c>
      <c r="H134" s="64" t="s">
        <v>8</v>
      </c>
      <c r="I134" s="64" t="s">
        <v>1221</v>
      </c>
      <c r="J134" s="33" t="s">
        <v>1172</v>
      </c>
      <c r="K134" s="65">
        <v>17532</v>
      </c>
      <c r="L134" s="66">
        <v>1947</v>
      </c>
      <c r="M134" s="66">
        <f t="shared" si="10"/>
        <v>72</v>
      </c>
      <c r="N134" s="64" t="s">
        <v>3</v>
      </c>
      <c r="O134" s="64" t="s">
        <v>1169</v>
      </c>
      <c r="P134" s="33" t="s">
        <v>1177</v>
      </c>
      <c r="Q134" s="64"/>
      <c r="R134" s="33" t="s">
        <v>1168</v>
      </c>
    </row>
    <row r="135" spans="2:18" s="59" customFormat="1" ht="25.5">
      <c r="B135" s="137">
        <v>41</v>
      </c>
      <c r="C135" s="137" t="s">
        <v>1683</v>
      </c>
      <c r="D135" s="64">
        <v>128</v>
      </c>
      <c r="E135" s="33" t="s">
        <v>139</v>
      </c>
      <c r="F135" s="64" t="s">
        <v>6</v>
      </c>
      <c r="G135" s="64" t="s">
        <v>140</v>
      </c>
      <c r="H135" s="64" t="s">
        <v>1</v>
      </c>
      <c r="I135" s="64" t="s">
        <v>2</v>
      </c>
      <c r="J135" s="33" t="s">
        <v>1172</v>
      </c>
      <c r="K135" s="65">
        <v>32375</v>
      </c>
      <c r="L135" s="66">
        <v>1988</v>
      </c>
      <c r="M135" s="66">
        <f>2019-L135</f>
        <v>31</v>
      </c>
      <c r="N135" s="64" t="s">
        <v>3</v>
      </c>
      <c r="O135" s="64" t="s">
        <v>1169</v>
      </c>
      <c r="P135" s="33" t="s">
        <v>1199</v>
      </c>
      <c r="Q135" s="64"/>
      <c r="R135" s="33" t="s">
        <v>1300</v>
      </c>
    </row>
    <row r="136" spans="2:18" s="59" customFormat="1" ht="25.5">
      <c r="B136" s="137"/>
      <c r="C136" s="137"/>
      <c r="D136" s="64">
        <v>129</v>
      </c>
      <c r="E136" s="33" t="s">
        <v>651</v>
      </c>
      <c r="F136" s="64" t="s">
        <v>9</v>
      </c>
      <c r="G136" s="64" t="s">
        <v>1652</v>
      </c>
      <c r="H136" s="64" t="s">
        <v>8</v>
      </c>
      <c r="I136" s="64" t="s">
        <v>2</v>
      </c>
      <c r="J136" s="33" t="s">
        <v>1166</v>
      </c>
      <c r="K136" s="65">
        <v>37186</v>
      </c>
      <c r="L136" s="66">
        <v>2001</v>
      </c>
      <c r="M136" s="66">
        <f>2019-L136</f>
        <v>18</v>
      </c>
      <c r="N136" s="64" t="s">
        <v>3</v>
      </c>
      <c r="O136" s="64" t="s">
        <v>1169</v>
      </c>
      <c r="P136" s="33" t="s">
        <v>1199</v>
      </c>
      <c r="Q136" s="64"/>
      <c r="R136" s="33" t="s">
        <v>1168</v>
      </c>
    </row>
    <row r="137" spans="2:18" ht="25.5">
      <c r="B137" s="64">
        <v>42</v>
      </c>
      <c r="C137" s="64" t="s">
        <v>1677</v>
      </c>
      <c r="D137" s="64">
        <v>130</v>
      </c>
      <c r="E137" s="33" t="s">
        <v>1675</v>
      </c>
      <c r="F137" s="64" t="s">
        <v>6</v>
      </c>
      <c r="G137" s="64" t="s">
        <v>1676</v>
      </c>
      <c r="H137" s="64" t="s">
        <v>1</v>
      </c>
      <c r="I137" s="64" t="s">
        <v>1221</v>
      </c>
      <c r="J137" s="33" t="s">
        <v>1166</v>
      </c>
      <c r="K137" s="65">
        <v>18628</v>
      </c>
      <c r="L137" s="66">
        <v>1950</v>
      </c>
      <c r="M137" s="66">
        <f t="shared" si="10"/>
        <v>69</v>
      </c>
      <c r="N137" s="64" t="s">
        <v>3</v>
      </c>
      <c r="O137" s="64" t="s">
        <v>1169</v>
      </c>
      <c r="P137" s="33" t="s">
        <v>1177</v>
      </c>
      <c r="Q137" s="64"/>
      <c r="R137" s="33" t="s">
        <v>1178</v>
      </c>
    </row>
    <row r="138" spans="2:18" s="59" customFormat="1">
      <c r="B138" s="137">
        <v>43</v>
      </c>
      <c r="C138" s="137" t="s">
        <v>1699</v>
      </c>
      <c r="D138" s="64">
        <v>131</v>
      </c>
      <c r="E138" s="33" t="s">
        <v>112</v>
      </c>
      <c r="F138" s="64" t="s">
        <v>6</v>
      </c>
      <c r="G138" s="64" t="s">
        <v>264</v>
      </c>
      <c r="H138" s="64" t="s">
        <v>1</v>
      </c>
      <c r="I138" s="64" t="s">
        <v>2</v>
      </c>
      <c r="J138" s="33" t="s">
        <v>1166</v>
      </c>
      <c r="K138" s="65">
        <v>33706</v>
      </c>
      <c r="L138" s="66">
        <v>1992</v>
      </c>
      <c r="M138" s="66">
        <f>2019-L138</f>
        <v>27</v>
      </c>
      <c r="N138" s="64" t="s">
        <v>3</v>
      </c>
      <c r="O138" s="64" t="s">
        <v>1169</v>
      </c>
      <c r="P138" s="33" t="s">
        <v>1181</v>
      </c>
      <c r="Q138" s="64"/>
      <c r="R138" s="33" t="s">
        <v>85</v>
      </c>
    </row>
    <row r="139" spans="2:18" s="59" customFormat="1">
      <c r="B139" s="137"/>
      <c r="C139" s="137"/>
      <c r="D139" s="64">
        <v>132</v>
      </c>
      <c r="E139" s="33" t="s">
        <v>1700</v>
      </c>
      <c r="F139" s="64" t="s">
        <v>9</v>
      </c>
      <c r="G139" s="64" t="s">
        <v>72</v>
      </c>
      <c r="H139" s="64" t="s">
        <v>8</v>
      </c>
      <c r="I139" s="64" t="s">
        <v>2</v>
      </c>
      <c r="J139" s="33" t="s">
        <v>1672</v>
      </c>
      <c r="K139" s="65">
        <v>36987</v>
      </c>
      <c r="L139" s="66">
        <v>2001</v>
      </c>
      <c r="M139" s="66">
        <f>2019-L139</f>
        <v>18</v>
      </c>
      <c r="N139" s="64" t="s">
        <v>3</v>
      </c>
      <c r="O139" s="64" t="s">
        <v>1169</v>
      </c>
      <c r="P139" s="33" t="s">
        <v>1199</v>
      </c>
      <c r="Q139" s="64"/>
      <c r="R139" s="33" t="s">
        <v>1175</v>
      </c>
    </row>
    <row r="140" spans="2:18" s="59" customFormat="1" ht="25.5">
      <c r="B140" s="137"/>
      <c r="C140" s="137"/>
      <c r="D140" s="64">
        <v>133</v>
      </c>
      <c r="E140" s="33" t="s">
        <v>1701</v>
      </c>
      <c r="F140" s="64" t="s">
        <v>13</v>
      </c>
      <c r="G140" s="64" t="s">
        <v>1702</v>
      </c>
      <c r="H140" s="64" t="s">
        <v>8</v>
      </c>
      <c r="I140" s="64" t="s">
        <v>11</v>
      </c>
      <c r="J140" s="33" t="s">
        <v>1703</v>
      </c>
      <c r="K140" s="65">
        <v>43172</v>
      </c>
      <c r="L140" s="66">
        <v>2018</v>
      </c>
      <c r="M140" s="66">
        <f>2019-L140</f>
        <v>1</v>
      </c>
      <c r="N140" s="64" t="s">
        <v>3</v>
      </c>
      <c r="O140" s="64" t="s">
        <v>1169</v>
      </c>
      <c r="P140" s="33" t="s">
        <v>1177</v>
      </c>
      <c r="Q140" s="64"/>
      <c r="R140" s="33" t="s">
        <v>1192</v>
      </c>
    </row>
    <row r="141" spans="2:18" ht="25.5">
      <c r="B141" s="137">
        <v>44</v>
      </c>
      <c r="C141" s="137" t="s">
        <v>1714</v>
      </c>
      <c r="D141" s="64">
        <v>134</v>
      </c>
      <c r="E141" s="33" t="s">
        <v>225</v>
      </c>
      <c r="F141" s="64" t="s">
        <v>6</v>
      </c>
      <c r="G141" s="64" t="s">
        <v>1716</v>
      </c>
      <c r="H141" s="64" t="s">
        <v>1</v>
      </c>
      <c r="I141" s="64" t="s">
        <v>2</v>
      </c>
      <c r="J141" s="33" t="s">
        <v>1166</v>
      </c>
      <c r="K141" s="65">
        <v>31412</v>
      </c>
      <c r="L141" s="66">
        <v>1985</v>
      </c>
      <c r="M141" s="66">
        <f t="shared" si="10"/>
        <v>34</v>
      </c>
      <c r="N141" s="64" t="s">
        <v>3</v>
      </c>
      <c r="O141" s="64" t="s">
        <v>1169</v>
      </c>
      <c r="P141" s="33" t="s">
        <v>1199</v>
      </c>
      <c r="Q141" s="64"/>
      <c r="R141" s="33" t="s">
        <v>1178</v>
      </c>
    </row>
    <row r="142" spans="2:18" ht="25.5">
      <c r="B142" s="137"/>
      <c r="C142" s="137"/>
      <c r="D142" s="64">
        <v>135</v>
      </c>
      <c r="E142" s="33" t="s">
        <v>226</v>
      </c>
      <c r="F142" s="64" t="s">
        <v>9</v>
      </c>
      <c r="G142" s="64" t="s">
        <v>1717</v>
      </c>
      <c r="H142" s="64" t="s">
        <v>8</v>
      </c>
      <c r="I142" s="64" t="s">
        <v>2</v>
      </c>
      <c r="J142" s="33" t="s">
        <v>1719</v>
      </c>
      <c r="K142" s="65">
        <v>31777</v>
      </c>
      <c r="L142" s="66">
        <v>1986</v>
      </c>
      <c r="M142" s="66">
        <f t="shared" si="10"/>
        <v>33</v>
      </c>
      <c r="N142" s="64" t="s">
        <v>3</v>
      </c>
      <c r="O142" s="64" t="s">
        <v>1169</v>
      </c>
      <c r="P142" s="33" t="s">
        <v>1181</v>
      </c>
      <c r="Q142" s="64"/>
      <c r="R142" s="33" t="s">
        <v>1168</v>
      </c>
    </row>
    <row r="143" spans="2:18" ht="25.5">
      <c r="B143" s="137"/>
      <c r="C143" s="137"/>
      <c r="D143" s="64">
        <v>136</v>
      </c>
      <c r="E143" s="33" t="s">
        <v>227</v>
      </c>
      <c r="F143" s="64" t="s">
        <v>13</v>
      </c>
      <c r="G143" s="64" t="s">
        <v>228</v>
      </c>
      <c r="H143" s="64" t="s">
        <v>8</v>
      </c>
      <c r="I143" s="64" t="s">
        <v>11</v>
      </c>
      <c r="J143" s="33" t="s">
        <v>1166</v>
      </c>
      <c r="K143" s="65">
        <v>40003</v>
      </c>
      <c r="L143" s="66">
        <v>2009</v>
      </c>
      <c r="M143" s="66">
        <f t="shared" si="10"/>
        <v>10</v>
      </c>
      <c r="N143" s="64" t="s">
        <v>3</v>
      </c>
      <c r="O143" s="64" t="s">
        <v>1169</v>
      </c>
      <c r="P143" s="33" t="s">
        <v>1176</v>
      </c>
      <c r="Q143" s="64"/>
      <c r="R143" s="33" t="s">
        <v>1175</v>
      </c>
    </row>
    <row r="144" spans="2:18" ht="25.5">
      <c r="B144" s="137"/>
      <c r="C144" s="137"/>
      <c r="D144" s="64">
        <v>137</v>
      </c>
      <c r="E144" s="33" t="s">
        <v>1715</v>
      </c>
      <c r="F144" s="64" t="s">
        <v>13</v>
      </c>
      <c r="G144" s="64" t="s">
        <v>1718</v>
      </c>
      <c r="H144" s="64" t="s">
        <v>8</v>
      </c>
      <c r="I144" s="64" t="s">
        <v>11</v>
      </c>
      <c r="J144" s="33" t="s">
        <v>1249</v>
      </c>
      <c r="K144" s="65">
        <v>42343</v>
      </c>
      <c r="L144" s="66">
        <v>2015</v>
      </c>
      <c r="M144" s="66">
        <f t="shared" si="10"/>
        <v>4</v>
      </c>
      <c r="N144" s="64" t="s">
        <v>3</v>
      </c>
      <c r="O144" s="64" t="s">
        <v>1169</v>
      </c>
      <c r="P144" s="33" t="s">
        <v>1177</v>
      </c>
      <c r="Q144" s="64"/>
      <c r="R144" s="33" t="s">
        <v>1192</v>
      </c>
    </row>
    <row r="145" spans="2:18" ht="25.5">
      <c r="B145" s="137">
        <v>45</v>
      </c>
      <c r="C145" s="137" t="s">
        <v>1711</v>
      </c>
      <c r="D145" s="64">
        <v>138</v>
      </c>
      <c r="E145" s="33" t="s">
        <v>229</v>
      </c>
      <c r="F145" s="64" t="s">
        <v>6</v>
      </c>
      <c r="G145" s="64" t="s">
        <v>1713</v>
      </c>
      <c r="H145" s="64" t="s">
        <v>1</v>
      </c>
      <c r="I145" s="64" t="s">
        <v>2</v>
      </c>
      <c r="J145" s="33" t="s">
        <v>1166</v>
      </c>
      <c r="K145" s="65">
        <v>25568</v>
      </c>
      <c r="L145" s="66">
        <v>1969</v>
      </c>
      <c r="M145" s="66">
        <f t="shared" si="10"/>
        <v>50</v>
      </c>
      <c r="N145" s="64" t="s">
        <v>3</v>
      </c>
      <c r="O145" s="64" t="s">
        <v>1169</v>
      </c>
      <c r="P145" s="33" t="s">
        <v>1177</v>
      </c>
      <c r="Q145" s="64"/>
      <c r="R145" s="33" t="s">
        <v>85</v>
      </c>
    </row>
    <row r="146" spans="2:18" ht="25.5">
      <c r="B146" s="137"/>
      <c r="C146" s="137"/>
      <c r="D146" s="64">
        <v>139</v>
      </c>
      <c r="E146" s="33" t="s">
        <v>1712</v>
      </c>
      <c r="F146" s="64" t="s">
        <v>9</v>
      </c>
      <c r="G146" s="64" t="s">
        <v>230</v>
      </c>
      <c r="H146" s="64" t="s">
        <v>8</v>
      </c>
      <c r="I146" s="64" t="s">
        <v>2</v>
      </c>
      <c r="J146" s="33" t="s">
        <v>1166</v>
      </c>
      <c r="K146" s="65">
        <v>19724</v>
      </c>
      <c r="L146" s="66">
        <v>1953</v>
      </c>
      <c r="M146" s="66">
        <f t="shared" si="10"/>
        <v>66</v>
      </c>
      <c r="N146" s="64" t="s">
        <v>3</v>
      </c>
      <c r="O146" s="64" t="s">
        <v>1169</v>
      </c>
      <c r="P146" s="33" t="s">
        <v>1177</v>
      </c>
      <c r="Q146" s="64"/>
      <c r="R146" s="33" t="s">
        <v>85</v>
      </c>
    </row>
    <row r="147" spans="2:18">
      <c r="B147" s="137"/>
      <c r="C147" s="137"/>
      <c r="D147" s="64">
        <v>140</v>
      </c>
      <c r="E147" s="33" t="s">
        <v>231</v>
      </c>
      <c r="F147" s="64" t="s">
        <v>13</v>
      </c>
      <c r="G147" s="64" t="s">
        <v>232</v>
      </c>
      <c r="H147" s="64" t="s">
        <v>8</v>
      </c>
      <c r="I147" s="64" t="s">
        <v>11</v>
      </c>
      <c r="J147" s="33" t="s">
        <v>1166</v>
      </c>
      <c r="K147" s="65">
        <v>34563</v>
      </c>
      <c r="L147" s="66">
        <v>1994</v>
      </c>
      <c r="M147" s="66">
        <f t="shared" si="10"/>
        <v>25</v>
      </c>
      <c r="N147" s="64" t="s">
        <v>3</v>
      </c>
      <c r="O147" s="64" t="s">
        <v>1169</v>
      </c>
      <c r="P147" s="33" t="s">
        <v>1174</v>
      </c>
      <c r="Q147" s="64"/>
      <c r="R147" s="33" t="s">
        <v>1300</v>
      </c>
    </row>
    <row r="148" spans="2:18">
      <c r="B148" s="137">
        <v>46</v>
      </c>
      <c r="C148" s="137"/>
      <c r="D148" s="64">
        <v>141</v>
      </c>
      <c r="E148" s="33" t="s">
        <v>233</v>
      </c>
      <c r="F148" s="64" t="s">
        <v>6</v>
      </c>
      <c r="G148" s="64" t="s">
        <v>234</v>
      </c>
      <c r="H148" s="64" t="s">
        <v>1</v>
      </c>
      <c r="I148" s="64" t="s">
        <v>2</v>
      </c>
      <c r="J148" s="33"/>
      <c r="K148" s="65">
        <v>24107</v>
      </c>
      <c r="L148" s="66">
        <f t="shared" ref="L148:L158" si="11">YEAR(K148)</f>
        <v>1965</v>
      </c>
      <c r="M148" s="66">
        <f t="shared" si="10"/>
        <v>54</v>
      </c>
      <c r="N148" s="64" t="s">
        <v>3</v>
      </c>
      <c r="O148" s="64"/>
      <c r="P148" s="33" t="s">
        <v>28</v>
      </c>
      <c r="Q148" s="64"/>
      <c r="R148" s="33" t="s">
        <v>119</v>
      </c>
    </row>
    <row r="149" spans="2:18">
      <c r="B149" s="137"/>
      <c r="C149" s="137"/>
      <c r="D149" s="64">
        <v>142</v>
      </c>
      <c r="E149" s="33" t="s">
        <v>235</v>
      </c>
      <c r="F149" s="64" t="s">
        <v>9</v>
      </c>
      <c r="G149" s="64" t="s">
        <v>236</v>
      </c>
      <c r="H149" s="64" t="s">
        <v>8</v>
      </c>
      <c r="I149" s="64" t="s">
        <v>2</v>
      </c>
      <c r="J149" s="33"/>
      <c r="K149" s="65">
        <v>26298</v>
      </c>
      <c r="L149" s="66">
        <f t="shared" si="11"/>
        <v>1971</v>
      </c>
      <c r="M149" s="66">
        <f t="shared" si="10"/>
        <v>48</v>
      </c>
      <c r="N149" s="64" t="s">
        <v>3</v>
      </c>
      <c r="O149" s="64"/>
      <c r="P149" s="33" t="s">
        <v>4</v>
      </c>
      <c r="Q149" s="64"/>
      <c r="R149" s="33" t="s">
        <v>119</v>
      </c>
    </row>
    <row r="150" spans="2:18">
      <c r="B150" s="137"/>
      <c r="C150" s="137"/>
      <c r="D150" s="64">
        <v>143</v>
      </c>
      <c r="E150" s="33" t="s">
        <v>237</v>
      </c>
      <c r="F150" s="64" t="s">
        <v>13</v>
      </c>
      <c r="G150" s="64" t="s">
        <v>238</v>
      </c>
      <c r="H150" s="64" t="s">
        <v>1</v>
      </c>
      <c r="I150" s="64" t="s">
        <v>11</v>
      </c>
      <c r="J150" s="33"/>
      <c r="K150" s="65">
        <v>33588</v>
      </c>
      <c r="L150" s="66">
        <f t="shared" si="11"/>
        <v>1991</v>
      </c>
      <c r="M150" s="66">
        <f t="shared" si="10"/>
        <v>28</v>
      </c>
      <c r="N150" s="64" t="s">
        <v>3</v>
      </c>
      <c r="O150" s="64"/>
      <c r="P150" s="33" t="s">
        <v>16</v>
      </c>
      <c r="Q150" s="64"/>
      <c r="R150" s="33" t="s">
        <v>119</v>
      </c>
    </row>
    <row r="151" spans="2:18">
      <c r="B151" s="137"/>
      <c r="C151" s="137"/>
      <c r="D151" s="64">
        <v>144</v>
      </c>
      <c r="E151" s="33" t="s">
        <v>239</v>
      </c>
      <c r="F151" s="64" t="s">
        <v>240</v>
      </c>
      <c r="G151" s="64" t="s">
        <v>241</v>
      </c>
      <c r="H151" s="64" t="s">
        <v>1</v>
      </c>
      <c r="I151" s="64" t="s">
        <v>11</v>
      </c>
      <c r="J151" s="33"/>
      <c r="K151" s="65">
        <v>40673</v>
      </c>
      <c r="L151" s="66">
        <f t="shared" si="11"/>
        <v>2011</v>
      </c>
      <c r="M151" s="66">
        <f t="shared" si="10"/>
        <v>8</v>
      </c>
      <c r="N151" s="64" t="s">
        <v>3</v>
      </c>
      <c r="O151" s="64"/>
      <c r="P151" s="33" t="s">
        <v>16</v>
      </c>
      <c r="Q151" s="64"/>
      <c r="R151" s="33" t="s">
        <v>4</v>
      </c>
    </row>
    <row r="152" spans="2:18" ht="25.5">
      <c r="B152" s="137"/>
      <c r="C152" s="137"/>
      <c r="D152" s="64">
        <v>145</v>
      </c>
      <c r="E152" s="33" t="s">
        <v>242</v>
      </c>
      <c r="F152" s="64" t="s">
        <v>13</v>
      </c>
      <c r="G152" s="64" t="s">
        <v>243</v>
      </c>
      <c r="H152" s="64" t="s">
        <v>1</v>
      </c>
      <c r="I152" s="64" t="s">
        <v>11</v>
      </c>
      <c r="J152" s="33"/>
      <c r="K152" s="65">
        <v>38496</v>
      </c>
      <c r="L152" s="66">
        <f t="shared" si="11"/>
        <v>2005</v>
      </c>
      <c r="M152" s="66">
        <f t="shared" si="10"/>
        <v>14</v>
      </c>
      <c r="N152" s="64" t="s">
        <v>3</v>
      </c>
      <c r="O152" s="64"/>
      <c r="P152" s="33" t="s">
        <v>4</v>
      </c>
      <c r="Q152" s="64"/>
      <c r="R152" s="33" t="s">
        <v>4</v>
      </c>
    </row>
    <row r="153" spans="2:18">
      <c r="B153" s="137">
        <v>47</v>
      </c>
      <c r="C153" s="137"/>
      <c r="D153" s="64">
        <v>146</v>
      </c>
      <c r="E153" s="33" t="s">
        <v>244</v>
      </c>
      <c r="F153" s="64" t="s">
        <v>6</v>
      </c>
      <c r="G153" s="64">
        <v>0</v>
      </c>
      <c r="H153" s="64" t="s">
        <v>1</v>
      </c>
      <c r="I153" s="64" t="s">
        <v>245</v>
      </c>
      <c r="J153" s="33"/>
      <c r="K153" s="65">
        <v>26664</v>
      </c>
      <c r="L153" s="66">
        <f t="shared" si="11"/>
        <v>1972</v>
      </c>
      <c r="M153" s="66">
        <f t="shared" si="10"/>
        <v>47</v>
      </c>
      <c r="N153" s="64" t="s">
        <v>142</v>
      </c>
      <c r="O153" s="64"/>
      <c r="P153" s="33" t="s">
        <v>28</v>
      </c>
      <c r="Q153" s="64"/>
      <c r="R153" s="33" t="s">
        <v>5</v>
      </c>
    </row>
    <row r="154" spans="2:18">
      <c r="B154" s="137"/>
      <c r="C154" s="137"/>
      <c r="D154" s="64">
        <v>147</v>
      </c>
      <c r="E154" s="33" t="s">
        <v>246</v>
      </c>
      <c r="F154" s="64" t="s">
        <v>13</v>
      </c>
      <c r="G154" s="64">
        <v>0</v>
      </c>
      <c r="H154" s="64" t="s">
        <v>1</v>
      </c>
      <c r="I154" s="64" t="s">
        <v>11</v>
      </c>
      <c r="J154" s="33"/>
      <c r="K154" s="65">
        <v>32386</v>
      </c>
      <c r="L154" s="66">
        <f t="shared" si="11"/>
        <v>1988</v>
      </c>
      <c r="M154" s="66">
        <f t="shared" si="10"/>
        <v>31</v>
      </c>
      <c r="N154" s="64" t="s">
        <v>3</v>
      </c>
      <c r="O154" s="64"/>
      <c r="P154" s="33" t="s">
        <v>28</v>
      </c>
      <c r="Q154" s="64"/>
      <c r="R154" s="33" t="s">
        <v>5</v>
      </c>
    </row>
    <row r="155" spans="2:18">
      <c r="B155" s="137">
        <v>48</v>
      </c>
      <c r="C155" s="137"/>
      <c r="D155" s="64">
        <v>148</v>
      </c>
      <c r="E155" s="33" t="s">
        <v>247</v>
      </c>
      <c r="F155" s="64" t="s">
        <v>6</v>
      </c>
      <c r="G155" s="64" t="s">
        <v>248</v>
      </c>
      <c r="H155" s="64" t="s">
        <v>1</v>
      </c>
      <c r="I155" s="64" t="s">
        <v>2</v>
      </c>
      <c r="J155" s="33"/>
      <c r="K155" s="65">
        <v>25203</v>
      </c>
      <c r="L155" s="66">
        <f t="shared" si="11"/>
        <v>1968</v>
      </c>
      <c r="M155" s="66">
        <f t="shared" si="10"/>
        <v>51</v>
      </c>
      <c r="N155" s="64" t="s">
        <v>3</v>
      </c>
      <c r="O155" s="64"/>
      <c r="P155" s="33" t="s">
        <v>16</v>
      </c>
      <c r="Q155" s="64"/>
      <c r="R155" s="33" t="s">
        <v>80</v>
      </c>
    </row>
    <row r="156" spans="2:18">
      <c r="B156" s="137"/>
      <c r="C156" s="137"/>
      <c r="D156" s="64">
        <v>149</v>
      </c>
      <c r="E156" s="33" t="s">
        <v>249</v>
      </c>
      <c r="F156" s="64" t="s">
        <v>9</v>
      </c>
      <c r="G156" s="64" t="s">
        <v>250</v>
      </c>
      <c r="H156" s="64" t="s">
        <v>8</v>
      </c>
      <c r="I156" s="64" t="s">
        <v>2</v>
      </c>
      <c r="J156" s="33"/>
      <c r="K156" s="65">
        <v>39089</v>
      </c>
      <c r="L156" s="66">
        <f t="shared" si="11"/>
        <v>2007</v>
      </c>
      <c r="M156" s="66">
        <f t="shared" si="10"/>
        <v>12</v>
      </c>
      <c r="N156" s="64" t="s">
        <v>3</v>
      </c>
      <c r="O156" s="64"/>
      <c r="P156" s="33" t="s">
        <v>16</v>
      </c>
      <c r="Q156" s="64"/>
      <c r="R156" s="33" t="s">
        <v>119</v>
      </c>
    </row>
    <row r="157" spans="2:18">
      <c r="B157" s="137"/>
      <c r="C157" s="137"/>
      <c r="D157" s="64">
        <v>150</v>
      </c>
      <c r="E157" s="33" t="s">
        <v>251</v>
      </c>
      <c r="F157" s="64" t="s">
        <v>13</v>
      </c>
      <c r="G157" s="64" t="s">
        <v>252</v>
      </c>
      <c r="H157" s="64" t="s">
        <v>1</v>
      </c>
      <c r="I157" s="64" t="s">
        <v>2</v>
      </c>
      <c r="J157" s="33"/>
      <c r="K157" s="65">
        <v>33823</v>
      </c>
      <c r="L157" s="66">
        <f t="shared" si="11"/>
        <v>1992</v>
      </c>
      <c r="M157" s="66">
        <f t="shared" si="10"/>
        <v>27</v>
      </c>
      <c r="N157" s="64" t="s">
        <v>3</v>
      </c>
      <c r="O157" s="64"/>
      <c r="P157" s="33" t="s">
        <v>12</v>
      </c>
      <c r="Q157" s="64"/>
      <c r="R157" s="33" t="s">
        <v>4</v>
      </c>
    </row>
    <row r="158" spans="2:18">
      <c r="B158" s="137"/>
      <c r="C158" s="137"/>
      <c r="D158" s="64">
        <v>151</v>
      </c>
      <c r="E158" s="33" t="s">
        <v>253</v>
      </c>
      <c r="F158" s="64" t="s">
        <v>13</v>
      </c>
      <c r="G158" s="64" t="s">
        <v>254</v>
      </c>
      <c r="H158" s="64" t="s">
        <v>8</v>
      </c>
      <c r="I158" s="64" t="s">
        <v>11</v>
      </c>
      <c r="J158" s="33"/>
      <c r="K158" s="65">
        <v>37444</v>
      </c>
      <c r="L158" s="66">
        <f t="shared" si="11"/>
        <v>2002</v>
      </c>
      <c r="M158" s="66">
        <f t="shared" si="10"/>
        <v>17</v>
      </c>
      <c r="N158" s="64" t="s">
        <v>3</v>
      </c>
      <c r="O158" s="64"/>
      <c r="P158" s="33" t="s">
        <v>28</v>
      </c>
      <c r="Q158" s="64"/>
      <c r="R158" s="33" t="s">
        <v>4</v>
      </c>
    </row>
    <row r="159" spans="2:18" ht="25.5">
      <c r="B159" s="137">
        <v>49</v>
      </c>
      <c r="C159" s="137" t="s">
        <v>1257</v>
      </c>
      <c r="D159" s="64">
        <v>152</v>
      </c>
      <c r="E159" s="33" t="s">
        <v>1258</v>
      </c>
      <c r="F159" s="64" t="s">
        <v>6</v>
      </c>
      <c r="G159" s="64" t="s">
        <v>1261</v>
      </c>
      <c r="H159" s="64" t="s">
        <v>1</v>
      </c>
      <c r="I159" s="64" t="s">
        <v>2</v>
      </c>
      <c r="J159" s="33" t="s">
        <v>1172</v>
      </c>
      <c r="K159" s="65">
        <v>26481</v>
      </c>
      <c r="L159" s="66">
        <v>1972</v>
      </c>
      <c r="M159" s="66">
        <f t="shared" ref="M159:M190" si="12">2019-L159</f>
        <v>47</v>
      </c>
      <c r="N159" s="64" t="s">
        <v>3</v>
      </c>
      <c r="O159" s="64" t="s">
        <v>1169</v>
      </c>
      <c r="P159" s="33" t="s">
        <v>1181</v>
      </c>
      <c r="Q159" s="64"/>
      <c r="R159" s="33" t="s">
        <v>1167</v>
      </c>
    </row>
    <row r="160" spans="2:18" ht="25.5">
      <c r="B160" s="137"/>
      <c r="C160" s="137"/>
      <c r="D160" s="64">
        <v>153</v>
      </c>
      <c r="E160" s="33" t="s">
        <v>1259</v>
      </c>
      <c r="F160" s="64" t="s">
        <v>9</v>
      </c>
      <c r="G160" s="64" t="s">
        <v>1262</v>
      </c>
      <c r="H160" s="64" t="s">
        <v>8</v>
      </c>
      <c r="I160" s="64" t="s">
        <v>2</v>
      </c>
      <c r="J160" s="33" t="s">
        <v>1172</v>
      </c>
      <c r="K160" s="65">
        <v>26846</v>
      </c>
      <c r="L160" s="66">
        <v>1973</v>
      </c>
      <c r="M160" s="66">
        <f t="shared" si="12"/>
        <v>46</v>
      </c>
      <c r="N160" s="64" t="s">
        <v>3</v>
      </c>
      <c r="O160" s="64" t="s">
        <v>1169</v>
      </c>
      <c r="P160" s="33" t="s">
        <v>1177</v>
      </c>
      <c r="Q160" s="64"/>
      <c r="R160" s="33" t="s">
        <v>1167</v>
      </c>
    </row>
    <row r="161" spans="2:18">
      <c r="B161" s="137"/>
      <c r="C161" s="137"/>
      <c r="D161" s="64">
        <v>154</v>
      </c>
      <c r="E161" s="33" t="s">
        <v>1260</v>
      </c>
      <c r="F161" s="64" t="s">
        <v>13</v>
      </c>
      <c r="G161" s="64" t="s">
        <v>1263</v>
      </c>
      <c r="H161" s="64" t="s">
        <v>8</v>
      </c>
      <c r="I161" s="64" t="s">
        <v>11</v>
      </c>
      <c r="J161" s="33" t="s">
        <v>1166</v>
      </c>
      <c r="K161" s="65">
        <v>34824</v>
      </c>
      <c r="L161" s="66">
        <v>1995</v>
      </c>
      <c r="M161" s="66">
        <f t="shared" si="12"/>
        <v>24</v>
      </c>
      <c r="N161" s="64" t="s">
        <v>3</v>
      </c>
      <c r="O161" s="64" t="s">
        <v>1169</v>
      </c>
      <c r="P161" s="33" t="s">
        <v>1174</v>
      </c>
      <c r="Q161" s="64"/>
      <c r="R161" s="33" t="s">
        <v>1175</v>
      </c>
    </row>
    <row r="162" spans="2:18" ht="25.5">
      <c r="B162" s="137"/>
      <c r="C162" s="137"/>
      <c r="D162" s="64">
        <v>155</v>
      </c>
      <c r="E162" s="33" t="s">
        <v>255</v>
      </c>
      <c r="F162" s="64" t="s">
        <v>13</v>
      </c>
      <c r="G162" s="64" t="s">
        <v>1264</v>
      </c>
      <c r="H162" s="64" t="s">
        <v>8</v>
      </c>
      <c r="I162" s="64" t="s">
        <v>11</v>
      </c>
      <c r="J162" s="33" t="s">
        <v>1166</v>
      </c>
      <c r="K162" s="65">
        <v>39337</v>
      </c>
      <c r="L162" s="66">
        <v>2007</v>
      </c>
      <c r="M162" s="66">
        <f t="shared" si="12"/>
        <v>12</v>
      </c>
      <c r="N162" s="64" t="s">
        <v>3</v>
      </c>
      <c r="O162" s="64" t="s">
        <v>1169</v>
      </c>
      <c r="P162" s="33" t="s">
        <v>1176</v>
      </c>
      <c r="Q162" s="64"/>
      <c r="R162" s="33" t="s">
        <v>1175</v>
      </c>
    </row>
    <row r="163" spans="2:18">
      <c r="B163" s="137">
        <v>50</v>
      </c>
      <c r="C163" s="137" t="s">
        <v>1445</v>
      </c>
      <c r="D163" s="64">
        <v>156</v>
      </c>
      <c r="E163" s="33" t="s">
        <v>256</v>
      </c>
      <c r="F163" s="64" t="s">
        <v>6</v>
      </c>
      <c r="G163" s="64" t="s">
        <v>1446</v>
      </c>
      <c r="H163" s="64" t="s">
        <v>1</v>
      </c>
      <c r="I163" s="64" t="s">
        <v>2</v>
      </c>
      <c r="J163" s="33" t="s">
        <v>1449</v>
      </c>
      <c r="K163" s="65">
        <v>31412</v>
      </c>
      <c r="L163" s="66">
        <v>1985</v>
      </c>
      <c r="M163" s="66">
        <f t="shared" si="12"/>
        <v>34</v>
      </c>
      <c r="N163" s="64" t="s">
        <v>3</v>
      </c>
      <c r="O163" s="64" t="s">
        <v>1169</v>
      </c>
      <c r="P163" s="33" t="s">
        <v>1174</v>
      </c>
      <c r="Q163" s="64"/>
      <c r="R163" s="33" t="s">
        <v>85</v>
      </c>
    </row>
    <row r="164" spans="2:18" ht="25.5">
      <c r="B164" s="137"/>
      <c r="C164" s="137"/>
      <c r="D164" s="64">
        <v>157</v>
      </c>
      <c r="E164" s="33" t="s">
        <v>257</v>
      </c>
      <c r="F164" s="64" t="s">
        <v>9</v>
      </c>
      <c r="G164" s="64" t="s">
        <v>1447</v>
      </c>
      <c r="H164" s="64" t="s">
        <v>8</v>
      </c>
      <c r="I164" s="64" t="s">
        <v>2</v>
      </c>
      <c r="J164" s="33" t="s">
        <v>1450</v>
      </c>
      <c r="K164" s="65">
        <v>33627</v>
      </c>
      <c r="L164" s="66">
        <v>1992</v>
      </c>
      <c r="M164" s="66">
        <f t="shared" si="12"/>
        <v>27</v>
      </c>
      <c r="N164" s="64" t="s">
        <v>3</v>
      </c>
      <c r="O164" s="64" t="s">
        <v>1169</v>
      </c>
      <c r="P164" s="33" t="s">
        <v>1181</v>
      </c>
      <c r="Q164" s="64"/>
      <c r="R164" s="33" t="s">
        <v>1168</v>
      </c>
    </row>
    <row r="165" spans="2:18" ht="25.5">
      <c r="B165" s="137"/>
      <c r="C165" s="137"/>
      <c r="D165" s="64">
        <v>158</v>
      </c>
      <c r="E165" s="33" t="s">
        <v>258</v>
      </c>
      <c r="F165" s="64" t="s">
        <v>13</v>
      </c>
      <c r="G165" s="64" t="s">
        <v>1448</v>
      </c>
      <c r="H165" s="64" t="s">
        <v>8</v>
      </c>
      <c r="I165" s="64" t="s">
        <v>11</v>
      </c>
      <c r="J165" s="33" t="s">
        <v>1166</v>
      </c>
      <c r="K165" s="65">
        <v>40205</v>
      </c>
      <c r="L165" s="66">
        <v>2010</v>
      </c>
      <c r="M165" s="66">
        <f t="shared" si="12"/>
        <v>9</v>
      </c>
      <c r="N165" s="64" t="s">
        <v>3</v>
      </c>
      <c r="O165" s="64" t="s">
        <v>1169</v>
      </c>
      <c r="P165" s="33" t="s">
        <v>1177</v>
      </c>
      <c r="Q165" s="64"/>
      <c r="R165" s="33" t="s">
        <v>1192</v>
      </c>
    </row>
    <row r="166" spans="2:18" ht="25.5">
      <c r="B166" s="137">
        <v>51</v>
      </c>
      <c r="C166" s="137" t="s">
        <v>1211</v>
      </c>
      <c r="D166" s="64">
        <v>159</v>
      </c>
      <c r="E166" s="33" t="s">
        <v>259</v>
      </c>
      <c r="F166" s="64" t="s">
        <v>6</v>
      </c>
      <c r="G166" s="64" t="s">
        <v>1212</v>
      </c>
      <c r="H166" s="64" t="s">
        <v>1</v>
      </c>
      <c r="I166" s="64" t="s">
        <v>2</v>
      </c>
      <c r="J166" s="33" t="s">
        <v>1172</v>
      </c>
      <c r="K166" s="65">
        <v>17349</v>
      </c>
      <c r="L166" s="66">
        <v>1947</v>
      </c>
      <c r="M166" s="66">
        <f t="shared" si="12"/>
        <v>72</v>
      </c>
      <c r="N166" s="64" t="s">
        <v>3</v>
      </c>
      <c r="O166" s="64" t="s">
        <v>1169</v>
      </c>
      <c r="P166" s="33" t="s">
        <v>1177</v>
      </c>
      <c r="Q166" s="64"/>
      <c r="R166" s="33" t="s">
        <v>1178</v>
      </c>
    </row>
    <row r="167" spans="2:18" ht="25.5">
      <c r="B167" s="137"/>
      <c r="C167" s="137"/>
      <c r="D167" s="64">
        <v>160</v>
      </c>
      <c r="E167" s="33" t="s">
        <v>1210</v>
      </c>
      <c r="F167" s="64" t="s">
        <v>9</v>
      </c>
      <c r="G167" s="64" t="s">
        <v>1213</v>
      </c>
      <c r="H167" s="64" t="s">
        <v>8</v>
      </c>
      <c r="I167" s="64" t="s">
        <v>2</v>
      </c>
      <c r="J167" s="33" t="s">
        <v>1172</v>
      </c>
      <c r="K167" s="65">
        <v>24654</v>
      </c>
      <c r="L167" s="66">
        <v>1967</v>
      </c>
      <c r="M167" s="66">
        <f t="shared" si="12"/>
        <v>52</v>
      </c>
      <c r="N167" s="64" t="s">
        <v>3</v>
      </c>
      <c r="O167" s="64" t="s">
        <v>1169</v>
      </c>
      <c r="P167" s="33" t="s">
        <v>1177</v>
      </c>
      <c r="Q167" s="64"/>
      <c r="R167" s="33" t="s">
        <v>1178</v>
      </c>
    </row>
    <row r="168" spans="2:18" ht="25.5">
      <c r="B168" s="137">
        <v>52</v>
      </c>
      <c r="C168" s="137" t="s">
        <v>1557</v>
      </c>
      <c r="D168" s="64">
        <v>161</v>
      </c>
      <c r="E168" s="33" t="s">
        <v>261</v>
      </c>
      <c r="F168" s="64" t="s">
        <v>6</v>
      </c>
      <c r="G168" s="64" t="s">
        <v>262</v>
      </c>
      <c r="H168" s="64" t="s">
        <v>8</v>
      </c>
      <c r="I168" s="64" t="s">
        <v>1221</v>
      </c>
      <c r="J168" s="33" t="s">
        <v>1172</v>
      </c>
      <c r="K168" s="65">
        <v>24654</v>
      </c>
      <c r="L168" s="66">
        <v>1967</v>
      </c>
      <c r="M168" s="66">
        <f t="shared" si="12"/>
        <v>52</v>
      </c>
      <c r="N168" s="64" t="s">
        <v>3</v>
      </c>
      <c r="O168" s="64" t="s">
        <v>1169</v>
      </c>
      <c r="P168" s="33" t="s">
        <v>1177</v>
      </c>
      <c r="Q168" s="64"/>
      <c r="R168" s="33" t="s">
        <v>1178</v>
      </c>
    </row>
    <row r="169" spans="2:18" ht="25.5">
      <c r="B169" s="137"/>
      <c r="C169" s="137"/>
      <c r="D169" s="64">
        <v>162</v>
      </c>
      <c r="E169" s="33" t="s">
        <v>263</v>
      </c>
      <c r="F169" s="64" t="s">
        <v>13</v>
      </c>
      <c r="G169" s="64" t="s">
        <v>1558</v>
      </c>
      <c r="H169" s="64" t="s">
        <v>8</v>
      </c>
      <c r="I169" s="64" t="s">
        <v>11</v>
      </c>
      <c r="J169" s="33" t="s">
        <v>1172</v>
      </c>
      <c r="K169" s="65">
        <v>33420</v>
      </c>
      <c r="L169" s="66">
        <v>1991</v>
      </c>
      <c r="M169" s="66">
        <f t="shared" si="12"/>
        <v>28</v>
      </c>
      <c r="N169" s="64" t="s">
        <v>3</v>
      </c>
      <c r="O169" s="64" t="s">
        <v>1169</v>
      </c>
      <c r="P169" s="33" t="s">
        <v>1181</v>
      </c>
      <c r="Q169" s="64"/>
      <c r="R169" s="33" t="s">
        <v>1192</v>
      </c>
    </row>
    <row r="170" spans="2:18" ht="25.5">
      <c r="B170" s="137">
        <v>53</v>
      </c>
      <c r="C170" s="137" t="s">
        <v>1252</v>
      </c>
      <c r="D170" s="64">
        <v>163</v>
      </c>
      <c r="E170" s="33" t="s">
        <v>266</v>
      </c>
      <c r="F170" s="64" t="s">
        <v>6</v>
      </c>
      <c r="G170" s="64" t="s">
        <v>267</v>
      </c>
      <c r="H170" s="64" t="s">
        <v>1</v>
      </c>
      <c r="I170" s="64" t="s">
        <v>2</v>
      </c>
      <c r="J170" s="33" t="s">
        <v>1166</v>
      </c>
      <c r="K170" s="65">
        <v>24574</v>
      </c>
      <c r="L170" s="66">
        <v>1967</v>
      </c>
      <c r="M170" s="66">
        <f t="shared" si="12"/>
        <v>52</v>
      </c>
      <c r="N170" s="64" t="s">
        <v>3</v>
      </c>
      <c r="O170" s="64" t="s">
        <v>1169</v>
      </c>
      <c r="P170" s="33" t="s">
        <v>1181</v>
      </c>
      <c r="Q170" s="64"/>
      <c r="R170" s="33" t="s">
        <v>1178</v>
      </c>
    </row>
    <row r="171" spans="2:18" ht="25.5">
      <c r="B171" s="137"/>
      <c r="C171" s="137"/>
      <c r="D171" s="64">
        <v>164</v>
      </c>
      <c r="E171" s="33" t="s">
        <v>268</v>
      </c>
      <c r="F171" s="64" t="s">
        <v>9</v>
      </c>
      <c r="G171" s="64" t="s">
        <v>269</v>
      </c>
      <c r="H171" s="64" t="s">
        <v>8</v>
      </c>
      <c r="I171" s="64" t="s">
        <v>2</v>
      </c>
      <c r="J171" s="33" t="s">
        <v>1166</v>
      </c>
      <c r="K171" s="65">
        <v>24675</v>
      </c>
      <c r="L171" s="66">
        <v>1967</v>
      </c>
      <c r="M171" s="66">
        <f t="shared" si="12"/>
        <v>52</v>
      </c>
      <c r="N171" s="64" t="s">
        <v>3</v>
      </c>
      <c r="O171" s="64" t="s">
        <v>1169</v>
      </c>
      <c r="P171" s="33" t="s">
        <v>1177</v>
      </c>
      <c r="Q171" s="64"/>
      <c r="R171" s="33" t="s">
        <v>1178</v>
      </c>
    </row>
    <row r="172" spans="2:18">
      <c r="B172" s="137"/>
      <c r="C172" s="137"/>
      <c r="D172" s="64">
        <v>165</v>
      </c>
      <c r="E172" s="33" t="s">
        <v>1251</v>
      </c>
      <c r="F172" s="64" t="s">
        <v>13</v>
      </c>
      <c r="G172" s="64" t="s">
        <v>270</v>
      </c>
      <c r="H172" s="64" t="s">
        <v>31</v>
      </c>
      <c r="I172" s="64" t="s">
        <v>11</v>
      </c>
      <c r="J172" s="33" t="s">
        <v>1166</v>
      </c>
      <c r="K172" s="65">
        <v>33244</v>
      </c>
      <c r="L172" s="66">
        <v>1991</v>
      </c>
      <c r="M172" s="66">
        <f t="shared" si="12"/>
        <v>28</v>
      </c>
      <c r="N172" s="64" t="s">
        <v>3</v>
      </c>
      <c r="O172" s="64" t="s">
        <v>1169</v>
      </c>
      <c r="P172" s="33" t="s">
        <v>1174</v>
      </c>
      <c r="Q172" s="64"/>
      <c r="R172" s="33" t="s">
        <v>85</v>
      </c>
    </row>
    <row r="173" spans="2:18" ht="25.5">
      <c r="B173" s="137">
        <v>54</v>
      </c>
      <c r="C173" s="137" t="s">
        <v>1275</v>
      </c>
      <c r="D173" s="64">
        <v>166</v>
      </c>
      <c r="E173" s="33" t="s">
        <v>213</v>
      </c>
      <c r="F173" s="64" t="s">
        <v>6</v>
      </c>
      <c r="G173" s="64" t="s">
        <v>1276</v>
      </c>
      <c r="H173" s="64" t="s">
        <v>1</v>
      </c>
      <c r="I173" s="64" t="s">
        <v>2</v>
      </c>
      <c r="J173" s="33" t="s">
        <v>1278</v>
      </c>
      <c r="K173" s="65">
        <v>25568</v>
      </c>
      <c r="L173" s="66">
        <v>1969</v>
      </c>
      <c r="M173" s="66">
        <f t="shared" si="12"/>
        <v>50</v>
      </c>
      <c r="N173" s="64" t="s">
        <v>3</v>
      </c>
      <c r="O173" s="64" t="s">
        <v>1169</v>
      </c>
      <c r="P173" s="33" t="s">
        <v>1181</v>
      </c>
      <c r="Q173" s="64"/>
      <c r="R173" s="33" t="s">
        <v>1178</v>
      </c>
    </row>
    <row r="174" spans="2:18" ht="25.5">
      <c r="B174" s="137"/>
      <c r="C174" s="137"/>
      <c r="D174" s="64">
        <v>167</v>
      </c>
      <c r="E174" s="33" t="s">
        <v>271</v>
      </c>
      <c r="F174" s="64" t="s">
        <v>9</v>
      </c>
      <c r="G174" s="66" t="s">
        <v>1277</v>
      </c>
      <c r="H174" s="64" t="s">
        <v>8</v>
      </c>
      <c r="I174" s="64" t="s">
        <v>2</v>
      </c>
      <c r="J174" s="33" t="s">
        <v>1166</v>
      </c>
      <c r="K174" s="65">
        <v>27029</v>
      </c>
      <c r="L174" s="66">
        <v>1973</v>
      </c>
      <c r="M174" s="66">
        <f t="shared" si="12"/>
        <v>46</v>
      </c>
      <c r="N174" s="64" t="s">
        <v>3</v>
      </c>
      <c r="O174" s="64" t="s">
        <v>1169</v>
      </c>
      <c r="P174" s="33" t="s">
        <v>1181</v>
      </c>
      <c r="Q174" s="64"/>
      <c r="R174" s="33" t="s">
        <v>1178</v>
      </c>
    </row>
    <row r="175" spans="2:18">
      <c r="B175" s="137"/>
      <c r="C175" s="137"/>
      <c r="D175" s="64">
        <v>168</v>
      </c>
      <c r="E175" s="33" t="s">
        <v>139</v>
      </c>
      <c r="F175" s="64" t="s">
        <v>13</v>
      </c>
      <c r="G175" s="64" t="s">
        <v>272</v>
      </c>
      <c r="H175" s="64" t="s">
        <v>1</v>
      </c>
      <c r="I175" s="64" t="s">
        <v>11</v>
      </c>
      <c r="J175" s="33" t="s">
        <v>1166</v>
      </c>
      <c r="K175" s="65">
        <v>33368</v>
      </c>
      <c r="L175" s="66">
        <v>1991</v>
      </c>
      <c r="M175" s="66">
        <f t="shared" si="12"/>
        <v>28</v>
      </c>
      <c r="N175" s="64" t="s">
        <v>3</v>
      </c>
      <c r="O175" s="64" t="s">
        <v>1169</v>
      </c>
      <c r="P175" s="33" t="s">
        <v>1199</v>
      </c>
      <c r="Q175" s="64"/>
      <c r="R175" s="33" t="s">
        <v>1175</v>
      </c>
    </row>
    <row r="176" spans="2:18">
      <c r="B176" s="137">
        <v>55</v>
      </c>
      <c r="C176" s="137"/>
      <c r="D176" s="64">
        <v>169</v>
      </c>
      <c r="E176" s="33" t="s">
        <v>275</v>
      </c>
      <c r="F176" s="64" t="s">
        <v>6</v>
      </c>
      <c r="G176" s="64" t="s">
        <v>276</v>
      </c>
      <c r="H176" s="64" t="s">
        <v>1</v>
      </c>
      <c r="I176" s="64" t="s">
        <v>2</v>
      </c>
      <c r="J176" s="33"/>
      <c r="K176" s="65">
        <v>22646</v>
      </c>
      <c r="L176" s="66">
        <f t="shared" ref="L176:L186" si="13">YEAR(K176)</f>
        <v>1961</v>
      </c>
      <c r="M176" s="66">
        <f t="shared" si="12"/>
        <v>58</v>
      </c>
      <c r="N176" s="64" t="s">
        <v>3</v>
      </c>
      <c r="O176" s="64"/>
      <c r="P176" s="33" t="s">
        <v>4</v>
      </c>
      <c r="Q176" s="64"/>
      <c r="R176" s="33" t="s">
        <v>126</v>
      </c>
    </row>
    <row r="177" spans="2:18">
      <c r="B177" s="137"/>
      <c r="C177" s="137"/>
      <c r="D177" s="64">
        <v>170</v>
      </c>
      <c r="E177" s="33" t="s">
        <v>277</v>
      </c>
      <c r="F177" s="64" t="s">
        <v>9</v>
      </c>
      <c r="G177" s="64" t="s">
        <v>278</v>
      </c>
      <c r="H177" s="64" t="s">
        <v>8</v>
      </c>
      <c r="I177" s="64" t="s">
        <v>2</v>
      </c>
      <c r="J177" s="33"/>
      <c r="K177" s="65">
        <v>25639</v>
      </c>
      <c r="L177" s="66">
        <f t="shared" si="13"/>
        <v>1970</v>
      </c>
      <c r="M177" s="66">
        <f t="shared" si="12"/>
        <v>49</v>
      </c>
      <c r="N177" s="64" t="s">
        <v>3</v>
      </c>
      <c r="O177" s="64"/>
      <c r="P177" s="33" t="s">
        <v>28</v>
      </c>
      <c r="Q177" s="64"/>
      <c r="R177" s="33" t="s">
        <v>126</v>
      </c>
    </row>
    <row r="178" spans="2:18">
      <c r="B178" s="137"/>
      <c r="C178" s="137"/>
      <c r="D178" s="64">
        <v>171</v>
      </c>
      <c r="E178" s="33" t="s">
        <v>279</v>
      </c>
      <c r="F178" s="64" t="s">
        <v>13</v>
      </c>
      <c r="G178" s="64" t="s">
        <v>280</v>
      </c>
      <c r="H178" s="64" t="s">
        <v>8</v>
      </c>
      <c r="I178" s="64" t="s">
        <v>11</v>
      </c>
      <c r="J178" s="33"/>
      <c r="K178" s="65">
        <v>34459</v>
      </c>
      <c r="L178" s="66">
        <f t="shared" si="13"/>
        <v>1994</v>
      </c>
      <c r="M178" s="66">
        <f t="shared" si="12"/>
        <v>25</v>
      </c>
      <c r="N178" s="64" t="s">
        <v>3</v>
      </c>
      <c r="O178" s="64"/>
      <c r="P178" s="33" t="s">
        <v>12</v>
      </c>
      <c r="Q178" s="64"/>
      <c r="R178" s="33" t="s">
        <v>4</v>
      </c>
    </row>
    <row r="179" spans="2:18">
      <c r="B179" s="137"/>
      <c r="C179" s="137"/>
      <c r="D179" s="64">
        <v>172</v>
      </c>
      <c r="E179" s="33" t="s">
        <v>281</v>
      </c>
      <c r="F179" s="64" t="s">
        <v>13</v>
      </c>
      <c r="G179" s="64" t="s">
        <v>282</v>
      </c>
      <c r="H179" s="64" t="s">
        <v>1</v>
      </c>
      <c r="I179" s="64" t="s">
        <v>11</v>
      </c>
      <c r="J179" s="33"/>
      <c r="K179" s="65">
        <v>33069</v>
      </c>
      <c r="L179" s="66">
        <f t="shared" si="13"/>
        <v>1990</v>
      </c>
      <c r="M179" s="66">
        <f t="shared" si="12"/>
        <v>29</v>
      </c>
      <c r="N179" s="64" t="s">
        <v>3</v>
      </c>
      <c r="O179" s="64"/>
      <c r="P179" s="33" t="s">
        <v>12</v>
      </c>
      <c r="Q179" s="64"/>
      <c r="R179" s="33" t="s">
        <v>4</v>
      </c>
    </row>
    <row r="180" spans="2:18" ht="25.5">
      <c r="B180" s="137"/>
      <c r="C180" s="137"/>
      <c r="D180" s="64">
        <v>173</v>
      </c>
      <c r="E180" s="33" t="s">
        <v>283</v>
      </c>
      <c r="F180" s="64" t="s">
        <v>13</v>
      </c>
      <c r="G180" s="64" t="s">
        <v>284</v>
      </c>
      <c r="H180" s="64" t="s">
        <v>8</v>
      </c>
      <c r="I180" s="64" t="s">
        <v>11</v>
      </c>
      <c r="J180" s="33"/>
      <c r="K180" s="65">
        <v>40427</v>
      </c>
      <c r="L180" s="66">
        <f t="shared" si="13"/>
        <v>2010</v>
      </c>
      <c r="M180" s="66">
        <f t="shared" si="12"/>
        <v>9</v>
      </c>
      <c r="N180" s="64" t="s">
        <v>3</v>
      </c>
      <c r="O180" s="64"/>
      <c r="P180" s="33" t="s">
        <v>4</v>
      </c>
      <c r="Q180" s="64"/>
      <c r="R180" s="33" t="s">
        <v>4</v>
      </c>
    </row>
    <row r="181" spans="2:18">
      <c r="B181" s="137">
        <v>56</v>
      </c>
      <c r="C181" s="137"/>
      <c r="D181" s="64">
        <v>174</v>
      </c>
      <c r="E181" s="33" t="s">
        <v>285</v>
      </c>
      <c r="F181" s="64" t="s">
        <v>6</v>
      </c>
      <c r="G181" s="64" t="s">
        <v>286</v>
      </c>
      <c r="H181" s="64" t="s">
        <v>1</v>
      </c>
      <c r="I181" s="64" t="s">
        <v>2</v>
      </c>
      <c r="J181" s="33"/>
      <c r="K181" s="65">
        <v>25203</v>
      </c>
      <c r="L181" s="66">
        <f t="shared" si="13"/>
        <v>1968</v>
      </c>
      <c r="M181" s="66">
        <f t="shared" si="12"/>
        <v>51</v>
      </c>
      <c r="N181" s="64" t="s">
        <v>3</v>
      </c>
      <c r="O181" s="64"/>
      <c r="P181" s="33" t="s">
        <v>4</v>
      </c>
      <c r="Q181" s="64"/>
      <c r="R181" s="33" t="s">
        <v>85</v>
      </c>
    </row>
    <row r="182" spans="2:18">
      <c r="B182" s="137"/>
      <c r="C182" s="137"/>
      <c r="D182" s="64">
        <v>175</v>
      </c>
      <c r="E182" s="33" t="s">
        <v>287</v>
      </c>
      <c r="F182" s="64" t="s">
        <v>9</v>
      </c>
      <c r="G182" s="64" t="s">
        <v>288</v>
      </c>
      <c r="H182" s="64" t="s">
        <v>8</v>
      </c>
      <c r="I182" s="64" t="s">
        <v>2</v>
      </c>
      <c r="J182" s="33"/>
      <c r="K182" s="65">
        <v>26298</v>
      </c>
      <c r="L182" s="66">
        <f t="shared" si="13"/>
        <v>1971</v>
      </c>
      <c r="M182" s="66">
        <f t="shared" si="12"/>
        <v>48</v>
      </c>
      <c r="N182" s="64" t="s">
        <v>3</v>
      </c>
      <c r="O182" s="64"/>
      <c r="P182" s="33" t="s">
        <v>4</v>
      </c>
      <c r="Q182" s="64"/>
      <c r="R182" s="33" t="s">
        <v>119</v>
      </c>
    </row>
    <row r="183" spans="2:18">
      <c r="B183" s="137"/>
      <c r="C183" s="137"/>
      <c r="D183" s="64">
        <v>176</v>
      </c>
      <c r="E183" s="33" t="s">
        <v>156</v>
      </c>
      <c r="F183" s="64" t="s">
        <v>13</v>
      </c>
      <c r="G183" s="64" t="s">
        <v>289</v>
      </c>
      <c r="H183" s="64" t="s">
        <v>1</v>
      </c>
      <c r="I183" s="64" t="s">
        <v>11</v>
      </c>
      <c r="J183" s="33"/>
      <c r="K183" s="65">
        <v>40178</v>
      </c>
      <c r="L183" s="66">
        <f t="shared" si="13"/>
        <v>2009</v>
      </c>
      <c r="M183" s="66">
        <f t="shared" si="12"/>
        <v>10</v>
      </c>
      <c r="N183" s="64" t="s">
        <v>3</v>
      </c>
      <c r="O183" s="64"/>
      <c r="P183" s="33" t="s">
        <v>12</v>
      </c>
      <c r="Q183" s="64"/>
      <c r="R183" s="33" t="s">
        <v>85</v>
      </c>
    </row>
    <row r="184" spans="2:18">
      <c r="B184" s="137"/>
      <c r="C184" s="137"/>
      <c r="D184" s="64">
        <v>177</v>
      </c>
      <c r="E184" s="33" t="s">
        <v>290</v>
      </c>
      <c r="F184" s="64" t="s">
        <v>13</v>
      </c>
      <c r="G184" s="64" t="s">
        <v>291</v>
      </c>
      <c r="H184" s="64" t="s">
        <v>8</v>
      </c>
      <c r="I184" s="64" t="s">
        <v>11</v>
      </c>
      <c r="J184" s="33"/>
      <c r="K184" s="65">
        <v>34789</v>
      </c>
      <c r="L184" s="66">
        <f t="shared" si="13"/>
        <v>1995</v>
      </c>
      <c r="M184" s="66">
        <f t="shared" si="12"/>
        <v>24</v>
      </c>
      <c r="N184" s="64" t="s">
        <v>3</v>
      </c>
      <c r="O184" s="64"/>
      <c r="P184" s="33" t="s">
        <v>12</v>
      </c>
      <c r="Q184" s="64"/>
      <c r="R184" s="33" t="s">
        <v>4</v>
      </c>
    </row>
    <row r="185" spans="2:18" ht="25.5">
      <c r="B185" s="137"/>
      <c r="C185" s="137"/>
      <c r="D185" s="64">
        <v>178</v>
      </c>
      <c r="E185" s="33" t="s">
        <v>292</v>
      </c>
      <c r="F185" s="64" t="s">
        <v>13</v>
      </c>
      <c r="G185" s="64" t="s">
        <v>293</v>
      </c>
      <c r="H185" s="64" t="s">
        <v>1</v>
      </c>
      <c r="I185" s="64" t="s">
        <v>11</v>
      </c>
      <c r="J185" s="33"/>
      <c r="K185" s="65">
        <v>36381</v>
      </c>
      <c r="L185" s="66">
        <f t="shared" si="13"/>
        <v>1999</v>
      </c>
      <c r="M185" s="66">
        <f t="shared" si="12"/>
        <v>20</v>
      </c>
      <c r="N185" s="64" t="s">
        <v>3</v>
      </c>
      <c r="O185" s="64"/>
      <c r="P185" s="33" t="s">
        <v>28</v>
      </c>
      <c r="Q185" s="64"/>
      <c r="R185" s="33" t="s">
        <v>4</v>
      </c>
    </row>
    <row r="186" spans="2:18">
      <c r="B186" s="137"/>
      <c r="C186" s="137"/>
      <c r="D186" s="64">
        <v>179</v>
      </c>
      <c r="E186" s="33" t="s">
        <v>294</v>
      </c>
      <c r="F186" s="64" t="s">
        <v>13</v>
      </c>
      <c r="G186" s="64" t="s">
        <v>295</v>
      </c>
      <c r="H186" s="64" t="s">
        <v>1</v>
      </c>
      <c r="I186" s="64" t="s">
        <v>11</v>
      </c>
      <c r="J186" s="33"/>
      <c r="K186" s="65">
        <v>40141</v>
      </c>
      <c r="L186" s="66">
        <f t="shared" si="13"/>
        <v>2009</v>
      </c>
      <c r="M186" s="66">
        <f t="shared" si="12"/>
        <v>10</v>
      </c>
      <c r="N186" s="64" t="s">
        <v>3</v>
      </c>
      <c r="O186" s="64"/>
      <c r="P186" s="33" t="s">
        <v>4</v>
      </c>
      <c r="Q186" s="64"/>
      <c r="R186" s="33" t="s">
        <v>4</v>
      </c>
    </row>
    <row r="187" spans="2:18">
      <c r="B187" s="137">
        <v>57</v>
      </c>
      <c r="C187" s="137" t="s">
        <v>1279</v>
      </c>
      <c r="D187" s="64">
        <v>180</v>
      </c>
      <c r="E187" s="33" t="s">
        <v>296</v>
      </c>
      <c r="F187" s="64" t="s">
        <v>6</v>
      </c>
      <c r="G187" s="64" t="s">
        <v>1280</v>
      </c>
      <c r="H187" s="64" t="s">
        <v>1</v>
      </c>
      <c r="I187" s="64" t="s">
        <v>2</v>
      </c>
      <c r="J187" s="33" t="s">
        <v>1166</v>
      </c>
      <c r="K187" s="65">
        <v>22281</v>
      </c>
      <c r="L187" s="66">
        <v>1960</v>
      </c>
      <c r="M187" s="66">
        <f t="shared" si="12"/>
        <v>59</v>
      </c>
      <c r="N187" s="64" t="s">
        <v>3</v>
      </c>
      <c r="O187" s="64" t="s">
        <v>1169</v>
      </c>
      <c r="P187" s="33" t="s">
        <v>1181</v>
      </c>
      <c r="Q187" s="64"/>
      <c r="R187" s="33" t="s">
        <v>85</v>
      </c>
    </row>
    <row r="188" spans="2:18" ht="25.5">
      <c r="B188" s="137"/>
      <c r="C188" s="137"/>
      <c r="D188" s="64">
        <v>181</v>
      </c>
      <c r="E188" s="33" t="s">
        <v>297</v>
      </c>
      <c r="F188" s="64" t="s">
        <v>9</v>
      </c>
      <c r="G188" s="64" t="s">
        <v>1281</v>
      </c>
      <c r="H188" s="64" t="s">
        <v>8</v>
      </c>
      <c r="I188" s="64" t="s">
        <v>2</v>
      </c>
      <c r="J188" s="33" t="s">
        <v>1166</v>
      </c>
      <c r="K188" s="65">
        <v>20454</v>
      </c>
      <c r="L188" s="66">
        <v>1955</v>
      </c>
      <c r="M188" s="66">
        <f t="shared" si="12"/>
        <v>64</v>
      </c>
      <c r="N188" s="64" t="s">
        <v>3</v>
      </c>
      <c r="O188" s="64" t="s">
        <v>1169</v>
      </c>
      <c r="P188" s="33" t="s">
        <v>1177</v>
      </c>
      <c r="Q188" s="64"/>
      <c r="R188" s="33" t="s">
        <v>1168</v>
      </c>
    </row>
    <row r="189" spans="2:18" ht="25.5">
      <c r="B189" s="137"/>
      <c r="C189" s="137"/>
      <c r="D189" s="64">
        <v>182</v>
      </c>
      <c r="E189" s="33" t="s">
        <v>298</v>
      </c>
      <c r="F189" s="64" t="s">
        <v>13</v>
      </c>
      <c r="G189" s="64" t="s">
        <v>1282</v>
      </c>
      <c r="H189" s="64" t="s">
        <v>1</v>
      </c>
      <c r="I189" s="64" t="s">
        <v>11</v>
      </c>
      <c r="J189" s="33" t="s">
        <v>1166</v>
      </c>
      <c r="K189" s="65">
        <v>34432</v>
      </c>
      <c r="L189" s="66">
        <v>1994</v>
      </c>
      <c r="M189" s="66">
        <f t="shared" si="12"/>
        <v>25</v>
      </c>
      <c r="N189" s="64" t="s">
        <v>3</v>
      </c>
      <c r="O189" s="64" t="s">
        <v>1169</v>
      </c>
      <c r="P189" s="33" t="s">
        <v>1181</v>
      </c>
      <c r="Q189" s="64"/>
      <c r="R189" s="33" t="s">
        <v>1192</v>
      </c>
    </row>
    <row r="190" spans="2:18">
      <c r="B190" s="137"/>
      <c r="C190" s="137"/>
      <c r="D190" s="64">
        <v>183</v>
      </c>
      <c r="E190" s="33" t="s">
        <v>42</v>
      </c>
      <c r="F190" s="64" t="s">
        <v>13</v>
      </c>
      <c r="G190" s="64" t="s">
        <v>1283</v>
      </c>
      <c r="H190" s="64" t="s">
        <v>1</v>
      </c>
      <c r="I190" s="64" t="s">
        <v>11</v>
      </c>
      <c r="J190" s="33" t="s">
        <v>1166</v>
      </c>
      <c r="K190" s="65">
        <v>35490</v>
      </c>
      <c r="L190" s="66">
        <v>1997</v>
      </c>
      <c r="M190" s="66">
        <f t="shared" si="12"/>
        <v>22</v>
      </c>
      <c r="N190" s="64" t="s">
        <v>3</v>
      </c>
      <c r="O190" s="64" t="s">
        <v>1169</v>
      </c>
      <c r="P190" s="33" t="s">
        <v>1174</v>
      </c>
      <c r="Q190" s="64"/>
      <c r="R190" s="33" t="s">
        <v>1175</v>
      </c>
    </row>
    <row r="191" spans="2:18">
      <c r="B191" s="137"/>
      <c r="C191" s="137"/>
      <c r="D191" s="64">
        <v>184</v>
      </c>
      <c r="E191" s="33" t="s">
        <v>299</v>
      </c>
      <c r="F191" s="64" t="s">
        <v>13</v>
      </c>
      <c r="G191" s="64" t="s">
        <v>1284</v>
      </c>
      <c r="H191" s="64" t="s">
        <v>8</v>
      </c>
      <c r="I191" s="64" t="s">
        <v>11</v>
      </c>
      <c r="J191" s="33" t="s">
        <v>1287</v>
      </c>
      <c r="K191" s="65">
        <v>36587</v>
      </c>
      <c r="L191" s="66">
        <v>2000</v>
      </c>
      <c r="M191" s="66">
        <f t="shared" ref="M191:M198" si="14">2019-L191</f>
        <v>19</v>
      </c>
      <c r="N191" s="64" t="s">
        <v>3</v>
      </c>
      <c r="O191" s="64" t="s">
        <v>1169</v>
      </c>
      <c r="P191" s="33" t="s">
        <v>1199</v>
      </c>
      <c r="Q191" s="64"/>
      <c r="R191" s="33" t="s">
        <v>1175</v>
      </c>
    </row>
    <row r="192" spans="2:18">
      <c r="B192" s="137"/>
      <c r="C192" s="137"/>
      <c r="D192" s="64">
        <v>185</v>
      </c>
      <c r="E192" s="33" t="s">
        <v>300</v>
      </c>
      <c r="F192" s="64" t="s">
        <v>13</v>
      </c>
      <c r="G192" s="64" t="s">
        <v>1285</v>
      </c>
      <c r="H192" s="64" t="s">
        <v>1</v>
      </c>
      <c r="I192" s="64" t="s">
        <v>11</v>
      </c>
      <c r="J192" s="33" t="s">
        <v>1166</v>
      </c>
      <c r="K192" s="65">
        <v>37835</v>
      </c>
      <c r="L192" s="66">
        <v>2003</v>
      </c>
      <c r="M192" s="66">
        <f t="shared" si="14"/>
        <v>16</v>
      </c>
      <c r="N192" s="64" t="s">
        <v>3</v>
      </c>
      <c r="O192" s="64" t="s">
        <v>1169</v>
      </c>
      <c r="P192" s="33" t="s">
        <v>1181</v>
      </c>
      <c r="Q192" s="64"/>
      <c r="R192" s="33" t="s">
        <v>1175</v>
      </c>
    </row>
    <row r="193" spans="2:18" ht="25.5">
      <c r="B193" s="137"/>
      <c r="C193" s="137"/>
      <c r="D193" s="64">
        <v>186</v>
      </c>
      <c r="E193" s="33" t="s">
        <v>301</v>
      </c>
      <c r="F193" s="64" t="s">
        <v>13</v>
      </c>
      <c r="G193" s="64" t="s">
        <v>1286</v>
      </c>
      <c r="H193" s="64" t="s">
        <v>8</v>
      </c>
      <c r="I193" s="64" t="s">
        <v>11</v>
      </c>
      <c r="J193" s="33" t="s">
        <v>1166</v>
      </c>
      <c r="K193" s="65">
        <v>38965</v>
      </c>
      <c r="L193" s="66">
        <v>2006</v>
      </c>
      <c r="M193" s="66">
        <f t="shared" si="14"/>
        <v>13</v>
      </c>
      <c r="N193" s="64" t="s">
        <v>3</v>
      </c>
      <c r="O193" s="64" t="s">
        <v>1169</v>
      </c>
      <c r="P193" s="33" t="s">
        <v>1176</v>
      </c>
      <c r="Q193" s="64"/>
      <c r="R193" s="33" t="s">
        <v>1175</v>
      </c>
    </row>
    <row r="194" spans="2:18">
      <c r="B194" s="137">
        <v>58</v>
      </c>
      <c r="C194" s="137" t="s">
        <v>1793</v>
      </c>
      <c r="D194" s="64">
        <v>187</v>
      </c>
      <c r="E194" s="33" t="s">
        <v>302</v>
      </c>
      <c r="F194" s="64" t="s">
        <v>6</v>
      </c>
      <c r="G194" s="64" t="s">
        <v>1796</v>
      </c>
      <c r="H194" s="64" t="s">
        <v>1</v>
      </c>
      <c r="I194" s="64" t="s">
        <v>2</v>
      </c>
      <c r="J194" s="33" t="s">
        <v>1166</v>
      </c>
      <c r="K194" s="65">
        <v>31218</v>
      </c>
      <c r="L194" s="66">
        <v>1985</v>
      </c>
      <c r="M194" s="66">
        <f t="shared" si="14"/>
        <v>34</v>
      </c>
      <c r="N194" s="64" t="s">
        <v>3</v>
      </c>
      <c r="O194" s="64" t="s">
        <v>1169</v>
      </c>
      <c r="P194" s="33" t="s">
        <v>1199</v>
      </c>
      <c r="Q194" s="64"/>
      <c r="R194" s="33" t="s">
        <v>85</v>
      </c>
    </row>
    <row r="195" spans="2:18" ht="25.5">
      <c r="B195" s="137"/>
      <c r="C195" s="137"/>
      <c r="D195" s="64">
        <v>188</v>
      </c>
      <c r="E195" s="33" t="s">
        <v>1794</v>
      </c>
      <c r="F195" s="64" t="s">
        <v>303</v>
      </c>
      <c r="G195" s="64" t="s">
        <v>1797</v>
      </c>
      <c r="H195" s="64" t="s">
        <v>8</v>
      </c>
      <c r="I195" s="64" t="s">
        <v>2</v>
      </c>
      <c r="J195" s="33" t="s">
        <v>1799</v>
      </c>
      <c r="K195" s="65">
        <v>33058</v>
      </c>
      <c r="L195" s="66">
        <v>1990</v>
      </c>
      <c r="M195" s="66">
        <f t="shared" si="14"/>
        <v>29</v>
      </c>
      <c r="N195" s="64" t="s">
        <v>3</v>
      </c>
      <c r="O195" s="64" t="s">
        <v>1169</v>
      </c>
      <c r="P195" s="33" t="s">
        <v>1199</v>
      </c>
      <c r="Q195" s="64"/>
      <c r="R195" s="33" t="s">
        <v>1168</v>
      </c>
    </row>
    <row r="196" spans="2:18" ht="25.5">
      <c r="B196" s="137"/>
      <c r="C196" s="137"/>
      <c r="D196" s="64">
        <v>189</v>
      </c>
      <c r="E196" s="33" t="s">
        <v>1795</v>
      </c>
      <c r="F196" s="64" t="s">
        <v>13</v>
      </c>
      <c r="G196" s="64" t="s">
        <v>1798</v>
      </c>
      <c r="H196" s="64" t="s">
        <v>8</v>
      </c>
      <c r="I196" s="64" t="s">
        <v>11</v>
      </c>
      <c r="J196" s="33" t="s">
        <v>1249</v>
      </c>
      <c r="K196" s="65">
        <v>41815</v>
      </c>
      <c r="L196" s="66">
        <v>2014</v>
      </c>
      <c r="M196" s="66">
        <f t="shared" si="14"/>
        <v>5</v>
      </c>
      <c r="N196" s="64" t="s">
        <v>3</v>
      </c>
      <c r="O196" s="64" t="s">
        <v>1169</v>
      </c>
      <c r="P196" s="33" t="s">
        <v>1177</v>
      </c>
      <c r="Q196" s="64"/>
      <c r="R196" s="33" t="s">
        <v>1192</v>
      </c>
    </row>
    <row r="197" spans="2:18" ht="25.5">
      <c r="B197" s="137">
        <v>59</v>
      </c>
      <c r="C197" s="137" t="s">
        <v>1678</v>
      </c>
      <c r="D197" s="64">
        <v>190</v>
      </c>
      <c r="E197" s="33" t="s">
        <v>304</v>
      </c>
      <c r="F197" s="64" t="s">
        <v>6</v>
      </c>
      <c r="G197" s="64" t="s">
        <v>1679</v>
      </c>
      <c r="H197" s="64" t="s">
        <v>1</v>
      </c>
      <c r="I197" s="64" t="s">
        <v>2</v>
      </c>
      <c r="J197" s="33" t="s">
        <v>1166</v>
      </c>
      <c r="K197" s="65">
        <v>29930</v>
      </c>
      <c r="L197" s="66">
        <v>1981</v>
      </c>
      <c r="M197" s="66">
        <f t="shared" si="14"/>
        <v>38</v>
      </c>
      <c r="N197" s="64" t="s">
        <v>3</v>
      </c>
      <c r="O197" s="64" t="s">
        <v>1169</v>
      </c>
      <c r="P197" s="33" t="s">
        <v>1177</v>
      </c>
      <c r="Q197" s="64"/>
      <c r="R197" s="33" t="s">
        <v>1178</v>
      </c>
    </row>
    <row r="198" spans="2:18" ht="25.5">
      <c r="B198" s="137"/>
      <c r="C198" s="137"/>
      <c r="D198" s="64">
        <v>191</v>
      </c>
      <c r="E198" s="33" t="s">
        <v>1077</v>
      </c>
      <c r="F198" s="64" t="s">
        <v>9</v>
      </c>
      <c r="G198" s="64" t="s">
        <v>305</v>
      </c>
      <c r="H198" s="64" t="s">
        <v>8</v>
      </c>
      <c r="I198" s="64" t="s">
        <v>2</v>
      </c>
      <c r="J198" s="33" t="s">
        <v>1166</v>
      </c>
      <c r="K198" s="65">
        <v>31792</v>
      </c>
      <c r="L198" s="66">
        <v>1987</v>
      </c>
      <c r="M198" s="66">
        <f t="shared" si="14"/>
        <v>32</v>
      </c>
      <c r="N198" s="64" t="s">
        <v>3</v>
      </c>
      <c r="O198" s="64" t="s">
        <v>1169</v>
      </c>
      <c r="P198" s="33" t="s">
        <v>1199</v>
      </c>
      <c r="Q198" s="64"/>
      <c r="R198" s="33" t="s">
        <v>1168</v>
      </c>
    </row>
    <row r="199" spans="2:18" ht="25.5">
      <c r="B199" s="137"/>
      <c r="C199" s="137"/>
      <c r="D199" s="64">
        <v>192</v>
      </c>
      <c r="E199" s="33" t="s">
        <v>1207</v>
      </c>
      <c r="F199" s="64" t="s">
        <v>13</v>
      </c>
      <c r="G199" s="64" t="s">
        <v>306</v>
      </c>
      <c r="H199" s="64" t="s">
        <v>1</v>
      </c>
      <c r="I199" s="64" t="s">
        <v>11</v>
      </c>
      <c r="J199" s="33" t="s">
        <v>1166</v>
      </c>
      <c r="K199" s="65">
        <v>38173</v>
      </c>
      <c r="L199" s="66">
        <v>2004</v>
      </c>
      <c r="M199" s="66">
        <f t="shared" ref="M199:M271" si="15">2019-L199</f>
        <v>15</v>
      </c>
      <c r="N199" s="64" t="s">
        <v>3</v>
      </c>
      <c r="O199" s="64" t="s">
        <v>1169</v>
      </c>
      <c r="P199" s="33" t="s">
        <v>1181</v>
      </c>
      <c r="Q199" s="64"/>
      <c r="R199" s="33" t="s">
        <v>1175</v>
      </c>
    </row>
    <row r="200" spans="2:18" ht="25.5">
      <c r="B200" s="137"/>
      <c r="C200" s="137"/>
      <c r="D200" s="64">
        <v>193</v>
      </c>
      <c r="E200" s="33" t="s">
        <v>1208</v>
      </c>
      <c r="F200" s="64" t="s">
        <v>13</v>
      </c>
      <c r="G200" s="64" t="s">
        <v>307</v>
      </c>
      <c r="H200" s="64" t="s">
        <v>1</v>
      </c>
      <c r="I200" s="64" t="s">
        <v>11</v>
      </c>
      <c r="J200" s="33" t="s">
        <v>1166</v>
      </c>
      <c r="K200" s="65">
        <v>41444</v>
      </c>
      <c r="L200" s="66">
        <v>2013</v>
      </c>
      <c r="M200" s="66">
        <f t="shared" si="15"/>
        <v>6</v>
      </c>
      <c r="N200" s="64" t="s">
        <v>3</v>
      </c>
      <c r="O200" s="64" t="s">
        <v>1169</v>
      </c>
      <c r="P200" s="33" t="s">
        <v>1177</v>
      </c>
      <c r="Q200" s="64"/>
      <c r="R200" s="33" t="s">
        <v>1192</v>
      </c>
    </row>
    <row r="201" spans="2:18" ht="25.5">
      <c r="B201" s="137">
        <v>60</v>
      </c>
      <c r="C201" s="137" t="s">
        <v>1736</v>
      </c>
      <c r="D201" s="64">
        <v>194</v>
      </c>
      <c r="E201" s="33" t="s">
        <v>308</v>
      </c>
      <c r="F201" s="64" t="s">
        <v>6</v>
      </c>
      <c r="G201" s="64" t="s">
        <v>309</v>
      </c>
      <c r="H201" s="64" t="s">
        <v>1</v>
      </c>
      <c r="I201" s="64" t="s">
        <v>2</v>
      </c>
      <c r="J201" s="33" t="s">
        <v>1166</v>
      </c>
      <c r="K201" s="65">
        <v>29586</v>
      </c>
      <c r="L201" s="66">
        <v>1980</v>
      </c>
      <c r="M201" s="66">
        <f t="shared" si="15"/>
        <v>39</v>
      </c>
      <c r="N201" s="64" t="s">
        <v>3</v>
      </c>
      <c r="O201" s="64" t="s">
        <v>1169</v>
      </c>
      <c r="P201" s="33" t="s">
        <v>1199</v>
      </c>
      <c r="Q201" s="64"/>
      <c r="R201" s="33" t="s">
        <v>1178</v>
      </c>
    </row>
    <row r="202" spans="2:18" ht="25.5">
      <c r="B202" s="137"/>
      <c r="C202" s="137"/>
      <c r="D202" s="64">
        <v>195</v>
      </c>
      <c r="E202" s="33" t="s">
        <v>310</v>
      </c>
      <c r="F202" s="64" t="s">
        <v>9</v>
      </c>
      <c r="G202" s="64" t="s">
        <v>311</v>
      </c>
      <c r="H202" s="64" t="s">
        <v>8</v>
      </c>
      <c r="I202" s="64" t="s">
        <v>2</v>
      </c>
      <c r="J202" s="33" t="s">
        <v>1166</v>
      </c>
      <c r="K202" s="65">
        <v>31412</v>
      </c>
      <c r="L202" s="66">
        <v>1985</v>
      </c>
      <c r="M202" s="66">
        <f t="shared" si="15"/>
        <v>34</v>
      </c>
      <c r="N202" s="64" t="s">
        <v>3</v>
      </c>
      <c r="O202" s="64" t="s">
        <v>1169</v>
      </c>
      <c r="P202" s="33" t="s">
        <v>1181</v>
      </c>
      <c r="Q202" s="64"/>
      <c r="R202" s="33" t="s">
        <v>1168</v>
      </c>
    </row>
    <row r="203" spans="2:18" ht="25.5">
      <c r="B203" s="137"/>
      <c r="C203" s="137"/>
      <c r="D203" s="64">
        <v>196</v>
      </c>
      <c r="E203" s="33" t="s">
        <v>1737</v>
      </c>
      <c r="F203" s="64" t="s">
        <v>1739</v>
      </c>
      <c r="G203" s="64" t="s">
        <v>312</v>
      </c>
      <c r="H203" s="64" t="s">
        <v>1</v>
      </c>
      <c r="I203" s="64" t="s">
        <v>11</v>
      </c>
      <c r="J203" s="33" t="s">
        <v>1166</v>
      </c>
      <c r="K203" s="65">
        <v>38234</v>
      </c>
      <c r="L203" s="66">
        <v>2004</v>
      </c>
      <c r="M203" s="66">
        <f t="shared" si="15"/>
        <v>15</v>
      </c>
      <c r="N203" s="64" t="s">
        <v>3</v>
      </c>
      <c r="O203" s="64" t="s">
        <v>1169</v>
      </c>
      <c r="P203" s="33" t="s">
        <v>1176</v>
      </c>
      <c r="Q203" s="64"/>
      <c r="R203" s="33" t="s">
        <v>1175</v>
      </c>
    </row>
    <row r="204" spans="2:18" ht="25.5">
      <c r="B204" s="137"/>
      <c r="C204" s="137"/>
      <c r="D204" s="64">
        <v>197</v>
      </c>
      <c r="E204" s="33" t="s">
        <v>1738</v>
      </c>
      <c r="F204" s="64" t="s">
        <v>13</v>
      </c>
      <c r="G204" s="64" t="s">
        <v>1741</v>
      </c>
      <c r="H204" s="64" t="s">
        <v>1</v>
      </c>
      <c r="I204" s="64" t="s">
        <v>11</v>
      </c>
      <c r="J204" s="33" t="s">
        <v>1250</v>
      </c>
      <c r="K204" s="65">
        <v>43083</v>
      </c>
      <c r="L204" s="66">
        <v>2017</v>
      </c>
      <c r="M204" s="66">
        <f t="shared" si="15"/>
        <v>2</v>
      </c>
      <c r="N204" s="64" t="s">
        <v>3</v>
      </c>
      <c r="O204" s="64" t="s">
        <v>1169</v>
      </c>
      <c r="P204" s="33" t="s">
        <v>1177</v>
      </c>
      <c r="Q204" s="64"/>
      <c r="R204" s="33" t="s">
        <v>1192</v>
      </c>
    </row>
    <row r="205" spans="2:18" ht="25.5">
      <c r="B205" s="137"/>
      <c r="C205" s="137"/>
      <c r="D205" s="64">
        <v>198</v>
      </c>
      <c r="E205" s="33" t="s">
        <v>17</v>
      </c>
      <c r="F205" s="64" t="s">
        <v>1740</v>
      </c>
      <c r="G205" s="64" t="s">
        <v>334</v>
      </c>
      <c r="H205" s="64" t="s">
        <v>8</v>
      </c>
      <c r="I205" s="64" t="s">
        <v>1221</v>
      </c>
      <c r="J205" s="33" t="s">
        <v>1166</v>
      </c>
      <c r="K205" s="65">
        <v>17167</v>
      </c>
      <c r="L205" s="66">
        <v>1946</v>
      </c>
      <c r="M205" s="66">
        <f>2019-L205</f>
        <v>73</v>
      </c>
      <c r="N205" s="64" t="s">
        <v>3</v>
      </c>
      <c r="O205" s="64" t="s">
        <v>1169</v>
      </c>
      <c r="P205" s="33" t="s">
        <v>1181</v>
      </c>
      <c r="Q205" s="64"/>
      <c r="R205" s="33" t="s">
        <v>1168</v>
      </c>
    </row>
    <row r="206" spans="2:18" ht="25.5">
      <c r="B206" s="137">
        <v>61</v>
      </c>
      <c r="C206" s="137" t="s">
        <v>1295</v>
      </c>
      <c r="D206" s="64">
        <v>199</v>
      </c>
      <c r="E206" s="33" t="s">
        <v>1296</v>
      </c>
      <c r="F206" s="64" t="s">
        <v>6</v>
      </c>
      <c r="G206" s="64" t="s">
        <v>313</v>
      </c>
      <c r="H206" s="64" t="s">
        <v>1</v>
      </c>
      <c r="I206" s="64" t="s">
        <v>2</v>
      </c>
      <c r="J206" s="33" t="s">
        <v>1166</v>
      </c>
      <c r="K206" s="65">
        <v>26115</v>
      </c>
      <c r="L206" s="66">
        <v>1971</v>
      </c>
      <c r="M206" s="66">
        <f t="shared" si="15"/>
        <v>48</v>
      </c>
      <c r="N206" s="64" t="s">
        <v>3</v>
      </c>
      <c r="O206" s="64" t="s">
        <v>1169</v>
      </c>
      <c r="P206" s="33" t="s">
        <v>1181</v>
      </c>
      <c r="Q206" s="64"/>
      <c r="R206" s="33" t="s">
        <v>1178</v>
      </c>
    </row>
    <row r="207" spans="2:18" ht="25.5">
      <c r="B207" s="137"/>
      <c r="C207" s="137"/>
      <c r="D207" s="64">
        <v>200</v>
      </c>
      <c r="E207" s="33" t="s">
        <v>314</v>
      </c>
      <c r="F207" s="64" t="s">
        <v>9</v>
      </c>
      <c r="G207" s="64" t="s">
        <v>1297</v>
      </c>
      <c r="H207" s="64" t="s">
        <v>8</v>
      </c>
      <c r="I207" s="64" t="s">
        <v>2</v>
      </c>
      <c r="J207" s="33" t="s">
        <v>1166</v>
      </c>
      <c r="K207" s="65">
        <v>28307</v>
      </c>
      <c r="L207" s="66">
        <v>1977</v>
      </c>
      <c r="M207" s="66">
        <f t="shared" si="15"/>
        <v>42</v>
      </c>
      <c r="N207" s="64" t="s">
        <v>3</v>
      </c>
      <c r="O207" s="64" t="s">
        <v>1169</v>
      </c>
      <c r="P207" s="33" t="s">
        <v>1177</v>
      </c>
      <c r="Q207" s="64"/>
      <c r="R207" s="33" t="s">
        <v>1168</v>
      </c>
    </row>
    <row r="208" spans="2:18">
      <c r="B208" s="137"/>
      <c r="C208" s="137"/>
      <c r="D208" s="64">
        <v>201</v>
      </c>
      <c r="E208" s="33" t="s">
        <v>315</v>
      </c>
      <c r="F208" s="64" t="s">
        <v>13</v>
      </c>
      <c r="G208" s="66" t="s">
        <v>1298</v>
      </c>
      <c r="H208" s="64" t="s">
        <v>8</v>
      </c>
      <c r="I208" s="64" t="s">
        <v>11</v>
      </c>
      <c r="J208" s="33" t="s">
        <v>1166</v>
      </c>
      <c r="K208" s="65">
        <v>33878</v>
      </c>
      <c r="L208" s="66">
        <v>1992</v>
      </c>
      <c r="M208" s="66">
        <f t="shared" si="15"/>
        <v>27</v>
      </c>
      <c r="N208" s="64" t="s">
        <v>3</v>
      </c>
      <c r="O208" s="64" t="s">
        <v>1169</v>
      </c>
      <c r="P208" s="33" t="s">
        <v>1174</v>
      </c>
      <c r="Q208" s="64"/>
      <c r="R208" s="33" t="s">
        <v>1175</v>
      </c>
    </row>
    <row r="209" spans="2:18">
      <c r="B209" s="137"/>
      <c r="C209" s="137"/>
      <c r="D209" s="64">
        <v>202</v>
      </c>
      <c r="E209" s="33" t="s">
        <v>316</v>
      </c>
      <c r="F209" s="64" t="s">
        <v>13</v>
      </c>
      <c r="G209" s="64" t="s">
        <v>1299</v>
      </c>
      <c r="H209" s="64" t="s">
        <v>8</v>
      </c>
      <c r="I209" s="64" t="s">
        <v>11</v>
      </c>
      <c r="J209" s="33" t="s">
        <v>1166</v>
      </c>
      <c r="K209" s="65">
        <v>35694</v>
      </c>
      <c r="L209" s="66">
        <v>1997</v>
      </c>
      <c r="M209" s="66">
        <f t="shared" si="15"/>
        <v>22</v>
      </c>
      <c r="N209" s="64" t="s">
        <v>3</v>
      </c>
      <c r="O209" s="64" t="s">
        <v>1169</v>
      </c>
      <c r="P209" s="33" t="s">
        <v>1174</v>
      </c>
      <c r="Q209" s="64"/>
      <c r="R209" s="33" t="s">
        <v>1300</v>
      </c>
    </row>
    <row r="210" spans="2:18">
      <c r="B210" s="137">
        <v>62</v>
      </c>
      <c r="C210" s="137"/>
      <c r="D210" s="64">
        <v>203</v>
      </c>
      <c r="E210" s="33" t="s">
        <v>317</v>
      </c>
      <c r="F210" s="64" t="s">
        <v>6</v>
      </c>
      <c r="G210" s="64" t="s">
        <v>318</v>
      </c>
      <c r="H210" s="64" t="s">
        <v>1</v>
      </c>
      <c r="I210" s="64" t="s">
        <v>2</v>
      </c>
      <c r="J210" s="33"/>
      <c r="K210" s="65">
        <v>32378</v>
      </c>
      <c r="L210" s="66">
        <f t="shared" ref="L210:L213" si="16">YEAR(K210)</f>
        <v>1988</v>
      </c>
      <c r="M210" s="66">
        <f t="shared" si="15"/>
        <v>31</v>
      </c>
      <c r="N210" s="64" t="s">
        <v>3</v>
      </c>
      <c r="O210" s="64"/>
      <c r="P210" s="33" t="s">
        <v>12</v>
      </c>
      <c r="Q210" s="64"/>
      <c r="R210" s="33" t="s">
        <v>5</v>
      </c>
    </row>
    <row r="211" spans="2:18">
      <c r="B211" s="137"/>
      <c r="C211" s="137"/>
      <c r="D211" s="64">
        <v>204</v>
      </c>
      <c r="E211" s="33" t="s">
        <v>319</v>
      </c>
      <c r="F211" s="64" t="s">
        <v>9</v>
      </c>
      <c r="G211" s="64" t="s">
        <v>320</v>
      </c>
      <c r="H211" s="64" t="s">
        <v>8</v>
      </c>
      <c r="I211" s="64" t="s">
        <v>2</v>
      </c>
      <c r="J211" s="33"/>
      <c r="K211" s="65">
        <v>31229</v>
      </c>
      <c r="L211" s="66">
        <f t="shared" si="16"/>
        <v>1985</v>
      </c>
      <c r="M211" s="66">
        <f t="shared" si="15"/>
        <v>34</v>
      </c>
      <c r="N211" s="64" t="s">
        <v>3</v>
      </c>
      <c r="O211" s="64"/>
      <c r="P211" s="33" t="s">
        <v>16</v>
      </c>
      <c r="Q211" s="64"/>
      <c r="R211" s="33" t="s">
        <v>5</v>
      </c>
    </row>
    <row r="212" spans="2:18" ht="25.5">
      <c r="B212" s="137"/>
      <c r="C212" s="137"/>
      <c r="D212" s="64">
        <v>205</v>
      </c>
      <c r="E212" s="33" t="s">
        <v>321</v>
      </c>
      <c r="F212" s="64" t="s">
        <v>13</v>
      </c>
      <c r="G212" s="64" t="s">
        <v>322</v>
      </c>
      <c r="H212" s="64" t="s">
        <v>1</v>
      </c>
      <c r="I212" s="64" t="s">
        <v>11</v>
      </c>
      <c r="J212" s="33"/>
      <c r="K212" s="65">
        <v>40752</v>
      </c>
      <c r="L212" s="66">
        <f t="shared" si="16"/>
        <v>2011</v>
      </c>
      <c r="M212" s="66">
        <f t="shared" si="15"/>
        <v>8</v>
      </c>
      <c r="N212" s="64" t="s">
        <v>3</v>
      </c>
      <c r="O212" s="64"/>
      <c r="P212" s="33" t="s">
        <v>4</v>
      </c>
      <c r="Q212" s="64"/>
      <c r="R212" s="33" t="s">
        <v>4</v>
      </c>
    </row>
    <row r="213" spans="2:18" ht="25.5">
      <c r="B213" s="137"/>
      <c r="C213" s="137"/>
      <c r="D213" s="64">
        <v>206</v>
      </c>
      <c r="E213" s="33" t="s">
        <v>323</v>
      </c>
      <c r="F213" s="64" t="s">
        <v>13</v>
      </c>
      <c r="G213" s="64" t="s">
        <v>324</v>
      </c>
      <c r="H213" s="64" t="s">
        <v>1</v>
      </c>
      <c r="I213" s="64" t="s">
        <v>11</v>
      </c>
      <c r="J213" s="33"/>
      <c r="K213" s="65">
        <v>41761</v>
      </c>
      <c r="L213" s="66">
        <f t="shared" si="16"/>
        <v>2014</v>
      </c>
      <c r="M213" s="66">
        <f t="shared" si="15"/>
        <v>5</v>
      </c>
      <c r="N213" s="64" t="s">
        <v>3</v>
      </c>
      <c r="O213" s="64"/>
      <c r="P213" s="33" t="s">
        <v>4</v>
      </c>
      <c r="Q213" s="64"/>
      <c r="R213" s="33" t="s">
        <v>4</v>
      </c>
    </row>
    <row r="214" spans="2:18" ht="25.5">
      <c r="B214" s="137">
        <v>63</v>
      </c>
      <c r="C214" s="137" t="s">
        <v>1533</v>
      </c>
      <c r="D214" s="64">
        <v>207</v>
      </c>
      <c r="E214" s="33" t="s">
        <v>325</v>
      </c>
      <c r="F214" s="64" t="s">
        <v>6</v>
      </c>
      <c r="G214" s="64" t="s">
        <v>326</v>
      </c>
      <c r="H214" s="64" t="s">
        <v>1</v>
      </c>
      <c r="I214" s="64" t="s">
        <v>2</v>
      </c>
      <c r="J214" s="33" t="s">
        <v>1172</v>
      </c>
      <c r="K214" s="65">
        <v>24654</v>
      </c>
      <c r="L214" s="66">
        <v>1967</v>
      </c>
      <c r="M214" s="66">
        <f t="shared" si="15"/>
        <v>52</v>
      </c>
      <c r="N214" s="64" t="s">
        <v>3</v>
      </c>
      <c r="O214" s="64" t="s">
        <v>1169</v>
      </c>
      <c r="P214" s="33" t="s">
        <v>1177</v>
      </c>
      <c r="Q214" s="64"/>
      <c r="R214" s="33" t="s">
        <v>1178</v>
      </c>
    </row>
    <row r="215" spans="2:18" ht="25.5">
      <c r="B215" s="137"/>
      <c r="C215" s="137"/>
      <c r="D215" s="64">
        <v>208</v>
      </c>
      <c r="E215" s="33" t="s">
        <v>327</v>
      </c>
      <c r="F215" s="64" t="s">
        <v>9</v>
      </c>
      <c r="G215" s="64" t="s">
        <v>328</v>
      </c>
      <c r="H215" s="64" t="s">
        <v>8</v>
      </c>
      <c r="I215" s="64" t="s">
        <v>2</v>
      </c>
      <c r="J215" s="33" t="s">
        <v>1172</v>
      </c>
      <c r="K215" s="65">
        <v>19176</v>
      </c>
      <c r="L215" s="66">
        <v>1952</v>
      </c>
      <c r="M215" s="66">
        <f t="shared" si="15"/>
        <v>67</v>
      </c>
      <c r="N215" s="64" t="s">
        <v>3</v>
      </c>
      <c r="O215" s="64" t="s">
        <v>1169</v>
      </c>
      <c r="P215" s="33" t="s">
        <v>1177</v>
      </c>
      <c r="Q215" s="64"/>
      <c r="R215" s="33" t="s">
        <v>1178</v>
      </c>
    </row>
    <row r="216" spans="2:18" ht="25.5">
      <c r="B216" s="137">
        <v>64</v>
      </c>
      <c r="C216" s="137" t="s">
        <v>1451</v>
      </c>
      <c r="D216" s="64">
        <v>209</v>
      </c>
      <c r="E216" s="33" t="s">
        <v>1290</v>
      </c>
      <c r="F216" s="64" t="s">
        <v>6</v>
      </c>
      <c r="G216" s="64" t="s">
        <v>329</v>
      </c>
      <c r="H216" s="64" t="s">
        <v>8</v>
      </c>
      <c r="I216" s="64" t="s">
        <v>1197</v>
      </c>
      <c r="J216" s="33" t="s">
        <v>1166</v>
      </c>
      <c r="K216" s="65">
        <v>30681</v>
      </c>
      <c r="L216" s="66">
        <v>1983</v>
      </c>
      <c r="M216" s="66">
        <f t="shared" si="15"/>
        <v>36</v>
      </c>
      <c r="N216" s="64" t="s">
        <v>3</v>
      </c>
      <c r="O216" s="64" t="s">
        <v>1169</v>
      </c>
      <c r="P216" s="33" t="s">
        <v>1181</v>
      </c>
      <c r="Q216" s="64"/>
      <c r="R216" s="33" t="s">
        <v>1178</v>
      </c>
    </row>
    <row r="217" spans="2:18" ht="25.5">
      <c r="B217" s="137"/>
      <c r="C217" s="137"/>
      <c r="D217" s="64">
        <v>210</v>
      </c>
      <c r="E217" s="33" t="s">
        <v>330</v>
      </c>
      <c r="F217" s="64" t="s">
        <v>13</v>
      </c>
      <c r="G217" s="64" t="s">
        <v>331</v>
      </c>
      <c r="H217" s="64" t="s">
        <v>8</v>
      </c>
      <c r="I217" s="64" t="s">
        <v>11</v>
      </c>
      <c r="J217" s="33" t="s">
        <v>1166</v>
      </c>
      <c r="K217" s="65">
        <v>37749</v>
      </c>
      <c r="L217" s="66">
        <v>2003</v>
      </c>
      <c r="M217" s="66">
        <f t="shared" si="15"/>
        <v>16</v>
      </c>
      <c r="N217" s="64" t="s">
        <v>3</v>
      </c>
      <c r="O217" s="64" t="s">
        <v>1169</v>
      </c>
      <c r="P217" s="33" t="s">
        <v>1177</v>
      </c>
      <c r="Q217" s="64"/>
      <c r="R217" s="33" t="s">
        <v>1192</v>
      </c>
    </row>
    <row r="218" spans="2:18" ht="25.5">
      <c r="B218" s="137"/>
      <c r="C218" s="137"/>
      <c r="D218" s="64">
        <v>211</v>
      </c>
      <c r="E218" s="33" t="s">
        <v>332</v>
      </c>
      <c r="F218" s="64" t="s">
        <v>13</v>
      </c>
      <c r="G218" s="64" t="s">
        <v>1452</v>
      </c>
      <c r="H218" s="64" t="s">
        <v>8</v>
      </c>
      <c r="I218" s="64" t="s">
        <v>11</v>
      </c>
      <c r="J218" s="33" t="s">
        <v>1166</v>
      </c>
      <c r="K218" s="65">
        <v>38880</v>
      </c>
      <c r="L218" s="66">
        <v>2006</v>
      </c>
      <c r="M218" s="66">
        <f t="shared" si="15"/>
        <v>13</v>
      </c>
      <c r="N218" s="64" t="s">
        <v>3</v>
      </c>
      <c r="O218" s="64" t="s">
        <v>1169</v>
      </c>
      <c r="P218" s="33" t="s">
        <v>1177</v>
      </c>
      <c r="Q218" s="64"/>
      <c r="R218" s="33" t="s">
        <v>1192</v>
      </c>
    </row>
    <row r="219" spans="2:18" ht="25.5">
      <c r="B219" s="137"/>
      <c r="C219" s="137"/>
      <c r="D219" s="64">
        <v>212</v>
      </c>
      <c r="E219" s="33" t="s">
        <v>333</v>
      </c>
      <c r="F219" s="64" t="s">
        <v>13</v>
      </c>
      <c r="G219" s="64" t="s">
        <v>1453</v>
      </c>
      <c r="H219" s="64" t="s">
        <v>8</v>
      </c>
      <c r="I219" s="64" t="s">
        <v>11</v>
      </c>
      <c r="J219" s="33" t="s">
        <v>1166</v>
      </c>
      <c r="K219" s="65">
        <v>40420</v>
      </c>
      <c r="L219" s="66">
        <v>2010</v>
      </c>
      <c r="M219" s="66">
        <f t="shared" si="15"/>
        <v>9</v>
      </c>
      <c r="N219" s="64" t="s">
        <v>3</v>
      </c>
      <c r="O219" s="64" t="s">
        <v>1169</v>
      </c>
      <c r="P219" s="33" t="s">
        <v>1177</v>
      </c>
      <c r="Q219" s="64"/>
      <c r="R219" s="33" t="s">
        <v>1192</v>
      </c>
    </row>
    <row r="220" spans="2:18" ht="25.5">
      <c r="B220" s="137">
        <v>65</v>
      </c>
      <c r="C220" s="137" t="s">
        <v>1537</v>
      </c>
      <c r="D220" s="64">
        <v>213</v>
      </c>
      <c r="E220" s="33" t="s">
        <v>1538</v>
      </c>
      <c r="F220" s="64" t="s">
        <v>6</v>
      </c>
      <c r="G220" s="64" t="s">
        <v>335</v>
      </c>
      <c r="H220" s="64" t="s">
        <v>1</v>
      </c>
      <c r="I220" s="64" t="s">
        <v>2</v>
      </c>
      <c r="J220" s="33" t="s">
        <v>1172</v>
      </c>
      <c r="K220" s="65">
        <v>11715</v>
      </c>
      <c r="L220" s="66">
        <v>1932</v>
      </c>
      <c r="M220" s="66">
        <f t="shared" si="15"/>
        <v>87</v>
      </c>
      <c r="N220" s="64" t="s">
        <v>3</v>
      </c>
      <c r="O220" s="64" t="s">
        <v>1169</v>
      </c>
      <c r="P220" s="33" t="s">
        <v>1177</v>
      </c>
      <c r="Q220" s="64"/>
      <c r="R220" s="33" t="s">
        <v>1178</v>
      </c>
    </row>
    <row r="221" spans="2:18" ht="25.5">
      <c r="B221" s="137"/>
      <c r="C221" s="137"/>
      <c r="D221" s="64">
        <v>214</v>
      </c>
      <c r="E221" s="33" t="s">
        <v>336</v>
      </c>
      <c r="F221" s="64" t="s">
        <v>9</v>
      </c>
      <c r="G221" s="64" t="s">
        <v>337</v>
      </c>
      <c r="H221" s="64" t="s">
        <v>8</v>
      </c>
      <c r="I221" s="64" t="s">
        <v>2</v>
      </c>
      <c r="J221" s="33" t="s">
        <v>1172</v>
      </c>
      <c r="K221" s="65">
        <v>21005</v>
      </c>
      <c r="L221" s="66">
        <v>1957</v>
      </c>
      <c r="M221" s="66">
        <f t="shared" si="15"/>
        <v>62</v>
      </c>
      <c r="N221" s="64" t="s">
        <v>3</v>
      </c>
      <c r="O221" s="64" t="s">
        <v>1169</v>
      </c>
      <c r="P221" s="33" t="s">
        <v>1177</v>
      </c>
      <c r="Q221" s="64"/>
      <c r="R221" s="33" t="s">
        <v>1178</v>
      </c>
    </row>
    <row r="222" spans="2:18" ht="25.5">
      <c r="B222" s="137">
        <v>66</v>
      </c>
      <c r="C222" s="137" t="s">
        <v>1616</v>
      </c>
      <c r="D222" s="64">
        <v>215</v>
      </c>
      <c r="E222" s="33" t="s">
        <v>455</v>
      </c>
      <c r="F222" s="64" t="s">
        <v>6</v>
      </c>
      <c r="G222" s="64" t="s">
        <v>456</v>
      </c>
      <c r="H222" s="64" t="s">
        <v>1</v>
      </c>
      <c r="I222" s="64" t="s">
        <v>2</v>
      </c>
      <c r="J222" s="33" t="s">
        <v>1166</v>
      </c>
      <c r="K222" s="65">
        <v>30316</v>
      </c>
      <c r="L222" s="66">
        <v>1982</v>
      </c>
      <c r="M222" s="67">
        <f t="shared" ref="M222:M225" si="17">2019-L222</f>
        <v>37</v>
      </c>
      <c r="N222" s="64" t="s">
        <v>3</v>
      </c>
      <c r="O222" s="64" t="s">
        <v>1169</v>
      </c>
      <c r="P222" s="33" t="s">
        <v>1181</v>
      </c>
      <c r="Q222" s="64"/>
      <c r="R222" s="33" t="s">
        <v>1178</v>
      </c>
    </row>
    <row r="223" spans="2:18" ht="25.5">
      <c r="B223" s="137"/>
      <c r="C223" s="137"/>
      <c r="D223" s="64">
        <v>216</v>
      </c>
      <c r="E223" s="33" t="s">
        <v>457</v>
      </c>
      <c r="F223" s="64" t="s">
        <v>9</v>
      </c>
      <c r="G223" s="64" t="s">
        <v>1613</v>
      </c>
      <c r="H223" s="64" t="s">
        <v>8</v>
      </c>
      <c r="I223" s="64" t="s">
        <v>2</v>
      </c>
      <c r="J223" s="33" t="s">
        <v>1166</v>
      </c>
      <c r="K223" s="65">
        <v>32256</v>
      </c>
      <c r="L223" s="66">
        <v>1988</v>
      </c>
      <c r="M223" s="67">
        <f t="shared" si="17"/>
        <v>31</v>
      </c>
      <c r="N223" s="64" t="s">
        <v>3</v>
      </c>
      <c r="O223" s="64" t="s">
        <v>1169</v>
      </c>
      <c r="P223" s="33" t="s">
        <v>1181</v>
      </c>
      <c r="Q223" s="64"/>
      <c r="R223" s="33" t="s">
        <v>1168</v>
      </c>
    </row>
    <row r="224" spans="2:18" ht="25.5">
      <c r="B224" s="137"/>
      <c r="C224" s="137"/>
      <c r="D224" s="64">
        <v>217</v>
      </c>
      <c r="E224" s="33" t="s">
        <v>458</v>
      </c>
      <c r="F224" s="64" t="s">
        <v>13</v>
      </c>
      <c r="G224" s="64" t="s">
        <v>1614</v>
      </c>
      <c r="H224" s="64" t="s">
        <v>8</v>
      </c>
      <c r="I224" s="64" t="s">
        <v>11</v>
      </c>
      <c r="J224" s="33" t="s">
        <v>1166</v>
      </c>
      <c r="K224" s="65">
        <v>40910</v>
      </c>
      <c r="L224" s="66">
        <v>2012</v>
      </c>
      <c r="M224" s="67">
        <f t="shared" si="17"/>
        <v>7</v>
      </c>
      <c r="N224" s="64" t="s">
        <v>3</v>
      </c>
      <c r="O224" s="64" t="s">
        <v>1169</v>
      </c>
      <c r="P224" s="33" t="s">
        <v>1177</v>
      </c>
      <c r="Q224" s="64"/>
      <c r="R224" s="33" t="s">
        <v>1192</v>
      </c>
    </row>
    <row r="225" spans="2:18" ht="25.5">
      <c r="B225" s="137"/>
      <c r="C225" s="137"/>
      <c r="D225" s="64">
        <v>218</v>
      </c>
      <c r="E225" s="33" t="s">
        <v>1612</v>
      </c>
      <c r="F225" s="64" t="s">
        <v>13</v>
      </c>
      <c r="G225" s="64" t="s">
        <v>1615</v>
      </c>
      <c r="H225" s="64" t="s">
        <v>8</v>
      </c>
      <c r="I225" s="64" t="s">
        <v>11</v>
      </c>
      <c r="J225" s="33" t="s">
        <v>1166</v>
      </c>
      <c r="K225" s="65">
        <v>41784</v>
      </c>
      <c r="L225" s="66">
        <v>2014</v>
      </c>
      <c r="M225" s="67">
        <f t="shared" si="17"/>
        <v>5</v>
      </c>
      <c r="N225" s="64" t="s">
        <v>3</v>
      </c>
      <c r="O225" s="64" t="s">
        <v>1169</v>
      </c>
      <c r="P225" s="33" t="s">
        <v>1177</v>
      </c>
      <c r="Q225" s="64"/>
      <c r="R225" s="33" t="s">
        <v>1192</v>
      </c>
    </row>
    <row r="226" spans="2:18" ht="25.5">
      <c r="B226" s="137">
        <v>67</v>
      </c>
      <c r="C226" s="137" t="s">
        <v>1555</v>
      </c>
      <c r="D226" s="64">
        <v>219</v>
      </c>
      <c r="E226" s="33" t="s">
        <v>206</v>
      </c>
      <c r="F226" s="64" t="s">
        <v>6</v>
      </c>
      <c r="G226" s="64" t="s">
        <v>1554</v>
      </c>
      <c r="H226" s="64" t="s">
        <v>1</v>
      </c>
      <c r="I226" s="64" t="s">
        <v>2</v>
      </c>
      <c r="J226" s="33" t="s">
        <v>1172</v>
      </c>
      <c r="K226" s="65">
        <v>28307</v>
      </c>
      <c r="L226" s="66">
        <v>1977</v>
      </c>
      <c r="M226" s="66">
        <f t="shared" si="15"/>
        <v>42</v>
      </c>
      <c r="N226" s="64" t="s">
        <v>3</v>
      </c>
      <c r="O226" s="64" t="s">
        <v>1169</v>
      </c>
      <c r="P226" s="33" t="s">
        <v>1181</v>
      </c>
      <c r="Q226" s="64"/>
      <c r="R226" s="33" t="s">
        <v>1178</v>
      </c>
    </row>
    <row r="227" spans="2:18" ht="25.5">
      <c r="B227" s="137"/>
      <c r="C227" s="137"/>
      <c r="D227" s="64">
        <v>220</v>
      </c>
      <c r="E227" s="33" t="s">
        <v>338</v>
      </c>
      <c r="F227" s="64" t="s">
        <v>9</v>
      </c>
      <c r="G227" s="64" t="s">
        <v>1553</v>
      </c>
      <c r="H227" s="64" t="s">
        <v>8</v>
      </c>
      <c r="I227" s="64" t="s">
        <v>2</v>
      </c>
      <c r="J227" s="33" t="s">
        <v>1172</v>
      </c>
      <c r="K227" s="65">
        <v>29586</v>
      </c>
      <c r="L227" s="66">
        <v>1980</v>
      </c>
      <c r="M227" s="66">
        <f t="shared" si="15"/>
        <v>39</v>
      </c>
      <c r="N227" s="64" t="s">
        <v>3</v>
      </c>
      <c r="O227" s="64" t="s">
        <v>1169</v>
      </c>
      <c r="P227" s="33" t="s">
        <v>1177</v>
      </c>
      <c r="Q227" s="64"/>
      <c r="R227" s="33" t="s">
        <v>1178</v>
      </c>
    </row>
    <row r="228" spans="2:18" ht="25.5">
      <c r="B228" s="137"/>
      <c r="C228" s="137"/>
      <c r="D228" s="64">
        <v>221</v>
      </c>
      <c r="E228" s="33" t="s">
        <v>339</v>
      </c>
      <c r="F228" s="64" t="s">
        <v>13</v>
      </c>
      <c r="G228" s="64" t="s">
        <v>340</v>
      </c>
      <c r="H228" s="64" t="s">
        <v>1</v>
      </c>
      <c r="I228" s="64" t="s">
        <v>11</v>
      </c>
      <c r="J228" s="33" t="s">
        <v>1166</v>
      </c>
      <c r="K228" s="65">
        <v>38051</v>
      </c>
      <c r="L228" s="66">
        <v>2004</v>
      </c>
      <c r="M228" s="66">
        <f t="shared" si="15"/>
        <v>15</v>
      </c>
      <c r="N228" s="64" t="s">
        <v>3</v>
      </c>
      <c r="O228" s="64" t="s">
        <v>1169</v>
      </c>
      <c r="P228" s="33" t="s">
        <v>1181</v>
      </c>
      <c r="Q228" s="64"/>
      <c r="R228" s="33" t="s">
        <v>1175</v>
      </c>
    </row>
    <row r="229" spans="2:18" ht="25.5">
      <c r="B229" s="137"/>
      <c r="C229" s="137"/>
      <c r="D229" s="64">
        <v>222</v>
      </c>
      <c r="E229" s="33" t="s">
        <v>341</v>
      </c>
      <c r="F229" s="64" t="s">
        <v>13</v>
      </c>
      <c r="G229" s="64" t="s">
        <v>1556</v>
      </c>
      <c r="H229" s="64" t="s">
        <v>1</v>
      </c>
      <c r="I229" s="64" t="s">
        <v>11</v>
      </c>
      <c r="J229" s="33" t="s">
        <v>1166</v>
      </c>
      <c r="K229" s="65">
        <v>40106</v>
      </c>
      <c r="L229" s="66">
        <v>2009</v>
      </c>
      <c r="M229" s="66">
        <f t="shared" si="15"/>
        <v>10</v>
      </c>
      <c r="N229" s="64" t="s">
        <v>3</v>
      </c>
      <c r="O229" s="64" t="s">
        <v>1169</v>
      </c>
      <c r="P229" s="33" t="s">
        <v>1176</v>
      </c>
      <c r="Q229" s="64"/>
      <c r="R229" s="33" t="s">
        <v>1175</v>
      </c>
    </row>
    <row r="230" spans="2:18" ht="25.5">
      <c r="B230" s="137"/>
      <c r="C230" s="137"/>
      <c r="D230" s="64">
        <v>223</v>
      </c>
      <c r="E230" s="33" t="s">
        <v>1673</v>
      </c>
      <c r="F230" s="64" t="s">
        <v>13</v>
      </c>
      <c r="G230" s="64" t="s">
        <v>1674</v>
      </c>
      <c r="H230" s="64" t="s">
        <v>8</v>
      </c>
      <c r="I230" s="64" t="s">
        <v>11</v>
      </c>
      <c r="J230" s="33" t="s">
        <v>1249</v>
      </c>
      <c r="K230" s="65">
        <v>43507</v>
      </c>
      <c r="L230" s="66">
        <v>2019</v>
      </c>
      <c r="M230" s="66">
        <f t="shared" si="15"/>
        <v>0</v>
      </c>
      <c r="N230" s="64" t="s">
        <v>3</v>
      </c>
      <c r="O230" s="64" t="s">
        <v>1169</v>
      </c>
      <c r="P230" s="33" t="s">
        <v>1177</v>
      </c>
      <c r="Q230" s="64"/>
      <c r="R230" s="33" t="s">
        <v>1192</v>
      </c>
    </row>
    <row r="231" spans="2:18" ht="25.5">
      <c r="B231" s="137">
        <v>68</v>
      </c>
      <c r="C231" s="137" t="s">
        <v>1398</v>
      </c>
      <c r="D231" s="64">
        <v>224</v>
      </c>
      <c r="E231" s="33" t="s">
        <v>1395</v>
      </c>
      <c r="F231" s="64" t="s">
        <v>6</v>
      </c>
      <c r="G231" s="64" t="s">
        <v>1399</v>
      </c>
      <c r="H231" s="64" t="s">
        <v>1</v>
      </c>
      <c r="I231" s="64" t="s">
        <v>2</v>
      </c>
      <c r="J231" s="33" t="s">
        <v>1172</v>
      </c>
      <c r="K231" s="65">
        <v>28307</v>
      </c>
      <c r="L231" s="66">
        <v>1977</v>
      </c>
      <c r="M231" s="66">
        <f t="shared" si="15"/>
        <v>42</v>
      </c>
      <c r="N231" s="64" t="s">
        <v>3</v>
      </c>
      <c r="O231" s="64"/>
      <c r="P231" s="33" t="s">
        <v>1181</v>
      </c>
      <c r="Q231" s="64"/>
      <c r="R231" s="33" t="s">
        <v>1404</v>
      </c>
    </row>
    <row r="232" spans="2:18" ht="25.5">
      <c r="B232" s="137"/>
      <c r="C232" s="137"/>
      <c r="D232" s="64">
        <v>225</v>
      </c>
      <c r="E232" s="33" t="s">
        <v>1396</v>
      </c>
      <c r="F232" s="64" t="s">
        <v>9</v>
      </c>
      <c r="G232" s="64" t="s">
        <v>1400</v>
      </c>
      <c r="H232" s="64" t="s">
        <v>8</v>
      </c>
      <c r="I232" s="64" t="s">
        <v>2</v>
      </c>
      <c r="J232" s="33" t="s">
        <v>1172</v>
      </c>
      <c r="K232" s="65">
        <v>29403</v>
      </c>
      <c r="L232" s="66">
        <v>1980</v>
      </c>
      <c r="M232" s="66">
        <f t="shared" si="15"/>
        <v>39</v>
      </c>
      <c r="N232" s="64" t="s">
        <v>3</v>
      </c>
      <c r="O232" s="64"/>
      <c r="P232" s="33" t="s">
        <v>1181</v>
      </c>
      <c r="Q232" s="64"/>
      <c r="R232" s="33" t="s">
        <v>1168</v>
      </c>
    </row>
    <row r="233" spans="2:18">
      <c r="B233" s="137"/>
      <c r="C233" s="137"/>
      <c r="D233" s="64">
        <v>226</v>
      </c>
      <c r="E233" s="33" t="s">
        <v>342</v>
      </c>
      <c r="F233" s="64" t="s">
        <v>13</v>
      </c>
      <c r="G233" s="64" t="s">
        <v>1401</v>
      </c>
      <c r="H233" s="64" t="s">
        <v>8</v>
      </c>
      <c r="I233" s="64" t="s">
        <v>11</v>
      </c>
      <c r="J233" s="33" t="s">
        <v>1166</v>
      </c>
      <c r="K233" s="65">
        <v>36187</v>
      </c>
      <c r="L233" s="66">
        <v>1999</v>
      </c>
      <c r="M233" s="66">
        <f t="shared" si="15"/>
        <v>20</v>
      </c>
      <c r="N233" s="64" t="s">
        <v>3</v>
      </c>
      <c r="O233" s="64"/>
      <c r="P233" s="33" t="s">
        <v>1199</v>
      </c>
      <c r="Q233" s="64"/>
      <c r="R233" s="33" t="s">
        <v>1175</v>
      </c>
    </row>
    <row r="234" spans="2:18" ht="25.5">
      <c r="B234" s="137"/>
      <c r="C234" s="137"/>
      <c r="D234" s="64">
        <v>227</v>
      </c>
      <c r="E234" s="33" t="s">
        <v>343</v>
      </c>
      <c r="F234" s="64" t="s">
        <v>13</v>
      </c>
      <c r="G234" s="64" t="s">
        <v>1402</v>
      </c>
      <c r="H234" s="64" t="s">
        <v>1</v>
      </c>
      <c r="I234" s="64" t="s">
        <v>11</v>
      </c>
      <c r="J234" s="33" t="s">
        <v>1172</v>
      </c>
      <c r="K234" s="65">
        <v>39033</v>
      </c>
      <c r="L234" s="66">
        <v>2006</v>
      </c>
      <c r="M234" s="66">
        <f t="shared" si="15"/>
        <v>13</v>
      </c>
      <c r="N234" s="64" t="s">
        <v>3</v>
      </c>
      <c r="O234" s="64"/>
      <c r="P234" s="33" t="s">
        <v>1176</v>
      </c>
      <c r="Q234" s="64"/>
      <c r="R234" s="33" t="s">
        <v>1175</v>
      </c>
    </row>
    <row r="235" spans="2:18" ht="25.5">
      <c r="B235" s="137"/>
      <c r="C235" s="137"/>
      <c r="D235" s="64">
        <v>228</v>
      </c>
      <c r="E235" s="33" t="s">
        <v>1397</v>
      </c>
      <c r="F235" s="64" t="s">
        <v>13</v>
      </c>
      <c r="G235" s="64" t="s">
        <v>1403</v>
      </c>
      <c r="H235" s="64" t="s">
        <v>8</v>
      </c>
      <c r="I235" s="64" t="s">
        <v>11</v>
      </c>
      <c r="J235" s="33" t="s">
        <v>1166</v>
      </c>
      <c r="K235" s="65">
        <v>42294</v>
      </c>
      <c r="L235" s="66">
        <v>2015</v>
      </c>
      <c r="M235" s="66">
        <f t="shared" si="15"/>
        <v>4</v>
      </c>
      <c r="N235" s="64" t="s">
        <v>3</v>
      </c>
      <c r="O235" s="64"/>
      <c r="P235" s="33" t="s">
        <v>1177</v>
      </c>
      <c r="Q235" s="64"/>
      <c r="R235" s="33" t="s">
        <v>1192</v>
      </c>
    </row>
    <row r="236" spans="2:18">
      <c r="B236" s="137">
        <v>69</v>
      </c>
      <c r="C236" s="137" t="s">
        <v>1412</v>
      </c>
      <c r="D236" s="64">
        <v>229</v>
      </c>
      <c r="E236" s="33" t="s">
        <v>201</v>
      </c>
      <c r="F236" s="64" t="s">
        <v>6</v>
      </c>
      <c r="G236" s="64" t="s">
        <v>1413</v>
      </c>
      <c r="H236" s="64" t="s">
        <v>1</v>
      </c>
      <c r="I236" s="64" t="s">
        <v>2</v>
      </c>
      <c r="J236" s="33" t="s">
        <v>1166</v>
      </c>
      <c r="K236" s="65">
        <v>28855</v>
      </c>
      <c r="L236" s="66">
        <v>1978</v>
      </c>
      <c r="M236" s="66">
        <f t="shared" si="15"/>
        <v>41</v>
      </c>
      <c r="N236" s="64" t="s">
        <v>3</v>
      </c>
      <c r="O236" s="64"/>
      <c r="P236" s="33" t="s">
        <v>1181</v>
      </c>
      <c r="Q236" s="64"/>
      <c r="R236" s="33" t="s">
        <v>85</v>
      </c>
    </row>
    <row r="237" spans="2:18" ht="25.5">
      <c r="B237" s="137"/>
      <c r="C237" s="137"/>
      <c r="D237" s="64">
        <v>230</v>
      </c>
      <c r="E237" s="33" t="s">
        <v>344</v>
      </c>
      <c r="F237" s="64" t="s">
        <v>9</v>
      </c>
      <c r="G237" s="64" t="s">
        <v>1414</v>
      </c>
      <c r="H237" s="64" t="s">
        <v>8</v>
      </c>
      <c r="I237" s="64" t="s">
        <v>2</v>
      </c>
      <c r="J237" s="33" t="s">
        <v>1331</v>
      </c>
      <c r="K237" s="65">
        <v>30316</v>
      </c>
      <c r="L237" s="66">
        <v>1982</v>
      </c>
      <c r="M237" s="66">
        <f t="shared" si="15"/>
        <v>37</v>
      </c>
      <c r="N237" s="64" t="s">
        <v>3</v>
      </c>
      <c r="O237" s="64"/>
      <c r="P237" s="33" t="s">
        <v>1199</v>
      </c>
      <c r="Q237" s="64"/>
      <c r="R237" s="33" t="s">
        <v>1178</v>
      </c>
    </row>
    <row r="238" spans="2:18">
      <c r="B238" s="137"/>
      <c r="C238" s="137"/>
      <c r="D238" s="64">
        <v>231</v>
      </c>
      <c r="E238" s="33" t="s">
        <v>345</v>
      </c>
      <c r="F238" s="64" t="s">
        <v>13</v>
      </c>
      <c r="G238" s="64" t="s">
        <v>346</v>
      </c>
      <c r="H238" s="64" t="s">
        <v>8</v>
      </c>
      <c r="I238" s="64" t="s">
        <v>11</v>
      </c>
      <c r="J238" s="33" t="s">
        <v>1166</v>
      </c>
      <c r="K238" s="65">
        <v>36604</v>
      </c>
      <c r="L238" s="66">
        <v>2000</v>
      </c>
      <c r="M238" s="66">
        <f t="shared" si="15"/>
        <v>19</v>
      </c>
      <c r="N238" s="64" t="s">
        <v>3</v>
      </c>
      <c r="O238" s="64"/>
      <c r="P238" s="33" t="s">
        <v>1199</v>
      </c>
      <c r="Q238" s="64"/>
      <c r="R238" s="33" t="s">
        <v>1175</v>
      </c>
    </row>
    <row r="239" spans="2:18" ht="25.5">
      <c r="B239" s="137"/>
      <c r="C239" s="137"/>
      <c r="D239" s="64">
        <v>232</v>
      </c>
      <c r="E239" s="33" t="s">
        <v>347</v>
      </c>
      <c r="F239" s="64" t="s">
        <v>13</v>
      </c>
      <c r="G239" s="64" t="s">
        <v>1415</v>
      </c>
      <c r="H239" s="64" t="s">
        <v>1</v>
      </c>
      <c r="I239" s="64" t="s">
        <v>11</v>
      </c>
      <c r="J239" s="33" t="s">
        <v>1166</v>
      </c>
      <c r="K239" s="65">
        <v>39222</v>
      </c>
      <c r="L239" s="66">
        <v>2007</v>
      </c>
      <c r="M239" s="66">
        <f t="shared" si="15"/>
        <v>12</v>
      </c>
      <c r="N239" s="64" t="s">
        <v>3</v>
      </c>
      <c r="O239" s="64"/>
      <c r="P239" s="33" t="s">
        <v>1176</v>
      </c>
      <c r="Q239" s="64"/>
      <c r="R239" s="33" t="s">
        <v>1175</v>
      </c>
    </row>
    <row r="240" spans="2:18">
      <c r="B240" s="137">
        <v>70</v>
      </c>
      <c r="C240" s="137" t="s">
        <v>1726</v>
      </c>
      <c r="D240" s="64">
        <v>233</v>
      </c>
      <c r="E240" s="33" t="s">
        <v>348</v>
      </c>
      <c r="F240" s="64" t="s">
        <v>6</v>
      </c>
      <c r="G240" s="64" t="s">
        <v>1727</v>
      </c>
      <c r="H240" s="64" t="s">
        <v>1</v>
      </c>
      <c r="I240" s="64" t="s">
        <v>2</v>
      </c>
      <c r="J240" s="33" t="s">
        <v>1166</v>
      </c>
      <c r="K240" s="65">
        <v>32006</v>
      </c>
      <c r="L240" s="66">
        <v>1987</v>
      </c>
      <c r="M240" s="66">
        <f t="shared" si="15"/>
        <v>32</v>
      </c>
      <c r="N240" s="64" t="s">
        <v>3</v>
      </c>
      <c r="O240" s="64" t="s">
        <v>1169</v>
      </c>
      <c r="P240" s="33" t="s">
        <v>1181</v>
      </c>
      <c r="Q240" s="64"/>
      <c r="R240" s="33" t="s">
        <v>85</v>
      </c>
    </row>
    <row r="241" spans="2:18" ht="25.5">
      <c r="B241" s="137"/>
      <c r="C241" s="137"/>
      <c r="D241" s="64">
        <v>234</v>
      </c>
      <c r="E241" s="33" t="s">
        <v>315</v>
      </c>
      <c r="F241" s="64" t="s">
        <v>9</v>
      </c>
      <c r="G241" s="64" t="s">
        <v>1728</v>
      </c>
      <c r="H241" s="64" t="s">
        <v>8</v>
      </c>
      <c r="I241" s="64" t="s">
        <v>2</v>
      </c>
      <c r="J241" s="33" t="s">
        <v>1172</v>
      </c>
      <c r="K241" s="65">
        <v>31959</v>
      </c>
      <c r="L241" s="66">
        <v>1987</v>
      </c>
      <c r="M241" s="66">
        <f t="shared" si="15"/>
        <v>32</v>
      </c>
      <c r="N241" s="64" t="s">
        <v>3</v>
      </c>
      <c r="O241" s="64" t="s">
        <v>1169</v>
      </c>
      <c r="P241" s="33" t="s">
        <v>1181</v>
      </c>
      <c r="Q241" s="64"/>
      <c r="R241" s="33" t="s">
        <v>85</v>
      </c>
    </row>
    <row r="242" spans="2:18" ht="25.5">
      <c r="B242" s="137"/>
      <c r="C242" s="137"/>
      <c r="D242" s="64">
        <v>235</v>
      </c>
      <c r="E242" s="33" t="s">
        <v>1724</v>
      </c>
      <c r="F242" s="64" t="s">
        <v>13</v>
      </c>
      <c r="G242" s="64" t="s">
        <v>1729</v>
      </c>
      <c r="H242" s="64" t="s">
        <v>1</v>
      </c>
      <c r="I242" s="64" t="s">
        <v>11</v>
      </c>
      <c r="J242" s="33" t="s">
        <v>1166</v>
      </c>
      <c r="K242" s="65">
        <v>39904</v>
      </c>
      <c r="L242" s="66">
        <v>2009</v>
      </c>
      <c r="M242" s="66">
        <f t="shared" si="15"/>
        <v>10</v>
      </c>
      <c r="N242" s="64" t="s">
        <v>3</v>
      </c>
      <c r="O242" s="64" t="s">
        <v>1169</v>
      </c>
      <c r="P242" s="33" t="s">
        <v>1176</v>
      </c>
      <c r="Q242" s="64"/>
      <c r="R242" s="33" t="s">
        <v>1175</v>
      </c>
    </row>
    <row r="243" spans="2:18" ht="25.5">
      <c r="B243" s="137"/>
      <c r="C243" s="137"/>
      <c r="D243" s="64">
        <v>236</v>
      </c>
      <c r="E243" s="33" t="s">
        <v>1725</v>
      </c>
      <c r="F243" s="64" t="s">
        <v>13</v>
      </c>
      <c r="G243" s="64" t="s">
        <v>1730</v>
      </c>
      <c r="H243" s="64" t="s">
        <v>8</v>
      </c>
      <c r="I243" s="64" t="s">
        <v>11</v>
      </c>
      <c r="J243" s="33" t="s">
        <v>1250</v>
      </c>
      <c r="K243" s="65">
        <v>43192</v>
      </c>
      <c r="L243" s="66">
        <v>2018</v>
      </c>
      <c r="M243" s="66">
        <f t="shared" si="15"/>
        <v>1</v>
      </c>
      <c r="N243" s="64" t="s">
        <v>3</v>
      </c>
      <c r="O243" s="64" t="s">
        <v>1169</v>
      </c>
      <c r="P243" s="33" t="s">
        <v>1177</v>
      </c>
      <c r="Q243" s="64"/>
      <c r="R243" s="33" t="s">
        <v>1192</v>
      </c>
    </row>
    <row r="244" spans="2:18" ht="25.5">
      <c r="B244" s="137">
        <v>71</v>
      </c>
      <c r="C244" s="137" t="s">
        <v>1802</v>
      </c>
      <c r="D244" s="64">
        <v>237</v>
      </c>
      <c r="E244" s="33" t="s">
        <v>1800</v>
      </c>
      <c r="F244" s="64" t="s">
        <v>6</v>
      </c>
      <c r="G244" s="64" t="s">
        <v>350</v>
      </c>
      <c r="H244" s="64" t="s">
        <v>1</v>
      </c>
      <c r="I244" s="64" t="s">
        <v>2</v>
      </c>
      <c r="J244" s="33" t="s">
        <v>1166</v>
      </c>
      <c r="K244" s="65">
        <v>30003</v>
      </c>
      <c r="L244" s="66">
        <v>1982</v>
      </c>
      <c r="M244" s="66">
        <f t="shared" si="15"/>
        <v>37</v>
      </c>
      <c r="N244" s="64" t="s">
        <v>3</v>
      </c>
      <c r="O244" s="64" t="s">
        <v>1169</v>
      </c>
      <c r="P244" s="33" t="s">
        <v>1181</v>
      </c>
      <c r="Q244" s="64"/>
      <c r="R244" s="33" t="s">
        <v>1178</v>
      </c>
    </row>
    <row r="245" spans="2:18" ht="25.5">
      <c r="B245" s="137"/>
      <c r="C245" s="137"/>
      <c r="D245" s="64">
        <v>238</v>
      </c>
      <c r="E245" s="33" t="s">
        <v>351</v>
      </c>
      <c r="F245" s="64" t="s">
        <v>9</v>
      </c>
      <c r="G245" s="64" t="s">
        <v>1182</v>
      </c>
      <c r="H245" s="64" t="s">
        <v>8</v>
      </c>
      <c r="I245" s="64" t="s">
        <v>2</v>
      </c>
      <c r="J245" s="33" t="s">
        <v>1172</v>
      </c>
      <c r="K245" s="65">
        <v>30133</v>
      </c>
      <c r="L245" s="66">
        <v>1982</v>
      </c>
      <c r="M245" s="66">
        <f t="shared" si="15"/>
        <v>37</v>
      </c>
      <c r="N245" s="64" t="s">
        <v>3</v>
      </c>
      <c r="O245" s="64" t="s">
        <v>1169</v>
      </c>
      <c r="P245" s="33" t="s">
        <v>1181</v>
      </c>
      <c r="Q245" s="64"/>
      <c r="R245" s="33" t="s">
        <v>1178</v>
      </c>
    </row>
    <row r="246" spans="2:18" ht="25.5">
      <c r="B246" s="137"/>
      <c r="C246" s="137"/>
      <c r="D246" s="64">
        <v>239</v>
      </c>
      <c r="E246" s="33" t="s">
        <v>352</v>
      </c>
      <c r="F246" s="64" t="s">
        <v>13</v>
      </c>
      <c r="G246" s="64" t="s">
        <v>1803</v>
      </c>
      <c r="H246" s="64" t="s">
        <v>1</v>
      </c>
      <c r="I246" s="64" t="s">
        <v>11</v>
      </c>
      <c r="J246" s="33" t="s">
        <v>1166</v>
      </c>
      <c r="K246" s="65">
        <v>40336</v>
      </c>
      <c r="L246" s="66">
        <v>2010</v>
      </c>
      <c r="M246" s="66">
        <f t="shared" si="15"/>
        <v>9</v>
      </c>
      <c r="N246" s="64" t="s">
        <v>3</v>
      </c>
      <c r="O246" s="64" t="s">
        <v>1169</v>
      </c>
      <c r="P246" s="33" t="s">
        <v>1177</v>
      </c>
      <c r="Q246" s="64"/>
      <c r="R246" s="33" t="s">
        <v>1192</v>
      </c>
    </row>
    <row r="247" spans="2:18" ht="25.5">
      <c r="B247" s="137"/>
      <c r="C247" s="137"/>
      <c r="D247" s="64">
        <v>240</v>
      </c>
      <c r="E247" s="33" t="s">
        <v>1801</v>
      </c>
      <c r="F247" s="64" t="s">
        <v>13</v>
      </c>
      <c r="G247" s="64" t="s">
        <v>1804</v>
      </c>
      <c r="H247" s="64" t="s">
        <v>1</v>
      </c>
      <c r="I247" s="64" t="s">
        <v>11</v>
      </c>
      <c r="J247" s="33" t="s">
        <v>1250</v>
      </c>
      <c r="K247" s="65">
        <v>43349</v>
      </c>
      <c r="L247" s="66">
        <v>2018</v>
      </c>
      <c r="M247" s="66">
        <f t="shared" si="15"/>
        <v>1</v>
      </c>
      <c r="N247" s="64" t="s">
        <v>3</v>
      </c>
      <c r="O247" s="64" t="s">
        <v>1169</v>
      </c>
      <c r="P247" s="33" t="s">
        <v>1177</v>
      </c>
      <c r="Q247" s="64"/>
      <c r="R247" s="33" t="s">
        <v>1192</v>
      </c>
    </row>
    <row r="248" spans="2:18">
      <c r="B248" s="137">
        <v>72</v>
      </c>
      <c r="C248" s="137"/>
      <c r="D248" s="64">
        <v>241</v>
      </c>
      <c r="E248" s="33" t="s">
        <v>353</v>
      </c>
      <c r="F248" s="64" t="s">
        <v>6</v>
      </c>
      <c r="G248" s="64" t="s">
        <v>354</v>
      </c>
      <c r="H248" s="64" t="s">
        <v>1</v>
      </c>
      <c r="I248" s="64" t="s">
        <v>2</v>
      </c>
      <c r="J248" s="33"/>
      <c r="K248" s="65">
        <v>30681</v>
      </c>
      <c r="L248" s="66">
        <f t="shared" ref="L248:L253" si="18">YEAR(K248)</f>
        <v>1983</v>
      </c>
      <c r="M248" s="66">
        <f t="shared" si="15"/>
        <v>36</v>
      </c>
      <c r="N248" s="64" t="s">
        <v>3</v>
      </c>
      <c r="O248" s="64"/>
      <c r="P248" s="33" t="s">
        <v>28</v>
      </c>
      <c r="Q248" s="64"/>
      <c r="R248" s="33" t="s">
        <v>5</v>
      </c>
    </row>
    <row r="249" spans="2:18">
      <c r="B249" s="137"/>
      <c r="C249" s="137"/>
      <c r="D249" s="64">
        <v>242</v>
      </c>
      <c r="E249" s="33" t="s">
        <v>355</v>
      </c>
      <c r="F249" s="64" t="s">
        <v>9</v>
      </c>
      <c r="G249" s="64" t="s">
        <v>356</v>
      </c>
      <c r="H249" s="64" t="s">
        <v>8</v>
      </c>
      <c r="I249" s="64" t="s">
        <v>2</v>
      </c>
      <c r="J249" s="33"/>
      <c r="K249" s="65">
        <v>34396</v>
      </c>
      <c r="L249" s="66">
        <f t="shared" si="18"/>
        <v>1994</v>
      </c>
      <c r="M249" s="66">
        <f t="shared" si="15"/>
        <v>25</v>
      </c>
      <c r="N249" s="64" t="s">
        <v>3</v>
      </c>
      <c r="O249" s="64"/>
      <c r="P249" s="33" t="s">
        <v>12</v>
      </c>
      <c r="Q249" s="64"/>
      <c r="R249" s="33" t="s">
        <v>119</v>
      </c>
    </row>
    <row r="250" spans="2:18" ht="25.5">
      <c r="B250" s="137"/>
      <c r="C250" s="137"/>
      <c r="D250" s="64">
        <v>243</v>
      </c>
      <c r="E250" s="33" t="s">
        <v>357</v>
      </c>
      <c r="F250" s="64" t="s">
        <v>13</v>
      </c>
      <c r="G250" s="64" t="s">
        <v>358</v>
      </c>
      <c r="H250" s="64" t="s">
        <v>1</v>
      </c>
      <c r="I250" s="64" t="s">
        <v>11</v>
      </c>
      <c r="J250" s="33"/>
      <c r="K250" s="65">
        <v>41412</v>
      </c>
      <c r="L250" s="66">
        <f t="shared" si="18"/>
        <v>2013</v>
      </c>
      <c r="M250" s="66">
        <f t="shared" si="15"/>
        <v>6</v>
      </c>
      <c r="N250" s="64" t="s">
        <v>3</v>
      </c>
      <c r="O250" s="64"/>
      <c r="P250" s="33" t="s">
        <v>4</v>
      </c>
      <c r="Q250" s="64"/>
      <c r="R250" s="33" t="s">
        <v>4</v>
      </c>
    </row>
    <row r="251" spans="2:18" ht="25.5">
      <c r="B251" s="137">
        <v>73</v>
      </c>
      <c r="C251" s="137"/>
      <c r="D251" s="64">
        <v>244</v>
      </c>
      <c r="E251" s="33" t="s">
        <v>359</v>
      </c>
      <c r="F251" s="64" t="s">
        <v>6</v>
      </c>
      <c r="G251" s="64" t="s">
        <v>360</v>
      </c>
      <c r="H251" s="64" t="s">
        <v>1</v>
      </c>
      <c r="I251" s="64" t="s">
        <v>2</v>
      </c>
      <c r="J251" s="33"/>
      <c r="K251" s="65">
        <v>23376</v>
      </c>
      <c r="L251" s="66">
        <f t="shared" si="18"/>
        <v>1963</v>
      </c>
      <c r="M251" s="66">
        <f t="shared" si="15"/>
        <v>56</v>
      </c>
      <c r="N251" s="64" t="s">
        <v>3</v>
      </c>
      <c r="O251" s="64"/>
      <c r="P251" s="33" t="s">
        <v>12</v>
      </c>
      <c r="Q251" s="64"/>
      <c r="R251" s="33" t="s">
        <v>126</v>
      </c>
    </row>
    <row r="252" spans="2:18">
      <c r="B252" s="137"/>
      <c r="C252" s="137"/>
      <c r="D252" s="64">
        <v>245</v>
      </c>
      <c r="E252" s="33" t="s">
        <v>361</v>
      </c>
      <c r="F252" s="64" t="s">
        <v>9</v>
      </c>
      <c r="G252" s="64" t="s">
        <v>362</v>
      </c>
      <c r="H252" s="64" t="s">
        <v>8</v>
      </c>
      <c r="I252" s="64" t="s">
        <v>2</v>
      </c>
      <c r="J252" s="33"/>
      <c r="K252" s="65">
        <v>25933</v>
      </c>
      <c r="L252" s="66">
        <f t="shared" si="18"/>
        <v>1970</v>
      </c>
      <c r="M252" s="66">
        <f t="shared" si="15"/>
        <v>49</v>
      </c>
      <c r="N252" s="64" t="s">
        <v>3</v>
      </c>
      <c r="O252" s="64"/>
      <c r="P252" s="33" t="s">
        <v>16</v>
      </c>
      <c r="Q252" s="64"/>
      <c r="R252" s="33" t="s">
        <v>119</v>
      </c>
    </row>
    <row r="253" spans="2:18" ht="25.5">
      <c r="B253" s="137"/>
      <c r="C253" s="137"/>
      <c r="D253" s="64">
        <v>246</v>
      </c>
      <c r="E253" s="33" t="s">
        <v>363</v>
      </c>
      <c r="F253" s="64" t="s">
        <v>13</v>
      </c>
      <c r="G253" s="64" t="s">
        <v>364</v>
      </c>
      <c r="H253" s="64" t="s">
        <v>1</v>
      </c>
      <c r="I253" s="64" t="s">
        <v>11</v>
      </c>
      <c r="J253" s="33"/>
      <c r="K253" s="65">
        <v>37621</v>
      </c>
      <c r="L253" s="66">
        <f t="shared" si="18"/>
        <v>2002</v>
      </c>
      <c r="M253" s="66">
        <f t="shared" si="15"/>
        <v>17</v>
      </c>
      <c r="N253" s="64" t="s">
        <v>3</v>
      </c>
      <c r="O253" s="64"/>
      <c r="P253" s="33" t="s">
        <v>28</v>
      </c>
      <c r="Q253" s="64"/>
      <c r="R253" s="33" t="s">
        <v>4</v>
      </c>
    </row>
    <row r="254" spans="2:18">
      <c r="B254" s="137">
        <v>74</v>
      </c>
      <c r="C254" s="137" t="s">
        <v>1760</v>
      </c>
      <c r="D254" s="64">
        <v>247</v>
      </c>
      <c r="E254" s="33" t="s">
        <v>1761</v>
      </c>
      <c r="F254" s="64" t="s">
        <v>6</v>
      </c>
      <c r="G254" s="64" t="s">
        <v>171</v>
      </c>
      <c r="H254" s="64" t="s">
        <v>1</v>
      </c>
      <c r="I254" s="64" t="s">
        <v>2</v>
      </c>
      <c r="J254" s="33" t="s">
        <v>1166</v>
      </c>
      <c r="K254" s="65">
        <v>35796</v>
      </c>
      <c r="L254" s="66">
        <v>1998</v>
      </c>
      <c r="M254" s="66">
        <f>2019-L254</f>
        <v>21</v>
      </c>
      <c r="N254" s="64" t="s">
        <v>3</v>
      </c>
      <c r="O254" s="64" t="s">
        <v>1169</v>
      </c>
      <c r="P254" s="33" t="s">
        <v>1199</v>
      </c>
      <c r="Q254" s="64"/>
      <c r="R254" s="33" t="s">
        <v>1766</v>
      </c>
    </row>
    <row r="255" spans="2:18" ht="25.5">
      <c r="B255" s="137"/>
      <c r="C255" s="137"/>
      <c r="D255" s="64">
        <v>248</v>
      </c>
      <c r="E255" s="33" t="s">
        <v>1762</v>
      </c>
      <c r="F255" s="64" t="s">
        <v>9</v>
      </c>
      <c r="G255" s="64" t="s">
        <v>1764</v>
      </c>
      <c r="H255" s="64" t="s">
        <v>1</v>
      </c>
      <c r="I255" s="64" t="s">
        <v>2</v>
      </c>
      <c r="J255" s="33" t="s">
        <v>1166</v>
      </c>
      <c r="K255" s="65">
        <v>36501</v>
      </c>
      <c r="L255" s="66">
        <v>1999</v>
      </c>
      <c r="M255" s="66">
        <f t="shared" ref="M255:M259" si="19">2019-L255</f>
        <v>20</v>
      </c>
      <c r="N255" s="64" t="s">
        <v>3</v>
      </c>
      <c r="O255" s="64" t="s">
        <v>1169</v>
      </c>
      <c r="P255" s="33" t="s">
        <v>1199</v>
      </c>
      <c r="Q255" s="64"/>
      <c r="R255" s="33" t="s">
        <v>1168</v>
      </c>
    </row>
    <row r="256" spans="2:18" ht="25.5">
      <c r="B256" s="137"/>
      <c r="C256" s="137"/>
      <c r="D256" s="64">
        <v>249</v>
      </c>
      <c r="E256" s="33" t="s">
        <v>1763</v>
      </c>
      <c r="F256" s="64" t="s">
        <v>13</v>
      </c>
      <c r="G256" s="64" t="s">
        <v>1765</v>
      </c>
      <c r="H256" s="64" t="s">
        <v>1</v>
      </c>
      <c r="I256" s="64" t="s">
        <v>11</v>
      </c>
      <c r="J256" s="33" t="s">
        <v>1250</v>
      </c>
      <c r="K256" s="65">
        <v>43457</v>
      </c>
      <c r="L256" s="66">
        <v>2018</v>
      </c>
      <c r="M256" s="66">
        <f t="shared" si="19"/>
        <v>1</v>
      </c>
      <c r="N256" s="64" t="s">
        <v>3</v>
      </c>
      <c r="O256" s="64" t="s">
        <v>1169</v>
      </c>
      <c r="P256" s="33" t="s">
        <v>1177</v>
      </c>
      <c r="Q256" s="64"/>
      <c r="R256" s="33" t="s">
        <v>1192</v>
      </c>
    </row>
    <row r="257" spans="2:18" s="59" customFormat="1">
      <c r="B257" s="137">
        <v>75</v>
      </c>
      <c r="C257" s="137" t="s">
        <v>1805</v>
      </c>
      <c r="D257" s="64">
        <v>250</v>
      </c>
      <c r="E257" s="33" t="s">
        <v>1807</v>
      </c>
      <c r="F257" s="64" t="s">
        <v>6</v>
      </c>
      <c r="G257" s="64" t="s">
        <v>1808</v>
      </c>
      <c r="H257" s="64" t="s">
        <v>1</v>
      </c>
      <c r="I257" s="64" t="s">
        <v>2</v>
      </c>
      <c r="J257" s="33" t="s">
        <v>1166</v>
      </c>
      <c r="K257" s="65">
        <v>31187</v>
      </c>
      <c r="L257" s="66">
        <v>1985</v>
      </c>
      <c r="M257" s="66">
        <f t="shared" si="19"/>
        <v>34</v>
      </c>
      <c r="N257" s="64" t="s">
        <v>3</v>
      </c>
      <c r="O257" s="64" t="s">
        <v>1169</v>
      </c>
      <c r="P257" s="33" t="s">
        <v>1199</v>
      </c>
      <c r="Q257" s="64"/>
      <c r="R257" s="33" t="s">
        <v>85</v>
      </c>
    </row>
    <row r="258" spans="2:18" s="59" customFormat="1" ht="25.5">
      <c r="B258" s="137"/>
      <c r="C258" s="137"/>
      <c r="D258" s="64">
        <v>251</v>
      </c>
      <c r="E258" s="33" t="s">
        <v>788</v>
      </c>
      <c r="F258" s="64" t="s">
        <v>9</v>
      </c>
      <c r="G258" s="64" t="s">
        <v>1809</v>
      </c>
      <c r="H258" s="64" t="s">
        <v>8</v>
      </c>
      <c r="I258" s="64" t="s">
        <v>2</v>
      </c>
      <c r="J258" s="33" t="s">
        <v>1172</v>
      </c>
      <c r="K258" s="65">
        <v>33363</v>
      </c>
      <c r="L258" s="66">
        <v>1991</v>
      </c>
      <c r="M258" s="66">
        <f t="shared" si="19"/>
        <v>28</v>
      </c>
      <c r="N258" s="64" t="s">
        <v>3</v>
      </c>
      <c r="O258" s="64" t="s">
        <v>1169</v>
      </c>
      <c r="P258" s="33" t="s">
        <v>1199</v>
      </c>
      <c r="Q258" s="64"/>
      <c r="R258" s="33" t="s">
        <v>1168</v>
      </c>
    </row>
    <row r="259" spans="2:18" s="59" customFormat="1" ht="25.5">
      <c r="B259" s="137"/>
      <c r="C259" s="137"/>
      <c r="D259" s="64">
        <v>252</v>
      </c>
      <c r="E259" s="33" t="s">
        <v>1806</v>
      </c>
      <c r="F259" s="64" t="s">
        <v>13</v>
      </c>
      <c r="G259" s="64" t="s">
        <v>1810</v>
      </c>
      <c r="H259" s="64" t="s">
        <v>1</v>
      </c>
      <c r="I259" s="64" t="s">
        <v>11</v>
      </c>
      <c r="J259" s="33" t="s">
        <v>1166</v>
      </c>
      <c r="K259" s="65">
        <v>42582</v>
      </c>
      <c r="L259" s="66">
        <v>2016</v>
      </c>
      <c r="M259" s="66">
        <f t="shared" si="19"/>
        <v>3</v>
      </c>
      <c r="N259" s="64" t="s">
        <v>3</v>
      </c>
      <c r="O259" s="64" t="s">
        <v>1169</v>
      </c>
      <c r="P259" s="33" t="s">
        <v>1177</v>
      </c>
      <c r="Q259" s="64"/>
      <c r="R259" s="33" t="s">
        <v>1192</v>
      </c>
    </row>
    <row r="260" spans="2:18" ht="25.5">
      <c r="B260" s="137">
        <v>76</v>
      </c>
      <c r="C260" s="137"/>
      <c r="D260" s="64">
        <v>253</v>
      </c>
      <c r="E260" s="33" t="s">
        <v>377</v>
      </c>
      <c r="F260" s="64" t="s">
        <v>6</v>
      </c>
      <c r="G260" s="64" t="s">
        <v>378</v>
      </c>
      <c r="H260" s="64" t="s">
        <v>1</v>
      </c>
      <c r="I260" s="64" t="s">
        <v>2</v>
      </c>
      <c r="J260" s="33"/>
      <c r="K260" s="65">
        <v>27029</v>
      </c>
      <c r="L260" s="66">
        <f t="shared" ref="L260:L268" si="20">YEAR(K260)</f>
        <v>1973</v>
      </c>
      <c r="M260" s="66">
        <f t="shared" si="15"/>
        <v>46</v>
      </c>
      <c r="N260" s="64" t="s">
        <v>3</v>
      </c>
      <c r="O260" s="64"/>
      <c r="P260" s="33" t="s">
        <v>116</v>
      </c>
      <c r="Q260" s="64"/>
      <c r="R260" s="33" t="s">
        <v>80</v>
      </c>
    </row>
    <row r="261" spans="2:18" ht="38.25">
      <c r="B261" s="137"/>
      <c r="C261" s="137"/>
      <c r="D261" s="64">
        <v>254</v>
      </c>
      <c r="E261" s="33" t="s">
        <v>379</v>
      </c>
      <c r="F261" s="64" t="s">
        <v>9</v>
      </c>
      <c r="G261" s="64" t="s">
        <v>380</v>
      </c>
      <c r="H261" s="64" t="s">
        <v>8</v>
      </c>
      <c r="I261" s="64" t="s">
        <v>2</v>
      </c>
      <c r="J261" s="33"/>
      <c r="K261" s="65">
        <v>26152</v>
      </c>
      <c r="L261" s="66">
        <f t="shared" si="20"/>
        <v>1971</v>
      </c>
      <c r="M261" s="66">
        <f t="shared" si="15"/>
        <v>48</v>
      </c>
      <c r="N261" s="64" t="s">
        <v>3</v>
      </c>
      <c r="O261" s="64"/>
      <c r="P261" s="33" t="s">
        <v>116</v>
      </c>
      <c r="Q261" s="64"/>
      <c r="R261" s="33" t="s">
        <v>80</v>
      </c>
    </row>
    <row r="262" spans="2:18" ht="25.5">
      <c r="B262" s="137"/>
      <c r="C262" s="137"/>
      <c r="D262" s="64">
        <v>255</v>
      </c>
      <c r="E262" s="33" t="s">
        <v>381</v>
      </c>
      <c r="F262" s="64" t="s">
        <v>13</v>
      </c>
      <c r="G262" s="64" t="s">
        <v>382</v>
      </c>
      <c r="H262" s="64" t="s">
        <v>1</v>
      </c>
      <c r="I262" s="64" t="s">
        <v>11</v>
      </c>
      <c r="J262" s="33"/>
      <c r="K262" s="65">
        <v>36626</v>
      </c>
      <c r="L262" s="66">
        <f t="shared" si="20"/>
        <v>2000</v>
      </c>
      <c r="M262" s="66">
        <f t="shared" si="15"/>
        <v>19</v>
      </c>
      <c r="N262" s="64" t="s">
        <v>3</v>
      </c>
      <c r="O262" s="64"/>
      <c r="P262" s="33" t="s">
        <v>12</v>
      </c>
      <c r="Q262" s="64"/>
      <c r="R262" s="33" t="s">
        <v>4</v>
      </c>
    </row>
    <row r="263" spans="2:18" ht="25.5">
      <c r="B263" s="137"/>
      <c r="C263" s="137"/>
      <c r="D263" s="64">
        <v>256</v>
      </c>
      <c r="E263" s="33" t="s">
        <v>383</v>
      </c>
      <c r="F263" s="64" t="s">
        <v>13</v>
      </c>
      <c r="G263" s="64" t="s">
        <v>384</v>
      </c>
      <c r="H263" s="64" t="s">
        <v>1</v>
      </c>
      <c r="I263" s="64" t="s">
        <v>11</v>
      </c>
      <c r="J263" s="33"/>
      <c r="K263" s="65">
        <v>37238</v>
      </c>
      <c r="L263" s="66">
        <f t="shared" si="20"/>
        <v>2001</v>
      </c>
      <c r="M263" s="66">
        <f t="shared" si="15"/>
        <v>18</v>
      </c>
      <c r="N263" s="64" t="s">
        <v>3</v>
      </c>
      <c r="O263" s="64"/>
      <c r="P263" s="33" t="s">
        <v>28</v>
      </c>
      <c r="Q263" s="64"/>
      <c r="R263" s="33" t="s">
        <v>4</v>
      </c>
    </row>
    <row r="264" spans="2:18">
      <c r="B264" s="137"/>
      <c r="C264" s="137"/>
      <c r="D264" s="64">
        <v>257</v>
      </c>
      <c r="E264" s="33" t="s">
        <v>385</v>
      </c>
      <c r="F264" s="64" t="s">
        <v>13</v>
      </c>
      <c r="G264" s="64" t="s">
        <v>386</v>
      </c>
      <c r="H264" s="64" t="s">
        <v>8</v>
      </c>
      <c r="I264" s="64" t="s">
        <v>11</v>
      </c>
      <c r="J264" s="33"/>
      <c r="K264" s="65">
        <v>39391</v>
      </c>
      <c r="L264" s="66">
        <f t="shared" si="20"/>
        <v>2007</v>
      </c>
      <c r="M264" s="66">
        <f t="shared" si="15"/>
        <v>12</v>
      </c>
      <c r="N264" s="64" t="s">
        <v>3</v>
      </c>
      <c r="O264" s="64"/>
      <c r="P264" s="33" t="s">
        <v>4</v>
      </c>
      <c r="Q264" s="64"/>
      <c r="R264" s="33" t="s">
        <v>4</v>
      </c>
    </row>
    <row r="265" spans="2:18">
      <c r="B265" s="137"/>
      <c r="C265" s="137"/>
      <c r="D265" s="64">
        <v>258</v>
      </c>
      <c r="E265" s="33" t="s">
        <v>387</v>
      </c>
      <c r="F265" s="64" t="s">
        <v>23</v>
      </c>
      <c r="G265" s="64" t="s">
        <v>388</v>
      </c>
      <c r="H265" s="64" t="s">
        <v>8</v>
      </c>
      <c r="I265" s="64" t="s">
        <v>11</v>
      </c>
      <c r="J265" s="33"/>
      <c r="K265" s="65">
        <v>31047</v>
      </c>
      <c r="L265" s="66">
        <f t="shared" si="20"/>
        <v>1984</v>
      </c>
      <c r="M265" s="66">
        <f t="shared" si="15"/>
        <v>35</v>
      </c>
      <c r="N265" s="64" t="s">
        <v>3</v>
      </c>
      <c r="O265" s="64"/>
      <c r="P265" s="33" t="s">
        <v>28</v>
      </c>
      <c r="Q265" s="64"/>
      <c r="R265" s="33" t="s">
        <v>5</v>
      </c>
    </row>
    <row r="266" spans="2:18">
      <c r="B266" s="137">
        <v>77</v>
      </c>
      <c r="C266" s="137"/>
      <c r="D266" s="64">
        <v>259</v>
      </c>
      <c r="E266" s="33" t="s">
        <v>389</v>
      </c>
      <c r="F266" s="64" t="s">
        <v>6</v>
      </c>
      <c r="G266" s="64" t="s">
        <v>390</v>
      </c>
      <c r="H266" s="64" t="s">
        <v>1</v>
      </c>
      <c r="I266" s="64" t="s">
        <v>2</v>
      </c>
      <c r="J266" s="33"/>
      <c r="K266" s="65">
        <v>19176</v>
      </c>
      <c r="L266" s="66">
        <f t="shared" si="20"/>
        <v>1952</v>
      </c>
      <c r="M266" s="66">
        <f t="shared" si="15"/>
        <v>67</v>
      </c>
      <c r="N266" s="64" t="s">
        <v>3</v>
      </c>
      <c r="O266" s="64"/>
      <c r="P266" s="33" t="s">
        <v>4</v>
      </c>
      <c r="Q266" s="64"/>
      <c r="R266" s="33" t="s">
        <v>126</v>
      </c>
    </row>
    <row r="267" spans="2:18" ht="25.5">
      <c r="B267" s="137"/>
      <c r="C267" s="137"/>
      <c r="D267" s="64">
        <v>260</v>
      </c>
      <c r="E267" s="33" t="s">
        <v>391</v>
      </c>
      <c r="F267" s="64" t="s">
        <v>392</v>
      </c>
      <c r="G267" s="64" t="s">
        <v>393</v>
      </c>
      <c r="H267" s="64" t="s">
        <v>8</v>
      </c>
      <c r="I267" s="64" t="s">
        <v>2</v>
      </c>
      <c r="J267" s="33"/>
      <c r="K267" s="65">
        <v>21002</v>
      </c>
      <c r="L267" s="66">
        <f t="shared" si="20"/>
        <v>1957</v>
      </c>
      <c r="M267" s="66">
        <f t="shared" si="15"/>
        <v>62</v>
      </c>
      <c r="N267" s="64" t="s">
        <v>3</v>
      </c>
      <c r="O267" s="64"/>
      <c r="P267" s="33" t="s">
        <v>4</v>
      </c>
      <c r="Q267" s="64"/>
      <c r="R267" s="33" t="s">
        <v>119</v>
      </c>
    </row>
    <row r="268" spans="2:18" ht="25.5">
      <c r="B268" s="137"/>
      <c r="C268" s="137"/>
      <c r="D268" s="64">
        <v>261</v>
      </c>
      <c r="E268" s="33" t="s">
        <v>394</v>
      </c>
      <c r="F268" s="64" t="s">
        <v>13</v>
      </c>
      <c r="G268" s="64" t="s">
        <v>395</v>
      </c>
      <c r="H268" s="64" t="s">
        <v>8</v>
      </c>
      <c r="I268" s="64" t="s">
        <v>11</v>
      </c>
      <c r="J268" s="33"/>
      <c r="K268" s="65">
        <v>35670</v>
      </c>
      <c r="L268" s="66">
        <f t="shared" si="20"/>
        <v>1997</v>
      </c>
      <c r="M268" s="66">
        <f t="shared" si="15"/>
        <v>22</v>
      </c>
      <c r="N268" s="64" t="s">
        <v>3</v>
      </c>
      <c r="O268" s="64"/>
      <c r="P268" s="33" t="s">
        <v>16</v>
      </c>
      <c r="Q268" s="64"/>
      <c r="R268" s="33" t="s">
        <v>4</v>
      </c>
    </row>
    <row r="269" spans="2:18" ht="25.5">
      <c r="B269" s="137">
        <v>78</v>
      </c>
      <c r="C269" s="137" t="s">
        <v>1684</v>
      </c>
      <c r="D269" s="64">
        <v>262</v>
      </c>
      <c r="E269" s="33" t="s">
        <v>1685</v>
      </c>
      <c r="F269" s="64" t="s">
        <v>6</v>
      </c>
      <c r="G269" s="64" t="s">
        <v>1689</v>
      </c>
      <c r="H269" s="64" t="s">
        <v>1</v>
      </c>
      <c r="I269" s="64" t="s">
        <v>2</v>
      </c>
      <c r="J269" s="33" t="s">
        <v>1172</v>
      </c>
      <c r="K269" s="65">
        <v>27576</v>
      </c>
      <c r="L269" s="66">
        <v>1975</v>
      </c>
      <c r="M269" s="66">
        <f t="shared" si="15"/>
        <v>44</v>
      </c>
      <c r="N269" s="64" t="s">
        <v>3</v>
      </c>
      <c r="O269" s="64" t="s">
        <v>1169</v>
      </c>
      <c r="P269" s="33" t="s">
        <v>1181</v>
      </c>
      <c r="Q269" s="64"/>
      <c r="R269" s="33" t="s">
        <v>85</v>
      </c>
    </row>
    <row r="270" spans="2:18" ht="25.5">
      <c r="B270" s="137"/>
      <c r="C270" s="137"/>
      <c r="D270" s="64">
        <v>263</v>
      </c>
      <c r="E270" s="33" t="s">
        <v>1686</v>
      </c>
      <c r="F270" s="64" t="s">
        <v>9</v>
      </c>
      <c r="G270" s="64" t="s">
        <v>396</v>
      </c>
      <c r="H270" s="64" t="s">
        <v>8</v>
      </c>
      <c r="I270" s="64" t="s">
        <v>2</v>
      </c>
      <c r="J270" s="33" t="s">
        <v>1172</v>
      </c>
      <c r="K270" s="65">
        <v>28836</v>
      </c>
      <c r="L270" s="66">
        <v>1978</v>
      </c>
      <c r="M270" s="66">
        <f t="shared" si="15"/>
        <v>41</v>
      </c>
      <c r="N270" s="64" t="s">
        <v>3</v>
      </c>
      <c r="O270" s="64" t="s">
        <v>1169</v>
      </c>
      <c r="P270" s="33" t="s">
        <v>1199</v>
      </c>
      <c r="Q270" s="64"/>
      <c r="R270" s="33" t="s">
        <v>1168</v>
      </c>
    </row>
    <row r="271" spans="2:18">
      <c r="B271" s="137"/>
      <c r="C271" s="137"/>
      <c r="D271" s="64">
        <v>264</v>
      </c>
      <c r="E271" s="33" t="s">
        <v>1687</v>
      </c>
      <c r="F271" s="64" t="s">
        <v>13</v>
      </c>
      <c r="G271" s="64" t="s">
        <v>1690</v>
      </c>
      <c r="H271" s="64" t="s">
        <v>8</v>
      </c>
      <c r="I271" s="64" t="s">
        <v>11</v>
      </c>
      <c r="J271" s="33" t="s">
        <v>1166</v>
      </c>
      <c r="K271" s="65">
        <v>34873</v>
      </c>
      <c r="L271" s="66">
        <v>1995</v>
      </c>
      <c r="M271" s="66">
        <f t="shared" si="15"/>
        <v>24</v>
      </c>
      <c r="N271" s="64" t="s">
        <v>3</v>
      </c>
      <c r="O271" s="64" t="s">
        <v>1169</v>
      </c>
      <c r="P271" s="33" t="s">
        <v>1174</v>
      </c>
      <c r="Q271" s="64"/>
      <c r="R271" s="33" t="s">
        <v>1300</v>
      </c>
    </row>
    <row r="272" spans="2:18" ht="25.5">
      <c r="B272" s="137"/>
      <c r="C272" s="137"/>
      <c r="D272" s="64">
        <v>265</v>
      </c>
      <c r="E272" s="33" t="s">
        <v>397</v>
      </c>
      <c r="F272" s="64" t="s">
        <v>13</v>
      </c>
      <c r="G272" s="64" t="s">
        <v>1691</v>
      </c>
      <c r="H272" s="64" t="s">
        <v>8</v>
      </c>
      <c r="I272" s="64" t="s">
        <v>11</v>
      </c>
      <c r="J272" s="33" t="s">
        <v>1166</v>
      </c>
      <c r="K272" s="65">
        <v>39521</v>
      </c>
      <c r="L272" s="66">
        <v>2008</v>
      </c>
      <c r="M272" s="66">
        <f t="shared" ref="M272:M273" si="21">2019-L272</f>
        <v>11</v>
      </c>
      <c r="N272" s="64" t="s">
        <v>3</v>
      </c>
      <c r="O272" s="64" t="s">
        <v>1169</v>
      </c>
      <c r="P272" s="33" t="s">
        <v>1177</v>
      </c>
      <c r="Q272" s="64"/>
      <c r="R272" s="33" t="s">
        <v>1192</v>
      </c>
    </row>
    <row r="273" spans="2:18" ht="25.5">
      <c r="B273" s="137">
        <v>79</v>
      </c>
      <c r="C273" s="137" t="s">
        <v>1682</v>
      </c>
      <c r="D273" s="64">
        <v>266</v>
      </c>
      <c r="E273" s="33" t="s">
        <v>1377</v>
      </c>
      <c r="F273" s="64" t="s">
        <v>6</v>
      </c>
      <c r="G273" s="64" t="s">
        <v>398</v>
      </c>
      <c r="H273" s="64" t="s">
        <v>1</v>
      </c>
      <c r="I273" s="64" t="s">
        <v>2</v>
      </c>
      <c r="J273" s="33" t="s">
        <v>1172</v>
      </c>
      <c r="K273" s="65">
        <v>22930</v>
      </c>
      <c r="L273" s="66">
        <v>1962</v>
      </c>
      <c r="M273" s="66">
        <f t="shared" si="21"/>
        <v>57</v>
      </c>
      <c r="N273" s="64" t="s">
        <v>3</v>
      </c>
      <c r="O273" s="64" t="s">
        <v>1169</v>
      </c>
      <c r="P273" s="33" t="s">
        <v>1181</v>
      </c>
      <c r="Q273" s="64"/>
      <c r="R273" s="33" t="s">
        <v>1167</v>
      </c>
    </row>
    <row r="274" spans="2:18" ht="25.5">
      <c r="B274" s="137"/>
      <c r="C274" s="137"/>
      <c r="D274" s="64">
        <v>267</v>
      </c>
      <c r="E274" s="33" t="s">
        <v>399</v>
      </c>
      <c r="F274" s="64" t="s">
        <v>9</v>
      </c>
      <c r="G274" s="64" t="s">
        <v>400</v>
      </c>
      <c r="H274" s="64" t="s">
        <v>8</v>
      </c>
      <c r="I274" s="64" t="s">
        <v>2</v>
      </c>
      <c r="J274" s="33" t="s">
        <v>1378</v>
      </c>
      <c r="K274" s="65">
        <v>23924</v>
      </c>
      <c r="L274" s="66">
        <v>1965</v>
      </c>
      <c r="M274" s="66">
        <f t="shared" ref="M274:M284" si="22">2019-L274</f>
        <v>54</v>
      </c>
      <c r="N274" s="64" t="s">
        <v>3</v>
      </c>
      <c r="O274" s="64" t="s">
        <v>1169</v>
      </c>
      <c r="P274" s="33" t="s">
        <v>1181</v>
      </c>
      <c r="Q274" s="64"/>
      <c r="R274" s="33" t="s">
        <v>1178</v>
      </c>
    </row>
    <row r="275" spans="2:18">
      <c r="B275" s="137">
        <v>80</v>
      </c>
      <c r="C275" s="137"/>
      <c r="D275" s="64">
        <v>268</v>
      </c>
      <c r="E275" s="33" t="s">
        <v>401</v>
      </c>
      <c r="F275" s="64" t="s">
        <v>6</v>
      </c>
      <c r="G275" s="64" t="s">
        <v>402</v>
      </c>
      <c r="H275" s="64" t="s">
        <v>1</v>
      </c>
      <c r="I275" s="64" t="s">
        <v>2</v>
      </c>
      <c r="J275" s="33"/>
      <c r="K275" s="65">
        <v>23411</v>
      </c>
      <c r="L275" s="66">
        <f t="shared" ref="L275:L281" si="23">YEAR(K275)</f>
        <v>1964</v>
      </c>
      <c r="M275" s="66">
        <f t="shared" si="22"/>
        <v>55</v>
      </c>
      <c r="N275" s="64" t="s">
        <v>3</v>
      </c>
      <c r="O275" s="64"/>
      <c r="P275" s="33" t="s">
        <v>12</v>
      </c>
      <c r="Q275" s="64"/>
      <c r="R275" s="33" t="s">
        <v>80</v>
      </c>
    </row>
    <row r="276" spans="2:18">
      <c r="B276" s="137"/>
      <c r="C276" s="137"/>
      <c r="D276" s="64">
        <v>269</v>
      </c>
      <c r="E276" s="33" t="s">
        <v>403</v>
      </c>
      <c r="F276" s="64" t="s">
        <v>9</v>
      </c>
      <c r="G276" s="64" t="s">
        <v>404</v>
      </c>
      <c r="H276" s="64" t="s">
        <v>8</v>
      </c>
      <c r="I276" s="64" t="s">
        <v>2</v>
      </c>
      <c r="J276" s="33"/>
      <c r="K276" s="65">
        <v>24536</v>
      </c>
      <c r="L276" s="66">
        <f t="shared" si="23"/>
        <v>1967</v>
      </c>
      <c r="M276" s="66">
        <f t="shared" si="22"/>
        <v>52</v>
      </c>
      <c r="N276" s="64" t="s">
        <v>3</v>
      </c>
      <c r="O276" s="64"/>
      <c r="P276" s="33" t="s">
        <v>116</v>
      </c>
      <c r="Q276" s="64"/>
      <c r="R276" s="33" t="s">
        <v>80</v>
      </c>
    </row>
    <row r="277" spans="2:18" ht="25.5">
      <c r="B277" s="137"/>
      <c r="C277" s="137"/>
      <c r="D277" s="64">
        <v>270</v>
      </c>
      <c r="E277" s="33" t="s">
        <v>405</v>
      </c>
      <c r="F277" s="64" t="s">
        <v>13</v>
      </c>
      <c r="G277" s="64" t="s">
        <v>406</v>
      </c>
      <c r="H277" s="64" t="s">
        <v>1</v>
      </c>
      <c r="I277" s="64" t="s">
        <v>11</v>
      </c>
      <c r="J277" s="33"/>
      <c r="K277" s="65">
        <v>33594</v>
      </c>
      <c r="L277" s="66">
        <f t="shared" si="23"/>
        <v>1991</v>
      </c>
      <c r="M277" s="66">
        <f t="shared" si="22"/>
        <v>28</v>
      </c>
      <c r="N277" s="64" t="s">
        <v>3</v>
      </c>
      <c r="O277" s="64"/>
      <c r="P277" s="33" t="s">
        <v>12</v>
      </c>
      <c r="Q277" s="64"/>
      <c r="R277" s="33" t="s">
        <v>4</v>
      </c>
    </row>
    <row r="278" spans="2:18" ht="25.5">
      <c r="B278" s="137"/>
      <c r="C278" s="137"/>
      <c r="D278" s="64">
        <v>271</v>
      </c>
      <c r="E278" s="33" t="s">
        <v>407</v>
      </c>
      <c r="F278" s="64" t="s">
        <v>13</v>
      </c>
      <c r="G278" s="64" t="s">
        <v>408</v>
      </c>
      <c r="H278" s="64" t="s">
        <v>1</v>
      </c>
      <c r="I278" s="64" t="s">
        <v>11</v>
      </c>
      <c r="J278" s="33"/>
      <c r="K278" s="65">
        <v>36232</v>
      </c>
      <c r="L278" s="66">
        <f t="shared" si="23"/>
        <v>1999</v>
      </c>
      <c r="M278" s="66">
        <f t="shared" si="22"/>
        <v>20</v>
      </c>
      <c r="N278" s="64" t="s">
        <v>3</v>
      </c>
      <c r="O278" s="64"/>
      <c r="P278" s="33" t="s">
        <v>16</v>
      </c>
      <c r="Q278" s="64"/>
      <c r="R278" s="33" t="s">
        <v>4</v>
      </c>
    </row>
    <row r="279" spans="2:18" ht="25.5">
      <c r="B279" s="137"/>
      <c r="C279" s="137"/>
      <c r="D279" s="64">
        <v>272</v>
      </c>
      <c r="E279" s="33" t="s">
        <v>409</v>
      </c>
      <c r="F279" s="64" t="s">
        <v>13</v>
      </c>
      <c r="G279" s="64" t="s">
        <v>410</v>
      </c>
      <c r="H279" s="64" t="s">
        <v>8</v>
      </c>
      <c r="I279" s="64" t="s">
        <v>11</v>
      </c>
      <c r="J279" s="33"/>
      <c r="K279" s="65">
        <v>38805</v>
      </c>
      <c r="L279" s="66">
        <f t="shared" si="23"/>
        <v>2006</v>
      </c>
      <c r="M279" s="66">
        <f t="shared" si="22"/>
        <v>13</v>
      </c>
      <c r="N279" s="64" t="s">
        <v>3</v>
      </c>
      <c r="O279" s="64"/>
      <c r="P279" s="33" t="s">
        <v>4</v>
      </c>
      <c r="Q279" s="64"/>
      <c r="R279" s="33" t="s">
        <v>4</v>
      </c>
    </row>
    <row r="280" spans="2:18">
      <c r="B280" s="137">
        <v>81</v>
      </c>
      <c r="C280" s="137"/>
      <c r="D280" s="64">
        <v>273</v>
      </c>
      <c r="E280" s="33" t="s">
        <v>302</v>
      </c>
      <c r="F280" s="64" t="s">
        <v>9</v>
      </c>
      <c r="G280" s="64" t="s">
        <v>412</v>
      </c>
      <c r="H280" s="64" t="s">
        <v>1</v>
      </c>
      <c r="I280" s="64" t="s">
        <v>2</v>
      </c>
      <c r="J280" s="33"/>
      <c r="K280" s="65">
        <v>9862</v>
      </c>
      <c r="L280" s="66">
        <f t="shared" si="23"/>
        <v>1926</v>
      </c>
      <c r="M280" s="66">
        <f t="shared" si="22"/>
        <v>93</v>
      </c>
      <c r="N280" s="64" t="s">
        <v>3</v>
      </c>
      <c r="O280" s="64"/>
      <c r="P280" s="33" t="s">
        <v>116</v>
      </c>
      <c r="Q280" s="64"/>
      <c r="R280" s="33" t="s">
        <v>411</v>
      </c>
    </row>
    <row r="281" spans="2:18">
      <c r="B281" s="137"/>
      <c r="C281" s="137"/>
      <c r="D281" s="64">
        <v>274</v>
      </c>
      <c r="E281" s="33" t="s">
        <v>413</v>
      </c>
      <c r="F281" s="64" t="s">
        <v>13</v>
      </c>
      <c r="G281" s="64" t="s">
        <v>414</v>
      </c>
      <c r="H281" s="64" t="s">
        <v>8</v>
      </c>
      <c r="I281" s="64" t="s">
        <v>2</v>
      </c>
      <c r="J281" s="33"/>
      <c r="K281" s="65">
        <v>29828</v>
      </c>
      <c r="L281" s="66">
        <f t="shared" si="23"/>
        <v>1981</v>
      </c>
      <c r="M281" s="66">
        <f t="shared" si="22"/>
        <v>38</v>
      </c>
      <c r="N281" s="64" t="s">
        <v>3</v>
      </c>
      <c r="O281" s="64"/>
      <c r="P281" s="33" t="s">
        <v>116</v>
      </c>
      <c r="Q281" s="64"/>
      <c r="R281" s="33" t="s">
        <v>411</v>
      </c>
    </row>
    <row r="282" spans="2:18" ht="25.5">
      <c r="B282" s="137">
        <v>82</v>
      </c>
      <c r="C282" s="137" t="s">
        <v>1220</v>
      </c>
      <c r="D282" s="64">
        <v>275</v>
      </c>
      <c r="E282" s="33" t="s">
        <v>415</v>
      </c>
      <c r="F282" s="64" t="s">
        <v>6</v>
      </c>
      <c r="G282" s="64" t="s">
        <v>1222</v>
      </c>
      <c r="H282" s="64" t="s">
        <v>8</v>
      </c>
      <c r="I282" s="64" t="s">
        <v>1221</v>
      </c>
      <c r="J282" s="33" t="s">
        <v>1166</v>
      </c>
      <c r="K282" s="65">
        <v>22098</v>
      </c>
      <c r="L282" s="66">
        <v>1960</v>
      </c>
      <c r="M282" s="66">
        <f t="shared" si="22"/>
        <v>59</v>
      </c>
      <c r="N282" s="64" t="s">
        <v>3</v>
      </c>
      <c r="O282" s="64" t="s">
        <v>1169</v>
      </c>
      <c r="P282" s="33" t="s">
        <v>1177</v>
      </c>
      <c r="Q282" s="64"/>
      <c r="R282" s="33" t="s">
        <v>1178</v>
      </c>
    </row>
    <row r="283" spans="2:18" ht="25.5">
      <c r="B283" s="137"/>
      <c r="C283" s="137"/>
      <c r="D283" s="64">
        <v>276</v>
      </c>
      <c r="E283" s="33" t="s">
        <v>1218</v>
      </c>
      <c r="F283" s="64" t="s">
        <v>13</v>
      </c>
      <c r="G283" s="64" t="s">
        <v>1223</v>
      </c>
      <c r="H283" s="64" t="s">
        <v>1</v>
      </c>
      <c r="I283" s="64" t="s">
        <v>11</v>
      </c>
      <c r="J283" s="33" t="s">
        <v>1166</v>
      </c>
      <c r="K283" s="65">
        <v>34177</v>
      </c>
      <c r="L283" s="66">
        <v>1993</v>
      </c>
      <c r="M283" s="66">
        <f t="shared" si="22"/>
        <v>26</v>
      </c>
      <c r="N283" s="64" t="s">
        <v>3</v>
      </c>
      <c r="O283" s="64" t="s">
        <v>1169</v>
      </c>
      <c r="P283" s="33" t="s">
        <v>1177</v>
      </c>
      <c r="Q283" s="64"/>
      <c r="R283" s="33" t="s">
        <v>1200</v>
      </c>
    </row>
    <row r="284" spans="2:18" ht="25.5">
      <c r="B284" s="137"/>
      <c r="C284" s="137"/>
      <c r="D284" s="64">
        <v>277</v>
      </c>
      <c r="E284" s="33" t="s">
        <v>1219</v>
      </c>
      <c r="F284" s="64" t="s">
        <v>13</v>
      </c>
      <c r="G284" s="64" t="s">
        <v>1224</v>
      </c>
      <c r="H284" s="64" t="s">
        <v>1</v>
      </c>
      <c r="I284" s="64" t="s">
        <v>11</v>
      </c>
      <c r="J284" s="33" t="s">
        <v>1166</v>
      </c>
      <c r="K284" s="65">
        <v>34804</v>
      </c>
      <c r="L284" s="66">
        <v>1995</v>
      </c>
      <c r="M284" s="66">
        <f t="shared" si="22"/>
        <v>24</v>
      </c>
      <c r="N284" s="64" t="s">
        <v>3</v>
      </c>
      <c r="O284" s="64" t="s">
        <v>1169</v>
      </c>
      <c r="P284" s="33" t="s">
        <v>1177</v>
      </c>
      <c r="Q284" s="64"/>
      <c r="R284" s="33" t="s">
        <v>1178</v>
      </c>
    </row>
    <row r="285" spans="2:18" ht="25.5">
      <c r="B285" s="64">
        <v>83</v>
      </c>
      <c r="C285" s="64"/>
      <c r="D285" s="64">
        <v>278</v>
      </c>
      <c r="E285" s="33" t="s">
        <v>1688</v>
      </c>
      <c r="F285" s="64" t="s">
        <v>13</v>
      </c>
      <c r="G285" s="64" t="s">
        <v>1692</v>
      </c>
      <c r="H285" s="64" t="s">
        <v>8</v>
      </c>
      <c r="I285" s="64" t="s">
        <v>11</v>
      </c>
      <c r="J285" s="33" t="s">
        <v>1166</v>
      </c>
      <c r="K285" s="65">
        <v>42186</v>
      </c>
      <c r="L285" s="66">
        <v>2015</v>
      </c>
      <c r="M285" s="66">
        <f t="shared" ref="M285:M292" si="24">2019-L285</f>
        <v>4</v>
      </c>
      <c r="N285" s="64" t="s">
        <v>3</v>
      </c>
      <c r="O285" s="64" t="s">
        <v>1169</v>
      </c>
      <c r="P285" s="33" t="s">
        <v>1177</v>
      </c>
      <c r="Q285" s="64"/>
      <c r="R285" s="33" t="s">
        <v>1192</v>
      </c>
    </row>
    <row r="286" spans="2:18">
      <c r="B286" s="137">
        <v>84</v>
      </c>
      <c r="C286" s="137"/>
      <c r="D286" s="64">
        <v>279</v>
      </c>
      <c r="E286" s="33" t="s">
        <v>365</v>
      </c>
      <c r="F286" s="64" t="s">
        <v>6</v>
      </c>
      <c r="G286" s="64" t="s">
        <v>366</v>
      </c>
      <c r="H286" s="64" t="s">
        <v>1</v>
      </c>
      <c r="I286" s="64" t="s">
        <v>2</v>
      </c>
      <c r="J286" s="33"/>
      <c r="K286" s="65">
        <v>32065</v>
      </c>
      <c r="L286" s="66">
        <f t="shared" ref="L286:L291" si="25">YEAR(K286)</f>
        <v>1987</v>
      </c>
      <c r="M286" s="66">
        <f t="shared" si="24"/>
        <v>32</v>
      </c>
      <c r="N286" s="64" t="s">
        <v>3</v>
      </c>
      <c r="O286" s="64"/>
      <c r="P286" s="33" t="s">
        <v>12</v>
      </c>
      <c r="Q286" s="64"/>
      <c r="R286" s="33" t="s">
        <v>85</v>
      </c>
    </row>
    <row r="287" spans="2:18">
      <c r="B287" s="137"/>
      <c r="C287" s="137"/>
      <c r="D287" s="64">
        <v>280</v>
      </c>
      <c r="E287" s="33" t="s">
        <v>367</v>
      </c>
      <c r="F287" s="64" t="s">
        <v>9</v>
      </c>
      <c r="G287" s="64" t="s">
        <v>368</v>
      </c>
      <c r="H287" s="64" t="s">
        <v>8</v>
      </c>
      <c r="I287" s="64" t="s">
        <v>2</v>
      </c>
      <c r="J287" s="33"/>
      <c r="K287" s="65">
        <v>32143</v>
      </c>
      <c r="L287" s="66">
        <f t="shared" si="25"/>
        <v>1988</v>
      </c>
      <c r="M287" s="66">
        <f t="shared" si="24"/>
        <v>31</v>
      </c>
      <c r="N287" s="64" t="s">
        <v>3</v>
      </c>
      <c r="O287" s="64"/>
      <c r="P287" s="33" t="s">
        <v>116</v>
      </c>
      <c r="Q287" s="64"/>
      <c r="R287" s="33" t="s">
        <v>85</v>
      </c>
    </row>
    <row r="288" spans="2:18" ht="25.5">
      <c r="B288" s="137"/>
      <c r="C288" s="137"/>
      <c r="D288" s="64">
        <v>281</v>
      </c>
      <c r="E288" s="33" t="s">
        <v>369</v>
      </c>
      <c r="F288" s="64" t="s">
        <v>13</v>
      </c>
      <c r="G288" s="64" t="s">
        <v>370</v>
      </c>
      <c r="H288" s="64" t="s">
        <v>1</v>
      </c>
      <c r="I288" s="64" t="s">
        <v>11</v>
      </c>
      <c r="J288" s="33"/>
      <c r="K288" s="65">
        <v>40453</v>
      </c>
      <c r="L288" s="66">
        <f t="shared" si="25"/>
        <v>2010</v>
      </c>
      <c r="M288" s="66">
        <f t="shared" si="24"/>
        <v>9</v>
      </c>
      <c r="N288" s="64" t="s">
        <v>3</v>
      </c>
      <c r="O288" s="64"/>
      <c r="P288" s="33" t="s">
        <v>4</v>
      </c>
      <c r="Q288" s="64"/>
      <c r="R288" s="33" t="s">
        <v>4</v>
      </c>
    </row>
    <row r="289" spans="2:18">
      <c r="B289" s="137">
        <v>85</v>
      </c>
      <c r="C289" s="137"/>
      <c r="D289" s="64">
        <v>282</v>
      </c>
      <c r="E289" s="33" t="s">
        <v>371</v>
      </c>
      <c r="F289" s="64" t="s">
        <v>6</v>
      </c>
      <c r="G289" s="64" t="s">
        <v>372</v>
      </c>
      <c r="H289" s="64" t="s">
        <v>1</v>
      </c>
      <c r="I289" s="64" t="s">
        <v>2</v>
      </c>
      <c r="J289" s="33"/>
      <c r="K289" s="65">
        <v>34220</v>
      </c>
      <c r="L289" s="66">
        <f t="shared" si="25"/>
        <v>1993</v>
      </c>
      <c r="M289" s="66">
        <f t="shared" si="24"/>
        <v>26</v>
      </c>
      <c r="N289" s="64" t="s">
        <v>3</v>
      </c>
      <c r="O289" s="64"/>
      <c r="P289" s="33" t="s">
        <v>12</v>
      </c>
      <c r="Q289" s="64"/>
      <c r="R289" s="33" t="s">
        <v>85</v>
      </c>
    </row>
    <row r="290" spans="2:18" ht="25.5">
      <c r="B290" s="137"/>
      <c r="C290" s="137"/>
      <c r="D290" s="64">
        <v>283</v>
      </c>
      <c r="E290" s="33" t="s">
        <v>373</v>
      </c>
      <c r="F290" s="64" t="s">
        <v>9</v>
      </c>
      <c r="G290" s="64" t="s">
        <v>374</v>
      </c>
      <c r="H290" s="64" t="s">
        <v>8</v>
      </c>
      <c r="I290" s="64" t="s">
        <v>2</v>
      </c>
      <c r="J290" s="33"/>
      <c r="K290" s="65">
        <v>34114</v>
      </c>
      <c r="L290" s="66">
        <f t="shared" si="25"/>
        <v>1993</v>
      </c>
      <c r="M290" s="66">
        <f t="shared" si="24"/>
        <v>26</v>
      </c>
      <c r="N290" s="64" t="s">
        <v>3</v>
      </c>
      <c r="O290" s="64"/>
      <c r="P290" s="33" t="s">
        <v>12</v>
      </c>
      <c r="Q290" s="64"/>
      <c r="R290" s="33" t="s">
        <v>4</v>
      </c>
    </row>
    <row r="291" spans="2:18" ht="25.5">
      <c r="B291" s="137"/>
      <c r="C291" s="137"/>
      <c r="D291" s="64">
        <v>284</v>
      </c>
      <c r="E291" s="33" t="s">
        <v>375</v>
      </c>
      <c r="F291" s="64" t="s">
        <v>13</v>
      </c>
      <c r="G291" s="64" t="s">
        <v>376</v>
      </c>
      <c r="H291" s="64" t="s">
        <v>1</v>
      </c>
      <c r="I291" s="64" t="s">
        <v>11</v>
      </c>
      <c r="J291" s="33"/>
      <c r="K291" s="65">
        <v>40790</v>
      </c>
      <c r="L291" s="66">
        <f t="shared" si="25"/>
        <v>2011</v>
      </c>
      <c r="M291" s="66">
        <f t="shared" si="24"/>
        <v>8</v>
      </c>
      <c r="N291" s="64" t="s">
        <v>3</v>
      </c>
      <c r="O291" s="64"/>
      <c r="P291" s="33" t="s">
        <v>4</v>
      </c>
      <c r="Q291" s="64"/>
      <c r="R291" s="33" t="s">
        <v>4</v>
      </c>
    </row>
    <row r="292" spans="2:18" s="59" customFormat="1" ht="25.5">
      <c r="B292" s="64">
        <v>86</v>
      </c>
      <c r="C292" s="64" t="s">
        <v>1559</v>
      </c>
      <c r="D292" s="64">
        <v>285</v>
      </c>
      <c r="E292" s="33" t="s">
        <v>1560</v>
      </c>
      <c r="F292" s="64" t="s">
        <v>6</v>
      </c>
      <c r="G292" s="64" t="s">
        <v>1561</v>
      </c>
      <c r="H292" s="64" t="s">
        <v>1</v>
      </c>
      <c r="I292" s="64" t="s">
        <v>1197</v>
      </c>
      <c r="J292" s="33" t="s">
        <v>1172</v>
      </c>
      <c r="K292" s="65">
        <v>22098</v>
      </c>
      <c r="L292" s="66">
        <v>1960</v>
      </c>
      <c r="M292" s="66">
        <f t="shared" si="24"/>
        <v>59</v>
      </c>
      <c r="N292" s="64" t="s">
        <v>3</v>
      </c>
      <c r="O292" s="64" t="s">
        <v>1169</v>
      </c>
      <c r="P292" s="33" t="s">
        <v>1177</v>
      </c>
      <c r="Q292" s="64"/>
      <c r="R292" s="33" t="s">
        <v>1562</v>
      </c>
    </row>
    <row r="293" spans="2:18" ht="25.5">
      <c r="B293" s="137">
        <v>87</v>
      </c>
      <c r="C293" s="137" t="s">
        <v>1577</v>
      </c>
      <c r="D293" s="64">
        <v>286</v>
      </c>
      <c r="E293" s="33" t="s">
        <v>1578</v>
      </c>
      <c r="F293" s="64" t="s">
        <v>6</v>
      </c>
      <c r="G293" s="64" t="s">
        <v>1580</v>
      </c>
      <c r="H293" s="64" t="s">
        <v>1</v>
      </c>
      <c r="I293" s="64" t="s">
        <v>2</v>
      </c>
      <c r="J293" s="33" t="s">
        <v>1172</v>
      </c>
      <c r="K293" s="65">
        <v>24783</v>
      </c>
      <c r="L293" s="66">
        <v>1967</v>
      </c>
      <c r="M293" s="66">
        <f t="shared" ref="M293:M295" si="26">2019-L293</f>
        <v>52</v>
      </c>
      <c r="N293" s="64" t="s">
        <v>3</v>
      </c>
      <c r="O293" s="64" t="s">
        <v>1169</v>
      </c>
      <c r="P293" s="33" t="s">
        <v>1181</v>
      </c>
      <c r="Q293" s="64"/>
      <c r="R293" s="33" t="s">
        <v>1167</v>
      </c>
    </row>
    <row r="294" spans="2:18" ht="25.5">
      <c r="B294" s="137"/>
      <c r="C294" s="137"/>
      <c r="D294" s="64">
        <v>287</v>
      </c>
      <c r="E294" s="33" t="s">
        <v>1579</v>
      </c>
      <c r="F294" s="64" t="s">
        <v>9</v>
      </c>
      <c r="G294" s="64" t="s">
        <v>1581</v>
      </c>
      <c r="H294" s="64" t="s">
        <v>8</v>
      </c>
      <c r="I294" s="64" t="s">
        <v>2</v>
      </c>
      <c r="J294" s="33" t="s">
        <v>1583</v>
      </c>
      <c r="K294" s="65">
        <v>24499</v>
      </c>
      <c r="L294" s="66">
        <v>1967</v>
      </c>
      <c r="M294" s="66">
        <f t="shared" si="26"/>
        <v>52</v>
      </c>
      <c r="N294" s="64" t="s">
        <v>3</v>
      </c>
      <c r="O294" s="64" t="s">
        <v>1169</v>
      </c>
      <c r="P294" s="33" t="s">
        <v>1177</v>
      </c>
      <c r="Q294" s="64"/>
      <c r="R294" s="33" t="s">
        <v>119</v>
      </c>
    </row>
    <row r="295" spans="2:18">
      <c r="B295" s="137"/>
      <c r="C295" s="137"/>
      <c r="D295" s="64">
        <v>288</v>
      </c>
      <c r="E295" s="33" t="s">
        <v>165</v>
      </c>
      <c r="F295" s="64" t="s">
        <v>13</v>
      </c>
      <c r="G295" s="64" t="s">
        <v>1582</v>
      </c>
      <c r="H295" s="64" t="s">
        <v>1</v>
      </c>
      <c r="I295" s="64" t="s">
        <v>11</v>
      </c>
      <c r="J295" s="33" t="s">
        <v>1166</v>
      </c>
      <c r="K295" s="65">
        <v>32942</v>
      </c>
      <c r="L295" s="66">
        <v>1990</v>
      </c>
      <c r="M295" s="66">
        <f t="shared" si="26"/>
        <v>29</v>
      </c>
      <c r="N295" s="64" t="s">
        <v>3</v>
      </c>
      <c r="O295" s="64" t="s">
        <v>1169</v>
      </c>
      <c r="P295" s="33" t="s">
        <v>1505</v>
      </c>
      <c r="Q295" s="64"/>
      <c r="R295" s="33" t="s">
        <v>1175</v>
      </c>
    </row>
    <row r="296" spans="2:18" ht="25.5">
      <c r="B296" s="137">
        <v>88</v>
      </c>
      <c r="C296" s="137" t="s">
        <v>1310</v>
      </c>
      <c r="D296" s="64">
        <v>289</v>
      </c>
      <c r="E296" s="33" t="s">
        <v>997</v>
      </c>
      <c r="F296" s="64" t="s">
        <v>6</v>
      </c>
      <c r="G296" s="64" t="s">
        <v>1312</v>
      </c>
      <c r="H296" s="64" t="s">
        <v>1</v>
      </c>
      <c r="I296" s="64" t="s">
        <v>2</v>
      </c>
      <c r="J296" s="33" t="s">
        <v>1166</v>
      </c>
      <c r="K296" s="65">
        <v>24472</v>
      </c>
      <c r="L296" s="66">
        <v>1966</v>
      </c>
      <c r="M296" s="66">
        <f t="shared" ref="M296:M310" si="27">2019-L296</f>
        <v>53</v>
      </c>
      <c r="N296" s="64" t="s">
        <v>3</v>
      </c>
      <c r="O296" s="64" t="s">
        <v>1169</v>
      </c>
      <c r="P296" s="33" t="s">
        <v>1174</v>
      </c>
      <c r="Q296" s="64"/>
      <c r="R296" s="33" t="s">
        <v>1178</v>
      </c>
    </row>
    <row r="297" spans="2:18" ht="25.5">
      <c r="B297" s="137"/>
      <c r="C297" s="137"/>
      <c r="D297" s="64">
        <v>290</v>
      </c>
      <c r="E297" s="33" t="s">
        <v>998</v>
      </c>
      <c r="F297" s="64" t="s">
        <v>9</v>
      </c>
      <c r="G297" s="64" t="s">
        <v>999</v>
      </c>
      <c r="H297" s="64" t="s">
        <v>8</v>
      </c>
      <c r="I297" s="64" t="s">
        <v>2</v>
      </c>
      <c r="J297" s="33" t="s">
        <v>1166</v>
      </c>
      <c r="K297" s="65">
        <v>23742</v>
      </c>
      <c r="L297" s="66">
        <v>1964</v>
      </c>
      <c r="M297" s="66">
        <f t="shared" si="27"/>
        <v>55</v>
      </c>
      <c r="N297" s="64" t="s">
        <v>3</v>
      </c>
      <c r="O297" s="64" t="s">
        <v>1169</v>
      </c>
      <c r="P297" s="33" t="s">
        <v>1177</v>
      </c>
      <c r="Q297" s="64"/>
      <c r="R297" s="33" t="s">
        <v>1168</v>
      </c>
    </row>
    <row r="298" spans="2:18">
      <c r="B298" s="137"/>
      <c r="C298" s="137"/>
      <c r="D298" s="64">
        <v>291</v>
      </c>
      <c r="E298" s="33" t="s">
        <v>1311</v>
      </c>
      <c r="F298" s="64" t="s">
        <v>13</v>
      </c>
      <c r="G298" s="64" t="s">
        <v>1313</v>
      </c>
      <c r="H298" s="64" t="s">
        <v>1</v>
      </c>
      <c r="I298" s="64" t="s">
        <v>11</v>
      </c>
      <c r="J298" s="33" t="s">
        <v>1314</v>
      </c>
      <c r="K298" s="65">
        <v>36525</v>
      </c>
      <c r="L298" s="66">
        <v>1999</v>
      </c>
      <c r="M298" s="66">
        <f t="shared" si="27"/>
        <v>20</v>
      </c>
      <c r="N298" s="64" t="s">
        <v>3</v>
      </c>
      <c r="O298" s="64" t="s">
        <v>1169</v>
      </c>
      <c r="P298" s="33" t="s">
        <v>1174</v>
      </c>
      <c r="Q298" s="64"/>
      <c r="R298" s="33" t="s">
        <v>1175</v>
      </c>
    </row>
    <row r="299" spans="2:18" ht="25.5">
      <c r="B299" s="137"/>
      <c r="C299" s="137"/>
      <c r="D299" s="64">
        <v>292</v>
      </c>
      <c r="E299" s="33" t="s">
        <v>1000</v>
      </c>
      <c r="F299" s="64" t="s">
        <v>13</v>
      </c>
      <c r="G299" s="64" t="s">
        <v>1001</v>
      </c>
      <c r="H299" s="64" t="s">
        <v>8</v>
      </c>
      <c r="I299" s="64" t="s">
        <v>11</v>
      </c>
      <c r="J299" s="33" t="s">
        <v>1315</v>
      </c>
      <c r="K299" s="65">
        <v>39665</v>
      </c>
      <c r="L299" s="66">
        <v>2008</v>
      </c>
      <c r="M299" s="66">
        <f t="shared" si="27"/>
        <v>11</v>
      </c>
      <c r="N299" s="64" t="s">
        <v>3</v>
      </c>
      <c r="O299" s="64" t="s">
        <v>1169</v>
      </c>
      <c r="P299" s="33" t="s">
        <v>1177</v>
      </c>
      <c r="Q299" s="64"/>
      <c r="R299" s="33" t="s">
        <v>1192</v>
      </c>
    </row>
    <row r="300" spans="2:18" ht="25.5">
      <c r="B300" s="137">
        <v>89</v>
      </c>
      <c r="C300" s="137" t="s">
        <v>1441</v>
      </c>
      <c r="D300" s="64">
        <v>293</v>
      </c>
      <c r="E300" s="33" t="s">
        <v>1442</v>
      </c>
      <c r="F300" s="64" t="s">
        <v>6</v>
      </c>
      <c r="G300" s="64" t="s">
        <v>1437</v>
      </c>
      <c r="H300" s="64" t="s">
        <v>1</v>
      </c>
      <c r="I300" s="64" t="s">
        <v>2</v>
      </c>
      <c r="J300" s="33" t="s">
        <v>1166</v>
      </c>
      <c r="K300" s="65">
        <v>31603</v>
      </c>
      <c r="L300" s="66">
        <v>1986</v>
      </c>
      <c r="M300" s="66">
        <f t="shared" si="27"/>
        <v>33</v>
      </c>
      <c r="N300" s="64" t="s">
        <v>3</v>
      </c>
      <c r="O300" s="64" t="s">
        <v>1169</v>
      </c>
      <c r="P300" s="33" t="s">
        <v>1174</v>
      </c>
      <c r="Q300" s="64"/>
      <c r="R300" s="33" t="s">
        <v>1178</v>
      </c>
    </row>
    <row r="301" spans="2:18" ht="25.5">
      <c r="B301" s="137"/>
      <c r="C301" s="137"/>
      <c r="D301" s="64">
        <v>294</v>
      </c>
      <c r="E301" s="33" t="s">
        <v>175</v>
      </c>
      <c r="F301" s="64" t="s">
        <v>9</v>
      </c>
      <c r="G301" s="64" t="s">
        <v>1443</v>
      </c>
      <c r="H301" s="64" t="s">
        <v>8</v>
      </c>
      <c r="I301" s="64" t="s">
        <v>2</v>
      </c>
      <c r="J301" s="33" t="s">
        <v>1444</v>
      </c>
      <c r="K301" s="65">
        <v>32849</v>
      </c>
      <c r="L301" s="66">
        <v>1989</v>
      </c>
      <c r="M301" s="66">
        <f t="shared" si="27"/>
        <v>30</v>
      </c>
      <c r="N301" s="64" t="s">
        <v>3</v>
      </c>
      <c r="O301" s="64" t="s">
        <v>1169</v>
      </c>
      <c r="P301" s="33" t="s">
        <v>1174</v>
      </c>
      <c r="Q301" s="64"/>
      <c r="R301" s="33" t="s">
        <v>1168</v>
      </c>
    </row>
    <row r="302" spans="2:18" ht="25.5">
      <c r="B302" s="137"/>
      <c r="C302" s="137"/>
      <c r="D302" s="64">
        <v>295</v>
      </c>
      <c r="E302" s="33" t="s">
        <v>1836</v>
      </c>
      <c r="F302" s="64" t="s">
        <v>13</v>
      </c>
      <c r="G302" s="64" t="s">
        <v>1837</v>
      </c>
      <c r="H302" s="64" t="s">
        <v>1</v>
      </c>
      <c r="I302" s="64" t="s">
        <v>11</v>
      </c>
      <c r="J302" s="33" t="s">
        <v>1250</v>
      </c>
      <c r="K302" s="65">
        <v>43489</v>
      </c>
      <c r="L302" s="66">
        <v>2019</v>
      </c>
      <c r="M302" s="66">
        <f t="shared" si="27"/>
        <v>0</v>
      </c>
      <c r="N302" s="64" t="s">
        <v>3</v>
      </c>
      <c r="O302" s="64" t="s">
        <v>1169</v>
      </c>
      <c r="P302" s="33" t="s">
        <v>1177</v>
      </c>
      <c r="Q302" s="64"/>
      <c r="R302" s="33" t="s">
        <v>1192</v>
      </c>
    </row>
    <row r="303" spans="2:18">
      <c r="B303" s="137">
        <v>90</v>
      </c>
      <c r="C303" s="137" t="s">
        <v>1485</v>
      </c>
      <c r="D303" s="64">
        <v>296</v>
      </c>
      <c r="E303" s="33" t="s">
        <v>42</v>
      </c>
      <c r="F303" s="64" t="s">
        <v>6</v>
      </c>
      <c r="G303" s="64" t="s">
        <v>1486</v>
      </c>
      <c r="H303" s="64" t="s">
        <v>1</v>
      </c>
      <c r="I303" s="64" t="s">
        <v>2</v>
      </c>
      <c r="J303" s="33" t="s">
        <v>1498</v>
      </c>
      <c r="K303" s="65" t="s">
        <v>1499</v>
      </c>
      <c r="L303" s="66">
        <v>1987</v>
      </c>
      <c r="M303" s="66">
        <f t="shared" si="27"/>
        <v>32</v>
      </c>
      <c r="N303" s="64" t="s">
        <v>3</v>
      </c>
      <c r="O303" s="64" t="s">
        <v>1169</v>
      </c>
      <c r="P303" s="33" t="s">
        <v>1181</v>
      </c>
      <c r="Q303" s="64"/>
      <c r="R303" s="33" t="s">
        <v>85</v>
      </c>
    </row>
    <row r="304" spans="2:18">
      <c r="B304" s="137"/>
      <c r="C304" s="137"/>
      <c r="D304" s="64">
        <v>297</v>
      </c>
      <c r="E304" s="33" t="s">
        <v>811</v>
      </c>
      <c r="F304" s="64" t="s">
        <v>9</v>
      </c>
      <c r="G304" s="64" t="s">
        <v>1487</v>
      </c>
      <c r="H304" s="64" t="s">
        <v>8</v>
      </c>
      <c r="I304" s="64" t="s">
        <v>2</v>
      </c>
      <c r="J304" s="33" t="s">
        <v>1166</v>
      </c>
      <c r="K304" s="65">
        <v>32873</v>
      </c>
      <c r="L304" s="66">
        <v>1989</v>
      </c>
      <c r="M304" s="66">
        <f t="shared" si="27"/>
        <v>30</v>
      </c>
      <c r="N304" s="64" t="s">
        <v>3</v>
      </c>
      <c r="O304" s="64" t="s">
        <v>1169</v>
      </c>
      <c r="P304" s="33" t="s">
        <v>1181</v>
      </c>
      <c r="Q304" s="64"/>
      <c r="R304" s="33" t="s">
        <v>85</v>
      </c>
    </row>
    <row r="305" spans="2:18" ht="25.5">
      <c r="B305" s="137"/>
      <c r="C305" s="137"/>
      <c r="D305" s="64">
        <v>298</v>
      </c>
      <c r="E305" s="33" t="s">
        <v>813</v>
      </c>
      <c r="F305" s="64" t="s">
        <v>6</v>
      </c>
      <c r="G305" s="64" t="s">
        <v>814</v>
      </c>
      <c r="H305" s="64" t="s">
        <v>1</v>
      </c>
      <c r="I305" s="64" t="s">
        <v>11</v>
      </c>
      <c r="J305" s="33" t="s">
        <v>1249</v>
      </c>
      <c r="K305" s="65">
        <v>39802</v>
      </c>
      <c r="L305" s="66">
        <v>2008</v>
      </c>
      <c r="M305" s="66">
        <f t="shared" si="27"/>
        <v>11</v>
      </c>
      <c r="N305" s="64" t="s">
        <v>3</v>
      </c>
      <c r="O305" s="64" t="s">
        <v>1169</v>
      </c>
      <c r="P305" s="33" t="s">
        <v>1177</v>
      </c>
      <c r="Q305" s="64"/>
      <c r="R305" s="33" t="s">
        <v>1192</v>
      </c>
    </row>
    <row r="306" spans="2:18">
      <c r="B306" s="137">
        <v>91</v>
      </c>
      <c r="C306" s="137" t="s">
        <v>1497</v>
      </c>
      <c r="D306" s="64">
        <v>299</v>
      </c>
      <c r="E306" s="33" t="s">
        <v>163</v>
      </c>
      <c r="F306" s="64" t="s">
        <v>6</v>
      </c>
      <c r="G306" s="64" t="s">
        <v>981</v>
      </c>
      <c r="H306" s="64" t="s">
        <v>1</v>
      </c>
      <c r="I306" s="64" t="s">
        <v>2</v>
      </c>
      <c r="J306" s="33" t="s">
        <v>1166</v>
      </c>
      <c r="K306" s="65">
        <v>29925</v>
      </c>
      <c r="L306" s="66">
        <v>1981</v>
      </c>
      <c r="M306" s="66">
        <f>2019-L306</f>
        <v>38</v>
      </c>
      <c r="N306" s="64" t="s">
        <v>3</v>
      </c>
      <c r="O306" s="64" t="s">
        <v>1169</v>
      </c>
      <c r="P306" s="33" t="s">
        <v>1505</v>
      </c>
      <c r="Q306" s="64"/>
      <c r="R306" s="33" t="s">
        <v>85</v>
      </c>
    </row>
    <row r="307" spans="2:18" ht="25.5">
      <c r="B307" s="137"/>
      <c r="C307" s="137"/>
      <c r="D307" s="64">
        <v>300</v>
      </c>
      <c r="E307" s="33" t="s">
        <v>982</v>
      </c>
      <c r="F307" s="64" t="s">
        <v>9</v>
      </c>
      <c r="G307" s="64" t="s">
        <v>984</v>
      </c>
      <c r="H307" s="64" t="s">
        <v>8</v>
      </c>
      <c r="I307" s="64" t="s">
        <v>2</v>
      </c>
      <c r="J307" s="33" t="s">
        <v>1504</v>
      </c>
      <c r="K307" s="65">
        <v>32795</v>
      </c>
      <c r="L307" s="66">
        <v>1989</v>
      </c>
      <c r="M307" s="66">
        <f t="shared" si="27"/>
        <v>30</v>
      </c>
      <c r="N307" s="64" t="s">
        <v>3</v>
      </c>
      <c r="O307" s="64" t="s">
        <v>1169</v>
      </c>
      <c r="P307" s="33" t="s">
        <v>1174</v>
      </c>
      <c r="Q307" s="64"/>
      <c r="R307" s="33" t="s">
        <v>1168</v>
      </c>
    </row>
    <row r="308" spans="2:18" ht="25.5">
      <c r="B308" s="137"/>
      <c r="C308" s="137"/>
      <c r="D308" s="64">
        <v>301</v>
      </c>
      <c r="E308" s="33" t="s">
        <v>1500</v>
      </c>
      <c r="F308" s="64" t="s">
        <v>13</v>
      </c>
      <c r="G308" s="64" t="s">
        <v>986</v>
      </c>
      <c r="H308" s="64" t="s">
        <v>8</v>
      </c>
      <c r="I308" s="64" t="s">
        <v>11</v>
      </c>
      <c r="J308" s="33" t="s">
        <v>1166</v>
      </c>
      <c r="K308" s="65">
        <v>39883</v>
      </c>
      <c r="L308" s="66">
        <v>2009</v>
      </c>
      <c r="M308" s="66">
        <f t="shared" si="27"/>
        <v>10</v>
      </c>
      <c r="N308" s="64" t="s">
        <v>3</v>
      </c>
      <c r="O308" s="64" t="s">
        <v>1169</v>
      </c>
      <c r="P308" s="33" t="s">
        <v>1176</v>
      </c>
      <c r="Q308" s="64"/>
      <c r="R308" s="33" t="s">
        <v>1175</v>
      </c>
    </row>
    <row r="309" spans="2:18" ht="25.5">
      <c r="B309" s="137"/>
      <c r="C309" s="137"/>
      <c r="D309" s="64">
        <v>302</v>
      </c>
      <c r="E309" s="33" t="s">
        <v>1501</v>
      </c>
      <c r="F309" s="64" t="s">
        <v>13</v>
      </c>
      <c r="G309" s="64" t="s">
        <v>988</v>
      </c>
      <c r="H309" s="64" t="s">
        <v>1</v>
      </c>
      <c r="I309" s="64" t="s">
        <v>11</v>
      </c>
      <c r="J309" s="33" t="s">
        <v>1166</v>
      </c>
      <c r="K309" s="65">
        <v>40923</v>
      </c>
      <c r="L309" s="66">
        <v>2012</v>
      </c>
      <c r="M309" s="66">
        <f t="shared" si="27"/>
        <v>7</v>
      </c>
      <c r="N309" s="64" t="s">
        <v>142</v>
      </c>
      <c r="O309" s="64" t="s">
        <v>1169</v>
      </c>
      <c r="P309" s="33" t="s">
        <v>1176</v>
      </c>
      <c r="Q309" s="64"/>
      <c r="R309" s="33" t="s">
        <v>1175</v>
      </c>
    </row>
    <row r="310" spans="2:18" ht="25.5">
      <c r="B310" s="137"/>
      <c r="C310" s="137"/>
      <c r="D310" s="64">
        <v>303</v>
      </c>
      <c r="E310" s="33" t="s">
        <v>1502</v>
      </c>
      <c r="F310" s="64" t="s">
        <v>13</v>
      </c>
      <c r="G310" s="64" t="s">
        <v>1503</v>
      </c>
      <c r="H310" s="64" t="s">
        <v>8</v>
      </c>
      <c r="I310" s="64" t="s">
        <v>11</v>
      </c>
      <c r="J310" s="33" t="s">
        <v>1166</v>
      </c>
      <c r="K310" s="65">
        <v>42309</v>
      </c>
      <c r="L310" s="66">
        <v>2015</v>
      </c>
      <c r="M310" s="66">
        <f t="shared" si="27"/>
        <v>4</v>
      </c>
      <c r="N310" s="64" t="s">
        <v>3</v>
      </c>
      <c r="O310" s="64" t="s">
        <v>1169</v>
      </c>
      <c r="P310" s="33" t="s">
        <v>1177</v>
      </c>
      <c r="Q310" s="64"/>
      <c r="R310" s="33" t="s">
        <v>1192</v>
      </c>
    </row>
    <row r="311" spans="2:18">
      <c r="B311" s="137">
        <v>92</v>
      </c>
      <c r="C311" s="137" t="s">
        <v>1545</v>
      </c>
      <c r="D311" s="64">
        <v>304</v>
      </c>
      <c r="E311" s="33" t="s">
        <v>551</v>
      </c>
      <c r="F311" s="64" t="s">
        <v>6</v>
      </c>
      <c r="G311" s="64" t="s">
        <v>552</v>
      </c>
      <c r="H311" s="64" t="s">
        <v>1</v>
      </c>
      <c r="I311" s="64" t="s">
        <v>2</v>
      </c>
      <c r="J311" s="33" t="s">
        <v>1166</v>
      </c>
      <c r="K311" s="65">
        <v>30632</v>
      </c>
      <c r="L311" s="66">
        <v>1983</v>
      </c>
      <c r="M311" s="67">
        <f t="shared" ref="M311:M318" si="28">2019-L311</f>
        <v>36</v>
      </c>
      <c r="N311" s="64" t="s">
        <v>3</v>
      </c>
      <c r="O311" s="64" t="s">
        <v>1169</v>
      </c>
      <c r="P311" s="33" t="s">
        <v>1174</v>
      </c>
      <c r="Q311" s="64"/>
      <c r="R311" s="33" t="s">
        <v>85</v>
      </c>
    </row>
    <row r="312" spans="2:18">
      <c r="B312" s="137"/>
      <c r="C312" s="137"/>
      <c r="D312" s="64">
        <v>305</v>
      </c>
      <c r="E312" s="33" t="s">
        <v>1547</v>
      </c>
      <c r="F312" s="64" t="s">
        <v>9</v>
      </c>
      <c r="G312" s="64" t="s">
        <v>554</v>
      </c>
      <c r="H312" s="64" t="s">
        <v>8</v>
      </c>
      <c r="I312" s="64" t="s">
        <v>2</v>
      </c>
      <c r="J312" s="33" t="s">
        <v>1166</v>
      </c>
      <c r="K312" s="65">
        <v>33603</v>
      </c>
      <c r="L312" s="66">
        <v>1991</v>
      </c>
      <c r="M312" s="67">
        <f t="shared" si="28"/>
        <v>28</v>
      </c>
      <c r="N312" s="64" t="s">
        <v>3</v>
      </c>
      <c r="O312" s="64" t="s">
        <v>1169</v>
      </c>
      <c r="P312" s="33" t="s">
        <v>1505</v>
      </c>
      <c r="Q312" s="64"/>
      <c r="R312" s="33" t="s">
        <v>1550</v>
      </c>
    </row>
    <row r="313" spans="2:18" ht="25.5">
      <c r="B313" s="137"/>
      <c r="C313" s="137"/>
      <c r="D313" s="64">
        <v>306</v>
      </c>
      <c r="E313" s="33" t="s">
        <v>1548</v>
      </c>
      <c r="F313" s="64" t="s">
        <v>13</v>
      </c>
      <c r="G313" s="64" t="s">
        <v>555</v>
      </c>
      <c r="H313" s="64" t="s">
        <v>1</v>
      </c>
      <c r="I313" s="64" t="s">
        <v>11</v>
      </c>
      <c r="J313" s="33" t="s">
        <v>1166</v>
      </c>
      <c r="K313" s="65">
        <v>40713</v>
      </c>
      <c r="L313" s="66">
        <v>2011</v>
      </c>
      <c r="M313" s="67">
        <f t="shared" si="28"/>
        <v>8</v>
      </c>
      <c r="N313" s="64" t="s">
        <v>3</v>
      </c>
      <c r="O313" s="64" t="s">
        <v>1169</v>
      </c>
      <c r="P313" s="33" t="s">
        <v>1177</v>
      </c>
      <c r="Q313" s="64"/>
      <c r="R313" s="33" t="s">
        <v>1192</v>
      </c>
    </row>
    <row r="314" spans="2:18" ht="25.5">
      <c r="B314" s="137"/>
      <c r="C314" s="137"/>
      <c r="D314" s="64">
        <v>307</v>
      </c>
      <c r="E314" s="33" t="s">
        <v>1549</v>
      </c>
      <c r="F314" s="64" t="s">
        <v>13</v>
      </c>
      <c r="G314" s="64" t="s">
        <v>1546</v>
      </c>
      <c r="H314" s="64" t="s">
        <v>8</v>
      </c>
      <c r="I314" s="64" t="s">
        <v>11</v>
      </c>
      <c r="J314" s="33" t="s">
        <v>1166</v>
      </c>
      <c r="K314" s="65">
        <v>41860</v>
      </c>
      <c r="L314" s="66">
        <v>2014</v>
      </c>
      <c r="M314" s="67">
        <f t="shared" si="28"/>
        <v>5</v>
      </c>
      <c r="N314" s="64" t="s">
        <v>3</v>
      </c>
      <c r="O314" s="64" t="s">
        <v>1169</v>
      </c>
      <c r="P314" s="33" t="s">
        <v>1177</v>
      </c>
      <c r="Q314" s="64"/>
      <c r="R314" s="33" t="s">
        <v>1192</v>
      </c>
    </row>
    <row r="315" spans="2:18" ht="25.5">
      <c r="B315" s="137">
        <v>93</v>
      </c>
      <c r="C315" s="137" t="s">
        <v>1343</v>
      </c>
      <c r="D315" s="64">
        <v>308</v>
      </c>
      <c r="E315" s="33" t="s">
        <v>222</v>
      </c>
      <c r="F315" s="64" t="s">
        <v>6</v>
      </c>
      <c r="G315" s="64" t="s">
        <v>1345</v>
      </c>
      <c r="H315" s="64" t="s">
        <v>1</v>
      </c>
      <c r="I315" s="64" t="s">
        <v>2</v>
      </c>
      <c r="J315" s="33" t="s">
        <v>1166</v>
      </c>
      <c r="K315" s="65">
        <v>27576</v>
      </c>
      <c r="L315" s="66">
        <v>1975</v>
      </c>
      <c r="M315" s="66">
        <f t="shared" si="28"/>
        <v>44</v>
      </c>
      <c r="N315" s="64" t="s">
        <v>3</v>
      </c>
      <c r="O315" s="64" t="s">
        <v>1169</v>
      </c>
      <c r="P315" s="33" t="s">
        <v>1348</v>
      </c>
      <c r="Q315" s="64"/>
      <c r="R315" s="33" t="s">
        <v>85</v>
      </c>
    </row>
    <row r="316" spans="2:18" ht="25.5">
      <c r="B316" s="137"/>
      <c r="C316" s="137"/>
      <c r="D316" s="64">
        <v>309</v>
      </c>
      <c r="E316" s="33" t="s">
        <v>223</v>
      </c>
      <c r="F316" s="64" t="s">
        <v>9</v>
      </c>
      <c r="G316" s="64" t="s">
        <v>1346</v>
      </c>
      <c r="H316" s="64" t="s">
        <v>8</v>
      </c>
      <c r="I316" s="64" t="s">
        <v>2</v>
      </c>
      <c r="J316" s="33" t="s">
        <v>1166</v>
      </c>
      <c r="K316" s="65">
        <v>29037</v>
      </c>
      <c r="L316" s="66">
        <v>1979</v>
      </c>
      <c r="M316" s="66">
        <f t="shared" si="28"/>
        <v>40</v>
      </c>
      <c r="N316" s="64" t="s">
        <v>3</v>
      </c>
      <c r="O316" s="64" t="s">
        <v>1169</v>
      </c>
      <c r="P316" s="33" t="s">
        <v>1181</v>
      </c>
      <c r="Q316" s="64"/>
      <c r="R316" s="33" t="s">
        <v>1168</v>
      </c>
    </row>
    <row r="317" spans="2:18">
      <c r="B317" s="137"/>
      <c r="C317" s="137"/>
      <c r="D317" s="64">
        <v>310</v>
      </c>
      <c r="E317" s="33" t="s">
        <v>1344</v>
      </c>
      <c r="F317" s="64" t="s">
        <v>13</v>
      </c>
      <c r="G317" s="64" t="s">
        <v>1347</v>
      </c>
      <c r="H317" s="64" t="s">
        <v>8</v>
      </c>
      <c r="I317" s="64" t="s">
        <v>11</v>
      </c>
      <c r="J317" s="33" t="s">
        <v>1166</v>
      </c>
      <c r="K317" s="65">
        <v>35930</v>
      </c>
      <c r="L317" s="66">
        <v>1998</v>
      </c>
      <c r="M317" s="66">
        <f t="shared" si="28"/>
        <v>21</v>
      </c>
      <c r="N317" s="64" t="s">
        <v>3</v>
      </c>
      <c r="O317" s="64" t="s">
        <v>1169</v>
      </c>
      <c r="P317" s="33" t="s">
        <v>1199</v>
      </c>
      <c r="Q317" s="64"/>
      <c r="R317" s="33" t="s">
        <v>1175</v>
      </c>
    </row>
    <row r="318" spans="2:18">
      <c r="B318" s="137"/>
      <c r="C318" s="137"/>
      <c r="D318" s="64">
        <v>311</v>
      </c>
      <c r="E318" s="33" t="s">
        <v>224</v>
      </c>
      <c r="F318" s="64" t="s">
        <v>13</v>
      </c>
      <c r="G318" s="64">
        <v>0</v>
      </c>
      <c r="H318" s="64" t="s">
        <v>8</v>
      </c>
      <c r="I318" s="64" t="s">
        <v>11</v>
      </c>
      <c r="J318" s="33"/>
      <c r="K318" s="65">
        <v>39193</v>
      </c>
      <c r="L318" s="66">
        <f t="shared" ref="L318:L324" si="29">YEAR(K318)</f>
        <v>2007</v>
      </c>
      <c r="M318" s="66">
        <f t="shared" si="28"/>
        <v>12</v>
      </c>
      <c r="N318" s="64" t="s">
        <v>3</v>
      </c>
      <c r="O318" s="64"/>
      <c r="P318" s="33" t="s">
        <v>4</v>
      </c>
      <c r="Q318" s="64"/>
      <c r="R318" s="33" t="s">
        <v>4</v>
      </c>
    </row>
    <row r="319" spans="2:18">
      <c r="B319" s="64">
        <v>94</v>
      </c>
      <c r="C319" s="64"/>
      <c r="D319" s="64">
        <v>312</v>
      </c>
      <c r="E319" s="33" t="s">
        <v>417</v>
      </c>
      <c r="F319" s="64" t="s">
        <v>6</v>
      </c>
      <c r="G319" s="64">
        <v>0</v>
      </c>
      <c r="H319" s="64" t="s">
        <v>1</v>
      </c>
      <c r="I319" s="64" t="s">
        <v>34</v>
      </c>
      <c r="J319" s="33"/>
      <c r="K319" s="65">
        <v>24107</v>
      </c>
      <c r="L319" s="66">
        <f t="shared" si="29"/>
        <v>1965</v>
      </c>
      <c r="M319" s="66">
        <f t="shared" ref="M319:M324" si="30">2019-L319</f>
        <v>54</v>
      </c>
      <c r="N319" s="64" t="s">
        <v>3</v>
      </c>
      <c r="O319" s="64"/>
      <c r="P319" s="33" t="s">
        <v>4</v>
      </c>
      <c r="Q319" s="64"/>
      <c r="R319" s="33" t="s">
        <v>5</v>
      </c>
    </row>
    <row r="320" spans="2:18">
      <c r="B320" s="64">
        <v>95</v>
      </c>
      <c r="C320" s="64"/>
      <c r="D320" s="64">
        <v>313</v>
      </c>
      <c r="E320" s="33" t="s">
        <v>418</v>
      </c>
      <c r="F320" s="64" t="s">
        <v>6</v>
      </c>
      <c r="G320" s="64">
        <v>0</v>
      </c>
      <c r="H320" s="64" t="s">
        <v>1</v>
      </c>
      <c r="I320" s="64" t="s">
        <v>34</v>
      </c>
      <c r="J320" s="33"/>
      <c r="K320" s="65">
        <v>24107</v>
      </c>
      <c r="L320" s="66">
        <f t="shared" si="29"/>
        <v>1965</v>
      </c>
      <c r="M320" s="66">
        <f t="shared" si="30"/>
        <v>54</v>
      </c>
      <c r="N320" s="64" t="s">
        <v>3</v>
      </c>
      <c r="O320" s="64"/>
      <c r="P320" s="33" t="s">
        <v>4</v>
      </c>
      <c r="Q320" s="64"/>
      <c r="R320" s="33" t="s">
        <v>5</v>
      </c>
    </row>
    <row r="321" spans="2:18">
      <c r="B321" s="137">
        <v>96</v>
      </c>
      <c r="C321" s="137"/>
      <c r="D321" s="64">
        <v>314</v>
      </c>
      <c r="E321" s="33" t="s">
        <v>419</v>
      </c>
      <c r="F321" s="64" t="s">
        <v>6</v>
      </c>
      <c r="G321" s="64">
        <v>0</v>
      </c>
      <c r="H321" s="64" t="s">
        <v>1</v>
      </c>
      <c r="I321" s="64" t="s">
        <v>2</v>
      </c>
      <c r="J321" s="33"/>
      <c r="K321" s="65">
        <v>31412</v>
      </c>
      <c r="L321" s="66">
        <f t="shared" si="29"/>
        <v>1985</v>
      </c>
      <c r="M321" s="66">
        <f t="shared" si="30"/>
        <v>34</v>
      </c>
      <c r="N321" s="64" t="s">
        <v>3</v>
      </c>
      <c r="O321" s="64"/>
      <c r="P321" s="33" t="s">
        <v>4</v>
      </c>
      <c r="Q321" s="64"/>
      <c r="R321" s="33" t="s">
        <v>5</v>
      </c>
    </row>
    <row r="322" spans="2:18">
      <c r="B322" s="137"/>
      <c r="C322" s="137"/>
      <c r="D322" s="64">
        <v>315</v>
      </c>
      <c r="E322" s="33" t="s">
        <v>420</v>
      </c>
      <c r="F322" s="64" t="s">
        <v>9</v>
      </c>
      <c r="G322" s="64">
        <v>0</v>
      </c>
      <c r="H322" s="64" t="s">
        <v>8</v>
      </c>
      <c r="I322" s="64" t="s">
        <v>2</v>
      </c>
      <c r="J322" s="33"/>
      <c r="K322" s="65">
        <v>33238</v>
      </c>
      <c r="L322" s="66">
        <f t="shared" si="29"/>
        <v>1990</v>
      </c>
      <c r="M322" s="66">
        <f t="shared" si="30"/>
        <v>29</v>
      </c>
      <c r="N322" s="64" t="s">
        <v>3</v>
      </c>
      <c r="O322" s="64"/>
      <c r="P322" s="33" t="s">
        <v>4</v>
      </c>
      <c r="Q322" s="64"/>
      <c r="R322" s="33" t="s">
        <v>5</v>
      </c>
    </row>
    <row r="323" spans="2:18">
      <c r="B323" s="64">
        <v>97</v>
      </c>
      <c r="C323" s="64"/>
      <c r="D323" s="64">
        <v>316</v>
      </c>
      <c r="E323" s="33" t="s">
        <v>421</v>
      </c>
      <c r="F323" s="64" t="s">
        <v>6</v>
      </c>
      <c r="G323" s="64">
        <v>0</v>
      </c>
      <c r="H323" s="64" t="s">
        <v>1</v>
      </c>
      <c r="I323" s="64" t="s">
        <v>34</v>
      </c>
      <c r="J323" s="33"/>
      <c r="K323" s="65">
        <v>14976</v>
      </c>
      <c r="L323" s="66">
        <f t="shared" si="29"/>
        <v>1940</v>
      </c>
      <c r="M323" s="66">
        <f t="shared" si="30"/>
        <v>79</v>
      </c>
      <c r="N323" s="64" t="s">
        <v>3</v>
      </c>
      <c r="O323" s="64"/>
      <c r="P323" s="33" t="s">
        <v>4</v>
      </c>
      <c r="Q323" s="64"/>
      <c r="R323" s="33" t="s">
        <v>126</v>
      </c>
    </row>
    <row r="324" spans="2:18">
      <c r="B324" s="64">
        <v>98</v>
      </c>
      <c r="C324" s="64"/>
      <c r="D324" s="64">
        <v>317</v>
      </c>
      <c r="E324" s="33" t="s">
        <v>422</v>
      </c>
      <c r="F324" s="64" t="s">
        <v>6</v>
      </c>
      <c r="G324" s="64">
        <v>0</v>
      </c>
      <c r="H324" s="64" t="s">
        <v>8</v>
      </c>
      <c r="I324" s="64" t="s">
        <v>18</v>
      </c>
      <c r="J324" s="33"/>
      <c r="K324" s="65">
        <v>22281</v>
      </c>
      <c r="L324" s="66">
        <f t="shared" si="29"/>
        <v>1960</v>
      </c>
      <c r="M324" s="66">
        <f t="shared" si="30"/>
        <v>59</v>
      </c>
      <c r="N324" s="64" t="s">
        <v>3</v>
      </c>
      <c r="O324" s="64"/>
      <c r="P324" s="33" t="s">
        <v>4</v>
      </c>
      <c r="Q324" s="64"/>
      <c r="R324" s="33" t="s">
        <v>5</v>
      </c>
    </row>
    <row r="325" spans="2:18" s="59" customFormat="1" ht="15">
      <c r="D325" s="144" t="s">
        <v>1917</v>
      </c>
      <c r="E325" s="144"/>
      <c r="F325" s="144"/>
      <c r="L325" s="116"/>
      <c r="P325" s="113"/>
      <c r="R325" s="113"/>
    </row>
    <row r="326" spans="2:18" s="59" customFormat="1" ht="15">
      <c r="D326" s="144" t="s">
        <v>1918</v>
      </c>
      <c r="E326" s="144"/>
      <c r="F326" s="144"/>
      <c r="L326" s="116"/>
      <c r="P326" s="132" t="s">
        <v>1919</v>
      </c>
      <c r="Q326" s="132"/>
      <c r="R326" s="113"/>
    </row>
    <row r="327" spans="2:18" s="59" customFormat="1" ht="15">
      <c r="D327" s="117"/>
      <c r="E327" s="118"/>
      <c r="F327" s="117"/>
      <c r="L327" s="116"/>
      <c r="P327" s="73"/>
      <c r="Q327" s="74"/>
      <c r="R327" s="113"/>
    </row>
    <row r="328" spans="2:18" s="59" customFormat="1" ht="15">
      <c r="D328" s="117"/>
      <c r="E328" s="118"/>
      <c r="F328" s="117"/>
      <c r="L328" s="116"/>
      <c r="P328" s="73"/>
      <c r="Q328" s="74"/>
      <c r="R328" s="113"/>
    </row>
    <row r="329" spans="2:18" s="59" customFormat="1" ht="14.25">
      <c r="D329" s="145" t="s">
        <v>1920</v>
      </c>
      <c r="E329" s="145"/>
      <c r="F329" s="145"/>
      <c r="L329" s="116"/>
      <c r="P329" s="125" t="s">
        <v>551</v>
      </c>
      <c r="Q329" s="125"/>
      <c r="R329" s="113"/>
    </row>
    <row r="330" spans="2:18" s="59" customFormat="1" ht="14.25">
      <c r="D330" s="145" t="s">
        <v>1921</v>
      </c>
      <c r="E330" s="145"/>
      <c r="F330" s="145"/>
      <c r="L330" s="116"/>
      <c r="P330" s="113"/>
      <c r="R330" s="113"/>
    </row>
  </sheetData>
  <autoFilter ref="B7:R326"/>
  <mergeCells count="195">
    <mergeCell ref="D325:F325"/>
    <mergeCell ref="D326:F326"/>
    <mergeCell ref="P326:Q326"/>
    <mergeCell ref="D329:F329"/>
    <mergeCell ref="P329:Q329"/>
    <mergeCell ref="D330:F330"/>
    <mergeCell ref="B135:B136"/>
    <mergeCell ref="C135:C136"/>
    <mergeCell ref="C321:C322"/>
    <mergeCell ref="B321:B322"/>
    <mergeCell ref="B240:B243"/>
    <mergeCell ref="C240:C243"/>
    <mergeCell ref="B306:B310"/>
    <mergeCell ref="B260:B265"/>
    <mergeCell ref="B275:B279"/>
    <mergeCell ref="B280:B281"/>
    <mergeCell ref="B220:B221"/>
    <mergeCell ref="B282:B284"/>
    <mergeCell ref="B296:B299"/>
    <mergeCell ref="C296:C299"/>
    <mergeCell ref="C236:C239"/>
    <mergeCell ref="C293:C295"/>
    <mergeCell ref="C275:C279"/>
    <mergeCell ref="C280:C281"/>
    <mergeCell ref="B1:R1"/>
    <mergeCell ref="B2:R2"/>
    <mergeCell ref="C16:C18"/>
    <mergeCell ref="C22:C24"/>
    <mergeCell ref="C54:C56"/>
    <mergeCell ref="C62:C63"/>
    <mergeCell ref="C68:C71"/>
    <mergeCell ref="C79:C81"/>
    <mergeCell ref="C82:C86"/>
    <mergeCell ref="C35:C38"/>
    <mergeCell ref="B35:B38"/>
    <mergeCell ref="B40:B41"/>
    <mergeCell ref="B54:B56"/>
    <mergeCell ref="B42:B44"/>
    <mergeCell ref="C42:C44"/>
    <mergeCell ref="B57:B61"/>
    <mergeCell ref="C57:C61"/>
    <mergeCell ref="O5:O6"/>
    <mergeCell ref="C8:C10"/>
    <mergeCell ref="C19:C20"/>
    <mergeCell ref="C29:C31"/>
    <mergeCell ref="C32:C34"/>
    <mergeCell ref="C5:C6"/>
    <mergeCell ref="J5:L5"/>
    <mergeCell ref="B201:B205"/>
    <mergeCell ref="C201:C205"/>
    <mergeCell ref="C25:C27"/>
    <mergeCell ref="C117:C118"/>
    <mergeCell ref="B125:B128"/>
    <mergeCell ref="C125:C128"/>
    <mergeCell ref="B236:B239"/>
    <mergeCell ref="B187:B193"/>
    <mergeCell ref="B145:B147"/>
    <mergeCell ref="B148:B152"/>
    <mergeCell ref="B153:B154"/>
    <mergeCell ref="B155:B158"/>
    <mergeCell ref="B159:B162"/>
    <mergeCell ref="B163:B165"/>
    <mergeCell ref="B226:B230"/>
    <mergeCell ref="B168:B169"/>
    <mergeCell ref="B214:B215"/>
    <mergeCell ref="B216:B219"/>
    <mergeCell ref="B194:B196"/>
    <mergeCell ref="B197:B200"/>
    <mergeCell ref="B206:B209"/>
    <mergeCell ref="B210:B213"/>
    <mergeCell ref="B108:B112"/>
    <mergeCell ref="B117:B118"/>
    <mergeCell ref="B231:B235"/>
    <mergeCell ref="C87:C90"/>
    <mergeCell ref="C148:C152"/>
    <mergeCell ref="C153:C154"/>
    <mergeCell ref="C155:C158"/>
    <mergeCell ref="C176:C180"/>
    <mergeCell ref="C181:C186"/>
    <mergeCell ref="C210:C213"/>
    <mergeCell ref="B121:B124"/>
    <mergeCell ref="B91:B93"/>
    <mergeCell ref="C91:C93"/>
    <mergeCell ref="B94:B96"/>
    <mergeCell ref="C94:C96"/>
    <mergeCell ref="C145:C147"/>
    <mergeCell ref="B141:B144"/>
    <mergeCell ref="C197:C200"/>
    <mergeCell ref="C166:C167"/>
    <mergeCell ref="C231:C235"/>
    <mergeCell ref="C216:C219"/>
    <mergeCell ref="C220:C221"/>
    <mergeCell ref="B129:B134"/>
    <mergeCell ref="C129:C134"/>
    <mergeCell ref="M5:M6"/>
    <mergeCell ref="F5:F6"/>
    <mergeCell ref="E5:E6"/>
    <mergeCell ref="H5:H6"/>
    <mergeCell ref="C173:C175"/>
    <mergeCell ref="C187:C193"/>
    <mergeCell ref="C170:C172"/>
    <mergeCell ref="C119:C120"/>
    <mergeCell ref="C141:C144"/>
    <mergeCell ref="C45:C46"/>
    <mergeCell ref="C97:C101"/>
    <mergeCell ref="C102:C103"/>
    <mergeCell ref="D5:D6"/>
    <mergeCell ref="C11:C15"/>
    <mergeCell ref="C163:C165"/>
    <mergeCell ref="C113:C116"/>
    <mergeCell ref="C47:C51"/>
    <mergeCell ref="C108:C112"/>
    <mergeCell ref="C121:C124"/>
    <mergeCell ref="C52:C53"/>
    <mergeCell ref="C286:C288"/>
    <mergeCell ref="C289:C291"/>
    <mergeCell ref="C269:C272"/>
    <mergeCell ref="C248:C250"/>
    <mergeCell ref="C251:C253"/>
    <mergeCell ref="C260:C265"/>
    <mergeCell ref="C266:C268"/>
    <mergeCell ref="C159:C162"/>
    <mergeCell ref="C72:C77"/>
    <mergeCell ref="B16:B18"/>
    <mergeCell ref="G5:G6"/>
    <mergeCell ref="P5:P6"/>
    <mergeCell ref="N5:N6"/>
    <mergeCell ref="C40:C41"/>
    <mergeCell ref="R5:R6"/>
    <mergeCell ref="Q5:Q6"/>
    <mergeCell ref="I5:I6"/>
    <mergeCell ref="B181:B186"/>
    <mergeCell ref="B5:B6"/>
    <mergeCell ref="B166:B167"/>
    <mergeCell ref="B52:B53"/>
    <mergeCell ref="B79:B81"/>
    <mergeCell ref="B82:B86"/>
    <mergeCell ref="B8:B10"/>
    <mergeCell ref="B47:B51"/>
    <mergeCell ref="B11:B15"/>
    <mergeCell ref="B113:B116"/>
    <mergeCell ref="B170:B172"/>
    <mergeCell ref="B176:B180"/>
    <mergeCell ref="B68:B71"/>
    <mergeCell ref="B72:B77"/>
    <mergeCell ref="B19:B20"/>
    <mergeCell ref="B22:B24"/>
    <mergeCell ref="B25:B27"/>
    <mergeCell ref="B254:B256"/>
    <mergeCell ref="C254:C256"/>
    <mergeCell ref="B104:B107"/>
    <mergeCell ref="C104:C107"/>
    <mergeCell ref="C194:C196"/>
    <mergeCell ref="B244:B247"/>
    <mergeCell ref="C244:C247"/>
    <mergeCell ref="C214:C215"/>
    <mergeCell ref="C168:C169"/>
    <mergeCell ref="B138:B140"/>
    <mergeCell ref="C138:C140"/>
    <mergeCell ref="B62:B63"/>
    <mergeCell ref="B64:B67"/>
    <mergeCell ref="B45:B46"/>
    <mergeCell ref="B87:B90"/>
    <mergeCell ref="B97:B101"/>
    <mergeCell ref="B102:B103"/>
    <mergeCell ref="B119:B120"/>
    <mergeCell ref="B173:B175"/>
    <mergeCell ref="C64:C67"/>
    <mergeCell ref="C206:C209"/>
    <mergeCell ref="B29:B31"/>
    <mergeCell ref="B32:B34"/>
    <mergeCell ref="B315:B318"/>
    <mergeCell ref="C315:C318"/>
    <mergeCell ref="B257:B259"/>
    <mergeCell ref="C257:C259"/>
    <mergeCell ref="B300:B302"/>
    <mergeCell ref="C300:C302"/>
    <mergeCell ref="C222:C225"/>
    <mergeCell ref="B222:B225"/>
    <mergeCell ref="B311:B314"/>
    <mergeCell ref="C311:C314"/>
    <mergeCell ref="C306:C310"/>
    <mergeCell ref="C273:C274"/>
    <mergeCell ref="C226:C230"/>
    <mergeCell ref="B286:B288"/>
    <mergeCell ref="B289:B291"/>
    <mergeCell ref="B293:B295"/>
    <mergeCell ref="B303:B305"/>
    <mergeCell ref="C303:C305"/>
    <mergeCell ref="B266:B268"/>
    <mergeCell ref="B269:B272"/>
    <mergeCell ref="B273:B274"/>
    <mergeCell ref="B251:B253"/>
    <mergeCell ref="C282:C284"/>
    <mergeCell ref="B248:B250"/>
  </mergeCells>
  <pageMargins left="1.37795275590551" right="0.196850393700787" top="0.39370078740157499" bottom="0.643700787" header="0.31496062992126" footer="0.31496062992126"/>
  <pageSetup paperSize="10000" scale="82" orientation="landscape" horizontalDpi="4294967293" verticalDpi="360" r:id="rId1"/>
  <headerFooter>
    <oddFooter>&amp;C&amp;"-,Bold"&amp;12&amp;P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AT275"/>
  <sheetViews>
    <sheetView workbookViewId="0">
      <pane ySplit="6" topLeftCell="A200" activePane="bottomLeft" state="frozen"/>
      <selection pane="bottomLeft" activeCell="E207" sqref="E207"/>
    </sheetView>
  </sheetViews>
  <sheetFormatPr defaultRowHeight="12.75"/>
  <cols>
    <col min="1" max="1" width="9.140625" style="62"/>
    <col min="2" max="2" width="3.42578125" style="98" bestFit="1" customWidth="1"/>
    <col min="3" max="3" width="15.28515625" style="98" bestFit="1" customWidth="1"/>
    <col min="4" max="4" width="6.7109375" style="98" customWidth="1"/>
    <col min="5" max="5" width="12.7109375" style="99" customWidth="1"/>
    <col min="6" max="6" width="9.7109375" style="98" customWidth="1"/>
    <col min="7" max="7" width="15.28515625" style="98" customWidth="1"/>
    <col min="8" max="8" width="7.7109375" style="98" customWidth="1"/>
    <col min="9" max="9" width="10.7109375" style="98" customWidth="1"/>
    <col min="10" max="10" width="13.7109375" style="99" customWidth="1"/>
    <col min="11" max="11" width="14.7109375" style="100" customWidth="1"/>
    <col min="12" max="12" width="6.28515625" style="101" bestFit="1" customWidth="1"/>
    <col min="13" max="13" width="4.7109375" style="101" bestFit="1" customWidth="1"/>
    <col min="14" max="14" width="6.42578125" style="98" bestFit="1" customWidth="1"/>
    <col min="15" max="15" width="5.42578125" style="98" bestFit="1" customWidth="1"/>
    <col min="16" max="16" width="16.7109375" style="99" customWidth="1"/>
    <col min="17" max="17" width="7.5703125" style="98" bestFit="1" customWidth="1"/>
    <col min="18" max="18" width="15.7109375" style="99" customWidth="1"/>
    <col min="19" max="16384" width="9.140625" style="62"/>
  </cols>
  <sheetData>
    <row r="1" spans="2:18" s="72" customFormat="1" ht="15.75">
      <c r="B1" s="143" t="s">
        <v>1910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 spans="2:18" s="72" customFormat="1" ht="15.75">
      <c r="B2" s="143" t="s">
        <v>1911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spans="2:18" s="72" customFormat="1" ht="15.75">
      <c r="B3" s="115" t="s">
        <v>1912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</row>
    <row r="4" spans="2:18" s="63" customFormat="1" ht="15.75">
      <c r="B4" s="115" t="s">
        <v>1914</v>
      </c>
      <c r="C4" s="59"/>
      <c r="D4" s="59"/>
      <c r="E4" s="113"/>
      <c r="F4" s="59"/>
      <c r="G4" s="59"/>
      <c r="H4" s="59"/>
      <c r="I4" s="59"/>
      <c r="J4" s="113"/>
      <c r="K4" s="109"/>
      <c r="L4" s="114"/>
      <c r="M4" s="114"/>
      <c r="N4" s="59"/>
      <c r="O4" s="59"/>
      <c r="P4" s="113"/>
      <c r="Q4" s="59"/>
      <c r="R4" s="113"/>
    </row>
    <row r="5" spans="2:18" s="63" customFormat="1" ht="20.100000000000001" customHeight="1">
      <c r="B5" s="140" t="s">
        <v>423</v>
      </c>
      <c r="C5" s="140" t="s">
        <v>1150</v>
      </c>
      <c r="D5" s="139" t="s">
        <v>1882</v>
      </c>
      <c r="E5" s="139" t="s">
        <v>424</v>
      </c>
      <c r="F5" s="139" t="s">
        <v>430</v>
      </c>
      <c r="G5" s="142" t="s">
        <v>431</v>
      </c>
      <c r="H5" s="139" t="s">
        <v>425</v>
      </c>
      <c r="I5" s="139" t="s">
        <v>426</v>
      </c>
      <c r="J5" s="140" t="s">
        <v>1154</v>
      </c>
      <c r="K5" s="140"/>
      <c r="L5" s="140"/>
      <c r="M5" s="142" t="s">
        <v>1155</v>
      </c>
      <c r="N5" s="140" t="s">
        <v>427</v>
      </c>
      <c r="O5" s="140" t="s">
        <v>1156</v>
      </c>
      <c r="P5" s="139" t="s">
        <v>428</v>
      </c>
      <c r="Q5" s="140" t="s">
        <v>1157</v>
      </c>
      <c r="R5" s="139" t="s">
        <v>429</v>
      </c>
    </row>
    <row r="6" spans="2:18" s="63" customFormat="1" ht="20.100000000000001" customHeight="1">
      <c r="B6" s="140"/>
      <c r="C6" s="140"/>
      <c r="D6" s="139"/>
      <c r="E6" s="139"/>
      <c r="F6" s="139"/>
      <c r="G6" s="142"/>
      <c r="H6" s="139"/>
      <c r="I6" s="139"/>
      <c r="J6" s="103" t="s">
        <v>1151</v>
      </c>
      <c r="K6" s="104" t="s">
        <v>1227</v>
      </c>
      <c r="L6" s="105" t="s">
        <v>1153</v>
      </c>
      <c r="M6" s="142"/>
      <c r="N6" s="140"/>
      <c r="O6" s="140"/>
      <c r="P6" s="139"/>
      <c r="Q6" s="140"/>
      <c r="R6" s="139"/>
    </row>
    <row r="7" spans="2:18" s="63" customFormat="1">
      <c r="B7" s="106"/>
      <c r="C7" s="106"/>
      <c r="D7" s="103"/>
      <c r="E7" s="103"/>
      <c r="F7" s="106"/>
      <c r="G7" s="105"/>
      <c r="H7" s="106"/>
      <c r="I7" s="106"/>
      <c r="J7" s="103"/>
      <c r="K7" s="104"/>
      <c r="L7" s="105"/>
      <c r="M7" s="105"/>
      <c r="N7" s="106"/>
      <c r="O7" s="106"/>
      <c r="P7" s="103"/>
      <c r="Q7" s="106"/>
      <c r="R7" s="103"/>
    </row>
    <row r="8" spans="2:18" s="63" customFormat="1">
      <c r="B8" s="137">
        <v>1</v>
      </c>
      <c r="C8" s="137" t="s">
        <v>1476</v>
      </c>
      <c r="D8" s="64">
        <v>1</v>
      </c>
      <c r="E8" s="33" t="s">
        <v>804</v>
      </c>
      <c r="F8" s="64" t="s">
        <v>6</v>
      </c>
      <c r="G8" s="64" t="s">
        <v>805</v>
      </c>
      <c r="H8" s="64" t="s">
        <v>1</v>
      </c>
      <c r="I8" s="64" t="s">
        <v>2</v>
      </c>
      <c r="J8" s="33" t="s">
        <v>1166</v>
      </c>
      <c r="K8" s="65">
        <v>25020</v>
      </c>
      <c r="L8" s="66">
        <v>1968</v>
      </c>
      <c r="M8" s="66">
        <f t="shared" ref="M8:M71" si="0">2019-L8</f>
        <v>51</v>
      </c>
      <c r="N8" s="64" t="s">
        <v>3</v>
      </c>
      <c r="O8" s="64" t="s">
        <v>1169</v>
      </c>
      <c r="P8" s="33" t="s">
        <v>1181</v>
      </c>
      <c r="Q8" s="64"/>
      <c r="R8" s="33" t="s">
        <v>1167</v>
      </c>
    </row>
    <row r="9" spans="2:18" s="63" customFormat="1" ht="25.5">
      <c r="B9" s="137"/>
      <c r="C9" s="137"/>
      <c r="D9" s="64">
        <v>2</v>
      </c>
      <c r="E9" s="33" t="s">
        <v>1475</v>
      </c>
      <c r="F9" s="64" t="s">
        <v>9</v>
      </c>
      <c r="G9" s="64" t="s">
        <v>806</v>
      </c>
      <c r="H9" s="64" t="s">
        <v>8</v>
      </c>
      <c r="I9" s="64" t="s">
        <v>2</v>
      </c>
      <c r="J9" s="33" t="s">
        <v>1166</v>
      </c>
      <c r="K9" s="65">
        <v>25750</v>
      </c>
      <c r="L9" s="66">
        <v>1970</v>
      </c>
      <c r="M9" s="66">
        <f t="shared" si="0"/>
        <v>49</v>
      </c>
      <c r="N9" s="64" t="s">
        <v>3</v>
      </c>
      <c r="O9" s="64" t="s">
        <v>1169</v>
      </c>
      <c r="P9" s="33" t="s">
        <v>1181</v>
      </c>
      <c r="Q9" s="64"/>
      <c r="R9" s="33" t="s">
        <v>1168</v>
      </c>
    </row>
    <row r="10" spans="2:18" s="63" customFormat="1" ht="25.5">
      <c r="B10" s="137"/>
      <c r="C10" s="137"/>
      <c r="D10" s="64">
        <v>3</v>
      </c>
      <c r="E10" s="33" t="s">
        <v>807</v>
      </c>
      <c r="F10" s="64" t="s">
        <v>13</v>
      </c>
      <c r="G10" s="64" t="s">
        <v>808</v>
      </c>
      <c r="H10" s="64" t="s">
        <v>1</v>
      </c>
      <c r="I10" s="64" t="s">
        <v>11</v>
      </c>
      <c r="J10" s="33" t="s">
        <v>1166</v>
      </c>
      <c r="K10" s="65">
        <v>33733</v>
      </c>
      <c r="L10" s="66">
        <v>1992</v>
      </c>
      <c r="M10" s="66">
        <f t="shared" si="0"/>
        <v>27</v>
      </c>
      <c r="N10" s="64" t="s">
        <v>3</v>
      </c>
      <c r="O10" s="64" t="s">
        <v>1169</v>
      </c>
      <c r="P10" s="33" t="s">
        <v>1199</v>
      </c>
      <c r="Q10" s="64"/>
      <c r="R10" s="33" t="s">
        <v>1192</v>
      </c>
    </row>
    <row r="11" spans="2:18" s="63" customFormat="1" ht="25.5">
      <c r="B11" s="137"/>
      <c r="C11" s="137"/>
      <c r="D11" s="64">
        <v>4</v>
      </c>
      <c r="E11" s="33" t="s">
        <v>809</v>
      </c>
      <c r="F11" s="64" t="s">
        <v>13</v>
      </c>
      <c r="G11" s="64" t="s">
        <v>810</v>
      </c>
      <c r="H11" s="64" t="s">
        <v>1</v>
      </c>
      <c r="I11" s="64" t="s">
        <v>11</v>
      </c>
      <c r="J11" s="33" t="s">
        <v>1166</v>
      </c>
      <c r="K11" s="65">
        <v>35014</v>
      </c>
      <c r="L11" s="66">
        <v>1995</v>
      </c>
      <c r="M11" s="66">
        <f t="shared" si="0"/>
        <v>24</v>
      </c>
      <c r="N11" s="64" t="s">
        <v>3</v>
      </c>
      <c r="O11" s="64" t="s">
        <v>1169</v>
      </c>
      <c r="P11" s="33" t="s">
        <v>1199</v>
      </c>
      <c r="Q11" s="64"/>
      <c r="R11" s="33" t="s">
        <v>1192</v>
      </c>
    </row>
    <row r="12" spans="2:18" s="63" customFormat="1">
      <c r="B12" s="137">
        <v>2</v>
      </c>
      <c r="C12" s="137" t="s">
        <v>1383</v>
      </c>
      <c r="D12" s="64">
        <v>5</v>
      </c>
      <c r="E12" s="33" t="s">
        <v>815</v>
      </c>
      <c r="F12" s="64" t="s">
        <v>6</v>
      </c>
      <c r="G12" s="64" t="s">
        <v>1385</v>
      </c>
      <c r="H12" s="64" t="s">
        <v>1</v>
      </c>
      <c r="I12" s="64" t="s">
        <v>2</v>
      </c>
      <c r="J12" s="33" t="s">
        <v>1206</v>
      </c>
      <c r="K12" s="65">
        <v>19906</v>
      </c>
      <c r="L12" s="66">
        <v>1954</v>
      </c>
      <c r="M12" s="66">
        <f t="shared" si="0"/>
        <v>65</v>
      </c>
      <c r="N12" s="64" t="s">
        <v>3</v>
      </c>
      <c r="O12" s="64" t="s">
        <v>1169</v>
      </c>
      <c r="P12" s="33" t="s">
        <v>1181</v>
      </c>
      <c r="Q12" s="64"/>
      <c r="R12" s="33" t="s">
        <v>85</v>
      </c>
    </row>
    <row r="13" spans="2:18" s="63" customFormat="1" ht="25.5">
      <c r="B13" s="137"/>
      <c r="C13" s="137"/>
      <c r="D13" s="64">
        <v>6</v>
      </c>
      <c r="E13" s="33" t="s">
        <v>816</v>
      </c>
      <c r="F13" s="64" t="s">
        <v>9</v>
      </c>
      <c r="G13" s="64" t="s">
        <v>1386</v>
      </c>
      <c r="H13" s="64" t="s">
        <v>8</v>
      </c>
      <c r="I13" s="64" t="s">
        <v>2</v>
      </c>
      <c r="J13" s="33" t="s">
        <v>1206</v>
      </c>
      <c r="K13" s="65">
        <v>22463</v>
      </c>
      <c r="L13" s="66">
        <v>1961</v>
      </c>
      <c r="M13" s="66">
        <f t="shared" si="0"/>
        <v>58</v>
      </c>
      <c r="N13" s="64" t="s">
        <v>3</v>
      </c>
      <c r="O13" s="64" t="s">
        <v>1169</v>
      </c>
      <c r="P13" s="33" t="s">
        <v>1181</v>
      </c>
      <c r="Q13" s="64"/>
      <c r="R13" s="33" t="s">
        <v>1168</v>
      </c>
    </row>
    <row r="14" spans="2:18" s="63" customFormat="1" ht="25.5">
      <c r="B14" s="137"/>
      <c r="C14" s="137"/>
      <c r="D14" s="64">
        <v>7</v>
      </c>
      <c r="E14" s="33" t="s">
        <v>1384</v>
      </c>
      <c r="F14" s="64" t="s">
        <v>13</v>
      </c>
      <c r="G14" s="64" t="s">
        <v>1387</v>
      </c>
      <c r="H14" s="64" t="s">
        <v>1</v>
      </c>
      <c r="I14" s="64" t="s">
        <v>11</v>
      </c>
      <c r="J14" s="33" t="s">
        <v>1206</v>
      </c>
      <c r="K14" s="65">
        <v>29403</v>
      </c>
      <c r="L14" s="66">
        <v>1980</v>
      </c>
      <c r="M14" s="66">
        <f t="shared" si="0"/>
        <v>39</v>
      </c>
      <c r="N14" s="64" t="s">
        <v>3</v>
      </c>
      <c r="O14" s="64" t="s">
        <v>1169</v>
      </c>
      <c r="P14" s="33" t="s">
        <v>1181</v>
      </c>
      <c r="Q14" s="64"/>
      <c r="R14" s="33" t="s">
        <v>1192</v>
      </c>
    </row>
    <row r="15" spans="2:18" s="63" customFormat="1" ht="25.5">
      <c r="B15" s="137"/>
      <c r="C15" s="137"/>
      <c r="D15" s="64">
        <v>8</v>
      </c>
      <c r="E15" s="33" t="s">
        <v>819</v>
      </c>
      <c r="F15" s="64" t="s">
        <v>13</v>
      </c>
      <c r="G15" s="64" t="s">
        <v>1388</v>
      </c>
      <c r="H15" s="64" t="s">
        <v>1</v>
      </c>
      <c r="I15" s="64" t="s">
        <v>11</v>
      </c>
      <c r="J15" s="33" t="s">
        <v>1206</v>
      </c>
      <c r="K15" s="65">
        <v>32690</v>
      </c>
      <c r="L15" s="66">
        <v>1989</v>
      </c>
      <c r="M15" s="66">
        <f t="shared" si="0"/>
        <v>30</v>
      </c>
      <c r="N15" s="64" t="s">
        <v>3</v>
      </c>
      <c r="O15" s="64" t="s">
        <v>1169</v>
      </c>
      <c r="P15" s="33" t="s">
        <v>1181</v>
      </c>
      <c r="Q15" s="64"/>
      <c r="R15" s="33" t="s">
        <v>1192</v>
      </c>
    </row>
    <row r="16" spans="2:18" s="63" customFormat="1" ht="25.5">
      <c r="B16" s="137"/>
      <c r="C16" s="137"/>
      <c r="D16" s="64">
        <v>9</v>
      </c>
      <c r="E16" s="33" t="s">
        <v>820</v>
      </c>
      <c r="F16" s="64" t="s">
        <v>13</v>
      </c>
      <c r="G16" s="64" t="s">
        <v>821</v>
      </c>
      <c r="H16" s="64" t="s">
        <v>1</v>
      </c>
      <c r="I16" s="64" t="s">
        <v>11</v>
      </c>
      <c r="J16" s="33" t="s">
        <v>1389</v>
      </c>
      <c r="K16" s="65">
        <v>34443</v>
      </c>
      <c r="L16" s="66">
        <v>1994</v>
      </c>
      <c r="M16" s="66">
        <f t="shared" si="0"/>
        <v>25</v>
      </c>
      <c r="N16" s="64" t="s">
        <v>3</v>
      </c>
      <c r="O16" s="64" t="s">
        <v>1169</v>
      </c>
      <c r="P16" s="33" t="s">
        <v>1199</v>
      </c>
      <c r="Q16" s="64"/>
      <c r="R16" s="33" t="s">
        <v>1192</v>
      </c>
    </row>
    <row r="17" spans="2:18" s="63" customFormat="1" ht="25.5">
      <c r="B17" s="137">
        <v>3</v>
      </c>
      <c r="C17" s="137" t="s">
        <v>1305</v>
      </c>
      <c r="D17" s="64">
        <v>10</v>
      </c>
      <c r="E17" s="33" t="s">
        <v>1130</v>
      </c>
      <c r="F17" s="64" t="s">
        <v>6</v>
      </c>
      <c r="G17" s="64" t="s">
        <v>1307</v>
      </c>
      <c r="H17" s="64" t="s">
        <v>1</v>
      </c>
      <c r="I17" s="64" t="s">
        <v>2</v>
      </c>
      <c r="J17" s="33" t="s">
        <v>1166</v>
      </c>
      <c r="K17" s="65">
        <v>22281</v>
      </c>
      <c r="L17" s="66">
        <v>1960</v>
      </c>
      <c r="M17" s="66">
        <f t="shared" si="0"/>
        <v>59</v>
      </c>
      <c r="N17" s="64" t="s">
        <v>3</v>
      </c>
      <c r="O17" s="64" t="s">
        <v>1169</v>
      </c>
      <c r="P17" s="33" t="s">
        <v>1181</v>
      </c>
      <c r="Q17" s="64"/>
      <c r="R17" s="33" t="s">
        <v>1178</v>
      </c>
    </row>
    <row r="18" spans="2:18" s="63" customFormat="1" ht="25.5">
      <c r="B18" s="137"/>
      <c r="C18" s="137"/>
      <c r="D18" s="64">
        <v>11</v>
      </c>
      <c r="E18" s="33" t="s">
        <v>1306</v>
      </c>
      <c r="F18" s="64" t="s">
        <v>9</v>
      </c>
      <c r="G18" s="64" t="s">
        <v>1308</v>
      </c>
      <c r="H18" s="64" t="s">
        <v>8</v>
      </c>
      <c r="I18" s="64" t="s">
        <v>2</v>
      </c>
      <c r="J18" s="33" t="s">
        <v>1309</v>
      </c>
      <c r="K18" s="65">
        <v>23011</v>
      </c>
      <c r="L18" s="66">
        <v>1962</v>
      </c>
      <c r="M18" s="66">
        <f t="shared" si="0"/>
        <v>57</v>
      </c>
      <c r="N18" s="64" t="s">
        <v>3</v>
      </c>
      <c r="O18" s="64" t="s">
        <v>1169</v>
      </c>
      <c r="P18" s="33" t="s">
        <v>1181</v>
      </c>
      <c r="Q18" s="64"/>
      <c r="R18" s="33" t="s">
        <v>1168</v>
      </c>
    </row>
    <row r="19" spans="2:18" s="63" customFormat="1" ht="25.5">
      <c r="B19" s="137">
        <v>4</v>
      </c>
      <c r="C19" s="137" t="s">
        <v>1233</v>
      </c>
      <c r="D19" s="64">
        <v>12</v>
      </c>
      <c r="E19" s="33" t="s">
        <v>1139</v>
      </c>
      <c r="F19" s="64" t="s">
        <v>6</v>
      </c>
      <c r="G19" s="64" t="s">
        <v>1140</v>
      </c>
      <c r="H19" s="64" t="s">
        <v>1</v>
      </c>
      <c r="I19" s="64" t="s">
        <v>2</v>
      </c>
      <c r="J19" s="33" t="s">
        <v>1172</v>
      </c>
      <c r="K19" s="65">
        <v>30316</v>
      </c>
      <c r="L19" s="66">
        <v>1982</v>
      </c>
      <c r="M19" s="66">
        <f t="shared" si="0"/>
        <v>37</v>
      </c>
      <c r="N19" s="64" t="s">
        <v>3</v>
      </c>
      <c r="O19" s="64" t="s">
        <v>1169</v>
      </c>
      <c r="P19" s="33" t="s">
        <v>1199</v>
      </c>
      <c r="Q19" s="64"/>
      <c r="R19" s="33" t="s">
        <v>1178</v>
      </c>
    </row>
    <row r="20" spans="2:18" s="63" customFormat="1" ht="25.5">
      <c r="B20" s="137"/>
      <c r="C20" s="137"/>
      <c r="D20" s="64">
        <v>13</v>
      </c>
      <c r="E20" s="33" t="s">
        <v>1141</v>
      </c>
      <c r="F20" s="64" t="s">
        <v>9</v>
      </c>
      <c r="G20" s="64" t="s">
        <v>1142</v>
      </c>
      <c r="H20" s="64" t="s">
        <v>8</v>
      </c>
      <c r="I20" s="64" t="s">
        <v>2</v>
      </c>
      <c r="J20" s="33" t="s">
        <v>1172</v>
      </c>
      <c r="K20" s="65">
        <v>29951</v>
      </c>
      <c r="L20" s="66">
        <v>1981</v>
      </c>
      <c r="M20" s="66">
        <f t="shared" si="0"/>
        <v>38</v>
      </c>
      <c r="N20" s="64" t="s">
        <v>3</v>
      </c>
      <c r="O20" s="64" t="s">
        <v>1169</v>
      </c>
      <c r="P20" s="33" t="s">
        <v>1177</v>
      </c>
      <c r="Q20" s="64"/>
      <c r="R20" s="33" t="s">
        <v>1168</v>
      </c>
    </row>
    <row r="21" spans="2:18" s="63" customFormat="1" ht="25.5">
      <c r="B21" s="137"/>
      <c r="C21" s="137"/>
      <c r="D21" s="64">
        <v>14</v>
      </c>
      <c r="E21" s="33" t="s">
        <v>1143</v>
      </c>
      <c r="F21" s="64" t="s">
        <v>13</v>
      </c>
      <c r="G21" s="64" t="s">
        <v>1144</v>
      </c>
      <c r="H21" s="64" t="s">
        <v>8</v>
      </c>
      <c r="I21" s="64" t="s">
        <v>11</v>
      </c>
      <c r="J21" s="33" t="s">
        <v>1234</v>
      </c>
      <c r="K21" s="65">
        <v>38156</v>
      </c>
      <c r="L21" s="66">
        <v>2004</v>
      </c>
      <c r="M21" s="66">
        <f t="shared" si="0"/>
        <v>15</v>
      </c>
      <c r="N21" s="64" t="s">
        <v>3</v>
      </c>
      <c r="O21" s="64" t="s">
        <v>1169</v>
      </c>
      <c r="P21" s="33" t="s">
        <v>1177</v>
      </c>
      <c r="Q21" s="64"/>
      <c r="R21" s="33" t="s">
        <v>1192</v>
      </c>
    </row>
    <row r="22" spans="2:18" s="59" customFormat="1" ht="25.5">
      <c r="B22" s="137"/>
      <c r="C22" s="137"/>
      <c r="D22" s="64">
        <v>15</v>
      </c>
      <c r="E22" s="33" t="s">
        <v>1145</v>
      </c>
      <c r="F22" s="64" t="s">
        <v>13</v>
      </c>
      <c r="G22" s="64" t="s">
        <v>1146</v>
      </c>
      <c r="H22" s="64" t="s">
        <v>1</v>
      </c>
      <c r="I22" s="64" t="s">
        <v>11</v>
      </c>
      <c r="J22" s="33" t="s">
        <v>1166</v>
      </c>
      <c r="K22" s="65">
        <v>40014</v>
      </c>
      <c r="L22" s="66">
        <v>2009</v>
      </c>
      <c r="M22" s="66">
        <f t="shared" si="0"/>
        <v>10</v>
      </c>
      <c r="N22" s="64" t="s">
        <v>3</v>
      </c>
      <c r="O22" s="64" t="s">
        <v>1169</v>
      </c>
      <c r="P22" s="33" t="s">
        <v>1177</v>
      </c>
      <c r="Q22" s="64"/>
      <c r="R22" s="33" t="s">
        <v>1192</v>
      </c>
    </row>
    <row r="23" spans="2:18" s="63" customFormat="1" ht="25.5">
      <c r="B23" s="64">
        <v>5</v>
      </c>
      <c r="C23" s="64" t="s">
        <v>1240</v>
      </c>
      <c r="D23" s="64">
        <v>16</v>
      </c>
      <c r="E23" s="33" t="s">
        <v>1241</v>
      </c>
      <c r="F23" s="64" t="s">
        <v>6</v>
      </c>
      <c r="G23" s="64" t="s">
        <v>1242</v>
      </c>
      <c r="H23" s="64" t="s">
        <v>1</v>
      </c>
      <c r="I23" s="64" t="s">
        <v>1221</v>
      </c>
      <c r="J23" s="33" t="s">
        <v>1206</v>
      </c>
      <c r="K23" s="65">
        <v>19176</v>
      </c>
      <c r="L23" s="64">
        <v>1952</v>
      </c>
      <c r="M23" s="64">
        <f t="shared" si="0"/>
        <v>67</v>
      </c>
      <c r="N23" s="64" t="s">
        <v>3</v>
      </c>
      <c r="O23" s="64" t="s">
        <v>1169</v>
      </c>
      <c r="P23" s="33" t="s">
        <v>1177</v>
      </c>
      <c r="Q23" s="64"/>
      <c r="R23" s="33" t="s">
        <v>1178</v>
      </c>
    </row>
    <row r="24" spans="2:18" s="61" customFormat="1" ht="25.5">
      <c r="B24" s="64">
        <v>6</v>
      </c>
      <c r="C24" s="64" t="s">
        <v>1570</v>
      </c>
      <c r="D24" s="64">
        <v>17</v>
      </c>
      <c r="E24" s="33" t="s">
        <v>1571</v>
      </c>
      <c r="F24" s="64" t="s">
        <v>6</v>
      </c>
      <c r="G24" s="64" t="s">
        <v>1572</v>
      </c>
      <c r="H24" s="64" t="s">
        <v>8</v>
      </c>
      <c r="I24" s="64" t="s">
        <v>1221</v>
      </c>
      <c r="J24" s="33" t="s">
        <v>1166</v>
      </c>
      <c r="K24" s="65">
        <v>24107</v>
      </c>
      <c r="L24" s="66">
        <v>1965</v>
      </c>
      <c r="M24" s="66">
        <f t="shared" si="0"/>
        <v>54</v>
      </c>
      <c r="N24" s="64" t="s">
        <v>3</v>
      </c>
      <c r="O24" s="64" t="s">
        <v>1169</v>
      </c>
      <c r="P24" s="33" t="s">
        <v>1177</v>
      </c>
      <c r="Q24" s="64"/>
      <c r="R24" s="33" t="s">
        <v>1178</v>
      </c>
    </row>
    <row r="25" spans="2:18" s="61" customFormat="1" ht="25.5">
      <c r="B25" s="64">
        <v>7</v>
      </c>
      <c r="C25" s="64" t="s">
        <v>1574</v>
      </c>
      <c r="D25" s="64">
        <v>18</v>
      </c>
      <c r="E25" s="33" t="s">
        <v>1575</v>
      </c>
      <c r="F25" s="64" t="s">
        <v>6</v>
      </c>
      <c r="G25" s="64" t="s">
        <v>847</v>
      </c>
      <c r="H25" s="64" t="s">
        <v>8</v>
      </c>
      <c r="I25" s="64" t="s">
        <v>1197</v>
      </c>
      <c r="J25" s="33" t="s">
        <v>1172</v>
      </c>
      <c r="K25" s="65">
        <v>28752</v>
      </c>
      <c r="L25" s="66">
        <v>1978</v>
      </c>
      <c r="M25" s="66">
        <f t="shared" si="0"/>
        <v>41</v>
      </c>
      <c r="N25" s="64" t="s">
        <v>3</v>
      </c>
      <c r="O25" s="64" t="s">
        <v>1169</v>
      </c>
      <c r="P25" s="33" t="s">
        <v>1177</v>
      </c>
      <c r="Q25" s="64"/>
      <c r="R25" s="33" t="s">
        <v>1168</v>
      </c>
    </row>
    <row r="26" spans="2:18" s="59" customFormat="1">
      <c r="B26" s="137">
        <v>8</v>
      </c>
      <c r="C26" s="137" t="s">
        <v>1693</v>
      </c>
      <c r="D26" s="64">
        <v>19</v>
      </c>
      <c r="E26" s="33" t="s">
        <v>1694</v>
      </c>
      <c r="F26" s="64" t="s">
        <v>6</v>
      </c>
      <c r="G26" s="64" t="s">
        <v>1696</v>
      </c>
      <c r="H26" s="64" t="s">
        <v>1</v>
      </c>
      <c r="I26" s="64" t="s">
        <v>2</v>
      </c>
      <c r="J26" s="33" t="s">
        <v>1449</v>
      </c>
      <c r="K26" s="65">
        <v>33791</v>
      </c>
      <c r="L26" s="66">
        <v>1992</v>
      </c>
      <c r="M26" s="66">
        <f t="shared" si="0"/>
        <v>27</v>
      </c>
      <c r="N26" s="64" t="s">
        <v>3</v>
      </c>
      <c r="O26" s="64" t="s">
        <v>1169</v>
      </c>
      <c r="P26" s="33" t="s">
        <v>1174</v>
      </c>
      <c r="Q26" s="64"/>
      <c r="R26" s="33" t="s">
        <v>85</v>
      </c>
    </row>
    <row r="27" spans="2:18" s="59" customFormat="1" ht="25.5">
      <c r="B27" s="137"/>
      <c r="C27" s="137"/>
      <c r="D27" s="64">
        <v>20</v>
      </c>
      <c r="E27" s="33" t="s">
        <v>1695</v>
      </c>
      <c r="F27" s="64" t="s">
        <v>9</v>
      </c>
      <c r="G27" s="64" t="s">
        <v>1697</v>
      </c>
      <c r="H27" s="64" t="s">
        <v>8</v>
      </c>
      <c r="I27" s="64" t="s">
        <v>2</v>
      </c>
      <c r="J27" s="33" t="s">
        <v>1698</v>
      </c>
      <c r="K27" s="65">
        <v>36402</v>
      </c>
      <c r="L27" s="66">
        <v>1999</v>
      </c>
      <c r="M27" s="66">
        <f t="shared" si="0"/>
        <v>20</v>
      </c>
      <c r="N27" s="64" t="s">
        <v>3</v>
      </c>
      <c r="O27" s="64" t="s">
        <v>1169</v>
      </c>
      <c r="P27" s="33" t="s">
        <v>1174</v>
      </c>
      <c r="Q27" s="64"/>
      <c r="R27" s="33" t="s">
        <v>1168</v>
      </c>
    </row>
    <row r="28" spans="2:18" s="63" customFormat="1" ht="25.5">
      <c r="B28" s="64">
        <v>9</v>
      </c>
      <c r="C28" s="64" t="s">
        <v>1573</v>
      </c>
      <c r="D28" s="64">
        <v>21</v>
      </c>
      <c r="E28" s="33" t="s">
        <v>64</v>
      </c>
      <c r="F28" s="64" t="s">
        <v>6</v>
      </c>
      <c r="G28" s="64" t="s">
        <v>65</v>
      </c>
      <c r="H28" s="64" t="s">
        <v>8</v>
      </c>
      <c r="I28" s="64" t="s">
        <v>1221</v>
      </c>
      <c r="J28" s="33" t="s">
        <v>1206</v>
      </c>
      <c r="K28" s="65">
        <v>19176</v>
      </c>
      <c r="L28" s="66">
        <v>1952</v>
      </c>
      <c r="M28" s="66">
        <f t="shared" si="0"/>
        <v>67</v>
      </c>
      <c r="N28" s="64" t="s">
        <v>3</v>
      </c>
      <c r="O28" s="64" t="s">
        <v>1169</v>
      </c>
      <c r="P28" s="33" t="s">
        <v>1177</v>
      </c>
      <c r="Q28" s="64"/>
      <c r="R28" s="33" t="s">
        <v>1168</v>
      </c>
    </row>
    <row r="29" spans="2:18" s="63" customFormat="1" ht="25.5">
      <c r="B29" s="137">
        <v>10</v>
      </c>
      <c r="C29" s="137" t="s">
        <v>1243</v>
      </c>
      <c r="D29" s="64">
        <v>22</v>
      </c>
      <c r="E29" s="33" t="s">
        <v>832</v>
      </c>
      <c r="F29" s="64" t="s">
        <v>6</v>
      </c>
      <c r="G29" s="64" t="s">
        <v>1245</v>
      </c>
      <c r="H29" s="64" t="s">
        <v>1</v>
      </c>
      <c r="I29" s="64" t="s">
        <v>2</v>
      </c>
      <c r="J29" s="33" t="s">
        <v>1166</v>
      </c>
      <c r="K29" s="65">
        <v>24654</v>
      </c>
      <c r="L29" s="66">
        <v>1967</v>
      </c>
      <c r="M29" s="66">
        <f t="shared" si="0"/>
        <v>52</v>
      </c>
      <c r="N29" s="64" t="s">
        <v>3</v>
      </c>
      <c r="O29" s="64" t="s">
        <v>1169</v>
      </c>
      <c r="P29" s="33" t="s">
        <v>1177</v>
      </c>
      <c r="Q29" s="64"/>
      <c r="R29" s="33" t="s">
        <v>1248</v>
      </c>
    </row>
    <row r="30" spans="2:18" s="63" customFormat="1" ht="25.5">
      <c r="B30" s="137"/>
      <c r="C30" s="137"/>
      <c r="D30" s="64">
        <v>23</v>
      </c>
      <c r="E30" s="33" t="s">
        <v>833</v>
      </c>
      <c r="F30" s="64" t="s">
        <v>9</v>
      </c>
      <c r="G30" s="64" t="s">
        <v>1246</v>
      </c>
      <c r="H30" s="64" t="s">
        <v>8</v>
      </c>
      <c r="I30" s="64" t="s">
        <v>2</v>
      </c>
      <c r="J30" s="33" t="s">
        <v>1166</v>
      </c>
      <c r="K30" s="65">
        <v>25385</v>
      </c>
      <c r="L30" s="66">
        <v>1969</v>
      </c>
      <c r="M30" s="66">
        <f t="shared" si="0"/>
        <v>50</v>
      </c>
      <c r="N30" s="64" t="s">
        <v>3</v>
      </c>
      <c r="O30" s="64" t="s">
        <v>1169</v>
      </c>
      <c r="P30" s="33" t="s">
        <v>1177</v>
      </c>
      <c r="Q30" s="64"/>
      <c r="R30" s="33" t="s">
        <v>1168</v>
      </c>
    </row>
    <row r="31" spans="2:18" s="63" customFormat="1" ht="25.5">
      <c r="B31" s="137"/>
      <c r="C31" s="137"/>
      <c r="D31" s="64">
        <v>24</v>
      </c>
      <c r="E31" s="33" t="s">
        <v>1244</v>
      </c>
      <c r="F31" s="64" t="s">
        <v>13</v>
      </c>
      <c r="G31" s="64" t="s">
        <v>1247</v>
      </c>
      <c r="H31" s="64" t="s">
        <v>8</v>
      </c>
      <c r="I31" s="64" t="s">
        <v>11</v>
      </c>
      <c r="J31" s="33" t="s">
        <v>1172</v>
      </c>
      <c r="K31" s="65">
        <v>38666</v>
      </c>
      <c r="L31" s="66">
        <v>2005</v>
      </c>
      <c r="M31" s="66">
        <f t="shared" si="0"/>
        <v>14</v>
      </c>
      <c r="N31" s="64" t="s">
        <v>3</v>
      </c>
      <c r="O31" s="64" t="s">
        <v>1169</v>
      </c>
      <c r="P31" s="33" t="s">
        <v>1176</v>
      </c>
      <c r="Q31" s="64"/>
      <c r="R31" s="33" t="s">
        <v>1175</v>
      </c>
    </row>
    <row r="32" spans="2:18" s="63" customFormat="1">
      <c r="B32" s="137">
        <v>11</v>
      </c>
      <c r="C32" s="137"/>
      <c r="D32" s="64">
        <v>25</v>
      </c>
      <c r="E32" s="33" t="s">
        <v>811</v>
      </c>
      <c r="F32" s="64" t="s">
        <v>6</v>
      </c>
      <c r="G32" s="64" t="s">
        <v>812</v>
      </c>
      <c r="H32" s="64" t="s">
        <v>8</v>
      </c>
      <c r="I32" s="64" t="s">
        <v>18</v>
      </c>
      <c r="J32" s="33"/>
      <c r="K32" s="65">
        <v>32873</v>
      </c>
      <c r="L32" s="66">
        <f>YEAR(K32)</f>
        <v>1989</v>
      </c>
      <c r="M32" s="66">
        <f t="shared" si="0"/>
        <v>30</v>
      </c>
      <c r="N32" s="64" t="s">
        <v>3</v>
      </c>
      <c r="O32" s="64"/>
      <c r="P32" s="33" t="s">
        <v>28</v>
      </c>
      <c r="Q32" s="64"/>
      <c r="R32" s="33" t="s">
        <v>119</v>
      </c>
    </row>
    <row r="33" spans="2:18" s="63" customFormat="1" ht="25.5">
      <c r="B33" s="137"/>
      <c r="C33" s="137"/>
      <c r="D33" s="64">
        <v>26</v>
      </c>
      <c r="E33" s="33" t="s">
        <v>813</v>
      </c>
      <c r="F33" s="64" t="s">
        <v>13</v>
      </c>
      <c r="G33" s="64" t="s">
        <v>814</v>
      </c>
      <c r="H33" s="64" t="s">
        <v>1</v>
      </c>
      <c r="I33" s="64" t="s">
        <v>11</v>
      </c>
      <c r="J33" s="33"/>
      <c r="K33" s="65">
        <v>39802</v>
      </c>
      <c r="L33" s="66">
        <f t="shared" ref="L33:L47" si="1">YEAR(K33)</f>
        <v>2008</v>
      </c>
      <c r="M33" s="66">
        <f t="shared" si="0"/>
        <v>11</v>
      </c>
      <c r="N33" s="64" t="s">
        <v>3</v>
      </c>
      <c r="O33" s="64"/>
      <c r="P33" s="33" t="s">
        <v>4</v>
      </c>
      <c r="Q33" s="64"/>
      <c r="R33" s="33" t="s">
        <v>4</v>
      </c>
    </row>
    <row r="34" spans="2:18" s="63" customFormat="1">
      <c r="B34" s="137">
        <v>12</v>
      </c>
      <c r="C34" s="137"/>
      <c r="D34" s="64">
        <v>27</v>
      </c>
      <c r="E34" s="33" t="s">
        <v>718</v>
      </c>
      <c r="F34" s="64" t="s">
        <v>6</v>
      </c>
      <c r="G34" s="64" t="s">
        <v>822</v>
      </c>
      <c r="H34" s="64" t="s">
        <v>1</v>
      </c>
      <c r="I34" s="64" t="s">
        <v>2</v>
      </c>
      <c r="J34" s="33"/>
      <c r="K34" s="65">
        <v>25203</v>
      </c>
      <c r="L34" s="66">
        <f t="shared" si="1"/>
        <v>1968</v>
      </c>
      <c r="M34" s="66">
        <f t="shared" si="0"/>
        <v>51</v>
      </c>
      <c r="N34" s="64" t="s">
        <v>3</v>
      </c>
      <c r="O34" s="64"/>
      <c r="P34" s="33" t="s">
        <v>12</v>
      </c>
      <c r="Q34" s="64"/>
      <c r="R34" s="33" t="s">
        <v>80</v>
      </c>
    </row>
    <row r="35" spans="2:18" s="63" customFormat="1" ht="25.5">
      <c r="B35" s="137"/>
      <c r="C35" s="137"/>
      <c r="D35" s="64">
        <v>28</v>
      </c>
      <c r="E35" s="33" t="s">
        <v>823</v>
      </c>
      <c r="F35" s="64" t="s">
        <v>9</v>
      </c>
      <c r="G35" s="64" t="s">
        <v>824</v>
      </c>
      <c r="H35" s="64" t="s">
        <v>8</v>
      </c>
      <c r="I35" s="64" t="s">
        <v>2</v>
      </c>
      <c r="J35" s="33"/>
      <c r="K35" s="65">
        <v>24702</v>
      </c>
      <c r="L35" s="66">
        <f t="shared" si="1"/>
        <v>1967</v>
      </c>
      <c r="M35" s="66">
        <f t="shared" si="0"/>
        <v>52</v>
      </c>
      <c r="N35" s="64" t="s">
        <v>3</v>
      </c>
      <c r="O35" s="64"/>
      <c r="P35" s="33" t="s">
        <v>12</v>
      </c>
      <c r="Q35" s="64"/>
      <c r="R35" s="33" t="s">
        <v>85</v>
      </c>
    </row>
    <row r="36" spans="2:18" s="63" customFormat="1" ht="25.5">
      <c r="B36" s="137"/>
      <c r="C36" s="137"/>
      <c r="D36" s="64">
        <v>29</v>
      </c>
      <c r="E36" s="33" t="s">
        <v>825</v>
      </c>
      <c r="F36" s="64" t="s">
        <v>13</v>
      </c>
      <c r="G36" s="64" t="s">
        <v>826</v>
      </c>
      <c r="H36" s="64" t="s">
        <v>1</v>
      </c>
      <c r="I36" s="64" t="s">
        <v>11</v>
      </c>
      <c r="J36" s="33"/>
      <c r="K36" s="65">
        <v>32620</v>
      </c>
      <c r="L36" s="66">
        <f t="shared" si="1"/>
        <v>1989</v>
      </c>
      <c r="M36" s="66">
        <f t="shared" si="0"/>
        <v>30</v>
      </c>
      <c r="N36" s="64" t="s">
        <v>3</v>
      </c>
      <c r="O36" s="64"/>
      <c r="P36" s="33" t="s">
        <v>116</v>
      </c>
      <c r="Q36" s="64"/>
      <c r="R36" s="33" t="s">
        <v>85</v>
      </c>
    </row>
    <row r="37" spans="2:18" s="63" customFormat="1">
      <c r="B37" s="137"/>
      <c r="C37" s="137"/>
      <c r="D37" s="64">
        <v>30</v>
      </c>
      <c r="E37" s="33" t="s">
        <v>827</v>
      </c>
      <c r="F37" s="64" t="s">
        <v>13</v>
      </c>
      <c r="G37" s="64" t="s">
        <v>829</v>
      </c>
      <c r="H37" s="64" t="s">
        <v>1</v>
      </c>
      <c r="I37" s="64" t="s">
        <v>11</v>
      </c>
      <c r="J37" s="33"/>
      <c r="K37" s="65">
        <v>33850</v>
      </c>
      <c r="L37" s="66">
        <f t="shared" si="1"/>
        <v>1992</v>
      </c>
      <c r="M37" s="66">
        <f t="shared" si="0"/>
        <v>27</v>
      </c>
      <c r="N37" s="64" t="s">
        <v>3</v>
      </c>
      <c r="O37" s="64"/>
      <c r="P37" s="33" t="s">
        <v>828</v>
      </c>
      <c r="Q37" s="64"/>
      <c r="R37" s="33" t="s">
        <v>80</v>
      </c>
    </row>
    <row r="38" spans="2:18" s="63" customFormat="1" ht="25.5">
      <c r="B38" s="137"/>
      <c r="C38" s="137"/>
      <c r="D38" s="64">
        <v>31</v>
      </c>
      <c r="E38" s="33" t="s">
        <v>830</v>
      </c>
      <c r="F38" s="64" t="s">
        <v>13</v>
      </c>
      <c r="G38" s="64" t="s">
        <v>831</v>
      </c>
      <c r="H38" s="64" t="s">
        <v>8</v>
      </c>
      <c r="I38" s="64" t="s">
        <v>11</v>
      </c>
      <c r="J38" s="33"/>
      <c r="K38" s="65">
        <v>35897</v>
      </c>
      <c r="L38" s="66">
        <f t="shared" si="1"/>
        <v>1998</v>
      </c>
      <c r="M38" s="66">
        <f t="shared" si="0"/>
        <v>21</v>
      </c>
      <c r="N38" s="64" t="s">
        <v>3</v>
      </c>
      <c r="O38" s="64"/>
      <c r="P38" s="33" t="s">
        <v>28</v>
      </c>
      <c r="Q38" s="64"/>
      <c r="R38" s="33" t="s">
        <v>4</v>
      </c>
    </row>
    <row r="39" spans="2:18" s="63" customFormat="1">
      <c r="B39" s="137">
        <v>13</v>
      </c>
      <c r="C39" s="137"/>
      <c r="D39" s="64">
        <v>32</v>
      </c>
      <c r="E39" s="33" t="s">
        <v>840</v>
      </c>
      <c r="F39" s="64" t="s">
        <v>6</v>
      </c>
      <c r="G39" s="64" t="s">
        <v>841</v>
      </c>
      <c r="H39" s="64" t="s">
        <v>8</v>
      </c>
      <c r="I39" s="64" t="s">
        <v>18</v>
      </c>
      <c r="J39" s="33"/>
      <c r="K39" s="65">
        <v>26602</v>
      </c>
      <c r="L39" s="66">
        <f t="shared" si="1"/>
        <v>1972</v>
      </c>
      <c r="M39" s="66">
        <f t="shared" si="0"/>
        <v>47</v>
      </c>
      <c r="N39" s="64" t="s">
        <v>3</v>
      </c>
      <c r="O39" s="64"/>
      <c r="P39" s="33" t="s">
        <v>4</v>
      </c>
      <c r="Q39" s="64"/>
      <c r="R39" s="33" t="s">
        <v>5</v>
      </c>
    </row>
    <row r="40" spans="2:18" s="63" customFormat="1" ht="25.5">
      <c r="B40" s="137"/>
      <c r="C40" s="137"/>
      <c r="D40" s="64">
        <v>33</v>
      </c>
      <c r="E40" s="33" t="s">
        <v>842</v>
      </c>
      <c r="F40" s="64" t="s">
        <v>9</v>
      </c>
      <c r="G40" s="64" t="s">
        <v>843</v>
      </c>
      <c r="H40" s="64" t="s">
        <v>1</v>
      </c>
      <c r="I40" s="64" t="s">
        <v>11</v>
      </c>
      <c r="J40" s="33"/>
      <c r="K40" s="65">
        <v>35965</v>
      </c>
      <c r="L40" s="66">
        <f t="shared" si="1"/>
        <v>1998</v>
      </c>
      <c r="M40" s="66">
        <f t="shared" si="0"/>
        <v>21</v>
      </c>
      <c r="N40" s="64" t="s">
        <v>3</v>
      </c>
      <c r="O40" s="64"/>
      <c r="P40" s="33" t="s">
        <v>16</v>
      </c>
      <c r="Q40" s="64"/>
      <c r="R40" s="33" t="s">
        <v>4</v>
      </c>
    </row>
    <row r="41" spans="2:18" s="63" customFormat="1">
      <c r="B41" s="137"/>
      <c r="C41" s="137"/>
      <c r="D41" s="64">
        <v>34</v>
      </c>
      <c r="E41" s="33" t="s">
        <v>844</v>
      </c>
      <c r="F41" s="64" t="s">
        <v>13</v>
      </c>
      <c r="G41" s="64" t="s">
        <v>845</v>
      </c>
      <c r="H41" s="64" t="s">
        <v>8</v>
      </c>
      <c r="I41" s="64" t="s">
        <v>11</v>
      </c>
      <c r="J41" s="33"/>
      <c r="K41" s="65">
        <v>11871</v>
      </c>
      <c r="L41" s="66">
        <f t="shared" si="1"/>
        <v>1932</v>
      </c>
      <c r="M41" s="66">
        <f t="shared" si="0"/>
        <v>87</v>
      </c>
      <c r="N41" s="64" t="s">
        <v>3</v>
      </c>
      <c r="O41" s="64"/>
      <c r="P41" s="33" t="s">
        <v>4</v>
      </c>
      <c r="Q41" s="64"/>
      <c r="R41" s="33" t="s">
        <v>5</v>
      </c>
    </row>
    <row r="42" spans="2:18" s="63" customFormat="1">
      <c r="B42" s="64">
        <v>14</v>
      </c>
      <c r="C42" s="64"/>
      <c r="D42" s="64">
        <v>35</v>
      </c>
      <c r="E42" s="33" t="s">
        <v>846</v>
      </c>
      <c r="F42" s="64" t="s">
        <v>6</v>
      </c>
      <c r="G42" s="64" t="s">
        <v>847</v>
      </c>
      <c r="H42" s="64" t="s">
        <v>8</v>
      </c>
      <c r="I42" s="64" t="s">
        <v>18</v>
      </c>
      <c r="J42" s="33"/>
      <c r="K42" s="65">
        <v>28752</v>
      </c>
      <c r="L42" s="66">
        <f t="shared" si="1"/>
        <v>1978</v>
      </c>
      <c r="M42" s="66">
        <f t="shared" si="0"/>
        <v>41</v>
      </c>
      <c r="N42" s="64" t="s">
        <v>3</v>
      </c>
      <c r="O42" s="64"/>
      <c r="P42" s="33" t="s">
        <v>4</v>
      </c>
      <c r="Q42" s="64"/>
      <c r="R42" s="33" t="s">
        <v>5</v>
      </c>
    </row>
    <row r="43" spans="2:18" s="63" customFormat="1">
      <c r="B43" s="64">
        <v>15</v>
      </c>
      <c r="C43" s="64"/>
      <c r="D43" s="64">
        <v>36</v>
      </c>
      <c r="E43" s="33" t="s">
        <v>848</v>
      </c>
      <c r="F43" s="64" t="s">
        <v>6</v>
      </c>
      <c r="G43" s="64" t="s">
        <v>849</v>
      </c>
      <c r="H43" s="64" t="s">
        <v>8</v>
      </c>
      <c r="I43" s="64" t="s">
        <v>18</v>
      </c>
      <c r="J43" s="33"/>
      <c r="K43" s="65">
        <v>17167</v>
      </c>
      <c r="L43" s="66">
        <f t="shared" si="1"/>
        <v>1946</v>
      </c>
      <c r="M43" s="66">
        <f t="shared" si="0"/>
        <v>73</v>
      </c>
      <c r="N43" s="64" t="s">
        <v>3</v>
      </c>
      <c r="O43" s="64"/>
      <c r="P43" s="33" t="s">
        <v>4</v>
      </c>
      <c r="Q43" s="64"/>
      <c r="R43" s="33" t="s">
        <v>5</v>
      </c>
    </row>
    <row r="44" spans="2:18" s="63" customFormat="1">
      <c r="B44" s="137">
        <v>16</v>
      </c>
      <c r="C44" s="137"/>
      <c r="D44" s="64">
        <v>37</v>
      </c>
      <c r="E44" s="33" t="s">
        <v>850</v>
      </c>
      <c r="F44" s="64" t="s">
        <v>6</v>
      </c>
      <c r="G44" s="64" t="s">
        <v>851</v>
      </c>
      <c r="H44" s="64" t="s">
        <v>8</v>
      </c>
      <c r="I44" s="64" t="s">
        <v>18</v>
      </c>
      <c r="J44" s="33"/>
      <c r="K44" s="65">
        <v>25933</v>
      </c>
      <c r="L44" s="66">
        <f t="shared" si="1"/>
        <v>1970</v>
      </c>
      <c r="M44" s="66">
        <f t="shared" si="0"/>
        <v>49</v>
      </c>
      <c r="N44" s="64" t="s">
        <v>3</v>
      </c>
      <c r="O44" s="64"/>
      <c r="P44" s="33" t="s">
        <v>4</v>
      </c>
      <c r="Q44" s="64"/>
      <c r="R44" s="33" t="s">
        <v>5</v>
      </c>
    </row>
    <row r="45" spans="2:18" s="63" customFormat="1">
      <c r="B45" s="137"/>
      <c r="C45" s="137"/>
      <c r="D45" s="64">
        <v>38</v>
      </c>
      <c r="E45" s="33" t="s">
        <v>852</v>
      </c>
      <c r="F45" s="64" t="s">
        <v>13</v>
      </c>
      <c r="G45" s="64" t="s">
        <v>853</v>
      </c>
      <c r="H45" s="64" t="s">
        <v>1</v>
      </c>
      <c r="I45" s="64" t="s">
        <v>11</v>
      </c>
      <c r="J45" s="33"/>
      <c r="K45" s="65">
        <v>33913</v>
      </c>
      <c r="L45" s="66">
        <f t="shared" si="1"/>
        <v>1992</v>
      </c>
      <c r="M45" s="66">
        <f t="shared" si="0"/>
        <v>27</v>
      </c>
      <c r="N45" s="64" t="s">
        <v>3</v>
      </c>
      <c r="O45" s="64"/>
      <c r="P45" s="33" t="s">
        <v>4</v>
      </c>
      <c r="Q45" s="64"/>
      <c r="R45" s="33" t="s">
        <v>5</v>
      </c>
    </row>
    <row r="46" spans="2:18" s="63" customFormat="1" ht="25.5">
      <c r="B46" s="137"/>
      <c r="C46" s="137"/>
      <c r="D46" s="64">
        <v>39</v>
      </c>
      <c r="E46" s="33" t="s">
        <v>854</v>
      </c>
      <c r="F46" s="64" t="s">
        <v>13</v>
      </c>
      <c r="G46" s="64" t="s">
        <v>855</v>
      </c>
      <c r="H46" s="64" t="s">
        <v>1</v>
      </c>
      <c r="I46" s="64" t="s">
        <v>11</v>
      </c>
      <c r="J46" s="33"/>
      <c r="K46" s="65">
        <v>37379</v>
      </c>
      <c r="L46" s="66">
        <f t="shared" si="1"/>
        <v>2002</v>
      </c>
      <c r="M46" s="66">
        <f t="shared" si="0"/>
        <v>17</v>
      </c>
      <c r="N46" s="64" t="s">
        <v>3</v>
      </c>
      <c r="O46" s="64"/>
      <c r="P46" s="33" t="s">
        <v>16</v>
      </c>
      <c r="Q46" s="64"/>
      <c r="R46" s="33" t="s">
        <v>4</v>
      </c>
    </row>
    <row r="47" spans="2:18" s="63" customFormat="1">
      <c r="B47" s="137"/>
      <c r="C47" s="137"/>
      <c r="D47" s="64">
        <v>40</v>
      </c>
      <c r="E47" s="33" t="s">
        <v>856</v>
      </c>
      <c r="F47" s="64" t="s">
        <v>13</v>
      </c>
      <c r="G47" s="64" t="s">
        <v>855</v>
      </c>
      <c r="H47" s="64" t="s">
        <v>1</v>
      </c>
      <c r="I47" s="64" t="s">
        <v>11</v>
      </c>
      <c r="J47" s="33"/>
      <c r="K47" s="65">
        <v>40298</v>
      </c>
      <c r="L47" s="66">
        <f t="shared" si="1"/>
        <v>2010</v>
      </c>
      <c r="M47" s="66">
        <f t="shared" si="0"/>
        <v>9</v>
      </c>
      <c r="N47" s="64" t="s">
        <v>3</v>
      </c>
      <c r="O47" s="64"/>
      <c r="P47" s="33" t="s">
        <v>4</v>
      </c>
      <c r="Q47" s="64"/>
      <c r="R47" s="33" t="s">
        <v>4</v>
      </c>
    </row>
    <row r="48" spans="2:18" s="63" customFormat="1">
      <c r="B48" s="137">
        <v>17</v>
      </c>
      <c r="C48" s="137" t="s">
        <v>1417</v>
      </c>
      <c r="D48" s="64">
        <v>41</v>
      </c>
      <c r="E48" s="33" t="s">
        <v>857</v>
      </c>
      <c r="F48" s="64" t="s">
        <v>6</v>
      </c>
      <c r="G48" s="64" t="s">
        <v>1418</v>
      </c>
      <c r="H48" s="64" t="s">
        <v>1</v>
      </c>
      <c r="I48" s="64" t="s">
        <v>2</v>
      </c>
      <c r="J48" s="33" t="s">
        <v>1166</v>
      </c>
      <c r="K48" s="65">
        <v>21915</v>
      </c>
      <c r="L48" s="66">
        <v>1959</v>
      </c>
      <c r="M48" s="66">
        <f t="shared" si="0"/>
        <v>60</v>
      </c>
      <c r="N48" s="64" t="s">
        <v>3</v>
      </c>
      <c r="O48" s="64" t="s">
        <v>1169</v>
      </c>
      <c r="P48" s="33" t="s">
        <v>1181</v>
      </c>
      <c r="Q48" s="64"/>
      <c r="R48" s="33" t="s">
        <v>85</v>
      </c>
    </row>
    <row r="49" spans="2:18" s="63" customFormat="1" ht="25.5">
      <c r="B49" s="137"/>
      <c r="C49" s="137"/>
      <c r="D49" s="64">
        <v>42</v>
      </c>
      <c r="E49" s="33" t="s">
        <v>1416</v>
      </c>
      <c r="F49" s="64" t="s">
        <v>9</v>
      </c>
      <c r="G49" s="64" t="s">
        <v>1419</v>
      </c>
      <c r="H49" s="64" t="s">
        <v>8</v>
      </c>
      <c r="I49" s="64" t="s">
        <v>2</v>
      </c>
      <c r="J49" s="33" t="s">
        <v>1166</v>
      </c>
      <c r="K49" s="65">
        <v>22828</v>
      </c>
      <c r="L49" s="66">
        <v>1962</v>
      </c>
      <c r="M49" s="66">
        <f t="shared" si="0"/>
        <v>57</v>
      </c>
      <c r="N49" s="64" t="s">
        <v>3</v>
      </c>
      <c r="O49" s="64" t="s">
        <v>1169</v>
      </c>
      <c r="P49" s="33" t="s">
        <v>1181</v>
      </c>
      <c r="Q49" s="64"/>
      <c r="R49" s="33" t="s">
        <v>1178</v>
      </c>
    </row>
    <row r="50" spans="2:18" s="63" customFormat="1" ht="25.5">
      <c r="B50" s="137">
        <v>18</v>
      </c>
      <c r="C50" s="137" t="s">
        <v>1236</v>
      </c>
      <c r="D50" s="64">
        <v>43</v>
      </c>
      <c r="E50" s="33" t="s">
        <v>866</v>
      </c>
      <c r="F50" s="64" t="s">
        <v>6</v>
      </c>
      <c r="G50" s="64" t="s">
        <v>867</v>
      </c>
      <c r="H50" s="64" t="s">
        <v>1</v>
      </c>
      <c r="I50" s="64" t="s">
        <v>2</v>
      </c>
      <c r="J50" s="33" t="s">
        <v>1172</v>
      </c>
      <c r="K50" s="65">
        <v>23193</v>
      </c>
      <c r="L50" s="66">
        <v>1963</v>
      </c>
      <c r="M50" s="66">
        <f t="shared" si="0"/>
        <v>56</v>
      </c>
      <c r="N50" s="64" t="s">
        <v>3</v>
      </c>
      <c r="O50" s="64" t="s">
        <v>1169</v>
      </c>
      <c r="P50" s="33" t="s">
        <v>1181</v>
      </c>
      <c r="Q50" s="64"/>
      <c r="R50" s="33" t="s">
        <v>1178</v>
      </c>
    </row>
    <row r="51" spans="2:18" s="63" customFormat="1" ht="25.5">
      <c r="B51" s="137"/>
      <c r="C51" s="137"/>
      <c r="D51" s="64">
        <v>44</v>
      </c>
      <c r="E51" s="33" t="s">
        <v>1237</v>
      </c>
      <c r="F51" s="64" t="s">
        <v>9</v>
      </c>
      <c r="G51" s="64" t="s">
        <v>868</v>
      </c>
      <c r="H51" s="64" t="s">
        <v>8</v>
      </c>
      <c r="I51" s="64" t="s">
        <v>2</v>
      </c>
      <c r="J51" s="33" t="s">
        <v>1172</v>
      </c>
      <c r="K51" s="65">
        <v>23375</v>
      </c>
      <c r="L51" s="66">
        <v>1963</v>
      </c>
      <c r="M51" s="66">
        <f t="shared" si="0"/>
        <v>56</v>
      </c>
      <c r="N51" s="64" t="s">
        <v>3</v>
      </c>
      <c r="O51" s="64" t="s">
        <v>1169</v>
      </c>
      <c r="P51" s="33" t="s">
        <v>1181</v>
      </c>
      <c r="Q51" s="64"/>
      <c r="R51" s="33" t="s">
        <v>1178</v>
      </c>
    </row>
    <row r="52" spans="2:18" s="63" customFormat="1" ht="25.5">
      <c r="B52" s="137"/>
      <c r="C52" s="137"/>
      <c r="D52" s="64">
        <v>45</v>
      </c>
      <c r="E52" s="33" t="s">
        <v>1235</v>
      </c>
      <c r="F52" s="64" t="s">
        <v>13</v>
      </c>
      <c r="G52" s="64" t="s">
        <v>1239</v>
      </c>
      <c r="H52" s="64" t="s">
        <v>8</v>
      </c>
      <c r="I52" s="64" t="s">
        <v>11</v>
      </c>
      <c r="J52" s="33" t="s">
        <v>1172</v>
      </c>
      <c r="K52" s="65">
        <v>35561</v>
      </c>
      <c r="L52" s="66">
        <v>1997</v>
      </c>
      <c r="M52" s="66">
        <f t="shared" si="0"/>
        <v>22</v>
      </c>
      <c r="N52" s="64" t="s">
        <v>3</v>
      </c>
      <c r="O52" s="64" t="s">
        <v>1169</v>
      </c>
      <c r="P52" s="33" t="s">
        <v>1177</v>
      </c>
      <c r="Q52" s="64"/>
      <c r="R52" s="33" t="s">
        <v>1192</v>
      </c>
    </row>
    <row r="53" spans="2:18" s="63" customFormat="1" ht="25.5">
      <c r="B53" s="137"/>
      <c r="C53" s="137"/>
      <c r="D53" s="64">
        <v>46</v>
      </c>
      <c r="E53" s="33" t="s">
        <v>869</v>
      </c>
      <c r="F53" s="64" t="s">
        <v>13</v>
      </c>
      <c r="G53" s="64" t="s">
        <v>870</v>
      </c>
      <c r="H53" s="64" t="s">
        <v>1</v>
      </c>
      <c r="I53" s="64" t="s">
        <v>11</v>
      </c>
      <c r="J53" s="33" t="s">
        <v>1172</v>
      </c>
      <c r="K53" s="65">
        <v>37987</v>
      </c>
      <c r="L53" s="66">
        <v>2004</v>
      </c>
      <c r="M53" s="66">
        <f t="shared" si="0"/>
        <v>15</v>
      </c>
      <c r="N53" s="64" t="s">
        <v>3</v>
      </c>
      <c r="O53" s="64" t="s">
        <v>1169</v>
      </c>
      <c r="P53" s="33" t="s">
        <v>1176</v>
      </c>
      <c r="Q53" s="64"/>
      <c r="R53" s="33" t="s">
        <v>1175</v>
      </c>
    </row>
    <row r="54" spans="2:18" s="63" customFormat="1" ht="25.5">
      <c r="B54" s="137"/>
      <c r="C54" s="137"/>
      <c r="D54" s="64">
        <v>47</v>
      </c>
      <c r="E54" s="33" t="s">
        <v>871</v>
      </c>
      <c r="F54" s="64" t="s">
        <v>13</v>
      </c>
      <c r="G54" s="64" t="s">
        <v>872</v>
      </c>
      <c r="H54" s="64" t="s">
        <v>1</v>
      </c>
      <c r="I54" s="64" t="s">
        <v>11</v>
      </c>
      <c r="J54" s="33" t="s">
        <v>1172</v>
      </c>
      <c r="K54" s="65">
        <v>39730</v>
      </c>
      <c r="L54" s="66">
        <v>2008</v>
      </c>
      <c r="M54" s="66">
        <f t="shared" si="0"/>
        <v>11</v>
      </c>
      <c r="N54" s="64" t="s">
        <v>3</v>
      </c>
      <c r="O54" s="64" t="s">
        <v>1169</v>
      </c>
      <c r="P54" s="33" t="s">
        <v>1177</v>
      </c>
      <c r="Q54" s="64"/>
      <c r="R54" s="33" t="s">
        <v>1192</v>
      </c>
    </row>
    <row r="55" spans="2:18" s="63" customFormat="1" ht="25.5">
      <c r="B55" s="137"/>
      <c r="C55" s="137"/>
      <c r="D55" s="64">
        <v>48</v>
      </c>
      <c r="E55" s="33" t="s">
        <v>1238</v>
      </c>
      <c r="F55" s="64" t="s">
        <v>13</v>
      </c>
      <c r="G55" s="64" t="s">
        <v>873</v>
      </c>
      <c r="H55" s="64" t="s">
        <v>8</v>
      </c>
      <c r="I55" s="64" t="s">
        <v>11</v>
      </c>
      <c r="J55" s="33" t="s">
        <v>1172</v>
      </c>
      <c r="K55" s="65">
        <v>40625</v>
      </c>
      <c r="L55" s="66">
        <v>2011</v>
      </c>
      <c r="M55" s="66">
        <f t="shared" si="0"/>
        <v>8</v>
      </c>
      <c r="N55" s="64" t="s">
        <v>3</v>
      </c>
      <c r="O55" s="64" t="s">
        <v>1169</v>
      </c>
      <c r="P55" s="33" t="s">
        <v>1177</v>
      </c>
      <c r="Q55" s="64"/>
      <c r="R55" s="33" t="s">
        <v>1192</v>
      </c>
    </row>
    <row r="56" spans="2:18" s="63" customFormat="1" ht="25.5">
      <c r="B56" s="137">
        <v>19</v>
      </c>
      <c r="C56" s="137" t="s">
        <v>1230</v>
      </c>
      <c r="D56" s="64">
        <v>49</v>
      </c>
      <c r="E56" s="33" t="s">
        <v>1394</v>
      </c>
      <c r="F56" s="64" t="s">
        <v>6</v>
      </c>
      <c r="G56" s="64" t="s">
        <v>874</v>
      </c>
      <c r="H56" s="64" t="s">
        <v>1</v>
      </c>
      <c r="I56" s="64" t="s">
        <v>2</v>
      </c>
      <c r="J56" s="33" t="s">
        <v>1166</v>
      </c>
      <c r="K56" s="65">
        <v>23924</v>
      </c>
      <c r="L56" s="66">
        <v>1965</v>
      </c>
      <c r="M56" s="66">
        <f t="shared" si="0"/>
        <v>54</v>
      </c>
      <c r="N56" s="64" t="s">
        <v>3</v>
      </c>
      <c r="O56" s="64" t="s">
        <v>1169</v>
      </c>
      <c r="P56" s="33" t="s">
        <v>1181</v>
      </c>
      <c r="Q56" s="64"/>
      <c r="R56" s="33" t="s">
        <v>85</v>
      </c>
    </row>
    <row r="57" spans="2:18" s="63" customFormat="1" ht="25.5">
      <c r="B57" s="137"/>
      <c r="C57" s="137"/>
      <c r="D57" s="64">
        <v>50</v>
      </c>
      <c r="E57" s="33" t="s">
        <v>875</v>
      </c>
      <c r="F57" s="64" t="s">
        <v>9</v>
      </c>
      <c r="G57" s="64" t="s">
        <v>1232</v>
      </c>
      <c r="H57" s="64" t="s">
        <v>8</v>
      </c>
      <c r="I57" s="64" t="s">
        <v>2</v>
      </c>
      <c r="J57" s="33" t="s">
        <v>1166</v>
      </c>
      <c r="K57" s="65">
        <v>27029</v>
      </c>
      <c r="L57" s="66">
        <v>1973</v>
      </c>
      <c r="M57" s="66">
        <f t="shared" si="0"/>
        <v>46</v>
      </c>
      <c r="N57" s="64" t="s">
        <v>3</v>
      </c>
      <c r="O57" s="64" t="s">
        <v>1169</v>
      </c>
      <c r="P57" s="33" t="s">
        <v>1181</v>
      </c>
      <c r="Q57" s="64"/>
      <c r="R57" s="33" t="s">
        <v>1168</v>
      </c>
    </row>
    <row r="58" spans="2:18" s="63" customFormat="1" ht="25.5">
      <c r="B58" s="137"/>
      <c r="C58" s="137"/>
      <c r="D58" s="64">
        <v>51</v>
      </c>
      <c r="E58" s="33" t="s">
        <v>876</v>
      </c>
      <c r="F58" s="64" t="s">
        <v>13</v>
      </c>
      <c r="G58" s="64" t="s">
        <v>1392</v>
      </c>
      <c r="H58" s="64" t="s">
        <v>8</v>
      </c>
      <c r="I58" s="64" t="s">
        <v>11</v>
      </c>
      <c r="J58" s="33" t="s">
        <v>1166</v>
      </c>
      <c r="K58" s="65">
        <v>35222</v>
      </c>
      <c r="L58" s="66">
        <v>1996</v>
      </c>
      <c r="M58" s="66">
        <f t="shared" si="0"/>
        <v>23</v>
      </c>
      <c r="N58" s="64" t="s">
        <v>3</v>
      </c>
      <c r="O58" s="64" t="s">
        <v>1169</v>
      </c>
      <c r="P58" s="33" t="s">
        <v>1174</v>
      </c>
      <c r="Q58" s="64"/>
      <c r="R58" s="33" t="s">
        <v>1228</v>
      </c>
    </row>
    <row r="59" spans="2:18" s="63" customFormat="1" ht="38.25">
      <c r="B59" s="137"/>
      <c r="C59" s="137"/>
      <c r="D59" s="64">
        <v>52</v>
      </c>
      <c r="E59" s="33" t="s">
        <v>1231</v>
      </c>
      <c r="F59" s="64" t="s">
        <v>13</v>
      </c>
      <c r="G59" s="64" t="s">
        <v>1393</v>
      </c>
      <c r="H59" s="64" t="s">
        <v>8</v>
      </c>
      <c r="I59" s="64" t="s">
        <v>11</v>
      </c>
      <c r="J59" s="33" t="s">
        <v>1166</v>
      </c>
      <c r="K59" s="65">
        <v>38768</v>
      </c>
      <c r="L59" s="66">
        <v>2006</v>
      </c>
      <c r="M59" s="66">
        <f t="shared" si="0"/>
        <v>13</v>
      </c>
      <c r="N59" s="64" t="s">
        <v>3</v>
      </c>
      <c r="O59" s="64" t="s">
        <v>1169</v>
      </c>
      <c r="P59" s="33" t="s">
        <v>1176</v>
      </c>
      <c r="Q59" s="64"/>
      <c r="R59" s="33" t="s">
        <v>1175</v>
      </c>
    </row>
    <row r="60" spans="2:18" s="63" customFormat="1">
      <c r="B60" s="137">
        <v>20</v>
      </c>
      <c r="C60" s="137" t="s">
        <v>1420</v>
      </c>
      <c r="D60" s="64">
        <v>53</v>
      </c>
      <c r="E60" s="33" t="s">
        <v>834</v>
      </c>
      <c r="F60" s="64" t="s">
        <v>6</v>
      </c>
      <c r="G60" s="64" t="s">
        <v>1126</v>
      </c>
      <c r="H60" s="64" t="s">
        <v>1</v>
      </c>
      <c r="I60" s="64" t="s">
        <v>2</v>
      </c>
      <c r="J60" s="33" t="s">
        <v>1166</v>
      </c>
      <c r="K60" s="65">
        <v>33060</v>
      </c>
      <c r="L60" s="66">
        <v>1990</v>
      </c>
      <c r="M60" s="66">
        <f t="shared" si="0"/>
        <v>29</v>
      </c>
      <c r="N60" s="64" t="s">
        <v>3</v>
      </c>
      <c r="O60" s="64" t="s">
        <v>1169</v>
      </c>
      <c r="P60" s="33" t="s">
        <v>1199</v>
      </c>
      <c r="Q60" s="64"/>
      <c r="R60" s="33" t="s">
        <v>85</v>
      </c>
    </row>
    <row r="61" spans="2:18" s="63" customFormat="1">
      <c r="B61" s="137"/>
      <c r="C61" s="137"/>
      <c r="D61" s="64">
        <v>54</v>
      </c>
      <c r="E61" s="33" t="s">
        <v>1421</v>
      </c>
      <c r="F61" s="64" t="s">
        <v>9</v>
      </c>
      <c r="G61" s="64" t="s">
        <v>1127</v>
      </c>
      <c r="H61" s="64" t="s">
        <v>8</v>
      </c>
      <c r="I61" s="64" t="s">
        <v>2</v>
      </c>
      <c r="J61" s="33" t="s">
        <v>1166</v>
      </c>
      <c r="K61" s="65">
        <v>32951</v>
      </c>
      <c r="L61" s="66">
        <v>1990</v>
      </c>
      <c r="M61" s="66">
        <f t="shared" si="0"/>
        <v>29</v>
      </c>
      <c r="N61" s="64" t="s">
        <v>3</v>
      </c>
      <c r="O61" s="64" t="s">
        <v>1169</v>
      </c>
      <c r="P61" s="33" t="s">
        <v>1174</v>
      </c>
      <c r="Q61" s="64"/>
      <c r="R61" s="33" t="s">
        <v>85</v>
      </c>
    </row>
    <row r="62" spans="2:18" s="63" customFormat="1" ht="25.5">
      <c r="B62" s="137"/>
      <c r="C62" s="137"/>
      <c r="D62" s="64">
        <v>55</v>
      </c>
      <c r="E62" s="33" t="s">
        <v>1422</v>
      </c>
      <c r="F62" s="64" t="s">
        <v>13</v>
      </c>
      <c r="G62" s="64" t="s">
        <v>1423</v>
      </c>
      <c r="H62" s="64" t="s">
        <v>1</v>
      </c>
      <c r="I62" s="64" t="s">
        <v>11</v>
      </c>
      <c r="J62" s="33" t="s">
        <v>1166</v>
      </c>
      <c r="K62" s="65">
        <v>42022</v>
      </c>
      <c r="L62" s="66">
        <v>2015</v>
      </c>
      <c r="M62" s="66">
        <f t="shared" si="0"/>
        <v>4</v>
      </c>
      <c r="N62" s="64" t="s">
        <v>3</v>
      </c>
      <c r="O62" s="64" t="s">
        <v>1169</v>
      </c>
      <c r="P62" s="33" t="s">
        <v>1177</v>
      </c>
      <c r="Q62" s="64"/>
      <c r="R62" s="33" t="s">
        <v>1192</v>
      </c>
    </row>
    <row r="63" spans="2:18" s="63" customFormat="1" ht="25.5">
      <c r="B63" s="137">
        <v>21</v>
      </c>
      <c r="C63" s="137" t="s">
        <v>1302</v>
      </c>
      <c r="D63" s="64">
        <v>56</v>
      </c>
      <c r="E63" s="33" t="s">
        <v>285</v>
      </c>
      <c r="F63" s="64" t="s">
        <v>6</v>
      </c>
      <c r="G63" s="64" t="s">
        <v>1056</v>
      </c>
      <c r="H63" s="64" t="s">
        <v>1</v>
      </c>
      <c r="I63" s="64" t="s">
        <v>2</v>
      </c>
      <c r="J63" s="33" t="s">
        <v>1166</v>
      </c>
      <c r="K63" s="65">
        <v>19855</v>
      </c>
      <c r="L63" s="66">
        <v>1954</v>
      </c>
      <c r="M63" s="66">
        <f t="shared" si="0"/>
        <v>65</v>
      </c>
      <c r="N63" s="64" t="s">
        <v>3</v>
      </c>
      <c r="O63" s="64" t="s">
        <v>1169</v>
      </c>
      <c r="P63" s="33" t="s">
        <v>1181</v>
      </c>
      <c r="Q63" s="64"/>
      <c r="R63" s="33" t="s">
        <v>1178</v>
      </c>
    </row>
    <row r="64" spans="2:18" s="63" customFormat="1" ht="25.5">
      <c r="B64" s="137"/>
      <c r="C64" s="137"/>
      <c r="D64" s="64">
        <v>57</v>
      </c>
      <c r="E64" s="33" t="s">
        <v>1057</v>
      </c>
      <c r="F64" s="64" t="s">
        <v>9</v>
      </c>
      <c r="G64" s="64" t="s">
        <v>1058</v>
      </c>
      <c r="H64" s="64" t="s">
        <v>8</v>
      </c>
      <c r="I64" s="64" t="s">
        <v>2</v>
      </c>
      <c r="J64" s="33" t="s">
        <v>1304</v>
      </c>
      <c r="K64" s="65">
        <v>31047</v>
      </c>
      <c r="L64" s="66">
        <v>1984</v>
      </c>
      <c r="M64" s="66">
        <f t="shared" si="0"/>
        <v>35</v>
      </c>
      <c r="N64" s="64" t="s">
        <v>3</v>
      </c>
      <c r="O64" s="64" t="s">
        <v>1169</v>
      </c>
      <c r="P64" s="33" t="s">
        <v>1181</v>
      </c>
      <c r="Q64" s="64"/>
      <c r="R64" s="33" t="s">
        <v>1178</v>
      </c>
    </row>
    <row r="65" spans="2:18" s="63" customFormat="1" ht="25.5">
      <c r="B65" s="137"/>
      <c r="C65" s="137"/>
      <c r="D65" s="64">
        <v>58</v>
      </c>
      <c r="E65" s="33" t="s">
        <v>1303</v>
      </c>
      <c r="F65" s="64" t="s">
        <v>13</v>
      </c>
      <c r="G65" s="64" t="s">
        <v>1059</v>
      </c>
      <c r="H65" s="64" t="s">
        <v>1</v>
      </c>
      <c r="I65" s="64" t="s">
        <v>11</v>
      </c>
      <c r="J65" s="33" t="s">
        <v>1206</v>
      </c>
      <c r="K65" s="65">
        <v>39947</v>
      </c>
      <c r="L65" s="66">
        <v>2009</v>
      </c>
      <c r="M65" s="66">
        <f t="shared" si="0"/>
        <v>10</v>
      </c>
      <c r="N65" s="64" t="s">
        <v>3</v>
      </c>
      <c r="O65" s="64" t="s">
        <v>1169</v>
      </c>
      <c r="P65" s="33" t="s">
        <v>1177</v>
      </c>
      <c r="Q65" s="64"/>
      <c r="R65" s="33" t="s">
        <v>1192</v>
      </c>
    </row>
    <row r="66" spans="2:18" s="63" customFormat="1">
      <c r="B66" s="137">
        <v>22</v>
      </c>
      <c r="C66" s="137"/>
      <c r="D66" s="64">
        <v>59</v>
      </c>
      <c r="E66" s="33" t="s">
        <v>858</v>
      </c>
      <c r="F66" s="64" t="s">
        <v>6</v>
      </c>
      <c r="G66" s="64" t="s">
        <v>859</v>
      </c>
      <c r="H66" s="64" t="s">
        <v>8</v>
      </c>
      <c r="I66" s="64" t="s">
        <v>18</v>
      </c>
      <c r="J66" s="33"/>
      <c r="K66" s="65">
        <v>31331</v>
      </c>
      <c r="L66" s="66">
        <f t="shared" ref="L66:L70" si="2">YEAR(K66)</f>
        <v>1985</v>
      </c>
      <c r="M66" s="66">
        <f t="shared" si="0"/>
        <v>34</v>
      </c>
      <c r="N66" s="64" t="s">
        <v>3</v>
      </c>
      <c r="O66" s="64"/>
      <c r="P66" s="33" t="s">
        <v>4</v>
      </c>
      <c r="Q66" s="64"/>
      <c r="R66" s="33" t="s">
        <v>5</v>
      </c>
    </row>
    <row r="67" spans="2:18" s="63" customFormat="1">
      <c r="B67" s="137"/>
      <c r="C67" s="137"/>
      <c r="D67" s="64">
        <v>60</v>
      </c>
      <c r="E67" s="33" t="s">
        <v>860</v>
      </c>
      <c r="F67" s="64" t="s">
        <v>13</v>
      </c>
      <c r="G67" s="64" t="s">
        <v>861</v>
      </c>
      <c r="H67" s="64" t="s">
        <v>8</v>
      </c>
      <c r="I67" s="64" t="s">
        <v>11</v>
      </c>
      <c r="J67" s="33"/>
      <c r="K67" s="65">
        <v>39448</v>
      </c>
      <c r="L67" s="66">
        <f t="shared" si="2"/>
        <v>2008</v>
      </c>
      <c r="M67" s="66">
        <f t="shared" si="0"/>
        <v>11</v>
      </c>
      <c r="N67" s="64" t="s">
        <v>3</v>
      </c>
      <c r="O67" s="64"/>
      <c r="P67" s="33" t="s">
        <v>4</v>
      </c>
      <c r="Q67" s="64"/>
      <c r="R67" s="33" t="s">
        <v>5</v>
      </c>
    </row>
    <row r="68" spans="2:18" s="63" customFormat="1">
      <c r="B68" s="137">
        <v>23</v>
      </c>
      <c r="C68" s="137"/>
      <c r="D68" s="64">
        <v>61</v>
      </c>
      <c r="E68" s="33" t="s">
        <v>862</v>
      </c>
      <c r="F68" s="64" t="s">
        <v>6</v>
      </c>
      <c r="G68" s="64" t="s">
        <v>863</v>
      </c>
      <c r="H68" s="64" t="s">
        <v>8</v>
      </c>
      <c r="I68" s="64" t="s">
        <v>18</v>
      </c>
      <c r="J68" s="33"/>
      <c r="K68" s="65">
        <v>16802</v>
      </c>
      <c r="L68" s="66">
        <f t="shared" si="2"/>
        <v>1945</v>
      </c>
      <c r="M68" s="66">
        <f t="shared" si="0"/>
        <v>74</v>
      </c>
      <c r="N68" s="64" t="s">
        <v>3</v>
      </c>
      <c r="O68" s="64"/>
      <c r="P68" s="33" t="s">
        <v>4</v>
      </c>
      <c r="Q68" s="64"/>
      <c r="R68" s="33" t="s">
        <v>5</v>
      </c>
    </row>
    <row r="69" spans="2:18" s="63" customFormat="1">
      <c r="B69" s="137"/>
      <c r="C69" s="137"/>
      <c r="D69" s="64">
        <v>62</v>
      </c>
      <c r="E69" s="33" t="s">
        <v>864</v>
      </c>
      <c r="F69" s="64" t="s">
        <v>13</v>
      </c>
      <c r="G69" s="64" t="s">
        <v>865</v>
      </c>
      <c r="H69" s="64" t="s">
        <v>8</v>
      </c>
      <c r="I69" s="64" t="s">
        <v>18</v>
      </c>
      <c r="J69" s="33"/>
      <c r="K69" s="65">
        <v>24107</v>
      </c>
      <c r="L69" s="66">
        <f t="shared" si="2"/>
        <v>1965</v>
      </c>
      <c r="M69" s="66">
        <f t="shared" si="0"/>
        <v>54</v>
      </c>
      <c r="N69" s="64" t="s">
        <v>3</v>
      </c>
      <c r="O69" s="64"/>
      <c r="P69" s="33" t="s">
        <v>4</v>
      </c>
      <c r="Q69" s="64"/>
      <c r="R69" s="33" t="s">
        <v>5</v>
      </c>
    </row>
    <row r="70" spans="2:18" s="63" customFormat="1">
      <c r="B70" s="64">
        <v>24</v>
      </c>
      <c r="C70" s="64"/>
      <c r="D70" s="64">
        <v>63</v>
      </c>
      <c r="E70" s="33" t="s">
        <v>791</v>
      </c>
      <c r="F70" s="64" t="s">
        <v>6</v>
      </c>
      <c r="G70" s="64" t="s">
        <v>877</v>
      </c>
      <c r="H70" s="64" t="s">
        <v>8</v>
      </c>
      <c r="I70" s="64" t="s">
        <v>18</v>
      </c>
      <c r="J70" s="33"/>
      <c r="K70" s="65">
        <v>15523</v>
      </c>
      <c r="L70" s="66">
        <f t="shared" si="2"/>
        <v>1942</v>
      </c>
      <c r="M70" s="66">
        <f t="shared" si="0"/>
        <v>77</v>
      </c>
      <c r="N70" s="64" t="s">
        <v>3</v>
      </c>
      <c r="O70" s="64"/>
      <c r="P70" s="33"/>
      <c r="Q70" s="64"/>
      <c r="R70" s="33" t="s">
        <v>5</v>
      </c>
    </row>
    <row r="71" spans="2:18" s="63" customFormat="1">
      <c r="B71" s="137">
        <v>25</v>
      </c>
      <c r="C71" s="137" t="s">
        <v>1534</v>
      </c>
      <c r="D71" s="64">
        <v>64</v>
      </c>
      <c r="E71" s="33" t="s">
        <v>325</v>
      </c>
      <c r="F71" s="64" t="s">
        <v>6</v>
      </c>
      <c r="G71" s="64" t="s">
        <v>882</v>
      </c>
      <c r="H71" s="64" t="s">
        <v>1</v>
      </c>
      <c r="I71" s="64" t="s">
        <v>2</v>
      </c>
      <c r="J71" s="33" t="s">
        <v>1166</v>
      </c>
      <c r="K71" s="65">
        <v>29951</v>
      </c>
      <c r="L71" s="66">
        <v>1981</v>
      </c>
      <c r="M71" s="66">
        <f t="shared" si="0"/>
        <v>38</v>
      </c>
      <c r="N71" s="64" t="s">
        <v>3</v>
      </c>
      <c r="O71" s="64" t="s">
        <v>1169</v>
      </c>
      <c r="P71" s="33" t="s">
        <v>1174</v>
      </c>
      <c r="Q71" s="64"/>
      <c r="R71" s="33" t="s">
        <v>85</v>
      </c>
    </row>
    <row r="72" spans="2:18" s="63" customFormat="1" ht="25.5">
      <c r="B72" s="137"/>
      <c r="C72" s="137"/>
      <c r="D72" s="64">
        <v>65</v>
      </c>
      <c r="E72" s="33" t="s">
        <v>883</v>
      </c>
      <c r="F72" s="64" t="s">
        <v>9</v>
      </c>
      <c r="G72" s="64" t="s">
        <v>884</v>
      </c>
      <c r="H72" s="64" t="s">
        <v>8</v>
      </c>
      <c r="I72" s="64" t="s">
        <v>2</v>
      </c>
      <c r="J72" s="33" t="s">
        <v>1536</v>
      </c>
      <c r="K72" s="65">
        <v>32508</v>
      </c>
      <c r="L72" s="66">
        <v>1988</v>
      </c>
      <c r="M72" s="66">
        <f t="shared" ref="M72:M135" si="3">2019-L72</f>
        <v>31</v>
      </c>
      <c r="N72" s="64" t="s">
        <v>3</v>
      </c>
      <c r="O72" s="64" t="s">
        <v>1169</v>
      </c>
      <c r="P72" s="33" t="s">
        <v>1181</v>
      </c>
      <c r="Q72" s="64"/>
      <c r="R72" s="33" t="s">
        <v>1168</v>
      </c>
    </row>
    <row r="73" spans="2:18" s="63" customFormat="1" ht="25.5">
      <c r="B73" s="137"/>
      <c r="C73" s="137"/>
      <c r="D73" s="64">
        <v>66</v>
      </c>
      <c r="E73" s="33" t="s">
        <v>885</v>
      </c>
      <c r="F73" s="64" t="s">
        <v>13</v>
      </c>
      <c r="G73" s="64" t="s">
        <v>1535</v>
      </c>
      <c r="H73" s="64" t="s">
        <v>8</v>
      </c>
      <c r="I73" s="64" t="s">
        <v>11</v>
      </c>
      <c r="J73" s="33" t="s">
        <v>1249</v>
      </c>
      <c r="K73" s="65">
        <v>41452</v>
      </c>
      <c r="L73" s="66">
        <v>2013</v>
      </c>
      <c r="M73" s="66">
        <f t="shared" si="3"/>
        <v>6</v>
      </c>
      <c r="N73" s="64" t="s">
        <v>3</v>
      </c>
      <c r="O73" s="64" t="s">
        <v>1169</v>
      </c>
      <c r="P73" s="33" t="s">
        <v>1177</v>
      </c>
      <c r="Q73" s="64"/>
      <c r="R73" s="33" t="s">
        <v>1192</v>
      </c>
    </row>
    <row r="74" spans="2:18" s="63" customFormat="1" ht="25.5">
      <c r="B74" s="64">
        <v>26</v>
      </c>
      <c r="C74" s="64" t="s">
        <v>1479</v>
      </c>
      <c r="D74" s="64">
        <v>67</v>
      </c>
      <c r="E74" s="33" t="s">
        <v>271</v>
      </c>
      <c r="F74" s="64" t="s">
        <v>6</v>
      </c>
      <c r="G74" s="64" t="s">
        <v>886</v>
      </c>
      <c r="H74" s="64" t="s">
        <v>8</v>
      </c>
      <c r="I74" s="64" t="s">
        <v>1221</v>
      </c>
      <c r="J74" s="33" t="s">
        <v>1172</v>
      </c>
      <c r="K74" s="65">
        <v>21002</v>
      </c>
      <c r="L74" s="66">
        <v>1957</v>
      </c>
      <c r="M74" s="66">
        <f t="shared" si="3"/>
        <v>62</v>
      </c>
      <c r="N74" s="64" t="s">
        <v>3</v>
      </c>
      <c r="O74" s="64"/>
      <c r="P74" s="33" t="s">
        <v>1177</v>
      </c>
      <c r="Q74" s="64"/>
      <c r="R74" s="33" t="s">
        <v>1168</v>
      </c>
    </row>
    <row r="75" spans="2:18" s="63" customFormat="1" ht="25.5">
      <c r="B75" s="137">
        <v>27</v>
      </c>
      <c r="C75" s="137" t="s">
        <v>1569</v>
      </c>
      <c r="D75" s="64">
        <v>68</v>
      </c>
      <c r="E75" s="33" t="s">
        <v>898</v>
      </c>
      <c r="F75" s="64" t="s">
        <v>6</v>
      </c>
      <c r="G75" s="64" t="s">
        <v>899</v>
      </c>
      <c r="H75" s="64" t="s">
        <v>8</v>
      </c>
      <c r="I75" s="64" t="s">
        <v>1221</v>
      </c>
      <c r="J75" s="33" t="s">
        <v>1166</v>
      </c>
      <c r="K75" s="65">
        <v>21002</v>
      </c>
      <c r="L75" s="66">
        <v>1957</v>
      </c>
      <c r="M75" s="66">
        <f t="shared" si="3"/>
        <v>62</v>
      </c>
      <c r="N75" s="64" t="s">
        <v>3</v>
      </c>
      <c r="O75" s="64" t="s">
        <v>1169</v>
      </c>
      <c r="P75" s="33" t="s">
        <v>1177</v>
      </c>
      <c r="Q75" s="64"/>
      <c r="R75" s="33" t="s">
        <v>1168</v>
      </c>
    </row>
    <row r="76" spans="2:18" s="63" customFormat="1">
      <c r="B76" s="137"/>
      <c r="C76" s="137"/>
      <c r="D76" s="64">
        <v>69</v>
      </c>
      <c r="E76" s="33" t="s">
        <v>900</v>
      </c>
      <c r="F76" s="64" t="s">
        <v>13</v>
      </c>
      <c r="G76" s="64" t="s">
        <v>901</v>
      </c>
      <c r="H76" s="64" t="s">
        <v>1</v>
      </c>
      <c r="I76" s="64" t="s">
        <v>11</v>
      </c>
      <c r="J76" s="33" t="s">
        <v>1166</v>
      </c>
      <c r="K76" s="65">
        <v>32508</v>
      </c>
      <c r="L76" s="66">
        <v>1988</v>
      </c>
      <c r="M76" s="66">
        <f t="shared" si="3"/>
        <v>31</v>
      </c>
      <c r="N76" s="64" t="s">
        <v>3</v>
      </c>
      <c r="O76" s="64" t="s">
        <v>1169</v>
      </c>
      <c r="P76" s="33" t="s">
        <v>1229</v>
      </c>
      <c r="Q76" s="64"/>
      <c r="R76" s="33" t="s">
        <v>1167</v>
      </c>
    </row>
    <row r="77" spans="2:18" s="63" customFormat="1" ht="25.5">
      <c r="B77" s="137"/>
      <c r="C77" s="137"/>
      <c r="D77" s="64">
        <v>70</v>
      </c>
      <c r="E77" s="33" t="s">
        <v>902</v>
      </c>
      <c r="F77" s="64" t="s">
        <v>13</v>
      </c>
      <c r="G77" s="64" t="s">
        <v>903</v>
      </c>
      <c r="H77" s="64" t="s">
        <v>1</v>
      </c>
      <c r="I77" s="64" t="s">
        <v>11</v>
      </c>
      <c r="J77" s="33" t="s">
        <v>1206</v>
      </c>
      <c r="K77" s="65">
        <v>33786</v>
      </c>
      <c r="L77" s="66">
        <v>1992</v>
      </c>
      <c r="M77" s="66">
        <f t="shared" si="3"/>
        <v>27</v>
      </c>
      <c r="N77" s="64" t="s">
        <v>3</v>
      </c>
      <c r="O77" s="64" t="s">
        <v>1169</v>
      </c>
      <c r="P77" s="33" t="s">
        <v>1181</v>
      </c>
      <c r="Q77" s="64"/>
      <c r="R77" s="33" t="s">
        <v>1192</v>
      </c>
    </row>
    <row r="78" spans="2:18" s="63" customFormat="1">
      <c r="B78" s="137">
        <v>28</v>
      </c>
      <c r="C78" s="137"/>
      <c r="D78" s="64">
        <v>71</v>
      </c>
      <c r="E78" s="33" t="s">
        <v>529</v>
      </c>
      <c r="F78" s="64" t="s">
        <v>6</v>
      </c>
      <c r="G78" s="64" t="s">
        <v>887</v>
      </c>
      <c r="H78" s="64" t="s">
        <v>8</v>
      </c>
      <c r="I78" s="64" t="s">
        <v>18</v>
      </c>
      <c r="J78" s="33"/>
      <c r="K78" s="65">
        <v>30133</v>
      </c>
      <c r="L78" s="66">
        <f t="shared" ref="L78:L109" si="4">YEAR(K78)</f>
        <v>1982</v>
      </c>
      <c r="M78" s="66">
        <f t="shared" si="3"/>
        <v>37</v>
      </c>
      <c r="N78" s="64" t="s">
        <v>3</v>
      </c>
      <c r="O78" s="64"/>
      <c r="P78" s="33" t="s">
        <v>4</v>
      </c>
      <c r="Q78" s="64"/>
      <c r="R78" s="33" t="s">
        <v>5</v>
      </c>
    </row>
    <row r="79" spans="2:18" s="63" customFormat="1">
      <c r="B79" s="137"/>
      <c r="C79" s="137"/>
      <c r="D79" s="64">
        <v>72</v>
      </c>
      <c r="E79" s="33" t="s">
        <v>888</v>
      </c>
      <c r="F79" s="64" t="s">
        <v>13</v>
      </c>
      <c r="G79" s="64" t="s">
        <v>889</v>
      </c>
      <c r="H79" s="64" t="s">
        <v>8</v>
      </c>
      <c r="I79" s="64" t="s">
        <v>11</v>
      </c>
      <c r="J79" s="33"/>
      <c r="K79" s="65">
        <v>36926</v>
      </c>
      <c r="L79" s="66">
        <f t="shared" si="4"/>
        <v>2001</v>
      </c>
      <c r="M79" s="66">
        <f t="shared" si="3"/>
        <v>18</v>
      </c>
      <c r="N79" s="64" t="s">
        <v>3</v>
      </c>
      <c r="O79" s="64"/>
      <c r="P79" s="33" t="s">
        <v>28</v>
      </c>
      <c r="Q79" s="64"/>
      <c r="R79" s="33" t="s">
        <v>4</v>
      </c>
    </row>
    <row r="80" spans="2:18" s="63" customFormat="1">
      <c r="B80" s="137">
        <v>29</v>
      </c>
      <c r="C80" s="137"/>
      <c r="D80" s="64">
        <v>73</v>
      </c>
      <c r="E80" s="33" t="s">
        <v>640</v>
      </c>
      <c r="F80" s="64" t="s">
        <v>6</v>
      </c>
      <c r="G80" s="64" t="s">
        <v>890</v>
      </c>
      <c r="H80" s="64" t="s">
        <v>1</v>
      </c>
      <c r="I80" s="64" t="s">
        <v>2</v>
      </c>
      <c r="J80" s="33"/>
      <c r="K80" s="65">
        <v>25203</v>
      </c>
      <c r="L80" s="66">
        <f t="shared" si="4"/>
        <v>1968</v>
      </c>
      <c r="M80" s="66">
        <f t="shared" si="3"/>
        <v>51</v>
      </c>
      <c r="N80" s="64" t="s">
        <v>3</v>
      </c>
      <c r="O80" s="64"/>
      <c r="P80" s="33" t="s">
        <v>16</v>
      </c>
      <c r="Q80" s="64"/>
      <c r="R80" s="33" t="s">
        <v>80</v>
      </c>
    </row>
    <row r="81" spans="2:18" s="63" customFormat="1">
      <c r="B81" s="137"/>
      <c r="C81" s="137"/>
      <c r="D81" s="64">
        <v>74</v>
      </c>
      <c r="E81" s="33" t="s">
        <v>891</v>
      </c>
      <c r="F81" s="64" t="s">
        <v>9</v>
      </c>
      <c r="G81" s="64" t="s">
        <v>892</v>
      </c>
      <c r="H81" s="64" t="s">
        <v>8</v>
      </c>
      <c r="I81" s="64" t="s">
        <v>2</v>
      </c>
      <c r="J81" s="33"/>
      <c r="K81" s="65">
        <v>27029</v>
      </c>
      <c r="L81" s="66">
        <f t="shared" si="4"/>
        <v>1973</v>
      </c>
      <c r="M81" s="66">
        <f t="shared" si="3"/>
        <v>46</v>
      </c>
      <c r="N81" s="64" t="s">
        <v>3</v>
      </c>
      <c r="O81" s="64"/>
      <c r="P81" s="33" t="s">
        <v>16</v>
      </c>
      <c r="Q81" s="64"/>
      <c r="R81" s="33" t="s">
        <v>119</v>
      </c>
    </row>
    <row r="82" spans="2:18" s="63" customFormat="1">
      <c r="B82" s="137"/>
      <c r="C82" s="137"/>
      <c r="D82" s="64">
        <v>75</v>
      </c>
      <c r="E82" s="33" t="s">
        <v>893</v>
      </c>
      <c r="F82" s="64" t="s">
        <v>13</v>
      </c>
      <c r="G82" s="64" t="s">
        <v>895</v>
      </c>
      <c r="H82" s="64" t="s">
        <v>1</v>
      </c>
      <c r="I82" s="64" t="s">
        <v>894</v>
      </c>
      <c r="J82" s="33"/>
      <c r="K82" s="65">
        <v>36488</v>
      </c>
      <c r="L82" s="66">
        <f t="shared" si="4"/>
        <v>1999</v>
      </c>
      <c r="M82" s="66">
        <f t="shared" si="3"/>
        <v>20</v>
      </c>
      <c r="N82" s="64" t="s">
        <v>3</v>
      </c>
      <c r="O82" s="64"/>
      <c r="P82" s="33" t="s">
        <v>28</v>
      </c>
      <c r="Q82" s="64"/>
      <c r="R82" s="33" t="s">
        <v>4</v>
      </c>
    </row>
    <row r="83" spans="2:18" s="63" customFormat="1">
      <c r="B83" s="137"/>
      <c r="C83" s="137"/>
      <c r="D83" s="64">
        <v>76</v>
      </c>
      <c r="E83" s="33" t="s">
        <v>896</v>
      </c>
      <c r="F83" s="64" t="s">
        <v>13</v>
      </c>
      <c r="G83" s="64" t="s">
        <v>897</v>
      </c>
      <c r="H83" s="64" t="s">
        <v>1</v>
      </c>
      <c r="I83" s="64" t="s">
        <v>11</v>
      </c>
      <c r="J83" s="33"/>
      <c r="K83" s="65">
        <v>39897</v>
      </c>
      <c r="L83" s="66">
        <f t="shared" si="4"/>
        <v>2009</v>
      </c>
      <c r="M83" s="66">
        <f t="shared" si="3"/>
        <v>10</v>
      </c>
      <c r="N83" s="64" t="s">
        <v>3</v>
      </c>
      <c r="O83" s="64"/>
      <c r="P83" s="33" t="s">
        <v>4</v>
      </c>
      <c r="Q83" s="64"/>
      <c r="R83" s="33" t="s">
        <v>4</v>
      </c>
    </row>
    <row r="84" spans="2:18" s="63" customFormat="1">
      <c r="B84" s="137">
        <v>30</v>
      </c>
      <c r="C84" s="137"/>
      <c r="D84" s="64">
        <v>77</v>
      </c>
      <c r="E84" s="33" t="s">
        <v>904</v>
      </c>
      <c r="F84" s="64" t="s">
        <v>6</v>
      </c>
      <c r="G84" s="64" t="s">
        <v>905</v>
      </c>
      <c r="H84" s="64" t="s">
        <v>1</v>
      </c>
      <c r="I84" s="64" t="s">
        <v>2</v>
      </c>
      <c r="J84" s="33"/>
      <c r="K84" s="65">
        <v>32215</v>
      </c>
      <c r="L84" s="66">
        <f t="shared" si="4"/>
        <v>1988</v>
      </c>
      <c r="M84" s="66">
        <f t="shared" si="3"/>
        <v>31</v>
      </c>
      <c r="N84" s="64" t="s">
        <v>3</v>
      </c>
      <c r="O84" s="64"/>
      <c r="P84" s="33" t="s">
        <v>16</v>
      </c>
      <c r="Q84" s="64"/>
      <c r="R84" s="33" t="s">
        <v>85</v>
      </c>
    </row>
    <row r="85" spans="2:18" s="63" customFormat="1">
      <c r="B85" s="137"/>
      <c r="C85" s="137"/>
      <c r="D85" s="64">
        <v>78</v>
      </c>
      <c r="E85" s="33" t="s">
        <v>906</v>
      </c>
      <c r="F85" s="64" t="s">
        <v>9</v>
      </c>
      <c r="G85" s="64" t="s">
        <v>907</v>
      </c>
      <c r="H85" s="64" t="s">
        <v>8</v>
      </c>
      <c r="I85" s="64" t="s">
        <v>2</v>
      </c>
      <c r="J85" s="33"/>
      <c r="K85" s="65">
        <v>33375</v>
      </c>
      <c r="L85" s="66">
        <f t="shared" si="4"/>
        <v>1991</v>
      </c>
      <c r="M85" s="66">
        <f t="shared" si="3"/>
        <v>28</v>
      </c>
      <c r="N85" s="64" t="s">
        <v>3</v>
      </c>
      <c r="O85" s="64"/>
      <c r="P85" s="33" t="s">
        <v>16</v>
      </c>
      <c r="Q85" s="64"/>
      <c r="R85" s="33" t="s">
        <v>85</v>
      </c>
    </row>
    <row r="86" spans="2:18" s="63" customFormat="1">
      <c r="B86" s="137"/>
      <c r="C86" s="137"/>
      <c r="D86" s="64">
        <v>79</v>
      </c>
      <c r="E86" s="33" t="s">
        <v>908</v>
      </c>
      <c r="F86" s="64" t="s">
        <v>13</v>
      </c>
      <c r="G86" s="64" t="s">
        <v>909</v>
      </c>
      <c r="H86" s="64" t="s">
        <v>1</v>
      </c>
      <c r="I86" s="64" t="s">
        <v>11</v>
      </c>
      <c r="J86" s="33"/>
      <c r="K86" s="65">
        <v>40311</v>
      </c>
      <c r="L86" s="66">
        <f t="shared" si="4"/>
        <v>2010</v>
      </c>
      <c r="M86" s="66">
        <f t="shared" si="3"/>
        <v>9</v>
      </c>
      <c r="N86" s="64" t="s">
        <v>3</v>
      </c>
      <c r="O86" s="64"/>
      <c r="P86" s="33" t="s">
        <v>4</v>
      </c>
      <c r="Q86" s="64"/>
      <c r="R86" s="33" t="s">
        <v>4</v>
      </c>
    </row>
    <row r="87" spans="2:18" s="63" customFormat="1">
      <c r="B87" s="137">
        <v>31</v>
      </c>
      <c r="C87" s="137"/>
      <c r="D87" s="64">
        <v>80</v>
      </c>
      <c r="E87" s="33" t="s">
        <v>910</v>
      </c>
      <c r="F87" s="64" t="s">
        <v>6</v>
      </c>
      <c r="G87" s="64" t="s">
        <v>911</v>
      </c>
      <c r="H87" s="64" t="s">
        <v>1</v>
      </c>
      <c r="I87" s="64" t="s">
        <v>2</v>
      </c>
      <c r="J87" s="33"/>
      <c r="K87" s="65">
        <v>19028</v>
      </c>
      <c r="L87" s="66">
        <f t="shared" si="4"/>
        <v>1952</v>
      </c>
      <c r="M87" s="66">
        <f t="shared" si="3"/>
        <v>67</v>
      </c>
      <c r="N87" s="64" t="s">
        <v>3</v>
      </c>
      <c r="O87" s="64"/>
      <c r="P87" s="33" t="s">
        <v>16</v>
      </c>
      <c r="Q87" s="64"/>
      <c r="R87" s="33" t="s">
        <v>5</v>
      </c>
    </row>
    <row r="88" spans="2:18" s="63" customFormat="1">
      <c r="B88" s="137"/>
      <c r="C88" s="137"/>
      <c r="D88" s="64">
        <v>81</v>
      </c>
      <c r="E88" s="33" t="s">
        <v>912</v>
      </c>
      <c r="F88" s="64" t="s">
        <v>9</v>
      </c>
      <c r="G88" s="64" t="s">
        <v>913</v>
      </c>
      <c r="H88" s="64" t="s">
        <v>8</v>
      </c>
      <c r="I88" s="64" t="s">
        <v>2</v>
      </c>
      <c r="J88" s="33"/>
      <c r="K88" s="65">
        <v>32270</v>
      </c>
      <c r="L88" s="66">
        <f t="shared" si="4"/>
        <v>1988</v>
      </c>
      <c r="M88" s="66">
        <f t="shared" si="3"/>
        <v>31</v>
      </c>
      <c r="N88" s="64" t="s">
        <v>3</v>
      </c>
      <c r="O88" s="64"/>
      <c r="P88" s="33" t="s">
        <v>28</v>
      </c>
      <c r="Q88" s="64"/>
      <c r="R88" s="33" t="s">
        <v>5</v>
      </c>
    </row>
    <row r="89" spans="2:18" s="63" customFormat="1" ht="25.5">
      <c r="B89" s="137"/>
      <c r="C89" s="137"/>
      <c r="D89" s="64">
        <v>82</v>
      </c>
      <c r="E89" s="33" t="s">
        <v>914</v>
      </c>
      <c r="F89" s="64" t="s">
        <v>13</v>
      </c>
      <c r="G89" s="64" t="s">
        <v>915</v>
      </c>
      <c r="H89" s="64" t="s">
        <v>8</v>
      </c>
      <c r="I89" s="64" t="s">
        <v>11</v>
      </c>
      <c r="J89" s="33"/>
      <c r="K89" s="65">
        <v>39399</v>
      </c>
      <c r="L89" s="66">
        <f t="shared" si="4"/>
        <v>2007</v>
      </c>
      <c r="M89" s="66">
        <f t="shared" si="3"/>
        <v>12</v>
      </c>
      <c r="N89" s="64" t="s">
        <v>3</v>
      </c>
      <c r="O89" s="64"/>
      <c r="P89" s="33" t="s">
        <v>4</v>
      </c>
      <c r="Q89" s="64"/>
      <c r="R89" s="33" t="s">
        <v>4</v>
      </c>
    </row>
    <row r="90" spans="2:18" s="63" customFormat="1">
      <c r="B90" s="137">
        <v>32</v>
      </c>
      <c r="C90" s="137"/>
      <c r="D90" s="64">
        <v>83</v>
      </c>
      <c r="E90" s="33" t="s">
        <v>916</v>
      </c>
      <c r="F90" s="64" t="s">
        <v>6</v>
      </c>
      <c r="G90" s="64" t="s">
        <v>917</v>
      </c>
      <c r="H90" s="64" t="s">
        <v>1</v>
      </c>
      <c r="I90" s="64" t="s">
        <v>2</v>
      </c>
      <c r="J90" s="33"/>
      <c r="K90" s="65">
        <v>33272</v>
      </c>
      <c r="L90" s="66">
        <f t="shared" si="4"/>
        <v>1991</v>
      </c>
      <c r="M90" s="66">
        <f t="shared" si="3"/>
        <v>28</v>
      </c>
      <c r="N90" s="64" t="s">
        <v>3</v>
      </c>
      <c r="O90" s="64"/>
      <c r="P90" s="33" t="s">
        <v>12</v>
      </c>
      <c r="Q90" s="64"/>
      <c r="R90" s="33" t="s">
        <v>5</v>
      </c>
    </row>
    <row r="91" spans="2:18" s="63" customFormat="1">
      <c r="B91" s="137"/>
      <c r="C91" s="137"/>
      <c r="D91" s="64">
        <v>84</v>
      </c>
      <c r="E91" s="33" t="s">
        <v>918</v>
      </c>
      <c r="F91" s="64" t="s">
        <v>9</v>
      </c>
      <c r="G91" s="64" t="s">
        <v>919</v>
      </c>
      <c r="H91" s="64" t="s">
        <v>8</v>
      </c>
      <c r="I91" s="64" t="s">
        <v>2</v>
      </c>
      <c r="J91" s="33"/>
      <c r="K91" s="65">
        <v>33420</v>
      </c>
      <c r="L91" s="66">
        <f t="shared" si="4"/>
        <v>1991</v>
      </c>
      <c r="M91" s="66">
        <f t="shared" si="3"/>
        <v>28</v>
      </c>
      <c r="N91" s="64" t="s">
        <v>3</v>
      </c>
      <c r="O91" s="64"/>
      <c r="P91" s="33" t="s">
        <v>4</v>
      </c>
      <c r="Q91" s="64"/>
      <c r="R91" s="33" t="s">
        <v>5</v>
      </c>
    </row>
    <row r="92" spans="2:18" s="63" customFormat="1">
      <c r="B92" s="137"/>
      <c r="C92" s="137"/>
      <c r="D92" s="64">
        <v>85</v>
      </c>
      <c r="E92" s="33" t="s">
        <v>920</v>
      </c>
      <c r="F92" s="64" t="s">
        <v>13</v>
      </c>
      <c r="G92" s="64" t="s">
        <v>921</v>
      </c>
      <c r="H92" s="64" t="s">
        <v>1</v>
      </c>
      <c r="I92" s="64" t="s">
        <v>11</v>
      </c>
      <c r="J92" s="33"/>
      <c r="K92" s="65">
        <v>41400</v>
      </c>
      <c r="L92" s="66">
        <f t="shared" si="4"/>
        <v>2013</v>
      </c>
      <c r="M92" s="66">
        <f t="shared" si="3"/>
        <v>6</v>
      </c>
      <c r="N92" s="64" t="s">
        <v>3</v>
      </c>
      <c r="O92" s="64"/>
      <c r="P92" s="33" t="s">
        <v>4</v>
      </c>
      <c r="Q92" s="64"/>
      <c r="R92" s="33" t="s">
        <v>4</v>
      </c>
    </row>
    <row r="93" spans="2:18" s="63" customFormat="1">
      <c r="B93" s="137">
        <v>33</v>
      </c>
      <c r="C93" s="137"/>
      <c r="D93" s="64">
        <v>86</v>
      </c>
      <c r="E93" s="33" t="s">
        <v>922</v>
      </c>
      <c r="F93" s="64" t="s">
        <v>6</v>
      </c>
      <c r="G93" s="64" t="s">
        <v>923</v>
      </c>
      <c r="H93" s="64" t="s">
        <v>8</v>
      </c>
      <c r="I93" s="64" t="s">
        <v>2</v>
      </c>
      <c r="J93" s="33"/>
      <c r="K93" s="65">
        <v>32316</v>
      </c>
      <c r="L93" s="66">
        <f t="shared" si="4"/>
        <v>1988</v>
      </c>
      <c r="M93" s="66">
        <f t="shared" si="3"/>
        <v>31</v>
      </c>
      <c r="N93" s="64" t="s">
        <v>3</v>
      </c>
      <c r="O93" s="64"/>
      <c r="P93" s="33" t="s">
        <v>28</v>
      </c>
      <c r="Q93" s="64"/>
      <c r="R93" s="33" t="s">
        <v>119</v>
      </c>
    </row>
    <row r="94" spans="2:18" s="63" customFormat="1" ht="25.5">
      <c r="B94" s="137"/>
      <c r="C94" s="137"/>
      <c r="D94" s="64">
        <v>87</v>
      </c>
      <c r="E94" s="33" t="s">
        <v>924</v>
      </c>
      <c r="F94" s="64" t="s">
        <v>13</v>
      </c>
      <c r="G94" s="64" t="s">
        <v>925</v>
      </c>
      <c r="H94" s="64" t="s">
        <v>1</v>
      </c>
      <c r="I94" s="64" t="s">
        <v>11</v>
      </c>
      <c r="J94" s="33"/>
      <c r="K94" s="65">
        <v>41156</v>
      </c>
      <c r="L94" s="66">
        <f t="shared" si="4"/>
        <v>2012</v>
      </c>
      <c r="M94" s="66">
        <f t="shared" si="3"/>
        <v>7</v>
      </c>
      <c r="N94" s="64" t="s">
        <v>3</v>
      </c>
      <c r="O94" s="64"/>
      <c r="P94" s="33" t="s">
        <v>4</v>
      </c>
      <c r="Q94" s="64"/>
      <c r="R94" s="33" t="s">
        <v>4</v>
      </c>
    </row>
    <row r="95" spans="2:18" s="63" customFormat="1">
      <c r="B95" s="137">
        <v>34</v>
      </c>
      <c r="C95" s="137"/>
      <c r="D95" s="64">
        <v>88</v>
      </c>
      <c r="E95" s="33" t="s">
        <v>926</v>
      </c>
      <c r="F95" s="64" t="s">
        <v>6</v>
      </c>
      <c r="G95" s="64" t="s">
        <v>927</v>
      </c>
      <c r="H95" s="64" t="s">
        <v>1</v>
      </c>
      <c r="I95" s="64" t="s">
        <v>34</v>
      </c>
      <c r="J95" s="33"/>
      <c r="K95" s="65">
        <v>22281</v>
      </c>
      <c r="L95" s="66">
        <f t="shared" si="4"/>
        <v>1960</v>
      </c>
      <c r="M95" s="66">
        <f t="shared" si="3"/>
        <v>59</v>
      </c>
      <c r="N95" s="64" t="s">
        <v>3</v>
      </c>
      <c r="O95" s="64"/>
      <c r="P95" s="33" t="s">
        <v>4</v>
      </c>
      <c r="Q95" s="64"/>
      <c r="R95" s="33" t="s">
        <v>119</v>
      </c>
    </row>
    <row r="96" spans="2:18" s="63" customFormat="1">
      <c r="B96" s="137"/>
      <c r="C96" s="137"/>
      <c r="D96" s="64">
        <v>89</v>
      </c>
      <c r="E96" s="33" t="s">
        <v>769</v>
      </c>
      <c r="F96" s="64" t="s">
        <v>13</v>
      </c>
      <c r="G96" s="64" t="s">
        <v>928</v>
      </c>
      <c r="H96" s="64" t="s">
        <v>8</v>
      </c>
      <c r="I96" s="64" t="s">
        <v>471</v>
      </c>
      <c r="J96" s="33"/>
      <c r="K96" s="65">
        <v>31412</v>
      </c>
      <c r="L96" s="66">
        <f t="shared" si="4"/>
        <v>1985</v>
      </c>
      <c r="M96" s="66">
        <f t="shared" si="3"/>
        <v>34</v>
      </c>
      <c r="N96" s="64" t="s">
        <v>3</v>
      </c>
      <c r="O96" s="64"/>
      <c r="P96" s="33" t="s">
        <v>4</v>
      </c>
      <c r="Q96" s="64"/>
      <c r="R96" s="33" t="s">
        <v>5</v>
      </c>
    </row>
    <row r="97" spans="2:18" s="63" customFormat="1">
      <c r="B97" s="137"/>
      <c r="C97" s="137"/>
      <c r="D97" s="64">
        <v>90</v>
      </c>
      <c r="E97" s="33" t="s">
        <v>929</v>
      </c>
      <c r="F97" s="64" t="s">
        <v>13</v>
      </c>
      <c r="G97" s="64" t="s">
        <v>930</v>
      </c>
      <c r="H97" s="64" t="s">
        <v>1</v>
      </c>
      <c r="I97" s="64" t="s">
        <v>11</v>
      </c>
      <c r="J97" s="33"/>
      <c r="K97" s="65">
        <v>33331</v>
      </c>
      <c r="L97" s="66">
        <f t="shared" si="4"/>
        <v>1991</v>
      </c>
      <c r="M97" s="66">
        <f t="shared" si="3"/>
        <v>28</v>
      </c>
      <c r="N97" s="64" t="s">
        <v>3</v>
      </c>
      <c r="O97" s="64"/>
      <c r="P97" s="33" t="s">
        <v>16</v>
      </c>
      <c r="Q97" s="64"/>
      <c r="R97" s="33" t="s">
        <v>5</v>
      </c>
    </row>
    <row r="98" spans="2:18" s="63" customFormat="1">
      <c r="B98" s="137"/>
      <c r="C98" s="137"/>
      <c r="D98" s="64">
        <v>91</v>
      </c>
      <c r="E98" s="33" t="s">
        <v>553</v>
      </c>
      <c r="F98" s="64" t="s">
        <v>13</v>
      </c>
      <c r="G98" s="64" t="s">
        <v>931</v>
      </c>
      <c r="H98" s="64" t="s">
        <v>8</v>
      </c>
      <c r="I98" s="64" t="s">
        <v>11</v>
      </c>
      <c r="J98" s="33"/>
      <c r="K98" s="65">
        <v>36110</v>
      </c>
      <c r="L98" s="66">
        <f t="shared" si="4"/>
        <v>1998</v>
      </c>
      <c r="M98" s="66">
        <f t="shared" si="3"/>
        <v>21</v>
      </c>
      <c r="N98" s="64" t="s">
        <v>3</v>
      </c>
      <c r="O98" s="64"/>
      <c r="P98" s="33" t="s">
        <v>16</v>
      </c>
      <c r="Q98" s="64"/>
      <c r="R98" s="33" t="s">
        <v>5</v>
      </c>
    </row>
    <row r="99" spans="2:18" s="63" customFormat="1">
      <c r="B99" s="137"/>
      <c r="C99" s="137"/>
      <c r="D99" s="64">
        <v>92</v>
      </c>
      <c r="E99" s="33" t="s">
        <v>932</v>
      </c>
      <c r="F99" s="64" t="s">
        <v>13</v>
      </c>
      <c r="G99" s="64" t="s">
        <v>933</v>
      </c>
      <c r="H99" s="64" t="s">
        <v>1</v>
      </c>
      <c r="I99" s="64" t="s">
        <v>11</v>
      </c>
      <c r="J99" s="33"/>
      <c r="K99" s="65">
        <v>37728</v>
      </c>
      <c r="L99" s="66">
        <f t="shared" si="4"/>
        <v>2003</v>
      </c>
      <c r="M99" s="66">
        <f t="shared" si="3"/>
        <v>16</v>
      </c>
      <c r="N99" s="64" t="s">
        <v>3</v>
      </c>
      <c r="O99" s="64"/>
      <c r="P99" s="33" t="s">
        <v>4</v>
      </c>
      <c r="Q99" s="64"/>
      <c r="R99" s="33" t="s">
        <v>4</v>
      </c>
    </row>
    <row r="100" spans="2:18" s="63" customFormat="1">
      <c r="B100" s="137">
        <v>35</v>
      </c>
      <c r="C100" s="137"/>
      <c r="D100" s="64">
        <v>93</v>
      </c>
      <c r="E100" s="33" t="s">
        <v>349</v>
      </c>
      <c r="F100" s="64" t="s">
        <v>6</v>
      </c>
      <c r="G100" s="64" t="s">
        <v>938</v>
      </c>
      <c r="H100" s="64" t="s">
        <v>1</v>
      </c>
      <c r="I100" s="64" t="s">
        <v>2</v>
      </c>
      <c r="J100" s="33"/>
      <c r="K100" s="65">
        <v>30845</v>
      </c>
      <c r="L100" s="66">
        <f t="shared" si="4"/>
        <v>1984</v>
      </c>
      <c r="M100" s="66">
        <f t="shared" si="3"/>
        <v>35</v>
      </c>
      <c r="N100" s="64" t="s">
        <v>3</v>
      </c>
      <c r="O100" s="64"/>
      <c r="P100" s="33" t="s">
        <v>16</v>
      </c>
      <c r="Q100" s="64"/>
      <c r="R100" s="33" t="s">
        <v>5</v>
      </c>
    </row>
    <row r="101" spans="2:18" s="63" customFormat="1">
      <c r="B101" s="137"/>
      <c r="C101" s="137"/>
      <c r="D101" s="64">
        <v>94</v>
      </c>
      <c r="E101" s="33" t="s">
        <v>939</v>
      </c>
      <c r="F101" s="64" t="s">
        <v>9</v>
      </c>
      <c r="G101" s="64" t="s">
        <v>940</v>
      </c>
      <c r="H101" s="64" t="s">
        <v>8</v>
      </c>
      <c r="I101" s="64" t="s">
        <v>2</v>
      </c>
      <c r="J101" s="33"/>
      <c r="K101" s="65">
        <v>32508</v>
      </c>
      <c r="L101" s="66">
        <f t="shared" si="4"/>
        <v>1988</v>
      </c>
      <c r="M101" s="66">
        <f t="shared" si="3"/>
        <v>31</v>
      </c>
      <c r="N101" s="64" t="s">
        <v>3</v>
      </c>
      <c r="O101" s="64"/>
      <c r="P101" s="33" t="s">
        <v>16</v>
      </c>
      <c r="Q101" s="64"/>
      <c r="R101" s="33" t="s">
        <v>5</v>
      </c>
    </row>
    <row r="102" spans="2:18" s="63" customFormat="1">
      <c r="B102" s="137"/>
      <c r="C102" s="137"/>
      <c r="D102" s="64">
        <v>95</v>
      </c>
      <c r="E102" s="33" t="s">
        <v>941</v>
      </c>
      <c r="F102" s="64" t="s">
        <v>13</v>
      </c>
      <c r="G102" s="64" t="s">
        <v>942</v>
      </c>
      <c r="H102" s="64" t="s">
        <v>8</v>
      </c>
      <c r="I102" s="64" t="s">
        <v>11</v>
      </c>
      <c r="J102" s="33"/>
      <c r="K102" s="65">
        <v>40905</v>
      </c>
      <c r="L102" s="66">
        <f t="shared" si="4"/>
        <v>2011</v>
      </c>
      <c r="M102" s="66">
        <f t="shared" si="3"/>
        <v>8</v>
      </c>
      <c r="N102" s="64" t="s">
        <v>3</v>
      </c>
      <c r="O102" s="64"/>
      <c r="P102" s="33" t="s">
        <v>4</v>
      </c>
      <c r="Q102" s="64"/>
      <c r="R102" s="33" t="s">
        <v>4</v>
      </c>
    </row>
    <row r="103" spans="2:18" s="63" customFormat="1">
      <c r="B103" s="137">
        <v>36</v>
      </c>
      <c r="C103" s="137"/>
      <c r="D103" s="64">
        <v>96</v>
      </c>
      <c r="E103" s="33" t="s">
        <v>943</v>
      </c>
      <c r="F103" s="64" t="s">
        <v>6</v>
      </c>
      <c r="G103" s="64" t="s">
        <v>944</v>
      </c>
      <c r="H103" s="64" t="s">
        <v>1</v>
      </c>
      <c r="I103" s="64" t="s">
        <v>2</v>
      </c>
      <c r="J103" s="33"/>
      <c r="K103" s="65">
        <v>27759</v>
      </c>
      <c r="L103" s="66">
        <f t="shared" si="4"/>
        <v>1975</v>
      </c>
      <c r="M103" s="66">
        <f t="shared" si="3"/>
        <v>44</v>
      </c>
      <c r="N103" s="64" t="s">
        <v>3</v>
      </c>
      <c r="O103" s="64"/>
      <c r="P103" s="33" t="s">
        <v>4</v>
      </c>
      <c r="Q103" s="64"/>
      <c r="R103" s="33" t="s">
        <v>119</v>
      </c>
    </row>
    <row r="104" spans="2:18" s="63" customFormat="1">
      <c r="B104" s="137"/>
      <c r="C104" s="137"/>
      <c r="D104" s="64">
        <v>97</v>
      </c>
      <c r="E104" s="33" t="s">
        <v>945</v>
      </c>
      <c r="F104" s="64" t="s">
        <v>9</v>
      </c>
      <c r="G104" s="64" t="s">
        <v>946</v>
      </c>
      <c r="H104" s="64" t="s">
        <v>8</v>
      </c>
      <c r="I104" s="64" t="s">
        <v>2</v>
      </c>
      <c r="J104" s="33"/>
      <c r="K104" s="65">
        <v>28125</v>
      </c>
      <c r="L104" s="66">
        <f t="shared" si="4"/>
        <v>1976</v>
      </c>
      <c r="M104" s="66">
        <f t="shared" si="3"/>
        <v>43</v>
      </c>
      <c r="N104" s="64" t="s">
        <v>3</v>
      </c>
      <c r="O104" s="64"/>
      <c r="P104" s="33" t="s">
        <v>4</v>
      </c>
      <c r="Q104" s="64"/>
      <c r="R104" s="33" t="s">
        <v>5</v>
      </c>
    </row>
    <row r="105" spans="2:18" s="63" customFormat="1">
      <c r="B105" s="137"/>
      <c r="C105" s="137"/>
      <c r="D105" s="64">
        <v>98</v>
      </c>
      <c r="E105" s="33" t="s">
        <v>947</v>
      </c>
      <c r="F105" s="64" t="s">
        <v>13</v>
      </c>
      <c r="G105" s="64" t="s">
        <v>948</v>
      </c>
      <c r="H105" s="64" t="s">
        <v>1</v>
      </c>
      <c r="I105" s="64" t="s">
        <v>11</v>
      </c>
      <c r="J105" s="33"/>
      <c r="K105" s="65">
        <v>35013</v>
      </c>
      <c r="L105" s="66">
        <f t="shared" si="4"/>
        <v>1995</v>
      </c>
      <c r="M105" s="66">
        <f t="shared" si="3"/>
        <v>24</v>
      </c>
      <c r="N105" s="64" t="s">
        <v>3</v>
      </c>
      <c r="O105" s="64"/>
      <c r="P105" s="33" t="s">
        <v>12</v>
      </c>
      <c r="Q105" s="64"/>
      <c r="R105" s="33" t="s">
        <v>4</v>
      </c>
    </row>
    <row r="106" spans="2:18" s="63" customFormat="1">
      <c r="B106" s="137"/>
      <c r="C106" s="137"/>
      <c r="D106" s="64">
        <v>99</v>
      </c>
      <c r="E106" s="33" t="s">
        <v>257</v>
      </c>
      <c r="F106" s="64" t="s">
        <v>13</v>
      </c>
      <c r="G106" s="64" t="s">
        <v>949</v>
      </c>
      <c r="H106" s="64" t="s">
        <v>8</v>
      </c>
      <c r="I106" s="64" t="s">
        <v>11</v>
      </c>
      <c r="J106" s="33"/>
      <c r="K106" s="65">
        <v>40310</v>
      </c>
      <c r="L106" s="66">
        <f t="shared" si="4"/>
        <v>2010</v>
      </c>
      <c r="M106" s="66">
        <f t="shared" si="3"/>
        <v>9</v>
      </c>
      <c r="N106" s="64" t="s">
        <v>3</v>
      </c>
      <c r="O106" s="64"/>
      <c r="P106" s="33" t="s">
        <v>16</v>
      </c>
      <c r="Q106" s="64"/>
      <c r="R106" s="33" t="s">
        <v>4</v>
      </c>
    </row>
    <row r="107" spans="2:18" s="63" customFormat="1">
      <c r="B107" s="137">
        <v>37</v>
      </c>
      <c r="C107" s="137"/>
      <c r="D107" s="64">
        <v>100</v>
      </c>
      <c r="E107" s="33" t="s">
        <v>926</v>
      </c>
      <c r="F107" s="64" t="s">
        <v>6</v>
      </c>
      <c r="G107" s="64" t="s">
        <v>951</v>
      </c>
      <c r="H107" s="64" t="s">
        <v>1</v>
      </c>
      <c r="I107" s="64" t="s">
        <v>2</v>
      </c>
      <c r="J107" s="33"/>
      <c r="K107" s="65">
        <v>32325</v>
      </c>
      <c r="L107" s="66">
        <f t="shared" si="4"/>
        <v>1988</v>
      </c>
      <c r="M107" s="66">
        <f t="shared" si="3"/>
        <v>31</v>
      </c>
      <c r="N107" s="64" t="s">
        <v>3</v>
      </c>
      <c r="O107" s="64"/>
      <c r="P107" s="33" t="s">
        <v>4</v>
      </c>
      <c r="Q107" s="64"/>
      <c r="R107" s="33" t="s">
        <v>5</v>
      </c>
    </row>
    <row r="108" spans="2:18" s="63" customFormat="1">
      <c r="B108" s="137"/>
      <c r="C108" s="137"/>
      <c r="D108" s="64">
        <v>101</v>
      </c>
      <c r="E108" s="33" t="s">
        <v>952</v>
      </c>
      <c r="F108" s="64" t="s">
        <v>9</v>
      </c>
      <c r="G108" s="64" t="s">
        <v>953</v>
      </c>
      <c r="H108" s="64" t="s">
        <v>8</v>
      </c>
      <c r="I108" s="64" t="s">
        <v>2</v>
      </c>
      <c r="J108" s="33"/>
      <c r="K108" s="65">
        <v>32695</v>
      </c>
      <c r="L108" s="66">
        <f t="shared" si="4"/>
        <v>1989</v>
      </c>
      <c r="M108" s="66">
        <f t="shared" si="3"/>
        <v>30</v>
      </c>
      <c r="N108" s="64" t="s">
        <v>3</v>
      </c>
      <c r="O108" s="64"/>
      <c r="P108" s="33" t="s">
        <v>16</v>
      </c>
      <c r="Q108" s="64"/>
      <c r="R108" s="33" t="s">
        <v>5</v>
      </c>
    </row>
    <row r="109" spans="2:18" s="63" customFormat="1" ht="25.5">
      <c r="B109" s="137"/>
      <c r="C109" s="137"/>
      <c r="D109" s="64">
        <v>102</v>
      </c>
      <c r="E109" s="33" t="s">
        <v>954</v>
      </c>
      <c r="F109" s="64" t="s">
        <v>13</v>
      </c>
      <c r="G109" s="64" t="s">
        <v>955</v>
      </c>
      <c r="H109" s="64" t="s">
        <v>8</v>
      </c>
      <c r="I109" s="64" t="s">
        <v>11</v>
      </c>
      <c r="J109" s="33"/>
      <c r="K109" s="65">
        <v>41181</v>
      </c>
      <c r="L109" s="66">
        <f t="shared" si="4"/>
        <v>2012</v>
      </c>
      <c r="M109" s="66">
        <f t="shared" si="3"/>
        <v>7</v>
      </c>
      <c r="N109" s="64" t="s">
        <v>3</v>
      </c>
      <c r="O109" s="64"/>
      <c r="P109" s="33" t="s">
        <v>4</v>
      </c>
      <c r="Q109" s="64"/>
      <c r="R109" s="33" t="s">
        <v>4</v>
      </c>
    </row>
    <row r="110" spans="2:18" s="63" customFormat="1" ht="25.5">
      <c r="B110" s="137">
        <v>38</v>
      </c>
      <c r="C110" s="137" t="s">
        <v>1410</v>
      </c>
      <c r="D110" s="64">
        <v>103</v>
      </c>
      <c r="E110" s="33" t="s">
        <v>957</v>
      </c>
      <c r="F110" s="64" t="s">
        <v>6</v>
      </c>
      <c r="G110" s="64" t="s">
        <v>958</v>
      </c>
      <c r="H110" s="64" t="s">
        <v>8</v>
      </c>
      <c r="I110" s="64" t="s">
        <v>1221</v>
      </c>
      <c r="J110" s="33" t="s">
        <v>1206</v>
      </c>
      <c r="K110" s="65">
        <v>27029</v>
      </c>
      <c r="L110" s="66">
        <v>1973</v>
      </c>
      <c r="M110" s="66">
        <f t="shared" si="3"/>
        <v>46</v>
      </c>
      <c r="N110" s="64" t="s">
        <v>3</v>
      </c>
      <c r="O110" s="64" t="s">
        <v>1169</v>
      </c>
      <c r="P110" s="33" t="s">
        <v>1177</v>
      </c>
      <c r="Q110" s="64"/>
      <c r="R110" s="33" t="s">
        <v>1178</v>
      </c>
    </row>
    <row r="111" spans="2:18" s="63" customFormat="1">
      <c r="B111" s="137"/>
      <c r="C111" s="137"/>
      <c r="D111" s="64">
        <v>104</v>
      </c>
      <c r="E111" s="33" t="s">
        <v>1409</v>
      </c>
      <c r="F111" s="64" t="s">
        <v>13</v>
      </c>
      <c r="G111" s="64" t="s">
        <v>1411</v>
      </c>
      <c r="H111" s="64" t="s">
        <v>1</v>
      </c>
      <c r="I111" s="64" t="s">
        <v>11</v>
      </c>
      <c r="J111" s="33" t="s">
        <v>1166</v>
      </c>
      <c r="K111" s="65">
        <v>35129</v>
      </c>
      <c r="L111" s="66">
        <v>1996</v>
      </c>
      <c r="M111" s="66">
        <f t="shared" si="3"/>
        <v>23</v>
      </c>
      <c r="N111" s="64" t="s">
        <v>3</v>
      </c>
      <c r="O111" s="64" t="s">
        <v>1169</v>
      </c>
      <c r="P111" s="33" t="s">
        <v>1174</v>
      </c>
      <c r="Q111" s="64"/>
      <c r="R111" s="33" t="s">
        <v>85</v>
      </c>
    </row>
    <row r="112" spans="2:18" s="63" customFormat="1">
      <c r="B112" s="137">
        <v>39</v>
      </c>
      <c r="C112" s="137" t="s">
        <v>1481</v>
      </c>
      <c r="D112" s="64">
        <v>105</v>
      </c>
      <c r="E112" s="33" t="s">
        <v>441</v>
      </c>
      <c r="F112" s="64" t="s">
        <v>6</v>
      </c>
      <c r="G112" s="64" t="s">
        <v>1482</v>
      </c>
      <c r="H112" s="64" t="s">
        <v>1</v>
      </c>
      <c r="I112" s="64" t="s">
        <v>2</v>
      </c>
      <c r="J112" s="33" t="s">
        <v>1206</v>
      </c>
      <c r="K112" s="65">
        <v>22828</v>
      </c>
      <c r="L112" s="66">
        <v>1962</v>
      </c>
      <c r="M112" s="66">
        <f t="shared" si="3"/>
        <v>57</v>
      </c>
      <c r="N112" s="64" t="s">
        <v>3</v>
      </c>
      <c r="O112" s="64" t="s">
        <v>1169</v>
      </c>
      <c r="P112" s="33" t="s">
        <v>1181</v>
      </c>
      <c r="Q112" s="64"/>
      <c r="R112" s="33" t="s">
        <v>1167</v>
      </c>
    </row>
    <row r="113" spans="2:18" s="63" customFormat="1" ht="25.5">
      <c r="B113" s="137"/>
      <c r="C113" s="137"/>
      <c r="D113" s="64">
        <v>106</v>
      </c>
      <c r="E113" s="33" t="s">
        <v>959</v>
      </c>
      <c r="F113" s="64" t="s">
        <v>9</v>
      </c>
      <c r="G113" s="64" t="s">
        <v>960</v>
      </c>
      <c r="H113" s="64" t="s">
        <v>8</v>
      </c>
      <c r="I113" s="64" t="s">
        <v>2</v>
      </c>
      <c r="J113" s="33" t="s">
        <v>1206</v>
      </c>
      <c r="K113" s="65">
        <v>24654</v>
      </c>
      <c r="L113" s="66">
        <v>1967</v>
      </c>
      <c r="M113" s="66">
        <f t="shared" si="3"/>
        <v>52</v>
      </c>
      <c r="N113" s="64" t="s">
        <v>3</v>
      </c>
      <c r="O113" s="64" t="s">
        <v>1169</v>
      </c>
      <c r="P113" s="33" t="s">
        <v>1181</v>
      </c>
      <c r="Q113" s="64"/>
      <c r="R113" s="33" t="s">
        <v>1168</v>
      </c>
    </row>
    <row r="114" spans="2:18" s="63" customFormat="1" ht="25.5">
      <c r="B114" s="137"/>
      <c r="C114" s="137"/>
      <c r="D114" s="64">
        <v>107</v>
      </c>
      <c r="E114" s="33" t="s">
        <v>1480</v>
      </c>
      <c r="F114" s="64" t="s">
        <v>13</v>
      </c>
      <c r="G114" s="64" t="s">
        <v>961</v>
      </c>
      <c r="H114" s="64" t="s">
        <v>8</v>
      </c>
      <c r="I114" s="64" t="s">
        <v>11</v>
      </c>
      <c r="J114" s="33" t="s">
        <v>1166</v>
      </c>
      <c r="K114" s="65">
        <v>38272</v>
      </c>
      <c r="L114" s="66">
        <v>2004</v>
      </c>
      <c r="M114" s="66">
        <f t="shared" si="3"/>
        <v>15</v>
      </c>
      <c r="N114" s="64" t="s">
        <v>3</v>
      </c>
      <c r="O114" s="64" t="s">
        <v>1169</v>
      </c>
      <c r="P114" s="33" t="s">
        <v>1176</v>
      </c>
      <c r="Q114" s="64"/>
      <c r="R114" s="33" t="s">
        <v>1175</v>
      </c>
    </row>
    <row r="115" spans="2:18" s="63" customFormat="1">
      <c r="B115" s="137">
        <v>40</v>
      </c>
      <c r="C115" s="137" t="s">
        <v>1382</v>
      </c>
      <c r="D115" s="64">
        <v>108</v>
      </c>
      <c r="E115" s="33" t="s">
        <v>971</v>
      </c>
      <c r="F115" s="64" t="s">
        <v>6</v>
      </c>
      <c r="G115" s="64" t="s">
        <v>972</v>
      </c>
      <c r="H115" s="64" t="s">
        <v>1</v>
      </c>
      <c r="I115" s="64" t="s">
        <v>2</v>
      </c>
      <c r="J115" s="33" t="s">
        <v>1166</v>
      </c>
      <c r="K115" s="65">
        <v>15706</v>
      </c>
      <c r="L115" s="66">
        <v>1942</v>
      </c>
      <c r="M115" s="66">
        <f t="shared" si="3"/>
        <v>77</v>
      </c>
      <c r="N115" s="64" t="s">
        <v>3</v>
      </c>
      <c r="O115" s="64" t="s">
        <v>1169</v>
      </c>
      <c r="P115" s="33" t="s">
        <v>1181</v>
      </c>
      <c r="Q115" s="64"/>
      <c r="R115" s="33" t="s">
        <v>85</v>
      </c>
    </row>
    <row r="116" spans="2:18" s="63" customFormat="1" ht="25.5">
      <c r="B116" s="137"/>
      <c r="C116" s="137"/>
      <c r="D116" s="64">
        <v>109</v>
      </c>
      <c r="E116" s="33" t="s">
        <v>973</v>
      </c>
      <c r="F116" s="64" t="s">
        <v>9</v>
      </c>
      <c r="G116" s="64" t="s">
        <v>974</v>
      </c>
      <c r="H116" s="64" t="s">
        <v>8</v>
      </c>
      <c r="I116" s="64" t="s">
        <v>2</v>
      </c>
      <c r="J116" s="33" t="s">
        <v>1166</v>
      </c>
      <c r="K116" s="65">
        <v>16802</v>
      </c>
      <c r="L116" s="66">
        <v>1945</v>
      </c>
      <c r="M116" s="66">
        <f t="shared" si="3"/>
        <v>74</v>
      </c>
      <c r="N116" s="64" t="s">
        <v>3</v>
      </c>
      <c r="O116" s="64" t="s">
        <v>1169</v>
      </c>
      <c r="P116" s="33" t="s">
        <v>1176</v>
      </c>
      <c r="Q116" s="64"/>
      <c r="R116" s="33" t="s">
        <v>1168</v>
      </c>
    </row>
    <row r="117" spans="2:18" s="63" customFormat="1">
      <c r="B117" s="137">
        <v>41</v>
      </c>
      <c r="C117" s="137"/>
      <c r="D117" s="64">
        <v>110</v>
      </c>
      <c r="E117" s="33" t="s">
        <v>962</v>
      </c>
      <c r="F117" s="64" t="s">
        <v>6</v>
      </c>
      <c r="G117" s="64" t="s">
        <v>963</v>
      </c>
      <c r="H117" s="64" t="s">
        <v>1</v>
      </c>
      <c r="I117" s="64" t="s">
        <v>2</v>
      </c>
      <c r="J117" s="33"/>
      <c r="K117" s="65">
        <v>28491</v>
      </c>
      <c r="L117" s="66">
        <f t="shared" ref="L117:L132" si="5">YEAR(K117)</f>
        <v>1978</v>
      </c>
      <c r="M117" s="66">
        <f t="shared" si="3"/>
        <v>41</v>
      </c>
      <c r="N117" s="64" t="s">
        <v>3</v>
      </c>
      <c r="O117" s="64"/>
      <c r="P117" s="33" t="s">
        <v>4</v>
      </c>
      <c r="Q117" s="64"/>
      <c r="R117" s="33" t="s">
        <v>5</v>
      </c>
    </row>
    <row r="118" spans="2:18" s="63" customFormat="1">
      <c r="B118" s="137"/>
      <c r="C118" s="137"/>
      <c r="D118" s="64">
        <v>111</v>
      </c>
      <c r="E118" s="33" t="s">
        <v>964</v>
      </c>
      <c r="F118" s="64" t="s">
        <v>9</v>
      </c>
      <c r="G118" s="64" t="s">
        <v>965</v>
      </c>
      <c r="H118" s="64" t="s">
        <v>8</v>
      </c>
      <c r="I118" s="64" t="s">
        <v>2</v>
      </c>
      <c r="J118" s="33"/>
      <c r="K118" s="65">
        <v>29125</v>
      </c>
      <c r="L118" s="66">
        <f t="shared" si="5"/>
        <v>1979</v>
      </c>
      <c r="M118" s="66">
        <f t="shared" si="3"/>
        <v>40</v>
      </c>
      <c r="N118" s="64" t="s">
        <v>3</v>
      </c>
      <c r="O118" s="64"/>
      <c r="P118" s="33" t="s">
        <v>4</v>
      </c>
      <c r="Q118" s="64"/>
      <c r="R118" s="33" t="s">
        <v>5</v>
      </c>
    </row>
    <row r="119" spans="2:18" s="63" customFormat="1">
      <c r="B119" s="137"/>
      <c r="C119" s="137"/>
      <c r="D119" s="64">
        <v>112</v>
      </c>
      <c r="E119" s="33" t="s">
        <v>966</v>
      </c>
      <c r="F119" s="64" t="s">
        <v>13</v>
      </c>
      <c r="G119" s="64" t="s">
        <v>967</v>
      </c>
      <c r="H119" s="64" t="s">
        <v>8</v>
      </c>
      <c r="I119" s="64" t="s">
        <v>11</v>
      </c>
      <c r="J119" s="33"/>
      <c r="K119" s="65">
        <v>35250</v>
      </c>
      <c r="L119" s="66">
        <f t="shared" si="5"/>
        <v>1996</v>
      </c>
      <c r="M119" s="66">
        <f t="shared" si="3"/>
        <v>23</v>
      </c>
      <c r="N119" s="64" t="s">
        <v>3</v>
      </c>
      <c r="O119" s="64"/>
      <c r="P119" s="33" t="s">
        <v>16</v>
      </c>
      <c r="Q119" s="64"/>
      <c r="R119" s="33" t="s">
        <v>4</v>
      </c>
    </row>
    <row r="120" spans="2:18" s="63" customFormat="1" ht="25.5">
      <c r="B120" s="137"/>
      <c r="C120" s="137"/>
      <c r="D120" s="64">
        <v>113</v>
      </c>
      <c r="E120" s="33" t="s">
        <v>968</v>
      </c>
      <c r="F120" s="64" t="s">
        <v>13</v>
      </c>
      <c r="G120" s="64" t="s">
        <v>969</v>
      </c>
      <c r="H120" s="64" t="s">
        <v>8</v>
      </c>
      <c r="I120" s="64" t="s">
        <v>11</v>
      </c>
      <c r="J120" s="33"/>
      <c r="K120" s="65">
        <v>39198</v>
      </c>
      <c r="L120" s="66">
        <f t="shared" si="5"/>
        <v>2007</v>
      </c>
      <c r="M120" s="66">
        <f t="shared" si="3"/>
        <v>12</v>
      </c>
      <c r="N120" s="64" t="s">
        <v>3</v>
      </c>
      <c r="O120" s="64"/>
      <c r="P120" s="33" t="s">
        <v>4</v>
      </c>
      <c r="Q120" s="64"/>
      <c r="R120" s="33" t="s">
        <v>4</v>
      </c>
    </row>
    <row r="121" spans="2:18" s="63" customFormat="1" ht="25.5">
      <c r="B121" s="137"/>
      <c r="C121" s="137"/>
      <c r="D121" s="64">
        <v>114</v>
      </c>
      <c r="E121" s="33" t="s">
        <v>970</v>
      </c>
      <c r="F121" s="64" t="s">
        <v>13</v>
      </c>
      <c r="G121" s="64">
        <v>0</v>
      </c>
      <c r="H121" s="64" t="s">
        <v>8</v>
      </c>
      <c r="I121" s="64" t="s">
        <v>11</v>
      </c>
      <c r="J121" s="33"/>
      <c r="K121" s="65">
        <v>42078</v>
      </c>
      <c r="L121" s="66">
        <f t="shared" si="5"/>
        <v>2015</v>
      </c>
      <c r="M121" s="66">
        <f t="shared" si="3"/>
        <v>4</v>
      </c>
      <c r="N121" s="64" t="s">
        <v>3</v>
      </c>
      <c r="O121" s="64"/>
      <c r="P121" s="33" t="s">
        <v>4</v>
      </c>
      <c r="Q121" s="64"/>
      <c r="R121" s="33" t="s">
        <v>4</v>
      </c>
    </row>
    <row r="122" spans="2:18" s="63" customFormat="1" ht="25.5">
      <c r="B122" s="137">
        <v>42</v>
      </c>
      <c r="C122" s="137"/>
      <c r="D122" s="64">
        <v>115</v>
      </c>
      <c r="E122" s="33" t="s">
        <v>975</v>
      </c>
      <c r="F122" s="64" t="s">
        <v>6</v>
      </c>
      <c r="G122" s="64" t="s">
        <v>976</v>
      </c>
      <c r="H122" s="64" t="s">
        <v>1</v>
      </c>
      <c r="I122" s="64" t="s">
        <v>2</v>
      </c>
      <c r="J122" s="33"/>
      <c r="K122" s="65">
        <v>33209</v>
      </c>
      <c r="L122" s="66">
        <f t="shared" si="5"/>
        <v>1990</v>
      </c>
      <c r="M122" s="66">
        <f t="shared" si="3"/>
        <v>29</v>
      </c>
      <c r="N122" s="64" t="s">
        <v>3</v>
      </c>
      <c r="O122" s="64"/>
      <c r="P122" s="33" t="s">
        <v>16</v>
      </c>
      <c r="Q122" s="64"/>
      <c r="R122" s="33" t="s">
        <v>5</v>
      </c>
    </row>
    <row r="123" spans="2:18" s="63" customFormat="1">
      <c r="B123" s="137"/>
      <c r="C123" s="137"/>
      <c r="D123" s="64">
        <v>116</v>
      </c>
      <c r="E123" s="33" t="s">
        <v>977</v>
      </c>
      <c r="F123" s="64" t="s">
        <v>9</v>
      </c>
      <c r="G123" s="64" t="s">
        <v>978</v>
      </c>
      <c r="H123" s="64" t="s">
        <v>8</v>
      </c>
      <c r="I123" s="64" t="s">
        <v>2</v>
      </c>
      <c r="J123" s="33"/>
      <c r="K123" s="65">
        <v>35430</v>
      </c>
      <c r="L123" s="66">
        <f t="shared" si="5"/>
        <v>1996</v>
      </c>
      <c r="M123" s="66">
        <f t="shared" si="3"/>
        <v>23</v>
      </c>
      <c r="N123" s="64" t="s">
        <v>3</v>
      </c>
      <c r="O123" s="64"/>
      <c r="P123" s="33" t="s">
        <v>16</v>
      </c>
      <c r="Q123" s="64"/>
      <c r="R123" s="33" t="s">
        <v>950</v>
      </c>
    </row>
    <row r="124" spans="2:18" s="63" customFormat="1" ht="25.5">
      <c r="B124" s="137"/>
      <c r="C124" s="137"/>
      <c r="D124" s="64">
        <v>117</v>
      </c>
      <c r="E124" s="33" t="s">
        <v>979</v>
      </c>
      <c r="F124" s="64" t="s">
        <v>13</v>
      </c>
      <c r="G124" s="64" t="s">
        <v>980</v>
      </c>
      <c r="H124" s="64" t="s">
        <v>8</v>
      </c>
      <c r="I124" s="64" t="s">
        <v>11</v>
      </c>
      <c r="J124" s="33"/>
      <c r="K124" s="65">
        <v>41912</v>
      </c>
      <c r="L124" s="66">
        <f t="shared" si="5"/>
        <v>2014</v>
      </c>
      <c r="M124" s="66">
        <f t="shared" si="3"/>
        <v>5</v>
      </c>
      <c r="N124" s="64" t="s">
        <v>3</v>
      </c>
      <c r="O124" s="64"/>
      <c r="P124" s="33" t="s">
        <v>4</v>
      </c>
      <c r="Q124" s="64"/>
      <c r="R124" s="33" t="s">
        <v>4</v>
      </c>
    </row>
    <row r="125" spans="2:18" s="63" customFormat="1">
      <c r="B125" s="137">
        <v>43</v>
      </c>
      <c r="C125" s="137"/>
      <c r="D125" s="64">
        <v>118</v>
      </c>
      <c r="E125" s="33" t="s">
        <v>163</v>
      </c>
      <c r="F125" s="64" t="s">
        <v>6</v>
      </c>
      <c r="G125" s="64" t="s">
        <v>981</v>
      </c>
      <c r="H125" s="64" t="s">
        <v>1</v>
      </c>
      <c r="I125" s="64" t="s">
        <v>2</v>
      </c>
      <c r="J125" s="33"/>
      <c r="K125" s="65">
        <v>29925</v>
      </c>
      <c r="L125" s="66">
        <f t="shared" si="5"/>
        <v>1981</v>
      </c>
      <c r="M125" s="66">
        <f t="shared" si="3"/>
        <v>38</v>
      </c>
      <c r="N125" s="64" t="s">
        <v>3</v>
      </c>
      <c r="O125" s="64"/>
      <c r="P125" s="33" t="s">
        <v>12</v>
      </c>
      <c r="Q125" s="64"/>
      <c r="R125" s="33" t="s">
        <v>164</v>
      </c>
    </row>
    <row r="126" spans="2:18" s="63" customFormat="1" ht="25.5">
      <c r="B126" s="137"/>
      <c r="C126" s="137"/>
      <c r="D126" s="64">
        <v>119</v>
      </c>
      <c r="E126" s="33" t="s">
        <v>982</v>
      </c>
      <c r="F126" s="64" t="s">
        <v>9</v>
      </c>
      <c r="G126" s="64" t="s">
        <v>984</v>
      </c>
      <c r="H126" s="64" t="s">
        <v>8</v>
      </c>
      <c r="I126" s="64" t="s">
        <v>2</v>
      </c>
      <c r="J126" s="33"/>
      <c r="K126" s="65">
        <v>32795</v>
      </c>
      <c r="L126" s="66">
        <f t="shared" si="5"/>
        <v>1989</v>
      </c>
      <c r="M126" s="66">
        <f t="shared" si="3"/>
        <v>30</v>
      </c>
      <c r="N126" s="64" t="s">
        <v>3</v>
      </c>
      <c r="O126" s="64"/>
      <c r="P126" s="33" t="s">
        <v>12</v>
      </c>
      <c r="Q126" s="64"/>
      <c r="R126" s="33" t="s">
        <v>983</v>
      </c>
    </row>
    <row r="127" spans="2:18" s="63" customFormat="1" ht="25.5">
      <c r="B127" s="137"/>
      <c r="C127" s="137"/>
      <c r="D127" s="64">
        <v>120</v>
      </c>
      <c r="E127" s="33" t="s">
        <v>985</v>
      </c>
      <c r="F127" s="64" t="s">
        <v>13</v>
      </c>
      <c r="G127" s="64" t="s">
        <v>986</v>
      </c>
      <c r="H127" s="64" t="s">
        <v>8</v>
      </c>
      <c r="I127" s="64" t="s">
        <v>11</v>
      </c>
      <c r="J127" s="33"/>
      <c r="K127" s="65">
        <v>39883</v>
      </c>
      <c r="L127" s="66">
        <f t="shared" si="5"/>
        <v>2009</v>
      </c>
      <c r="M127" s="66">
        <f t="shared" si="3"/>
        <v>10</v>
      </c>
      <c r="N127" s="64" t="s">
        <v>3</v>
      </c>
      <c r="O127" s="64"/>
      <c r="P127" s="33" t="s">
        <v>4</v>
      </c>
      <c r="Q127" s="64"/>
      <c r="R127" s="33" t="s">
        <v>4</v>
      </c>
    </row>
    <row r="128" spans="2:18" s="63" customFormat="1">
      <c r="B128" s="137"/>
      <c r="C128" s="137"/>
      <c r="D128" s="64">
        <v>121</v>
      </c>
      <c r="E128" s="33" t="s">
        <v>987</v>
      </c>
      <c r="F128" s="64" t="s">
        <v>13</v>
      </c>
      <c r="G128" s="64" t="s">
        <v>988</v>
      </c>
      <c r="H128" s="64" t="s">
        <v>1</v>
      </c>
      <c r="I128" s="64" t="s">
        <v>11</v>
      </c>
      <c r="J128" s="33"/>
      <c r="K128" s="65">
        <v>40923</v>
      </c>
      <c r="L128" s="66">
        <f t="shared" si="5"/>
        <v>2012</v>
      </c>
      <c r="M128" s="66">
        <f t="shared" si="3"/>
        <v>7</v>
      </c>
      <c r="N128" s="64" t="s">
        <v>3</v>
      </c>
      <c r="O128" s="64"/>
      <c r="P128" s="33" t="s">
        <v>4</v>
      </c>
      <c r="Q128" s="64"/>
      <c r="R128" s="33" t="s">
        <v>4</v>
      </c>
    </row>
    <row r="129" spans="2:18" s="63" customFormat="1">
      <c r="B129" s="137">
        <v>44</v>
      </c>
      <c r="C129" s="137"/>
      <c r="D129" s="64">
        <v>122</v>
      </c>
      <c r="E129" s="33" t="s">
        <v>989</v>
      </c>
      <c r="F129" s="64" t="s">
        <v>6</v>
      </c>
      <c r="G129" s="64" t="s">
        <v>990</v>
      </c>
      <c r="H129" s="64" t="s">
        <v>1</v>
      </c>
      <c r="I129" s="64" t="s">
        <v>2</v>
      </c>
      <c r="J129" s="33"/>
      <c r="K129" s="65">
        <v>25933</v>
      </c>
      <c r="L129" s="66">
        <f t="shared" si="5"/>
        <v>1970</v>
      </c>
      <c r="M129" s="66">
        <f t="shared" si="3"/>
        <v>49</v>
      </c>
      <c r="N129" s="64" t="s">
        <v>3</v>
      </c>
      <c r="O129" s="64"/>
      <c r="P129" s="33" t="s">
        <v>16</v>
      </c>
      <c r="Q129" s="64"/>
      <c r="R129" s="33" t="s">
        <v>80</v>
      </c>
    </row>
    <row r="130" spans="2:18" s="63" customFormat="1">
      <c r="B130" s="137"/>
      <c r="C130" s="137"/>
      <c r="D130" s="64">
        <v>123</v>
      </c>
      <c r="E130" s="33" t="s">
        <v>991</v>
      </c>
      <c r="F130" s="64" t="s">
        <v>9</v>
      </c>
      <c r="G130" s="64" t="s">
        <v>992</v>
      </c>
      <c r="H130" s="64" t="s">
        <v>8</v>
      </c>
      <c r="I130" s="64" t="s">
        <v>2</v>
      </c>
      <c r="J130" s="33"/>
      <c r="K130" s="65">
        <v>27394</v>
      </c>
      <c r="L130" s="66">
        <f t="shared" si="5"/>
        <v>1974</v>
      </c>
      <c r="M130" s="66">
        <f t="shared" si="3"/>
        <v>45</v>
      </c>
      <c r="N130" s="64" t="s">
        <v>3</v>
      </c>
      <c r="O130" s="64"/>
      <c r="P130" s="33" t="s">
        <v>4</v>
      </c>
      <c r="Q130" s="64"/>
      <c r="R130" s="33" t="s">
        <v>126</v>
      </c>
    </row>
    <row r="131" spans="2:18" s="63" customFormat="1">
      <c r="B131" s="137"/>
      <c r="C131" s="137"/>
      <c r="D131" s="64">
        <v>124</v>
      </c>
      <c r="E131" s="33" t="s">
        <v>993</v>
      </c>
      <c r="F131" s="64" t="s">
        <v>13</v>
      </c>
      <c r="G131" s="64" t="s">
        <v>994</v>
      </c>
      <c r="H131" s="64" t="s">
        <v>8</v>
      </c>
      <c r="I131" s="64" t="s">
        <v>11</v>
      </c>
      <c r="J131" s="33"/>
      <c r="K131" s="65">
        <v>35282</v>
      </c>
      <c r="L131" s="66">
        <f t="shared" si="5"/>
        <v>1996</v>
      </c>
      <c r="M131" s="66">
        <f t="shared" si="3"/>
        <v>23</v>
      </c>
      <c r="N131" s="64" t="s">
        <v>3</v>
      </c>
      <c r="O131" s="64"/>
      <c r="P131" s="33" t="s">
        <v>12</v>
      </c>
      <c r="Q131" s="64"/>
      <c r="R131" s="33" t="s">
        <v>4</v>
      </c>
    </row>
    <row r="132" spans="2:18" s="63" customFormat="1">
      <c r="B132" s="137"/>
      <c r="C132" s="137"/>
      <c r="D132" s="64">
        <v>125</v>
      </c>
      <c r="E132" s="33" t="s">
        <v>995</v>
      </c>
      <c r="F132" s="64" t="s">
        <v>13</v>
      </c>
      <c r="G132" s="64" t="s">
        <v>996</v>
      </c>
      <c r="H132" s="64" t="s">
        <v>8</v>
      </c>
      <c r="I132" s="64" t="s">
        <v>11</v>
      </c>
      <c r="J132" s="33"/>
      <c r="K132" s="65">
        <v>39437</v>
      </c>
      <c r="L132" s="66">
        <f t="shared" si="5"/>
        <v>2007</v>
      </c>
      <c r="M132" s="66">
        <f t="shared" si="3"/>
        <v>12</v>
      </c>
      <c r="N132" s="64" t="s">
        <v>3</v>
      </c>
      <c r="O132" s="64"/>
      <c r="P132" s="33" t="s">
        <v>4</v>
      </c>
      <c r="Q132" s="64"/>
      <c r="R132" s="33" t="s">
        <v>4</v>
      </c>
    </row>
    <row r="133" spans="2:18" s="63" customFormat="1" ht="25.5">
      <c r="B133" s="137">
        <v>45</v>
      </c>
      <c r="C133" s="137" t="s">
        <v>1470</v>
      </c>
      <c r="D133" s="64">
        <v>126</v>
      </c>
      <c r="E133" s="33" t="s">
        <v>1002</v>
      </c>
      <c r="F133" s="64" t="s">
        <v>6</v>
      </c>
      <c r="G133" s="64" t="s">
        <v>1471</v>
      </c>
      <c r="H133" s="64" t="s">
        <v>1</v>
      </c>
      <c r="I133" s="64" t="s">
        <v>2</v>
      </c>
      <c r="J133" s="33" t="s">
        <v>1166</v>
      </c>
      <c r="K133" s="65">
        <v>30316</v>
      </c>
      <c r="L133" s="66">
        <v>1982</v>
      </c>
      <c r="M133" s="66">
        <f t="shared" si="3"/>
        <v>37</v>
      </c>
      <c r="N133" s="64" t="s">
        <v>3</v>
      </c>
      <c r="O133" s="64" t="s">
        <v>1169</v>
      </c>
      <c r="P133" s="33" t="s">
        <v>1181</v>
      </c>
      <c r="Q133" s="64"/>
      <c r="R133" s="33" t="s">
        <v>1178</v>
      </c>
    </row>
    <row r="134" spans="2:18" s="63" customFormat="1" ht="25.5">
      <c r="B134" s="137"/>
      <c r="C134" s="137"/>
      <c r="D134" s="64">
        <v>127</v>
      </c>
      <c r="E134" s="33" t="s">
        <v>1003</v>
      </c>
      <c r="F134" s="64" t="s">
        <v>9</v>
      </c>
      <c r="G134" s="64" t="s">
        <v>1472</v>
      </c>
      <c r="H134" s="64" t="s">
        <v>8</v>
      </c>
      <c r="I134" s="64" t="s">
        <v>2</v>
      </c>
      <c r="J134" s="33" t="s">
        <v>1474</v>
      </c>
      <c r="K134" s="65">
        <v>32142</v>
      </c>
      <c r="L134" s="66">
        <v>1987</v>
      </c>
      <c r="M134" s="66">
        <f t="shared" si="3"/>
        <v>32</v>
      </c>
      <c r="N134" s="64" t="s">
        <v>3</v>
      </c>
      <c r="O134" s="64" t="s">
        <v>1169</v>
      </c>
      <c r="P134" s="33" t="s">
        <v>1199</v>
      </c>
      <c r="Q134" s="64"/>
      <c r="R134" s="33" t="s">
        <v>1168</v>
      </c>
    </row>
    <row r="135" spans="2:18" s="63" customFormat="1" ht="25.5">
      <c r="B135" s="137"/>
      <c r="C135" s="137"/>
      <c r="D135" s="64">
        <v>128</v>
      </c>
      <c r="E135" s="33" t="s">
        <v>1004</v>
      </c>
      <c r="F135" s="64" t="s">
        <v>13</v>
      </c>
      <c r="G135" s="64" t="s">
        <v>1473</v>
      </c>
      <c r="H135" s="64" t="s">
        <v>8</v>
      </c>
      <c r="I135" s="64" t="s">
        <v>11</v>
      </c>
      <c r="J135" s="33" t="s">
        <v>1250</v>
      </c>
      <c r="K135" s="65">
        <v>41173</v>
      </c>
      <c r="L135" s="66">
        <v>2012</v>
      </c>
      <c r="M135" s="66">
        <f t="shared" si="3"/>
        <v>7</v>
      </c>
      <c r="N135" s="64" t="s">
        <v>3</v>
      </c>
      <c r="O135" s="64" t="s">
        <v>1169</v>
      </c>
      <c r="P135" s="33" t="s">
        <v>1177</v>
      </c>
      <c r="Q135" s="64"/>
      <c r="R135" s="33" t="s">
        <v>1192</v>
      </c>
    </row>
    <row r="136" spans="2:18" s="63" customFormat="1">
      <c r="B136" s="137">
        <v>46</v>
      </c>
      <c r="C136" s="137"/>
      <c r="D136" s="64">
        <v>129</v>
      </c>
      <c r="E136" s="33" t="s">
        <v>285</v>
      </c>
      <c r="F136" s="64" t="s">
        <v>6</v>
      </c>
      <c r="G136" s="64" t="s">
        <v>1005</v>
      </c>
      <c r="H136" s="64" t="s">
        <v>1</v>
      </c>
      <c r="I136" s="64" t="s">
        <v>2</v>
      </c>
      <c r="J136" s="33"/>
      <c r="K136" s="65">
        <v>26664</v>
      </c>
      <c r="L136" s="66">
        <f t="shared" ref="L136:L139" si="6">YEAR(K136)</f>
        <v>1972</v>
      </c>
      <c r="M136" s="66">
        <f t="shared" ref="M136:M199" si="7">2019-L136</f>
        <v>47</v>
      </c>
      <c r="N136" s="64" t="s">
        <v>3</v>
      </c>
      <c r="O136" s="64"/>
      <c r="P136" s="33" t="s">
        <v>4</v>
      </c>
      <c r="Q136" s="64"/>
      <c r="R136" s="33" t="s">
        <v>5</v>
      </c>
    </row>
    <row r="137" spans="2:18" s="63" customFormat="1">
      <c r="B137" s="137"/>
      <c r="C137" s="137"/>
      <c r="D137" s="64">
        <v>130</v>
      </c>
      <c r="E137" s="33" t="s">
        <v>1006</v>
      </c>
      <c r="F137" s="64" t="s">
        <v>9</v>
      </c>
      <c r="G137" s="64" t="s">
        <v>1007</v>
      </c>
      <c r="H137" s="64" t="s">
        <v>8</v>
      </c>
      <c r="I137" s="64" t="s">
        <v>2</v>
      </c>
      <c r="J137" s="33"/>
      <c r="K137" s="65">
        <v>25786</v>
      </c>
      <c r="L137" s="66">
        <f t="shared" si="6"/>
        <v>1970</v>
      </c>
      <c r="M137" s="66">
        <f t="shared" si="7"/>
        <v>49</v>
      </c>
      <c r="N137" s="64" t="s">
        <v>3</v>
      </c>
      <c r="O137" s="64"/>
      <c r="P137" s="33" t="s">
        <v>4</v>
      </c>
      <c r="Q137" s="64"/>
      <c r="R137" s="33" t="s">
        <v>5</v>
      </c>
    </row>
    <row r="138" spans="2:18" s="63" customFormat="1">
      <c r="B138" s="137"/>
      <c r="C138" s="137"/>
      <c r="D138" s="64">
        <v>131</v>
      </c>
      <c r="E138" s="33" t="s">
        <v>1008</v>
      </c>
      <c r="F138" s="64" t="s">
        <v>13</v>
      </c>
      <c r="G138" s="64" t="s">
        <v>1009</v>
      </c>
      <c r="H138" s="64" t="s">
        <v>8</v>
      </c>
      <c r="I138" s="64" t="s">
        <v>11</v>
      </c>
      <c r="J138" s="33"/>
      <c r="K138" s="65">
        <v>38017</v>
      </c>
      <c r="L138" s="66">
        <f t="shared" si="6"/>
        <v>2004</v>
      </c>
      <c r="M138" s="66">
        <f t="shared" si="7"/>
        <v>15</v>
      </c>
      <c r="N138" s="64" t="s">
        <v>3</v>
      </c>
      <c r="O138" s="64"/>
      <c r="P138" s="33" t="s">
        <v>4</v>
      </c>
      <c r="Q138" s="64"/>
      <c r="R138" s="33" t="s">
        <v>4</v>
      </c>
    </row>
    <row r="139" spans="2:18" s="63" customFormat="1" ht="25.5">
      <c r="B139" s="137"/>
      <c r="C139" s="137"/>
      <c r="D139" s="64">
        <v>132</v>
      </c>
      <c r="E139" s="33" t="s">
        <v>1010</v>
      </c>
      <c r="F139" s="64" t="s">
        <v>13</v>
      </c>
      <c r="G139" s="64" t="s">
        <v>1011</v>
      </c>
      <c r="H139" s="64" t="s">
        <v>8</v>
      </c>
      <c r="I139" s="64" t="s">
        <v>11</v>
      </c>
      <c r="J139" s="33"/>
      <c r="K139" s="65">
        <v>41792</v>
      </c>
      <c r="L139" s="66">
        <f t="shared" si="6"/>
        <v>2014</v>
      </c>
      <c r="M139" s="66">
        <f t="shared" si="7"/>
        <v>5</v>
      </c>
      <c r="N139" s="64" t="s">
        <v>3</v>
      </c>
      <c r="O139" s="64"/>
      <c r="P139" s="33" t="s">
        <v>4</v>
      </c>
      <c r="Q139" s="64"/>
      <c r="R139" s="33" t="s">
        <v>4</v>
      </c>
    </row>
    <row r="140" spans="2:18" s="63" customFormat="1" ht="25.5">
      <c r="B140" s="137">
        <v>47</v>
      </c>
      <c r="C140" s="137" t="s">
        <v>1390</v>
      </c>
      <c r="D140" s="64">
        <v>133</v>
      </c>
      <c r="E140" s="33" t="s">
        <v>93</v>
      </c>
      <c r="F140" s="64" t="s">
        <v>6</v>
      </c>
      <c r="G140" s="64" t="s">
        <v>1012</v>
      </c>
      <c r="H140" s="64" t="s">
        <v>8</v>
      </c>
      <c r="I140" s="64" t="s">
        <v>1197</v>
      </c>
      <c r="J140" s="33" t="s">
        <v>1166</v>
      </c>
      <c r="K140" s="65">
        <v>29037</v>
      </c>
      <c r="L140" s="66">
        <v>1979</v>
      </c>
      <c r="M140" s="66">
        <f t="shared" si="7"/>
        <v>40</v>
      </c>
      <c r="N140" s="64" t="s">
        <v>3</v>
      </c>
      <c r="O140" s="64" t="s">
        <v>1169</v>
      </c>
      <c r="P140" s="33" t="s">
        <v>1181</v>
      </c>
      <c r="Q140" s="64"/>
      <c r="R140" s="33" t="s">
        <v>1178</v>
      </c>
    </row>
    <row r="141" spans="2:18" s="63" customFormat="1" ht="25.5">
      <c r="B141" s="137"/>
      <c r="C141" s="137"/>
      <c r="D141" s="64">
        <v>134</v>
      </c>
      <c r="E141" s="33" t="s">
        <v>1391</v>
      </c>
      <c r="F141" s="64" t="s">
        <v>13</v>
      </c>
      <c r="G141" s="64" t="s">
        <v>1013</v>
      </c>
      <c r="H141" s="64" t="s">
        <v>8</v>
      </c>
      <c r="I141" s="64" t="s">
        <v>11</v>
      </c>
      <c r="J141" s="33" t="s">
        <v>1166</v>
      </c>
      <c r="K141" s="65">
        <v>35192</v>
      </c>
      <c r="L141" s="66">
        <v>1996</v>
      </c>
      <c r="M141" s="66">
        <f t="shared" si="7"/>
        <v>23</v>
      </c>
      <c r="N141" s="64" t="s">
        <v>3</v>
      </c>
      <c r="O141" s="64" t="s">
        <v>1169</v>
      </c>
      <c r="P141" s="33" t="s">
        <v>1174</v>
      </c>
      <c r="Q141" s="64"/>
      <c r="R141" s="33" t="s">
        <v>1375</v>
      </c>
    </row>
    <row r="142" spans="2:18" s="63" customFormat="1" ht="25.5">
      <c r="B142" s="137">
        <v>48</v>
      </c>
      <c r="C142" s="137" t="s">
        <v>1454</v>
      </c>
      <c r="D142" s="64">
        <v>135</v>
      </c>
      <c r="E142" s="33" t="s">
        <v>1455</v>
      </c>
      <c r="F142" s="64" t="s">
        <v>6</v>
      </c>
      <c r="G142" s="64" t="s">
        <v>1014</v>
      </c>
      <c r="H142" s="64" t="s">
        <v>1</v>
      </c>
      <c r="I142" s="64" t="s">
        <v>2</v>
      </c>
      <c r="J142" s="33" t="s">
        <v>1166</v>
      </c>
      <c r="K142" s="65">
        <v>26341</v>
      </c>
      <c r="L142" s="66">
        <v>1972</v>
      </c>
      <c r="M142" s="66">
        <f t="shared" si="7"/>
        <v>47</v>
      </c>
      <c r="N142" s="64" t="s">
        <v>3</v>
      </c>
      <c r="O142" s="64" t="s">
        <v>1169</v>
      </c>
      <c r="P142" s="33" t="s">
        <v>1181</v>
      </c>
      <c r="Q142" s="64"/>
      <c r="R142" s="33" t="s">
        <v>1167</v>
      </c>
    </row>
    <row r="143" spans="2:18" s="63" customFormat="1">
      <c r="B143" s="137"/>
      <c r="C143" s="137"/>
      <c r="D143" s="64">
        <v>136</v>
      </c>
      <c r="E143" s="33" t="s">
        <v>1456</v>
      </c>
      <c r="F143" s="64" t="s">
        <v>9</v>
      </c>
      <c r="G143" s="64" t="s">
        <v>1015</v>
      </c>
      <c r="H143" s="64" t="s">
        <v>8</v>
      </c>
      <c r="I143" s="64" t="s">
        <v>2</v>
      </c>
      <c r="J143" s="33" t="s">
        <v>1166</v>
      </c>
      <c r="K143" s="65">
        <v>27759</v>
      </c>
      <c r="L143" s="66">
        <v>1975</v>
      </c>
      <c r="M143" s="66">
        <f t="shared" si="7"/>
        <v>44</v>
      </c>
      <c r="N143" s="64" t="s">
        <v>3</v>
      </c>
      <c r="O143" s="64" t="s">
        <v>1169</v>
      </c>
      <c r="P143" s="33" t="s">
        <v>1181</v>
      </c>
      <c r="Q143" s="64"/>
      <c r="R143" s="33" t="s">
        <v>1167</v>
      </c>
    </row>
    <row r="144" spans="2:18" s="63" customFormat="1">
      <c r="B144" s="137"/>
      <c r="C144" s="137"/>
      <c r="D144" s="64">
        <v>137</v>
      </c>
      <c r="E144" s="33" t="s">
        <v>1016</v>
      </c>
      <c r="F144" s="64" t="s">
        <v>13</v>
      </c>
      <c r="G144" s="64" t="s">
        <v>1017</v>
      </c>
      <c r="H144" s="64" t="s">
        <v>1</v>
      </c>
      <c r="I144" s="64" t="s">
        <v>11</v>
      </c>
      <c r="J144" s="33" t="s">
        <v>1166</v>
      </c>
      <c r="K144" s="65">
        <v>35703</v>
      </c>
      <c r="L144" s="66">
        <v>1997</v>
      </c>
      <c r="M144" s="66">
        <f t="shared" si="7"/>
        <v>22</v>
      </c>
      <c r="N144" s="64" t="s">
        <v>3</v>
      </c>
      <c r="O144" s="64" t="s">
        <v>1169</v>
      </c>
      <c r="P144" s="33" t="s">
        <v>1199</v>
      </c>
      <c r="Q144" s="64"/>
      <c r="R144" s="33" t="s">
        <v>1175</v>
      </c>
    </row>
    <row r="145" spans="2:18" s="63" customFormat="1" ht="25.5">
      <c r="B145" s="137"/>
      <c r="C145" s="137"/>
      <c r="D145" s="64">
        <v>138</v>
      </c>
      <c r="E145" s="33" t="s">
        <v>1018</v>
      </c>
      <c r="F145" s="64" t="s">
        <v>13</v>
      </c>
      <c r="G145" s="64" t="s">
        <v>1019</v>
      </c>
      <c r="H145" s="64" t="s">
        <v>8</v>
      </c>
      <c r="I145" s="64" t="s">
        <v>11</v>
      </c>
      <c r="J145" s="33" t="s">
        <v>1166</v>
      </c>
      <c r="K145" s="65">
        <v>39002</v>
      </c>
      <c r="L145" s="66">
        <v>2006</v>
      </c>
      <c r="M145" s="66">
        <f t="shared" si="7"/>
        <v>13</v>
      </c>
      <c r="N145" s="64" t="s">
        <v>3</v>
      </c>
      <c r="O145" s="64" t="s">
        <v>1169</v>
      </c>
      <c r="P145" s="33" t="s">
        <v>1181</v>
      </c>
      <c r="Q145" s="64"/>
      <c r="R145" s="33" t="s">
        <v>1175</v>
      </c>
    </row>
    <row r="146" spans="2:18" s="63" customFormat="1">
      <c r="B146" s="137">
        <v>49</v>
      </c>
      <c r="C146" s="137"/>
      <c r="D146" s="64">
        <v>139</v>
      </c>
      <c r="E146" s="33" t="s">
        <v>1020</v>
      </c>
      <c r="F146" s="64" t="s">
        <v>6</v>
      </c>
      <c r="G146" s="64" t="s">
        <v>1021</v>
      </c>
      <c r="H146" s="64" t="s">
        <v>1</v>
      </c>
      <c r="I146" s="64" t="s">
        <v>2</v>
      </c>
      <c r="J146" s="33"/>
      <c r="K146" s="65">
        <v>24107</v>
      </c>
      <c r="L146" s="66">
        <f t="shared" ref="L146:L151" si="8">YEAR(K146)</f>
        <v>1965</v>
      </c>
      <c r="M146" s="66">
        <f t="shared" si="7"/>
        <v>54</v>
      </c>
      <c r="N146" s="64" t="s">
        <v>3</v>
      </c>
      <c r="O146" s="64"/>
      <c r="P146" s="33" t="s">
        <v>4</v>
      </c>
      <c r="Q146" s="64"/>
      <c r="R146" s="33" t="s">
        <v>5</v>
      </c>
    </row>
    <row r="147" spans="2:18" s="63" customFormat="1">
      <c r="B147" s="137"/>
      <c r="C147" s="137"/>
      <c r="D147" s="64">
        <v>140</v>
      </c>
      <c r="E147" s="33" t="s">
        <v>945</v>
      </c>
      <c r="F147" s="64" t="s">
        <v>9</v>
      </c>
      <c r="G147" s="64" t="s">
        <v>1022</v>
      </c>
      <c r="H147" s="64" t="s">
        <v>8</v>
      </c>
      <c r="I147" s="64" t="s">
        <v>2</v>
      </c>
      <c r="J147" s="33"/>
      <c r="K147" s="65">
        <v>23376</v>
      </c>
      <c r="L147" s="66">
        <f t="shared" si="8"/>
        <v>1963</v>
      </c>
      <c r="M147" s="66">
        <f t="shared" si="7"/>
        <v>56</v>
      </c>
      <c r="N147" s="64" t="s">
        <v>3</v>
      </c>
      <c r="O147" s="64"/>
      <c r="P147" s="33" t="s">
        <v>4</v>
      </c>
      <c r="Q147" s="64"/>
      <c r="R147" s="33" t="s">
        <v>5</v>
      </c>
    </row>
    <row r="148" spans="2:18" s="63" customFormat="1">
      <c r="B148" s="137"/>
      <c r="C148" s="137"/>
      <c r="D148" s="64">
        <v>141</v>
      </c>
      <c r="E148" s="33" t="s">
        <v>615</v>
      </c>
      <c r="F148" s="64" t="s">
        <v>13</v>
      </c>
      <c r="G148" s="64" t="s">
        <v>1023</v>
      </c>
      <c r="H148" s="64" t="s">
        <v>1</v>
      </c>
      <c r="I148" s="64" t="s">
        <v>11</v>
      </c>
      <c r="J148" s="33"/>
      <c r="K148" s="65">
        <v>33187</v>
      </c>
      <c r="L148" s="66">
        <f t="shared" si="8"/>
        <v>1990</v>
      </c>
      <c r="M148" s="66">
        <f t="shared" si="7"/>
        <v>29</v>
      </c>
      <c r="N148" s="64" t="s">
        <v>3</v>
      </c>
      <c r="O148" s="64"/>
      <c r="P148" s="33" t="s">
        <v>116</v>
      </c>
      <c r="Q148" s="64"/>
      <c r="R148" s="33" t="s">
        <v>85</v>
      </c>
    </row>
    <row r="149" spans="2:18" s="63" customFormat="1">
      <c r="B149" s="137"/>
      <c r="C149" s="137"/>
      <c r="D149" s="64">
        <v>142</v>
      </c>
      <c r="E149" s="33" t="s">
        <v>1024</v>
      </c>
      <c r="F149" s="64" t="s">
        <v>13</v>
      </c>
      <c r="G149" s="64" t="s">
        <v>1025</v>
      </c>
      <c r="H149" s="64" t="s">
        <v>1</v>
      </c>
      <c r="I149" s="64" t="s">
        <v>11</v>
      </c>
      <c r="J149" s="33"/>
      <c r="K149" s="65">
        <v>34824</v>
      </c>
      <c r="L149" s="66">
        <f t="shared" si="8"/>
        <v>1995</v>
      </c>
      <c r="M149" s="66">
        <f t="shared" si="7"/>
        <v>24</v>
      </c>
      <c r="N149" s="64" t="s">
        <v>3</v>
      </c>
      <c r="O149" s="64"/>
      <c r="P149" s="33" t="s">
        <v>12</v>
      </c>
      <c r="Q149" s="64"/>
      <c r="R149" s="33" t="s">
        <v>4</v>
      </c>
    </row>
    <row r="150" spans="2:18" s="63" customFormat="1" ht="25.5">
      <c r="B150" s="137"/>
      <c r="C150" s="137"/>
      <c r="D150" s="64">
        <v>143</v>
      </c>
      <c r="E150" s="33" t="s">
        <v>1026</v>
      </c>
      <c r="F150" s="64" t="s">
        <v>13</v>
      </c>
      <c r="G150" s="64" t="s">
        <v>1027</v>
      </c>
      <c r="H150" s="64" t="s">
        <v>1</v>
      </c>
      <c r="I150" s="64" t="s">
        <v>11</v>
      </c>
      <c r="J150" s="33"/>
      <c r="K150" s="65">
        <v>37048</v>
      </c>
      <c r="L150" s="66">
        <f t="shared" si="8"/>
        <v>2001</v>
      </c>
      <c r="M150" s="66">
        <f t="shared" si="7"/>
        <v>18</v>
      </c>
      <c r="N150" s="64" t="s">
        <v>3</v>
      </c>
      <c r="O150" s="64"/>
      <c r="P150" s="33" t="s">
        <v>4</v>
      </c>
      <c r="Q150" s="64"/>
      <c r="R150" s="33" t="s">
        <v>4</v>
      </c>
    </row>
    <row r="151" spans="2:18" s="63" customFormat="1" ht="25.5">
      <c r="B151" s="137"/>
      <c r="C151" s="137"/>
      <c r="D151" s="64">
        <v>144</v>
      </c>
      <c r="E151" s="33" t="s">
        <v>1028</v>
      </c>
      <c r="F151" s="64" t="s">
        <v>13</v>
      </c>
      <c r="G151" s="64" t="s">
        <v>1029</v>
      </c>
      <c r="H151" s="64" t="s">
        <v>1</v>
      </c>
      <c r="I151" s="64" t="s">
        <v>11</v>
      </c>
      <c r="J151" s="33"/>
      <c r="K151" s="65">
        <v>37909</v>
      </c>
      <c r="L151" s="66">
        <f t="shared" si="8"/>
        <v>2003</v>
      </c>
      <c r="M151" s="66">
        <f t="shared" si="7"/>
        <v>16</v>
      </c>
      <c r="N151" s="64" t="s">
        <v>3</v>
      </c>
      <c r="O151" s="64"/>
      <c r="P151" s="33" t="s">
        <v>4</v>
      </c>
      <c r="Q151" s="64"/>
      <c r="R151" s="33" t="s">
        <v>4</v>
      </c>
    </row>
    <row r="152" spans="2:18" s="63" customFormat="1">
      <c r="B152" s="137">
        <v>50</v>
      </c>
      <c r="C152" s="137" t="s">
        <v>1425</v>
      </c>
      <c r="D152" s="64">
        <v>145</v>
      </c>
      <c r="E152" s="33" t="s">
        <v>1032</v>
      </c>
      <c r="F152" s="64" t="s">
        <v>6</v>
      </c>
      <c r="G152" s="64" t="s">
        <v>1426</v>
      </c>
      <c r="H152" s="64" t="s">
        <v>1</v>
      </c>
      <c r="I152" s="64" t="s">
        <v>2</v>
      </c>
      <c r="J152" s="33" t="s">
        <v>1166</v>
      </c>
      <c r="K152" s="65">
        <v>31881</v>
      </c>
      <c r="L152" s="66">
        <v>1987</v>
      </c>
      <c r="M152" s="66">
        <f t="shared" si="7"/>
        <v>32</v>
      </c>
      <c r="N152" s="64" t="s">
        <v>3</v>
      </c>
      <c r="O152" s="64" t="s">
        <v>1169</v>
      </c>
      <c r="P152" s="33" t="s">
        <v>1174</v>
      </c>
      <c r="Q152" s="64"/>
      <c r="R152" s="33" t="s">
        <v>85</v>
      </c>
    </row>
    <row r="153" spans="2:18" s="63" customFormat="1">
      <c r="B153" s="137"/>
      <c r="C153" s="137"/>
      <c r="D153" s="64">
        <v>146</v>
      </c>
      <c r="E153" s="33" t="s">
        <v>1033</v>
      </c>
      <c r="F153" s="64" t="s">
        <v>9</v>
      </c>
      <c r="G153" s="64" t="s">
        <v>1034</v>
      </c>
      <c r="H153" s="64" t="s">
        <v>8</v>
      </c>
      <c r="I153" s="64" t="s">
        <v>2</v>
      </c>
      <c r="J153" s="33" t="s">
        <v>1428</v>
      </c>
      <c r="K153" s="65">
        <v>34228</v>
      </c>
      <c r="L153" s="66">
        <v>1993</v>
      </c>
      <c r="M153" s="66">
        <f t="shared" si="7"/>
        <v>26</v>
      </c>
      <c r="N153" s="64" t="s">
        <v>3</v>
      </c>
      <c r="O153" s="64" t="s">
        <v>1169</v>
      </c>
      <c r="P153" s="33" t="s">
        <v>1174</v>
      </c>
      <c r="Q153" s="64"/>
      <c r="R153" s="33" t="s">
        <v>85</v>
      </c>
    </row>
    <row r="154" spans="2:18" s="63" customFormat="1" ht="25.5">
      <c r="B154" s="137"/>
      <c r="C154" s="137"/>
      <c r="D154" s="64">
        <v>147</v>
      </c>
      <c r="E154" s="33" t="s">
        <v>1424</v>
      </c>
      <c r="F154" s="64" t="s">
        <v>13</v>
      </c>
      <c r="G154" s="64" t="s">
        <v>1427</v>
      </c>
      <c r="H154" s="64" t="s">
        <v>1</v>
      </c>
      <c r="I154" s="64" t="s">
        <v>11</v>
      </c>
      <c r="J154" s="33" t="s">
        <v>1250</v>
      </c>
      <c r="K154" s="65">
        <v>42144</v>
      </c>
      <c r="L154" s="66">
        <v>2015</v>
      </c>
      <c r="M154" s="66">
        <f t="shared" si="7"/>
        <v>4</v>
      </c>
      <c r="N154" s="66" t="s">
        <v>3</v>
      </c>
      <c r="O154" s="64" t="s">
        <v>1169</v>
      </c>
      <c r="P154" s="33" t="s">
        <v>1177</v>
      </c>
      <c r="Q154" s="64"/>
      <c r="R154" s="33" t="s">
        <v>1192</v>
      </c>
    </row>
    <row r="155" spans="2:18" s="63" customFormat="1" ht="25.5">
      <c r="B155" s="137">
        <v>51</v>
      </c>
      <c r="C155" s="137" t="s">
        <v>1457</v>
      </c>
      <c r="D155" s="64">
        <v>148</v>
      </c>
      <c r="E155" s="33" t="s">
        <v>1458</v>
      </c>
      <c r="F155" s="64" t="s">
        <v>6</v>
      </c>
      <c r="G155" s="64" t="s">
        <v>1461</v>
      </c>
      <c r="H155" s="64" t="s">
        <v>1</v>
      </c>
      <c r="I155" s="64" t="s">
        <v>2</v>
      </c>
      <c r="J155" s="33" t="s">
        <v>1166</v>
      </c>
      <c r="K155" s="65">
        <v>33001</v>
      </c>
      <c r="L155" s="66">
        <v>1990</v>
      </c>
      <c r="M155" s="66">
        <f t="shared" si="7"/>
        <v>29</v>
      </c>
      <c r="N155" s="64" t="s">
        <v>3</v>
      </c>
      <c r="O155" s="64" t="s">
        <v>1169</v>
      </c>
      <c r="P155" s="33" t="s">
        <v>1465</v>
      </c>
      <c r="Q155" s="64"/>
      <c r="R155" s="33" t="s">
        <v>1300</v>
      </c>
    </row>
    <row r="156" spans="2:18" s="63" customFormat="1" ht="25.5">
      <c r="B156" s="137"/>
      <c r="C156" s="137"/>
      <c r="D156" s="64">
        <v>149</v>
      </c>
      <c r="E156" s="33" t="s">
        <v>1459</v>
      </c>
      <c r="F156" s="64" t="s">
        <v>9</v>
      </c>
      <c r="G156" s="64" t="s">
        <v>1462</v>
      </c>
      <c r="H156" s="64" t="s">
        <v>8</v>
      </c>
      <c r="I156" s="64" t="s">
        <v>2</v>
      </c>
      <c r="J156" s="33" t="s">
        <v>1464</v>
      </c>
      <c r="K156" s="65">
        <v>32901</v>
      </c>
      <c r="L156" s="66">
        <v>1990</v>
      </c>
      <c r="M156" s="66">
        <f t="shared" si="7"/>
        <v>29</v>
      </c>
      <c r="N156" s="64" t="s">
        <v>3</v>
      </c>
      <c r="O156" s="64" t="s">
        <v>1169</v>
      </c>
      <c r="P156" s="33" t="s">
        <v>1174</v>
      </c>
      <c r="Q156" s="64"/>
      <c r="R156" s="33" t="s">
        <v>1168</v>
      </c>
    </row>
    <row r="157" spans="2:18" s="63" customFormat="1" ht="25.5">
      <c r="B157" s="137"/>
      <c r="C157" s="137"/>
      <c r="D157" s="64">
        <v>150</v>
      </c>
      <c r="E157" s="33" t="s">
        <v>1460</v>
      </c>
      <c r="F157" s="64" t="s">
        <v>13</v>
      </c>
      <c r="G157" s="64" t="s">
        <v>1463</v>
      </c>
      <c r="H157" s="64" t="s">
        <v>8</v>
      </c>
      <c r="I157" s="64" t="s">
        <v>11</v>
      </c>
      <c r="J157" s="33" t="s">
        <v>1249</v>
      </c>
      <c r="K157" s="65">
        <v>42789</v>
      </c>
      <c r="L157" s="66">
        <v>2017</v>
      </c>
      <c r="M157" s="66">
        <f t="shared" si="7"/>
        <v>2</v>
      </c>
      <c r="N157" s="66" t="s">
        <v>3</v>
      </c>
      <c r="O157" s="64" t="s">
        <v>1169</v>
      </c>
      <c r="P157" s="33" t="s">
        <v>1177</v>
      </c>
      <c r="Q157" s="64"/>
      <c r="R157" s="33" t="s">
        <v>1192</v>
      </c>
    </row>
    <row r="158" spans="2:18" s="63" customFormat="1">
      <c r="B158" s="137">
        <v>52</v>
      </c>
      <c r="C158" s="137"/>
      <c r="D158" s="64">
        <v>151</v>
      </c>
      <c r="E158" s="33" t="s">
        <v>1035</v>
      </c>
      <c r="F158" s="64" t="s">
        <v>6</v>
      </c>
      <c r="G158" s="64" t="s">
        <v>1037</v>
      </c>
      <c r="H158" s="64" t="s">
        <v>1</v>
      </c>
      <c r="I158" s="64" t="s">
        <v>2</v>
      </c>
      <c r="J158" s="33"/>
      <c r="K158" s="65">
        <v>27759</v>
      </c>
      <c r="L158" s="66">
        <f t="shared" ref="L158:L221" si="9">YEAR(K158)</f>
        <v>1975</v>
      </c>
      <c r="M158" s="66">
        <f t="shared" si="7"/>
        <v>44</v>
      </c>
      <c r="N158" s="64" t="s">
        <v>3</v>
      </c>
      <c r="O158" s="64"/>
      <c r="P158" s="33" t="s">
        <v>116</v>
      </c>
      <c r="Q158" s="64"/>
      <c r="R158" s="33" t="s">
        <v>1036</v>
      </c>
    </row>
    <row r="159" spans="2:18" s="63" customFormat="1" ht="25.5">
      <c r="B159" s="137"/>
      <c r="C159" s="137"/>
      <c r="D159" s="64">
        <v>152</v>
      </c>
      <c r="E159" s="33" t="s">
        <v>1038</v>
      </c>
      <c r="F159" s="64" t="s">
        <v>9</v>
      </c>
      <c r="G159" s="64" t="s">
        <v>1039</v>
      </c>
      <c r="H159" s="64" t="s">
        <v>8</v>
      </c>
      <c r="I159" s="64" t="s">
        <v>2</v>
      </c>
      <c r="J159" s="33"/>
      <c r="K159" s="65">
        <v>31313</v>
      </c>
      <c r="L159" s="66">
        <f t="shared" si="9"/>
        <v>1985</v>
      </c>
      <c r="M159" s="66">
        <f t="shared" si="7"/>
        <v>34</v>
      </c>
      <c r="N159" s="64" t="s">
        <v>3</v>
      </c>
      <c r="O159" s="64"/>
      <c r="P159" s="33" t="s">
        <v>116</v>
      </c>
      <c r="Q159" s="64"/>
      <c r="R159" s="33" t="s">
        <v>1036</v>
      </c>
    </row>
    <row r="160" spans="2:18" s="63" customFormat="1" ht="38.25">
      <c r="B160" s="137"/>
      <c r="C160" s="137"/>
      <c r="D160" s="64">
        <v>153</v>
      </c>
      <c r="E160" s="33" t="s">
        <v>1040</v>
      </c>
      <c r="F160" s="64" t="s">
        <v>13</v>
      </c>
      <c r="G160" s="64" t="s">
        <v>1041</v>
      </c>
      <c r="H160" s="64" t="s">
        <v>8</v>
      </c>
      <c r="I160" s="64" t="s">
        <v>11</v>
      </c>
      <c r="J160" s="33"/>
      <c r="K160" s="65">
        <v>39547</v>
      </c>
      <c r="L160" s="66">
        <f t="shared" si="9"/>
        <v>2008</v>
      </c>
      <c r="M160" s="66">
        <f t="shared" si="7"/>
        <v>11</v>
      </c>
      <c r="N160" s="64" t="s">
        <v>3</v>
      </c>
      <c r="O160" s="64"/>
      <c r="P160" s="33" t="s">
        <v>4</v>
      </c>
      <c r="Q160" s="64"/>
      <c r="R160" s="33" t="s">
        <v>1036</v>
      </c>
    </row>
    <row r="161" spans="2:18" s="63" customFormat="1" ht="25.5">
      <c r="B161" s="137"/>
      <c r="C161" s="137"/>
      <c r="D161" s="64">
        <v>154</v>
      </c>
      <c r="E161" s="33" t="s">
        <v>1042</v>
      </c>
      <c r="F161" s="64" t="s">
        <v>13</v>
      </c>
      <c r="G161" s="64" t="s">
        <v>1043</v>
      </c>
      <c r="H161" s="64" t="s">
        <v>8</v>
      </c>
      <c r="I161" s="64" t="s">
        <v>11</v>
      </c>
      <c r="J161" s="33"/>
      <c r="K161" s="65">
        <v>40355</v>
      </c>
      <c r="L161" s="66">
        <f t="shared" si="9"/>
        <v>2010</v>
      </c>
      <c r="M161" s="66">
        <f t="shared" si="7"/>
        <v>9</v>
      </c>
      <c r="N161" s="64" t="s">
        <v>3</v>
      </c>
      <c r="O161" s="64"/>
      <c r="P161" s="33" t="s">
        <v>4</v>
      </c>
      <c r="Q161" s="64"/>
      <c r="R161" s="33" t="s">
        <v>1036</v>
      </c>
    </row>
    <row r="162" spans="2:18" s="63" customFormat="1" ht="38.25">
      <c r="B162" s="137"/>
      <c r="C162" s="137"/>
      <c r="D162" s="64">
        <v>155</v>
      </c>
      <c r="E162" s="33" t="s">
        <v>1044</v>
      </c>
      <c r="F162" s="64" t="s">
        <v>13</v>
      </c>
      <c r="G162" s="64" t="s">
        <v>1045</v>
      </c>
      <c r="H162" s="64" t="s">
        <v>1</v>
      </c>
      <c r="I162" s="64" t="s">
        <v>11</v>
      </c>
      <c r="J162" s="33"/>
      <c r="K162" s="65">
        <v>41919</v>
      </c>
      <c r="L162" s="66">
        <f t="shared" si="9"/>
        <v>2014</v>
      </c>
      <c r="M162" s="66">
        <f t="shared" si="7"/>
        <v>5</v>
      </c>
      <c r="N162" s="64" t="s">
        <v>3</v>
      </c>
      <c r="O162" s="64"/>
      <c r="P162" s="33" t="s">
        <v>4</v>
      </c>
      <c r="Q162" s="64"/>
      <c r="R162" s="33" t="s">
        <v>1036</v>
      </c>
    </row>
    <row r="163" spans="2:18" s="63" customFormat="1">
      <c r="B163" s="137">
        <v>53</v>
      </c>
      <c r="C163" s="137"/>
      <c r="D163" s="64">
        <v>156</v>
      </c>
      <c r="E163" s="33" t="s">
        <v>904</v>
      </c>
      <c r="F163" s="64" t="s">
        <v>6</v>
      </c>
      <c r="G163" s="64" t="s">
        <v>1046</v>
      </c>
      <c r="H163" s="64" t="s">
        <v>1</v>
      </c>
      <c r="I163" s="64" t="s">
        <v>2</v>
      </c>
      <c r="J163" s="33"/>
      <c r="K163" s="65">
        <v>22894</v>
      </c>
      <c r="L163" s="66">
        <f t="shared" si="9"/>
        <v>1962</v>
      </c>
      <c r="M163" s="66">
        <f t="shared" si="7"/>
        <v>57</v>
      </c>
      <c r="N163" s="64" t="s">
        <v>3</v>
      </c>
      <c r="O163" s="64"/>
      <c r="P163" s="33" t="s">
        <v>4</v>
      </c>
      <c r="Q163" s="64"/>
      <c r="R163" s="33" t="s">
        <v>1036</v>
      </c>
    </row>
    <row r="164" spans="2:18" s="63" customFormat="1">
      <c r="B164" s="137"/>
      <c r="C164" s="137"/>
      <c r="D164" s="64">
        <v>157</v>
      </c>
      <c r="E164" s="33" t="s">
        <v>1047</v>
      </c>
      <c r="F164" s="64" t="s">
        <v>9</v>
      </c>
      <c r="G164" s="64" t="s">
        <v>1048</v>
      </c>
      <c r="H164" s="64" t="s">
        <v>8</v>
      </c>
      <c r="I164" s="64" t="s">
        <v>2</v>
      </c>
      <c r="J164" s="33"/>
      <c r="K164" s="65">
        <v>23683</v>
      </c>
      <c r="L164" s="66">
        <f t="shared" si="9"/>
        <v>1964</v>
      </c>
      <c r="M164" s="66">
        <f t="shared" si="7"/>
        <v>55</v>
      </c>
      <c r="N164" s="64" t="s">
        <v>3</v>
      </c>
      <c r="O164" s="64"/>
      <c r="P164" s="33" t="s">
        <v>4</v>
      </c>
      <c r="Q164" s="64"/>
      <c r="R164" s="33" t="s">
        <v>5</v>
      </c>
    </row>
    <row r="165" spans="2:18" s="63" customFormat="1">
      <c r="B165" s="137"/>
      <c r="C165" s="137"/>
      <c r="D165" s="64">
        <v>158</v>
      </c>
      <c r="E165" s="33" t="s">
        <v>553</v>
      </c>
      <c r="F165" s="64" t="s">
        <v>13</v>
      </c>
      <c r="G165" s="64" t="s">
        <v>1049</v>
      </c>
      <c r="H165" s="64" t="s">
        <v>8</v>
      </c>
      <c r="I165" s="64" t="s">
        <v>11</v>
      </c>
      <c r="J165" s="33"/>
      <c r="K165" s="65">
        <v>31777</v>
      </c>
      <c r="L165" s="66">
        <f t="shared" si="9"/>
        <v>1986</v>
      </c>
      <c r="M165" s="66">
        <f t="shared" si="7"/>
        <v>33</v>
      </c>
      <c r="N165" s="64" t="s">
        <v>3</v>
      </c>
      <c r="O165" s="64"/>
      <c r="P165" s="33" t="s">
        <v>28</v>
      </c>
      <c r="Q165" s="64"/>
      <c r="R165" s="33" t="s">
        <v>4</v>
      </c>
    </row>
    <row r="166" spans="2:18" s="63" customFormat="1">
      <c r="B166" s="137"/>
      <c r="C166" s="137"/>
      <c r="D166" s="64">
        <v>159</v>
      </c>
      <c r="E166" s="33" t="s">
        <v>1050</v>
      </c>
      <c r="F166" s="64" t="s">
        <v>13</v>
      </c>
      <c r="G166" s="64" t="s">
        <v>1049</v>
      </c>
      <c r="H166" s="64" t="s">
        <v>8</v>
      </c>
      <c r="I166" s="64" t="s">
        <v>11</v>
      </c>
      <c r="J166" s="33"/>
      <c r="K166" s="65">
        <v>32724</v>
      </c>
      <c r="L166" s="66">
        <f t="shared" si="9"/>
        <v>1989</v>
      </c>
      <c r="M166" s="66">
        <f t="shared" si="7"/>
        <v>30</v>
      </c>
      <c r="N166" s="64" t="s">
        <v>3</v>
      </c>
      <c r="O166" s="64"/>
      <c r="P166" s="33" t="s">
        <v>28</v>
      </c>
      <c r="Q166" s="64"/>
      <c r="R166" s="33" t="s">
        <v>4</v>
      </c>
    </row>
    <row r="167" spans="2:18" s="63" customFormat="1">
      <c r="B167" s="137">
        <v>54</v>
      </c>
      <c r="C167" s="137"/>
      <c r="D167" s="64">
        <v>160</v>
      </c>
      <c r="E167" s="33" t="s">
        <v>1060</v>
      </c>
      <c r="F167" s="64" t="s">
        <v>6</v>
      </c>
      <c r="G167" s="64" t="s">
        <v>1061</v>
      </c>
      <c r="H167" s="64" t="s">
        <v>1</v>
      </c>
      <c r="I167" s="64" t="s">
        <v>2</v>
      </c>
      <c r="J167" s="33"/>
      <c r="K167" s="65">
        <v>18609</v>
      </c>
      <c r="L167" s="66">
        <f t="shared" si="9"/>
        <v>1950</v>
      </c>
      <c r="M167" s="66">
        <f t="shared" si="7"/>
        <v>69</v>
      </c>
      <c r="N167" s="64" t="s">
        <v>3</v>
      </c>
      <c r="O167" s="64"/>
      <c r="P167" s="33" t="s">
        <v>4</v>
      </c>
      <c r="Q167" s="64"/>
      <c r="R167" s="33" t="s">
        <v>5</v>
      </c>
    </row>
    <row r="168" spans="2:18" s="63" customFormat="1">
      <c r="B168" s="137"/>
      <c r="C168" s="137"/>
      <c r="D168" s="64">
        <v>161</v>
      </c>
      <c r="E168" s="33" t="s">
        <v>503</v>
      </c>
      <c r="F168" s="64" t="s">
        <v>9</v>
      </c>
      <c r="G168" s="64" t="s">
        <v>1062</v>
      </c>
      <c r="H168" s="64" t="s">
        <v>8</v>
      </c>
      <c r="I168" s="64" t="s">
        <v>2</v>
      </c>
      <c r="J168" s="33"/>
      <c r="K168" s="65">
        <v>25385</v>
      </c>
      <c r="L168" s="66">
        <f t="shared" si="9"/>
        <v>1969</v>
      </c>
      <c r="M168" s="66">
        <f t="shared" si="7"/>
        <v>50</v>
      </c>
      <c r="N168" s="64" t="s">
        <v>3</v>
      </c>
      <c r="O168" s="64"/>
      <c r="P168" s="33" t="s">
        <v>4</v>
      </c>
      <c r="Q168" s="64"/>
      <c r="R168" s="33" t="s">
        <v>5</v>
      </c>
    </row>
    <row r="169" spans="2:18" s="63" customFormat="1">
      <c r="B169" s="137"/>
      <c r="C169" s="137"/>
      <c r="D169" s="64">
        <v>162</v>
      </c>
      <c r="E169" s="33" t="s">
        <v>1063</v>
      </c>
      <c r="F169" s="64" t="s">
        <v>13</v>
      </c>
      <c r="G169" s="64" t="s">
        <v>1064</v>
      </c>
      <c r="H169" s="64" t="s">
        <v>8</v>
      </c>
      <c r="I169" s="64" t="s">
        <v>11</v>
      </c>
      <c r="J169" s="33"/>
      <c r="K169" s="65">
        <v>35233</v>
      </c>
      <c r="L169" s="66">
        <f t="shared" si="9"/>
        <v>1996</v>
      </c>
      <c r="M169" s="66">
        <f t="shared" si="7"/>
        <v>23</v>
      </c>
      <c r="N169" s="64" t="s">
        <v>3</v>
      </c>
      <c r="O169" s="64"/>
      <c r="P169" s="33" t="s">
        <v>16</v>
      </c>
      <c r="Q169" s="64"/>
      <c r="R169" s="33" t="s">
        <v>4</v>
      </c>
    </row>
    <row r="170" spans="2:18" s="63" customFormat="1">
      <c r="B170" s="137"/>
      <c r="C170" s="137"/>
      <c r="D170" s="64">
        <v>163</v>
      </c>
      <c r="E170" s="33" t="s">
        <v>1065</v>
      </c>
      <c r="F170" s="64" t="s">
        <v>13</v>
      </c>
      <c r="G170" s="64" t="s">
        <v>1066</v>
      </c>
      <c r="H170" s="64" t="s">
        <v>8</v>
      </c>
      <c r="I170" s="64" t="s">
        <v>11</v>
      </c>
      <c r="J170" s="33"/>
      <c r="K170" s="65">
        <v>39052</v>
      </c>
      <c r="L170" s="66">
        <f t="shared" si="9"/>
        <v>2006</v>
      </c>
      <c r="M170" s="66">
        <f t="shared" si="7"/>
        <v>13</v>
      </c>
      <c r="N170" s="64" t="s">
        <v>3</v>
      </c>
      <c r="O170" s="64"/>
      <c r="P170" s="33" t="s">
        <v>4</v>
      </c>
      <c r="Q170" s="64"/>
      <c r="R170" s="33" t="s">
        <v>4</v>
      </c>
    </row>
    <row r="171" spans="2:18" s="63" customFormat="1">
      <c r="B171" s="137"/>
      <c r="C171" s="137"/>
      <c r="D171" s="64">
        <v>164</v>
      </c>
      <c r="E171" s="33" t="s">
        <v>1067</v>
      </c>
      <c r="F171" s="64" t="s">
        <v>13</v>
      </c>
      <c r="G171" s="64" t="s">
        <v>1068</v>
      </c>
      <c r="H171" s="64" t="s">
        <v>1</v>
      </c>
      <c r="I171" s="64" t="s">
        <v>11</v>
      </c>
      <c r="J171" s="33"/>
      <c r="K171" s="65">
        <v>39962</v>
      </c>
      <c r="L171" s="66">
        <f t="shared" si="9"/>
        <v>2009</v>
      </c>
      <c r="M171" s="66">
        <f t="shared" si="7"/>
        <v>10</v>
      </c>
      <c r="N171" s="64" t="s">
        <v>3</v>
      </c>
      <c r="O171" s="64"/>
      <c r="P171" s="33" t="s">
        <v>4</v>
      </c>
      <c r="Q171" s="64"/>
      <c r="R171" s="33" t="s">
        <v>4</v>
      </c>
    </row>
    <row r="172" spans="2:18" s="63" customFormat="1">
      <c r="B172" s="137">
        <v>55</v>
      </c>
      <c r="C172" s="137"/>
      <c r="D172" s="64">
        <v>165</v>
      </c>
      <c r="E172" s="33" t="s">
        <v>1069</v>
      </c>
      <c r="F172" s="64" t="s">
        <v>6</v>
      </c>
      <c r="G172" s="64" t="s">
        <v>1070</v>
      </c>
      <c r="H172" s="64" t="s">
        <v>1</v>
      </c>
      <c r="I172" s="64" t="s">
        <v>2</v>
      </c>
      <c r="J172" s="33"/>
      <c r="K172" s="65">
        <v>31899</v>
      </c>
      <c r="L172" s="66">
        <f t="shared" si="9"/>
        <v>1987</v>
      </c>
      <c r="M172" s="66">
        <f t="shared" si="7"/>
        <v>32</v>
      </c>
      <c r="N172" s="64" t="s">
        <v>3</v>
      </c>
      <c r="O172" s="64"/>
      <c r="P172" s="33" t="s">
        <v>12</v>
      </c>
      <c r="Q172" s="64"/>
      <c r="R172" s="33" t="s">
        <v>5</v>
      </c>
    </row>
    <row r="173" spans="2:18" s="63" customFormat="1">
      <c r="B173" s="137"/>
      <c r="C173" s="137"/>
      <c r="D173" s="64">
        <v>166</v>
      </c>
      <c r="E173" s="33" t="s">
        <v>1071</v>
      </c>
      <c r="F173" s="64" t="s">
        <v>9</v>
      </c>
      <c r="G173" s="64" t="s">
        <v>1072</v>
      </c>
      <c r="H173" s="64" t="s">
        <v>8</v>
      </c>
      <c r="I173" s="64" t="s">
        <v>2</v>
      </c>
      <c r="J173" s="33"/>
      <c r="K173" s="65">
        <v>31941</v>
      </c>
      <c r="L173" s="66">
        <f t="shared" si="9"/>
        <v>1987</v>
      </c>
      <c r="M173" s="66">
        <f t="shared" si="7"/>
        <v>32</v>
      </c>
      <c r="N173" s="64" t="s">
        <v>3</v>
      </c>
      <c r="O173" s="64"/>
      <c r="P173" s="33" t="s">
        <v>12</v>
      </c>
      <c r="Q173" s="64"/>
      <c r="R173" s="33" t="s">
        <v>5</v>
      </c>
    </row>
    <row r="174" spans="2:18" s="63" customFormat="1" ht="25.5">
      <c r="B174" s="137"/>
      <c r="C174" s="137"/>
      <c r="D174" s="64">
        <v>167</v>
      </c>
      <c r="E174" s="33" t="s">
        <v>1073</v>
      </c>
      <c r="F174" s="64" t="s">
        <v>13</v>
      </c>
      <c r="G174" s="64" t="s">
        <v>1074</v>
      </c>
      <c r="H174" s="64" t="s">
        <v>8</v>
      </c>
      <c r="I174" s="64" t="s">
        <v>11</v>
      </c>
      <c r="J174" s="33"/>
      <c r="K174" s="65">
        <v>40365</v>
      </c>
      <c r="L174" s="66">
        <f t="shared" si="9"/>
        <v>2010</v>
      </c>
      <c r="M174" s="66">
        <f t="shared" si="7"/>
        <v>9</v>
      </c>
      <c r="N174" s="64" t="s">
        <v>3</v>
      </c>
      <c r="O174" s="64"/>
      <c r="P174" s="33" t="s">
        <v>4</v>
      </c>
      <c r="Q174" s="64"/>
      <c r="R174" s="33" t="s">
        <v>4</v>
      </c>
    </row>
    <row r="175" spans="2:18" s="63" customFormat="1">
      <c r="B175" s="137">
        <v>56</v>
      </c>
      <c r="C175" s="137"/>
      <c r="D175" s="64">
        <v>168</v>
      </c>
      <c r="E175" s="33" t="s">
        <v>1075</v>
      </c>
      <c r="F175" s="64" t="s">
        <v>6</v>
      </c>
      <c r="G175" s="64" t="s">
        <v>1076</v>
      </c>
      <c r="H175" s="64" t="s">
        <v>1</v>
      </c>
      <c r="I175" s="64" t="s">
        <v>2</v>
      </c>
      <c r="J175" s="33"/>
      <c r="K175" s="65">
        <v>31251</v>
      </c>
      <c r="L175" s="66">
        <f t="shared" si="9"/>
        <v>1985</v>
      </c>
      <c r="M175" s="66">
        <f t="shared" si="7"/>
        <v>34</v>
      </c>
      <c r="N175" s="64" t="s">
        <v>3</v>
      </c>
      <c r="O175" s="64"/>
      <c r="P175" s="33" t="s">
        <v>12</v>
      </c>
      <c r="Q175" s="64"/>
      <c r="R175" s="33" t="s">
        <v>85</v>
      </c>
    </row>
    <row r="176" spans="2:18" s="63" customFormat="1">
      <c r="B176" s="137"/>
      <c r="C176" s="137"/>
      <c r="D176" s="64">
        <v>169</v>
      </c>
      <c r="E176" s="33" t="s">
        <v>1077</v>
      </c>
      <c r="F176" s="64" t="s">
        <v>9</v>
      </c>
      <c r="G176" s="64" t="s">
        <v>1078</v>
      </c>
      <c r="H176" s="64" t="s">
        <v>8</v>
      </c>
      <c r="I176" s="64" t="s">
        <v>2</v>
      </c>
      <c r="J176" s="33"/>
      <c r="K176" s="65">
        <v>33521</v>
      </c>
      <c r="L176" s="66">
        <f t="shared" si="9"/>
        <v>1991</v>
      </c>
      <c r="M176" s="66">
        <f t="shared" si="7"/>
        <v>28</v>
      </c>
      <c r="N176" s="64" t="s">
        <v>3</v>
      </c>
      <c r="O176" s="64"/>
      <c r="P176" s="33" t="s">
        <v>16</v>
      </c>
      <c r="Q176" s="64"/>
      <c r="R176" s="33" t="s">
        <v>119</v>
      </c>
    </row>
    <row r="177" spans="2:18" s="63" customFormat="1" ht="25.5">
      <c r="B177" s="137"/>
      <c r="C177" s="137"/>
      <c r="D177" s="64">
        <v>170</v>
      </c>
      <c r="E177" s="33" t="s">
        <v>1079</v>
      </c>
      <c r="F177" s="64" t="s">
        <v>13</v>
      </c>
      <c r="G177" s="64" t="s">
        <v>1080</v>
      </c>
      <c r="H177" s="64" t="s">
        <v>1</v>
      </c>
      <c r="I177" s="64" t="s">
        <v>11</v>
      </c>
      <c r="J177" s="33"/>
      <c r="K177" s="65">
        <v>39745</v>
      </c>
      <c r="L177" s="66">
        <f t="shared" si="9"/>
        <v>2008</v>
      </c>
      <c r="M177" s="66">
        <f t="shared" si="7"/>
        <v>11</v>
      </c>
      <c r="N177" s="64" t="s">
        <v>3</v>
      </c>
      <c r="O177" s="64"/>
      <c r="P177" s="33" t="s">
        <v>4</v>
      </c>
      <c r="Q177" s="64"/>
      <c r="R177" s="33" t="s">
        <v>4</v>
      </c>
    </row>
    <row r="178" spans="2:18" s="63" customFormat="1">
      <c r="B178" s="137"/>
      <c r="C178" s="137"/>
      <c r="D178" s="64">
        <v>171</v>
      </c>
      <c r="E178" s="33" t="s">
        <v>1081</v>
      </c>
      <c r="F178" s="64" t="s">
        <v>13</v>
      </c>
      <c r="G178" s="64" t="s">
        <v>1082</v>
      </c>
      <c r="H178" s="64" t="s">
        <v>8</v>
      </c>
      <c r="I178" s="64" t="s">
        <v>11</v>
      </c>
      <c r="J178" s="33"/>
      <c r="K178" s="65">
        <v>41531</v>
      </c>
      <c r="L178" s="66">
        <f t="shared" si="9"/>
        <v>2013</v>
      </c>
      <c r="M178" s="66">
        <f t="shared" si="7"/>
        <v>6</v>
      </c>
      <c r="N178" s="64" t="s">
        <v>3</v>
      </c>
      <c r="O178" s="64"/>
      <c r="P178" s="33" t="s">
        <v>4</v>
      </c>
      <c r="Q178" s="64"/>
      <c r="R178" s="33" t="s">
        <v>4</v>
      </c>
    </row>
    <row r="179" spans="2:18" s="63" customFormat="1">
      <c r="B179" s="137">
        <v>57</v>
      </c>
      <c r="C179" s="137"/>
      <c r="D179" s="64">
        <v>172</v>
      </c>
      <c r="E179" s="33" t="s">
        <v>1085</v>
      </c>
      <c r="F179" s="64" t="s">
        <v>6</v>
      </c>
      <c r="G179" s="64" t="s">
        <v>1086</v>
      </c>
      <c r="H179" s="64" t="s">
        <v>1</v>
      </c>
      <c r="I179" s="64" t="s">
        <v>2</v>
      </c>
      <c r="J179" s="33"/>
      <c r="K179" s="65">
        <v>28125</v>
      </c>
      <c r="L179" s="66">
        <f t="shared" si="9"/>
        <v>1976</v>
      </c>
      <c r="M179" s="66">
        <f t="shared" si="7"/>
        <v>43</v>
      </c>
      <c r="N179" s="64" t="s">
        <v>3</v>
      </c>
      <c r="O179" s="64"/>
      <c r="P179" s="33" t="s">
        <v>116</v>
      </c>
      <c r="Q179" s="64"/>
      <c r="R179" s="33" t="s">
        <v>164</v>
      </c>
    </row>
    <row r="180" spans="2:18" s="63" customFormat="1">
      <c r="B180" s="137"/>
      <c r="C180" s="137"/>
      <c r="D180" s="64">
        <v>173</v>
      </c>
      <c r="E180" s="33" t="s">
        <v>1052</v>
      </c>
      <c r="F180" s="64" t="s">
        <v>9</v>
      </c>
      <c r="G180" s="64" t="s">
        <v>1087</v>
      </c>
      <c r="H180" s="64" t="s">
        <v>8</v>
      </c>
      <c r="I180" s="64" t="s">
        <v>2</v>
      </c>
      <c r="J180" s="33"/>
      <c r="K180" s="65">
        <v>29869</v>
      </c>
      <c r="L180" s="66">
        <f t="shared" si="9"/>
        <v>1981</v>
      </c>
      <c r="M180" s="66">
        <f t="shared" si="7"/>
        <v>38</v>
      </c>
      <c r="N180" s="64" t="s">
        <v>3</v>
      </c>
      <c r="O180" s="64"/>
      <c r="P180" s="33" t="s">
        <v>116</v>
      </c>
      <c r="Q180" s="64"/>
      <c r="R180" s="33" t="s">
        <v>164</v>
      </c>
    </row>
    <row r="181" spans="2:18" s="63" customFormat="1" ht="25.5">
      <c r="B181" s="137"/>
      <c r="C181" s="137"/>
      <c r="D181" s="64">
        <v>174</v>
      </c>
      <c r="E181" s="33" t="s">
        <v>1088</v>
      </c>
      <c r="F181" s="64" t="s">
        <v>13</v>
      </c>
      <c r="G181" s="64" t="s">
        <v>1089</v>
      </c>
      <c r="H181" s="64" t="s">
        <v>8</v>
      </c>
      <c r="I181" s="64" t="s">
        <v>11</v>
      </c>
      <c r="J181" s="33"/>
      <c r="K181" s="65">
        <v>38973</v>
      </c>
      <c r="L181" s="66">
        <f t="shared" si="9"/>
        <v>2006</v>
      </c>
      <c r="M181" s="66">
        <f t="shared" si="7"/>
        <v>13</v>
      </c>
      <c r="N181" s="64" t="s">
        <v>3</v>
      </c>
      <c r="O181" s="64"/>
      <c r="P181" s="33" t="s">
        <v>4</v>
      </c>
      <c r="Q181" s="64"/>
      <c r="R181" s="33" t="s">
        <v>4</v>
      </c>
    </row>
    <row r="182" spans="2:18" s="63" customFormat="1" ht="38.25">
      <c r="B182" s="137"/>
      <c r="C182" s="137"/>
      <c r="D182" s="64">
        <v>175</v>
      </c>
      <c r="E182" s="33" t="s">
        <v>1090</v>
      </c>
      <c r="F182" s="64" t="s">
        <v>13</v>
      </c>
      <c r="G182" s="64" t="s">
        <v>1091</v>
      </c>
      <c r="H182" s="64" t="s">
        <v>1</v>
      </c>
      <c r="I182" s="64" t="s">
        <v>11</v>
      </c>
      <c r="J182" s="33"/>
      <c r="K182" s="65">
        <v>40237</v>
      </c>
      <c r="L182" s="66">
        <f t="shared" si="9"/>
        <v>2010</v>
      </c>
      <c r="M182" s="66">
        <f t="shared" si="7"/>
        <v>9</v>
      </c>
      <c r="N182" s="64" t="s">
        <v>3</v>
      </c>
      <c r="O182" s="64"/>
      <c r="P182" s="33" t="s">
        <v>4</v>
      </c>
      <c r="Q182" s="64"/>
      <c r="R182" s="33" t="s">
        <v>4</v>
      </c>
    </row>
    <row r="183" spans="2:18" s="63" customFormat="1">
      <c r="B183" s="137">
        <v>58</v>
      </c>
      <c r="C183" s="137"/>
      <c r="D183" s="64">
        <v>176</v>
      </c>
      <c r="E183" s="33" t="s">
        <v>449</v>
      </c>
      <c r="F183" s="64" t="s">
        <v>6</v>
      </c>
      <c r="G183" s="64" t="s">
        <v>1092</v>
      </c>
      <c r="H183" s="64" t="s">
        <v>1</v>
      </c>
      <c r="I183" s="64" t="s">
        <v>2</v>
      </c>
      <c r="J183" s="33"/>
      <c r="K183" s="65">
        <v>26195</v>
      </c>
      <c r="L183" s="66">
        <f t="shared" si="9"/>
        <v>1971</v>
      </c>
      <c r="M183" s="66">
        <f t="shared" si="7"/>
        <v>48</v>
      </c>
      <c r="N183" s="64" t="s">
        <v>3</v>
      </c>
      <c r="O183" s="64"/>
      <c r="P183" s="33" t="s">
        <v>4</v>
      </c>
      <c r="Q183" s="64"/>
      <c r="R183" s="33" t="s">
        <v>5</v>
      </c>
    </row>
    <row r="184" spans="2:18" s="63" customFormat="1">
      <c r="B184" s="137"/>
      <c r="C184" s="137"/>
      <c r="D184" s="64">
        <v>177</v>
      </c>
      <c r="E184" s="33" t="s">
        <v>1093</v>
      </c>
      <c r="F184" s="64" t="s">
        <v>9</v>
      </c>
      <c r="G184" s="64" t="s">
        <v>1094</v>
      </c>
      <c r="H184" s="64" t="s">
        <v>8</v>
      </c>
      <c r="I184" s="64" t="s">
        <v>2</v>
      </c>
      <c r="J184" s="33"/>
      <c r="K184" s="65">
        <v>31047</v>
      </c>
      <c r="L184" s="66">
        <f t="shared" si="9"/>
        <v>1984</v>
      </c>
      <c r="M184" s="66">
        <f t="shared" si="7"/>
        <v>35</v>
      </c>
      <c r="N184" s="64" t="s">
        <v>3</v>
      </c>
      <c r="O184" s="64"/>
      <c r="P184" s="33" t="s">
        <v>4</v>
      </c>
      <c r="Q184" s="64"/>
      <c r="R184" s="33" t="s">
        <v>5</v>
      </c>
    </row>
    <row r="185" spans="2:18" s="63" customFormat="1">
      <c r="B185" s="137"/>
      <c r="C185" s="137"/>
      <c r="D185" s="64">
        <v>178</v>
      </c>
      <c r="E185" s="33" t="s">
        <v>1095</v>
      </c>
      <c r="F185" s="64" t="s">
        <v>13</v>
      </c>
      <c r="G185" s="64" t="s">
        <v>1096</v>
      </c>
      <c r="H185" s="64" t="s">
        <v>8</v>
      </c>
      <c r="I185" s="64" t="s">
        <v>11</v>
      </c>
      <c r="J185" s="33"/>
      <c r="K185" s="65">
        <v>39447</v>
      </c>
      <c r="L185" s="66">
        <f t="shared" si="9"/>
        <v>2007</v>
      </c>
      <c r="M185" s="66">
        <f t="shared" si="7"/>
        <v>12</v>
      </c>
      <c r="N185" s="64" t="s">
        <v>3</v>
      </c>
      <c r="O185" s="64"/>
      <c r="P185" s="33" t="s">
        <v>4</v>
      </c>
      <c r="Q185" s="64"/>
      <c r="R185" s="33" t="s">
        <v>4</v>
      </c>
    </row>
    <row r="186" spans="2:18" s="63" customFormat="1">
      <c r="B186" s="137"/>
      <c r="C186" s="137"/>
      <c r="D186" s="64">
        <v>179</v>
      </c>
      <c r="E186" s="33" t="s">
        <v>1097</v>
      </c>
      <c r="F186" s="64" t="s">
        <v>13</v>
      </c>
      <c r="G186" s="64" t="s">
        <v>1098</v>
      </c>
      <c r="H186" s="64" t="s">
        <v>8</v>
      </c>
      <c r="I186" s="64" t="s">
        <v>11</v>
      </c>
      <c r="J186" s="33"/>
      <c r="K186" s="65">
        <v>41273</v>
      </c>
      <c r="L186" s="66">
        <f t="shared" si="9"/>
        <v>2012</v>
      </c>
      <c r="M186" s="66">
        <f t="shared" si="7"/>
        <v>7</v>
      </c>
      <c r="N186" s="64" t="s">
        <v>3</v>
      </c>
      <c r="O186" s="64"/>
      <c r="P186" s="33" t="s">
        <v>4</v>
      </c>
      <c r="Q186" s="64"/>
      <c r="R186" s="33" t="s">
        <v>4</v>
      </c>
    </row>
    <row r="187" spans="2:18" s="63" customFormat="1" ht="25.5">
      <c r="B187" s="137">
        <v>59</v>
      </c>
      <c r="C187" s="137"/>
      <c r="D187" s="64">
        <v>180</v>
      </c>
      <c r="E187" s="33" t="s">
        <v>1099</v>
      </c>
      <c r="F187" s="64" t="s">
        <v>6</v>
      </c>
      <c r="G187" s="64" t="s">
        <v>1100</v>
      </c>
      <c r="H187" s="64" t="s">
        <v>8</v>
      </c>
      <c r="I187" s="64" t="s">
        <v>18</v>
      </c>
      <c r="J187" s="33"/>
      <c r="K187" s="65">
        <v>22281</v>
      </c>
      <c r="L187" s="66">
        <f t="shared" si="9"/>
        <v>1960</v>
      </c>
      <c r="M187" s="66">
        <f t="shared" si="7"/>
        <v>59</v>
      </c>
      <c r="N187" s="64" t="s">
        <v>3</v>
      </c>
      <c r="O187" s="64"/>
      <c r="P187" s="33" t="s">
        <v>4</v>
      </c>
      <c r="Q187" s="64"/>
      <c r="R187" s="33" t="s">
        <v>119</v>
      </c>
    </row>
    <row r="188" spans="2:18" s="63" customFormat="1">
      <c r="B188" s="137"/>
      <c r="C188" s="137"/>
      <c r="D188" s="64">
        <v>181</v>
      </c>
      <c r="E188" s="33" t="s">
        <v>201</v>
      </c>
      <c r="F188" s="64" t="s">
        <v>13</v>
      </c>
      <c r="G188" s="64" t="s">
        <v>1101</v>
      </c>
      <c r="H188" s="64" t="s">
        <v>1</v>
      </c>
      <c r="I188" s="64" t="s">
        <v>11</v>
      </c>
      <c r="J188" s="33"/>
      <c r="K188" s="65">
        <v>33192</v>
      </c>
      <c r="L188" s="66">
        <f t="shared" si="9"/>
        <v>1990</v>
      </c>
      <c r="M188" s="66">
        <f t="shared" si="7"/>
        <v>29</v>
      </c>
      <c r="N188" s="64" t="s">
        <v>3</v>
      </c>
      <c r="O188" s="64"/>
      <c r="P188" s="33" t="s">
        <v>12</v>
      </c>
      <c r="Q188" s="64"/>
      <c r="R188" s="33" t="s">
        <v>4</v>
      </c>
    </row>
    <row r="189" spans="2:18" s="63" customFormat="1">
      <c r="B189" s="137">
        <v>60</v>
      </c>
      <c r="C189" s="137"/>
      <c r="D189" s="64">
        <v>182</v>
      </c>
      <c r="E189" s="33" t="s">
        <v>1102</v>
      </c>
      <c r="F189" s="64" t="s">
        <v>6</v>
      </c>
      <c r="G189" s="64" t="s">
        <v>1103</v>
      </c>
      <c r="H189" s="64" t="s">
        <v>1</v>
      </c>
      <c r="I189" s="64" t="s">
        <v>2</v>
      </c>
      <c r="J189" s="33"/>
      <c r="K189" s="65">
        <v>30564</v>
      </c>
      <c r="L189" s="66">
        <f t="shared" si="9"/>
        <v>1983</v>
      </c>
      <c r="M189" s="66">
        <f t="shared" si="7"/>
        <v>36</v>
      </c>
      <c r="N189" s="64" t="s">
        <v>3</v>
      </c>
      <c r="O189" s="64"/>
      <c r="P189" s="33" t="s">
        <v>16</v>
      </c>
      <c r="Q189" s="64"/>
      <c r="R189" s="33" t="s">
        <v>5</v>
      </c>
    </row>
    <row r="190" spans="2:18" s="63" customFormat="1">
      <c r="B190" s="137"/>
      <c r="C190" s="137"/>
      <c r="D190" s="64">
        <v>183</v>
      </c>
      <c r="E190" s="33" t="s">
        <v>271</v>
      </c>
      <c r="F190" s="64" t="s">
        <v>9</v>
      </c>
      <c r="G190" s="64" t="s">
        <v>1104</v>
      </c>
      <c r="H190" s="64" t="s">
        <v>8</v>
      </c>
      <c r="I190" s="64" t="s">
        <v>2</v>
      </c>
      <c r="J190" s="33"/>
      <c r="K190" s="65">
        <v>31332</v>
      </c>
      <c r="L190" s="66">
        <f t="shared" si="9"/>
        <v>1985</v>
      </c>
      <c r="M190" s="66">
        <f t="shared" si="7"/>
        <v>34</v>
      </c>
      <c r="N190" s="64" t="s">
        <v>3</v>
      </c>
      <c r="O190" s="64"/>
      <c r="P190" s="33" t="s">
        <v>116</v>
      </c>
      <c r="Q190" s="64"/>
      <c r="R190" s="33" t="s">
        <v>119</v>
      </c>
    </row>
    <row r="191" spans="2:18" s="63" customFormat="1" ht="25.5">
      <c r="B191" s="137"/>
      <c r="C191" s="137"/>
      <c r="D191" s="64">
        <v>184</v>
      </c>
      <c r="E191" s="33" t="s">
        <v>1105</v>
      </c>
      <c r="F191" s="64" t="s">
        <v>13</v>
      </c>
      <c r="G191" s="64" t="s">
        <v>1106</v>
      </c>
      <c r="H191" s="64" t="s">
        <v>1</v>
      </c>
      <c r="I191" s="64" t="s">
        <v>11</v>
      </c>
      <c r="J191" s="33"/>
      <c r="K191" s="65">
        <v>40299</v>
      </c>
      <c r="L191" s="66">
        <f t="shared" si="9"/>
        <v>2010</v>
      </c>
      <c r="M191" s="66">
        <f t="shared" si="7"/>
        <v>9</v>
      </c>
      <c r="N191" s="64" t="s">
        <v>3</v>
      </c>
      <c r="O191" s="64"/>
      <c r="P191" s="33" t="s">
        <v>4</v>
      </c>
      <c r="Q191" s="64"/>
      <c r="R191" s="33" t="s">
        <v>4</v>
      </c>
    </row>
    <row r="192" spans="2:18" s="63" customFormat="1">
      <c r="B192" s="137">
        <v>61</v>
      </c>
      <c r="C192" s="137"/>
      <c r="D192" s="64">
        <v>185</v>
      </c>
      <c r="E192" s="33" t="s">
        <v>1107</v>
      </c>
      <c r="F192" s="64" t="s">
        <v>6</v>
      </c>
      <c r="G192" s="64" t="s">
        <v>1108</v>
      </c>
      <c r="H192" s="64" t="s">
        <v>1</v>
      </c>
      <c r="I192" s="64" t="s">
        <v>2</v>
      </c>
      <c r="J192" s="33"/>
      <c r="K192" s="65">
        <v>18998</v>
      </c>
      <c r="L192" s="66">
        <f t="shared" si="9"/>
        <v>1952</v>
      </c>
      <c r="M192" s="66">
        <f t="shared" si="7"/>
        <v>67</v>
      </c>
      <c r="N192" s="64" t="s">
        <v>3</v>
      </c>
      <c r="O192" s="64"/>
      <c r="P192" s="33" t="s">
        <v>116</v>
      </c>
      <c r="Q192" s="64"/>
      <c r="R192" s="33" t="s">
        <v>80</v>
      </c>
    </row>
    <row r="193" spans="2:18" s="63" customFormat="1">
      <c r="B193" s="137"/>
      <c r="C193" s="137"/>
      <c r="D193" s="64">
        <v>186</v>
      </c>
      <c r="E193" s="33" t="s">
        <v>1109</v>
      </c>
      <c r="F193" s="64" t="s">
        <v>9</v>
      </c>
      <c r="G193" s="64" t="s">
        <v>1110</v>
      </c>
      <c r="H193" s="64" t="s">
        <v>8</v>
      </c>
      <c r="I193" s="64" t="s">
        <v>2</v>
      </c>
      <c r="J193" s="33"/>
      <c r="K193" s="65">
        <v>25265</v>
      </c>
      <c r="L193" s="66">
        <f t="shared" si="9"/>
        <v>1969</v>
      </c>
      <c r="M193" s="66">
        <f t="shared" si="7"/>
        <v>50</v>
      </c>
      <c r="N193" s="64" t="s">
        <v>3</v>
      </c>
      <c r="O193" s="64"/>
      <c r="P193" s="33" t="s">
        <v>12</v>
      </c>
      <c r="Q193" s="64"/>
      <c r="R193" s="33" t="s">
        <v>119</v>
      </c>
    </row>
    <row r="194" spans="2:18" s="63" customFormat="1" ht="25.5">
      <c r="B194" s="137"/>
      <c r="C194" s="137"/>
      <c r="D194" s="64">
        <v>187</v>
      </c>
      <c r="E194" s="33" t="s">
        <v>1111</v>
      </c>
      <c r="F194" s="64" t="s">
        <v>13</v>
      </c>
      <c r="G194" s="64" t="s">
        <v>808</v>
      </c>
      <c r="H194" s="64" t="s">
        <v>1</v>
      </c>
      <c r="I194" s="64" t="s">
        <v>11</v>
      </c>
      <c r="J194" s="33"/>
      <c r="K194" s="65">
        <v>33733</v>
      </c>
      <c r="L194" s="66">
        <f t="shared" si="9"/>
        <v>1992</v>
      </c>
      <c r="M194" s="66">
        <f t="shared" si="7"/>
        <v>27</v>
      </c>
      <c r="N194" s="64" t="s">
        <v>3</v>
      </c>
      <c r="O194" s="64"/>
      <c r="P194" s="33" t="s">
        <v>12</v>
      </c>
      <c r="Q194" s="64"/>
      <c r="R194" s="33" t="s">
        <v>4</v>
      </c>
    </row>
    <row r="195" spans="2:18" s="63" customFormat="1" ht="25.5">
      <c r="B195" s="137"/>
      <c r="C195" s="137"/>
      <c r="D195" s="64">
        <v>188</v>
      </c>
      <c r="E195" s="33" t="s">
        <v>1112</v>
      </c>
      <c r="F195" s="64" t="s">
        <v>13</v>
      </c>
      <c r="G195" s="64" t="s">
        <v>1113</v>
      </c>
      <c r="H195" s="64" t="s">
        <v>8</v>
      </c>
      <c r="I195" s="64" t="s">
        <v>11</v>
      </c>
      <c r="J195" s="33"/>
      <c r="K195" s="65">
        <v>35900</v>
      </c>
      <c r="L195" s="66">
        <f t="shared" si="9"/>
        <v>1998</v>
      </c>
      <c r="M195" s="66">
        <f t="shared" si="7"/>
        <v>21</v>
      </c>
      <c r="N195" s="64" t="s">
        <v>3</v>
      </c>
      <c r="O195" s="64"/>
      <c r="P195" s="33" t="s">
        <v>16</v>
      </c>
      <c r="Q195" s="64"/>
      <c r="R195" s="33" t="s">
        <v>4</v>
      </c>
    </row>
    <row r="196" spans="2:18" s="63" customFormat="1">
      <c r="B196" s="137">
        <v>62</v>
      </c>
      <c r="C196" s="137"/>
      <c r="D196" s="64">
        <v>189</v>
      </c>
      <c r="E196" s="33" t="s">
        <v>1114</v>
      </c>
      <c r="F196" s="64" t="s">
        <v>6</v>
      </c>
      <c r="G196" s="64" t="s">
        <v>1115</v>
      </c>
      <c r="H196" s="64" t="s">
        <v>1</v>
      </c>
      <c r="I196" s="64" t="s">
        <v>2</v>
      </c>
      <c r="J196" s="33"/>
      <c r="K196" s="65">
        <v>25568</v>
      </c>
      <c r="L196" s="66">
        <f t="shared" si="9"/>
        <v>1969</v>
      </c>
      <c r="M196" s="66">
        <f t="shared" si="7"/>
        <v>50</v>
      </c>
      <c r="N196" s="64" t="s">
        <v>3</v>
      </c>
      <c r="O196" s="64"/>
      <c r="P196" s="33" t="s">
        <v>12</v>
      </c>
      <c r="Q196" s="64"/>
      <c r="R196" s="33" t="s">
        <v>80</v>
      </c>
    </row>
    <row r="197" spans="2:18" s="63" customFormat="1">
      <c r="B197" s="137"/>
      <c r="C197" s="137"/>
      <c r="D197" s="64">
        <v>190</v>
      </c>
      <c r="E197" s="33" t="s">
        <v>1116</v>
      </c>
      <c r="F197" s="64" t="s">
        <v>9</v>
      </c>
      <c r="G197" s="64" t="s">
        <v>1117</v>
      </c>
      <c r="H197" s="64" t="s">
        <v>8</v>
      </c>
      <c r="I197" s="64" t="s">
        <v>2</v>
      </c>
      <c r="J197" s="33"/>
      <c r="K197" s="65">
        <v>29220</v>
      </c>
      <c r="L197" s="66">
        <f t="shared" si="9"/>
        <v>1979</v>
      </c>
      <c r="M197" s="66">
        <f t="shared" si="7"/>
        <v>40</v>
      </c>
      <c r="N197" s="64" t="s">
        <v>3</v>
      </c>
      <c r="O197" s="64"/>
      <c r="P197" s="33" t="s">
        <v>16</v>
      </c>
      <c r="Q197" s="64"/>
      <c r="R197" s="33" t="s">
        <v>4</v>
      </c>
    </row>
    <row r="198" spans="2:18" s="63" customFormat="1" ht="25.5">
      <c r="B198" s="137"/>
      <c r="C198" s="137"/>
      <c r="D198" s="64">
        <v>191</v>
      </c>
      <c r="E198" s="33" t="s">
        <v>1118</v>
      </c>
      <c r="F198" s="64" t="s">
        <v>13</v>
      </c>
      <c r="G198" s="64" t="s">
        <v>1119</v>
      </c>
      <c r="H198" s="64" t="s">
        <v>8</v>
      </c>
      <c r="I198" s="64" t="s">
        <v>11</v>
      </c>
      <c r="J198" s="33"/>
      <c r="K198" s="65">
        <v>36104</v>
      </c>
      <c r="L198" s="66">
        <f t="shared" si="9"/>
        <v>1998</v>
      </c>
      <c r="M198" s="66">
        <f t="shared" si="7"/>
        <v>21</v>
      </c>
      <c r="N198" s="64" t="s">
        <v>3</v>
      </c>
      <c r="O198" s="64"/>
      <c r="P198" s="33" t="s">
        <v>16</v>
      </c>
      <c r="Q198" s="64"/>
      <c r="R198" s="33" t="s">
        <v>4</v>
      </c>
    </row>
    <row r="199" spans="2:18" s="63" customFormat="1" ht="25.5">
      <c r="B199" s="137"/>
      <c r="C199" s="137"/>
      <c r="D199" s="64">
        <v>192</v>
      </c>
      <c r="E199" s="33" t="s">
        <v>1120</v>
      </c>
      <c r="F199" s="64" t="s">
        <v>13</v>
      </c>
      <c r="G199" s="64" t="s">
        <v>1121</v>
      </c>
      <c r="H199" s="64" t="s">
        <v>8</v>
      </c>
      <c r="I199" s="64" t="s">
        <v>11</v>
      </c>
      <c r="J199" s="33"/>
      <c r="K199" s="65">
        <v>39666</v>
      </c>
      <c r="L199" s="66">
        <f t="shared" si="9"/>
        <v>2008</v>
      </c>
      <c r="M199" s="66">
        <f t="shared" si="7"/>
        <v>11</v>
      </c>
      <c r="N199" s="64" t="s">
        <v>3</v>
      </c>
      <c r="O199" s="64"/>
      <c r="P199" s="33" t="s">
        <v>4</v>
      </c>
      <c r="Q199" s="64"/>
      <c r="R199" s="33" t="s">
        <v>4</v>
      </c>
    </row>
    <row r="200" spans="2:18" s="63" customFormat="1" ht="25.5">
      <c r="B200" s="137"/>
      <c r="C200" s="137"/>
      <c r="D200" s="64">
        <v>193</v>
      </c>
      <c r="E200" s="33" t="s">
        <v>1122</v>
      </c>
      <c r="F200" s="64" t="s">
        <v>13</v>
      </c>
      <c r="G200" s="64" t="s">
        <v>1123</v>
      </c>
      <c r="H200" s="64" t="s">
        <v>1</v>
      </c>
      <c r="I200" s="64" t="s">
        <v>11</v>
      </c>
      <c r="J200" s="33"/>
      <c r="K200" s="65">
        <v>41429</v>
      </c>
      <c r="L200" s="66">
        <f t="shared" si="9"/>
        <v>2013</v>
      </c>
      <c r="M200" s="66">
        <f t="shared" ref="M200:M223" si="10">2019-L200</f>
        <v>6</v>
      </c>
      <c r="N200" s="64" t="s">
        <v>3</v>
      </c>
      <c r="O200" s="64"/>
      <c r="P200" s="33" t="s">
        <v>4</v>
      </c>
      <c r="Q200" s="64"/>
      <c r="R200" s="33" t="s">
        <v>4</v>
      </c>
    </row>
    <row r="201" spans="2:18" s="63" customFormat="1">
      <c r="B201" s="137">
        <v>63</v>
      </c>
      <c r="C201" s="137"/>
      <c r="D201" s="64">
        <v>194</v>
      </c>
      <c r="E201" s="33" t="s">
        <v>1030</v>
      </c>
      <c r="F201" s="64" t="s">
        <v>6</v>
      </c>
      <c r="G201" s="64">
        <v>0</v>
      </c>
      <c r="H201" s="64" t="s">
        <v>1</v>
      </c>
      <c r="I201" s="64" t="s">
        <v>2</v>
      </c>
      <c r="J201" s="33"/>
      <c r="K201" s="65">
        <v>22281</v>
      </c>
      <c r="L201" s="66">
        <f t="shared" si="9"/>
        <v>1960</v>
      </c>
      <c r="M201" s="66">
        <f t="shared" si="10"/>
        <v>59</v>
      </c>
      <c r="N201" s="64" t="s">
        <v>3</v>
      </c>
      <c r="O201" s="64"/>
      <c r="P201" s="33" t="s">
        <v>4</v>
      </c>
      <c r="Q201" s="64"/>
      <c r="R201" s="33" t="s">
        <v>5</v>
      </c>
    </row>
    <row r="202" spans="2:18" s="63" customFormat="1">
      <c r="B202" s="137"/>
      <c r="C202" s="137"/>
      <c r="D202" s="64">
        <v>195</v>
      </c>
      <c r="E202" s="33" t="s">
        <v>415</v>
      </c>
      <c r="F202" s="64" t="s">
        <v>9</v>
      </c>
      <c r="G202" s="64">
        <v>0</v>
      </c>
      <c r="H202" s="64" t="s">
        <v>8</v>
      </c>
      <c r="I202" s="64" t="s">
        <v>2</v>
      </c>
      <c r="J202" s="33"/>
      <c r="K202" s="65">
        <v>22281</v>
      </c>
      <c r="L202" s="66">
        <f t="shared" si="9"/>
        <v>1960</v>
      </c>
      <c r="M202" s="66">
        <f t="shared" si="10"/>
        <v>59</v>
      </c>
      <c r="N202" s="64" t="s">
        <v>3</v>
      </c>
      <c r="O202" s="64"/>
      <c r="P202" s="33" t="s">
        <v>4</v>
      </c>
      <c r="Q202" s="64"/>
      <c r="R202" s="33" t="s">
        <v>5</v>
      </c>
    </row>
    <row r="203" spans="2:18" s="63" customFormat="1">
      <c r="B203" s="137"/>
      <c r="C203" s="137"/>
      <c r="D203" s="64">
        <v>196</v>
      </c>
      <c r="E203" s="33" t="s">
        <v>1031</v>
      </c>
      <c r="F203" s="64" t="s">
        <v>13</v>
      </c>
      <c r="G203" s="64">
        <v>0</v>
      </c>
      <c r="H203" s="64" t="s">
        <v>1</v>
      </c>
      <c r="I203" s="64" t="s">
        <v>11</v>
      </c>
      <c r="J203" s="33"/>
      <c r="K203" s="65">
        <v>34699</v>
      </c>
      <c r="L203" s="66">
        <f t="shared" si="9"/>
        <v>1994</v>
      </c>
      <c r="M203" s="66">
        <f t="shared" si="10"/>
        <v>25</v>
      </c>
      <c r="N203" s="64" t="s">
        <v>3</v>
      </c>
      <c r="O203" s="64"/>
      <c r="P203" s="33" t="s">
        <v>16</v>
      </c>
      <c r="Q203" s="64"/>
      <c r="R203" s="33" t="s">
        <v>5</v>
      </c>
    </row>
    <row r="204" spans="2:18" s="63" customFormat="1">
      <c r="B204" s="137">
        <v>64</v>
      </c>
      <c r="C204" s="137"/>
      <c r="D204" s="64">
        <v>197</v>
      </c>
      <c r="E204" s="33" t="s">
        <v>1083</v>
      </c>
      <c r="F204" s="64" t="s">
        <v>6</v>
      </c>
      <c r="G204" s="64">
        <v>0</v>
      </c>
      <c r="H204" s="64" t="s">
        <v>1</v>
      </c>
      <c r="I204" s="64" t="s">
        <v>2</v>
      </c>
      <c r="J204" s="33"/>
      <c r="K204" s="65">
        <v>20454</v>
      </c>
      <c r="L204" s="66">
        <f t="shared" si="9"/>
        <v>1955</v>
      </c>
      <c r="M204" s="66">
        <f t="shared" si="10"/>
        <v>64</v>
      </c>
      <c r="N204" s="64" t="s">
        <v>3</v>
      </c>
      <c r="O204" s="64"/>
      <c r="P204" s="33" t="s">
        <v>4</v>
      </c>
      <c r="Q204" s="64"/>
      <c r="R204" s="33" t="s">
        <v>119</v>
      </c>
    </row>
    <row r="205" spans="2:18" s="63" customFormat="1" ht="25.5">
      <c r="B205" s="137"/>
      <c r="C205" s="137"/>
      <c r="D205" s="64">
        <v>198</v>
      </c>
      <c r="E205" s="33" t="s">
        <v>1084</v>
      </c>
      <c r="F205" s="64" t="s">
        <v>9</v>
      </c>
      <c r="G205" s="64">
        <v>0</v>
      </c>
      <c r="H205" s="64" t="s">
        <v>8</v>
      </c>
      <c r="I205" s="64" t="s">
        <v>2</v>
      </c>
      <c r="J205" s="33"/>
      <c r="K205" s="65">
        <v>22281</v>
      </c>
      <c r="L205" s="66">
        <f t="shared" si="9"/>
        <v>1960</v>
      </c>
      <c r="M205" s="66">
        <f t="shared" si="10"/>
        <v>59</v>
      </c>
      <c r="N205" s="64" t="s">
        <v>3</v>
      </c>
      <c r="O205" s="64"/>
      <c r="P205" s="33" t="s">
        <v>4</v>
      </c>
      <c r="Q205" s="64"/>
      <c r="R205" s="33" t="s">
        <v>119</v>
      </c>
    </row>
    <row r="206" spans="2:18" s="63" customFormat="1">
      <c r="B206" s="137">
        <v>65</v>
      </c>
      <c r="C206" s="137"/>
      <c r="D206" s="64">
        <v>199</v>
      </c>
      <c r="E206" s="33" t="s">
        <v>1051</v>
      </c>
      <c r="F206" s="64" t="s">
        <v>6</v>
      </c>
      <c r="G206" s="64">
        <v>0</v>
      </c>
      <c r="H206" s="64" t="s">
        <v>1</v>
      </c>
      <c r="I206" s="64" t="s">
        <v>2</v>
      </c>
      <c r="J206" s="33"/>
      <c r="K206" s="65">
        <v>18628</v>
      </c>
      <c r="L206" s="66">
        <f t="shared" si="9"/>
        <v>1950</v>
      </c>
      <c r="M206" s="66">
        <f t="shared" si="10"/>
        <v>69</v>
      </c>
      <c r="N206" s="64" t="s">
        <v>3</v>
      </c>
      <c r="O206" s="64"/>
      <c r="P206" s="33" t="s">
        <v>116</v>
      </c>
      <c r="Q206" s="64"/>
      <c r="R206" s="33" t="s">
        <v>80</v>
      </c>
    </row>
    <row r="207" spans="2:18" s="63" customFormat="1">
      <c r="B207" s="137"/>
      <c r="C207" s="137"/>
      <c r="D207" s="64">
        <v>200</v>
      </c>
      <c r="E207" s="33" t="s">
        <v>1052</v>
      </c>
      <c r="F207" s="64" t="s">
        <v>9</v>
      </c>
      <c r="G207" s="64">
        <v>0</v>
      </c>
      <c r="H207" s="64" t="s">
        <v>8</v>
      </c>
      <c r="I207" s="64" t="s">
        <v>2</v>
      </c>
      <c r="J207" s="33"/>
      <c r="K207" s="65">
        <v>22281</v>
      </c>
      <c r="L207" s="66">
        <f t="shared" si="9"/>
        <v>1960</v>
      </c>
      <c r="M207" s="66">
        <f t="shared" si="10"/>
        <v>59</v>
      </c>
      <c r="N207" s="64" t="s">
        <v>3</v>
      </c>
      <c r="O207" s="64"/>
      <c r="P207" s="33" t="s">
        <v>116</v>
      </c>
      <c r="Q207" s="64"/>
      <c r="R207" s="33" t="s">
        <v>80</v>
      </c>
    </row>
    <row r="208" spans="2:18" s="63" customFormat="1">
      <c r="B208" s="137"/>
      <c r="C208" s="137"/>
      <c r="D208" s="64">
        <v>201</v>
      </c>
      <c r="E208" s="33" t="s">
        <v>1053</v>
      </c>
      <c r="F208" s="64" t="s">
        <v>13</v>
      </c>
      <c r="G208" s="64">
        <v>0</v>
      </c>
      <c r="H208" s="64" t="s">
        <v>8</v>
      </c>
      <c r="I208" s="64" t="s">
        <v>11</v>
      </c>
      <c r="J208" s="33"/>
      <c r="K208" s="65">
        <v>32873</v>
      </c>
      <c r="L208" s="66">
        <f t="shared" si="9"/>
        <v>1989</v>
      </c>
      <c r="M208" s="66">
        <f t="shared" si="10"/>
        <v>30</v>
      </c>
      <c r="N208" s="64" t="s">
        <v>3</v>
      </c>
      <c r="O208" s="64"/>
      <c r="P208" s="33" t="s">
        <v>116</v>
      </c>
      <c r="Q208" s="64"/>
      <c r="R208" s="33" t="s">
        <v>80</v>
      </c>
    </row>
    <row r="209" spans="2:18" s="63" customFormat="1">
      <c r="B209" s="137"/>
      <c r="C209" s="137"/>
      <c r="D209" s="64">
        <v>202</v>
      </c>
      <c r="E209" s="33" t="s">
        <v>1054</v>
      </c>
      <c r="F209" s="64" t="s">
        <v>13</v>
      </c>
      <c r="G209" s="64">
        <v>0</v>
      </c>
      <c r="H209" s="64" t="s">
        <v>1</v>
      </c>
      <c r="I209" s="64" t="s">
        <v>11</v>
      </c>
      <c r="J209" s="33"/>
      <c r="K209" s="65">
        <v>38352</v>
      </c>
      <c r="L209" s="66">
        <f t="shared" si="9"/>
        <v>2004</v>
      </c>
      <c r="M209" s="66">
        <f t="shared" si="10"/>
        <v>15</v>
      </c>
      <c r="N209" s="64" t="s">
        <v>3</v>
      </c>
      <c r="O209" s="64"/>
      <c r="P209" s="33" t="s">
        <v>12</v>
      </c>
      <c r="Q209" s="64"/>
      <c r="R209" s="33" t="s">
        <v>4</v>
      </c>
    </row>
    <row r="210" spans="2:18" s="63" customFormat="1">
      <c r="B210" s="137"/>
      <c r="C210" s="137"/>
      <c r="D210" s="64">
        <v>203</v>
      </c>
      <c r="E210" s="33" t="s">
        <v>1055</v>
      </c>
      <c r="F210" s="64" t="s">
        <v>13</v>
      </c>
      <c r="G210" s="64">
        <v>0</v>
      </c>
      <c r="H210" s="64" t="s">
        <v>1</v>
      </c>
      <c r="I210" s="64" t="s">
        <v>11</v>
      </c>
      <c r="J210" s="33"/>
      <c r="K210" s="65">
        <v>35430</v>
      </c>
      <c r="L210" s="66">
        <f t="shared" si="9"/>
        <v>1996</v>
      </c>
      <c r="M210" s="66">
        <f t="shared" si="10"/>
        <v>23</v>
      </c>
      <c r="N210" s="64" t="s">
        <v>3</v>
      </c>
      <c r="O210" s="64"/>
      <c r="P210" s="33" t="s">
        <v>4</v>
      </c>
      <c r="Q210" s="64"/>
      <c r="R210" s="33" t="s">
        <v>4</v>
      </c>
    </row>
    <row r="211" spans="2:18" s="63" customFormat="1">
      <c r="B211" s="64">
        <v>66</v>
      </c>
      <c r="C211" s="64"/>
      <c r="D211" s="64">
        <v>204</v>
      </c>
      <c r="E211" s="33" t="s">
        <v>422</v>
      </c>
      <c r="F211" s="64" t="s">
        <v>6</v>
      </c>
      <c r="G211" s="64">
        <v>0</v>
      </c>
      <c r="H211" s="64" t="s">
        <v>8</v>
      </c>
      <c r="I211" s="64" t="s">
        <v>18</v>
      </c>
      <c r="J211" s="33"/>
      <c r="K211" s="65">
        <v>22281</v>
      </c>
      <c r="L211" s="66">
        <f t="shared" si="9"/>
        <v>1960</v>
      </c>
      <c r="M211" s="66">
        <f t="shared" si="10"/>
        <v>59</v>
      </c>
      <c r="N211" s="64" t="s">
        <v>3</v>
      </c>
      <c r="O211" s="64"/>
      <c r="P211" s="33" t="s">
        <v>4</v>
      </c>
      <c r="Q211" s="64"/>
      <c r="R211" s="33" t="s">
        <v>5</v>
      </c>
    </row>
    <row r="212" spans="2:18" s="63" customFormat="1">
      <c r="B212" s="137">
        <v>67</v>
      </c>
      <c r="C212" s="137"/>
      <c r="D212" s="64">
        <v>205</v>
      </c>
      <c r="E212" s="33" t="s">
        <v>1124</v>
      </c>
      <c r="F212" s="64" t="s">
        <v>6</v>
      </c>
      <c r="G212" s="64">
        <v>0</v>
      </c>
      <c r="H212" s="64" t="s">
        <v>1</v>
      </c>
      <c r="I212" s="64" t="s">
        <v>2</v>
      </c>
      <c r="J212" s="33"/>
      <c r="K212" s="65">
        <v>16802</v>
      </c>
      <c r="L212" s="66">
        <f t="shared" si="9"/>
        <v>1945</v>
      </c>
      <c r="M212" s="66">
        <f t="shared" si="10"/>
        <v>74</v>
      </c>
      <c r="N212" s="64" t="s">
        <v>3</v>
      </c>
      <c r="O212" s="64"/>
      <c r="P212" s="33" t="s">
        <v>4</v>
      </c>
      <c r="Q212" s="64"/>
      <c r="R212" s="33" t="s">
        <v>5</v>
      </c>
    </row>
    <row r="213" spans="2:18" s="63" customFormat="1">
      <c r="B213" s="137"/>
      <c r="C213" s="137"/>
      <c r="D213" s="64">
        <v>206</v>
      </c>
      <c r="E213" s="33" t="s">
        <v>1125</v>
      </c>
      <c r="F213" s="64" t="s">
        <v>9</v>
      </c>
      <c r="G213" s="64">
        <v>0</v>
      </c>
      <c r="H213" s="64" t="s">
        <v>8</v>
      </c>
      <c r="I213" s="64" t="s">
        <v>2</v>
      </c>
      <c r="J213" s="33"/>
      <c r="K213" s="65">
        <v>16802</v>
      </c>
      <c r="L213" s="66">
        <f t="shared" si="9"/>
        <v>1945</v>
      </c>
      <c r="M213" s="66">
        <f t="shared" si="10"/>
        <v>74</v>
      </c>
      <c r="N213" s="64" t="s">
        <v>3</v>
      </c>
      <c r="O213" s="64"/>
      <c r="P213" s="33" t="s">
        <v>4</v>
      </c>
      <c r="Q213" s="64"/>
      <c r="R213" s="33" t="s">
        <v>5</v>
      </c>
    </row>
    <row r="214" spans="2:18" s="63" customFormat="1">
      <c r="B214" s="64">
        <v>68</v>
      </c>
      <c r="C214" s="64"/>
      <c r="D214" s="64">
        <v>207</v>
      </c>
      <c r="E214" s="33" t="s">
        <v>1128</v>
      </c>
      <c r="F214" s="64" t="s">
        <v>6</v>
      </c>
      <c r="G214" s="64">
        <v>0</v>
      </c>
      <c r="H214" s="64" t="s">
        <v>1</v>
      </c>
      <c r="I214" s="64" t="s">
        <v>34</v>
      </c>
      <c r="J214" s="33"/>
      <c r="K214" s="65">
        <v>27029</v>
      </c>
      <c r="L214" s="66">
        <f t="shared" si="9"/>
        <v>1973</v>
      </c>
      <c r="M214" s="66">
        <f t="shared" si="10"/>
        <v>46</v>
      </c>
      <c r="N214" s="64" t="s">
        <v>3</v>
      </c>
      <c r="O214" s="64"/>
      <c r="P214" s="33" t="s">
        <v>4</v>
      </c>
      <c r="Q214" s="64"/>
      <c r="R214" s="33" t="s">
        <v>5</v>
      </c>
    </row>
    <row r="215" spans="2:18" s="63" customFormat="1">
      <c r="B215" s="137">
        <v>69</v>
      </c>
      <c r="C215" s="137"/>
      <c r="D215" s="64">
        <v>208</v>
      </c>
      <c r="E215" s="33" t="s">
        <v>1129</v>
      </c>
      <c r="F215" s="64" t="s">
        <v>6</v>
      </c>
      <c r="G215" s="64">
        <v>0</v>
      </c>
      <c r="H215" s="64" t="s">
        <v>1</v>
      </c>
      <c r="I215" s="64" t="s">
        <v>2</v>
      </c>
      <c r="J215" s="33"/>
      <c r="K215" s="65">
        <v>23377</v>
      </c>
      <c r="L215" s="66">
        <f t="shared" si="9"/>
        <v>1964</v>
      </c>
      <c r="M215" s="66">
        <f t="shared" si="10"/>
        <v>55</v>
      </c>
      <c r="N215" s="64" t="s">
        <v>3</v>
      </c>
      <c r="O215" s="64"/>
      <c r="P215" s="33" t="s">
        <v>4</v>
      </c>
      <c r="Q215" s="64"/>
      <c r="R215" s="33" t="s">
        <v>5</v>
      </c>
    </row>
    <row r="216" spans="2:18" s="63" customFormat="1">
      <c r="B216" s="137"/>
      <c r="C216" s="137"/>
      <c r="D216" s="64">
        <v>209</v>
      </c>
      <c r="E216" s="33" t="s">
        <v>956</v>
      </c>
      <c r="F216" s="64" t="s">
        <v>9</v>
      </c>
      <c r="G216" s="64">
        <v>0</v>
      </c>
      <c r="H216" s="64" t="s">
        <v>8</v>
      </c>
      <c r="I216" s="64" t="s">
        <v>2</v>
      </c>
      <c r="J216" s="33"/>
      <c r="K216" s="65">
        <v>24980</v>
      </c>
      <c r="L216" s="66">
        <f t="shared" si="9"/>
        <v>1968</v>
      </c>
      <c r="M216" s="66">
        <f t="shared" si="10"/>
        <v>51</v>
      </c>
      <c r="N216" s="64" t="s">
        <v>3</v>
      </c>
      <c r="O216" s="64"/>
      <c r="P216" s="33" t="s">
        <v>4</v>
      </c>
      <c r="Q216" s="64"/>
      <c r="R216" s="33" t="s">
        <v>5</v>
      </c>
    </row>
    <row r="217" spans="2:18" s="63" customFormat="1">
      <c r="B217" s="137">
        <v>70</v>
      </c>
      <c r="C217" s="137"/>
      <c r="D217" s="64">
        <v>210</v>
      </c>
      <c r="E217" s="33" t="s">
        <v>838</v>
      </c>
      <c r="F217" s="64" t="s">
        <v>6</v>
      </c>
      <c r="G217" s="64">
        <v>0</v>
      </c>
      <c r="H217" s="64" t="s">
        <v>1</v>
      </c>
      <c r="I217" s="64" t="s">
        <v>2</v>
      </c>
      <c r="J217" s="33"/>
      <c r="K217" s="65">
        <v>27394</v>
      </c>
      <c r="L217" s="66">
        <f t="shared" si="9"/>
        <v>1974</v>
      </c>
      <c r="M217" s="66">
        <f t="shared" si="10"/>
        <v>45</v>
      </c>
      <c r="N217" s="64" t="s">
        <v>3</v>
      </c>
      <c r="O217" s="64"/>
      <c r="P217" s="33" t="s">
        <v>4</v>
      </c>
      <c r="Q217" s="64"/>
      <c r="R217" s="33" t="s">
        <v>5</v>
      </c>
    </row>
    <row r="218" spans="2:18" s="63" customFormat="1">
      <c r="B218" s="137"/>
      <c r="C218" s="137"/>
      <c r="D218" s="64">
        <v>211</v>
      </c>
      <c r="E218" s="33" t="s">
        <v>839</v>
      </c>
      <c r="F218" s="64" t="s">
        <v>9</v>
      </c>
      <c r="G218" s="64">
        <v>0</v>
      </c>
      <c r="H218" s="64" t="s">
        <v>8</v>
      </c>
      <c r="I218" s="64" t="s">
        <v>2</v>
      </c>
      <c r="J218" s="33"/>
      <c r="K218" s="65">
        <v>26664</v>
      </c>
      <c r="L218" s="66">
        <f t="shared" si="9"/>
        <v>1972</v>
      </c>
      <c r="M218" s="66">
        <f t="shared" si="10"/>
        <v>47</v>
      </c>
      <c r="N218" s="64" t="s">
        <v>3</v>
      </c>
      <c r="O218" s="64"/>
      <c r="P218" s="33" t="s">
        <v>4</v>
      </c>
      <c r="Q218" s="64"/>
      <c r="R218" s="33" t="s">
        <v>119</v>
      </c>
    </row>
    <row r="219" spans="2:18" s="63" customFormat="1">
      <c r="B219" s="137">
        <v>71</v>
      </c>
      <c r="C219" s="137"/>
      <c r="D219" s="64">
        <v>212</v>
      </c>
      <c r="E219" s="33" t="s">
        <v>349</v>
      </c>
      <c r="F219" s="64" t="s">
        <v>6</v>
      </c>
      <c r="G219" s="64">
        <v>0</v>
      </c>
      <c r="H219" s="64" t="s">
        <v>1</v>
      </c>
      <c r="I219" s="64" t="s">
        <v>2</v>
      </c>
      <c r="J219" s="33"/>
      <c r="K219" s="65">
        <v>33238</v>
      </c>
      <c r="L219" s="66">
        <f t="shared" si="9"/>
        <v>1990</v>
      </c>
      <c r="M219" s="66">
        <f t="shared" si="10"/>
        <v>29</v>
      </c>
      <c r="N219" s="64" t="s">
        <v>3</v>
      </c>
      <c r="O219" s="64"/>
      <c r="P219" s="33" t="s">
        <v>12</v>
      </c>
      <c r="Q219" s="64"/>
      <c r="R219" s="33" t="s">
        <v>5</v>
      </c>
    </row>
    <row r="220" spans="2:18" s="63" customFormat="1">
      <c r="B220" s="137"/>
      <c r="C220" s="137"/>
      <c r="D220" s="64">
        <v>213</v>
      </c>
      <c r="E220" s="33" t="s">
        <v>878</v>
      </c>
      <c r="F220" s="64" t="s">
        <v>9</v>
      </c>
      <c r="G220" s="64">
        <v>0</v>
      </c>
      <c r="H220" s="64" t="s">
        <v>8</v>
      </c>
      <c r="I220" s="64" t="s">
        <v>2</v>
      </c>
      <c r="J220" s="33"/>
      <c r="K220" s="65">
        <v>35064</v>
      </c>
      <c r="L220" s="66">
        <f t="shared" si="9"/>
        <v>1995</v>
      </c>
      <c r="M220" s="66">
        <f t="shared" si="10"/>
        <v>24</v>
      </c>
      <c r="N220" s="64" t="s">
        <v>3</v>
      </c>
      <c r="O220" s="64"/>
      <c r="P220" s="33" t="s">
        <v>16</v>
      </c>
      <c r="Q220" s="64"/>
      <c r="R220" s="33" t="s">
        <v>4</v>
      </c>
    </row>
    <row r="221" spans="2:18" s="63" customFormat="1" ht="25.5">
      <c r="B221" s="137"/>
      <c r="C221" s="137"/>
      <c r="D221" s="64">
        <v>214</v>
      </c>
      <c r="E221" s="33" t="s">
        <v>879</v>
      </c>
      <c r="F221" s="64" t="s">
        <v>13</v>
      </c>
      <c r="G221" s="64">
        <v>0</v>
      </c>
      <c r="H221" s="64" t="s">
        <v>1</v>
      </c>
      <c r="I221" s="64" t="s">
        <v>11</v>
      </c>
      <c r="J221" s="33"/>
      <c r="K221" s="65">
        <v>41996</v>
      </c>
      <c r="L221" s="66">
        <f t="shared" si="9"/>
        <v>2014</v>
      </c>
      <c r="M221" s="66">
        <f t="shared" si="10"/>
        <v>5</v>
      </c>
      <c r="N221" s="64" t="s">
        <v>3</v>
      </c>
      <c r="O221" s="64"/>
      <c r="P221" s="33" t="s">
        <v>4</v>
      </c>
      <c r="Q221" s="64"/>
      <c r="R221" s="33" t="s">
        <v>4</v>
      </c>
    </row>
    <row r="222" spans="2:18" s="63" customFormat="1">
      <c r="B222" s="137">
        <v>72</v>
      </c>
      <c r="C222" s="137"/>
      <c r="D222" s="64">
        <v>215</v>
      </c>
      <c r="E222" s="33" t="s">
        <v>936</v>
      </c>
      <c r="F222" s="64" t="s">
        <v>6</v>
      </c>
      <c r="G222" s="64">
        <v>0</v>
      </c>
      <c r="H222" s="64" t="s">
        <v>1</v>
      </c>
      <c r="I222" s="64" t="s">
        <v>2</v>
      </c>
      <c r="J222" s="33"/>
      <c r="K222" s="65">
        <v>24107</v>
      </c>
      <c r="L222" s="66">
        <f t="shared" ref="L222:L223" si="11">YEAR(K222)</f>
        <v>1965</v>
      </c>
      <c r="M222" s="66">
        <f t="shared" si="10"/>
        <v>54</v>
      </c>
      <c r="N222" s="64" t="s">
        <v>3</v>
      </c>
      <c r="O222" s="64"/>
      <c r="P222" s="33" t="s">
        <v>4</v>
      </c>
      <c r="Q222" s="64"/>
      <c r="R222" s="33" t="s">
        <v>5</v>
      </c>
    </row>
    <row r="223" spans="2:18" s="63" customFormat="1">
      <c r="B223" s="137"/>
      <c r="C223" s="137"/>
      <c r="D223" s="64">
        <v>216</v>
      </c>
      <c r="E223" s="33" t="s">
        <v>937</v>
      </c>
      <c r="F223" s="64" t="s">
        <v>13</v>
      </c>
      <c r="G223" s="64">
        <v>0</v>
      </c>
      <c r="H223" s="64" t="s">
        <v>8</v>
      </c>
      <c r="I223" s="64" t="s">
        <v>2</v>
      </c>
      <c r="J223" s="33"/>
      <c r="K223" s="65">
        <v>24107</v>
      </c>
      <c r="L223" s="66">
        <f t="shared" si="11"/>
        <v>1965</v>
      </c>
      <c r="M223" s="66">
        <f t="shared" si="10"/>
        <v>54</v>
      </c>
      <c r="N223" s="64" t="s">
        <v>3</v>
      </c>
      <c r="O223" s="64"/>
      <c r="P223" s="33" t="s">
        <v>4</v>
      </c>
      <c r="Q223" s="64"/>
      <c r="R223" s="33" t="s">
        <v>5</v>
      </c>
    </row>
    <row r="227" spans="1:46" s="59" customFormat="1" ht="15">
      <c r="D227" s="144" t="s">
        <v>1917</v>
      </c>
      <c r="E227" s="144"/>
      <c r="F227" s="144"/>
      <c r="L227" s="116"/>
      <c r="P227" s="113"/>
      <c r="R227" s="113"/>
    </row>
    <row r="228" spans="1:46" s="59" customFormat="1" ht="15">
      <c r="D228" s="144" t="s">
        <v>1918</v>
      </c>
      <c r="E228" s="144"/>
      <c r="F228" s="144"/>
      <c r="L228" s="116"/>
      <c r="P228" s="132" t="s">
        <v>1919</v>
      </c>
      <c r="Q228" s="132"/>
      <c r="R228" s="113"/>
    </row>
    <row r="229" spans="1:46" s="59" customFormat="1" ht="15">
      <c r="D229" s="117"/>
      <c r="E229" s="118"/>
      <c r="F229" s="117"/>
      <c r="L229" s="116"/>
      <c r="P229" s="73"/>
      <c r="Q229" s="74"/>
      <c r="R229" s="113"/>
    </row>
    <row r="230" spans="1:46" s="59" customFormat="1" ht="15">
      <c r="D230" s="117"/>
      <c r="E230" s="118"/>
      <c r="F230" s="117"/>
      <c r="L230" s="116"/>
      <c r="P230" s="73"/>
      <c r="Q230" s="74"/>
      <c r="R230" s="113"/>
    </row>
    <row r="231" spans="1:46" s="59" customFormat="1" ht="15">
      <c r="D231" s="117"/>
      <c r="E231" s="118"/>
      <c r="F231" s="117"/>
      <c r="L231" s="116"/>
      <c r="P231" s="73"/>
      <c r="Q231" s="74"/>
      <c r="R231" s="113"/>
    </row>
    <row r="232" spans="1:46" s="59" customFormat="1" ht="14.25">
      <c r="D232" s="145" t="s">
        <v>1920</v>
      </c>
      <c r="E232" s="145"/>
      <c r="F232" s="145"/>
      <c r="L232" s="116"/>
      <c r="P232" s="125" t="s">
        <v>551</v>
      </c>
      <c r="Q232" s="125"/>
      <c r="R232" s="113"/>
    </row>
    <row r="233" spans="1:46" s="59" customFormat="1" ht="14.25">
      <c r="D233" s="145" t="s">
        <v>1921</v>
      </c>
      <c r="E233" s="145"/>
      <c r="F233" s="145"/>
      <c r="L233" s="116"/>
      <c r="P233" s="113"/>
      <c r="R233" s="113"/>
    </row>
    <row r="234" spans="1:46" s="69" customFormat="1">
      <c r="A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</row>
    <row r="235" spans="1:46" s="69" customFormat="1">
      <c r="A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</row>
    <row r="236" spans="1:46" s="69" customFormat="1">
      <c r="A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</row>
    <row r="237" spans="1:46" s="69" customFormat="1">
      <c r="A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</row>
    <row r="238" spans="1:46" s="69" customFormat="1">
      <c r="A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</row>
    <row r="239" spans="1:46" s="69" customFormat="1">
      <c r="A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</row>
    <row r="240" spans="1:46" s="69" customFormat="1">
      <c r="A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</row>
    <row r="241" spans="1:46" s="69" customFormat="1">
      <c r="A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</row>
    <row r="242" spans="1:46" s="69" customFormat="1">
      <c r="A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</row>
    <row r="243" spans="1:46" s="69" customFormat="1">
      <c r="A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</row>
    <row r="244" spans="1:46" s="69" customFormat="1">
      <c r="A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</row>
    <row r="245" spans="1:46" s="63" customFormat="1"/>
    <row r="246" spans="1:46" s="63" customFormat="1"/>
    <row r="247" spans="1:46" s="69" customFormat="1"/>
    <row r="248" spans="1:46" s="69" customFormat="1"/>
    <row r="249" spans="1:46" s="69" customFormat="1"/>
    <row r="250" spans="1:46" s="63" customFormat="1">
      <c r="B250" s="59"/>
      <c r="C250" s="59"/>
      <c r="D250" s="59"/>
      <c r="E250" s="113"/>
      <c r="F250" s="59"/>
      <c r="G250" s="59"/>
      <c r="H250" s="59"/>
      <c r="I250" s="59"/>
      <c r="J250" s="113"/>
      <c r="K250" s="109"/>
      <c r="L250" s="114"/>
      <c r="M250" s="114"/>
      <c r="N250" s="59"/>
      <c r="O250" s="59"/>
      <c r="P250" s="113"/>
      <c r="Q250" s="59"/>
      <c r="R250" s="113"/>
    </row>
    <row r="251" spans="1:46" s="63" customFormat="1">
      <c r="B251" s="137">
        <v>15</v>
      </c>
      <c r="C251" s="64"/>
      <c r="D251" s="64">
        <v>48</v>
      </c>
      <c r="E251" s="33" t="s">
        <v>1894</v>
      </c>
      <c r="F251" s="64" t="s">
        <v>6</v>
      </c>
      <c r="G251" s="64" t="s">
        <v>1893</v>
      </c>
      <c r="H251" s="64" t="s">
        <v>1</v>
      </c>
      <c r="I251" s="64" t="s">
        <v>2</v>
      </c>
      <c r="J251" s="33"/>
      <c r="K251" s="65">
        <v>18964</v>
      </c>
      <c r="L251" s="67"/>
      <c r="M251" s="67">
        <f t="shared" ref="M251:M262" si="12">2019-L251</f>
        <v>2019</v>
      </c>
      <c r="N251" s="64" t="s">
        <v>3</v>
      </c>
      <c r="O251" s="64"/>
      <c r="P251" s="33" t="s">
        <v>12</v>
      </c>
      <c r="Q251" s="64"/>
      <c r="R251" s="33" t="s">
        <v>85</v>
      </c>
    </row>
    <row r="252" spans="1:46" s="63" customFormat="1">
      <c r="B252" s="137"/>
      <c r="C252" s="64"/>
      <c r="D252" s="64">
        <v>49</v>
      </c>
      <c r="E252" s="33" t="s">
        <v>1135</v>
      </c>
      <c r="F252" s="64" t="s">
        <v>9</v>
      </c>
      <c r="G252" s="64" t="s">
        <v>1892</v>
      </c>
      <c r="H252" s="64" t="s">
        <v>8</v>
      </c>
      <c r="I252" s="64" t="s">
        <v>2</v>
      </c>
      <c r="J252" s="33"/>
      <c r="K252" s="65">
        <v>22281</v>
      </c>
      <c r="L252" s="67"/>
      <c r="M252" s="67">
        <f t="shared" si="12"/>
        <v>2019</v>
      </c>
      <c r="N252" s="64" t="s">
        <v>3</v>
      </c>
      <c r="O252" s="64"/>
      <c r="P252" s="33" t="s">
        <v>4</v>
      </c>
      <c r="Q252" s="64"/>
      <c r="R252" s="33" t="s">
        <v>119</v>
      </c>
    </row>
    <row r="253" spans="1:46" s="63" customFormat="1">
      <c r="B253" s="137"/>
      <c r="C253" s="64"/>
      <c r="D253" s="64">
        <v>50</v>
      </c>
      <c r="E253" s="33" t="s">
        <v>1891</v>
      </c>
      <c r="F253" s="64" t="s">
        <v>13</v>
      </c>
      <c r="G253" s="64" t="s">
        <v>1890</v>
      </c>
      <c r="H253" s="64" t="s">
        <v>8</v>
      </c>
      <c r="I253" s="64" t="s">
        <v>11</v>
      </c>
      <c r="J253" s="33"/>
      <c r="K253" s="65">
        <v>34316</v>
      </c>
      <c r="L253" s="67"/>
      <c r="M253" s="67">
        <f t="shared" si="12"/>
        <v>2019</v>
      </c>
      <c r="N253" s="64" t="s">
        <v>3</v>
      </c>
      <c r="O253" s="64"/>
      <c r="P253" s="33" t="s">
        <v>12</v>
      </c>
      <c r="Q253" s="64"/>
      <c r="R253" s="33" t="s">
        <v>119</v>
      </c>
    </row>
    <row r="254" spans="1:46" s="63" customFormat="1" ht="25.5">
      <c r="B254" s="64">
        <v>16</v>
      </c>
      <c r="C254" s="64"/>
      <c r="D254" s="64">
        <v>51</v>
      </c>
      <c r="E254" s="33" t="s">
        <v>1889</v>
      </c>
      <c r="F254" s="64" t="s">
        <v>6</v>
      </c>
      <c r="G254" s="64" t="s">
        <v>1888</v>
      </c>
      <c r="H254" s="64" t="s">
        <v>1</v>
      </c>
      <c r="I254" s="64" t="s">
        <v>2</v>
      </c>
      <c r="J254" s="33"/>
      <c r="K254" s="65">
        <v>34680</v>
      </c>
      <c r="L254" s="67"/>
      <c r="M254" s="67">
        <f t="shared" si="12"/>
        <v>2019</v>
      </c>
      <c r="N254" s="64" t="s">
        <v>3</v>
      </c>
      <c r="O254" s="64"/>
      <c r="P254" s="33" t="s">
        <v>16</v>
      </c>
      <c r="Q254" s="64"/>
      <c r="R254" s="33" t="s">
        <v>5</v>
      </c>
    </row>
    <row r="255" spans="1:46" s="63" customFormat="1">
      <c r="B255" s="146">
        <v>17</v>
      </c>
      <c r="C255" s="64"/>
      <c r="D255" s="64">
        <v>52</v>
      </c>
      <c r="E255" s="33" t="s">
        <v>1887</v>
      </c>
      <c r="F255" s="64" t="s">
        <v>9</v>
      </c>
      <c r="G255" s="64" t="s">
        <v>1886</v>
      </c>
      <c r="H255" s="64" t="s">
        <v>8</v>
      </c>
      <c r="I255" s="64" t="s">
        <v>2</v>
      </c>
      <c r="J255" s="33"/>
      <c r="K255" s="65">
        <v>35795</v>
      </c>
      <c r="L255" s="67"/>
      <c r="M255" s="67">
        <f t="shared" si="12"/>
        <v>2019</v>
      </c>
      <c r="N255" s="64" t="s">
        <v>3</v>
      </c>
      <c r="O255" s="64"/>
      <c r="P255" s="33" t="s">
        <v>16</v>
      </c>
      <c r="Q255" s="64"/>
      <c r="R255" s="33" t="s">
        <v>1885</v>
      </c>
    </row>
    <row r="256" spans="1:46" s="63" customFormat="1" ht="25.5">
      <c r="B256" s="147"/>
      <c r="C256" s="64"/>
      <c r="D256" s="64">
        <v>53</v>
      </c>
      <c r="E256" s="33" t="s">
        <v>1884</v>
      </c>
      <c r="F256" s="64" t="s">
        <v>13</v>
      </c>
      <c r="G256" s="64" t="s">
        <v>1883</v>
      </c>
      <c r="H256" s="64" t="s">
        <v>8</v>
      </c>
      <c r="I256" s="64" t="s">
        <v>11</v>
      </c>
      <c r="J256" s="33"/>
      <c r="K256" s="65">
        <v>42051</v>
      </c>
      <c r="L256" s="67"/>
      <c r="M256" s="67">
        <f t="shared" si="12"/>
        <v>2019</v>
      </c>
      <c r="N256" s="64" t="s">
        <v>3</v>
      </c>
      <c r="O256" s="64"/>
      <c r="P256" s="33" t="s">
        <v>4</v>
      </c>
      <c r="Q256" s="64"/>
      <c r="R256" s="33" t="s">
        <v>4</v>
      </c>
    </row>
    <row r="257" spans="2:18" s="63" customFormat="1">
      <c r="B257" s="137">
        <v>19</v>
      </c>
      <c r="C257" s="64"/>
      <c r="D257" s="64">
        <v>58</v>
      </c>
      <c r="E257" s="33" t="s">
        <v>1139</v>
      </c>
      <c r="F257" s="64" t="s">
        <v>6</v>
      </c>
      <c r="G257" s="64" t="s">
        <v>1140</v>
      </c>
      <c r="H257" s="64" t="s">
        <v>1</v>
      </c>
      <c r="I257" s="64" t="s">
        <v>2</v>
      </c>
      <c r="J257" s="33"/>
      <c r="K257" s="65">
        <v>30316</v>
      </c>
      <c r="L257" s="67"/>
      <c r="M257" s="67">
        <f t="shared" si="12"/>
        <v>2019</v>
      </c>
      <c r="N257" s="64" t="s">
        <v>3</v>
      </c>
      <c r="O257" s="64"/>
      <c r="P257" s="33" t="s">
        <v>16</v>
      </c>
      <c r="Q257" s="64"/>
      <c r="R257" s="33" t="s">
        <v>5</v>
      </c>
    </row>
    <row r="258" spans="2:18" s="63" customFormat="1">
      <c r="B258" s="137"/>
      <c r="C258" s="64"/>
      <c r="D258" s="64">
        <v>59</v>
      </c>
      <c r="E258" s="33" t="s">
        <v>1141</v>
      </c>
      <c r="F258" s="64" t="s">
        <v>9</v>
      </c>
      <c r="G258" s="64" t="s">
        <v>1142</v>
      </c>
      <c r="H258" s="64" t="s">
        <v>8</v>
      </c>
      <c r="I258" s="64" t="s">
        <v>2</v>
      </c>
      <c r="J258" s="33"/>
      <c r="K258" s="65">
        <v>29951</v>
      </c>
      <c r="L258" s="67"/>
      <c r="M258" s="67">
        <f t="shared" si="12"/>
        <v>2019</v>
      </c>
      <c r="N258" s="64" t="s">
        <v>3</v>
      </c>
      <c r="O258" s="64"/>
      <c r="P258" s="33" t="s">
        <v>4</v>
      </c>
      <c r="Q258" s="64"/>
      <c r="R258" s="33" t="s">
        <v>4</v>
      </c>
    </row>
    <row r="259" spans="2:18" s="63" customFormat="1">
      <c r="B259" s="137"/>
      <c r="C259" s="64"/>
      <c r="D259" s="64">
        <v>60</v>
      </c>
      <c r="E259" s="33" t="s">
        <v>1143</v>
      </c>
      <c r="F259" s="64" t="s">
        <v>13</v>
      </c>
      <c r="G259" s="64" t="s">
        <v>1144</v>
      </c>
      <c r="H259" s="64" t="s">
        <v>8</v>
      </c>
      <c r="I259" s="64" t="s">
        <v>11</v>
      </c>
      <c r="J259" s="33"/>
      <c r="K259" s="65">
        <v>38156</v>
      </c>
      <c r="L259" s="67"/>
      <c r="M259" s="67">
        <f t="shared" si="12"/>
        <v>2019</v>
      </c>
      <c r="N259" s="64" t="s">
        <v>3</v>
      </c>
      <c r="O259" s="64"/>
      <c r="P259" s="33" t="s">
        <v>4</v>
      </c>
      <c r="Q259" s="64"/>
      <c r="R259" s="33" t="s">
        <v>4</v>
      </c>
    </row>
    <row r="260" spans="2:18" s="63" customFormat="1">
      <c r="B260" s="137"/>
      <c r="C260" s="64"/>
      <c r="D260" s="64">
        <v>61</v>
      </c>
      <c r="E260" s="33" t="s">
        <v>1145</v>
      </c>
      <c r="F260" s="64" t="s">
        <v>13</v>
      </c>
      <c r="G260" s="64" t="s">
        <v>1146</v>
      </c>
      <c r="H260" s="64" t="s">
        <v>1</v>
      </c>
      <c r="I260" s="64" t="s">
        <v>11</v>
      </c>
      <c r="J260" s="33"/>
      <c r="K260" s="65">
        <v>40014</v>
      </c>
      <c r="L260" s="67"/>
      <c r="M260" s="67">
        <f t="shared" si="12"/>
        <v>2019</v>
      </c>
      <c r="N260" s="64" t="s">
        <v>3</v>
      </c>
      <c r="O260" s="64"/>
      <c r="P260" s="33" t="s">
        <v>4</v>
      </c>
      <c r="Q260" s="64"/>
      <c r="R260" s="33" t="s">
        <v>4</v>
      </c>
    </row>
    <row r="261" spans="2:18" s="63" customFormat="1">
      <c r="B261" s="64">
        <v>20</v>
      </c>
      <c r="C261" s="64"/>
      <c r="D261" s="64">
        <v>62</v>
      </c>
      <c r="E261" s="33" t="s">
        <v>1147</v>
      </c>
      <c r="F261" s="64" t="s">
        <v>6</v>
      </c>
      <c r="G261" s="64" t="s">
        <v>1138</v>
      </c>
      <c r="H261" s="64" t="s">
        <v>8</v>
      </c>
      <c r="I261" s="64" t="s">
        <v>18</v>
      </c>
      <c r="J261" s="33"/>
      <c r="K261" s="65">
        <v>16802</v>
      </c>
      <c r="L261" s="67"/>
      <c r="M261" s="67">
        <f t="shared" si="12"/>
        <v>2019</v>
      </c>
      <c r="N261" s="64" t="s">
        <v>3</v>
      </c>
      <c r="O261" s="64"/>
      <c r="P261" s="33" t="s">
        <v>4</v>
      </c>
      <c r="Q261" s="64"/>
      <c r="R261" s="33" t="s">
        <v>5</v>
      </c>
    </row>
    <row r="262" spans="2:18" s="63" customFormat="1">
      <c r="B262" s="64">
        <v>21</v>
      </c>
      <c r="C262" s="64"/>
      <c r="D262" s="64">
        <v>63</v>
      </c>
      <c r="E262" s="33" t="s">
        <v>844</v>
      </c>
      <c r="F262" s="64" t="s">
        <v>6</v>
      </c>
      <c r="G262" s="64" t="s">
        <v>845</v>
      </c>
      <c r="H262" s="64" t="s">
        <v>8</v>
      </c>
      <c r="I262" s="64" t="s">
        <v>18</v>
      </c>
      <c r="J262" s="33"/>
      <c r="K262" s="65">
        <v>11871</v>
      </c>
      <c r="L262" s="67"/>
      <c r="M262" s="67">
        <f t="shared" si="12"/>
        <v>2019</v>
      </c>
      <c r="N262" s="64" t="s">
        <v>3</v>
      </c>
      <c r="O262" s="64"/>
      <c r="P262" s="33" t="s">
        <v>4</v>
      </c>
      <c r="Q262" s="64"/>
      <c r="R262" s="33" t="s">
        <v>4</v>
      </c>
    </row>
    <row r="263" spans="2:18" s="63" customFormat="1">
      <c r="B263" s="59"/>
      <c r="C263" s="59"/>
      <c r="D263" s="59"/>
      <c r="E263" s="113"/>
      <c r="F263" s="59"/>
      <c r="G263" s="59"/>
      <c r="H263" s="59"/>
      <c r="I263" s="59"/>
      <c r="J263" s="113"/>
      <c r="K263" s="109"/>
      <c r="L263" s="114"/>
      <c r="M263" s="114"/>
      <c r="N263" s="59"/>
      <c r="O263" s="59"/>
      <c r="P263" s="113"/>
      <c r="Q263" s="59"/>
      <c r="R263" s="113"/>
    </row>
    <row r="264" spans="2:18" s="63" customFormat="1">
      <c r="B264" s="59"/>
      <c r="C264" s="59"/>
      <c r="D264" s="59"/>
      <c r="E264" s="113"/>
      <c r="F264" s="59"/>
      <c r="G264" s="59"/>
      <c r="H264" s="59"/>
      <c r="I264" s="59"/>
      <c r="J264" s="113"/>
      <c r="K264" s="109"/>
      <c r="L264" s="114"/>
      <c r="M264" s="114"/>
      <c r="N264" s="59"/>
      <c r="O264" s="59"/>
      <c r="P264" s="113"/>
      <c r="Q264" s="59"/>
      <c r="R264" s="113"/>
    </row>
    <row r="265" spans="2:18" s="63" customFormat="1">
      <c r="B265" s="137">
        <v>45</v>
      </c>
      <c r="C265" s="64"/>
      <c r="D265" s="64">
        <v>154</v>
      </c>
      <c r="E265" s="33" t="s">
        <v>1900</v>
      </c>
      <c r="F265" s="64" t="s">
        <v>6</v>
      </c>
      <c r="G265" s="64" t="s">
        <v>1899</v>
      </c>
      <c r="H265" s="64" t="s">
        <v>1</v>
      </c>
      <c r="I265" s="64" t="s">
        <v>2</v>
      </c>
      <c r="J265" s="33"/>
      <c r="K265" s="65">
        <v>27759</v>
      </c>
      <c r="L265" s="67"/>
      <c r="M265" s="67">
        <f>2019-L265</f>
        <v>2019</v>
      </c>
      <c r="N265" s="64" t="s">
        <v>3</v>
      </c>
      <c r="O265" s="64"/>
      <c r="P265" s="33" t="s">
        <v>28</v>
      </c>
      <c r="Q265" s="64"/>
      <c r="R265" s="33" t="s">
        <v>5</v>
      </c>
    </row>
    <row r="266" spans="2:18" s="63" customFormat="1">
      <c r="B266" s="137"/>
      <c r="C266" s="64"/>
      <c r="D266" s="64">
        <v>155</v>
      </c>
      <c r="E266" s="33" t="s">
        <v>1898</v>
      </c>
      <c r="F266" s="64" t="s">
        <v>9</v>
      </c>
      <c r="G266" s="64" t="s">
        <v>1897</v>
      </c>
      <c r="H266" s="64" t="s">
        <v>8</v>
      </c>
      <c r="I266" s="64" t="s">
        <v>2</v>
      </c>
      <c r="J266" s="33"/>
      <c r="K266" s="65">
        <v>31777</v>
      </c>
      <c r="L266" s="67"/>
      <c r="M266" s="67">
        <f>2019-L266</f>
        <v>2019</v>
      </c>
      <c r="N266" s="64" t="s">
        <v>3</v>
      </c>
      <c r="O266" s="64"/>
      <c r="P266" s="33" t="s">
        <v>28</v>
      </c>
      <c r="Q266" s="64"/>
      <c r="R266" s="33" t="s">
        <v>5</v>
      </c>
    </row>
    <row r="267" spans="2:18" s="63" customFormat="1">
      <c r="B267" s="137"/>
      <c r="C267" s="64"/>
      <c r="D267" s="64">
        <v>156</v>
      </c>
      <c r="E267" s="33" t="s">
        <v>1896</v>
      </c>
      <c r="F267" s="64" t="s">
        <v>13</v>
      </c>
      <c r="G267" s="64" t="s">
        <v>1895</v>
      </c>
      <c r="H267" s="64" t="s">
        <v>31</v>
      </c>
      <c r="I267" s="64" t="s">
        <v>11</v>
      </c>
      <c r="J267" s="33"/>
      <c r="K267" s="65">
        <v>39485</v>
      </c>
      <c r="L267" s="67"/>
      <c r="M267" s="67">
        <f>2019-L267</f>
        <v>2019</v>
      </c>
      <c r="N267" s="64" t="s">
        <v>3</v>
      </c>
      <c r="O267" s="64"/>
      <c r="P267" s="33" t="s">
        <v>4</v>
      </c>
      <c r="Q267" s="64"/>
      <c r="R267" s="33" t="s">
        <v>4</v>
      </c>
    </row>
    <row r="268" spans="2:18" s="63" customFormat="1">
      <c r="B268" s="59"/>
      <c r="C268" s="59"/>
      <c r="D268" s="59"/>
      <c r="E268" s="113"/>
      <c r="F268" s="59"/>
      <c r="G268" s="59"/>
      <c r="H268" s="59"/>
      <c r="I268" s="59"/>
      <c r="J268" s="113"/>
      <c r="K268" s="109"/>
      <c r="L268" s="114"/>
      <c r="M268" s="114"/>
      <c r="N268" s="59"/>
      <c r="O268" s="59"/>
      <c r="P268" s="113"/>
      <c r="Q268" s="59"/>
      <c r="R268" s="113"/>
    </row>
    <row r="269" spans="2:18" s="63" customFormat="1">
      <c r="B269" s="59"/>
      <c r="C269" s="59"/>
      <c r="D269" s="59"/>
      <c r="E269" s="113"/>
      <c r="F269" s="59"/>
      <c r="G269" s="59"/>
      <c r="H269" s="59"/>
      <c r="I269" s="59"/>
      <c r="J269" s="113"/>
      <c r="K269" s="109"/>
      <c r="L269" s="114"/>
      <c r="M269" s="114"/>
      <c r="N269" s="59"/>
      <c r="O269" s="59"/>
      <c r="P269" s="113"/>
      <c r="Q269" s="59"/>
      <c r="R269" s="113"/>
    </row>
    <row r="270" spans="2:18" s="63" customFormat="1">
      <c r="B270" s="59"/>
      <c r="C270" s="59"/>
      <c r="D270" s="59"/>
      <c r="E270" s="113"/>
      <c r="F270" s="59"/>
      <c r="G270" s="59"/>
      <c r="H270" s="59"/>
      <c r="I270" s="59"/>
      <c r="J270" s="113"/>
      <c r="K270" s="109"/>
      <c r="L270" s="114"/>
      <c r="M270" s="114"/>
      <c r="N270" s="59"/>
      <c r="O270" s="59"/>
      <c r="P270" s="113"/>
      <c r="Q270" s="59"/>
      <c r="R270" s="113"/>
    </row>
    <row r="271" spans="2:18" s="63" customFormat="1">
      <c r="B271" s="59"/>
      <c r="C271" s="59"/>
      <c r="D271" s="59"/>
      <c r="E271" s="113"/>
      <c r="F271" s="59"/>
      <c r="G271" s="59"/>
      <c r="H271" s="59"/>
      <c r="I271" s="59"/>
      <c r="J271" s="113"/>
      <c r="K271" s="109"/>
      <c r="L271" s="114"/>
      <c r="M271" s="114"/>
      <c r="N271" s="59"/>
      <c r="O271" s="59"/>
      <c r="P271" s="113"/>
      <c r="Q271" s="59"/>
      <c r="R271" s="113"/>
    </row>
    <row r="272" spans="2:18" s="63" customFormat="1">
      <c r="B272" s="59"/>
      <c r="C272" s="59"/>
      <c r="D272" s="59"/>
      <c r="E272" s="113"/>
      <c r="F272" s="59"/>
      <c r="G272" s="59"/>
      <c r="H272" s="59"/>
      <c r="I272" s="59"/>
      <c r="J272" s="113"/>
      <c r="K272" s="109"/>
      <c r="L272" s="114"/>
      <c r="M272" s="114"/>
      <c r="N272" s="59"/>
      <c r="O272" s="59"/>
      <c r="P272" s="113"/>
      <c r="Q272" s="59"/>
      <c r="R272" s="113"/>
    </row>
    <row r="273" spans="2:18" s="63" customFormat="1">
      <c r="B273" s="59"/>
      <c r="C273" s="59"/>
      <c r="D273" s="59"/>
      <c r="E273" s="113"/>
      <c r="F273" s="59"/>
      <c r="G273" s="59"/>
      <c r="H273" s="59"/>
      <c r="I273" s="59"/>
      <c r="J273" s="113"/>
      <c r="K273" s="109"/>
      <c r="L273" s="114"/>
      <c r="M273" s="114"/>
      <c r="N273" s="59"/>
      <c r="O273" s="59"/>
      <c r="P273" s="113"/>
      <c r="Q273" s="59"/>
      <c r="R273" s="113"/>
    </row>
    <row r="274" spans="2:18" s="63" customFormat="1">
      <c r="B274" s="59"/>
      <c r="C274" s="59"/>
      <c r="D274" s="59"/>
      <c r="E274" s="113"/>
      <c r="F274" s="59"/>
      <c r="G274" s="59"/>
      <c r="H274" s="59"/>
      <c r="I274" s="59"/>
      <c r="J274" s="113"/>
      <c r="K274" s="109"/>
      <c r="L274" s="114"/>
      <c r="M274" s="114"/>
      <c r="N274" s="59"/>
      <c r="O274" s="59"/>
      <c r="P274" s="113"/>
      <c r="Q274" s="59"/>
      <c r="R274" s="113"/>
    </row>
    <row r="275" spans="2:18" s="63" customFormat="1">
      <c r="B275" s="59"/>
      <c r="C275" s="59"/>
      <c r="D275" s="59"/>
      <c r="E275" s="113"/>
      <c r="F275" s="59"/>
      <c r="G275" s="59"/>
      <c r="H275" s="59"/>
      <c r="I275" s="59"/>
      <c r="J275" s="113"/>
      <c r="K275" s="109"/>
      <c r="L275" s="114"/>
      <c r="M275" s="114"/>
      <c r="N275" s="59"/>
      <c r="O275" s="59"/>
      <c r="P275" s="113"/>
      <c r="Q275" s="59"/>
      <c r="R275" s="113"/>
    </row>
  </sheetData>
  <autoFilter ref="B7:R223">
    <filterColumn colId="11"/>
  </autoFilter>
  <mergeCells count="151">
    <mergeCell ref="D227:F227"/>
    <mergeCell ref="D228:F228"/>
    <mergeCell ref="P228:Q228"/>
    <mergeCell ref="D232:F232"/>
    <mergeCell ref="P232:Q232"/>
    <mergeCell ref="D233:F233"/>
    <mergeCell ref="B1:R1"/>
    <mergeCell ref="B2:R2"/>
    <mergeCell ref="C68:C69"/>
    <mergeCell ref="D5:D6"/>
    <mergeCell ref="B217:B218"/>
    <mergeCell ref="C217:C218"/>
    <mergeCell ref="C219:C221"/>
    <mergeCell ref="B219:B221"/>
    <mergeCell ref="B222:B223"/>
    <mergeCell ref="C222:C223"/>
    <mergeCell ref="C206:C210"/>
    <mergeCell ref="B206:B210"/>
    <mergeCell ref="B212:B213"/>
    <mergeCell ref="C212:C213"/>
    <mergeCell ref="C215:C216"/>
    <mergeCell ref="B215:B216"/>
    <mergeCell ref="B196:B200"/>
    <mergeCell ref="C196:C200"/>
    <mergeCell ref="B201:B203"/>
    <mergeCell ref="C201:C203"/>
    <mergeCell ref="B204:B205"/>
    <mergeCell ref="C204:C205"/>
    <mergeCell ref="B187:B188"/>
    <mergeCell ref="C187:C188"/>
    <mergeCell ref="B189:B191"/>
    <mergeCell ref="C189:C191"/>
    <mergeCell ref="B192:B195"/>
    <mergeCell ref="C192:C195"/>
    <mergeCell ref="B179:B182"/>
    <mergeCell ref="C179:C182"/>
    <mergeCell ref="B183:B186"/>
    <mergeCell ref="C183:C186"/>
    <mergeCell ref="B163:B166"/>
    <mergeCell ref="C163:C166"/>
    <mergeCell ref="B167:B171"/>
    <mergeCell ref="C167:C171"/>
    <mergeCell ref="B172:B174"/>
    <mergeCell ref="C172:C174"/>
    <mergeCell ref="B158:B162"/>
    <mergeCell ref="C158:C162"/>
    <mergeCell ref="B125:B128"/>
    <mergeCell ref="C125:C128"/>
    <mergeCell ref="B129:B132"/>
    <mergeCell ref="C129:C132"/>
    <mergeCell ref="B133:B135"/>
    <mergeCell ref="B175:B178"/>
    <mergeCell ref="C175:C178"/>
    <mergeCell ref="B155:B157"/>
    <mergeCell ref="C155:C157"/>
    <mergeCell ref="C152:C154"/>
    <mergeCell ref="B152:B154"/>
    <mergeCell ref="B142:B145"/>
    <mergeCell ref="C142:C145"/>
    <mergeCell ref="B140:B141"/>
    <mergeCell ref="C140:C141"/>
    <mergeCell ref="C146:C151"/>
    <mergeCell ref="B136:B139"/>
    <mergeCell ref="C136:C139"/>
    <mergeCell ref="B146:B151"/>
    <mergeCell ref="C133:C135"/>
    <mergeCell ref="B117:B121"/>
    <mergeCell ref="C117:C121"/>
    <mergeCell ref="B32:B33"/>
    <mergeCell ref="C32:C33"/>
    <mergeCell ref="B34:B38"/>
    <mergeCell ref="C34:C38"/>
    <mergeCell ref="B39:B41"/>
    <mergeCell ref="C39:C41"/>
    <mergeCell ref="B44:B47"/>
    <mergeCell ref="C44:C47"/>
    <mergeCell ref="B66:B67"/>
    <mergeCell ref="C66:C67"/>
    <mergeCell ref="B78:B79"/>
    <mergeCell ref="C78:C79"/>
    <mergeCell ref="B80:B83"/>
    <mergeCell ref="C80:C83"/>
    <mergeCell ref="B115:B116"/>
    <mergeCell ref="C110:C111"/>
    <mergeCell ref="B103:B106"/>
    <mergeCell ref="C103:C106"/>
    <mergeCell ref="B107:B109"/>
    <mergeCell ref="B75:B77"/>
    <mergeCell ref="C75:C77"/>
    <mergeCell ref="B56:B59"/>
    <mergeCell ref="C56:C59"/>
    <mergeCell ref="G5:G6"/>
    <mergeCell ref="B5:B6"/>
    <mergeCell ref="E5:E6"/>
    <mergeCell ref="C29:C31"/>
    <mergeCell ref="B29:B31"/>
    <mergeCell ref="B17:B18"/>
    <mergeCell ref="C26:C27"/>
    <mergeCell ref="B19:B22"/>
    <mergeCell ref="B48:B49"/>
    <mergeCell ref="C48:C49"/>
    <mergeCell ref="C60:C62"/>
    <mergeCell ref="C63:C65"/>
    <mergeCell ref="B63:B65"/>
    <mergeCell ref="C107:C109"/>
    <mergeCell ref="B68:B69"/>
    <mergeCell ref="C17:C18"/>
    <mergeCell ref="H5:H6"/>
    <mergeCell ref="I5:I6"/>
    <mergeCell ref="N5:N6"/>
    <mergeCell ref="P5:P6"/>
    <mergeCell ref="R5:R6"/>
    <mergeCell ref="B12:B16"/>
    <mergeCell ref="C12:C16"/>
    <mergeCell ref="B8:B11"/>
    <mergeCell ref="C8:C11"/>
    <mergeCell ref="Q5:Q6"/>
    <mergeCell ref="J5:L5"/>
    <mergeCell ref="M5:M6"/>
    <mergeCell ref="O5:O6"/>
    <mergeCell ref="F5:F6"/>
    <mergeCell ref="C5:C6"/>
    <mergeCell ref="C19:C22"/>
    <mergeCell ref="B50:B55"/>
    <mergeCell ref="C50:C55"/>
    <mergeCell ref="B60:B62"/>
    <mergeCell ref="B26:B27"/>
    <mergeCell ref="B251:B253"/>
    <mergeCell ref="B255:B256"/>
    <mergeCell ref="B257:B260"/>
    <mergeCell ref="B265:B267"/>
    <mergeCell ref="C112:C114"/>
    <mergeCell ref="B71:B73"/>
    <mergeCell ref="C71:C73"/>
    <mergeCell ref="B84:B86"/>
    <mergeCell ref="C84:C86"/>
    <mergeCell ref="B87:B89"/>
    <mergeCell ref="C87:C89"/>
    <mergeCell ref="B90:B92"/>
    <mergeCell ref="C90:C92"/>
    <mergeCell ref="B93:B94"/>
    <mergeCell ref="C93:C94"/>
    <mergeCell ref="B110:B111"/>
    <mergeCell ref="C95:C99"/>
    <mergeCell ref="B95:B99"/>
    <mergeCell ref="C115:C116"/>
    <mergeCell ref="B112:B114"/>
    <mergeCell ref="B122:B124"/>
    <mergeCell ref="C122:C124"/>
    <mergeCell ref="B100:B102"/>
    <mergeCell ref="C100:C102"/>
  </mergeCells>
  <pageMargins left="1.37795275590551" right="0.196850393700787" top="0.39370078740157499" bottom="0.643700787" header="0.31496062992126" footer="0.31496062992126"/>
  <pageSetup paperSize="10000" scale="82" orientation="landscape" r:id="rId1"/>
  <headerFooter>
    <oddFooter>&amp;C&amp;"-,Bold"&amp;12&amp;P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0"/>
  </sheetPr>
  <dimension ref="A1:C6"/>
  <sheetViews>
    <sheetView workbookViewId="0">
      <selection activeCell="K9" sqref="K9"/>
    </sheetView>
  </sheetViews>
  <sheetFormatPr defaultRowHeight="15"/>
  <sheetData>
    <row r="1" spans="1:3">
      <c r="A1">
        <v>97</v>
      </c>
      <c r="C1">
        <v>263</v>
      </c>
    </row>
    <row r="2" spans="1:3">
      <c r="A2">
        <v>87</v>
      </c>
      <c r="C2">
        <v>274</v>
      </c>
    </row>
    <row r="3" spans="1:3">
      <c r="A3">
        <v>70</v>
      </c>
      <c r="C3">
        <v>232</v>
      </c>
    </row>
    <row r="4" spans="1:3">
      <c r="A4">
        <v>63</v>
      </c>
      <c r="C4">
        <v>193</v>
      </c>
    </row>
    <row r="5" spans="1:3">
      <c r="A5">
        <v>24</v>
      </c>
      <c r="C5">
        <v>70</v>
      </c>
    </row>
    <row r="6" spans="1:3">
      <c r="A6">
        <f>SUM(A1:A5)</f>
        <v>341</v>
      </c>
      <c r="C6">
        <f>SUM(C1:C5)</f>
        <v>1032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GH27"/>
  <sheetViews>
    <sheetView topLeftCell="A20" workbookViewId="0">
      <selection activeCell="A36" sqref="A36"/>
    </sheetView>
  </sheetViews>
  <sheetFormatPr defaultRowHeight="15"/>
  <cols>
    <col min="4" max="4" width="21.42578125" bestFit="1" customWidth="1"/>
    <col min="5" max="5" width="23" bestFit="1" customWidth="1"/>
    <col min="6" max="6" width="15.28515625" bestFit="1" customWidth="1"/>
    <col min="8" max="8" width="16" bestFit="1" customWidth="1"/>
    <col min="10" max="10" width="18.28515625" customWidth="1"/>
  </cols>
  <sheetData>
    <row r="1" spans="1:190">
      <c r="J1" s="13"/>
      <c r="K1" s="21"/>
      <c r="L1" s="16"/>
    </row>
    <row r="2" spans="1:190" ht="15" customHeight="1">
      <c r="A2" s="150" t="s">
        <v>423</v>
      </c>
      <c r="B2" s="148" t="s">
        <v>1150</v>
      </c>
      <c r="C2" s="1" t="s">
        <v>1148</v>
      </c>
      <c r="D2" s="150" t="s">
        <v>424</v>
      </c>
      <c r="E2" s="150" t="s">
        <v>430</v>
      </c>
      <c r="F2" s="158" t="s">
        <v>431</v>
      </c>
      <c r="G2" s="150" t="s">
        <v>425</v>
      </c>
      <c r="H2" s="150" t="s">
        <v>426</v>
      </c>
      <c r="I2" s="151" t="s">
        <v>1154</v>
      </c>
      <c r="J2" s="155"/>
      <c r="K2" s="152"/>
      <c r="L2" s="156" t="s">
        <v>1155</v>
      </c>
      <c r="M2" s="150" t="s">
        <v>427</v>
      </c>
      <c r="N2" s="148" t="s">
        <v>1156</v>
      </c>
      <c r="O2" s="150" t="s">
        <v>428</v>
      </c>
      <c r="P2" s="148" t="s">
        <v>1157</v>
      </c>
      <c r="Q2" s="150" t="s">
        <v>429</v>
      </c>
      <c r="R2" s="151" t="s">
        <v>1158</v>
      </c>
      <c r="S2" s="152"/>
      <c r="T2" s="153" t="s">
        <v>1161</v>
      </c>
      <c r="U2" s="154"/>
      <c r="V2" s="154"/>
      <c r="W2" s="154"/>
    </row>
    <row r="3" spans="1:190" ht="26.25" thickBot="1">
      <c r="A3" s="150"/>
      <c r="B3" s="149"/>
      <c r="C3" s="2" t="s">
        <v>1149</v>
      </c>
      <c r="D3" s="150"/>
      <c r="E3" s="150"/>
      <c r="F3" s="158"/>
      <c r="G3" s="150"/>
      <c r="H3" s="150"/>
      <c r="I3" s="2" t="s">
        <v>1151</v>
      </c>
      <c r="J3" s="9" t="s">
        <v>1152</v>
      </c>
      <c r="K3" s="17" t="s">
        <v>1153</v>
      </c>
      <c r="L3" s="157"/>
      <c r="M3" s="150"/>
      <c r="N3" s="149"/>
      <c r="O3" s="150"/>
      <c r="P3" s="149"/>
      <c r="Q3" s="150"/>
      <c r="R3" s="2" t="s">
        <v>1159</v>
      </c>
      <c r="S3" s="3" t="s">
        <v>1160</v>
      </c>
      <c r="T3" s="3" t="s">
        <v>6</v>
      </c>
      <c r="U3" s="3" t="s">
        <v>1162</v>
      </c>
      <c r="V3" s="3" t="s">
        <v>1163</v>
      </c>
      <c r="W3" s="3" t="s">
        <v>1164</v>
      </c>
    </row>
    <row r="4" spans="1:190" s="5" customFormat="1" ht="15" customHeight="1">
      <c r="A4" s="22"/>
      <c r="B4" s="4"/>
      <c r="C4" s="4">
        <v>40</v>
      </c>
      <c r="D4" s="4" t="s">
        <v>482</v>
      </c>
      <c r="E4" s="4" t="s">
        <v>13</v>
      </c>
      <c r="F4" s="4" t="s">
        <v>483</v>
      </c>
      <c r="G4" s="4" t="s">
        <v>8</v>
      </c>
      <c r="H4" s="4" t="s">
        <v>11</v>
      </c>
      <c r="I4" s="4"/>
      <c r="J4" s="10">
        <v>36072</v>
      </c>
      <c r="K4" s="18"/>
      <c r="L4" s="14">
        <f t="shared" ref="L4:L12" si="0">2019-K4</f>
        <v>2019</v>
      </c>
      <c r="M4" s="4" t="s">
        <v>3</v>
      </c>
      <c r="N4" s="4"/>
      <c r="O4" s="4" t="s">
        <v>28</v>
      </c>
      <c r="P4" s="4"/>
      <c r="Q4" s="4" t="s">
        <v>4</v>
      </c>
      <c r="R4" s="4"/>
      <c r="S4" s="4"/>
      <c r="T4" s="4"/>
      <c r="U4" s="4"/>
      <c r="V4" s="4"/>
      <c r="W4" s="4"/>
    </row>
    <row r="5" spans="1:190" ht="25.5">
      <c r="B5" s="4"/>
      <c r="C5" s="4">
        <v>26</v>
      </c>
      <c r="D5" s="4" t="s">
        <v>51</v>
      </c>
      <c r="E5" s="4" t="s">
        <v>13</v>
      </c>
      <c r="F5" s="4" t="s">
        <v>52</v>
      </c>
      <c r="G5" s="4" t="s">
        <v>1</v>
      </c>
      <c r="H5" s="4" t="s">
        <v>11</v>
      </c>
      <c r="I5" s="4"/>
      <c r="J5" s="10">
        <v>35612</v>
      </c>
      <c r="K5" s="18"/>
      <c r="L5" s="18">
        <f t="shared" si="0"/>
        <v>2019</v>
      </c>
      <c r="M5" s="4" t="s">
        <v>3</v>
      </c>
      <c r="N5" s="4"/>
      <c r="O5" s="4" t="s">
        <v>28</v>
      </c>
      <c r="P5" s="4"/>
      <c r="Q5" s="4" t="s">
        <v>5</v>
      </c>
      <c r="R5" s="4"/>
      <c r="S5" s="4"/>
      <c r="T5" s="4"/>
      <c r="U5" s="4"/>
      <c r="V5" s="4"/>
      <c r="W5" s="4"/>
    </row>
    <row r="6" spans="1:190" s="29" customFormat="1">
      <c r="A6" s="28"/>
      <c r="B6" s="28"/>
      <c r="C6" s="28">
        <v>20</v>
      </c>
      <c r="D6" s="28" t="s">
        <v>834</v>
      </c>
      <c r="E6" s="28" t="s">
        <v>13</v>
      </c>
      <c r="F6" s="28" t="s">
        <v>835</v>
      </c>
      <c r="G6" s="28" t="s">
        <v>8</v>
      </c>
      <c r="H6" s="28" t="s">
        <v>11</v>
      </c>
      <c r="I6" s="28"/>
      <c r="J6" s="31">
        <v>33734</v>
      </c>
      <c r="K6" s="32"/>
      <c r="L6" s="32">
        <f t="shared" si="0"/>
        <v>2019</v>
      </c>
      <c r="M6" s="28" t="s">
        <v>3</v>
      </c>
      <c r="N6" s="28"/>
      <c r="O6" s="28" t="s">
        <v>4</v>
      </c>
      <c r="P6" s="28"/>
      <c r="Q6" s="28" t="s">
        <v>4</v>
      </c>
      <c r="R6" s="28"/>
      <c r="S6" s="28"/>
      <c r="T6" s="28"/>
      <c r="U6" s="28"/>
      <c r="V6" s="28"/>
      <c r="W6" s="28"/>
    </row>
    <row r="7" spans="1:190" s="29" customFormat="1">
      <c r="A7" s="28"/>
      <c r="B7" s="28"/>
      <c r="C7" s="28">
        <v>21</v>
      </c>
      <c r="D7" s="28" t="s">
        <v>836</v>
      </c>
      <c r="E7" s="28" t="s">
        <v>13</v>
      </c>
      <c r="F7" s="28" t="s">
        <v>837</v>
      </c>
      <c r="G7" s="28" t="s">
        <v>8</v>
      </c>
      <c r="H7" s="28" t="s">
        <v>11</v>
      </c>
      <c r="I7" s="28"/>
      <c r="J7" s="31">
        <v>35708</v>
      </c>
      <c r="K7" s="32"/>
      <c r="L7" s="32">
        <f t="shared" si="0"/>
        <v>2019</v>
      </c>
      <c r="M7" s="28" t="s">
        <v>3</v>
      </c>
      <c r="N7" s="28"/>
      <c r="O7" s="28" t="s">
        <v>4</v>
      </c>
      <c r="P7" s="28"/>
      <c r="Q7" s="28" t="s">
        <v>4</v>
      </c>
      <c r="R7" s="28"/>
      <c r="S7" s="28"/>
      <c r="T7" s="28"/>
      <c r="U7" s="28"/>
      <c r="V7" s="28"/>
      <c r="W7" s="28"/>
    </row>
    <row r="8" spans="1:190" ht="25.5">
      <c r="A8" s="22"/>
      <c r="B8" s="27"/>
      <c r="C8" s="27">
        <v>124</v>
      </c>
      <c r="D8" s="27" t="s">
        <v>211</v>
      </c>
      <c r="E8" s="27" t="s">
        <v>13</v>
      </c>
      <c r="F8" s="27" t="s">
        <v>212</v>
      </c>
      <c r="G8" s="27" t="s">
        <v>1</v>
      </c>
      <c r="H8" s="27" t="s">
        <v>11</v>
      </c>
      <c r="I8" s="27"/>
      <c r="J8" s="10">
        <v>33312</v>
      </c>
      <c r="K8" s="18"/>
      <c r="L8" s="18">
        <f t="shared" si="0"/>
        <v>2019</v>
      </c>
      <c r="M8" s="27" t="s">
        <v>3</v>
      </c>
      <c r="N8" s="27"/>
      <c r="O8" s="27" t="s">
        <v>12</v>
      </c>
      <c r="P8" s="27"/>
      <c r="Q8" s="27" t="s">
        <v>85</v>
      </c>
      <c r="R8" s="27"/>
      <c r="S8" s="27"/>
      <c r="T8" s="27"/>
      <c r="U8" s="27"/>
      <c r="V8" s="27"/>
      <c r="W8" s="27"/>
    </row>
    <row r="9" spans="1:190" ht="25.5">
      <c r="A9" s="27"/>
      <c r="B9" s="27"/>
      <c r="C9" s="27">
        <v>164</v>
      </c>
      <c r="D9" s="27" t="s">
        <v>0</v>
      </c>
      <c r="E9" s="27" t="s">
        <v>13</v>
      </c>
      <c r="F9" s="27" t="s">
        <v>1132</v>
      </c>
      <c r="G9" s="27" t="s">
        <v>1</v>
      </c>
      <c r="H9" s="27" t="s">
        <v>11</v>
      </c>
      <c r="I9" s="27"/>
      <c r="J9" s="10">
        <v>32245</v>
      </c>
      <c r="K9" s="18"/>
      <c r="L9" s="32">
        <f t="shared" si="0"/>
        <v>2019</v>
      </c>
      <c r="M9" s="27" t="s">
        <v>3</v>
      </c>
      <c r="N9" s="28" t="s">
        <v>1169</v>
      </c>
      <c r="O9" s="27" t="s">
        <v>16</v>
      </c>
      <c r="P9" s="27"/>
      <c r="Q9" s="27" t="s">
        <v>5</v>
      </c>
      <c r="R9" s="28"/>
      <c r="S9" s="28"/>
      <c r="T9" s="28"/>
      <c r="U9" s="28"/>
      <c r="V9" s="28"/>
      <c r="W9" s="28"/>
    </row>
    <row r="10" spans="1:190" ht="25.5">
      <c r="A10" s="27"/>
      <c r="B10" s="27"/>
      <c r="C10" s="27">
        <v>166</v>
      </c>
      <c r="D10" s="27" t="s">
        <v>1133</v>
      </c>
      <c r="E10" s="27" t="s">
        <v>13</v>
      </c>
      <c r="F10" s="27" t="s">
        <v>1134</v>
      </c>
      <c r="G10" s="27" t="s">
        <v>1</v>
      </c>
      <c r="H10" s="27" t="s">
        <v>11</v>
      </c>
      <c r="I10" s="27"/>
      <c r="J10" s="10">
        <v>33552</v>
      </c>
      <c r="K10" s="18"/>
      <c r="L10" s="32">
        <f t="shared" si="0"/>
        <v>2019</v>
      </c>
      <c r="M10" s="27" t="s">
        <v>3</v>
      </c>
      <c r="N10" s="28" t="s">
        <v>1169</v>
      </c>
      <c r="O10" s="27" t="s">
        <v>16</v>
      </c>
      <c r="P10" s="27"/>
      <c r="Q10" s="27" t="s">
        <v>4</v>
      </c>
      <c r="R10" s="28"/>
      <c r="S10" s="28"/>
      <c r="T10" s="28"/>
      <c r="U10" s="28"/>
      <c r="V10" s="28"/>
      <c r="W10" s="28"/>
    </row>
    <row r="11" spans="1:190">
      <c r="A11" s="27"/>
      <c r="B11" s="27"/>
      <c r="C11" s="27">
        <v>168</v>
      </c>
      <c r="D11" s="27" t="s">
        <v>1135</v>
      </c>
      <c r="E11" s="27" t="s">
        <v>13</v>
      </c>
      <c r="F11" s="27" t="s">
        <v>1136</v>
      </c>
      <c r="G11" s="27" t="s">
        <v>8</v>
      </c>
      <c r="H11" s="27" t="s">
        <v>11</v>
      </c>
      <c r="I11" s="27"/>
      <c r="J11" s="10">
        <v>34885</v>
      </c>
      <c r="K11" s="18"/>
      <c r="L11" s="32">
        <f t="shared" si="0"/>
        <v>2019</v>
      </c>
      <c r="M11" s="27" t="s">
        <v>3</v>
      </c>
      <c r="N11" s="28" t="s">
        <v>1169</v>
      </c>
      <c r="O11" s="27" t="s">
        <v>4</v>
      </c>
      <c r="P11" s="27"/>
      <c r="Q11" s="27" t="s">
        <v>4</v>
      </c>
      <c r="R11" s="28"/>
      <c r="S11" s="28"/>
      <c r="T11" s="28"/>
      <c r="U11" s="28"/>
      <c r="V11" s="28"/>
      <c r="W11" s="28"/>
    </row>
    <row r="12" spans="1:190" s="5" customFormat="1" ht="15" customHeight="1">
      <c r="A12" s="23"/>
      <c r="B12" s="4"/>
      <c r="C12" s="4">
        <v>33</v>
      </c>
      <c r="D12" s="4" t="s">
        <v>470</v>
      </c>
      <c r="E12" s="4" t="s">
        <v>13</v>
      </c>
      <c r="F12" s="4" t="s">
        <v>472</v>
      </c>
      <c r="G12" s="4" t="s">
        <v>1</v>
      </c>
      <c r="H12" s="4" t="s">
        <v>471</v>
      </c>
      <c r="I12" s="4"/>
      <c r="J12" s="10">
        <v>33969</v>
      </c>
      <c r="K12" s="18"/>
      <c r="L12" s="14">
        <f t="shared" si="0"/>
        <v>2019</v>
      </c>
      <c r="M12" s="4" t="s">
        <v>3</v>
      </c>
      <c r="N12" s="4"/>
      <c r="O12" s="4" t="s">
        <v>28</v>
      </c>
      <c r="P12" s="4"/>
      <c r="Q12" s="4" t="s">
        <v>5</v>
      </c>
      <c r="R12" s="4"/>
      <c r="S12" s="4"/>
      <c r="T12" s="4"/>
      <c r="U12" s="4"/>
      <c r="V12" s="4"/>
      <c r="W12" s="4"/>
    </row>
    <row r="13" spans="1:190" s="8" customFormat="1" ht="15" customHeight="1">
      <c r="A13" s="22">
        <v>42</v>
      </c>
      <c r="B13" s="7"/>
      <c r="C13" s="7">
        <v>99</v>
      </c>
      <c r="D13" s="7" t="s">
        <v>572</v>
      </c>
      <c r="E13" s="7" t="s">
        <v>6</v>
      </c>
      <c r="F13" s="7" t="s">
        <v>573</v>
      </c>
      <c r="G13" s="7" t="s">
        <v>1</v>
      </c>
      <c r="H13" s="7" t="s">
        <v>2</v>
      </c>
      <c r="I13" s="7"/>
      <c r="J13" s="11">
        <v>24837</v>
      </c>
      <c r="K13" s="19"/>
      <c r="L13" s="15">
        <f>2019-K13</f>
        <v>2019</v>
      </c>
      <c r="M13" s="7" t="s">
        <v>3</v>
      </c>
      <c r="N13" s="7"/>
      <c r="O13" s="7" t="s">
        <v>4</v>
      </c>
      <c r="P13" s="7"/>
      <c r="Q13" s="7" t="s">
        <v>5</v>
      </c>
      <c r="R13" s="7"/>
      <c r="S13" s="7"/>
      <c r="T13" s="7"/>
      <c r="U13" s="7"/>
      <c r="V13" s="7"/>
      <c r="W13" s="7"/>
    </row>
    <row r="14" spans="1:190" s="5" customFormat="1" ht="15" customHeight="1">
      <c r="A14" s="44"/>
      <c r="B14" s="4"/>
      <c r="C14" s="4">
        <v>48</v>
      </c>
      <c r="D14" s="4" t="s">
        <v>498</v>
      </c>
      <c r="E14" s="4" t="s">
        <v>13</v>
      </c>
      <c r="F14" s="4" t="s">
        <v>499</v>
      </c>
      <c r="G14" s="4" t="s">
        <v>8</v>
      </c>
      <c r="H14" s="4" t="s">
        <v>11</v>
      </c>
      <c r="I14" s="4"/>
      <c r="J14" s="10">
        <v>33238</v>
      </c>
      <c r="K14" s="18"/>
      <c r="L14" s="14">
        <f>2019-K14</f>
        <v>2019</v>
      </c>
      <c r="M14" s="4" t="s">
        <v>3</v>
      </c>
      <c r="N14" s="4"/>
      <c r="O14" s="4" t="s">
        <v>16</v>
      </c>
      <c r="P14" s="4"/>
      <c r="Q14" s="4" t="s">
        <v>5</v>
      </c>
      <c r="R14" s="4"/>
      <c r="S14" s="4"/>
      <c r="T14" s="4"/>
      <c r="U14" s="4"/>
      <c r="V14" s="4"/>
      <c r="W14" s="4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</row>
    <row r="15" spans="1:190" s="5" customFormat="1" ht="15" customHeight="1">
      <c r="A15" s="45">
        <v>30</v>
      </c>
      <c r="B15" s="43"/>
      <c r="C15" s="43">
        <v>73</v>
      </c>
      <c r="D15" s="43" t="s">
        <v>532</v>
      </c>
      <c r="E15" s="43" t="s">
        <v>1373</v>
      </c>
      <c r="F15" s="43" t="s">
        <v>533</v>
      </c>
      <c r="G15" s="43" t="s">
        <v>8</v>
      </c>
      <c r="H15" s="43" t="s">
        <v>18</v>
      </c>
      <c r="I15" s="43"/>
      <c r="J15" s="10">
        <v>32752</v>
      </c>
      <c r="K15" s="18">
        <v>1989</v>
      </c>
      <c r="L15" s="14">
        <f t="shared" ref="L15" si="1">2019-K15</f>
        <v>30</v>
      </c>
      <c r="M15" s="43" t="s">
        <v>3</v>
      </c>
      <c r="N15" s="43"/>
      <c r="O15" s="43" t="s">
        <v>28</v>
      </c>
      <c r="P15" s="43"/>
      <c r="Q15" s="43" t="s">
        <v>119</v>
      </c>
      <c r="R15" s="43"/>
      <c r="S15" s="43"/>
      <c r="T15" s="43"/>
      <c r="U15" s="43"/>
      <c r="V15" s="43"/>
      <c r="W15" s="43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</row>
    <row r="16" spans="1:190" s="29" customFormat="1" ht="25.5">
      <c r="A16" s="28"/>
      <c r="B16" s="28"/>
      <c r="C16" s="28">
        <v>10</v>
      </c>
      <c r="D16" s="28" t="s">
        <v>817</v>
      </c>
      <c r="E16" s="28" t="s">
        <v>13</v>
      </c>
      <c r="F16" s="28" t="s">
        <v>818</v>
      </c>
      <c r="G16" s="28" t="s">
        <v>8</v>
      </c>
      <c r="H16" s="28" t="s">
        <v>11</v>
      </c>
      <c r="I16" s="28"/>
      <c r="J16" s="31">
        <v>29948</v>
      </c>
      <c r="K16" s="32"/>
      <c r="L16" s="32">
        <f t="shared" ref="L16:L21" si="2">2019-K16</f>
        <v>2019</v>
      </c>
      <c r="M16" s="28" t="s">
        <v>3</v>
      </c>
      <c r="N16" s="28"/>
      <c r="O16" s="28" t="s">
        <v>12</v>
      </c>
      <c r="P16" s="28"/>
      <c r="Q16" s="28" t="s">
        <v>4</v>
      </c>
      <c r="R16" s="28"/>
      <c r="S16" s="28"/>
      <c r="T16" s="28"/>
      <c r="U16" s="28"/>
      <c r="V16" s="28"/>
      <c r="W16" s="28"/>
    </row>
    <row r="17" spans="1:190" s="42" customFormat="1" ht="25.5">
      <c r="A17" s="50"/>
      <c r="B17" s="49"/>
      <c r="C17" s="47">
        <v>7</v>
      </c>
      <c r="D17" s="47" t="s">
        <v>14</v>
      </c>
      <c r="E17" s="47" t="s">
        <v>13</v>
      </c>
      <c r="F17" s="47" t="s">
        <v>1438</v>
      </c>
      <c r="G17" s="47" t="s">
        <v>8</v>
      </c>
      <c r="H17" s="47" t="s">
        <v>11</v>
      </c>
      <c r="I17" s="47"/>
      <c r="J17" s="37">
        <v>33969</v>
      </c>
      <c r="K17" s="38"/>
      <c r="L17" s="38">
        <f t="shared" si="2"/>
        <v>2019</v>
      </c>
      <c r="M17" s="47" t="s">
        <v>3</v>
      </c>
      <c r="N17" s="47"/>
      <c r="O17" s="47" t="s">
        <v>12</v>
      </c>
      <c r="P17" s="47"/>
      <c r="Q17" s="47" t="s">
        <v>5</v>
      </c>
      <c r="R17" s="47"/>
      <c r="S17" s="47"/>
      <c r="T17" s="47"/>
      <c r="U17" s="47"/>
      <c r="V17" s="47"/>
      <c r="W17" s="47"/>
    </row>
    <row r="18" spans="1:190" s="5" customFormat="1" ht="15" customHeight="1">
      <c r="A18" s="22"/>
      <c r="B18" s="46"/>
      <c r="C18" s="46">
        <v>245</v>
      </c>
      <c r="D18" s="46" t="s">
        <v>788</v>
      </c>
      <c r="E18" s="46" t="s">
        <v>13</v>
      </c>
      <c r="F18" s="46" t="s">
        <v>789</v>
      </c>
      <c r="G18" s="46" t="s">
        <v>8</v>
      </c>
      <c r="H18" s="46" t="s">
        <v>11</v>
      </c>
      <c r="I18" s="46"/>
      <c r="J18" s="10">
        <v>33055</v>
      </c>
      <c r="K18" s="18"/>
      <c r="L18" s="14">
        <f t="shared" si="2"/>
        <v>2019</v>
      </c>
      <c r="M18" s="46" t="s">
        <v>3</v>
      </c>
      <c r="N18" s="46"/>
      <c r="O18" s="46" t="s">
        <v>16</v>
      </c>
      <c r="P18" s="46"/>
      <c r="Q18" s="46" t="s">
        <v>4</v>
      </c>
      <c r="R18" s="46"/>
      <c r="S18" s="46"/>
      <c r="T18" s="46"/>
      <c r="U18" s="46"/>
      <c r="V18" s="46"/>
      <c r="W18" s="46"/>
      <c r="X18" s="48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</row>
    <row r="19" spans="1:190" s="26" customFormat="1" ht="15" customHeight="1">
      <c r="A19" s="50"/>
      <c r="B19" s="50"/>
      <c r="C19" s="47">
        <v>128</v>
      </c>
      <c r="D19" s="47" t="s">
        <v>1466</v>
      </c>
      <c r="E19" s="47" t="s">
        <v>13</v>
      </c>
      <c r="F19" s="47" t="s">
        <v>616</v>
      </c>
      <c r="G19" s="47" t="s">
        <v>1</v>
      </c>
      <c r="H19" s="47" t="s">
        <v>11</v>
      </c>
      <c r="I19" s="47" t="s">
        <v>1172</v>
      </c>
      <c r="J19" s="37">
        <v>33786</v>
      </c>
      <c r="K19" s="38">
        <v>1992</v>
      </c>
      <c r="L19" s="39">
        <f t="shared" si="2"/>
        <v>27</v>
      </c>
      <c r="M19" s="47" t="s">
        <v>3</v>
      </c>
      <c r="N19" s="47" t="s">
        <v>1169</v>
      </c>
      <c r="O19" s="47" t="s">
        <v>1199</v>
      </c>
      <c r="P19" s="47"/>
      <c r="Q19" s="47" t="s">
        <v>1192</v>
      </c>
      <c r="R19" s="47"/>
      <c r="S19" s="47"/>
      <c r="T19" s="47"/>
      <c r="U19" s="47"/>
      <c r="V19" s="47"/>
      <c r="W19" s="47"/>
      <c r="X19" s="48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</row>
    <row r="20" spans="1:190" s="26" customFormat="1" ht="15" customHeight="1">
      <c r="A20" s="50"/>
      <c r="B20" s="50"/>
      <c r="C20" s="47">
        <v>129</v>
      </c>
      <c r="D20" s="47" t="s">
        <v>617</v>
      </c>
      <c r="E20" s="47" t="s">
        <v>13</v>
      </c>
      <c r="F20" s="47" t="s">
        <v>618</v>
      </c>
      <c r="G20" s="47" t="s">
        <v>1</v>
      </c>
      <c r="H20" s="47" t="s">
        <v>11</v>
      </c>
      <c r="I20" s="47" t="s">
        <v>1166</v>
      </c>
      <c r="J20" s="37">
        <v>34643</v>
      </c>
      <c r="K20" s="38">
        <v>1994</v>
      </c>
      <c r="L20" s="39">
        <f t="shared" si="2"/>
        <v>25</v>
      </c>
      <c r="M20" s="47" t="s">
        <v>3</v>
      </c>
      <c r="N20" s="47" t="s">
        <v>1169</v>
      </c>
      <c r="O20" s="47" t="s">
        <v>1181</v>
      </c>
      <c r="P20" s="47"/>
      <c r="Q20" s="47" t="s">
        <v>1178</v>
      </c>
      <c r="R20" s="47"/>
      <c r="S20" s="47"/>
      <c r="T20" s="47"/>
      <c r="U20" s="47"/>
      <c r="V20" s="47"/>
      <c r="W20" s="47"/>
      <c r="X20" s="48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</row>
    <row r="21" spans="1:190" s="26" customFormat="1" ht="15" customHeight="1">
      <c r="A21" s="50"/>
      <c r="B21" s="50"/>
      <c r="C21" s="47">
        <v>130</v>
      </c>
      <c r="D21" s="47" t="s">
        <v>1273</v>
      </c>
      <c r="E21" s="47" t="s">
        <v>13</v>
      </c>
      <c r="F21" s="47" t="s">
        <v>619</v>
      </c>
      <c r="G21" s="47" t="s">
        <v>8</v>
      </c>
      <c r="H21" s="47" t="s">
        <v>11</v>
      </c>
      <c r="I21" s="47" t="s">
        <v>1166</v>
      </c>
      <c r="J21" s="37">
        <v>35836</v>
      </c>
      <c r="K21" s="38">
        <v>1998</v>
      </c>
      <c r="L21" s="39">
        <f t="shared" si="2"/>
        <v>21</v>
      </c>
      <c r="M21" s="47" t="s">
        <v>3</v>
      </c>
      <c r="N21" s="47" t="s">
        <v>1169</v>
      </c>
      <c r="O21" s="47" t="s">
        <v>1199</v>
      </c>
      <c r="P21" s="47"/>
      <c r="Q21" s="47" t="s">
        <v>1192</v>
      </c>
      <c r="R21" s="47"/>
      <c r="S21" s="47"/>
      <c r="T21" s="47"/>
      <c r="U21" s="47"/>
      <c r="V21" s="47"/>
      <c r="W21" s="47"/>
      <c r="X21" s="48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</row>
    <row r="22" spans="1:190" s="41" customFormat="1" ht="39" thickBot="1">
      <c r="A22" s="49"/>
      <c r="B22" s="49"/>
      <c r="C22" s="52">
        <v>164</v>
      </c>
      <c r="D22" s="52" t="s">
        <v>265</v>
      </c>
      <c r="E22" s="52" t="s">
        <v>13</v>
      </c>
      <c r="F22" s="52" t="s">
        <v>264</v>
      </c>
      <c r="G22" s="52" t="s">
        <v>1</v>
      </c>
      <c r="H22" s="52" t="s">
        <v>11</v>
      </c>
      <c r="I22" s="51" t="s">
        <v>1172</v>
      </c>
      <c r="J22" s="37">
        <v>32325</v>
      </c>
      <c r="K22" s="38">
        <v>1988</v>
      </c>
      <c r="L22" s="38">
        <f t="shared" ref="L22:L27" si="3">2019-K22</f>
        <v>31</v>
      </c>
      <c r="M22" s="52" t="s">
        <v>3</v>
      </c>
      <c r="N22" s="52" t="s">
        <v>1169</v>
      </c>
      <c r="O22" s="52" t="s">
        <v>1177</v>
      </c>
      <c r="P22" s="52"/>
      <c r="Q22" s="52" t="s">
        <v>1192</v>
      </c>
      <c r="R22" s="52"/>
      <c r="S22" s="52"/>
      <c r="T22" s="52"/>
      <c r="U22" s="52"/>
      <c r="V22" s="52"/>
      <c r="W22" s="52"/>
    </row>
    <row r="23" spans="1:190" s="30" customFormat="1" ht="25.5">
      <c r="A23" s="54"/>
      <c r="B23" s="54"/>
      <c r="C23" s="54">
        <v>55</v>
      </c>
      <c r="D23" s="54" t="s">
        <v>880</v>
      </c>
      <c r="E23" s="54" t="s">
        <v>13</v>
      </c>
      <c r="F23" s="54" t="s">
        <v>881</v>
      </c>
      <c r="G23" s="54" t="s">
        <v>8</v>
      </c>
      <c r="H23" s="54" t="s">
        <v>11</v>
      </c>
      <c r="I23" s="54"/>
      <c r="J23" s="24">
        <v>35069</v>
      </c>
      <c r="K23" s="25">
        <v>1996</v>
      </c>
      <c r="L23" s="25">
        <f t="shared" si="3"/>
        <v>23</v>
      </c>
      <c r="M23" s="54" t="s">
        <v>3</v>
      </c>
      <c r="N23" s="54" t="s">
        <v>1169</v>
      </c>
      <c r="O23" s="54" t="s">
        <v>16</v>
      </c>
      <c r="P23" s="54"/>
      <c r="Q23" s="54" t="s">
        <v>5</v>
      </c>
      <c r="R23" s="54"/>
      <c r="S23" s="54"/>
      <c r="T23" s="54"/>
      <c r="U23" s="54"/>
      <c r="V23" s="54"/>
      <c r="W23" s="54"/>
    </row>
    <row r="24" spans="1:190" s="30" customFormat="1" ht="25.5">
      <c r="A24" s="54"/>
      <c r="B24" s="54"/>
      <c r="C24" s="54">
        <v>87</v>
      </c>
      <c r="D24" s="54" t="s">
        <v>934</v>
      </c>
      <c r="E24" s="54" t="s">
        <v>13</v>
      </c>
      <c r="F24" s="54" t="s">
        <v>935</v>
      </c>
      <c r="G24" s="54" t="s">
        <v>8</v>
      </c>
      <c r="H24" s="54" t="s">
        <v>11</v>
      </c>
      <c r="I24" s="54"/>
      <c r="J24" s="24">
        <v>36525</v>
      </c>
      <c r="K24" s="25">
        <v>1999</v>
      </c>
      <c r="L24" s="25">
        <f t="shared" si="3"/>
        <v>20</v>
      </c>
      <c r="M24" s="54" t="s">
        <v>3</v>
      </c>
      <c r="N24" s="54"/>
      <c r="O24" s="54" t="s">
        <v>16</v>
      </c>
      <c r="P24" s="54"/>
      <c r="Q24" s="54" t="s">
        <v>726</v>
      </c>
      <c r="R24" s="54"/>
      <c r="S24" s="54"/>
      <c r="T24" s="54"/>
      <c r="U24" s="54"/>
      <c r="V24" s="54"/>
      <c r="W24" s="54"/>
    </row>
    <row r="25" spans="1:190" s="30" customFormat="1" ht="25.5">
      <c r="A25" s="56"/>
      <c r="B25" s="55"/>
      <c r="C25" s="55">
        <v>92</v>
      </c>
      <c r="D25" s="55" t="s">
        <v>169</v>
      </c>
      <c r="E25" s="55" t="s">
        <v>13</v>
      </c>
      <c r="F25" s="55" t="s">
        <v>170</v>
      </c>
      <c r="G25" s="55" t="s">
        <v>8</v>
      </c>
      <c r="H25" s="55" t="s">
        <v>11</v>
      </c>
      <c r="I25" s="55"/>
      <c r="J25" s="24">
        <v>34075</v>
      </c>
      <c r="K25" s="25"/>
      <c r="L25" s="25">
        <f t="shared" si="3"/>
        <v>2019</v>
      </c>
      <c r="M25" s="55" t="s">
        <v>3</v>
      </c>
      <c r="N25" s="55"/>
      <c r="O25" s="55" t="s">
        <v>12</v>
      </c>
      <c r="P25" s="55"/>
      <c r="Q25" s="55" t="s">
        <v>4</v>
      </c>
      <c r="R25" s="55"/>
      <c r="S25" s="55"/>
      <c r="T25" s="55"/>
      <c r="U25" s="55"/>
      <c r="V25" s="55"/>
      <c r="W25" s="55"/>
    </row>
    <row r="26" spans="1:190" s="5" customFormat="1" ht="15" customHeight="1">
      <c r="A26" s="22"/>
      <c r="B26" s="46"/>
      <c r="C26" s="46">
        <v>59</v>
      </c>
      <c r="D26" s="46" t="s">
        <v>509</v>
      </c>
      <c r="E26" s="46" t="s">
        <v>9</v>
      </c>
      <c r="F26" s="46" t="s">
        <v>510</v>
      </c>
      <c r="G26" s="46" t="s">
        <v>8</v>
      </c>
      <c r="H26" s="46" t="s">
        <v>11</v>
      </c>
      <c r="I26" s="46"/>
      <c r="J26" s="10">
        <v>30962</v>
      </c>
      <c r="K26" s="18"/>
      <c r="L26" s="14">
        <f t="shared" si="3"/>
        <v>2019</v>
      </c>
      <c r="M26" s="46" t="s">
        <v>3</v>
      </c>
      <c r="N26" s="46"/>
      <c r="O26" s="46" t="s">
        <v>4</v>
      </c>
      <c r="P26" s="46"/>
      <c r="Q26" s="46" t="s">
        <v>4</v>
      </c>
      <c r="R26" s="46"/>
      <c r="S26" s="46"/>
      <c r="T26" s="46"/>
      <c r="U26" s="46"/>
      <c r="V26" s="46"/>
      <c r="W26" s="46"/>
      <c r="X26" s="48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</row>
    <row r="27" spans="1:190" s="58" customFormat="1" ht="15" customHeight="1">
      <c r="A27" s="56"/>
      <c r="B27" s="55"/>
      <c r="C27" s="55">
        <v>125</v>
      </c>
      <c r="D27" s="55" t="s">
        <v>611</v>
      </c>
      <c r="E27" s="55" t="s">
        <v>13</v>
      </c>
      <c r="F27" s="55" t="s">
        <v>612</v>
      </c>
      <c r="G27" s="55" t="s">
        <v>8</v>
      </c>
      <c r="H27" s="55" t="s">
        <v>11</v>
      </c>
      <c r="I27" s="55"/>
      <c r="J27" s="24">
        <v>35812</v>
      </c>
      <c r="K27" s="25"/>
      <c r="L27" s="53">
        <f t="shared" si="3"/>
        <v>2019</v>
      </c>
      <c r="M27" s="55" t="s">
        <v>3</v>
      </c>
      <c r="N27" s="55"/>
      <c r="O27" s="55" t="s">
        <v>16</v>
      </c>
      <c r="P27" s="55"/>
      <c r="Q27" s="55" t="s">
        <v>4</v>
      </c>
      <c r="R27" s="55"/>
      <c r="S27" s="55"/>
      <c r="T27" s="55"/>
      <c r="U27" s="55"/>
      <c r="V27" s="55"/>
      <c r="W27" s="55"/>
      <c r="X27" s="57"/>
    </row>
  </sheetData>
  <mergeCells count="16">
    <mergeCell ref="G2:G3"/>
    <mergeCell ref="A2:A3"/>
    <mergeCell ref="B2:B3"/>
    <mergeCell ref="D2:D3"/>
    <mergeCell ref="E2:E3"/>
    <mergeCell ref="F2:F3"/>
    <mergeCell ref="P2:P3"/>
    <mergeCell ref="Q2:Q3"/>
    <mergeCell ref="R2:S2"/>
    <mergeCell ref="T2:W2"/>
    <mergeCell ref="H2:H3"/>
    <mergeCell ref="I2:K2"/>
    <mergeCell ref="L2:L3"/>
    <mergeCell ref="M2:M3"/>
    <mergeCell ref="N2:N3"/>
    <mergeCell ref="O2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2:GH7"/>
  <sheetViews>
    <sheetView workbookViewId="0">
      <selection activeCell="A7" sqref="A7:XFD7"/>
    </sheetView>
  </sheetViews>
  <sheetFormatPr defaultRowHeight="15"/>
  <cols>
    <col min="10" max="10" width="14.7109375" bestFit="1" customWidth="1"/>
  </cols>
  <sheetData>
    <row r="2" spans="1:190" ht="15" customHeight="1">
      <c r="A2" s="150" t="s">
        <v>423</v>
      </c>
      <c r="B2" s="148" t="s">
        <v>1150</v>
      </c>
      <c r="C2" s="1" t="s">
        <v>1148</v>
      </c>
      <c r="D2" s="150" t="s">
        <v>424</v>
      </c>
      <c r="E2" s="150" t="s">
        <v>430</v>
      </c>
      <c r="F2" s="158" t="s">
        <v>431</v>
      </c>
      <c r="G2" s="150" t="s">
        <v>425</v>
      </c>
      <c r="H2" s="150" t="s">
        <v>426</v>
      </c>
      <c r="I2" s="151" t="s">
        <v>1154</v>
      </c>
      <c r="J2" s="155"/>
      <c r="K2" s="152"/>
      <c r="L2" s="156" t="s">
        <v>1155</v>
      </c>
      <c r="M2" s="150" t="s">
        <v>427</v>
      </c>
      <c r="N2" s="148" t="s">
        <v>1156</v>
      </c>
      <c r="O2" s="150" t="s">
        <v>428</v>
      </c>
      <c r="P2" s="148" t="s">
        <v>1157</v>
      </c>
      <c r="Q2" s="150" t="s">
        <v>429</v>
      </c>
      <c r="R2" s="151" t="s">
        <v>1158</v>
      </c>
      <c r="S2" s="152"/>
      <c r="T2" s="153" t="s">
        <v>1161</v>
      </c>
      <c r="U2" s="154"/>
      <c r="V2" s="154"/>
      <c r="W2" s="154"/>
    </row>
    <row r="3" spans="1:190" ht="26.25" thickBot="1">
      <c r="A3" s="150"/>
      <c r="B3" s="149"/>
      <c r="C3" s="2" t="s">
        <v>1149</v>
      </c>
      <c r="D3" s="150"/>
      <c r="E3" s="150"/>
      <c r="F3" s="158"/>
      <c r="G3" s="150"/>
      <c r="H3" s="150"/>
      <c r="I3" s="2" t="s">
        <v>1151</v>
      </c>
      <c r="J3" s="9" t="s">
        <v>1152</v>
      </c>
      <c r="K3" s="17" t="s">
        <v>1153</v>
      </c>
      <c r="L3" s="157"/>
      <c r="M3" s="150"/>
      <c r="N3" s="149"/>
      <c r="O3" s="150"/>
      <c r="P3" s="149"/>
      <c r="Q3" s="150"/>
      <c r="R3" s="2" t="s">
        <v>1159</v>
      </c>
      <c r="S3" s="3" t="s">
        <v>1160</v>
      </c>
      <c r="T3" s="3" t="s">
        <v>6</v>
      </c>
      <c r="U3" s="3" t="s">
        <v>1162</v>
      </c>
      <c r="V3" s="3" t="s">
        <v>1163</v>
      </c>
      <c r="W3" s="3" t="s">
        <v>1164</v>
      </c>
    </row>
    <row r="4" spans="1:190" ht="25.5">
      <c r="A4" s="22"/>
      <c r="B4" s="4"/>
      <c r="C4" s="4">
        <v>270</v>
      </c>
      <c r="D4" s="4" t="s">
        <v>416</v>
      </c>
      <c r="E4" s="4" t="s">
        <v>559</v>
      </c>
      <c r="F4" s="6">
        <v>0</v>
      </c>
      <c r="G4" s="4" t="s">
        <v>1</v>
      </c>
      <c r="H4" s="4" t="s">
        <v>11</v>
      </c>
      <c r="I4" s="4"/>
      <c r="J4" s="12">
        <v>33238</v>
      </c>
      <c r="K4" s="20"/>
      <c r="L4" s="18">
        <f t="shared" ref="L4" si="0">2019-K4</f>
        <v>2019</v>
      </c>
      <c r="M4" s="4" t="s">
        <v>3</v>
      </c>
      <c r="N4" s="4"/>
      <c r="O4" s="4" t="s">
        <v>12</v>
      </c>
      <c r="P4" s="4"/>
      <c r="Q4" s="4" t="s">
        <v>5</v>
      </c>
      <c r="R4" s="5"/>
      <c r="S4" s="5"/>
      <c r="T4" s="5"/>
      <c r="U4" s="5"/>
      <c r="V4" s="5"/>
      <c r="W4" s="5"/>
    </row>
    <row r="5" spans="1:190" ht="38.25">
      <c r="A5" s="22"/>
      <c r="B5" s="4"/>
      <c r="C5" s="4">
        <v>171</v>
      </c>
      <c r="D5" s="4" t="s">
        <v>273</v>
      </c>
      <c r="E5" s="4" t="s">
        <v>13</v>
      </c>
      <c r="F5" s="4" t="s">
        <v>274</v>
      </c>
      <c r="G5" s="4" t="s">
        <v>1</v>
      </c>
      <c r="H5" s="4" t="s">
        <v>11</v>
      </c>
      <c r="I5" s="4"/>
      <c r="J5" s="10">
        <v>40427</v>
      </c>
      <c r="K5" s="18"/>
      <c r="L5" s="18">
        <f>2019-K5</f>
        <v>2019</v>
      </c>
      <c r="M5" s="4" t="s">
        <v>3</v>
      </c>
      <c r="N5" s="4"/>
      <c r="O5" s="4" t="s">
        <v>4</v>
      </c>
      <c r="P5" s="4"/>
      <c r="Q5" s="4" t="s">
        <v>4</v>
      </c>
      <c r="R5" s="4"/>
      <c r="S5" s="4"/>
      <c r="T5" s="4"/>
      <c r="U5" s="4"/>
      <c r="V5" s="4"/>
      <c r="W5" s="4"/>
    </row>
    <row r="6" spans="1:190" s="34" customFormat="1" ht="38.25">
      <c r="C6" s="33">
        <v>232</v>
      </c>
      <c r="D6" s="33" t="s">
        <v>349</v>
      </c>
      <c r="E6" s="33" t="s">
        <v>6</v>
      </c>
      <c r="F6" s="33" t="s">
        <v>350</v>
      </c>
      <c r="G6" s="33" t="s">
        <v>1</v>
      </c>
      <c r="H6" s="33" t="s">
        <v>2</v>
      </c>
      <c r="I6" s="33" t="s">
        <v>1166</v>
      </c>
      <c r="J6" s="35">
        <v>30003</v>
      </c>
      <c r="K6" s="36">
        <v>1982</v>
      </c>
      <c r="L6" s="36">
        <f>2019-K6</f>
        <v>37</v>
      </c>
      <c r="M6" s="33" t="s">
        <v>3</v>
      </c>
      <c r="N6" s="33" t="s">
        <v>1169</v>
      </c>
      <c r="O6" s="33" t="s">
        <v>1181</v>
      </c>
      <c r="P6" s="33"/>
      <c r="Q6" s="33" t="s">
        <v>1178</v>
      </c>
      <c r="R6" s="33"/>
      <c r="S6" s="33"/>
      <c r="T6" s="33"/>
      <c r="U6" s="33"/>
      <c r="V6" s="33"/>
      <c r="W6" s="33"/>
    </row>
    <row r="7" spans="1:190" s="5" customFormat="1" ht="15" customHeight="1">
      <c r="A7" s="22"/>
      <c r="B7" s="46"/>
      <c r="C7" s="46">
        <v>244</v>
      </c>
      <c r="D7" s="46" t="s">
        <v>223</v>
      </c>
      <c r="E7" s="46" t="s">
        <v>9</v>
      </c>
      <c r="F7" s="46" t="s">
        <v>787</v>
      </c>
      <c r="G7" s="46" t="s">
        <v>8</v>
      </c>
      <c r="H7" s="46" t="s">
        <v>2</v>
      </c>
      <c r="I7" s="46"/>
      <c r="J7" s="10">
        <v>26846</v>
      </c>
      <c r="K7" s="18"/>
      <c r="L7" s="14">
        <f>2019-K7</f>
        <v>2019</v>
      </c>
      <c r="M7" s="46" t="s">
        <v>3</v>
      </c>
      <c r="N7" s="46"/>
      <c r="O7" s="46" t="s">
        <v>4</v>
      </c>
      <c r="P7" s="46"/>
      <c r="Q7" s="46" t="s">
        <v>5</v>
      </c>
      <c r="R7" s="46"/>
      <c r="S7" s="46"/>
      <c r="T7" s="46"/>
      <c r="U7" s="46"/>
      <c r="V7" s="46"/>
      <c r="W7" s="46"/>
      <c r="X7" s="48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</row>
  </sheetData>
  <mergeCells count="16">
    <mergeCell ref="G2:G3"/>
    <mergeCell ref="A2:A3"/>
    <mergeCell ref="B2:B3"/>
    <mergeCell ref="D2:D3"/>
    <mergeCell ref="E2:E3"/>
    <mergeCell ref="F2:F3"/>
    <mergeCell ref="P2:P3"/>
    <mergeCell ref="Q2:Q3"/>
    <mergeCell ref="R2:S2"/>
    <mergeCell ref="T2:W2"/>
    <mergeCell ref="H2:H3"/>
    <mergeCell ref="I2:K2"/>
    <mergeCell ref="L2:L3"/>
    <mergeCell ref="M2:M3"/>
    <mergeCell ref="N2:N3"/>
    <mergeCell ref="O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Rekap</vt:lpstr>
      <vt:lpstr>RT 01</vt:lpstr>
      <vt:lpstr>RT 02</vt:lpstr>
      <vt:lpstr>RT 03</vt:lpstr>
      <vt:lpstr>S</vt:lpstr>
      <vt:lpstr>PINDAH KELUAR</vt:lpstr>
      <vt:lpstr>Meninggal</vt:lpstr>
      <vt:lpstr>_520101_1611170006</vt:lpstr>
      <vt:lpstr>'RT 01'!_GoBack</vt:lpstr>
      <vt:lpstr>Rekap!Print_Area</vt:lpstr>
      <vt:lpstr>'RT 01'!Print_Area</vt:lpstr>
      <vt:lpstr>'RT 02'!Print_Area</vt:lpstr>
      <vt:lpstr>'RT 03'!Print_Area</vt:lpstr>
      <vt:lpstr>'RT 01'!Print_Titles</vt:lpstr>
      <vt:lpstr>'RT 02'!Print_Titles</vt:lpstr>
      <vt:lpstr>'RT 03'!Print_Titles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2019-08-30T22:35:52Z</cp:lastPrinted>
  <dcterms:created xsi:type="dcterms:W3CDTF">2015-10-08T02:25:26Z</dcterms:created>
  <dcterms:modified xsi:type="dcterms:W3CDTF">2020-05-21T05:33:09Z</dcterms:modified>
</cp:coreProperties>
</file>