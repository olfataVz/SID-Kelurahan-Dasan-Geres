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20115" windowHeight="7995" activeTab="1"/>
  </bookViews>
  <sheets>
    <sheet name="Rekap" sheetId="9" r:id="rId1"/>
    <sheet name="RT 04" sheetId="4" r:id="rId2"/>
    <sheet name="RT05" sheetId="5" r:id="rId3"/>
    <sheet name="Sheet2" sheetId="6" r:id="rId4"/>
    <sheet name="Meninggal" sheetId="8" r:id="rId5"/>
    <sheet name="Pindah Keluar" sheetId="7" r:id="rId6"/>
  </sheets>
  <definedNames>
    <definedName name="_xlnm._FilterDatabase" localSheetId="4" hidden="1">Meninggal!$A$5:$W$5</definedName>
    <definedName name="_xlnm._FilterDatabase" localSheetId="5" hidden="1">'Pindah Keluar'!$A$5:$W$5</definedName>
    <definedName name="_xlnm._FilterDatabase" localSheetId="1" hidden="1">'RT 04'!$B$7:$R$250</definedName>
    <definedName name="_xlnm._FilterDatabase" localSheetId="2" hidden="1">'RT05'!$B$7:$R$190</definedName>
    <definedName name="_xlnm.Print_Area" localSheetId="0">Rekap!$B$2:$N$18</definedName>
    <definedName name="_xlnm.Print_Area" localSheetId="1">'RT 04'!$B$1:$R$260</definedName>
    <definedName name="_xlnm.Print_Area" localSheetId="2">'RT05'!$B$1:$R$200</definedName>
    <definedName name="_xlnm.Print_Titles" localSheetId="1">'RT 04'!$1:$7</definedName>
    <definedName name="_xlnm.Print_Titles" localSheetId="2">'RT05'!$1:$7</definedName>
  </definedNames>
  <calcPr calcId="162913"/>
</workbook>
</file>

<file path=xl/calcChain.xml><?xml version="1.0" encoding="utf-8"?>
<calcChain xmlns="http://schemas.openxmlformats.org/spreadsheetml/2006/main">
  <c r="J7" i="9"/>
  <c r="J6"/>
  <c r="I7"/>
  <c r="I6"/>
  <c r="L52" i="5" l="1"/>
  <c r="L51"/>
  <c r="L44"/>
  <c r="L43"/>
  <c r="L42"/>
  <c r="L41"/>
  <c r="L40"/>
  <c r="L39"/>
  <c r="L21"/>
  <c r="L20"/>
  <c r="L19"/>
  <c r="L15"/>
  <c r="L14"/>
  <c r="L13"/>
  <c r="L167" i="4"/>
  <c r="L166"/>
  <c r="L165"/>
  <c r="L159"/>
  <c r="L158"/>
  <c r="L136"/>
  <c r="L135"/>
  <c r="L134"/>
  <c r="L127"/>
  <c r="L98"/>
  <c r="L97"/>
  <c r="L96"/>
  <c r="L95"/>
  <c r="L94"/>
  <c r="L93"/>
  <c r="L23"/>
  <c r="L22"/>
  <c r="L21"/>
  <c r="L20"/>
  <c r="L19"/>
  <c r="L18"/>
  <c r="L17"/>
  <c r="L16"/>
  <c r="L15"/>
  <c r="L14"/>
  <c r="L13"/>
  <c r="G7" i="9" l="1"/>
  <c r="F7"/>
  <c r="D7"/>
  <c r="C7"/>
  <c r="M27" i="7"/>
  <c r="M190" i="5"/>
  <c r="M189"/>
  <c r="M26" i="7"/>
  <c r="M13" i="8"/>
  <c r="M12"/>
  <c r="M188" i="5"/>
  <c r="M187"/>
  <c r="M186"/>
  <c r="M185"/>
  <c r="M184"/>
  <c r="M183"/>
  <c r="M182"/>
  <c r="M181"/>
  <c r="M180"/>
  <c r="M179"/>
  <c r="M25" i="7"/>
  <c r="M24"/>
  <c r="M166" i="5"/>
  <c r="M167"/>
  <c r="M168"/>
  <c r="M169"/>
  <c r="M170"/>
  <c r="M171"/>
  <c r="M172"/>
  <c r="M173"/>
  <c r="M174"/>
  <c r="M175"/>
  <c r="M176"/>
  <c r="M177"/>
  <c r="M178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L8" i="9"/>
  <c r="M8"/>
  <c r="G6"/>
  <c r="F6"/>
  <c r="D6"/>
  <c r="C6"/>
  <c r="N7"/>
  <c r="N6"/>
  <c r="M23" i="7"/>
  <c r="M10" i="8"/>
  <c r="M22" i="7"/>
  <c r="M21"/>
  <c r="N8" i="9" l="1"/>
  <c r="C8"/>
  <c r="D8"/>
  <c r="F8"/>
  <c r="G8"/>
  <c r="I8"/>
  <c r="J8"/>
  <c r="K6"/>
  <c r="H6"/>
  <c r="E6"/>
  <c r="E7"/>
  <c r="H7"/>
  <c r="K7"/>
  <c r="M20" i="7"/>
  <c r="M19"/>
  <c r="M18"/>
  <c r="M95" i="5"/>
  <c r="M94"/>
  <c r="M93"/>
  <c r="M92"/>
  <c r="M91"/>
  <c r="L17" i="7"/>
  <c r="L16"/>
  <c r="M243" i="4"/>
  <c r="M244"/>
  <c r="M245"/>
  <c r="M246"/>
  <c r="M247"/>
  <c r="M248"/>
  <c r="M249"/>
  <c r="M250"/>
  <c r="M56" i="5"/>
  <c r="M218" i="4"/>
  <c r="M217"/>
  <c r="M26" i="5"/>
  <c r="M25"/>
  <c r="M140" i="4"/>
  <c r="M110" i="5"/>
  <c r="M111"/>
  <c r="M112"/>
  <c r="M113"/>
  <c r="M114"/>
  <c r="M115"/>
  <c r="M116"/>
  <c r="M117"/>
  <c r="L14" i="7"/>
  <c r="L13"/>
  <c r="L12"/>
  <c r="M148" i="4"/>
  <c r="M242"/>
  <c r="M109" i="5"/>
  <c r="M241" i="4"/>
  <c r="M240"/>
  <c r="M239"/>
  <c r="M238"/>
  <c r="M237"/>
  <c r="M236"/>
  <c r="M235"/>
  <c r="M234"/>
  <c r="M233"/>
  <c r="M232"/>
  <c r="M231"/>
  <c r="M9" i="8"/>
  <c r="M230" i="4"/>
  <c r="M229"/>
  <c r="M228"/>
  <c r="M227"/>
  <c r="M226"/>
  <c r="M225"/>
  <c r="M224"/>
  <c r="M223"/>
  <c r="M107"/>
  <c r="L15" i="7"/>
  <c r="L11"/>
  <c r="M8" i="8"/>
  <c r="M222" i="4"/>
  <c r="M221"/>
  <c r="M220"/>
  <c r="M219"/>
  <c r="M216"/>
  <c r="M215"/>
  <c r="M214"/>
  <c r="M213"/>
  <c r="M212"/>
  <c r="L10" i="7"/>
  <c r="M211" i="4"/>
  <c r="M210"/>
  <c r="L9" i="7"/>
  <c r="M209" i="4"/>
  <c r="M208"/>
  <c r="M12"/>
  <c r="M157"/>
  <c r="M50" i="5"/>
  <c r="M108"/>
  <c r="M107"/>
  <c r="M106"/>
  <c r="M105"/>
  <c r="M104"/>
  <c r="M103"/>
  <c r="M102"/>
  <c r="M101"/>
  <c r="M100"/>
  <c r="M31"/>
  <c r="M111" i="4"/>
  <c r="M206"/>
  <c r="M205"/>
  <c r="M204"/>
  <c r="M203"/>
  <c r="M202"/>
  <c r="M201"/>
  <c r="M200"/>
  <c r="M199"/>
  <c r="M198"/>
  <c r="M197"/>
  <c r="M196"/>
  <c r="L8" i="7"/>
  <c r="M97" i="5"/>
  <c r="M98"/>
  <c r="M99"/>
  <c r="M195" i="4"/>
  <c r="M194"/>
  <c r="M96" i="5"/>
  <c r="M193" i="4"/>
  <c r="M192"/>
  <c r="M35"/>
  <c r="H8" i="9" l="1"/>
  <c r="E8"/>
  <c r="K8"/>
  <c r="M88" i="5"/>
  <c r="M89"/>
  <c r="M90"/>
  <c r="M87" l="1"/>
  <c r="M86"/>
  <c r="M85"/>
  <c r="M84"/>
  <c r="M82"/>
  <c r="M83"/>
  <c r="M189" i="4"/>
  <c r="M190"/>
  <c r="M191"/>
  <c r="M185"/>
  <c r="M186"/>
  <c r="M187"/>
  <c r="M188"/>
  <c r="L7" i="8" l="1"/>
  <c r="M179" i="4"/>
  <c r="M180"/>
  <c r="M181"/>
  <c r="M182"/>
  <c r="M183"/>
  <c r="M184"/>
  <c r="M30" l="1"/>
  <c r="M175"/>
  <c r="M176"/>
  <c r="M177"/>
  <c r="M178"/>
  <c r="M168"/>
  <c r="M169"/>
  <c r="M170"/>
  <c r="M171"/>
  <c r="M172"/>
  <c r="M173"/>
  <c r="M174"/>
  <c r="M77" l="1"/>
  <c r="L6" i="8"/>
  <c r="L7" i="7"/>
  <c r="M76" i="5"/>
  <c r="M77"/>
  <c r="M78"/>
  <c r="M79"/>
  <c r="M80"/>
  <c r="M81"/>
  <c r="M75" l="1"/>
  <c r="M74"/>
  <c r="M73"/>
  <c r="M70" l="1"/>
  <c r="M71"/>
  <c r="M72"/>
  <c r="M69"/>
  <c r="M68"/>
  <c r="M67"/>
  <c r="M66"/>
  <c r="M65"/>
  <c r="L6" i="7"/>
  <c r="M63" i="5" l="1"/>
  <c r="M64"/>
  <c r="M59" l="1"/>
  <c r="M60"/>
  <c r="M61"/>
  <c r="M62"/>
  <c r="M54"/>
  <c r="M55"/>
  <c r="M57"/>
  <c r="M58"/>
  <c r="M10"/>
  <c r="M9" i="4"/>
  <c r="M10"/>
  <c r="M11"/>
  <c r="M13"/>
  <c r="M14"/>
  <c r="M15"/>
  <c r="M16"/>
  <c r="M17"/>
  <c r="M18"/>
  <c r="M19"/>
  <c r="M20"/>
  <c r="M21"/>
  <c r="M22"/>
  <c r="M23"/>
  <c r="M24"/>
  <c r="M25"/>
  <c r="M26"/>
  <c r="M27"/>
  <c r="M28"/>
  <c r="M29"/>
  <c r="M31"/>
  <c r="M32"/>
  <c r="M33"/>
  <c r="M34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207"/>
  <c r="M104"/>
  <c r="M105"/>
  <c r="M106"/>
  <c r="M108"/>
  <c r="M109"/>
  <c r="M110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1"/>
  <c r="M142"/>
  <c r="M143"/>
  <c r="M144"/>
  <c r="M145"/>
  <c r="M146"/>
  <c r="M147"/>
  <c r="M149"/>
  <c r="M150"/>
  <c r="M151"/>
  <c r="M152"/>
  <c r="M153"/>
  <c r="M154"/>
  <c r="M155"/>
  <c r="M156"/>
  <c r="M158"/>
  <c r="M159"/>
  <c r="M160"/>
  <c r="M161"/>
  <c r="M162"/>
  <c r="M163"/>
  <c r="M164"/>
  <c r="M165"/>
  <c r="M166"/>
  <c r="M167"/>
  <c r="M8"/>
  <c r="M9" i="5"/>
  <c r="M11"/>
  <c r="M12"/>
  <c r="M13"/>
  <c r="M14"/>
  <c r="M15"/>
  <c r="M16"/>
  <c r="M17"/>
  <c r="M18"/>
  <c r="M19"/>
  <c r="M20"/>
  <c r="M21"/>
  <c r="M22"/>
  <c r="M23"/>
  <c r="M24"/>
  <c r="M27"/>
  <c r="M28"/>
  <c r="M29"/>
  <c r="M30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1"/>
  <c r="M52"/>
  <c r="M53"/>
  <c r="M8"/>
  <c r="C6" i="6" l="1"/>
  <c r="A6"/>
</calcChain>
</file>

<file path=xl/sharedStrings.xml><?xml version="1.0" encoding="utf-8"?>
<sst xmlns="http://schemas.openxmlformats.org/spreadsheetml/2006/main" count="4694" uniqueCount="1106">
  <si>
    <t>Sahnan</t>
  </si>
  <si>
    <t>L</t>
  </si>
  <si>
    <t>Kawin</t>
  </si>
  <si>
    <t>Islam</t>
  </si>
  <si>
    <t>-</t>
  </si>
  <si>
    <t>Pekerja lepas</t>
  </si>
  <si>
    <t>KK</t>
  </si>
  <si>
    <t>P</t>
  </si>
  <si>
    <t>Istri</t>
  </si>
  <si>
    <t>Belum kawin</t>
  </si>
  <si>
    <t>SLTA/MA</t>
  </si>
  <si>
    <t>Anak</t>
  </si>
  <si>
    <t>Pahriah</t>
  </si>
  <si>
    <t>520101 7112920016</t>
  </si>
  <si>
    <t>SLTP/MTSN</t>
  </si>
  <si>
    <t>Selemah</t>
  </si>
  <si>
    <t>Janda</t>
  </si>
  <si>
    <t>Rakmah</t>
  </si>
  <si>
    <t>SD/MI</t>
  </si>
  <si>
    <t>Nuriah</t>
  </si>
  <si>
    <t>p</t>
  </si>
  <si>
    <t>Duda</t>
  </si>
  <si>
    <t>Nasrudin</t>
  </si>
  <si>
    <t>Faoziah</t>
  </si>
  <si>
    <t>Wiraswasta</t>
  </si>
  <si>
    <t>Sahri</t>
  </si>
  <si>
    <t>Pedagang</t>
  </si>
  <si>
    <t>Belum Kawin</t>
  </si>
  <si>
    <t>Zaenudin</t>
  </si>
  <si>
    <t>520101 3112700239</t>
  </si>
  <si>
    <t>Pekrja lepas</t>
  </si>
  <si>
    <t>Husni</t>
  </si>
  <si>
    <t>Samariah</t>
  </si>
  <si>
    <t>Munisah</t>
  </si>
  <si>
    <t>Ernawati</t>
  </si>
  <si>
    <t>Rahmin</t>
  </si>
  <si>
    <t>Mukminah</t>
  </si>
  <si>
    <t>Aminah</t>
  </si>
  <si>
    <t>Mahdi</t>
  </si>
  <si>
    <t>Kamariah</t>
  </si>
  <si>
    <t>Sahmin</t>
  </si>
  <si>
    <t>520101 3112800188</t>
  </si>
  <si>
    <t>Kaniah</t>
  </si>
  <si>
    <t>520101 7112850058</t>
  </si>
  <si>
    <t>520101 0409040002</t>
  </si>
  <si>
    <t>Mardiana</t>
  </si>
  <si>
    <t>Mahmud</t>
  </si>
  <si>
    <t>520101 7112460027</t>
  </si>
  <si>
    <t>Masitah</t>
  </si>
  <si>
    <t>Mahyudin</t>
  </si>
  <si>
    <t>No</t>
  </si>
  <si>
    <t>Nama Lengkap/panggilan</t>
  </si>
  <si>
    <t>Jenis Kelamin (L/P)</t>
  </si>
  <si>
    <t>Status Perkawinan</t>
  </si>
  <si>
    <t>Agama</t>
  </si>
  <si>
    <t>Pendidikan Terakhir</t>
  </si>
  <si>
    <t>Pekerjaan</t>
  </si>
  <si>
    <t>Kedudukan dalam Keluarga</t>
  </si>
  <si>
    <t>NIK</t>
  </si>
  <si>
    <t>Mustimah</t>
  </si>
  <si>
    <t>Jamil</t>
  </si>
  <si>
    <t>Rahman</t>
  </si>
  <si>
    <t>Ridwan</t>
  </si>
  <si>
    <t>Suhadi</t>
  </si>
  <si>
    <t>Sumarni</t>
  </si>
  <si>
    <t>Idayanti</t>
  </si>
  <si>
    <t>Patmawati</t>
  </si>
  <si>
    <t>Siti Aisah</t>
  </si>
  <si>
    <t>Suhaimi</t>
  </si>
  <si>
    <t>Marzuki</t>
  </si>
  <si>
    <t>Sahrun</t>
  </si>
  <si>
    <t>Sahwan</t>
  </si>
  <si>
    <t>Rusdin</t>
  </si>
  <si>
    <t>Mahuni</t>
  </si>
  <si>
    <t>Sinarah</t>
  </si>
  <si>
    <t>Ruslan</t>
  </si>
  <si>
    <t>Nurhikmah</t>
  </si>
  <si>
    <t>Muriah</t>
  </si>
  <si>
    <t>Samsudin</t>
  </si>
  <si>
    <t>Mujiah</t>
  </si>
  <si>
    <t>Junaidi</t>
  </si>
  <si>
    <t>Awaludin</t>
  </si>
  <si>
    <t>Hamidah</t>
  </si>
  <si>
    <t>520101 0302910001</t>
  </si>
  <si>
    <t>Rohani</t>
  </si>
  <si>
    <t>520101 7112850190</t>
  </si>
  <si>
    <t>Sailah</t>
  </si>
  <si>
    <t>Haeriah</t>
  </si>
  <si>
    <t>Suardi</t>
  </si>
  <si>
    <t>Raisah</t>
  </si>
  <si>
    <t>Makyah</t>
  </si>
  <si>
    <t>Rohimah</t>
  </si>
  <si>
    <t>520101 0509620001</t>
  </si>
  <si>
    <t>Merah</t>
  </si>
  <si>
    <t>520101 4211640001</t>
  </si>
  <si>
    <t>520101 4408890002</t>
  </si>
  <si>
    <t>Haryati</t>
  </si>
  <si>
    <t>Nurhasanah</t>
  </si>
  <si>
    <t>520101 7112870055</t>
  </si>
  <si>
    <t>520101 2410080003</t>
  </si>
  <si>
    <t>Nurilah</t>
  </si>
  <si>
    <t>Dalisah</t>
  </si>
  <si>
    <t>Rusnah</t>
  </si>
  <si>
    <t>Priawan</t>
  </si>
  <si>
    <t>Asmat</t>
  </si>
  <si>
    <t>520101 3112740019</t>
  </si>
  <si>
    <t>520101 7112780009</t>
  </si>
  <si>
    <t>Nurul Hidayah</t>
  </si>
  <si>
    <t>520101 5011980001</t>
  </si>
  <si>
    <t>Ahmad Faozan</t>
  </si>
  <si>
    <t>520101 0503020001</t>
  </si>
  <si>
    <t>Sanusi</t>
  </si>
  <si>
    <t>520101 2007810001</t>
  </si>
  <si>
    <t>Hartini</t>
  </si>
  <si>
    <t>520101 5005830001</t>
  </si>
  <si>
    <t>Najwa Falah Yuniawati</t>
  </si>
  <si>
    <t>520101 4105040005</t>
  </si>
  <si>
    <t>Isna Malika Ardiana</t>
  </si>
  <si>
    <t>520101 8204090001</t>
  </si>
  <si>
    <t>520101 3112320083</t>
  </si>
  <si>
    <t>Yati Oktarita</t>
  </si>
  <si>
    <t>520101 7113900042</t>
  </si>
  <si>
    <t>Wipki Sofia Desita</t>
  </si>
  <si>
    <t>520101 6712070001</t>
  </si>
  <si>
    <t>520101 1011670001</t>
  </si>
  <si>
    <t>520101 5408680001</t>
  </si>
  <si>
    <t>Abi Masyaril Ulum</t>
  </si>
  <si>
    <t>Abdullah</t>
  </si>
  <si>
    <t>520101 1003751001</t>
  </si>
  <si>
    <t>Rohana</t>
  </si>
  <si>
    <t>520101 6211770001</t>
  </si>
  <si>
    <t>Abdul Kadir Jaelani</t>
  </si>
  <si>
    <t>520101 2302961001</t>
  </si>
  <si>
    <t>Maharani Juniati</t>
  </si>
  <si>
    <t>520101 5606031001</t>
  </si>
  <si>
    <t>Muhammad Nur Maulana</t>
  </si>
  <si>
    <t>520101 1612131001</t>
  </si>
  <si>
    <t>Muhibin</t>
  </si>
  <si>
    <t>520101 0103890001</t>
  </si>
  <si>
    <t>Muslimin</t>
  </si>
  <si>
    <t>520101 4107930147</t>
  </si>
  <si>
    <t>Muhammad Ishak Alfatih</t>
  </si>
  <si>
    <t>520101 2509140002</t>
  </si>
  <si>
    <t>Sanip</t>
  </si>
  <si>
    <t>520101 7012600007</t>
  </si>
  <si>
    <t>Herman</t>
  </si>
  <si>
    <t>520101 2101790001</t>
  </si>
  <si>
    <t>Eka Rahmawati</t>
  </si>
  <si>
    <t>520101 7012840002</t>
  </si>
  <si>
    <t>520101 6601070003</t>
  </si>
  <si>
    <t>M Ifgan Sabil</t>
  </si>
  <si>
    <t>520101 0605140003</t>
  </si>
  <si>
    <t>Sakmah</t>
  </si>
  <si>
    <t>520101 4101700002</t>
  </si>
  <si>
    <t>520101 3112830016</t>
  </si>
  <si>
    <t>Suparlan</t>
  </si>
  <si>
    <t>520101 0407910004</t>
  </si>
  <si>
    <t>520101 4107940166</t>
  </si>
  <si>
    <t>Ayuni</t>
  </si>
  <si>
    <t>520101 5007970002</t>
  </si>
  <si>
    <t>Sadli</t>
  </si>
  <si>
    <t>520101 0607750001</t>
  </si>
  <si>
    <t>Sodok</t>
  </si>
  <si>
    <t>Faenudin</t>
  </si>
  <si>
    <t>520101 1208020004</t>
  </si>
  <si>
    <t>520101 0310090001</t>
  </si>
  <si>
    <t>Juminah</t>
  </si>
  <si>
    <t>Wahid</t>
  </si>
  <si>
    <t>520101 0504050003</t>
  </si>
  <si>
    <t>Jumarsah</t>
  </si>
  <si>
    <t>520101 3112740141</t>
  </si>
  <si>
    <t>520101 7112760147</t>
  </si>
  <si>
    <t>Fathul Azziz</t>
  </si>
  <si>
    <t>520101 0205920002</t>
  </si>
  <si>
    <t>Nadia Kusmaya</t>
  </si>
  <si>
    <t>520101 5002040002</t>
  </si>
  <si>
    <t>520101 0107750572</t>
  </si>
  <si>
    <t>520101 4203780001</t>
  </si>
  <si>
    <t>Marifah</t>
  </si>
  <si>
    <t>520101 4712040006</t>
  </si>
  <si>
    <t>Sriamah</t>
  </si>
  <si>
    <t>520101 4801120004</t>
  </si>
  <si>
    <t>Marsah</t>
  </si>
  <si>
    <t>520101 5403130001</t>
  </si>
  <si>
    <t>520101 1506890002</t>
  </si>
  <si>
    <t>Siti Amrina Yusra</t>
  </si>
  <si>
    <t>520101 5401141001</t>
  </si>
  <si>
    <t>Irah</t>
  </si>
  <si>
    <t>520101 3112710118</t>
  </si>
  <si>
    <t>Mahnep</t>
  </si>
  <si>
    <t>520101 5110760005</t>
  </si>
  <si>
    <t>Hanapi</t>
  </si>
  <si>
    <t>520101 1001940002</t>
  </si>
  <si>
    <t>Arifin</t>
  </si>
  <si>
    <t>520101 5302030008</t>
  </si>
  <si>
    <t>Haekal Syarif</t>
  </si>
  <si>
    <t>520101 1211090003</t>
  </si>
  <si>
    <t>Musliman</t>
  </si>
  <si>
    <t>520101 0107920156</t>
  </si>
  <si>
    <t>Siti Maemunah</t>
  </si>
  <si>
    <t>520101 5602900003</t>
  </si>
  <si>
    <t>Mahammad Zilmannil Qodim</t>
  </si>
  <si>
    <t>520101 0109131003</t>
  </si>
  <si>
    <t>520101 5010880004</t>
  </si>
  <si>
    <t>Faulana Puada</t>
  </si>
  <si>
    <t>520101 2708090001</t>
  </si>
  <si>
    <t>Deri</t>
  </si>
  <si>
    <t>Nafisah</t>
  </si>
  <si>
    <t>Merep</t>
  </si>
  <si>
    <t>520101 4308790002</t>
  </si>
  <si>
    <t>Irpan Jaelani</t>
  </si>
  <si>
    <t>520101 0802960002</t>
  </si>
  <si>
    <t>520101 0211010002</t>
  </si>
  <si>
    <t>Yusuf</t>
  </si>
  <si>
    <t>520101 1211510001</t>
  </si>
  <si>
    <t>520101 5004750001</t>
  </si>
  <si>
    <t>520101 5007950001</t>
  </si>
  <si>
    <t>520101 1511960001</t>
  </si>
  <si>
    <t>Indra Kusnandar</t>
  </si>
  <si>
    <t>520101 2303030001</t>
  </si>
  <si>
    <t>Fasah</t>
  </si>
  <si>
    <t>520101 1607570002</t>
  </si>
  <si>
    <t>520101 7112701013</t>
  </si>
  <si>
    <t>Marwati</t>
  </si>
  <si>
    <t>520101 4903981001</t>
  </si>
  <si>
    <t>Kholinda Yanti</t>
  </si>
  <si>
    <t>520101 7007071001</t>
  </si>
  <si>
    <t>Sahlan</t>
  </si>
  <si>
    <t>520101 0107780335</t>
  </si>
  <si>
    <t>520101 4107800545</t>
  </si>
  <si>
    <t>Yunita Febriani</t>
  </si>
  <si>
    <t>520101 6602020001</t>
  </si>
  <si>
    <t>Yuspi Januardina</t>
  </si>
  <si>
    <t>520101 5401100002</t>
  </si>
  <si>
    <t>520101 1405140001</t>
  </si>
  <si>
    <t>Adnan</t>
  </si>
  <si>
    <t>520101 1801710001</t>
  </si>
  <si>
    <t>Zuriyah</t>
  </si>
  <si>
    <t>520101 6802720001</t>
  </si>
  <si>
    <t>Muhamad Sakaki</t>
  </si>
  <si>
    <t>520101 0106910005</t>
  </si>
  <si>
    <t>520101 0409900001</t>
  </si>
  <si>
    <t>Zuhriatun Amalia</t>
  </si>
  <si>
    <t>520101 5601050001</t>
  </si>
  <si>
    <t>Maftuh Ihsan</t>
  </si>
  <si>
    <t>520101 1601050001</t>
  </si>
  <si>
    <t>Saini</t>
  </si>
  <si>
    <t>520101 3112770135</t>
  </si>
  <si>
    <t>Warni Mukti</t>
  </si>
  <si>
    <t>520101 4707050002</t>
  </si>
  <si>
    <t>Saidan</t>
  </si>
  <si>
    <t>520101 1011630002</t>
  </si>
  <si>
    <t>Rakman</t>
  </si>
  <si>
    <t>520101 6510650002</t>
  </si>
  <si>
    <t>520101 3012940003</t>
  </si>
  <si>
    <t>Nurdin</t>
  </si>
  <si>
    <t>520101 3012980002</t>
  </si>
  <si>
    <t>Kamiludin</t>
  </si>
  <si>
    <t>520101 3112790033</t>
  </si>
  <si>
    <t>Amelina</t>
  </si>
  <si>
    <t>520101 4808050004</t>
  </si>
  <si>
    <t>Mustamin</t>
  </si>
  <si>
    <t>520101 0610680003</t>
  </si>
  <si>
    <t>Hikmah</t>
  </si>
  <si>
    <t>520101 6211690001</t>
  </si>
  <si>
    <t>Mustahik</t>
  </si>
  <si>
    <t>520101 2809961001</t>
  </si>
  <si>
    <t>Septiani</t>
  </si>
  <si>
    <t>520101 4600805001</t>
  </si>
  <si>
    <t>Agus Salim</t>
  </si>
  <si>
    <t>520101 3108131003</t>
  </si>
  <si>
    <t>Nurjanah</t>
  </si>
  <si>
    <t>Anisa Shofiani</t>
  </si>
  <si>
    <t>Napsiah</t>
  </si>
  <si>
    <t>520101 3112830006</t>
  </si>
  <si>
    <t>Muliani</t>
  </si>
  <si>
    <t>520101 7112860219</t>
  </si>
  <si>
    <t>Kholidi Nafiha</t>
  </si>
  <si>
    <t>520101 2706060003</t>
  </si>
  <si>
    <t>Kudah</t>
  </si>
  <si>
    <t>520101 0708610002</t>
  </si>
  <si>
    <t>Ratnawati</t>
  </si>
  <si>
    <t>520101 5210631001</t>
  </si>
  <si>
    <t>Martika</t>
  </si>
  <si>
    <t>520101 4609900001</t>
  </si>
  <si>
    <t>520101 5506930001</t>
  </si>
  <si>
    <t>Arfah Aljimari</t>
  </si>
  <si>
    <t>520101 3112730001</t>
  </si>
  <si>
    <t>520101 5011760001</t>
  </si>
  <si>
    <t>Rahmawati</t>
  </si>
  <si>
    <t>520101 4205970001</t>
  </si>
  <si>
    <t>Farhan Fauzi</t>
  </si>
  <si>
    <t>520101 2811080001</t>
  </si>
  <si>
    <t>520101 5206960001</t>
  </si>
  <si>
    <t>Renah</t>
  </si>
  <si>
    <t>520101 3112640079</t>
  </si>
  <si>
    <t>Mustiah</t>
  </si>
  <si>
    <t>520101 1011850005</t>
  </si>
  <si>
    <t>Khaspon Hadi</t>
  </si>
  <si>
    <t>520101 1212990004</t>
  </si>
  <si>
    <t>Sanisah</t>
  </si>
  <si>
    <t>520101 4107650340</t>
  </si>
  <si>
    <t>520101 4107850250</t>
  </si>
  <si>
    <t>Miftahul Hidayah</t>
  </si>
  <si>
    <t>520101 3112790071</t>
  </si>
  <si>
    <t>Sinerah</t>
  </si>
  <si>
    <t>520101 7112800104</t>
  </si>
  <si>
    <t>Wahyudi Kurniawan</t>
  </si>
  <si>
    <t>520101 1008050001</t>
  </si>
  <si>
    <t>Rudi Gunawan</t>
  </si>
  <si>
    <t>520101 2202100001</t>
  </si>
  <si>
    <t>Irfan Jaelani</t>
  </si>
  <si>
    <t>Rosdiani</t>
  </si>
  <si>
    <t>520101 6011950002</t>
  </si>
  <si>
    <t>Ardian Zidan Al Furqon</t>
  </si>
  <si>
    <t>520101 2501150001</t>
  </si>
  <si>
    <t>Mustian</t>
  </si>
  <si>
    <t>520101 3012830002</t>
  </si>
  <si>
    <t>Sultiah</t>
  </si>
  <si>
    <t>520101 4608900002</t>
  </si>
  <si>
    <t>Alam Ainul Hayat</t>
  </si>
  <si>
    <t>520101 1911110002</t>
  </si>
  <si>
    <t>520101 0107600323</t>
  </si>
  <si>
    <t>Manah</t>
  </si>
  <si>
    <t>520101 4102630001</t>
  </si>
  <si>
    <t>Nahat</t>
  </si>
  <si>
    <t>520101 3112801021</t>
  </si>
  <si>
    <t>Khoriah</t>
  </si>
  <si>
    <t>520101 6710890002</t>
  </si>
  <si>
    <t>520101 4712971001</t>
  </si>
  <si>
    <t>Lisa Kurniati</t>
  </si>
  <si>
    <t>520101 5907081001</t>
  </si>
  <si>
    <t>Indah Puji Rahwani</t>
  </si>
  <si>
    <t>520101 6703110002</t>
  </si>
  <si>
    <t>520101 0801850001</t>
  </si>
  <si>
    <t>Uswatun Hasanah</t>
  </si>
  <si>
    <t>Ginti Adtya Pratama</t>
  </si>
  <si>
    <t>520101 2705131002</t>
  </si>
  <si>
    <t>520101 3112680445</t>
  </si>
  <si>
    <t>Almah</t>
  </si>
  <si>
    <t>520101 4507670001</t>
  </si>
  <si>
    <t>Mulisah</t>
  </si>
  <si>
    <t>520101 1204880001</t>
  </si>
  <si>
    <t>Mariah</t>
  </si>
  <si>
    <t>Salamn</t>
  </si>
  <si>
    <t>520101 1011910001</t>
  </si>
  <si>
    <t>Sainah</t>
  </si>
  <si>
    <t>Siah</t>
  </si>
  <si>
    <t>Mustajib</t>
  </si>
  <si>
    <t>520101 1512890004</t>
  </si>
  <si>
    <t>Fatimah</t>
  </si>
  <si>
    <t>520101 5011930001</t>
  </si>
  <si>
    <t>520101 4107630033</t>
  </si>
  <si>
    <t>Mujibah</t>
  </si>
  <si>
    <t>Maisah</t>
  </si>
  <si>
    <t>520101 1109640001</t>
  </si>
  <si>
    <t>Mahnan</t>
  </si>
  <si>
    <t>520101 4511690001</t>
  </si>
  <si>
    <t>Nasrah</t>
  </si>
  <si>
    <t>520101 3112570027</t>
  </si>
  <si>
    <t>Mok</t>
  </si>
  <si>
    <t>520101 7112600076</t>
  </si>
  <si>
    <t>520101 5006870001</t>
  </si>
  <si>
    <t>Hamdi</t>
  </si>
  <si>
    <t>520101 3112840010</t>
  </si>
  <si>
    <t>Inriani</t>
  </si>
  <si>
    <t>520101 5408850004</t>
  </si>
  <si>
    <t>Ira Dewi Saputri</t>
  </si>
  <si>
    <t>520101 4603050004</t>
  </si>
  <si>
    <t>Sukron Zaini</t>
  </si>
  <si>
    <t>520101 0302080005</t>
  </si>
  <si>
    <t>Dapa Cakra Adinata</t>
  </si>
  <si>
    <t>520101 0406140002</t>
  </si>
  <si>
    <t>Paeson</t>
  </si>
  <si>
    <t>520101 0107820338</t>
  </si>
  <si>
    <t>520101 4107650533</t>
  </si>
  <si>
    <t>M Ramdan Algifari</t>
  </si>
  <si>
    <t>520101 0809090003</t>
  </si>
  <si>
    <t>Selamet</t>
  </si>
  <si>
    <t>520101 3112820171</t>
  </si>
  <si>
    <t>520101 7112830127</t>
  </si>
  <si>
    <t>Silfi Hidayat</t>
  </si>
  <si>
    <t>520101 4902010004</t>
  </si>
  <si>
    <t>Maya Ziyadah</t>
  </si>
  <si>
    <t>520101 6805080001</t>
  </si>
  <si>
    <t>Andika Fratama</t>
  </si>
  <si>
    <t>520101 1602141002</t>
  </si>
  <si>
    <t>Maswah</t>
  </si>
  <si>
    <t>Heriyawan</t>
  </si>
  <si>
    <t>Mahusun</t>
  </si>
  <si>
    <t>520101 3112730053</t>
  </si>
  <si>
    <t>Zohriah</t>
  </si>
  <si>
    <t>520101 4107330384</t>
  </si>
  <si>
    <t>Dedi Johari</t>
  </si>
  <si>
    <t>520101 1304030001</t>
  </si>
  <si>
    <t>Muhadis Fahri</t>
  </si>
  <si>
    <t>520101 3011080001</t>
  </si>
  <si>
    <t>Risah</t>
  </si>
  <si>
    <t>520101 1211600001</t>
  </si>
  <si>
    <t>Remah</t>
  </si>
  <si>
    <t>520101 4502980001</t>
  </si>
  <si>
    <t>Ahmad Hidayat</t>
  </si>
  <si>
    <t>520101 0502980001</t>
  </si>
  <si>
    <t>Riduk</t>
  </si>
  <si>
    <t>520101 3117500118</t>
  </si>
  <si>
    <t>Masiah</t>
  </si>
  <si>
    <t>520101 4612760002</t>
  </si>
  <si>
    <t>Mila Isnayani</t>
  </si>
  <si>
    <t>520101 6504080001</t>
  </si>
  <si>
    <t>Danu Wartadi</t>
  </si>
  <si>
    <t>520101 3007800001</t>
  </si>
  <si>
    <t>520101 7112811010</t>
  </si>
  <si>
    <t>Agusni</t>
  </si>
  <si>
    <t>520101 2002081001</t>
  </si>
  <si>
    <t>Sulaimi</t>
  </si>
  <si>
    <t>520101 0408700001</t>
  </si>
  <si>
    <t>520101 4804710001</t>
  </si>
  <si>
    <t>Jamaludin</t>
  </si>
  <si>
    <t>520101 1910890001</t>
  </si>
  <si>
    <t>520101 3112840082</t>
  </si>
  <si>
    <t>Siti Murni</t>
  </si>
  <si>
    <t>520101 5208850002</t>
  </si>
  <si>
    <t>Nayla Miftahussaadah</t>
  </si>
  <si>
    <t>520101 4107090002</t>
  </si>
  <si>
    <t>Jamaah</t>
  </si>
  <si>
    <t>520101 2510850004</t>
  </si>
  <si>
    <t>Eva Royaningsih</t>
  </si>
  <si>
    <t>520101 5510910005</t>
  </si>
  <si>
    <t>Evan Yusril Perdana</t>
  </si>
  <si>
    <t>520101 1003120005</t>
  </si>
  <si>
    <t>Raimah</t>
  </si>
  <si>
    <t>520101 2103700001</t>
  </si>
  <si>
    <t>Satemah</t>
  </si>
  <si>
    <t>520101 7112750009</t>
  </si>
  <si>
    <t>Misaah</t>
  </si>
  <si>
    <t>520101 5008900101</t>
  </si>
  <si>
    <t>Mudemah</t>
  </si>
  <si>
    <t>520101 5708910001</t>
  </si>
  <si>
    <t>520101 6602930001</t>
  </si>
  <si>
    <t>Mustajab</t>
  </si>
  <si>
    <t>520101 3110850001</t>
  </si>
  <si>
    <t>Husniah</t>
  </si>
  <si>
    <t>Teme</t>
  </si>
  <si>
    <t>Duduk</t>
  </si>
  <si>
    <t>520101 2006750001</t>
  </si>
  <si>
    <t>Jumlah</t>
  </si>
  <si>
    <t>Jiwa</t>
  </si>
  <si>
    <t>Nomor KK</t>
  </si>
  <si>
    <t>Lahir</t>
  </si>
  <si>
    <t>Tempat</t>
  </si>
  <si>
    <t>Tanggal</t>
  </si>
  <si>
    <t>Tahun</t>
  </si>
  <si>
    <t>Usia</t>
  </si>
  <si>
    <t>Cacat</t>
  </si>
  <si>
    <t>Mental</t>
  </si>
  <si>
    <t>Fisik</t>
  </si>
  <si>
    <t>KTP/KIA</t>
  </si>
  <si>
    <t>Buku Nikah</t>
  </si>
  <si>
    <t>Akte Kelahiran</t>
  </si>
  <si>
    <t>Ada / Tidak</t>
  </si>
  <si>
    <t>Etnis</t>
  </si>
  <si>
    <t>Jurusan</t>
  </si>
  <si>
    <t>520101 1506120022</t>
  </si>
  <si>
    <t>Cemare</t>
  </si>
  <si>
    <t>Sasak</t>
  </si>
  <si>
    <t>TAMAT SD/SEDERAJAT</t>
  </si>
  <si>
    <t>WIRASWASTA</t>
  </si>
  <si>
    <t>MENGURUS RUMAH TANGGA</t>
  </si>
  <si>
    <t>BELUM TAMAT SD/SEDERAJAT</t>
  </si>
  <si>
    <t>PELAJAR/MAHASISWA</t>
  </si>
  <si>
    <t>TIDAK/BELUM SEKOLAH</t>
  </si>
  <si>
    <t>BELUM/TIDAK BEKERJA</t>
  </si>
  <si>
    <t>520101 10509120013</t>
  </si>
  <si>
    <t>BERMI</t>
  </si>
  <si>
    <t>SLTP/SEDERAJAT</t>
  </si>
  <si>
    <t>PEDAGANG</t>
  </si>
  <si>
    <t>520101 0503085580</t>
  </si>
  <si>
    <t>Cerai Mati</t>
  </si>
  <si>
    <t>Bile Kedit</t>
  </si>
  <si>
    <t>BURUH TANI/PERKEBUNAN</t>
  </si>
  <si>
    <t>BURUH HARIAN LEPAS</t>
  </si>
  <si>
    <t>520101 2501100006</t>
  </si>
  <si>
    <t>Muhammad Tamiah</t>
  </si>
  <si>
    <t>Orang Tua</t>
  </si>
  <si>
    <t>AIK AMPAT</t>
  </si>
  <si>
    <t>520101 2709120015</t>
  </si>
  <si>
    <t>Usman</t>
  </si>
  <si>
    <t>520101 4704900001</t>
  </si>
  <si>
    <t>TAUN</t>
  </si>
  <si>
    <t>Alma Sabila</t>
  </si>
  <si>
    <t>520101 0503086022</t>
  </si>
  <si>
    <t>Kadatuk</t>
  </si>
  <si>
    <t>Petani/Pekebun</t>
  </si>
  <si>
    <t>Paizul Azmi</t>
  </si>
  <si>
    <t>520101 0503085719</t>
  </si>
  <si>
    <t>Gerung</t>
  </si>
  <si>
    <t>520101 0503085687</t>
  </si>
  <si>
    <t>Ramadan Raditya</t>
  </si>
  <si>
    <t>cucu</t>
  </si>
  <si>
    <t>520101 0809090005</t>
  </si>
  <si>
    <t>Cerai Hidup</t>
  </si>
  <si>
    <t>Sabarudin Abi</t>
  </si>
  <si>
    <t>520101 0503085393</t>
  </si>
  <si>
    <t>520101 1210790004</t>
  </si>
  <si>
    <t>520101 4312800001</t>
  </si>
  <si>
    <t>520101 1102050002</t>
  </si>
  <si>
    <t>Lintak Buwur</t>
  </si>
  <si>
    <t>WIRASWATA</t>
  </si>
  <si>
    <t>PETANI/PEKEBUN</t>
  </si>
  <si>
    <t>520101 2402150017</t>
  </si>
  <si>
    <t>520101 0503085677</t>
  </si>
  <si>
    <t>Kayu Putih</t>
  </si>
  <si>
    <t>520101 0806130007</t>
  </si>
  <si>
    <t>520101 2409131008</t>
  </si>
  <si>
    <t>Perendekan</t>
  </si>
  <si>
    <t>520115 5701880004</t>
  </si>
  <si>
    <t>SLTA/SEDERAJAT</t>
  </si>
  <si>
    <t>KARYAWAN HONORER</t>
  </si>
  <si>
    <t>Febriyani</t>
  </si>
  <si>
    <t>520101 1011800008</t>
  </si>
  <si>
    <t>520101 7112820184</t>
  </si>
  <si>
    <t>520101 0503086041</t>
  </si>
  <si>
    <t>Arya Geraldi Al Gifari</t>
  </si>
  <si>
    <t>520101 3004690001</t>
  </si>
  <si>
    <t>520101 6508740001</t>
  </si>
  <si>
    <t>520101 0405150001</t>
  </si>
  <si>
    <t>Peturunan Puntik</t>
  </si>
  <si>
    <t>520101 0503085850</t>
  </si>
  <si>
    <t>520101 2706130003</t>
  </si>
  <si>
    <t>520101 3112800246</t>
  </si>
  <si>
    <t>520101 7112630108</t>
  </si>
  <si>
    <t>520101 2009050001</t>
  </si>
  <si>
    <t>Tempos</t>
  </si>
  <si>
    <t>520101 2308130008</t>
  </si>
  <si>
    <t>520101 0503085461</t>
  </si>
  <si>
    <t>520101 0610680001</t>
  </si>
  <si>
    <t>Muh Arifin</t>
  </si>
  <si>
    <t>520101 1003150006</t>
  </si>
  <si>
    <t>520101 0503085998</t>
  </si>
  <si>
    <t>520101 1004640001</t>
  </si>
  <si>
    <t>BELUM TAMAT SD/ SEDERAJAT</t>
  </si>
  <si>
    <t>520101 6205680001</t>
  </si>
  <si>
    <t>Harmaen</t>
  </si>
  <si>
    <t>520101 5512820002</t>
  </si>
  <si>
    <t>Zul fianah</t>
  </si>
  <si>
    <t>520101 0310120090</t>
  </si>
  <si>
    <t>520101 3112830157</t>
  </si>
  <si>
    <t>Dasan Geres Pande</t>
  </si>
  <si>
    <t>Aya Halwa Qaisara</t>
  </si>
  <si>
    <t>520101 5001160002</t>
  </si>
  <si>
    <t>Dasan Geres</t>
  </si>
  <si>
    <t>520101 0503085385</t>
  </si>
  <si>
    <t>Suman</t>
  </si>
  <si>
    <t>Rohintun</t>
  </si>
  <si>
    <t>Febriawan</t>
  </si>
  <si>
    <t>520101 1703690001</t>
  </si>
  <si>
    <t>520101 4511700001</t>
  </si>
  <si>
    <t>520101 0205040001</t>
  </si>
  <si>
    <t>Aik Ampat</t>
  </si>
  <si>
    <t>520101 0503085649</t>
  </si>
  <si>
    <t>Suriana</t>
  </si>
  <si>
    <t>Safira Yasa</t>
  </si>
  <si>
    <t>Ririn Nabila Yasa</t>
  </si>
  <si>
    <t>520101 2107820001</t>
  </si>
  <si>
    <t>520101 5406870001</t>
  </si>
  <si>
    <t>520101 5911040002</t>
  </si>
  <si>
    <t>520101 4602130001</t>
  </si>
  <si>
    <t>Putri Khayla Fathina</t>
  </si>
  <si>
    <t>520101 6210170001</t>
  </si>
  <si>
    <t>520101 0503085439</t>
  </si>
  <si>
    <t>Ahmad Abbas</t>
  </si>
  <si>
    <t>Sri Martini</t>
  </si>
  <si>
    <t>Bastu Wajhi Syarofi</t>
  </si>
  <si>
    <t>Fatan Fatwal Islam</t>
  </si>
  <si>
    <t>Ahmad Yusron Robby</t>
  </si>
  <si>
    <t>Fataya Syakira Salsabila</t>
  </si>
  <si>
    <t>520101 3112740109</t>
  </si>
  <si>
    <t>520101 7006790001</t>
  </si>
  <si>
    <t>520101 1203030003</t>
  </si>
  <si>
    <t>520101 0703080001</t>
  </si>
  <si>
    <t>520101 2310120002</t>
  </si>
  <si>
    <t>520101 6901180001</t>
  </si>
  <si>
    <t>Mataram</t>
  </si>
  <si>
    <t>PEGAWAI NEGERI SIPIL (PNS)</t>
  </si>
  <si>
    <t>520101 0503085543</t>
  </si>
  <si>
    <t>520101 7112700199</t>
  </si>
  <si>
    <t>520101 1003150004</t>
  </si>
  <si>
    <t>Salikin</t>
  </si>
  <si>
    <t>Asmuni</t>
  </si>
  <si>
    <t>Habiburrahman</t>
  </si>
  <si>
    <t>Nasrin Ihsan</t>
  </si>
  <si>
    <t>520101 3112820336</t>
  </si>
  <si>
    <t>520101 4111840004</t>
  </si>
  <si>
    <t>520101 1105020005</t>
  </si>
  <si>
    <t>520101 0210160002</t>
  </si>
  <si>
    <t>520101 2408170013</t>
  </si>
  <si>
    <t>Sahdep</t>
  </si>
  <si>
    <t>Ara Helma Siti Aisyah</t>
  </si>
  <si>
    <t>520803 3112870048</t>
  </si>
  <si>
    <t>520101 15810160002</t>
  </si>
  <si>
    <t>Santong Asli</t>
  </si>
  <si>
    <t>dasan Geres</t>
  </si>
  <si>
    <t>520101 0303150010</t>
  </si>
  <si>
    <t>520101 4909690002</t>
  </si>
  <si>
    <t>520101 0407910001</t>
  </si>
  <si>
    <t>520101 0503085374</t>
  </si>
  <si>
    <t>Gufron Ray yandi</t>
  </si>
  <si>
    <t>520101 3112750221</t>
  </si>
  <si>
    <t>520101 5703710001</t>
  </si>
  <si>
    <t>520101 6307990002</t>
  </si>
  <si>
    <t>520101 0610070001</t>
  </si>
  <si>
    <t>Safi'i</t>
  </si>
  <si>
    <t>520101 0403110038</t>
  </si>
  <si>
    <t>Saipul Muhamad Rizki</t>
  </si>
  <si>
    <t>520101 1008991001</t>
  </si>
  <si>
    <t>520101 2801141013</t>
  </si>
  <si>
    <t>Zohratun Huna</t>
  </si>
  <si>
    <t>520102 7112930082</t>
  </si>
  <si>
    <t>Kediri</t>
  </si>
  <si>
    <t>520101 0503085883</t>
  </si>
  <si>
    <t>520101 2008570001</t>
  </si>
  <si>
    <t>520101 7006580001</t>
  </si>
  <si>
    <t>Hasimmulloh</t>
  </si>
  <si>
    <t>520101 0503085970</t>
  </si>
  <si>
    <t>Arsiah</t>
  </si>
  <si>
    <t>I.Derah</t>
  </si>
  <si>
    <t>520101 1309430001</t>
  </si>
  <si>
    <t>Pasah</t>
  </si>
  <si>
    <t>520101 2803120001</t>
  </si>
  <si>
    <t>520101 5107820001</t>
  </si>
  <si>
    <t>520803 5002900000</t>
  </si>
  <si>
    <t>520101 0503085633</t>
  </si>
  <si>
    <t>520101 5108670001</t>
  </si>
  <si>
    <t>Pembantu Rumah Tangga</t>
  </si>
  <si>
    <t xml:space="preserve"> 520101 0503085707</t>
  </si>
  <si>
    <t>520101 0102490001</t>
  </si>
  <si>
    <t xml:space="preserve"> 520101 4107500128</t>
  </si>
  <si>
    <t>520101 1406130007</t>
  </si>
  <si>
    <t>520101 0107680079</t>
  </si>
  <si>
    <t xml:space="preserve"> 520101 7112700199</t>
  </si>
  <si>
    <t>520101 2131012</t>
  </si>
  <si>
    <t>Karyawan Swasta</t>
  </si>
  <si>
    <t xml:space="preserve"> 520101 1006140006</t>
  </si>
  <si>
    <t>Dasan Tapen</t>
  </si>
  <si>
    <t>Mengurus Rumah Tangga</t>
  </si>
  <si>
    <t>520101 2003120020</t>
  </si>
  <si>
    <t>520101 0503085430</t>
  </si>
  <si>
    <t>520101 0406570001</t>
  </si>
  <si>
    <t xml:space="preserve"> 520101 4503590001</t>
  </si>
  <si>
    <t xml:space="preserve"> 520101 5010940002</t>
  </si>
  <si>
    <t>Ajok</t>
  </si>
  <si>
    <t>520101 0504120022</t>
  </si>
  <si>
    <t>Tohoriah</t>
  </si>
  <si>
    <t>520101 7112660100</t>
  </si>
  <si>
    <t>520101 1512900001</t>
  </si>
  <si>
    <t>520101 0503085466</t>
  </si>
  <si>
    <t>Aspon Riadi</t>
  </si>
  <si>
    <t>520101 0412580001</t>
  </si>
  <si>
    <t xml:space="preserve"> 520101 5003600001</t>
  </si>
  <si>
    <t xml:space="preserve"> 520101 2402971001</t>
  </si>
  <si>
    <t xml:space="preserve"> 520101 0503085403</t>
  </si>
  <si>
    <t>Fajri Sarief</t>
  </si>
  <si>
    <t>Namira Aida Nadha</t>
  </si>
  <si>
    <t>Nadine Permata Rezqy</t>
  </si>
  <si>
    <t>520101 1302840001</t>
  </si>
  <si>
    <t xml:space="preserve"> 520101 5508860001</t>
  </si>
  <si>
    <t xml:space="preserve"> 520101 5303110001</t>
  </si>
  <si>
    <t xml:space="preserve"> 520101 5910140003</t>
  </si>
  <si>
    <t xml:space="preserve"> 520101 4103670001</t>
  </si>
  <si>
    <t>Sukarara</t>
  </si>
  <si>
    <t>DIPLOMA IV/STRATA I</t>
  </si>
  <si>
    <t>Addullah</t>
  </si>
  <si>
    <t>Maulida Rahmayatul Aini</t>
  </si>
  <si>
    <t>520101 6501130008</t>
  </si>
  <si>
    <t>Jembatan Kembar</t>
  </si>
  <si>
    <t>Sepakat</t>
  </si>
  <si>
    <t>Kelebut</t>
  </si>
  <si>
    <t>520101 2403141001</t>
  </si>
  <si>
    <t>Mahendra Yudajulianto</t>
  </si>
  <si>
    <t>520101 2509180002</t>
  </si>
  <si>
    <t>520101 2001840001</t>
  </si>
  <si>
    <t>520101 7112870003</t>
  </si>
  <si>
    <t>520101 2908050001</t>
  </si>
  <si>
    <t>520101 6006070001</t>
  </si>
  <si>
    <t>Tukang Kayu</t>
  </si>
  <si>
    <t>520101 0503085819</t>
  </si>
  <si>
    <t>520101 1108961002</t>
  </si>
  <si>
    <t>520101 0503085734</t>
  </si>
  <si>
    <t>Suhaini</t>
  </si>
  <si>
    <t>Syahabudin</t>
  </si>
  <si>
    <t>Fuji Suhayani</t>
  </si>
  <si>
    <t>520101 0111550001</t>
  </si>
  <si>
    <t xml:space="preserve"> 520101 7007690001</t>
  </si>
  <si>
    <t xml:space="preserve"> 520101 2310850002</t>
  </si>
  <si>
    <t xml:space="preserve"> 520101 2909880001</t>
  </si>
  <si>
    <t xml:space="preserve"> 520101 5207970002</t>
  </si>
  <si>
    <t>Lombok Barat</t>
  </si>
  <si>
    <t>520101 0504110032</t>
  </si>
  <si>
    <t>Sahuri</t>
  </si>
  <si>
    <t>Rudiah</t>
  </si>
  <si>
    <t>Budiman</t>
  </si>
  <si>
    <t>Stiawan</t>
  </si>
  <si>
    <t>520101 3112650104</t>
  </si>
  <si>
    <t>520101 7112700102</t>
  </si>
  <si>
    <t xml:space="preserve"> 520101 0206920002</t>
  </si>
  <si>
    <t xml:space="preserve"> 520101 3112990015</t>
  </si>
  <si>
    <t>Raedatul Istiqomah</t>
  </si>
  <si>
    <t>520101 7110150001</t>
  </si>
  <si>
    <t>520101 5211890003</t>
  </si>
  <si>
    <t>520101 6511090002</t>
  </si>
  <si>
    <t>Cinda Karina</t>
  </si>
  <si>
    <t>520101 0712090057</t>
  </si>
  <si>
    <t>Tukang Batu</t>
  </si>
  <si>
    <t>Lotim</t>
  </si>
  <si>
    <t>520101 0503085937</t>
  </si>
  <si>
    <t>Sardi</t>
  </si>
  <si>
    <t>Widya Wati</t>
  </si>
  <si>
    <t>520101 2512920001</t>
  </si>
  <si>
    <t xml:space="preserve"> 520101 5510040005</t>
  </si>
  <si>
    <t xml:space="preserve"> 520101 0503085341</t>
  </si>
  <si>
    <t>Rifa'i</t>
  </si>
  <si>
    <t>Sri Atun</t>
  </si>
  <si>
    <t xml:space="preserve"> 520101 4205920001</t>
  </si>
  <si>
    <t>Minansah</t>
  </si>
  <si>
    <t>M.Aziz Faozan</t>
  </si>
  <si>
    <t>520101 0909110026</t>
  </si>
  <si>
    <t>520101 1505990004</t>
  </si>
  <si>
    <t>Buruh Harian Lepas</t>
  </si>
  <si>
    <t>520101 0503085587</t>
  </si>
  <si>
    <t>520101 0107670698</t>
  </si>
  <si>
    <t>520101 4107700249</t>
  </si>
  <si>
    <t>520101 4107980254</t>
  </si>
  <si>
    <t>520101 0107050287</t>
  </si>
  <si>
    <t>Sahira</t>
  </si>
  <si>
    <t xml:space="preserve"> 520101 4508150001</t>
  </si>
  <si>
    <t>520101 0503085603</t>
  </si>
  <si>
    <t>520101 0107680086</t>
  </si>
  <si>
    <t xml:space="preserve"> 520101 4107770549</t>
  </si>
  <si>
    <t>520101 1312110016</t>
  </si>
  <si>
    <t xml:space="preserve">Kamaludin </t>
  </si>
  <si>
    <t>520101 3112560044</t>
  </si>
  <si>
    <t>520101 7112710092</t>
  </si>
  <si>
    <t>520101 0507990001</t>
  </si>
  <si>
    <t>520101 0503085424</t>
  </si>
  <si>
    <t>520101 1802150016</t>
  </si>
  <si>
    <t>Suryah</t>
  </si>
  <si>
    <t>520101 3112791015</t>
  </si>
  <si>
    <t>520205 5004980001</t>
  </si>
  <si>
    <t>Ronseng</t>
  </si>
  <si>
    <t>Lukma Nul Hakim</t>
  </si>
  <si>
    <t>Puyung</t>
  </si>
  <si>
    <t>520101 0503085594</t>
  </si>
  <si>
    <t>520101 1705170013</t>
  </si>
  <si>
    <t>Hana Hayatun Nufus</t>
  </si>
  <si>
    <t xml:space="preserve"> 520101 4209950001</t>
  </si>
  <si>
    <t xml:space="preserve"> 520101 6911170003</t>
  </si>
  <si>
    <t xml:space="preserve"> 520101 1702110010</t>
  </si>
  <si>
    <t>520101 3112750106</t>
  </si>
  <si>
    <t xml:space="preserve"> 520101 7112780063</t>
  </si>
  <si>
    <t xml:space="preserve"> 520101 0511950002</t>
  </si>
  <si>
    <t xml:space="preserve"> 520101 5205000001</t>
  </si>
  <si>
    <t>520101 1802150007</t>
  </si>
  <si>
    <t>Alfun Asya'bani</t>
  </si>
  <si>
    <t>520101 0111850003</t>
  </si>
  <si>
    <t>520101 5005880004</t>
  </si>
  <si>
    <t>520101 5206090001</t>
  </si>
  <si>
    <t>520101 3004170001</t>
  </si>
  <si>
    <t>30 Apil 2017</t>
  </si>
  <si>
    <t>520101 0402141009</t>
  </si>
  <si>
    <t>H. Ahmad Fathurrahman</t>
  </si>
  <si>
    <t xml:space="preserve">Miftahul Jannah </t>
  </si>
  <si>
    <t>Queena Asyiran Thifani Ahmad</t>
  </si>
  <si>
    <t>520101 0206870001</t>
  </si>
  <si>
    <t>520103 4508750002</t>
  </si>
  <si>
    <t>520101 4904140001</t>
  </si>
  <si>
    <t>Batu Kuta</t>
  </si>
  <si>
    <t>GURU</t>
  </si>
  <si>
    <t>520101 0706160008</t>
  </si>
  <si>
    <t>Muhlis</t>
  </si>
  <si>
    <t>Huniwati</t>
  </si>
  <si>
    <t>Eka Agustina Lismawati</t>
  </si>
  <si>
    <t>520101 5010940007</t>
  </si>
  <si>
    <t>520101 0107710129</t>
  </si>
  <si>
    <t>520101 5008160002</t>
  </si>
  <si>
    <t>520101 0503085889</t>
  </si>
  <si>
    <t>Drs. Ahmad</t>
  </si>
  <si>
    <t>Siti Nuhayati</t>
  </si>
  <si>
    <t>Ismi Hilmiyati Oktaviana</t>
  </si>
  <si>
    <t>520101 1412620001</t>
  </si>
  <si>
    <t>520101 7007720001</t>
  </si>
  <si>
    <t>520101 5607910001</t>
  </si>
  <si>
    <t>Tanjung Gunung</t>
  </si>
  <si>
    <t>Sumbawa Besar</t>
  </si>
  <si>
    <t>PENSIUNAN</t>
  </si>
  <si>
    <t xml:space="preserve">Baski </t>
  </si>
  <si>
    <t xml:space="preserve">Nuhasanah </t>
  </si>
  <si>
    <t xml:space="preserve">Hendy Hidyatullah </t>
  </si>
  <si>
    <t xml:space="preserve">Naela Safitri </t>
  </si>
  <si>
    <t>520101 230 7850003</t>
  </si>
  <si>
    <t>520101 2802110020</t>
  </si>
  <si>
    <t>520101 540 9131002</t>
  </si>
  <si>
    <t>Zulhayani Muktiyatmi</t>
  </si>
  <si>
    <t>Himia Usmanova</t>
  </si>
  <si>
    <t>Bintan Sania Afifa</t>
  </si>
  <si>
    <t>520101 3112840008</t>
  </si>
  <si>
    <t>520101 4101880001</t>
  </si>
  <si>
    <t>520101 6403100003</t>
  </si>
  <si>
    <t>520101 4905160001</t>
  </si>
  <si>
    <t>Cemae, Aik Ampat</t>
  </si>
  <si>
    <t>Pemangket</t>
  </si>
  <si>
    <t>520101 0503085778</t>
  </si>
  <si>
    <t>Ulya Andina</t>
  </si>
  <si>
    <t>520101 1609880001</t>
  </si>
  <si>
    <t>muhsini</t>
  </si>
  <si>
    <t>masni</t>
  </si>
  <si>
    <t>Fikiandi</t>
  </si>
  <si>
    <t>Yunia Huliza</t>
  </si>
  <si>
    <t>520101 0602720000</t>
  </si>
  <si>
    <t>520101 4181790001</t>
  </si>
  <si>
    <t>520101 0405000001</t>
  </si>
  <si>
    <t>520101 4204090002</t>
  </si>
  <si>
    <t>Aikampat Gerung</t>
  </si>
  <si>
    <t>cemara</t>
  </si>
  <si>
    <t>Tidak/Belum Sekolah</t>
  </si>
  <si>
    <t>SLTP/Sederajat</t>
  </si>
  <si>
    <t>Pelajar/Mahasiwa</t>
  </si>
  <si>
    <t>Belum/Tidak Sekolah</t>
  </si>
  <si>
    <t>520101 0503085873</t>
  </si>
  <si>
    <t>Hanapi, S.Ag</t>
  </si>
  <si>
    <t>Sulmayati</t>
  </si>
  <si>
    <t>Farida Hendriyani</t>
  </si>
  <si>
    <t>520101 0905670001</t>
  </si>
  <si>
    <t>520101 4807800001</t>
  </si>
  <si>
    <t>520101 5607790001</t>
  </si>
  <si>
    <t>Maserah</t>
  </si>
  <si>
    <t>Mahnim</t>
  </si>
  <si>
    <t>Padani</t>
  </si>
  <si>
    <t>520101 1410670001</t>
  </si>
  <si>
    <t>520101 6012720002</t>
  </si>
  <si>
    <t>520101 1602920004</t>
  </si>
  <si>
    <t>520101 4101990001</t>
  </si>
  <si>
    <t>520101 6910920001</t>
  </si>
  <si>
    <t>520101 0910990001</t>
  </si>
  <si>
    <t>520101 8401130004</t>
  </si>
  <si>
    <t>Cemara</t>
  </si>
  <si>
    <t>Sajaratul Mutmainnah</t>
  </si>
  <si>
    <t>520101 0503085453</t>
  </si>
  <si>
    <t xml:space="preserve"> 520101 580350002</t>
  </si>
  <si>
    <t xml:space="preserve">Rena </t>
  </si>
  <si>
    <t xml:space="preserve">520103 5704010001  </t>
  </si>
  <si>
    <t>KT. Cemara</t>
  </si>
  <si>
    <t>Karang Taliwang</t>
  </si>
  <si>
    <t xml:space="preserve"> 520101 2301180010</t>
  </si>
  <si>
    <t>RT 4</t>
  </si>
  <si>
    <t>520101 1110170002</t>
  </si>
  <si>
    <t>Ma'ah</t>
  </si>
  <si>
    <t>520101 0503085729</t>
  </si>
  <si>
    <t>Menang Timur</t>
  </si>
  <si>
    <t>Siti Nurhayati</t>
  </si>
  <si>
    <t>Najah Nawati Apriana</t>
  </si>
  <si>
    <t xml:space="preserve"> 520101 1412620001</t>
  </si>
  <si>
    <t xml:space="preserve"> 520101 7007720001</t>
  </si>
  <si>
    <t xml:space="preserve"> 520101 6809900001</t>
  </si>
  <si>
    <t xml:space="preserve"> 520101 5607910001</t>
  </si>
  <si>
    <t>PELAJARR/MAHASISWA</t>
  </si>
  <si>
    <t>Famili Lain</t>
  </si>
  <si>
    <t>TUKANG KAYU</t>
  </si>
  <si>
    <t>520101 0503085445</t>
  </si>
  <si>
    <t>Ainul Hayat Aslam</t>
  </si>
  <si>
    <t>520101 0605150003</t>
  </si>
  <si>
    <t>Samah Miring</t>
  </si>
  <si>
    <t>520101 2203100016</t>
  </si>
  <si>
    <t>Bagas Pratama</t>
  </si>
  <si>
    <t>520101 0102800001</t>
  </si>
  <si>
    <t>520101 7112930038</t>
  </si>
  <si>
    <t>520101 2601130001</t>
  </si>
  <si>
    <t>520101 1708150002</t>
  </si>
  <si>
    <t xml:space="preserve"> 520101 1708150001</t>
  </si>
  <si>
    <t xml:space="preserve"> 520101 0503150007</t>
  </si>
  <si>
    <t>Tohri</t>
  </si>
  <si>
    <t>Bahrul Azmi</t>
  </si>
  <si>
    <t>520101 1210120004</t>
  </si>
  <si>
    <t xml:space="preserve"> 520101 7112750184</t>
  </si>
  <si>
    <t xml:space="preserve"> 520101 0702030001</t>
  </si>
  <si>
    <t>520101 1211110002</t>
  </si>
  <si>
    <t>RT 5</t>
  </si>
  <si>
    <t>520101 0503083644</t>
  </si>
  <si>
    <t>Sae'nah</t>
  </si>
  <si>
    <t>Hainiah</t>
  </si>
  <si>
    <t>Muhammad Taqiyuddin</t>
  </si>
  <si>
    <t>Samsul Bahari</t>
  </si>
  <si>
    <t>520101 0107760190</t>
  </si>
  <si>
    <t xml:space="preserve"> 520101 4107700638</t>
  </si>
  <si>
    <t xml:space="preserve"> 520101 0107900106</t>
  </si>
  <si>
    <t xml:space="preserve"> 520101 0906960003</t>
  </si>
  <si>
    <t>Dasan Geres Barat</t>
  </si>
  <si>
    <t>Dasan Geres Selatan</t>
  </si>
  <si>
    <t>PELAJA/MAHASISWA</t>
  </si>
  <si>
    <t>Murjiah</t>
  </si>
  <si>
    <t>520101 5902830001</t>
  </si>
  <si>
    <t>520101 4606910001</t>
  </si>
  <si>
    <t>520101 6908910001</t>
  </si>
  <si>
    <t xml:space="preserve"> 520101 6001570001</t>
  </si>
  <si>
    <t>Jumlah Jiwa</t>
  </si>
  <si>
    <t>520101 1601170005</t>
  </si>
  <si>
    <t>Inaq Timah</t>
  </si>
  <si>
    <t>520101 7112550025</t>
  </si>
  <si>
    <t>Jumlah Penduduk</t>
  </si>
  <si>
    <t>Total</t>
  </si>
  <si>
    <t>Jumlah KK</t>
  </si>
  <si>
    <t>Jumlah Duda / Janda</t>
  </si>
  <si>
    <t>Jumlah Lansia ( =&gt;60 )</t>
  </si>
  <si>
    <t>JUMLAH TOTAL</t>
  </si>
  <si>
    <t>520101 0503085625</t>
  </si>
  <si>
    <t>520101 1509120013</t>
  </si>
  <si>
    <t>Bermi</t>
  </si>
  <si>
    <t>520101 1509120015</t>
  </si>
  <si>
    <t>520101 7112780194</t>
  </si>
  <si>
    <t>520101 6503020003</t>
  </si>
  <si>
    <t>520101 0503085750</t>
  </si>
  <si>
    <t>520101 1509120012</t>
  </si>
  <si>
    <t>520101 0912090001</t>
  </si>
  <si>
    <t>520101 1009140007</t>
  </si>
  <si>
    <t>520101 0503080568</t>
  </si>
  <si>
    <t xml:space="preserve">520101 0711100003 </t>
  </si>
  <si>
    <t>Satiah</t>
  </si>
  <si>
    <t>Nuradahi</t>
  </si>
  <si>
    <t>520101 3010700002</t>
  </si>
  <si>
    <t xml:space="preserve"> 520101 4107730384</t>
  </si>
  <si>
    <t>520101 6608880002</t>
  </si>
  <si>
    <t>520101 4107900547</t>
  </si>
  <si>
    <t>520101 2808990002</t>
  </si>
  <si>
    <t xml:space="preserve"> 520101 0503082048</t>
  </si>
  <si>
    <t>Jumadil</t>
  </si>
  <si>
    <t>Dahrun</t>
  </si>
  <si>
    <t xml:space="preserve"> 520101 0107620057</t>
  </si>
  <si>
    <t xml:space="preserve"> 520101 12012980001</t>
  </si>
  <si>
    <t>Cemare Karang Tengak</t>
  </si>
  <si>
    <t>Cemara Karang Tengak</t>
  </si>
  <si>
    <t xml:space="preserve"> 520101  1207130006</t>
  </si>
  <si>
    <t>Mursid</t>
  </si>
  <si>
    <t>Nurhidayah</t>
  </si>
  <si>
    <t>Hasna Zalva Humairo</t>
  </si>
  <si>
    <t>520101 0107880042</t>
  </si>
  <si>
    <t xml:space="preserve"> 520101 4607690004</t>
  </si>
  <si>
    <t xml:space="preserve"> 520101 6909120003</t>
  </si>
  <si>
    <t>Darek</t>
  </si>
  <si>
    <t>Aruman</t>
  </si>
  <si>
    <t>Emi</t>
  </si>
  <si>
    <t xml:space="preserve"> 520101 13112590017</t>
  </si>
  <si>
    <t xml:space="preserve"> 520101 7112590006</t>
  </si>
  <si>
    <t xml:space="preserve"> 520101 0602950001</t>
  </si>
  <si>
    <t>Muhali</t>
  </si>
  <si>
    <t>Salminah</t>
  </si>
  <si>
    <t xml:space="preserve"> 520101 13112691014</t>
  </si>
  <si>
    <t xml:space="preserve"> 520101 7112530034</t>
  </si>
  <si>
    <t xml:space="preserve"> 520101 4107940048</t>
  </si>
  <si>
    <t>Moh. Kholil</t>
  </si>
  <si>
    <t>Muslimah</t>
  </si>
  <si>
    <t xml:space="preserve">Khomsatun </t>
  </si>
  <si>
    <t>Mulinto</t>
  </si>
  <si>
    <t xml:space="preserve"> 520101 14107790343</t>
  </si>
  <si>
    <t>BLITAR</t>
  </si>
  <si>
    <t>CEMARE</t>
  </si>
  <si>
    <t xml:space="preserve"> 520101 0503081563</t>
  </si>
  <si>
    <t>Nasir</t>
  </si>
  <si>
    <t>Almin</t>
  </si>
  <si>
    <t>Yudi</t>
  </si>
  <si>
    <t>Dedi Irawan</t>
  </si>
  <si>
    <t xml:space="preserve">  520101 0102720001</t>
  </si>
  <si>
    <t xml:space="preserve">  520101 4107770562</t>
  </si>
  <si>
    <t xml:space="preserve">  520101 0107070286</t>
  </si>
  <si>
    <t>520101 1812100002</t>
  </si>
  <si>
    <t xml:space="preserve">  520101 0604120009  </t>
  </si>
  <si>
    <t>H.Lukman Hakim</t>
  </si>
  <si>
    <t>Pasiah</t>
  </si>
  <si>
    <t>Muksin</t>
  </si>
  <si>
    <t xml:space="preserve">  520101 3112670100</t>
  </si>
  <si>
    <t xml:space="preserve">  520101 7112690123</t>
  </si>
  <si>
    <t xml:space="preserve">  520101 1004900004</t>
  </si>
  <si>
    <t xml:space="preserve">  520101 2903080010</t>
  </si>
  <si>
    <t>Mahrim</t>
  </si>
  <si>
    <t>Jinemin</t>
  </si>
  <si>
    <t>Iwan</t>
  </si>
  <si>
    <t xml:space="preserve">  520101 3112460004</t>
  </si>
  <si>
    <t xml:space="preserve">  520101 15011490002</t>
  </si>
  <si>
    <t>520101 3112750040</t>
  </si>
  <si>
    <t xml:space="preserve">  520101 4305780001</t>
  </si>
  <si>
    <t xml:space="preserve">  520101 1110170002</t>
  </si>
  <si>
    <t>Hariati</t>
  </si>
  <si>
    <t xml:space="preserve">  520101 2512920001</t>
  </si>
  <si>
    <t xml:space="preserve">  520101 4408890002</t>
  </si>
  <si>
    <t xml:space="preserve">Suhaimi </t>
  </si>
  <si>
    <t xml:space="preserve">  520101 2105150004</t>
  </si>
  <si>
    <t xml:space="preserve">Laeli Suhadi </t>
  </si>
  <si>
    <t xml:space="preserve">  520101 2501910003</t>
  </si>
  <si>
    <t xml:space="preserve">   520101 84706940001</t>
  </si>
  <si>
    <t xml:space="preserve">CEMARA </t>
  </si>
  <si>
    <t>MAPAK REONG</t>
  </si>
  <si>
    <t xml:space="preserve">   520101 2301180010 </t>
  </si>
  <si>
    <t>Rena</t>
  </si>
  <si>
    <t xml:space="preserve">   520101 2302961001</t>
  </si>
  <si>
    <t xml:space="preserve">   520101 35704010001</t>
  </si>
  <si>
    <t>KT. CEMARE</t>
  </si>
  <si>
    <t xml:space="preserve">KARANG TALIWANG </t>
  </si>
  <si>
    <t xml:space="preserve">   520101 0503085960</t>
  </si>
  <si>
    <t>Mahli</t>
  </si>
  <si>
    <t>Hortiah</t>
  </si>
  <si>
    <t>Fahmi Hadi</t>
  </si>
  <si>
    <t xml:space="preserve">   520101 2107780001</t>
  </si>
  <si>
    <t xml:space="preserve">   520101 7107820001</t>
  </si>
  <si>
    <t>520101 1807030002</t>
  </si>
  <si>
    <t xml:space="preserve">   520101 2409120084</t>
  </si>
  <si>
    <t>Muhammad Faza Fadlan</t>
  </si>
  <si>
    <t>Muhammad Affan Al Fatih</t>
  </si>
  <si>
    <t>Rifai</t>
  </si>
  <si>
    <t xml:space="preserve">   520101 1303880006</t>
  </si>
  <si>
    <t>520101 5705910004</t>
  </si>
  <si>
    <t xml:space="preserve">   520101 1305100003</t>
  </si>
  <si>
    <t xml:space="preserve">   520101 11303170002</t>
  </si>
  <si>
    <t>CEMARA</t>
  </si>
  <si>
    <t>520101 1401110013</t>
  </si>
  <si>
    <t>Akmaludin</t>
  </si>
  <si>
    <t>Fatmah</t>
  </si>
  <si>
    <t>Novi Santika</t>
  </si>
  <si>
    <t>Ahyar</t>
  </si>
  <si>
    <t xml:space="preserve">    520101 1011850004</t>
  </si>
  <si>
    <t xml:space="preserve">   520101 4107940166</t>
  </si>
  <si>
    <t xml:space="preserve">  520101 4111090006</t>
  </si>
  <si>
    <t>DASAN GERES</t>
  </si>
  <si>
    <t xml:space="preserve">    520101 1003150002</t>
  </si>
  <si>
    <t>Sahdan</t>
  </si>
  <si>
    <t xml:space="preserve">Rakmah </t>
  </si>
  <si>
    <t xml:space="preserve">    520101 3112680442 </t>
  </si>
  <si>
    <t xml:space="preserve">    520101  4407820001 </t>
  </si>
  <si>
    <t>KARANG LANGKO</t>
  </si>
  <si>
    <t xml:space="preserve">    520101 1502120051</t>
  </si>
  <si>
    <t>Nursin</t>
  </si>
  <si>
    <t>Anisatul Wahidah</t>
  </si>
  <si>
    <t>Maksun</t>
  </si>
  <si>
    <t xml:space="preserve">      520101 5011860002</t>
  </si>
  <si>
    <t xml:space="preserve">     520101 2501910003</t>
  </si>
  <si>
    <t xml:space="preserve">     520101 11001830003</t>
  </si>
  <si>
    <t xml:space="preserve">     520101 1107020001</t>
  </si>
  <si>
    <t xml:space="preserve">     520101 4208070004</t>
  </si>
  <si>
    <t xml:space="preserve">     520101 1012110001</t>
  </si>
  <si>
    <t xml:space="preserve">     520101 3112680141</t>
  </si>
  <si>
    <t>RAKYAH</t>
  </si>
  <si>
    <t xml:space="preserve">     520101 11502120051</t>
  </si>
  <si>
    <t>wiraswasta</t>
  </si>
  <si>
    <t xml:space="preserve">     520101  1711150016</t>
  </si>
  <si>
    <t>Yasa'u</t>
  </si>
  <si>
    <t>Muhamad Samsul Hazim</t>
  </si>
  <si>
    <t>Muhamad Khairun Nizam</t>
  </si>
  <si>
    <t xml:space="preserve">     520101  0304910001</t>
  </si>
  <si>
    <t xml:space="preserve">     520101  4107970341</t>
  </si>
  <si>
    <t xml:space="preserve">     520101  2607160001</t>
  </si>
  <si>
    <t xml:space="preserve">     520101  2607160002</t>
  </si>
  <si>
    <t>Bagus Prayuda</t>
  </si>
  <si>
    <t xml:space="preserve">     520101  0503085756</t>
  </si>
  <si>
    <t>Kemok</t>
  </si>
  <si>
    <t xml:space="preserve">     520101  2101620001</t>
  </si>
  <si>
    <t xml:space="preserve">     520101  5406660001</t>
  </si>
  <si>
    <t xml:space="preserve">     520101  4706910002</t>
  </si>
  <si>
    <t>520101 0211070002</t>
  </si>
  <si>
    <t>Midarah</t>
  </si>
  <si>
    <t xml:space="preserve">Kahfi </t>
  </si>
  <si>
    <t>Asmuniati</t>
  </si>
  <si>
    <t>Hulbayan</t>
  </si>
  <si>
    <t>520101 0303110003</t>
  </si>
  <si>
    <t xml:space="preserve"> 520101 3009580001</t>
  </si>
  <si>
    <t xml:space="preserve"> 520101 5205630001</t>
  </si>
  <si>
    <t xml:space="preserve"> 520101 1007860001</t>
  </si>
  <si>
    <t xml:space="preserve"> 520101 6204990002</t>
  </si>
  <si>
    <t>520101 3001020001</t>
  </si>
  <si>
    <t>520101 1502120050</t>
  </si>
  <si>
    <t xml:space="preserve">Sriatun </t>
  </si>
  <si>
    <t>Yudia Yunus</t>
  </si>
  <si>
    <t xml:space="preserve"> 520101 3112600197</t>
  </si>
  <si>
    <t xml:space="preserve"> 520101 7112850190</t>
  </si>
  <si>
    <t xml:space="preserve"> 520101 0304910001</t>
  </si>
  <si>
    <t xml:space="preserve"> 520101 511001950001</t>
  </si>
  <si>
    <t xml:space="preserve"> 520101 5704030002</t>
  </si>
  <si>
    <t xml:space="preserve"> 520101 0503085917</t>
  </si>
  <si>
    <t>Baderiah</t>
  </si>
  <si>
    <t>Devita Surgiani</t>
  </si>
  <si>
    <t>Cucu</t>
  </si>
  <si>
    <t xml:space="preserve"> 520101 4107650117</t>
  </si>
  <si>
    <t>520101 4907900001</t>
  </si>
  <si>
    <t xml:space="preserve"> 520101 4202110005</t>
  </si>
  <si>
    <t>520101 0503085409</t>
  </si>
  <si>
    <t>LINGKUNGAN CEMARA TIMUR</t>
  </si>
  <si>
    <t>DATA INDUK PENDUDUK KELURAHAN DASAN GERES</t>
  </si>
  <si>
    <t>TAHUN 2019</t>
  </si>
  <si>
    <t>520101 10503085625</t>
  </si>
  <si>
    <t>Nama Lengkap/ Panggilan</t>
  </si>
  <si>
    <t>RT 05</t>
  </si>
  <si>
    <t>RT 04</t>
  </si>
  <si>
    <t>Mengetahui</t>
  </si>
  <si>
    <t>Lurah Dasan Geres</t>
  </si>
  <si>
    <t>Kepala Lingkungan</t>
  </si>
  <si>
    <t>Hulaifi, S.H.</t>
  </si>
  <si>
    <t>NIP. 19841231 201101 1 023</t>
  </si>
  <si>
    <t>Sulaifi</t>
  </si>
  <si>
    <t>REKAP DATA PENDUDUK</t>
  </si>
  <si>
    <t>RT</t>
  </si>
</sst>
</file>

<file path=xl/styles.xml><?xml version="1.0" encoding="utf-8"?>
<styleSheet xmlns="http://schemas.openxmlformats.org/spreadsheetml/2006/main">
  <numFmts count="1">
    <numFmt numFmtId="164" formatCode="[$-421]dd\ mmmm\ yyyy;@"/>
  </numFmts>
  <fonts count="7">
    <font>
      <sz val="11"/>
      <color theme="1"/>
      <name val="Calibri"/>
      <family val="2"/>
      <charset val="1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 wrapText="1"/>
    </xf>
    <xf numFmtId="0" fontId="1" fillId="0" borderId="10" xfId="0" applyNumberFormat="1" applyFont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" fontId="2" fillId="3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 wrapText="1"/>
    </xf>
    <xf numFmtId="0" fontId="1" fillId="0" borderId="7" xfId="0" applyNumberFormat="1" applyFont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7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Border="1" applyAlignment="1">
      <alignment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2" fillId="3" borderId="12" xfId="0" applyNumberFormat="1" applyFont="1" applyFill="1" applyBorder="1" applyAlignment="1">
      <alignment vertical="center" wrapText="1"/>
    </xf>
    <xf numFmtId="164" fontId="1" fillId="2" borderId="6" xfId="0" applyNumberFormat="1" applyFont="1" applyFill="1" applyBorder="1" applyAlignment="1">
      <alignment horizontal="center" vertical="center" wrapText="1"/>
    </xf>
    <xf numFmtId="0" fontId="0" fillId="4" borderId="0" xfId="0" applyFill="1"/>
    <xf numFmtId="164" fontId="1" fillId="0" borderId="10" xfId="0" applyNumberFormat="1" applyFont="1" applyBorder="1" applyAlignment="1">
      <alignment horizontal="center" vertical="center" wrapText="1"/>
    </xf>
    <xf numFmtId="0" fontId="1" fillId="4" borderId="8" xfId="0" applyNumberFormat="1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/>
    </xf>
    <xf numFmtId="164" fontId="0" fillId="4" borderId="0" xfId="0" applyNumberFormat="1" applyFill="1"/>
    <xf numFmtId="0" fontId="1" fillId="4" borderId="20" xfId="0" applyNumberFormat="1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ill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64" fontId="1" fillId="5" borderId="7" xfId="0" applyNumberFormat="1" applyFont="1" applyFill="1" applyBorder="1" applyAlignment="1">
      <alignment horizontal="center" vertical="center" wrapText="1"/>
    </xf>
    <xf numFmtId="0" fontId="1" fillId="5" borderId="7" xfId="0" applyNumberFormat="1" applyFont="1" applyFill="1" applyBorder="1" applyAlignment="1">
      <alignment horizontal="center" vertical="center" wrapText="1"/>
    </xf>
    <xf numFmtId="0" fontId="1" fillId="5" borderId="5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NumberFormat="1" applyFont="1" applyFill="1" applyBorder="1" applyAlignment="1">
      <alignment horizontal="center" vertical="center"/>
    </xf>
    <xf numFmtId="0" fontId="1" fillId="5" borderId="8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164" fontId="1" fillId="5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164" fontId="2" fillId="3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1" fillId="5" borderId="2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164" fontId="1" fillId="0" borderId="0" xfId="0" applyNumberFormat="1" applyFont="1"/>
    <xf numFmtId="0" fontId="1" fillId="0" borderId="0" xfId="0" applyNumberFormat="1" applyFont="1"/>
    <xf numFmtId="0" fontId="1" fillId="0" borderId="0" xfId="0" applyFont="1" applyFill="1"/>
    <xf numFmtId="0" fontId="1" fillId="0" borderId="8" xfId="0" applyFont="1" applyFill="1" applyBorder="1"/>
    <xf numFmtId="0" fontId="1" fillId="0" borderId="0" xfId="0" applyFont="1" applyFill="1" applyAlignment="1">
      <alignment horizontal="center" vertical="center"/>
    </xf>
    <xf numFmtId="0" fontId="1" fillId="0" borderId="19" xfId="0" applyFont="1" applyFill="1" applyBorder="1"/>
    <xf numFmtId="0" fontId="1" fillId="0" borderId="22" xfId="0" applyFont="1" applyFill="1" applyBorder="1"/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applyAlignment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0" fillId="0" borderId="0" xfId="0" applyNumberFormat="1"/>
    <xf numFmtId="0" fontId="1" fillId="4" borderId="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/>
    <xf numFmtId="0" fontId="1" fillId="4" borderId="11" xfId="0" applyFont="1" applyFill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1" fillId="4" borderId="20" xfId="0" applyFont="1" applyFill="1" applyBorder="1" applyAlignment="1">
      <alignment vertical="center"/>
    </xf>
    <xf numFmtId="3" fontId="4" fillId="0" borderId="0" xfId="0" applyNumberFormat="1" applyFont="1"/>
    <xf numFmtId="0" fontId="4" fillId="0" borderId="0" xfId="0" applyFont="1"/>
    <xf numFmtId="3" fontId="5" fillId="0" borderId="28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3" fontId="4" fillId="0" borderId="22" xfId="0" applyNumberFormat="1" applyFont="1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3" fontId="5" fillId="0" borderId="19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3" fontId="4" fillId="0" borderId="35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5" fillId="0" borderId="26" xfId="0" applyNumberFormat="1" applyFont="1" applyBorder="1" applyAlignment="1">
      <alignment horizontal="center" vertical="center"/>
    </xf>
    <xf numFmtId="3" fontId="4" fillId="0" borderId="15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3" fontId="6" fillId="0" borderId="39" xfId="0" applyNumberFormat="1" applyFont="1" applyBorder="1" applyAlignment="1">
      <alignment horizontal="center" vertical="center"/>
    </xf>
    <xf numFmtId="3" fontId="4" fillId="0" borderId="40" xfId="0" applyNumberFormat="1" applyFont="1" applyBorder="1" applyAlignment="1">
      <alignment horizontal="center" vertical="center"/>
    </xf>
    <xf numFmtId="3" fontId="6" fillId="0" borderId="41" xfId="0" applyNumberFormat="1" applyFont="1" applyBorder="1" applyAlignment="1">
      <alignment horizontal="center" vertical="center"/>
    </xf>
    <xf numFmtId="0" fontId="4" fillId="0" borderId="0" xfId="0" applyFont="1" applyFill="1"/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164" fontId="1" fillId="0" borderId="8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vertical="center"/>
    </xf>
    <xf numFmtId="0" fontId="1" fillId="0" borderId="8" xfId="0" applyFont="1" applyFill="1" applyBorder="1" applyAlignment="1"/>
    <xf numFmtId="164" fontId="1" fillId="0" borderId="8" xfId="0" applyNumberFormat="1" applyFont="1" applyFill="1" applyBorder="1" applyAlignment="1"/>
    <xf numFmtId="0" fontId="1" fillId="0" borderId="8" xfId="0" applyNumberFormat="1" applyFont="1" applyFill="1" applyBorder="1" applyAlignment="1"/>
    <xf numFmtId="0" fontId="1" fillId="0" borderId="0" xfId="0" applyFont="1" applyFill="1" applyAlignment="1">
      <alignment wrapText="1"/>
    </xf>
    <xf numFmtId="164" fontId="1" fillId="0" borderId="0" xfId="0" applyNumberFormat="1" applyFont="1" applyFill="1"/>
    <xf numFmtId="0" fontId="1" fillId="0" borderId="0" xfId="0" applyNumberFormat="1" applyFont="1" applyFill="1"/>
    <xf numFmtId="0" fontId="2" fillId="6" borderId="8" xfId="0" applyFont="1" applyFill="1" applyBorder="1" applyAlignment="1">
      <alignment horizontal="center" vertical="center" wrapText="1"/>
    </xf>
    <xf numFmtId="164" fontId="2" fillId="6" borderId="8" xfId="0" applyNumberFormat="1" applyFont="1" applyFill="1" applyBorder="1" applyAlignment="1">
      <alignment horizontal="center" vertical="center"/>
    </xf>
    <xf numFmtId="0" fontId="2" fillId="6" borderId="8" xfId="0" applyNumberFormat="1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1" fontId="2" fillId="6" borderId="8" xfId="0" applyNumberFormat="1" applyFont="1" applyFill="1" applyBorder="1" applyAlignment="1">
      <alignment horizontal="center" vertical="center"/>
    </xf>
    <xf numFmtId="164" fontId="2" fillId="6" borderId="8" xfId="0" applyNumberFormat="1" applyFont="1" applyFill="1" applyBorder="1" applyAlignment="1">
      <alignment vertical="center"/>
    </xf>
    <xf numFmtId="0" fontId="1" fillId="0" borderId="14" xfId="0" applyFont="1" applyFill="1" applyBorder="1"/>
    <xf numFmtId="0" fontId="1" fillId="0" borderId="1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3" fontId="4" fillId="0" borderId="0" xfId="0" applyNumberFormat="1" applyFont="1" applyBorder="1"/>
    <xf numFmtId="0" fontId="4" fillId="0" borderId="0" xfId="0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5" fillId="0" borderId="32" xfId="0" applyNumberFormat="1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3" fontId="5" fillId="0" borderId="22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26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3" fontId="5" fillId="0" borderId="33" xfId="0" applyNumberFormat="1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2" fillId="6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1" fontId="2" fillId="6" borderId="8" xfId="0" applyNumberFormat="1" applyFont="1" applyFill="1" applyBorder="1" applyAlignment="1">
      <alignment horizontal="center" vertical="center"/>
    </xf>
    <xf numFmtId="0" fontId="2" fillId="6" borderId="8" xfId="0" applyNumberFormat="1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3" borderId="8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O18"/>
  <sheetViews>
    <sheetView workbookViewId="0">
      <selection activeCell="H12" sqref="H12"/>
    </sheetView>
  </sheetViews>
  <sheetFormatPr defaultRowHeight="15"/>
  <cols>
    <col min="2" max="2" width="19.140625" bestFit="1" customWidth="1"/>
    <col min="3" max="8" width="9.140625" style="86"/>
    <col min="9" max="10" width="10.7109375" style="86" customWidth="1"/>
    <col min="11" max="11" width="9.140625" style="86"/>
    <col min="12" max="13" width="11.7109375" style="86" customWidth="1"/>
    <col min="14" max="14" width="9.140625" style="86"/>
  </cols>
  <sheetData>
    <row r="1" spans="2:15" ht="15.75" thickBot="1"/>
    <row r="2" spans="2:15" s="94" customFormat="1" ht="15.75" thickBot="1">
      <c r="B2" s="151" t="s">
        <v>1104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3"/>
      <c r="O2" s="93"/>
    </row>
    <row r="3" spans="2:15" s="94" customFormat="1" ht="15.75" thickBot="1">
      <c r="B3" s="154" t="s">
        <v>1091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6"/>
      <c r="O3" s="93"/>
    </row>
    <row r="4" spans="2:15" ht="15.75">
      <c r="B4" s="146" t="s">
        <v>1105</v>
      </c>
      <c r="C4" s="147" t="s">
        <v>907</v>
      </c>
      <c r="D4" s="148"/>
      <c r="E4" s="141" t="s">
        <v>908</v>
      </c>
      <c r="F4" s="143" t="s">
        <v>909</v>
      </c>
      <c r="G4" s="144"/>
      <c r="H4" s="149" t="s">
        <v>908</v>
      </c>
      <c r="I4" s="147" t="s">
        <v>910</v>
      </c>
      <c r="J4" s="148"/>
      <c r="K4" s="141" t="s">
        <v>908</v>
      </c>
      <c r="L4" s="143" t="s">
        <v>911</v>
      </c>
      <c r="M4" s="144"/>
      <c r="N4" s="145" t="s">
        <v>908</v>
      </c>
    </row>
    <row r="5" spans="2:15">
      <c r="B5" s="146"/>
      <c r="C5" s="98" t="s">
        <v>1</v>
      </c>
      <c r="D5" s="85" t="s">
        <v>7</v>
      </c>
      <c r="E5" s="142"/>
      <c r="F5" s="97" t="s">
        <v>1</v>
      </c>
      <c r="G5" s="85" t="s">
        <v>7</v>
      </c>
      <c r="H5" s="150"/>
      <c r="I5" s="98" t="s">
        <v>1</v>
      </c>
      <c r="J5" s="85" t="s">
        <v>7</v>
      </c>
      <c r="K5" s="142"/>
      <c r="L5" s="97" t="s">
        <v>1</v>
      </c>
      <c r="M5" s="85" t="s">
        <v>7</v>
      </c>
      <c r="N5" s="142"/>
    </row>
    <row r="6" spans="2:15" ht="15.75">
      <c r="B6" s="96" t="s">
        <v>853</v>
      </c>
      <c r="C6" s="98">
        <f>COUNTIF('RT 04'!$H$8:$H$250,"L")</f>
        <v>120</v>
      </c>
      <c r="D6" s="85">
        <f>COUNTIF('RT 04'!$H$8:$H$250,"P")</f>
        <v>123</v>
      </c>
      <c r="E6" s="95">
        <f>SUM(C6:D6)</f>
        <v>243</v>
      </c>
      <c r="F6" s="97">
        <f>COUNTIFS('RT 04'!$F$8:$F$250,"KK",'RT 04'!$H$8:$H$250,"L")</f>
        <v>64</v>
      </c>
      <c r="G6" s="85">
        <f>COUNTIFS('RT 04'!$F$8:$F$250,"KK",'RT 04'!$H$8:$H$250,"P")</f>
        <v>7</v>
      </c>
      <c r="H6" s="99">
        <f>SUM(F6:G6)</f>
        <v>71</v>
      </c>
      <c r="I6" s="98">
        <f>COUNTIFS('RT 04'!$I$8:$I$250,"Cerai Mati",'RT 04'!$H$8:$H$250,"L")+COUNTIFS('RT 04'!$I$8:$I$250,"Cerai Hidup",'RT 04'!$H$8:$H$250,"L")+COUNTIFS('RT 04'!$I$8:$I$250,"Duda",'RT 04'!$H$8:$H$250,"L")</f>
        <v>1</v>
      </c>
      <c r="J6" s="85">
        <f>COUNTIFS('RT 04'!$I$8:$I$250,"Cerai Mati",'RT 04'!$H$8:$H$250,"P")+COUNTIFS('RT 04'!$I$8:$I$250,"Cerai Hidup",'RT 04'!$H$8:$H$250,"P")+COUNTIFS('RT 04'!$I$8:$I$250,"Janda",'RT 04'!$H$8:$H$250,"P")</f>
        <v>6</v>
      </c>
      <c r="K6" s="95">
        <f>SUM(I6:J6)</f>
        <v>7</v>
      </c>
      <c r="L6" s="97">
        <v>9</v>
      </c>
      <c r="M6" s="85">
        <v>4</v>
      </c>
      <c r="N6" s="95">
        <f>SUM(L6:M6)</f>
        <v>13</v>
      </c>
    </row>
    <row r="7" spans="2:15" ht="16.5" thickBot="1">
      <c r="B7" s="100" t="s">
        <v>885</v>
      </c>
      <c r="C7" s="101">
        <f>COUNTIF('RT05'!$H$8:$H$190,"L")</f>
        <v>96</v>
      </c>
      <c r="D7" s="102">
        <f>COUNTIF('RT05'!$H$8:$H$190,"P")</f>
        <v>87</v>
      </c>
      <c r="E7" s="103">
        <f t="shared" ref="E7" si="0">SUM(C7:D7)</f>
        <v>183</v>
      </c>
      <c r="F7" s="104">
        <f>COUNTIFS('RT05'!$F$8:$F$190,"KK",'RT05'!$H$8:$H$190,"L")</f>
        <v>46</v>
      </c>
      <c r="G7" s="102">
        <f>COUNTIFS('RT05'!$F$8:$F$190,"KK",'RT05'!$H$8:$H$190,"P")</f>
        <v>8</v>
      </c>
      <c r="H7" s="105">
        <f t="shared" ref="H7" si="1">SUM(F7:G7)</f>
        <v>54</v>
      </c>
      <c r="I7" s="101">
        <f>COUNTIFS('RT05'!$I$8:$I$190,"Cerai Mati",'RT05'!$H$8:$H$190,"L")+COUNTIFS('RT05'!$I$8:$I$190,"Cerai Hidup",'RT05'!$H$8:$H$190,"L")+COUNTIFS('RT05'!$I$8:$I$190,"Duda",'RT05'!$H$8:$H$190,"L")</f>
        <v>1</v>
      </c>
      <c r="J7" s="102">
        <f>COUNTIFS('RT05'!$I$8:$I$190,"Cerai Mati",'RT05'!$H$8:$H$190,"L")+COUNTIFS('RT05'!$I$8:$I$190,"Cerai Hidup",'RT05'!$H$8:$H$190,"P")+COUNTIFS('RT05'!$I$8:$I$190,"Janda",'RT05'!$H$8:$H$190,"P")</f>
        <v>5</v>
      </c>
      <c r="K7" s="103">
        <f t="shared" ref="K7" si="2">SUM(I7:J7)</f>
        <v>6</v>
      </c>
      <c r="L7" s="104">
        <v>6</v>
      </c>
      <c r="M7" s="102">
        <v>7</v>
      </c>
      <c r="N7" s="103">
        <f t="shared" ref="N7" si="3">SUM(L7:M7)</f>
        <v>13</v>
      </c>
    </row>
    <row r="8" spans="2:15" ht="16.5" thickBot="1">
      <c r="B8" s="106" t="s">
        <v>912</v>
      </c>
      <c r="C8" s="107">
        <f>SUM(C6:C7)</f>
        <v>216</v>
      </c>
      <c r="D8" s="108">
        <f t="shared" ref="D8:N8" si="4">SUM(D6:D7)</f>
        <v>210</v>
      </c>
      <c r="E8" s="109">
        <f t="shared" si="4"/>
        <v>426</v>
      </c>
      <c r="F8" s="110">
        <f t="shared" si="4"/>
        <v>110</v>
      </c>
      <c r="G8" s="108">
        <f t="shared" si="4"/>
        <v>15</v>
      </c>
      <c r="H8" s="111">
        <f t="shared" si="4"/>
        <v>125</v>
      </c>
      <c r="I8" s="107">
        <f t="shared" si="4"/>
        <v>2</v>
      </c>
      <c r="J8" s="108">
        <f t="shared" si="4"/>
        <v>11</v>
      </c>
      <c r="K8" s="109">
        <f t="shared" si="4"/>
        <v>13</v>
      </c>
      <c r="L8" s="110">
        <f t="shared" si="4"/>
        <v>15</v>
      </c>
      <c r="M8" s="108">
        <f t="shared" si="4"/>
        <v>11</v>
      </c>
      <c r="N8" s="109">
        <f t="shared" si="4"/>
        <v>26</v>
      </c>
    </row>
    <row r="12" spans="2:15" s="94" customFormat="1">
      <c r="C12" s="139" t="s">
        <v>1098</v>
      </c>
      <c r="D12" s="139"/>
      <c r="E12" s="139"/>
      <c r="F12" s="93"/>
      <c r="G12" s="93"/>
      <c r="H12" s="93"/>
      <c r="I12" s="93"/>
      <c r="J12" s="93"/>
      <c r="K12" s="139"/>
      <c r="L12" s="139"/>
      <c r="M12" s="93"/>
      <c r="N12" s="93"/>
    </row>
    <row r="13" spans="2:15" s="94" customFormat="1">
      <c r="C13" s="139" t="s">
        <v>1099</v>
      </c>
      <c r="D13" s="139"/>
      <c r="E13" s="139"/>
      <c r="F13" s="93"/>
      <c r="G13" s="93"/>
      <c r="H13" s="93"/>
      <c r="I13" s="93"/>
      <c r="J13" s="93"/>
      <c r="K13" s="139" t="s">
        <v>1100</v>
      </c>
      <c r="L13" s="139"/>
      <c r="M13" s="93"/>
      <c r="N13" s="93"/>
    </row>
    <row r="14" spans="2:15" s="94" customFormat="1">
      <c r="C14" s="93"/>
      <c r="E14" s="93"/>
      <c r="F14" s="93"/>
      <c r="G14" s="93"/>
      <c r="H14" s="93"/>
      <c r="I14" s="93"/>
      <c r="J14" s="93"/>
      <c r="L14" s="93"/>
      <c r="M14" s="93"/>
      <c r="N14" s="93"/>
    </row>
    <row r="15" spans="2:15" s="94" customFormat="1">
      <c r="C15" s="93"/>
      <c r="E15" s="93"/>
      <c r="F15" s="93"/>
      <c r="G15" s="93"/>
      <c r="H15" s="93"/>
      <c r="I15" s="93"/>
      <c r="J15" s="93"/>
      <c r="L15" s="93"/>
      <c r="M15" s="93"/>
      <c r="N15" s="93"/>
    </row>
    <row r="16" spans="2:15" s="94" customFormat="1">
      <c r="C16" s="93"/>
      <c r="E16" s="93"/>
      <c r="F16" s="93"/>
      <c r="G16" s="93"/>
      <c r="H16" s="93"/>
      <c r="I16" s="93"/>
      <c r="J16" s="93"/>
      <c r="L16" s="93"/>
      <c r="M16" s="93"/>
      <c r="N16" s="93"/>
    </row>
    <row r="17" spans="3:14" s="94" customFormat="1">
      <c r="C17" s="140" t="s">
        <v>1101</v>
      </c>
      <c r="D17" s="140"/>
      <c r="E17" s="140"/>
      <c r="F17" s="93"/>
      <c r="G17" s="93"/>
      <c r="H17" s="93"/>
      <c r="I17" s="93"/>
      <c r="J17" s="93"/>
      <c r="K17" s="140" t="s">
        <v>1103</v>
      </c>
      <c r="L17" s="140"/>
      <c r="M17" s="93"/>
      <c r="N17" s="93"/>
    </row>
    <row r="18" spans="3:14" s="94" customFormat="1">
      <c r="C18" s="140" t="s">
        <v>1102</v>
      </c>
      <c r="D18" s="140"/>
      <c r="E18" s="140"/>
      <c r="F18" s="93"/>
      <c r="G18" s="93"/>
      <c r="H18" s="93"/>
      <c r="I18" s="93"/>
      <c r="J18" s="93"/>
      <c r="K18" s="140"/>
      <c r="L18" s="140"/>
      <c r="M18" s="93"/>
      <c r="N18" s="93"/>
    </row>
  </sheetData>
  <mergeCells count="19">
    <mergeCell ref="B2:N2"/>
    <mergeCell ref="B3:N3"/>
    <mergeCell ref="B4:B5"/>
    <mergeCell ref="C4:D4"/>
    <mergeCell ref="E4:E5"/>
    <mergeCell ref="F4:G4"/>
    <mergeCell ref="H4:H5"/>
    <mergeCell ref="C18:E18"/>
    <mergeCell ref="K18:L18"/>
    <mergeCell ref="K4:K5"/>
    <mergeCell ref="L4:M4"/>
    <mergeCell ref="N4:N5"/>
    <mergeCell ref="I4:J4"/>
    <mergeCell ref="C12:E12"/>
    <mergeCell ref="K12:L12"/>
    <mergeCell ref="C13:E13"/>
    <mergeCell ref="K13:L13"/>
    <mergeCell ref="C17:E17"/>
    <mergeCell ref="K17:L17"/>
  </mergeCells>
  <printOptions horizontalCentered="1" verticalCentered="1"/>
  <pageMargins left="1.37795275590551" right="0.39370078740157499" top="0.78740157480314998" bottom="0.78740157480314998" header="0.31496062992126" footer="0.31496062992126"/>
  <pageSetup paperSize="10000" scale="105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60"/>
  <sheetViews>
    <sheetView tabSelected="1" workbookViewId="0">
      <pane ySplit="6" topLeftCell="A7" activePane="bottomLeft" state="frozen"/>
      <selection pane="bottomLeft" activeCell="K11" sqref="K11"/>
    </sheetView>
  </sheetViews>
  <sheetFormatPr defaultRowHeight="12.75"/>
  <cols>
    <col min="1" max="1" width="9.140625" style="70"/>
    <col min="2" max="2" width="3.5703125" style="70" bestFit="1" customWidth="1"/>
    <col min="3" max="3" width="15.7109375" style="70" customWidth="1"/>
    <col min="4" max="4" width="6.7109375" style="70" customWidth="1"/>
    <col min="5" max="5" width="12.7109375" style="124" customWidth="1"/>
    <col min="6" max="6" width="9.7109375" style="70" customWidth="1"/>
    <col min="7" max="7" width="15.7109375" style="70" customWidth="1"/>
    <col min="8" max="8" width="7.7109375" style="70" customWidth="1"/>
    <col min="9" max="9" width="10.7109375" style="70" customWidth="1"/>
    <col min="10" max="10" width="13.7109375" style="124" customWidth="1"/>
    <col min="11" max="11" width="16.28515625" style="125" bestFit="1" customWidth="1"/>
    <col min="12" max="12" width="7" style="126" bestFit="1" customWidth="1"/>
    <col min="13" max="13" width="5.140625" style="126" bestFit="1" customWidth="1"/>
    <col min="14" max="14" width="6.85546875" style="70" bestFit="1" customWidth="1"/>
    <col min="15" max="15" width="5.42578125" style="70" bestFit="1" customWidth="1"/>
    <col min="16" max="16" width="16.7109375" style="124" customWidth="1"/>
    <col min="17" max="17" width="7.85546875" style="70" bestFit="1" customWidth="1"/>
    <col min="18" max="18" width="15.7109375" style="124" customWidth="1"/>
    <col min="19" max="16384" width="9.140625" style="70"/>
  </cols>
  <sheetData>
    <row r="1" spans="2:18" s="112" customFormat="1" ht="15.75">
      <c r="B1" s="169" t="s">
        <v>1092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</row>
    <row r="2" spans="2:18" s="112" customFormat="1" ht="15.75">
      <c r="B2" s="169" t="s">
        <v>1093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</row>
    <row r="3" spans="2:18" s="112" customFormat="1" ht="15.75">
      <c r="B3" s="135" t="s">
        <v>1091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</row>
    <row r="4" spans="2:18" ht="15.75">
      <c r="B4" s="135" t="s">
        <v>1097</v>
      </c>
    </row>
    <row r="5" spans="2:18" ht="20.100000000000001" customHeight="1">
      <c r="B5" s="159" t="s">
        <v>50</v>
      </c>
      <c r="C5" s="159" t="s">
        <v>447</v>
      </c>
      <c r="D5" s="161" t="s">
        <v>903</v>
      </c>
      <c r="E5" s="160" t="s">
        <v>1095</v>
      </c>
      <c r="F5" s="161" t="s">
        <v>57</v>
      </c>
      <c r="G5" s="163" t="s">
        <v>58</v>
      </c>
      <c r="H5" s="161" t="s">
        <v>52</v>
      </c>
      <c r="I5" s="161" t="s">
        <v>53</v>
      </c>
      <c r="J5" s="159" t="s">
        <v>448</v>
      </c>
      <c r="K5" s="159"/>
      <c r="L5" s="159"/>
      <c r="M5" s="164" t="s">
        <v>452</v>
      </c>
      <c r="N5" s="159" t="s">
        <v>54</v>
      </c>
      <c r="O5" s="159" t="s">
        <v>460</v>
      </c>
      <c r="P5" s="160" t="s">
        <v>55</v>
      </c>
      <c r="Q5" s="159" t="s">
        <v>461</v>
      </c>
      <c r="R5" s="160" t="s">
        <v>56</v>
      </c>
    </row>
    <row r="6" spans="2:18" ht="20.100000000000001" customHeight="1">
      <c r="B6" s="159"/>
      <c r="C6" s="159"/>
      <c r="D6" s="162"/>
      <c r="E6" s="160"/>
      <c r="F6" s="162"/>
      <c r="G6" s="163"/>
      <c r="H6" s="162"/>
      <c r="I6" s="162"/>
      <c r="J6" s="127" t="s">
        <v>449</v>
      </c>
      <c r="K6" s="128" t="s">
        <v>450</v>
      </c>
      <c r="L6" s="129" t="s">
        <v>451</v>
      </c>
      <c r="M6" s="164"/>
      <c r="N6" s="159"/>
      <c r="O6" s="159"/>
      <c r="P6" s="160"/>
      <c r="Q6" s="159"/>
      <c r="R6" s="160"/>
    </row>
    <row r="7" spans="2:18">
      <c r="B7" s="130"/>
      <c r="C7" s="130"/>
      <c r="D7" s="130"/>
      <c r="E7" s="127"/>
      <c r="F7" s="130"/>
      <c r="G7" s="131"/>
      <c r="H7" s="130"/>
      <c r="I7" s="130"/>
      <c r="J7" s="127"/>
      <c r="K7" s="132"/>
      <c r="L7" s="129"/>
      <c r="M7" s="129"/>
      <c r="N7" s="130"/>
      <c r="O7" s="130"/>
      <c r="P7" s="127"/>
      <c r="Q7" s="130"/>
      <c r="R7" s="127"/>
    </row>
    <row r="8" spans="2:18" ht="25.5">
      <c r="B8" s="165">
        <v>1</v>
      </c>
      <c r="C8" s="165" t="s">
        <v>728</v>
      </c>
      <c r="D8" s="115">
        <v>1</v>
      </c>
      <c r="E8" s="116" t="s">
        <v>101</v>
      </c>
      <c r="F8" s="115" t="s">
        <v>6</v>
      </c>
      <c r="G8" s="115" t="s">
        <v>729</v>
      </c>
      <c r="H8" s="115" t="s">
        <v>1</v>
      </c>
      <c r="I8" s="115" t="s">
        <v>2</v>
      </c>
      <c r="J8" s="116" t="s">
        <v>463</v>
      </c>
      <c r="K8" s="117">
        <v>24654</v>
      </c>
      <c r="L8" s="118">
        <v>1967</v>
      </c>
      <c r="M8" s="118">
        <f t="shared" ref="M8:M39" si="0">2019-L8</f>
        <v>52</v>
      </c>
      <c r="N8" s="115" t="s">
        <v>3</v>
      </c>
      <c r="O8" s="115" t="s">
        <v>464</v>
      </c>
      <c r="P8" s="116" t="s">
        <v>465</v>
      </c>
      <c r="Q8" s="115"/>
      <c r="R8" s="116" t="s">
        <v>727</v>
      </c>
    </row>
    <row r="9" spans="2:18" ht="25.5">
      <c r="B9" s="166"/>
      <c r="C9" s="166"/>
      <c r="D9" s="115">
        <v>2</v>
      </c>
      <c r="E9" s="116" t="s">
        <v>102</v>
      </c>
      <c r="F9" s="115" t="s">
        <v>8</v>
      </c>
      <c r="G9" s="115" t="s">
        <v>730</v>
      </c>
      <c r="H9" s="115" t="s">
        <v>7</v>
      </c>
      <c r="I9" s="115" t="s">
        <v>2</v>
      </c>
      <c r="J9" s="116" t="s">
        <v>558</v>
      </c>
      <c r="K9" s="117">
        <v>25750</v>
      </c>
      <c r="L9" s="118">
        <v>1970</v>
      </c>
      <c r="M9" s="118">
        <f t="shared" si="0"/>
        <v>49</v>
      </c>
      <c r="N9" s="115" t="s">
        <v>3</v>
      </c>
      <c r="O9" s="115" t="s">
        <v>464</v>
      </c>
      <c r="P9" s="116" t="s">
        <v>465</v>
      </c>
      <c r="Q9" s="115"/>
      <c r="R9" s="116" t="s">
        <v>727</v>
      </c>
    </row>
    <row r="10" spans="2:18" ht="25.5">
      <c r="B10" s="166"/>
      <c r="C10" s="166"/>
      <c r="D10" s="115">
        <v>3</v>
      </c>
      <c r="E10" s="116" t="s">
        <v>79</v>
      </c>
      <c r="F10" s="115" t="s">
        <v>11</v>
      </c>
      <c r="G10" s="115" t="s">
        <v>731</v>
      </c>
      <c r="H10" s="115" t="s">
        <v>7</v>
      </c>
      <c r="I10" s="115" t="s">
        <v>9</v>
      </c>
      <c r="J10" s="116" t="s">
        <v>463</v>
      </c>
      <c r="K10" s="117">
        <v>36044</v>
      </c>
      <c r="L10" s="118">
        <v>1998</v>
      </c>
      <c r="M10" s="118">
        <f t="shared" si="0"/>
        <v>21</v>
      </c>
      <c r="N10" s="115" t="s">
        <v>3</v>
      </c>
      <c r="O10" s="115" t="s">
        <v>464</v>
      </c>
      <c r="P10" s="116" t="s">
        <v>465</v>
      </c>
      <c r="Q10" s="115"/>
      <c r="R10" s="116" t="s">
        <v>727</v>
      </c>
    </row>
    <row r="11" spans="2:18" ht="25.5">
      <c r="B11" s="166"/>
      <c r="C11" s="166"/>
      <c r="D11" s="115">
        <v>4</v>
      </c>
      <c r="E11" s="116" t="s">
        <v>103</v>
      </c>
      <c r="F11" s="115" t="s">
        <v>11</v>
      </c>
      <c r="G11" s="115" t="s">
        <v>732</v>
      </c>
      <c r="H11" s="115" t="s">
        <v>1</v>
      </c>
      <c r="I11" s="115" t="s">
        <v>9</v>
      </c>
      <c r="J11" s="116" t="s">
        <v>463</v>
      </c>
      <c r="K11" s="117">
        <v>38096</v>
      </c>
      <c r="L11" s="118">
        <v>2004</v>
      </c>
      <c r="M11" s="118">
        <f t="shared" si="0"/>
        <v>15</v>
      </c>
      <c r="N11" s="115" t="s">
        <v>3</v>
      </c>
      <c r="O11" s="115" t="s">
        <v>464</v>
      </c>
      <c r="P11" s="116" t="s">
        <v>468</v>
      </c>
      <c r="Q11" s="115"/>
      <c r="R11" s="116" t="s">
        <v>469</v>
      </c>
    </row>
    <row r="12" spans="2:18" ht="25.5">
      <c r="B12" s="167"/>
      <c r="C12" s="167"/>
      <c r="D12" s="115">
        <v>5</v>
      </c>
      <c r="E12" s="116" t="s">
        <v>733</v>
      </c>
      <c r="F12" s="115" t="s">
        <v>11</v>
      </c>
      <c r="G12" s="115" t="s">
        <v>734</v>
      </c>
      <c r="H12" s="115" t="s">
        <v>7</v>
      </c>
      <c r="I12" s="115" t="s">
        <v>9</v>
      </c>
      <c r="J12" s="116" t="s">
        <v>463</v>
      </c>
      <c r="K12" s="117">
        <v>42214</v>
      </c>
      <c r="L12" s="118">
        <v>2015</v>
      </c>
      <c r="M12" s="118">
        <f t="shared" si="0"/>
        <v>4</v>
      </c>
      <c r="N12" s="115" t="s">
        <v>3</v>
      </c>
      <c r="O12" s="115" t="s">
        <v>464</v>
      </c>
      <c r="P12" s="116" t="s">
        <v>470</v>
      </c>
      <c r="Q12" s="115"/>
      <c r="R12" s="116" t="s">
        <v>471</v>
      </c>
    </row>
    <row r="13" spans="2:18">
      <c r="B13" s="168">
        <v>2</v>
      </c>
      <c r="C13" s="168"/>
      <c r="D13" s="115">
        <v>6</v>
      </c>
      <c r="E13" s="116" t="s">
        <v>104</v>
      </c>
      <c r="F13" s="115" t="s">
        <v>6</v>
      </c>
      <c r="G13" s="115" t="s">
        <v>105</v>
      </c>
      <c r="H13" s="115" t="s">
        <v>1</v>
      </c>
      <c r="I13" s="115" t="s">
        <v>2</v>
      </c>
      <c r="J13" s="116"/>
      <c r="K13" s="117">
        <v>27394</v>
      </c>
      <c r="L13" s="118">
        <f>YEAR(K13)</f>
        <v>1974</v>
      </c>
      <c r="M13" s="118">
        <f t="shared" si="0"/>
        <v>45</v>
      </c>
      <c r="N13" s="115" t="s">
        <v>3</v>
      </c>
      <c r="O13" s="115"/>
      <c r="P13" s="116" t="s">
        <v>4</v>
      </c>
      <c r="Q13" s="115"/>
      <c r="R13" s="116" t="s">
        <v>5</v>
      </c>
    </row>
    <row r="14" spans="2:18">
      <c r="B14" s="168"/>
      <c r="C14" s="168"/>
      <c r="D14" s="115">
        <v>7</v>
      </c>
      <c r="E14" s="116" t="s">
        <v>97</v>
      </c>
      <c r="F14" s="115" t="s">
        <v>8</v>
      </c>
      <c r="G14" s="115" t="s">
        <v>106</v>
      </c>
      <c r="H14" s="115" t="s">
        <v>7</v>
      </c>
      <c r="I14" s="115" t="s">
        <v>2</v>
      </c>
      <c r="J14" s="116"/>
      <c r="K14" s="117">
        <v>28125</v>
      </c>
      <c r="L14" s="118">
        <f t="shared" ref="L14:L23" si="1">YEAR(K14)</f>
        <v>1976</v>
      </c>
      <c r="M14" s="118">
        <f t="shared" si="0"/>
        <v>43</v>
      </c>
      <c r="N14" s="115" t="s">
        <v>3</v>
      </c>
      <c r="O14" s="115"/>
      <c r="P14" s="116" t="s">
        <v>4</v>
      </c>
      <c r="Q14" s="115"/>
      <c r="R14" s="116" t="s">
        <v>5</v>
      </c>
    </row>
    <row r="15" spans="2:18">
      <c r="B15" s="168"/>
      <c r="C15" s="168"/>
      <c r="D15" s="115">
        <v>8</v>
      </c>
      <c r="E15" s="119" t="s">
        <v>107</v>
      </c>
      <c r="F15" s="115" t="s">
        <v>11</v>
      </c>
      <c r="G15" s="115" t="s">
        <v>108</v>
      </c>
      <c r="H15" s="115" t="s">
        <v>7</v>
      </c>
      <c r="I15" s="115" t="s">
        <v>2</v>
      </c>
      <c r="J15" s="116"/>
      <c r="K15" s="117">
        <v>36109</v>
      </c>
      <c r="L15" s="118">
        <f t="shared" si="1"/>
        <v>1998</v>
      </c>
      <c r="M15" s="118">
        <f t="shared" si="0"/>
        <v>21</v>
      </c>
      <c r="N15" s="115" t="s">
        <v>3</v>
      </c>
      <c r="O15" s="115"/>
      <c r="P15" s="116" t="s">
        <v>14</v>
      </c>
      <c r="Q15" s="115"/>
      <c r="R15" s="116" t="s">
        <v>5</v>
      </c>
    </row>
    <row r="16" spans="2:18">
      <c r="B16" s="168"/>
      <c r="C16" s="168"/>
      <c r="D16" s="115">
        <v>9</v>
      </c>
      <c r="E16" s="116" t="s">
        <v>109</v>
      </c>
      <c r="F16" s="115" t="s">
        <v>11</v>
      </c>
      <c r="G16" s="115" t="s">
        <v>110</v>
      </c>
      <c r="H16" s="115" t="s">
        <v>1</v>
      </c>
      <c r="I16" s="115" t="s">
        <v>9</v>
      </c>
      <c r="J16" s="116"/>
      <c r="K16" s="117">
        <v>37320</v>
      </c>
      <c r="L16" s="118">
        <f t="shared" si="1"/>
        <v>2002</v>
      </c>
      <c r="M16" s="118">
        <f t="shared" si="0"/>
        <v>17</v>
      </c>
      <c r="N16" s="115" t="s">
        <v>3</v>
      </c>
      <c r="O16" s="115"/>
      <c r="P16" s="116" t="s">
        <v>4</v>
      </c>
      <c r="Q16" s="115"/>
      <c r="R16" s="116" t="s">
        <v>4</v>
      </c>
    </row>
    <row r="17" spans="2:18">
      <c r="B17" s="168">
        <v>3</v>
      </c>
      <c r="C17" s="168"/>
      <c r="D17" s="115">
        <v>10</v>
      </c>
      <c r="E17" s="116" t="s">
        <v>111</v>
      </c>
      <c r="F17" s="115" t="s">
        <v>6</v>
      </c>
      <c r="G17" s="115" t="s">
        <v>112</v>
      </c>
      <c r="H17" s="115" t="s">
        <v>1</v>
      </c>
      <c r="I17" s="115" t="s">
        <v>2</v>
      </c>
      <c r="J17" s="116"/>
      <c r="K17" s="117">
        <v>29787</v>
      </c>
      <c r="L17" s="118">
        <f t="shared" si="1"/>
        <v>1981</v>
      </c>
      <c r="M17" s="118">
        <f t="shared" si="0"/>
        <v>38</v>
      </c>
      <c r="N17" s="115" t="s">
        <v>3</v>
      </c>
      <c r="O17" s="115"/>
      <c r="P17" s="116" t="s">
        <v>18</v>
      </c>
      <c r="Q17" s="115"/>
      <c r="R17" s="116" t="s">
        <v>26</v>
      </c>
    </row>
    <row r="18" spans="2:18">
      <c r="B18" s="168"/>
      <c r="C18" s="168"/>
      <c r="D18" s="115">
        <v>11</v>
      </c>
      <c r="E18" s="116" t="s">
        <v>113</v>
      </c>
      <c r="F18" s="115" t="s">
        <v>8</v>
      </c>
      <c r="G18" s="115" t="s">
        <v>114</v>
      </c>
      <c r="H18" s="115" t="s">
        <v>7</v>
      </c>
      <c r="I18" s="115" t="s">
        <v>2</v>
      </c>
      <c r="J18" s="116"/>
      <c r="K18" s="117">
        <v>30446</v>
      </c>
      <c r="L18" s="118">
        <f t="shared" si="1"/>
        <v>1983</v>
      </c>
      <c r="M18" s="118">
        <f t="shared" si="0"/>
        <v>36</v>
      </c>
      <c r="N18" s="115" t="s">
        <v>3</v>
      </c>
      <c r="O18" s="115"/>
      <c r="P18" s="116" t="s">
        <v>18</v>
      </c>
      <c r="Q18" s="115"/>
      <c r="R18" s="116" t="s">
        <v>26</v>
      </c>
    </row>
    <row r="19" spans="2:18" ht="25.5">
      <c r="B19" s="168"/>
      <c r="C19" s="168"/>
      <c r="D19" s="115">
        <v>12</v>
      </c>
      <c r="E19" s="116" t="s">
        <v>115</v>
      </c>
      <c r="F19" s="115" t="s">
        <v>11</v>
      </c>
      <c r="G19" s="115" t="s">
        <v>116</v>
      </c>
      <c r="H19" s="115" t="s">
        <v>7</v>
      </c>
      <c r="I19" s="115" t="s">
        <v>9</v>
      </c>
      <c r="J19" s="116"/>
      <c r="K19" s="117">
        <v>38108</v>
      </c>
      <c r="L19" s="118">
        <f t="shared" si="1"/>
        <v>2004</v>
      </c>
      <c r="M19" s="118">
        <f t="shared" si="0"/>
        <v>15</v>
      </c>
      <c r="N19" s="115" t="s">
        <v>3</v>
      </c>
      <c r="O19" s="115"/>
      <c r="P19" s="116" t="s">
        <v>4</v>
      </c>
      <c r="Q19" s="115"/>
      <c r="R19" s="116" t="s">
        <v>4</v>
      </c>
    </row>
    <row r="20" spans="2:18" ht="25.5">
      <c r="B20" s="168"/>
      <c r="C20" s="168"/>
      <c r="D20" s="115">
        <v>13</v>
      </c>
      <c r="E20" s="116" t="s">
        <v>117</v>
      </c>
      <c r="F20" s="115" t="s">
        <v>11</v>
      </c>
      <c r="G20" s="115" t="s">
        <v>118</v>
      </c>
      <c r="H20" s="115" t="s">
        <v>7</v>
      </c>
      <c r="I20" s="115" t="s">
        <v>9</v>
      </c>
      <c r="J20" s="116"/>
      <c r="K20" s="117">
        <v>39925</v>
      </c>
      <c r="L20" s="118">
        <f t="shared" si="1"/>
        <v>2009</v>
      </c>
      <c r="M20" s="118">
        <f t="shared" si="0"/>
        <v>10</v>
      </c>
      <c r="N20" s="115" t="s">
        <v>3</v>
      </c>
      <c r="O20" s="115"/>
      <c r="P20" s="116" t="s">
        <v>4</v>
      </c>
      <c r="Q20" s="115"/>
      <c r="R20" s="116" t="s">
        <v>4</v>
      </c>
    </row>
    <row r="21" spans="2:18">
      <c r="B21" s="168">
        <v>4</v>
      </c>
      <c r="C21" s="168"/>
      <c r="D21" s="115">
        <v>14</v>
      </c>
      <c r="E21" s="116" t="s">
        <v>72</v>
      </c>
      <c r="F21" s="115" t="s">
        <v>6</v>
      </c>
      <c r="G21" s="115" t="s">
        <v>119</v>
      </c>
      <c r="H21" s="115" t="s">
        <v>1</v>
      </c>
      <c r="I21" s="115" t="s">
        <v>2</v>
      </c>
      <c r="J21" s="116"/>
      <c r="K21" s="117">
        <v>30316</v>
      </c>
      <c r="L21" s="118">
        <f t="shared" si="1"/>
        <v>1982</v>
      </c>
      <c r="M21" s="118">
        <f t="shared" si="0"/>
        <v>37</v>
      </c>
      <c r="N21" s="115" t="s">
        <v>3</v>
      </c>
      <c r="O21" s="115"/>
      <c r="P21" s="116" t="s">
        <v>18</v>
      </c>
      <c r="Q21" s="115"/>
      <c r="R21" s="116" t="s">
        <v>5</v>
      </c>
    </row>
    <row r="22" spans="2:18">
      <c r="B22" s="168"/>
      <c r="C22" s="168"/>
      <c r="D22" s="115">
        <v>15</v>
      </c>
      <c r="E22" s="116" t="s">
        <v>120</v>
      </c>
      <c r="F22" s="115" t="s">
        <v>8</v>
      </c>
      <c r="G22" s="115" t="s">
        <v>121</v>
      </c>
      <c r="H22" s="115" t="s">
        <v>7</v>
      </c>
      <c r="I22" s="115" t="s">
        <v>2</v>
      </c>
      <c r="J22" s="116"/>
      <c r="K22" s="117">
        <v>33238</v>
      </c>
      <c r="L22" s="118">
        <f t="shared" si="1"/>
        <v>1990</v>
      </c>
      <c r="M22" s="118">
        <f t="shared" si="0"/>
        <v>29</v>
      </c>
      <c r="N22" s="115" t="s">
        <v>3</v>
      </c>
      <c r="O22" s="115"/>
      <c r="P22" s="116" t="s">
        <v>18</v>
      </c>
      <c r="Q22" s="115"/>
      <c r="R22" s="116" t="s">
        <v>5</v>
      </c>
    </row>
    <row r="23" spans="2:18" ht="25.5">
      <c r="B23" s="168"/>
      <c r="C23" s="168"/>
      <c r="D23" s="115">
        <v>16</v>
      </c>
      <c r="E23" s="116" t="s">
        <v>122</v>
      </c>
      <c r="F23" s="115" t="s">
        <v>11</v>
      </c>
      <c r="G23" s="115" t="s">
        <v>123</v>
      </c>
      <c r="H23" s="115" t="s">
        <v>7</v>
      </c>
      <c r="I23" s="115" t="s">
        <v>9</v>
      </c>
      <c r="J23" s="116"/>
      <c r="K23" s="117">
        <v>39443</v>
      </c>
      <c r="L23" s="118">
        <f t="shared" si="1"/>
        <v>2007</v>
      </c>
      <c r="M23" s="118">
        <f t="shared" si="0"/>
        <v>12</v>
      </c>
      <c r="N23" s="115" t="s">
        <v>3</v>
      </c>
      <c r="O23" s="115"/>
      <c r="P23" s="116" t="s">
        <v>4</v>
      </c>
      <c r="Q23" s="115"/>
      <c r="R23" s="116" t="s">
        <v>4</v>
      </c>
    </row>
    <row r="24" spans="2:18" ht="25.5">
      <c r="B24" s="168">
        <v>5</v>
      </c>
      <c r="C24" s="168" t="s">
        <v>725</v>
      </c>
      <c r="D24" s="115">
        <v>17</v>
      </c>
      <c r="E24" s="116" t="s">
        <v>70</v>
      </c>
      <c r="F24" s="115" t="s">
        <v>6</v>
      </c>
      <c r="G24" s="115" t="s">
        <v>124</v>
      </c>
      <c r="H24" s="115" t="s">
        <v>1</v>
      </c>
      <c r="I24" s="115" t="s">
        <v>2</v>
      </c>
      <c r="J24" s="116" t="s">
        <v>463</v>
      </c>
      <c r="K24" s="117">
        <v>24786</v>
      </c>
      <c r="L24" s="118">
        <v>1967</v>
      </c>
      <c r="M24" s="118">
        <f t="shared" si="0"/>
        <v>52</v>
      </c>
      <c r="N24" s="115" t="s">
        <v>3</v>
      </c>
      <c r="O24" s="115" t="s">
        <v>464</v>
      </c>
      <c r="P24" s="116" t="s">
        <v>465</v>
      </c>
      <c r="Q24" s="115"/>
      <c r="R24" s="116" t="s">
        <v>507</v>
      </c>
    </row>
    <row r="25" spans="2:18" ht="25.5">
      <c r="B25" s="168"/>
      <c r="C25" s="168"/>
      <c r="D25" s="115">
        <v>18</v>
      </c>
      <c r="E25" s="116" t="s">
        <v>723</v>
      </c>
      <c r="F25" s="115" t="s">
        <v>8</v>
      </c>
      <c r="G25" s="115" t="s">
        <v>125</v>
      </c>
      <c r="H25" s="115" t="s">
        <v>7</v>
      </c>
      <c r="I25" s="115" t="s">
        <v>2</v>
      </c>
      <c r="J25" s="116" t="s">
        <v>463</v>
      </c>
      <c r="K25" s="117">
        <v>25003</v>
      </c>
      <c r="L25" s="118">
        <v>1968</v>
      </c>
      <c r="M25" s="118">
        <f t="shared" si="0"/>
        <v>51</v>
      </c>
      <c r="N25" s="115" t="s">
        <v>3</v>
      </c>
      <c r="O25" s="115" t="s">
        <v>464</v>
      </c>
      <c r="P25" s="116" t="s">
        <v>465</v>
      </c>
      <c r="Q25" s="115"/>
      <c r="R25" s="116" t="s">
        <v>727</v>
      </c>
    </row>
    <row r="26" spans="2:18" ht="25.5">
      <c r="B26" s="168"/>
      <c r="C26" s="168"/>
      <c r="D26" s="115">
        <v>19</v>
      </c>
      <c r="E26" s="116" t="s">
        <v>724</v>
      </c>
      <c r="F26" s="115" t="s">
        <v>11</v>
      </c>
      <c r="G26" s="115" t="s">
        <v>726</v>
      </c>
      <c r="H26" s="115" t="s">
        <v>1</v>
      </c>
      <c r="I26" s="115" t="s">
        <v>9</v>
      </c>
      <c r="J26" s="116" t="s">
        <v>463</v>
      </c>
      <c r="K26" s="117">
        <v>35930</v>
      </c>
      <c r="L26" s="118">
        <v>1998</v>
      </c>
      <c r="M26" s="118">
        <f t="shared" si="0"/>
        <v>21</v>
      </c>
      <c r="N26" s="115" t="s">
        <v>3</v>
      </c>
      <c r="O26" s="115" t="s">
        <v>464</v>
      </c>
      <c r="P26" s="116" t="s">
        <v>474</v>
      </c>
      <c r="Q26" s="115"/>
      <c r="R26" s="116" t="s">
        <v>471</v>
      </c>
    </row>
    <row r="27" spans="2:18">
      <c r="B27" s="168">
        <v>6</v>
      </c>
      <c r="C27" s="168" t="s">
        <v>502</v>
      </c>
      <c r="D27" s="115">
        <v>20</v>
      </c>
      <c r="E27" s="116" t="s">
        <v>501</v>
      </c>
      <c r="F27" s="115" t="s">
        <v>6</v>
      </c>
      <c r="G27" s="115" t="s">
        <v>503</v>
      </c>
      <c r="H27" s="115" t="s">
        <v>1</v>
      </c>
      <c r="I27" s="115" t="s">
        <v>2</v>
      </c>
      <c r="J27" s="116" t="s">
        <v>463</v>
      </c>
      <c r="K27" s="117">
        <v>29140</v>
      </c>
      <c r="L27" s="118">
        <v>1979</v>
      </c>
      <c r="M27" s="118">
        <f t="shared" si="0"/>
        <v>40</v>
      </c>
      <c r="N27" s="115" t="s">
        <v>3</v>
      </c>
      <c r="O27" s="115" t="s">
        <v>464</v>
      </c>
      <c r="P27" s="116" t="s">
        <v>474</v>
      </c>
      <c r="Q27" s="115"/>
      <c r="R27" s="116" t="s">
        <v>507</v>
      </c>
    </row>
    <row r="28" spans="2:18" ht="25.5">
      <c r="B28" s="168"/>
      <c r="C28" s="168"/>
      <c r="D28" s="115">
        <v>21</v>
      </c>
      <c r="E28" s="116" t="s">
        <v>76</v>
      </c>
      <c r="F28" s="115" t="s">
        <v>8</v>
      </c>
      <c r="G28" s="115" t="s">
        <v>504</v>
      </c>
      <c r="H28" s="115" t="s">
        <v>7</v>
      </c>
      <c r="I28" s="115" t="s">
        <v>2</v>
      </c>
      <c r="J28" s="116" t="s">
        <v>506</v>
      </c>
      <c r="K28" s="117">
        <v>29558</v>
      </c>
      <c r="L28" s="118">
        <v>1980</v>
      </c>
      <c r="M28" s="118">
        <f t="shared" si="0"/>
        <v>39</v>
      </c>
      <c r="N28" s="115" t="s">
        <v>3</v>
      </c>
      <c r="O28" s="115" t="s">
        <v>464</v>
      </c>
      <c r="P28" s="116" t="s">
        <v>465</v>
      </c>
      <c r="Q28" s="115"/>
      <c r="R28" s="116" t="s">
        <v>508</v>
      </c>
    </row>
    <row r="29" spans="2:18" ht="25.5">
      <c r="B29" s="168"/>
      <c r="C29" s="168"/>
      <c r="D29" s="115">
        <v>22</v>
      </c>
      <c r="E29" s="116" t="s">
        <v>126</v>
      </c>
      <c r="F29" s="115" t="s">
        <v>11</v>
      </c>
      <c r="G29" s="115" t="s">
        <v>505</v>
      </c>
      <c r="H29" s="115" t="s">
        <v>1</v>
      </c>
      <c r="I29" s="115" t="s">
        <v>9</v>
      </c>
      <c r="J29" s="116" t="s">
        <v>463</v>
      </c>
      <c r="K29" s="117">
        <v>38832</v>
      </c>
      <c r="L29" s="118">
        <v>2006</v>
      </c>
      <c r="M29" s="118">
        <f t="shared" si="0"/>
        <v>13</v>
      </c>
      <c r="N29" s="115" t="s">
        <v>3</v>
      </c>
      <c r="O29" s="115" t="s">
        <v>464</v>
      </c>
      <c r="P29" s="116" t="s">
        <v>468</v>
      </c>
      <c r="Q29" s="115"/>
      <c r="R29" s="116" t="s">
        <v>469</v>
      </c>
    </row>
    <row r="30" spans="2:18" ht="25.5">
      <c r="B30" s="168"/>
      <c r="C30" s="168"/>
      <c r="D30" s="115">
        <v>23</v>
      </c>
      <c r="E30" s="116" t="s">
        <v>567</v>
      </c>
      <c r="F30" s="115" t="s">
        <v>11</v>
      </c>
      <c r="G30" s="115" t="s">
        <v>568</v>
      </c>
      <c r="H30" s="115" t="s">
        <v>7</v>
      </c>
      <c r="I30" s="115" t="s">
        <v>9</v>
      </c>
      <c r="J30" s="116" t="s">
        <v>550</v>
      </c>
      <c r="K30" s="117">
        <v>43061</v>
      </c>
      <c r="L30" s="118">
        <v>2017</v>
      </c>
      <c r="M30" s="118">
        <f t="shared" si="0"/>
        <v>2</v>
      </c>
      <c r="N30" s="115" t="s">
        <v>3</v>
      </c>
      <c r="O30" s="115" t="s">
        <v>464</v>
      </c>
      <c r="P30" s="116" t="s">
        <v>470</v>
      </c>
      <c r="Q30" s="115"/>
      <c r="R30" s="116" t="s">
        <v>471</v>
      </c>
    </row>
    <row r="31" spans="2:18" ht="25.5">
      <c r="B31" s="165">
        <v>7</v>
      </c>
      <c r="C31" s="165" t="s">
        <v>914</v>
      </c>
      <c r="D31" s="115">
        <v>24</v>
      </c>
      <c r="E31" s="116" t="s">
        <v>127</v>
      </c>
      <c r="F31" s="115" t="s">
        <v>6</v>
      </c>
      <c r="G31" s="115" t="s">
        <v>128</v>
      </c>
      <c r="H31" s="115" t="s">
        <v>1</v>
      </c>
      <c r="I31" s="115" t="s">
        <v>2</v>
      </c>
      <c r="J31" s="116" t="s">
        <v>915</v>
      </c>
      <c r="K31" s="117">
        <v>27463</v>
      </c>
      <c r="L31" s="118">
        <v>1975</v>
      </c>
      <c r="M31" s="118">
        <f t="shared" si="0"/>
        <v>44</v>
      </c>
      <c r="N31" s="115" t="s">
        <v>3</v>
      </c>
      <c r="O31" s="115" t="s">
        <v>464</v>
      </c>
      <c r="P31" s="116" t="s">
        <v>465</v>
      </c>
      <c r="Q31" s="115"/>
      <c r="R31" s="116" t="s">
        <v>507</v>
      </c>
    </row>
    <row r="32" spans="2:18" ht="25.5">
      <c r="B32" s="166"/>
      <c r="C32" s="166"/>
      <c r="D32" s="115">
        <v>25</v>
      </c>
      <c r="E32" s="116" t="s">
        <v>129</v>
      </c>
      <c r="F32" s="115" t="s">
        <v>8</v>
      </c>
      <c r="G32" s="115" t="s">
        <v>130</v>
      </c>
      <c r="H32" s="115" t="s">
        <v>7</v>
      </c>
      <c r="I32" s="115" t="s">
        <v>2</v>
      </c>
      <c r="J32" s="116" t="s">
        <v>463</v>
      </c>
      <c r="K32" s="117">
        <v>28451</v>
      </c>
      <c r="L32" s="118">
        <v>1977</v>
      </c>
      <c r="M32" s="118">
        <f t="shared" si="0"/>
        <v>42</v>
      </c>
      <c r="N32" s="115" t="s">
        <v>3</v>
      </c>
      <c r="O32" s="115" t="s">
        <v>464</v>
      </c>
      <c r="P32" s="116" t="s">
        <v>465</v>
      </c>
      <c r="Q32" s="115"/>
      <c r="R32" s="116" t="s">
        <v>26</v>
      </c>
    </row>
    <row r="33" spans="2:18" ht="25.5">
      <c r="B33" s="166"/>
      <c r="C33" s="166"/>
      <c r="D33" s="115">
        <v>26</v>
      </c>
      <c r="E33" s="116" t="s">
        <v>133</v>
      </c>
      <c r="F33" s="115" t="s">
        <v>11</v>
      </c>
      <c r="G33" s="115" t="s">
        <v>134</v>
      </c>
      <c r="H33" s="115" t="s">
        <v>7</v>
      </c>
      <c r="I33" s="115" t="s">
        <v>9</v>
      </c>
      <c r="J33" s="116" t="s">
        <v>463</v>
      </c>
      <c r="K33" s="117">
        <v>37788</v>
      </c>
      <c r="L33" s="118">
        <v>2003</v>
      </c>
      <c r="M33" s="118">
        <f t="shared" si="0"/>
        <v>16</v>
      </c>
      <c r="N33" s="115" t="s">
        <v>3</v>
      </c>
      <c r="O33" s="115" t="s">
        <v>464</v>
      </c>
      <c r="P33" s="116" t="s">
        <v>468</v>
      </c>
      <c r="Q33" s="115"/>
      <c r="R33" s="116" t="s">
        <v>469</v>
      </c>
    </row>
    <row r="34" spans="2:18" ht="25.5">
      <c r="B34" s="167"/>
      <c r="C34" s="167"/>
      <c r="D34" s="115">
        <v>27</v>
      </c>
      <c r="E34" s="116" t="s">
        <v>135</v>
      </c>
      <c r="F34" s="115" t="s">
        <v>11</v>
      </c>
      <c r="G34" s="115" t="s">
        <v>136</v>
      </c>
      <c r="H34" s="115" t="s">
        <v>1</v>
      </c>
      <c r="I34" s="115" t="s">
        <v>9</v>
      </c>
      <c r="J34" s="116" t="s">
        <v>463</v>
      </c>
      <c r="K34" s="117">
        <v>41624</v>
      </c>
      <c r="L34" s="118">
        <v>2013</v>
      </c>
      <c r="M34" s="118">
        <f t="shared" si="0"/>
        <v>6</v>
      </c>
      <c r="N34" s="115" t="s">
        <v>3</v>
      </c>
      <c r="O34" s="115" t="s">
        <v>464</v>
      </c>
      <c r="P34" s="116" t="s">
        <v>470</v>
      </c>
      <c r="Q34" s="115"/>
      <c r="R34" s="116" t="s">
        <v>471</v>
      </c>
    </row>
    <row r="35" spans="2:18">
      <c r="B35" s="168">
        <v>8</v>
      </c>
      <c r="C35" s="168" t="s">
        <v>922</v>
      </c>
      <c r="D35" s="115">
        <v>28</v>
      </c>
      <c r="E35" s="116" t="s">
        <v>137</v>
      </c>
      <c r="F35" s="115" t="s">
        <v>6</v>
      </c>
      <c r="G35" s="115" t="s">
        <v>138</v>
      </c>
      <c r="H35" s="115" t="s">
        <v>1</v>
      </c>
      <c r="I35" s="115" t="s">
        <v>2</v>
      </c>
      <c r="J35" s="116" t="s">
        <v>463</v>
      </c>
      <c r="K35" s="117">
        <v>32873</v>
      </c>
      <c r="L35" s="118">
        <v>1989</v>
      </c>
      <c r="M35" s="118">
        <f t="shared" si="0"/>
        <v>30</v>
      </c>
      <c r="N35" s="115" t="s">
        <v>3</v>
      </c>
      <c r="O35" s="115" t="s">
        <v>464</v>
      </c>
      <c r="P35" s="116" t="s">
        <v>516</v>
      </c>
      <c r="Q35" s="115"/>
      <c r="R35" s="116" t="s">
        <v>507</v>
      </c>
    </row>
    <row r="36" spans="2:18" ht="25.5">
      <c r="B36" s="168"/>
      <c r="C36" s="168"/>
      <c r="D36" s="115">
        <v>29</v>
      </c>
      <c r="E36" s="116" t="s">
        <v>139</v>
      </c>
      <c r="F36" s="115" t="s">
        <v>8</v>
      </c>
      <c r="G36" s="115" t="s">
        <v>140</v>
      </c>
      <c r="H36" s="115" t="s">
        <v>7</v>
      </c>
      <c r="I36" s="115" t="s">
        <v>2</v>
      </c>
      <c r="J36" s="116" t="s">
        <v>558</v>
      </c>
      <c r="K36" s="117">
        <v>34151</v>
      </c>
      <c r="L36" s="118">
        <v>1993</v>
      </c>
      <c r="M36" s="118">
        <f t="shared" si="0"/>
        <v>26</v>
      </c>
      <c r="N36" s="115" t="s">
        <v>3</v>
      </c>
      <c r="O36" s="115" t="s">
        <v>464</v>
      </c>
      <c r="P36" s="116" t="s">
        <v>516</v>
      </c>
      <c r="Q36" s="115"/>
      <c r="R36" s="116" t="s">
        <v>644</v>
      </c>
    </row>
    <row r="37" spans="2:18" ht="25.5">
      <c r="B37" s="168"/>
      <c r="C37" s="168"/>
      <c r="D37" s="115">
        <v>30</v>
      </c>
      <c r="E37" s="116" t="s">
        <v>141</v>
      </c>
      <c r="F37" s="115" t="s">
        <v>11</v>
      </c>
      <c r="G37" s="115" t="s">
        <v>142</v>
      </c>
      <c r="H37" s="115" t="s">
        <v>1</v>
      </c>
      <c r="I37" s="115" t="s">
        <v>9</v>
      </c>
      <c r="J37" s="116" t="s">
        <v>550</v>
      </c>
      <c r="K37" s="117">
        <v>41907</v>
      </c>
      <c r="L37" s="118">
        <v>2014</v>
      </c>
      <c r="M37" s="118">
        <f t="shared" si="0"/>
        <v>5</v>
      </c>
      <c r="N37" s="115" t="s">
        <v>3</v>
      </c>
      <c r="O37" s="115" t="s">
        <v>464</v>
      </c>
      <c r="P37" s="116" t="s">
        <v>470</v>
      </c>
      <c r="Q37" s="115"/>
      <c r="R37" s="116" t="s">
        <v>471</v>
      </c>
    </row>
    <row r="38" spans="2:18">
      <c r="B38" s="115">
        <v>9</v>
      </c>
      <c r="C38" s="115"/>
      <c r="D38" s="115">
        <v>31</v>
      </c>
      <c r="E38" s="116" t="s">
        <v>143</v>
      </c>
      <c r="F38" s="115" t="s">
        <v>6</v>
      </c>
      <c r="G38" s="115" t="s">
        <v>144</v>
      </c>
      <c r="H38" s="115" t="s">
        <v>7</v>
      </c>
      <c r="I38" s="115" t="s">
        <v>16</v>
      </c>
      <c r="J38" s="116"/>
      <c r="K38" s="117">
        <v>22280</v>
      </c>
      <c r="L38" s="118">
        <v>1960</v>
      </c>
      <c r="M38" s="118">
        <f t="shared" si="0"/>
        <v>59</v>
      </c>
      <c r="N38" s="115" t="s">
        <v>3</v>
      </c>
      <c r="O38" s="115" t="s">
        <v>464</v>
      </c>
      <c r="P38" s="116" t="s">
        <v>4</v>
      </c>
      <c r="Q38" s="115"/>
      <c r="R38" s="116"/>
    </row>
    <row r="39" spans="2:18" ht="25.5">
      <c r="B39" s="165">
        <v>10</v>
      </c>
      <c r="C39" s="168" t="s">
        <v>490</v>
      </c>
      <c r="D39" s="115">
        <v>32</v>
      </c>
      <c r="E39" s="116" t="s">
        <v>145</v>
      </c>
      <c r="F39" s="115" t="s">
        <v>6</v>
      </c>
      <c r="G39" s="115" t="s">
        <v>146</v>
      </c>
      <c r="H39" s="115" t="s">
        <v>1</v>
      </c>
      <c r="I39" s="115" t="s">
        <v>2</v>
      </c>
      <c r="J39" s="116" t="s">
        <v>463</v>
      </c>
      <c r="K39" s="117">
        <v>28876</v>
      </c>
      <c r="L39" s="118">
        <v>1979</v>
      </c>
      <c r="M39" s="118">
        <f t="shared" si="0"/>
        <v>40</v>
      </c>
      <c r="N39" s="115" t="s">
        <v>3</v>
      </c>
      <c r="O39" s="115" t="s">
        <v>464</v>
      </c>
      <c r="P39" s="116" t="s">
        <v>474</v>
      </c>
      <c r="Q39" s="115"/>
      <c r="R39" s="116" t="s">
        <v>480</v>
      </c>
    </row>
    <row r="40" spans="2:18" ht="25.5">
      <c r="B40" s="166"/>
      <c r="C40" s="168"/>
      <c r="D40" s="115">
        <v>33</v>
      </c>
      <c r="E40" s="116" t="s">
        <v>147</v>
      </c>
      <c r="F40" s="115" t="s">
        <v>8</v>
      </c>
      <c r="G40" s="115" t="s">
        <v>148</v>
      </c>
      <c r="H40" s="115" t="s">
        <v>7</v>
      </c>
      <c r="I40" s="115" t="s">
        <v>2</v>
      </c>
      <c r="J40" s="116" t="s">
        <v>491</v>
      </c>
      <c r="K40" s="117">
        <v>31046</v>
      </c>
      <c r="L40" s="118">
        <v>1984</v>
      </c>
      <c r="M40" s="118">
        <f t="shared" ref="M40:M71" si="2">2019-L40</f>
        <v>35</v>
      </c>
      <c r="N40" s="115" t="s">
        <v>3</v>
      </c>
      <c r="O40" s="115" t="s">
        <v>464</v>
      </c>
      <c r="P40" s="116" t="s">
        <v>474</v>
      </c>
      <c r="Q40" s="115"/>
      <c r="R40" s="116" t="s">
        <v>480</v>
      </c>
    </row>
    <row r="41" spans="2:18" ht="25.5">
      <c r="B41" s="166"/>
      <c r="C41" s="168"/>
      <c r="D41" s="115">
        <v>34</v>
      </c>
      <c r="E41" s="116" t="s">
        <v>489</v>
      </c>
      <c r="F41" s="115" t="s">
        <v>11</v>
      </c>
      <c r="G41" s="115" t="s">
        <v>149</v>
      </c>
      <c r="H41" s="115" t="s">
        <v>7</v>
      </c>
      <c r="I41" s="115" t="s">
        <v>9</v>
      </c>
      <c r="J41" s="116" t="s">
        <v>463</v>
      </c>
      <c r="K41" s="117">
        <v>39108</v>
      </c>
      <c r="L41" s="118">
        <v>2007</v>
      </c>
      <c r="M41" s="118">
        <f t="shared" si="2"/>
        <v>12</v>
      </c>
      <c r="N41" s="115" t="s">
        <v>3</v>
      </c>
      <c r="O41" s="115" t="s">
        <v>464</v>
      </c>
      <c r="P41" s="116" t="s">
        <v>468</v>
      </c>
      <c r="Q41" s="115"/>
      <c r="R41" s="116" t="s">
        <v>469</v>
      </c>
    </row>
    <row r="42" spans="2:18" ht="25.5">
      <c r="B42" s="167"/>
      <c r="C42" s="168"/>
      <c r="D42" s="115">
        <v>35</v>
      </c>
      <c r="E42" s="116" t="s">
        <v>150</v>
      </c>
      <c r="F42" s="115" t="s">
        <v>11</v>
      </c>
      <c r="G42" s="115" t="s">
        <v>151</v>
      </c>
      <c r="H42" s="115" t="s">
        <v>1</v>
      </c>
      <c r="I42" s="115" t="s">
        <v>9</v>
      </c>
      <c r="J42" s="116" t="s">
        <v>463</v>
      </c>
      <c r="K42" s="117">
        <v>41765</v>
      </c>
      <c r="L42" s="118">
        <v>2014</v>
      </c>
      <c r="M42" s="118">
        <f t="shared" si="2"/>
        <v>5</v>
      </c>
      <c r="N42" s="115" t="s">
        <v>3</v>
      </c>
      <c r="O42" s="115" t="s">
        <v>464</v>
      </c>
      <c r="P42" s="116" t="s">
        <v>470</v>
      </c>
      <c r="Q42" s="115"/>
      <c r="R42" s="116" t="s">
        <v>471</v>
      </c>
    </row>
    <row r="43" spans="2:18" ht="38.25">
      <c r="B43" s="168">
        <v>11</v>
      </c>
      <c r="C43" s="168" t="s">
        <v>476</v>
      </c>
      <c r="D43" s="115">
        <v>36</v>
      </c>
      <c r="E43" s="116" t="s">
        <v>152</v>
      </c>
      <c r="F43" s="115" t="s">
        <v>6</v>
      </c>
      <c r="G43" s="115" t="s">
        <v>153</v>
      </c>
      <c r="H43" s="115" t="s">
        <v>7</v>
      </c>
      <c r="I43" s="115" t="s">
        <v>477</v>
      </c>
      <c r="J43" s="116" t="s">
        <v>478</v>
      </c>
      <c r="K43" s="117">
        <v>21916</v>
      </c>
      <c r="L43" s="118">
        <v>1960</v>
      </c>
      <c r="M43" s="118">
        <f t="shared" si="2"/>
        <v>59</v>
      </c>
      <c r="N43" s="115" t="s">
        <v>3</v>
      </c>
      <c r="O43" s="115" t="s">
        <v>464</v>
      </c>
      <c r="P43" s="116" t="s">
        <v>470</v>
      </c>
      <c r="Q43" s="115"/>
      <c r="R43" s="116" t="s">
        <v>479</v>
      </c>
    </row>
    <row r="44" spans="2:18" ht="25.5">
      <c r="B44" s="168"/>
      <c r="C44" s="168"/>
      <c r="D44" s="115">
        <v>37</v>
      </c>
      <c r="E44" s="116" t="s">
        <v>46</v>
      </c>
      <c r="F44" s="115" t="s">
        <v>11</v>
      </c>
      <c r="G44" s="115" t="s">
        <v>154</v>
      </c>
      <c r="H44" s="115" t="s">
        <v>1</v>
      </c>
      <c r="I44" s="115" t="s">
        <v>9</v>
      </c>
      <c r="J44" s="116" t="s">
        <v>463</v>
      </c>
      <c r="K44" s="117">
        <v>30681</v>
      </c>
      <c r="L44" s="118">
        <v>1983</v>
      </c>
      <c r="M44" s="118">
        <f t="shared" si="2"/>
        <v>36</v>
      </c>
      <c r="N44" s="115" t="s">
        <v>3</v>
      </c>
      <c r="O44" s="115" t="s">
        <v>464</v>
      </c>
      <c r="P44" s="116" t="s">
        <v>465</v>
      </c>
      <c r="Q44" s="115"/>
      <c r="R44" s="116" t="s">
        <v>466</v>
      </c>
    </row>
    <row r="45" spans="2:18" ht="25.5">
      <c r="B45" s="168"/>
      <c r="C45" s="168"/>
      <c r="D45" s="115">
        <v>38</v>
      </c>
      <c r="E45" s="116" t="s">
        <v>155</v>
      </c>
      <c r="F45" s="115" t="s">
        <v>11</v>
      </c>
      <c r="G45" s="115" t="s">
        <v>156</v>
      </c>
      <c r="H45" s="115" t="s">
        <v>1</v>
      </c>
      <c r="I45" s="115" t="s">
        <v>9</v>
      </c>
      <c r="J45" s="116" t="s">
        <v>463</v>
      </c>
      <c r="K45" s="117">
        <v>33423</v>
      </c>
      <c r="L45" s="118">
        <v>1991</v>
      </c>
      <c r="M45" s="118">
        <f t="shared" si="2"/>
        <v>28</v>
      </c>
      <c r="N45" s="115" t="s">
        <v>3</v>
      </c>
      <c r="O45" s="115" t="s">
        <v>464</v>
      </c>
      <c r="P45" s="116" t="s">
        <v>465</v>
      </c>
      <c r="Q45" s="115"/>
      <c r="R45" s="116" t="s">
        <v>466</v>
      </c>
    </row>
    <row r="46" spans="2:18" ht="25.5">
      <c r="B46" s="168"/>
      <c r="C46" s="168"/>
      <c r="D46" s="115">
        <v>39</v>
      </c>
      <c r="E46" s="116" t="s">
        <v>66</v>
      </c>
      <c r="F46" s="115" t="s">
        <v>11</v>
      </c>
      <c r="G46" s="115" t="s">
        <v>157</v>
      </c>
      <c r="H46" s="115" t="s">
        <v>7</v>
      </c>
      <c r="I46" s="115" t="s">
        <v>9</v>
      </c>
      <c r="J46" s="116" t="s">
        <v>463</v>
      </c>
      <c r="K46" s="117">
        <v>34683</v>
      </c>
      <c r="L46" s="118">
        <v>1994</v>
      </c>
      <c r="M46" s="118">
        <f t="shared" si="2"/>
        <v>25</v>
      </c>
      <c r="N46" s="115" t="s">
        <v>3</v>
      </c>
      <c r="O46" s="115" t="s">
        <v>464</v>
      </c>
      <c r="P46" s="116" t="s">
        <v>468</v>
      </c>
      <c r="Q46" s="115"/>
      <c r="R46" s="116" t="s">
        <v>480</v>
      </c>
    </row>
    <row r="47" spans="2:18" ht="25.5">
      <c r="B47" s="168"/>
      <c r="C47" s="168"/>
      <c r="D47" s="115">
        <v>40</v>
      </c>
      <c r="E47" s="116" t="s">
        <v>158</v>
      </c>
      <c r="F47" s="115" t="s">
        <v>11</v>
      </c>
      <c r="G47" s="115" t="s">
        <v>159</v>
      </c>
      <c r="H47" s="115" t="s">
        <v>7</v>
      </c>
      <c r="I47" s="115" t="s">
        <v>9</v>
      </c>
      <c r="J47" s="116" t="s">
        <v>463</v>
      </c>
      <c r="K47" s="117">
        <v>35621</v>
      </c>
      <c r="L47" s="118">
        <v>1997</v>
      </c>
      <c r="M47" s="118">
        <f t="shared" si="2"/>
        <v>22</v>
      </c>
      <c r="N47" s="115" t="s">
        <v>3</v>
      </c>
      <c r="O47" s="115" t="s">
        <v>464</v>
      </c>
      <c r="P47" s="116" t="s">
        <v>465</v>
      </c>
      <c r="Q47" s="115"/>
      <c r="R47" s="116" t="s">
        <v>469</v>
      </c>
    </row>
    <row r="48" spans="2:18" ht="25.5">
      <c r="B48" s="168">
        <v>12</v>
      </c>
      <c r="C48" s="168" t="s">
        <v>919</v>
      </c>
      <c r="D48" s="115">
        <v>41</v>
      </c>
      <c r="E48" s="116" t="s">
        <v>160</v>
      </c>
      <c r="F48" s="115" t="s">
        <v>6</v>
      </c>
      <c r="G48" s="115" t="s">
        <v>161</v>
      </c>
      <c r="H48" s="115" t="s">
        <v>1</v>
      </c>
      <c r="I48" s="115" t="s">
        <v>2</v>
      </c>
      <c r="J48" s="116" t="s">
        <v>463</v>
      </c>
      <c r="K48" s="117">
        <v>27581</v>
      </c>
      <c r="L48" s="118">
        <v>1975</v>
      </c>
      <c r="M48" s="118">
        <f t="shared" si="2"/>
        <v>44</v>
      </c>
      <c r="N48" s="115" t="s">
        <v>3</v>
      </c>
      <c r="O48" s="115" t="s">
        <v>464</v>
      </c>
      <c r="P48" s="116" t="s">
        <v>465</v>
      </c>
      <c r="Q48" s="115"/>
      <c r="R48" s="116" t="s">
        <v>480</v>
      </c>
    </row>
    <row r="49" spans="2:18" ht="25.5">
      <c r="B49" s="168"/>
      <c r="C49" s="168"/>
      <c r="D49" s="115">
        <v>42</v>
      </c>
      <c r="E49" s="116" t="s">
        <v>162</v>
      </c>
      <c r="F49" s="115" t="s">
        <v>8</v>
      </c>
      <c r="G49" s="115" t="s">
        <v>543</v>
      </c>
      <c r="H49" s="115" t="s">
        <v>7</v>
      </c>
      <c r="I49" s="115" t="s">
        <v>2</v>
      </c>
      <c r="J49" s="116" t="s">
        <v>463</v>
      </c>
      <c r="K49" s="117">
        <v>30300</v>
      </c>
      <c r="L49" s="118">
        <v>1982</v>
      </c>
      <c r="M49" s="118">
        <f t="shared" si="2"/>
        <v>37</v>
      </c>
      <c r="N49" s="115" t="s">
        <v>3</v>
      </c>
      <c r="O49" s="115" t="s">
        <v>464</v>
      </c>
      <c r="P49" s="116" t="s">
        <v>465</v>
      </c>
      <c r="Q49" s="115"/>
      <c r="R49" s="116" t="s">
        <v>480</v>
      </c>
    </row>
    <row r="50" spans="2:18" ht="25.5">
      <c r="B50" s="168"/>
      <c r="C50" s="168"/>
      <c r="D50" s="115">
        <v>43</v>
      </c>
      <c r="E50" s="116" t="s">
        <v>163</v>
      </c>
      <c r="F50" s="115" t="s">
        <v>11</v>
      </c>
      <c r="G50" s="115" t="s">
        <v>164</v>
      </c>
      <c r="H50" s="115" t="s">
        <v>1</v>
      </c>
      <c r="I50" s="115" t="s">
        <v>9</v>
      </c>
      <c r="J50" s="116" t="s">
        <v>463</v>
      </c>
      <c r="K50" s="117">
        <v>37480</v>
      </c>
      <c r="L50" s="118">
        <v>2002</v>
      </c>
      <c r="M50" s="118">
        <f t="shared" si="2"/>
        <v>17</v>
      </c>
      <c r="N50" s="115" t="s">
        <v>3</v>
      </c>
      <c r="O50" s="115" t="s">
        <v>464</v>
      </c>
      <c r="P50" s="116" t="s">
        <v>474</v>
      </c>
      <c r="Q50" s="115"/>
      <c r="R50" s="116" t="s">
        <v>469</v>
      </c>
    </row>
    <row r="51" spans="2:18" ht="25.5">
      <c r="B51" s="168"/>
      <c r="C51" s="168"/>
      <c r="D51" s="115">
        <v>44</v>
      </c>
      <c r="E51" s="116" t="s">
        <v>542</v>
      </c>
      <c r="F51" s="115" t="s">
        <v>11</v>
      </c>
      <c r="G51" s="115" t="s">
        <v>165</v>
      </c>
      <c r="H51" s="115" t="s">
        <v>1</v>
      </c>
      <c r="I51" s="115" t="s">
        <v>9</v>
      </c>
      <c r="J51" s="116" t="s">
        <v>463</v>
      </c>
      <c r="K51" s="117">
        <v>40089</v>
      </c>
      <c r="L51" s="118">
        <v>2009</v>
      </c>
      <c r="M51" s="118">
        <f t="shared" si="2"/>
        <v>10</v>
      </c>
      <c r="N51" s="115" t="s">
        <v>3</v>
      </c>
      <c r="O51" s="115" t="s">
        <v>464</v>
      </c>
      <c r="P51" s="116" t="s">
        <v>468</v>
      </c>
      <c r="Q51" s="115"/>
      <c r="R51" s="116" t="s">
        <v>469</v>
      </c>
    </row>
    <row r="52" spans="2:18" ht="25.5">
      <c r="B52" s="168">
        <v>13</v>
      </c>
      <c r="C52" s="168" t="s">
        <v>528</v>
      </c>
      <c r="D52" s="115">
        <v>45</v>
      </c>
      <c r="E52" s="116" t="s">
        <v>86</v>
      </c>
      <c r="F52" s="115" t="s">
        <v>6</v>
      </c>
      <c r="G52" s="115" t="s">
        <v>529</v>
      </c>
      <c r="H52" s="115" t="s">
        <v>1</v>
      </c>
      <c r="I52" s="115" t="s">
        <v>2</v>
      </c>
      <c r="J52" s="116" t="s">
        <v>463</v>
      </c>
      <c r="K52" s="117">
        <v>29586</v>
      </c>
      <c r="L52" s="118">
        <v>1980</v>
      </c>
      <c r="M52" s="118">
        <f t="shared" si="2"/>
        <v>39</v>
      </c>
      <c r="N52" s="115" t="s">
        <v>3</v>
      </c>
      <c r="O52" s="115" t="s">
        <v>464</v>
      </c>
      <c r="P52" s="116" t="s">
        <v>470</v>
      </c>
      <c r="Q52" s="115"/>
      <c r="R52" s="116" t="s">
        <v>480</v>
      </c>
    </row>
    <row r="53" spans="2:18" ht="25.5">
      <c r="B53" s="168"/>
      <c r="C53" s="168"/>
      <c r="D53" s="115">
        <v>46</v>
      </c>
      <c r="E53" s="116" t="s">
        <v>166</v>
      </c>
      <c r="F53" s="115" t="s">
        <v>8</v>
      </c>
      <c r="G53" s="115" t="s">
        <v>530</v>
      </c>
      <c r="H53" s="115" t="s">
        <v>7</v>
      </c>
      <c r="I53" s="115" t="s">
        <v>2</v>
      </c>
      <c r="J53" s="116" t="s">
        <v>532</v>
      </c>
      <c r="K53" s="117">
        <v>30681</v>
      </c>
      <c r="L53" s="118">
        <v>1983</v>
      </c>
      <c r="M53" s="118">
        <f t="shared" si="2"/>
        <v>36</v>
      </c>
      <c r="N53" s="115" t="s">
        <v>3</v>
      </c>
      <c r="O53" s="115" t="s">
        <v>464</v>
      </c>
      <c r="P53" s="116" t="s">
        <v>470</v>
      </c>
      <c r="Q53" s="115"/>
      <c r="R53" s="116" t="s">
        <v>480</v>
      </c>
    </row>
    <row r="54" spans="2:18" ht="25.5">
      <c r="B54" s="168"/>
      <c r="C54" s="168"/>
      <c r="D54" s="115">
        <v>47</v>
      </c>
      <c r="E54" s="116" t="s">
        <v>68</v>
      </c>
      <c r="F54" s="115" t="s">
        <v>11</v>
      </c>
      <c r="G54" s="115" t="s">
        <v>531</v>
      </c>
      <c r="H54" s="115" t="s">
        <v>1</v>
      </c>
      <c r="I54" s="115" t="s">
        <v>9</v>
      </c>
      <c r="J54" s="116" t="s">
        <v>463</v>
      </c>
      <c r="K54" s="117">
        <v>34962</v>
      </c>
      <c r="L54" s="118">
        <v>1995</v>
      </c>
      <c r="M54" s="118">
        <f t="shared" si="2"/>
        <v>24</v>
      </c>
      <c r="N54" s="115" t="s">
        <v>3</v>
      </c>
      <c r="O54" s="115" t="s">
        <v>464</v>
      </c>
      <c r="P54" s="116" t="s">
        <v>474</v>
      </c>
      <c r="Q54" s="115"/>
      <c r="R54" s="116" t="s">
        <v>480</v>
      </c>
    </row>
    <row r="55" spans="2:18" ht="25.5">
      <c r="B55" s="168"/>
      <c r="C55" s="168"/>
      <c r="D55" s="115">
        <v>48</v>
      </c>
      <c r="E55" s="116" t="s">
        <v>167</v>
      </c>
      <c r="F55" s="115" t="s">
        <v>11</v>
      </c>
      <c r="G55" s="115" t="s">
        <v>168</v>
      </c>
      <c r="H55" s="115" t="s">
        <v>1</v>
      </c>
      <c r="I55" s="115" t="s">
        <v>9</v>
      </c>
      <c r="J55" s="116" t="s">
        <v>463</v>
      </c>
      <c r="K55" s="117">
        <v>38447</v>
      </c>
      <c r="L55" s="118">
        <v>2005</v>
      </c>
      <c r="M55" s="118">
        <f t="shared" si="2"/>
        <v>14</v>
      </c>
      <c r="N55" s="115" t="s">
        <v>3</v>
      </c>
      <c r="O55" s="115" t="s">
        <v>464</v>
      </c>
      <c r="P55" s="116" t="s">
        <v>468</v>
      </c>
      <c r="Q55" s="115"/>
      <c r="R55" s="116" t="s">
        <v>469</v>
      </c>
    </row>
    <row r="56" spans="2:18" ht="25.5">
      <c r="B56" s="165">
        <v>14</v>
      </c>
      <c r="C56" s="165" t="s">
        <v>645</v>
      </c>
      <c r="D56" s="115">
        <v>49</v>
      </c>
      <c r="E56" s="116" t="s">
        <v>169</v>
      </c>
      <c r="F56" s="115" t="s">
        <v>6</v>
      </c>
      <c r="G56" s="115" t="s">
        <v>170</v>
      </c>
      <c r="H56" s="115" t="s">
        <v>1</v>
      </c>
      <c r="I56" s="115" t="s">
        <v>2</v>
      </c>
      <c r="J56" s="116" t="s">
        <v>463</v>
      </c>
      <c r="K56" s="117">
        <v>27394</v>
      </c>
      <c r="L56" s="118">
        <v>1974</v>
      </c>
      <c r="M56" s="118">
        <f t="shared" si="2"/>
        <v>45</v>
      </c>
      <c r="N56" s="115" t="s">
        <v>3</v>
      </c>
      <c r="O56" s="115" t="s">
        <v>464</v>
      </c>
      <c r="P56" s="116" t="s">
        <v>465</v>
      </c>
      <c r="Q56" s="115"/>
      <c r="R56" s="116" t="s">
        <v>492</v>
      </c>
    </row>
    <row r="57" spans="2:18" ht="38.25">
      <c r="B57" s="166"/>
      <c r="C57" s="166"/>
      <c r="D57" s="115">
        <v>50</v>
      </c>
      <c r="E57" s="116" t="s">
        <v>61</v>
      </c>
      <c r="F57" s="115" t="s">
        <v>8</v>
      </c>
      <c r="G57" s="115" t="s">
        <v>171</v>
      </c>
      <c r="H57" s="115" t="s">
        <v>7</v>
      </c>
      <c r="I57" s="115" t="s">
        <v>2</v>
      </c>
      <c r="J57" s="116" t="s">
        <v>463</v>
      </c>
      <c r="K57" s="117">
        <v>28125</v>
      </c>
      <c r="L57" s="118">
        <v>1976</v>
      </c>
      <c r="M57" s="118">
        <f t="shared" si="2"/>
        <v>43</v>
      </c>
      <c r="N57" s="115" t="s">
        <v>3</v>
      </c>
      <c r="O57" s="115" t="s">
        <v>464</v>
      </c>
      <c r="P57" s="116" t="s">
        <v>465</v>
      </c>
      <c r="Q57" s="115"/>
      <c r="R57" s="116" t="s">
        <v>479</v>
      </c>
    </row>
    <row r="58" spans="2:18" ht="25.5">
      <c r="B58" s="167"/>
      <c r="C58" s="167"/>
      <c r="D58" s="115">
        <v>51</v>
      </c>
      <c r="E58" s="116" t="s">
        <v>174</v>
      </c>
      <c r="F58" s="115" t="s">
        <v>11</v>
      </c>
      <c r="G58" s="115" t="s">
        <v>175</v>
      </c>
      <c r="H58" s="115" t="s">
        <v>7</v>
      </c>
      <c r="I58" s="115" t="s">
        <v>9</v>
      </c>
      <c r="J58" s="116" t="s">
        <v>463</v>
      </c>
      <c r="K58" s="117">
        <v>38027</v>
      </c>
      <c r="L58" s="118">
        <v>2004</v>
      </c>
      <c r="M58" s="118">
        <f t="shared" si="2"/>
        <v>15</v>
      </c>
      <c r="N58" s="115" t="s">
        <v>3</v>
      </c>
      <c r="O58" s="115" t="s">
        <v>464</v>
      </c>
      <c r="P58" s="116" t="s">
        <v>468</v>
      </c>
      <c r="Q58" s="115"/>
      <c r="R58" s="116" t="s">
        <v>471</v>
      </c>
    </row>
    <row r="59" spans="2:18" ht="25.5">
      <c r="B59" s="168">
        <v>15</v>
      </c>
      <c r="C59" s="168" t="s">
        <v>512</v>
      </c>
      <c r="D59" s="115">
        <v>52</v>
      </c>
      <c r="E59" s="116" t="s">
        <v>60</v>
      </c>
      <c r="F59" s="115" t="s">
        <v>6</v>
      </c>
      <c r="G59" s="115" t="s">
        <v>176</v>
      </c>
      <c r="H59" s="115" t="s">
        <v>1</v>
      </c>
      <c r="I59" s="115" t="s">
        <v>2</v>
      </c>
      <c r="J59" s="116" t="s">
        <v>463</v>
      </c>
      <c r="K59" s="117">
        <v>27576</v>
      </c>
      <c r="L59" s="118">
        <v>1975</v>
      </c>
      <c r="M59" s="118">
        <f t="shared" si="2"/>
        <v>44</v>
      </c>
      <c r="N59" s="115" t="s">
        <v>3</v>
      </c>
      <c r="O59" s="115" t="s">
        <v>464</v>
      </c>
      <c r="P59" s="116" t="s">
        <v>465</v>
      </c>
      <c r="Q59" s="115"/>
      <c r="R59" s="116" t="s">
        <v>466</v>
      </c>
    </row>
    <row r="60" spans="2:18" ht="38.25">
      <c r="B60" s="168"/>
      <c r="C60" s="168"/>
      <c r="D60" s="115">
        <v>53</v>
      </c>
      <c r="E60" s="116" t="s">
        <v>45</v>
      </c>
      <c r="F60" s="115" t="s">
        <v>8</v>
      </c>
      <c r="G60" s="115" t="s">
        <v>177</v>
      </c>
      <c r="H60" s="115" t="s">
        <v>7</v>
      </c>
      <c r="I60" s="115" t="s">
        <v>2</v>
      </c>
      <c r="J60" s="116" t="s">
        <v>463</v>
      </c>
      <c r="K60" s="117">
        <v>28551</v>
      </c>
      <c r="L60" s="118">
        <v>1978</v>
      </c>
      <c r="M60" s="118">
        <f t="shared" si="2"/>
        <v>41</v>
      </c>
      <c r="N60" s="115" t="s">
        <v>3</v>
      </c>
      <c r="O60" s="115" t="s">
        <v>464</v>
      </c>
      <c r="P60" s="116" t="s">
        <v>465</v>
      </c>
      <c r="Q60" s="115"/>
      <c r="R60" s="116" t="s">
        <v>467</v>
      </c>
    </row>
    <row r="61" spans="2:18" ht="25.5">
      <c r="B61" s="168"/>
      <c r="C61" s="168"/>
      <c r="D61" s="115">
        <v>54</v>
      </c>
      <c r="E61" s="116" t="s">
        <v>178</v>
      </c>
      <c r="F61" s="115" t="s">
        <v>11</v>
      </c>
      <c r="G61" s="115" t="s">
        <v>179</v>
      </c>
      <c r="H61" s="115" t="s">
        <v>7</v>
      </c>
      <c r="I61" s="115" t="s">
        <v>9</v>
      </c>
      <c r="J61" s="116" t="s">
        <v>463</v>
      </c>
      <c r="K61" s="117">
        <v>38328</v>
      </c>
      <c r="L61" s="118">
        <v>2004</v>
      </c>
      <c r="M61" s="118">
        <f t="shared" si="2"/>
        <v>15</v>
      </c>
      <c r="N61" s="115" t="s">
        <v>3</v>
      </c>
      <c r="O61" s="115" t="s">
        <v>464</v>
      </c>
      <c r="P61" s="116" t="s">
        <v>468</v>
      </c>
      <c r="Q61" s="115"/>
      <c r="R61" s="116" t="s">
        <v>469</v>
      </c>
    </row>
    <row r="62" spans="2:18" ht="25.5">
      <c r="B62" s="168"/>
      <c r="C62" s="168"/>
      <c r="D62" s="115">
        <v>55</v>
      </c>
      <c r="E62" s="116" t="s">
        <v>182</v>
      </c>
      <c r="F62" s="115" t="s">
        <v>11</v>
      </c>
      <c r="G62" s="115" t="s">
        <v>183</v>
      </c>
      <c r="H62" s="115" t="s">
        <v>7</v>
      </c>
      <c r="I62" s="115" t="s">
        <v>9</v>
      </c>
      <c r="J62" s="116" t="s">
        <v>463</v>
      </c>
      <c r="K62" s="117">
        <v>40251</v>
      </c>
      <c r="L62" s="118">
        <v>2010</v>
      </c>
      <c r="M62" s="118">
        <f t="shared" si="2"/>
        <v>9</v>
      </c>
      <c r="N62" s="115" t="s">
        <v>3</v>
      </c>
      <c r="O62" s="115" t="s">
        <v>464</v>
      </c>
      <c r="P62" s="116" t="s">
        <v>470</v>
      </c>
      <c r="Q62" s="115"/>
      <c r="R62" s="116" t="s">
        <v>471</v>
      </c>
    </row>
    <row r="63" spans="2:18" ht="25.5">
      <c r="B63" s="168"/>
      <c r="C63" s="168"/>
      <c r="D63" s="115">
        <v>56</v>
      </c>
      <c r="E63" s="116" t="s">
        <v>180</v>
      </c>
      <c r="F63" s="115" t="s">
        <v>11</v>
      </c>
      <c r="G63" s="115" t="s">
        <v>181</v>
      </c>
      <c r="H63" s="115" t="s">
        <v>7</v>
      </c>
      <c r="I63" s="115" t="s">
        <v>9</v>
      </c>
      <c r="J63" s="116" t="s">
        <v>463</v>
      </c>
      <c r="K63" s="117">
        <v>40916</v>
      </c>
      <c r="L63" s="118">
        <v>2012</v>
      </c>
      <c r="M63" s="118">
        <f t="shared" si="2"/>
        <v>7</v>
      </c>
      <c r="N63" s="115" t="s">
        <v>3</v>
      </c>
      <c r="O63" s="115" t="s">
        <v>464</v>
      </c>
      <c r="P63" s="116" t="s">
        <v>470</v>
      </c>
      <c r="Q63" s="115"/>
      <c r="R63" s="116" t="s">
        <v>471</v>
      </c>
    </row>
    <row r="64" spans="2:18" ht="25.5">
      <c r="B64" s="168">
        <v>16</v>
      </c>
      <c r="C64" s="168" t="s">
        <v>533</v>
      </c>
      <c r="D64" s="115">
        <v>57</v>
      </c>
      <c r="E64" s="116" t="s">
        <v>187</v>
      </c>
      <c r="F64" s="115" t="s">
        <v>6</v>
      </c>
      <c r="G64" s="115" t="s">
        <v>188</v>
      </c>
      <c r="H64" s="115" t="s">
        <v>1</v>
      </c>
      <c r="I64" s="115" t="s">
        <v>2</v>
      </c>
      <c r="J64" s="116" t="s">
        <v>463</v>
      </c>
      <c r="K64" s="117">
        <v>26298</v>
      </c>
      <c r="L64" s="118">
        <v>1971</v>
      </c>
      <c r="M64" s="118">
        <f t="shared" si="2"/>
        <v>48</v>
      </c>
      <c r="N64" s="115" t="s">
        <v>3</v>
      </c>
      <c r="O64" s="115" t="s">
        <v>464</v>
      </c>
      <c r="P64" s="116" t="s">
        <v>465</v>
      </c>
      <c r="Q64" s="115"/>
      <c r="R64" s="116" t="s">
        <v>492</v>
      </c>
    </row>
    <row r="65" spans="2:18" ht="25.5">
      <c r="B65" s="168"/>
      <c r="C65" s="168"/>
      <c r="D65" s="115">
        <v>58</v>
      </c>
      <c r="E65" s="116" t="s">
        <v>189</v>
      </c>
      <c r="F65" s="115" t="s">
        <v>8</v>
      </c>
      <c r="G65" s="115" t="s">
        <v>190</v>
      </c>
      <c r="H65" s="115" t="s">
        <v>7</v>
      </c>
      <c r="I65" s="115" t="s">
        <v>2</v>
      </c>
      <c r="J65" s="116" t="s">
        <v>463</v>
      </c>
      <c r="K65" s="117">
        <v>28044</v>
      </c>
      <c r="L65" s="118">
        <v>1976</v>
      </c>
      <c r="M65" s="118">
        <f t="shared" si="2"/>
        <v>43</v>
      </c>
      <c r="N65" s="115" t="s">
        <v>3</v>
      </c>
      <c r="O65" s="115" t="s">
        <v>464</v>
      </c>
      <c r="P65" s="116" t="s">
        <v>465</v>
      </c>
      <c r="Q65" s="115"/>
      <c r="R65" s="116" t="s">
        <v>492</v>
      </c>
    </row>
    <row r="66" spans="2:18" ht="25.5">
      <c r="B66" s="168"/>
      <c r="C66" s="168"/>
      <c r="D66" s="115">
        <v>59</v>
      </c>
      <c r="E66" s="116" t="s">
        <v>191</v>
      </c>
      <c r="F66" s="115" t="s">
        <v>11</v>
      </c>
      <c r="G66" s="115" t="s">
        <v>192</v>
      </c>
      <c r="H66" s="115" t="s">
        <v>1</v>
      </c>
      <c r="I66" s="115" t="s">
        <v>9</v>
      </c>
      <c r="J66" s="116" t="s">
        <v>463</v>
      </c>
      <c r="K66" s="117">
        <v>34344</v>
      </c>
      <c r="L66" s="118">
        <v>1994</v>
      </c>
      <c r="M66" s="118">
        <f t="shared" si="2"/>
        <v>25</v>
      </c>
      <c r="N66" s="115" t="s">
        <v>3</v>
      </c>
      <c r="O66" s="115" t="s">
        <v>464</v>
      </c>
      <c r="P66" s="116" t="s">
        <v>465</v>
      </c>
      <c r="Q66" s="115"/>
      <c r="R66" s="116" t="s">
        <v>480</v>
      </c>
    </row>
    <row r="67" spans="2:18" ht="25.5">
      <c r="B67" s="168">
        <v>17</v>
      </c>
      <c r="C67" s="168" t="s">
        <v>637</v>
      </c>
      <c r="D67" s="115">
        <v>60</v>
      </c>
      <c r="E67" s="116" t="s">
        <v>193</v>
      </c>
      <c r="F67" s="115" t="s">
        <v>6</v>
      </c>
      <c r="G67" s="115" t="s">
        <v>519</v>
      </c>
      <c r="H67" s="115" t="s">
        <v>1</v>
      </c>
      <c r="I67" s="115" t="s">
        <v>2</v>
      </c>
      <c r="J67" s="116" t="s">
        <v>463</v>
      </c>
      <c r="K67" s="117">
        <v>29535</v>
      </c>
      <c r="L67" s="118">
        <v>1980</v>
      </c>
      <c r="M67" s="118">
        <f t="shared" si="2"/>
        <v>39</v>
      </c>
      <c r="N67" s="115" t="s">
        <v>3</v>
      </c>
      <c r="O67" s="115" t="s">
        <v>464</v>
      </c>
      <c r="P67" s="116" t="s">
        <v>465</v>
      </c>
      <c r="Q67" s="115"/>
      <c r="R67" s="116" t="s">
        <v>480</v>
      </c>
    </row>
    <row r="68" spans="2:18" ht="25.5">
      <c r="B68" s="168"/>
      <c r="C68" s="168"/>
      <c r="D68" s="115">
        <v>61</v>
      </c>
      <c r="E68" s="116" t="s">
        <v>90</v>
      </c>
      <c r="F68" s="115" t="s">
        <v>8</v>
      </c>
      <c r="G68" s="115" t="s">
        <v>520</v>
      </c>
      <c r="H68" s="115" t="s">
        <v>7</v>
      </c>
      <c r="I68" s="115" t="s">
        <v>2</v>
      </c>
      <c r="J68" s="116" t="s">
        <v>463</v>
      </c>
      <c r="K68" s="117">
        <v>30316</v>
      </c>
      <c r="L68" s="118">
        <v>1982</v>
      </c>
      <c r="M68" s="118">
        <f t="shared" si="2"/>
        <v>37</v>
      </c>
      <c r="N68" s="115" t="s">
        <v>3</v>
      </c>
      <c r="O68" s="115" t="s">
        <v>464</v>
      </c>
      <c r="P68" s="116" t="s">
        <v>465</v>
      </c>
      <c r="Q68" s="115"/>
      <c r="R68" s="116" t="s">
        <v>480</v>
      </c>
    </row>
    <row r="69" spans="2:18" ht="25.5">
      <c r="B69" s="168"/>
      <c r="C69" s="168"/>
      <c r="D69" s="115">
        <v>62</v>
      </c>
      <c r="E69" s="116" t="s">
        <v>518</v>
      </c>
      <c r="F69" s="115" t="s">
        <v>11</v>
      </c>
      <c r="G69" s="115" t="s">
        <v>194</v>
      </c>
      <c r="H69" s="115" t="s">
        <v>7</v>
      </c>
      <c r="I69" s="115" t="s">
        <v>9</v>
      </c>
      <c r="J69" s="116" t="s">
        <v>463</v>
      </c>
      <c r="K69" s="117">
        <v>37665</v>
      </c>
      <c r="L69" s="118">
        <v>2003</v>
      </c>
      <c r="M69" s="118">
        <f t="shared" si="2"/>
        <v>16</v>
      </c>
      <c r="N69" s="115" t="s">
        <v>3</v>
      </c>
      <c r="O69" s="115" t="s">
        <v>464</v>
      </c>
      <c r="P69" s="116" t="s">
        <v>474</v>
      </c>
      <c r="Q69" s="115"/>
      <c r="R69" s="116" t="s">
        <v>469</v>
      </c>
    </row>
    <row r="70" spans="2:18" ht="25.5">
      <c r="B70" s="168"/>
      <c r="C70" s="168"/>
      <c r="D70" s="115">
        <v>63</v>
      </c>
      <c r="E70" s="116" t="s">
        <v>195</v>
      </c>
      <c r="F70" s="115" t="s">
        <v>11</v>
      </c>
      <c r="G70" s="115" t="s">
        <v>196</v>
      </c>
      <c r="H70" s="115" t="s">
        <v>1</v>
      </c>
      <c r="I70" s="115" t="s">
        <v>9</v>
      </c>
      <c r="J70" s="116" t="s">
        <v>463</v>
      </c>
      <c r="K70" s="117">
        <v>40129</v>
      </c>
      <c r="L70" s="118">
        <v>2009</v>
      </c>
      <c r="M70" s="118">
        <f t="shared" si="2"/>
        <v>10</v>
      </c>
      <c r="N70" s="115" t="s">
        <v>3</v>
      </c>
      <c r="O70" s="115" t="s">
        <v>464</v>
      </c>
      <c r="P70" s="116" t="s">
        <v>468</v>
      </c>
      <c r="Q70" s="115"/>
      <c r="R70" s="116" t="s">
        <v>469</v>
      </c>
    </row>
    <row r="71" spans="2:18">
      <c r="B71" s="168">
        <v>18</v>
      </c>
      <c r="C71" s="168" t="s">
        <v>640</v>
      </c>
      <c r="D71" s="115">
        <v>64</v>
      </c>
      <c r="E71" s="116" t="s">
        <v>197</v>
      </c>
      <c r="F71" s="115" t="s">
        <v>6</v>
      </c>
      <c r="G71" s="115" t="s">
        <v>198</v>
      </c>
      <c r="H71" s="115" t="s">
        <v>1</v>
      </c>
      <c r="I71" s="115" t="s">
        <v>2</v>
      </c>
      <c r="J71" s="116" t="s">
        <v>463</v>
      </c>
      <c r="K71" s="117">
        <v>33055</v>
      </c>
      <c r="L71" s="118">
        <v>1990</v>
      </c>
      <c r="M71" s="118">
        <f t="shared" si="2"/>
        <v>29</v>
      </c>
      <c r="N71" s="115" t="s">
        <v>3</v>
      </c>
      <c r="O71" s="115" t="s">
        <v>464</v>
      </c>
      <c r="P71" s="116" t="s">
        <v>516</v>
      </c>
      <c r="Q71" s="115"/>
      <c r="R71" s="116" t="s">
        <v>641</v>
      </c>
    </row>
    <row r="72" spans="2:18">
      <c r="B72" s="168"/>
      <c r="C72" s="168"/>
      <c r="D72" s="115">
        <v>65</v>
      </c>
      <c r="E72" s="116" t="s">
        <v>199</v>
      </c>
      <c r="F72" s="115" t="s">
        <v>8</v>
      </c>
      <c r="G72" s="115" t="s">
        <v>200</v>
      </c>
      <c r="H72" s="115" t="s">
        <v>7</v>
      </c>
      <c r="I72" s="115" t="s">
        <v>2</v>
      </c>
      <c r="J72" s="116" t="s">
        <v>478</v>
      </c>
      <c r="K72" s="117">
        <v>32980</v>
      </c>
      <c r="L72" s="118">
        <v>1990</v>
      </c>
      <c r="M72" s="118">
        <f t="shared" ref="M72:M102" si="3">2019-L72</f>
        <v>29</v>
      </c>
      <c r="N72" s="115" t="s">
        <v>3</v>
      </c>
      <c r="O72" s="115" t="s">
        <v>464</v>
      </c>
      <c r="P72" s="116" t="s">
        <v>516</v>
      </c>
      <c r="Q72" s="115"/>
      <c r="R72" s="116" t="s">
        <v>466</v>
      </c>
    </row>
    <row r="73" spans="2:18" ht="38.25">
      <c r="B73" s="168"/>
      <c r="C73" s="168"/>
      <c r="D73" s="115">
        <v>66</v>
      </c>
      <c r="E73" s="116" t="s">
        <v>201</v>
      </c>
      <c r="F73" s="115" t="s">
        <v>11</v>
      </c>
      <c r="G73" s="115" t="s">
        <v>202</v>
      </c>
      <c r="H73" s="115" t="s">
        <v>1</v>
      </c>
      <c r="I73" s="115" t="s">
        <v>9</v>
      </c>
      <c r="J73" s="116" t="s">
        <v>495</v>
      </c>
      <c r="K73" s="117">
        <v>41518</v>
      </c>
      <c r="L73" s="118">
        <v>2013</v>
      </c>
      <c r="M73" s="118">
        <f t="shared" si="3"/>
        <v>6</v>
      </c>
      <c r="N73" s="115" t="s">
        <v>3</v>
      </c>
      <c r="O73" s="115" t="s">
        <v>464</v>
      </c>
      <c r="P73" s="116" t="s">
        <v>470</v>
      </c>
      <c r="Q73" s="115"/>
      <c r="R73" s="116" t="s">
        <v>471</v>
      </c>
    </row>
    <row r="74" spans="2:18" ht="25.5">
      <c r="B74" s="168">
        <v>19</v>
      </c>
      <c r="C74" s="168" t="s">
        <v>545</v>
      </c>
      <c r="D74" s="115">
        <v>67</v>
      </c>
      <c r="E74" s="116" t="s">
        <v>49</v>
      </c>
      <c r="F74" s="115" t="s">
        <v>6</v>
      </c>
      <c r="G74" s="115" t="s">
        <v>546</v>
      </c>
      <c r="H74" s="115" t="s">
        <v>1</v>
      </c>
      <c r="I74" s="115" t="s">
        <v>2</v>
      </c>
      <c r="J74" s="116" t="s">
        <v>463</v>
      </c>
      <c r="K74" s="117">
        <v>30834</v>
      </c>
      <c r="L74" s="118">
        <v>1984</v>
      </c>
      <c r="M74" s="118">
        <f t="shared" si="3"/>
        <v>35</v>
      </c>
      <c r="N74" s="115" t="s">
        <v>3</v>
      </c>
      <c r="O74" s="115" t="s">
        <v>464</v>
      </c>
      <c r="P74" s="116" t="s">
        <v>465</v>
      </c>
      <c r="Q74" s="115"/>
      <c r="R74" s="116" t="s">
        <v>466</v>
      </c>
    </row>
    <row r="75" spans="2:18" s="79" customFormat="1" ht="38.25">
      <c r="B75" s="168"/>
      <c r="C75" s="168"/>
      <c r="D75" s="115">
        <v>68</v>
      </c>
      <c r="E75" s="116" t="s">
        <v>544</v>
      </c>
      <c r="F75" s="115" t="s">
        <v>8</v>
      </c>
      <c r="G75" s="115" t="s">
        <v>203</v>
      </c>
      <c r="H75" s="115" t="s">
        <v>7</v>
      </c>
      <c r="I75" s="115" t="s">
        <v>2</v>
      </c>
      <c r="J75" s="116" t="s">
        <v>547</v>
      </c>
      <c r="K75" s="117">
        <v>32431</v>
      </c>
      <c r="L75" s="118">
        <v>1988</v>
      </c>
      <c r="M75" s="118">
        <f t="shared" si="3"/>
        <v>31</v>
      </c>
      <c r="N75" s="115" t="s">
        <v>3</v>
      </c>
      <c r="O75" s="115" t="s">
        <v>464</v>
      </c>
      <c r="P75" s="116" t="s">
        <v>465</v>
      </c>
      <c r="Q75" s="115"/>
      <c r="R75" s="116" t="s">
        <v>467</v>
      </c>
    </row>
    <row r="76" spans="2:18" s="79" customFormat="1" ht="25.5">
      <c r="B76" s="168"/>
      <c r="C76" s="168"/>
      <c r="D76" s="115">
        <v>69</v>
      </c>
      <c r="E76" s="116" t="s">
        <v>204</v>
      </c>
      <c r="F76" s="115" t="s">
        <v>11</v>
      </c>
      <c r="G76" s="115" t="s">
        <v>205</v>
      </c>
      <c r="H76" s="115" t="s">
        <v>1</v>
      </c>
      <c r="I76" s="115" t="s">
        <v>9</v>
      </c>
      <c r="J76" s="116" t="s">
        <v>463</v>
      </c>
      <c r="K76" s="117">
        <v>40052</v>
      </c>
      <c r="L76" s="118">
        <v>2009</v>
      </c>
      <c r="M76" s="118">
        <f t="shared" si="3"/>
        <v>10</v>
      </c>
      <c r="N76" s="115" t="s">
        <v>3</v>
      </c>
      <c r="O76" s="115" t="s">
        <v>464</v>
      </c>
      <c r="P76" s="116" t="s">
        <v>470</v>
      </c>
      <c r="Q76" s="115"/>
      <c r="R76" s="116" t="s">
        <v>471</v>
      </c>
    </row>
    <row r="77" spans="2:18" s="79" customFormat="1" ht="25.5">
      <c r="B77" s="168"/>
      <c r="C77" s="168"/>
      <c r="D77" s="115">
        <v>70</v>
      </c>
      <c r="E77" s="116" t="s">
        <v>548</v>
      </c>
      <c r="F77" s="115" t="s">
        <v>11</v>
      </c>
      <c r="G77" s="115" t="s">
        <v>549</v>
      </c>
      <c r="H77" s="115" t="s">
        <v>7</v>
      </c>
      <c r="I77" s="115" t="s">
        <v>9</v>
      </c>
      <c r="J77" s="116" t="s">
        <v>550</v>
      </c>
      <c r="K77" s="117">
        <v>42379</v>
      </c>
      <c r="L77" s="118">
        <v>2016</v>
      </c>
      <c r="M77" s="118">
        <f t="shared" si="3"/>
        <v>3</v>
      </c>
      <c r="N77" s="115" t="s">
        <v>3</v>
      </c>
      <c r="O77" s="115" t="s">
        <v>464</v>
      </c>
      <c r="P77" s="116" t="s">
        <v>470</v>
      </c>
      <c r="Q77" s="115"/>
      <c r="R77" s="116" t="s">
        <v>471</v>
      </c>
    </row>
    <row r="78" spans="2:18" ht="25.5">
      <c r="B78" s="120">
        <v>20</v>
      </c>
      <c r="C78" s="120" t="s">
        <v>584</v>
      </c>
      <c r="D78" s="115">
        <v>71</v>
      </c>
      <c r="E78" s="116" t="s">
        <v>206</v>
      </c>
      <c r="F78" s="115" t="s">
        <v>6</v>
      </c>
      <c r="G78" s="115" t="s">
        <v>638</v>
      </c>
      <c r="H78" s="115" t="s">
        <v>1</v>
      </c>
      <c r="I78" s="115" t="s">
        <v>2</v>
      </c>
      <c r="J78" s="116" t="s">
        <v>463</v>
      </c>
      <c r="K78" s="117">
        <v>25020</v>
      </c>
      <c r="L78" s="118">
        <v>1968</v>
      </c>
      <c r="M78" s="118">
        <f t="shared" si="3"/>
        <v>51</v>
      </c>
      <c r="N78" s="115" t="s">
        <v>3</v>
      </c>
      <c r="O78" s="115" t="s">
        <v>464</v>
      </c>
      <c r="P78" s="116" t="s">
        <v>465</v>
      </c>
      <c r="Q78" s="115"/>
      <c r="R78" s="116" t="s">
        <v>480</v>
      </c>
    </row>
    <row r="79" spans="2:18" ht="25.5">
      <c r="B79" s="168">
        <v>21</v>
      </c>
      <c r="C79" s="168" t="s">
        <v>534</v>
      </c>
      <c r="D79" s="115">
        <v>72</v>
      </c>
      <c r="E79" s="116" t="s">
        <v>28</v>
      </c>
      <c r="F79" s="115" t="s">
        <v>6</v>
      </c>
      <c r="G79" s="115" t="s">
        <v>535</v>
      </c>
      <c r="H79" s="115" t="s">
        <v>1</v>
      </c>
      <c r="I79" s="115" t="s">
        <v>2</v>
      </c>
      <c r="J79" s="116" t="s">
        <v>463</v>
      </c>
      <c r="K79" s="117">
        <v>25117</v>
      </c>
      <c r="L79" s="118">
        <v>1968</v>
      </c>
      <c r="M79" s="118">
        <f t="shared" si="3"/>
        <v>51</v>
      </c>
      <c r="N79" s="115" t="s">
        <v>3</v>
      </c>
      <c r="O79" s="115" t="s">
        <v>464</v>
      </c>
      <c r="P79" s="116" t="s">
        <v>465</v>
      </c>
      <c r="Q79" s="115"/>
      <c r="R79" s="116" t="s">
        <v>480</v>
      </c>
    </row>
    <row r="80" spans="2:18" ht="25.5">
      <c r="B80" s="168"/>
      <c r="C80" s="168"/>
      <c r="D80" s="115">
        <v>73</v>
      </c>
      <c r="E80" s="116" t="s">
        <v>208</v>
      </c>
      <c r="F80" s="115" t="s">
        <v>8</v>
      </c>
      <c r="G80" s="115" t="s">
        <v>209</v>
      </c>
      <c r="H80" s="115" t="s">
        <v>7</v>
      </c>
      <c r="I80" s="115" t="s">
        <v>2</v>
      </c>
      <c r="J80" s="116" t="s">
        <v>463</v>
      </c>
      <c r="K80" s="117">
        <v>29070</v>
      </c>
      <c r="L80" s="118">
        <v>1979</v>
      </c>
      <c r="M80" s="118">
        <f t="shared" si="3"/>
        <v>40</v>
      </c>
      <c r="N80" s="115" t="s">
        <v>3</v>
      </c>
      <c r="O80" s="115" t="s">
        <v>464</v>
      </c>
      <c r="P80" s="116" t="s">
        <v>465</v>
      </c>
      <c r="Q80" s="115"/>
      <c r="R80" s="116" t="s">
        <v>480</v>
      </c>
    </row>
    <row r="81" spans="2:18" ht="25.5">
      <c r="B81" s="168"/>
      <c r="C81" s="168"/>
      <c r="D81" s="115">
        <v>74</v>
      </c>
      <c r="E81" s="116" t="s">
        <v>536</v>
      </c>
      <c r="F81" s="115" t="s">
        <v>11</v>
      </c>
      <c r="G81" s="115" t="s">
        <v>212</v>
      </c>
      <c r="H81" s="115" t="s">
        <v>1</v>
      </c>
      <c r="I81" s="115" t="s">
        <v>9</v>
      </c>
      <c r="J81" s="116" t="s">
        <v>463</v>
      </c>
      <c r="K81" s="117">
        <v>37217</v>
      </c>
      <c r="L81" s="118">
        <v>2001</v>
      </c>
      <c r="M81" s="118">
        <f t="shared" si="3"/>
        <v>18</v>
      </c>
      <c r="N81" s="115" t="s">
        <v>3</v>
      </c>
      <c r="O81" s="115" t="s">
        <v>464</v>
      </c>
      <c r="P81" s="116" t="s">
        <v>474</v>
      </c>
      <c r="Q81" s="115"/>
      <c r="R81" s="116" t="s">
        <v>469</v>
      </c>
    </row>
    <row r="82" spans="2:18" ht="25.5">
      <c r="B82" s="165">
        <v>22</v>
      </c>
      <c r="C82" s="165" t="s">
        <v>751</v>
      </c>
      <c r="D82" s="115">
        <v>75</v>
      </c>
      <c r="E82" s="116" t="s">
        <v>213</v>
      </c>
      <c r="F82" s="115" t="s">
        <v>6</v>
      </c>
      <c r="G82" s="115" t="s">
        <v>214</v>
      </c>
      <c r="H82" s="115" t="s">
        <v>1</v>
      </c>
      <c r="I82" s="115" t="s">
        <v>2</v>
      </c>
      <c r="J82" s="116" t="s">
        <v>463</v>
      </c>
      <c r="K82" s="117">
        <v>18629</v>
      </c>
      <c r="L82" s="118">
        <v>1951</v>
      </c>
      <c r="M82" s="118">
        <f t="shared" si="3"/>
        <v>68</v>
      </c>
      <c r="N82" s="115" t="s">
        <v>3</v>
      </c>
      <c r="O82" s="115" t="s">
        <v>464</v>
      </c>
      <c r="P82" s="116" t="s">
        <v>465</v>
      </c>
      <c r="Q82" s="115"/>
      <c r="R82" s="116" t="s">
        <v>466</v>
      </c>
    </row>
    <row r="83" spans="2:18" ht="38.25">
      <c r="B83" s="166"/>
      <c r="C83" s="166"/>
      <c r="D83" s="115">
        <v>76</v>
      </c>
      <c r="E83" s="116" t="s">
        <v>37</v>
      </c>
      <c r="F83" s="115" t="s">
        <v>8</v>
      </c>
      <c r="G83" s="115" t="s">
        <v>215</v>
      </c>
      <c r="H83" s="115" t="s">
        <v>7</v>
      </c>
      <c r="I83" s="115" t="s">
        <v>2</v>
      </c>
      <c r="J83" s="116" t="s">
        <v>750</v>
      </c>
      <c r="K83" s="117">
        <v>27494</v>
      </c>
      <c r="L83" s="118">
        <v>1975</v>
      </c>
      <c r="M83" s="118">
        <f t="shared" si="3"/>
        <v>44</v>
      </c>
      <c r="N83" s="115" t="s">
        <v>3</v>
      </c>
      <c r="O83" s="115" t="s">
        <v>464</v>
      </c>
      <c r="P83" s="116" t="s">
        <v>465</v>
      </c>
      <c r="Q83" s="115"/>
      <c r="R83" s="116" t="s">
        <v>467</v>
      </c>
    </row>
    <row r="84" spans="2:18" ht="25.5">
      <c r="B84" s="166"/>
      <c r="C84" s="166"/>
      <c r="D84" s="115">
        <v>77</v>
      </c>
      <c r="E84" s="116" t="s">
        <v>749</v>
      </c>
      <c r="F84" s="115" t="s">
        <v>11</v>
      </c>
      <c r="G84" s="115" t="s">
        <v>217</v>
      </c>
      <c r="H84" s="115" t="s">
        <v>1</v>
      </c>
      <c r="I84" s="115" t="s">
        <v>9</v>
      </c>
      <c r="J84" s="116" t="s">
        <v>463</v>
      </c>
      <c r="K84" s="117">
        <v>35384</v>
      </c>
      <c r="L84" s="118">
        <v>1996</v>
      </c>
      <c r="M84" s="118">
        <f t="shared" si="3"/>
        <v>23</v>
      </c>
      <c r="N84" s="115" t="s">
        <v>3</v>
      </c>
      <c r="O84" s="115" t="s">
        <v>464</v>
      </c>
      <c r="P84" s="116" t="s">
        <v>516</v>
      </c>
      <c r="Q84" s="115"/>
      <c r="R84" s="116" t="s">
        <v>469</v>
      </c>
    </row>
    <row r="85" spans="2:18" ht="25.5">
      <c r="B85" s="167"/>
      <c r="C85" s="167"/>
      <c r="D85" s="115">
        <v>78</v>
      </c>
      <c r="E85" s="116" t="s">
        <v>218</v>
      </c>
      <c r="F85" s="115" t="s">
        <v>11</v>
      </c>
      <c r="G85" s="115" t="s">
        <v>219</v>
      </c>
      <c r="H85" s="115" t="s">
        <v>1</v>
      </c>
      <c r="I85" s="115" t="s">
        <v>9</v>
      </c>
      <c r="J85" s="116" t="s">
        <v>463</v>
      </c>
      <c r="K85" s="117">
        <v>37703</v>
      </c>
      <c r="L85" s="118">
        <v>2003</v>
      </c>
      <c r="M85" s="118">
        <f t="shared" si="3"/>
        <v>16</v>
      </c>
      <c r="N85" s="115" t="s">
        <v>3</v>
      </c>
      <c r="O85" s="115" t="s">
        <v>464</v>
      </c>
      <c r="P85" s="116" t="s">
        <v>474</v>
      </c>
      <c r="Q85" s="115"/>
      <c r="R85" s="116" t="s">
        <v>469</v>
      </c>
    </row>
    <row r="86" spans="2:18" ht="38.25">
      <c r="B86" s="168">
        <v>23</v>
      </c>
      <c r="C86" s="168" t="s">
        <v>856</v>
      </c>
      <c r="D86" s="115">
        <v>79</v>
      </c>
      <c r="E86" s="116" t="s">
        <v>220</v>
      </c>
      <c r="F86" s="115" t="s">
        <v>6</v>
      </c>
      <c r="G86" s="115" t="s">
        <v>221</v>
      </c>
      <c r="H86" s="115" t="s">
        <v>1</v>
      </c>
      <c r="I86" s="115" t="s">
        <v>2</v>
      </c>
      <c r="J86" s="116" t="s">
        <v>463</v>
      </c>
      <c r="K86" s="117">
        <v>21017</v>
      </c>
      <c r="L86" s="118">
        <v>1957</v>
      </c>
      <c r="M86" s="118">
        <f t="shared" si="3"/>
        <v>62</v>
      </c>
      <c r="N86" s="115" t="s">
        <v>3</v>
      </c>
      <c r="O86" s="115" t="s">
        <v>464</v>
      </c>
      <c r="P86" s="116" t="s">
        <v>465</v>
      </c>
      <c r="Q86" s="115"/>
      <c r="R86" s="116" t="s">
        <v>479</v>
      </c>
    </row>
    <row r="87" spans="2:18" ht="38.25">
      <c r="B87" s="168"/>
      <c r="C87" s="168"/>
      <c r="D87" s="115">
        <v>80</v>
      </c>
      <c r="E87" s="116" t="s">
        <v>855</v>
      </c>
      <c r="F87" s="115" t="s">
        <v>8</v>
      </c>
      <c r="G87" s="115" t="s">
        <v>222</v>
      </c>
      <c r="H87" s="115" t="s">
        <v>7</v>
      </c>
      <c r="I87" s="115" t="s">
        <v>2</v>
      </c>
      <c r="J87" s="116" t="s">
        <v>857</v>
      </c>
      <c r="K87" s="117">
        <v>25933</v>
      </c>
      <c r="L87" s="118">
        <v>1970</v>
      </c>
      <c r="M87" s="118">
        <f t="shared" si="3"/>
        <v>49</v>
      </c>
      <c r="N87" s="115" t="s">
        <v>3</v>
      </c>
      <c r="O87" s="115" t="s">
        <v>464</v>
      </c>
      <c r="P87" s="116" t="s">
        <v>465</v>
      </c>
      <c r="Q87" s="115"/>
      <c r="R87" s="116" t="s">
        <v>467</v>
      </c>
    </row>
    <row r="88" spans="2:18" ht="25.5">
      <c r="B88" s="168"/>
      <c r="C88" s="168"/>
      <c r="D88" s="115">
        <v>81</v>
      </c>
      <c r="E88" s="116" t="s">
        <v>223</v>
      </c>
      <c r="F88" s="115" t="s">
        <v>11</v>
      </c>
      <c r="G88" s="115" t="s">
        <v>224</v>
      </c>
      <c r="H88" s="115" t="s">
        <v>7</v>
      </c>
      <c r="I88" s="115" t="s">
        <v>9</v>
      </c>
      <c r="J88" s="116" t="s">
        <v>463</v>
      </c>
      <c r="K88" s="117">
        <v>35863</v>
      </c>
      <c r="L88" s="118">
        <v>1998</v>
      </c>
      <c r="M88" s="118">
        <f t="shared" si="3"/>
        <v>21</v>
      </c>
      <c r="N88" s="115" t="s">
        <v>3</v>
      </c>
      <c r="O88" s="115" t="s">
        <v>464</v>
      </c>
      <c r="P88" s="116" t="s">
        <v>474</v>
      </c>
      <c r="Q88" s="115"/>
      <c r="R88" s="116" t="s">
        <v>469</v>
      </c>
    </row>
    <row r="89" spans="2:18" ht="25.5">
      <c r="B89" s="168"/>
      <c r="C89" s="168"/>
      <c r="D89" s="115">
        <v>82</v>
      </c>
      <c r="E89" s="116" t="s">
        <v>225</v>
      </c>
      <c r="F89" s="115" t="s">
        <v>11</v>
      </c>
      <c r="G89" s="115" t="s">
        <v>226</v>
      </c>
      <c r="H89" s="115" t="s">
        <v>7</v>
      </c>
      <c r="I89" s="115" t="s">
        <v>9</v>
      </c>
      <c r="J89" s="116" t="s">
        <v>463</v>
      </c>
      <c r="K89" s="117">
        <v>39293</v>
      </c>
      <c r="L89" s="118">
        <v>2007</v>
      </c>
      <c r="M89" s="118">
        <f t="shared" si="3"/>
        <v>12</v>
      </c>
      <c r="N89" s="115" t="s">
        <v>3</v>
      </c>
      <c r="O89" s="115" t="s">
        <v>464</v>
      </c>
      <c r="P89" s="116" t="s">
        <v>468</v>
      </c>
      <c r="Q89" s="115"/>
      <c r="R89" s="116" t="s">
        <v>469</v>
      </c>
    </row>
    <row r="90" spans="2:18" ht="25.5">
      <c r="B90" s="168">
        <v>24</v>
      </c>
      <c r="C90" s="168" t="s">
        <v>628</v>
      </c>
      <c r="D90" s="115">
        <v>83</v>
      </c>
      <c r="E90" s="116" t="s">
        <v>246</v>
      </c>
      <c r="F90" s="115" t="s">
        <v>6</v>
      </c>
      <c r="G90" s="115" t="s">
        <v>247</v>
      </c>
      <c r="H90" s="115" t="s">
        <v>1</v>
      </c>
      <c r="I90" s="115" t="s">
        <v>2</v>
      </c>
      <c r="J90" s="116" t="s">
        <v>463</v>
      </c>
      <c r="K90" s="117">
        <v>28490</v>
      </c>
      <c r="L90" s="118">
        <v>1977</v>
      </c>
      <c r="M90" s="118">
        <f t="shared" si="3"/>
        <v>42</v>
      </c>
      <c r="N90" s="115" t="s">
        <v>3</v>
      </c>
      <c r="O90" s="115" t="s">
        <v>464</v>
      </c>
      <c r="P90" s="116" t="s">
        <v>465</v>
      </c>
      <c r="Q90" s="115"/>
      <c r="R90" s="116" t="s">
        <v>480</v>
      </c>
    </row>
    <row r="91" spans="2:18" ht="38.25">
      <c r="B91" s="168"/>
      <c r="C91" s="168"/>
      <c r="D91" s="115">
        <v>84</v>
      </c>
      <c r="E91" s="116" t="s">
        <v>627</v>
      </c>
      <c r="F91" s="115" t="s">
        <v>8</v>
      </c>
      <c r="G91" s="115" t="s">
        <v>629</v>
      </c>
      <c r="H91" s="115" t="s">
        <v>7</v>
      </c>
      <c r="I91" s="115" t="s">
        <v>2</v>
      </c>
      <c r="J91" s="116" t="s">
        <v>463</v>
      </c>
      <c r="K91" s="117">
        <v>30143</v>
      </c>
      <c r="L91" s="118">
        <v>1982</v>
      </c>
      <c r="M91" s="118">
        <f t="shared" si="3"/>
        <v>37</v>
      </c>
      <c r="N91" s="115" t="s">
        <v>3</v>
      </c>
      <c r="O91" s="115" t="s">
        <v>464</v>
      </c>
      <c r="P91" s="116" t="s">
        <v>465</v>
      </c>
      <c r="Q91" s="115"/>
      <c r="R91" s="116" t="s">
        <v>479</v>
      </c>
    </row>
    <row r="92" spans="2:18" ht="25.5">
      <c r="B92" s="168"/>
      <c r="C92" s="168"/>
      <c r="D92" s="115">
        <v>85</v>
      </c>
      <c r="E92" s="116" t="s">
        <v>248</v>
      </c>
      <c r="F92" s="115" t="s">
        <v>11</v>
      </c>
      <c r="G92" s="115" t="s">
        <v>249</v>
      </c>
      <c r="H92" s="115" t="s">
        <v>7</v>
      </c>
      <c r="I92" s="115" t="s">
        <v>9</v>
      </c>
      <c r="J92" s="116" t="s">
        <v>463</v>
      </c>
      <c r="K92" s="117">
        <v>38540</v>
      </c>
      <c r="L92" s="118">
        <v>2005</v>
      </c>
      <c r="M92" s="118">
        <f t="shared" si="3"/>
        <v>14</v>
      </c>
      <c r="N92" s="115" t="s">
        <v>3</v>
      </c>
      <c r="O92" s="115" t="s">
        <v>464</v>
      </c>
      <c r="P92" s="116" t="s">
        <v>470</v>
      </c>
      <c r="Q92" s="115"/>
      <c r="R92" s="116" t="s">
        <v>471</v>
      </c>
    </row>
    <row r="93" spans="2:18">
      <c r="B93" s="168">
        <v>25</v>
      </c>
      <c r="C93" s="168"/>
      <c r="D93" s="115">
        <v>86</v>
      </c>
      <c r="E93" s="116" t="s">
        <v>250</v>
      </c>
      <c r="F93" s="115" t="s">
        <v>6</v>
      </c>
      <c r="G93" s="115" t="s">
        <v>251</v>
      </c>
      <c r="H93" s="115" t="s">
        <v>1</v>
      </c>
      <c r="I93" s="115" t="s">
        <v>2</v>
      </c>
      <c r="J93" s="116"/>
      <c r="K93" s="117">
        <v>25152</v>
      </c>
      <c r="L93" s="118">
        <f t="shared" ref="L93:L98" si="4">YEAR(K93)</f>
        <v>1968</v>
      </c>
      <c r="M93" s="118">
        <f t="shared" si="3"/>
        <v>51</v>
      </c>
      <c r="N93" s="115" t="s">
        <v>3</v>
      </c>
      <c r="O93" s="115"/>
      <c r="P93" s="116" t="s">
        <v>4</v>
      </c>
      <c r="Q93" s="115"/>
      <c r="R93" s="116" t="s">
        <v>5</v>
      </c>
    </row>
    <row r="94" spans="2:18">
      <c r="B94" s="168"/>
      <c r="C94" s="168"/>
      <c r="D94" s="115">
        <v>87</v>
      </c>
      <c r="E94" s="116" t="s">
        <v>252</v>
      </c>
      <c r="F94" s="115" t="s">
        <v>8</v>
      </c>
      <c r="G94" s="115" t="s">
        <v>253</v>
      </c>
      <c r="H94" s="115" t="s">
        <v>7</v>
      </c>
      <c r="I94" s="115" t="s">
        <v>2</v>
      </c>
      <c r="J94" s="116"/>
      <c r="K94" s="117">
        <v>24040</v>
      </c>
      <c r="L94" s="118">
        <f t="shared" si="4"/>
        <v>1965</v>
      </c>
      <c r="M94" s="118">
        <f t="shared" si="3"/>
        <v>54</v>
      </c>
      <c r="N94" s="115" t="s">
        <v>3</v>
      </c>
      <c r="O94" s="115"/>
      <c r="P94" s="116" t="s">
        <v>4</v>
      </c>
      <c r="Q94" s="115"/>
      <c r="R94" s="116" t="s">
        <v>5</v>
      </c>
    </row>
    <row r="95" spans="2:18">
      <c r="B95" s="168"/>
      <c r="C95" s="168"/>
      <c r="D95" s="115">
        <v>88</v>
      </c>
      <c r="E95" s="116" t="s">
        <v>61</v>
      </c>
      <c r="F95" s="115" t="s">
        <v>11</v>
      </c>
      <c r="G95" s="115" t="s">
        <v>254</v>
      </c>
      <c r="H95" s="115" t="s">
        <v>1</v>
      </c>
      <c r="I95" s="115" t="s">
        <v>2</v>
      </c>
      <c r="J95" s="116"/>
      <c r="K95" s="117">
        <v>34698</v>
      </c>
      <c r="L95" s="118">
        <f t="shared" si="4"/>
        <v>1994</v>
      </c>
      <c r="M95" s="118">
        <f t="shared" si="3"/>
        <v>25</v>
      </c>
      <c r="N95" s="115" t="s">
        <v>3</v>
      </c>
      <c r="O95" s="115"/>
      <c r="P95" s="116" t="s">
        <v>18</v>
      </c>
      <c r="Q95" s="115"/>
      <c r="R95" s="116" t="s">
        <v>5</v>
      </c>
    </row>
    <row r="96" spans="2:18">
      <c r="B96" s="168"/>
      <c r="C96" s="168"/>
      <c r="D96" s="115">
        <v>89</v>
      </c>
      <c r="E96" s="116" t="s">
        <v>255</v>
      </c>
      <c r="F96" s="115" t="s">
        <v>11</v>
      </c>
      <c r="G96" s="115" t="s">
        <v>256</v>
      </c>
      <c r="H96" s="115" t="s">
        <v>1</v>
      </c>
      <c r="I96" s="115" t="s">
        <v>9</v>
      </c>
      <c r="J96" s="116"/>
      <c r="K96" s="117">
        <v>36159</v>
      </c>
      <c r="L96" s="118">
        <f t="shared" si="4"/>
        <v>1998</v>
      </c>
      <c r="M96" s="118">
        <f t="shared" si="3"/>
        <v>21</v>
      </c>
      <c r="N96" s="115" t="s">
        <v>3</v>
      </c>
      <c r="O96" s="115"/>
      <c r="P96" s="116" t="s">
        <v>18</v>
      </c>
      <c r="Q96" s="115"/>
      <c r="R96" s="116" t="s">
        <v>4</v>
      </c>
    </row>
    <row r="97" spans="2:18">
      <c r="B97" s="168">
        <v>26</v>
      </c>
      <c r="C97" s="168"/>
      <c r="D97" s="115">
        <v>90</v>
      </c>
      <c r="E97" s="116" t="s">
        <v>257</v>
      </c>
      <c r="F97" s="115" t="s">
        <v>6</v>
      </c>
      <c r="G97" s="115" t="s">
        <v>258</v>
      </c>
      <c r="H97" s="115" t="s">
        <v>1</v>
      </c>
      <c r="I97" s="115" t="s">
        <v>21</v>
      </c>
      <c r="J97" s="116"/>
      <c r="K97" s="117">
        <v>29220</v>
      </c>
      <c r="L97" s="118">
        <f t="shared" si="4"/>
        <v>1979</v>
      </c>
      <c r="M97" s="118">
        <f t="shared" si="3"/>
        <v>40</v>
      </c>
      <c r="N97" s="115" t="s">
        <v>3</v>
      </c>
      <c r="O97" s="115"/>
      <c r="P97" s="116" t="s">
        <v>4</v>
      </c>
      <c r="Q97" s="115"/>
      <c r="R97" s="116" t="s">
        <v>5</v>
      </c>
    </row>
    <row r="98" spans="2:18">
      <c r="B98" s="168"/>
      <c r="C98" s="168"/>
      <c r="D98" s="115">
        <v>91</v>
      </c>
      <c r="E98" s="116" t="s">
        <v>259</v>
      </c>
      <c r="F98" s="115" t="s">
        <v>11</v>
      </c>
      <c r="G98" s="115" t="s">
        <v>260</v>
      </c>
      <c r="H98" s="115" t="s">
        <v>7</v>
      </c>
      <c r="I98" s="115" t="s">
        <v>9</v>
      </c>
      <c r="J98" s="116"/>
      <c r="K98" s="117">
        <v>37841</v>
      </c>
      <c r="L98" s="118">
        <f t="shared" si="4"/>
        <v>2003</v>
      </c>
      <c r="M98" s="118">
        <f t="shared" si="3"/>
        <v>16</v>
      </c>
      <c r="N98" s="115" t="s">
        <v>3</v>
      </c>
      <c r="O98" s="115"/>
      <c r="P98" s="116" t="s">
        <v>4</v>
      </c>
      <c r="Q98" s="115"/>
      <c r="R98" s="116" t="s">
        <v>4</v>
      </c>
    </row>
    <row r="99" spans="2:18" ht="25.5">
      <c r="B99" s="168">
        <v>27</v>
      </c>
      <c r="C99" s="168" t="s">
        <v>743</v>
      </c>
      <c r="D99" s="115">
        <v>92</v>
      </c>
      <c r="E99" s="116" t="s">
        <v>261</v>
      </c>
      <c r="F99" s="115" t="s">
        <v>6</v>
      </c>
      <c r="G99" s="115" t="s">
        <v>262</v>
      </c>
      <c r="H99" s="115" t="s">
        <v>1</v>
      </c>
      <c r="I99" s="115" t="s">
        <v>2</v>
      </c>
      <c r="J99" s="116" t="s">
        <v>463</v>
      </c>
      <c r="K99" s="117">
        <v>27759</v>
      </c>
      <c r="L99" s="118">
        <v>1975</v>
      </c>
      <c r="M99" s="118">
        <f t="shared" si="3"/>
        <v>44</v>
      </c>
      <c r="N99" s="115" t="s">
        <v>3</v>
      </c>
      <c r="O99" s="115" t="s">
        <v>464</v>
      </c>
      <c r="P99" s="116" t="s">
        <v>465</v>
      </c>
      <c r="Q99" s="115"/>
      <c r="R99" s="116" t="s">
        <v>480</v>
      </c>
    </row>
    <row r="100" spans="2:18" ht="25.5">
      <c r="B100" s="168"/>
      <c r="C100" s="168"/>
      <c r="D100" s="115">
        <v>93</v>
      </c>
      <c r="E100" s="116" t="s">
        <v>263</v>
      </c>
      <c r="F100" s="115" t="s">
        <v>8</v>
      </c>
      <c r="G100" s="115" t="s">
        <v>264</v>
      </c>
      <c r="H100" s="115" t="s">
        <v>7</v>
      </c>
      <c r="I100" s="115" t="s">
        <v>2</v>
      </c>
      <c r="J100" s="116" t="s">
        <v>463</v>
      </c>
      <c r="K100" s="117">
        <v>29181</v>
      </c>
      <c r="L100" s="118">
        <v>1979</v>
      </c>
      <c r="M100" s="118">
        <f t="shared" si="3"/>
        <v>40</v>
      </c>
      <c r="N100" s="115" t="s">
        <v>3</v>
      </c>
      <c r="O100" s="115" t="s">
        <v>464</v>
      </c>
      <c r="P100" s="116" t="s">
        <v>465</v>
      </c>
      <c r="Q100" s="115"/>
      <c r="R100" s="116" t="s">
        <v>480</v>
      </c>
    </row>
    <row r="101" spans="2:18" ht="25.5">
      <c r="B101" s="168"/>
      <c r="C101" s="168"/>
      <c r="D101" s="115">
        <v>94</v>
      </c>
      <c r="E101" s="116" t="s">
        <v>265</v>
      </c>
      <c r="F101" s="115" t="s">
        <v>11</v>
      </c>
      <c r="G101" s="115" t="s">
        <v>266</v>
      </c>
      <c r="H101" s="115" t="s">
        <v>1</v>
      </c>
      <c r="I101" s="115" t="s">
        <v>2</v>
      </c>
      <c r="J101" s="116" t="s">
        <v>463</v>
      </c>
      <c r="K101" s="117">
        <v>35336</v>
      </c>
      <c r="L101" s="118">
        <v>1996</v>
      </c>
      <c r="M101" s="118">
        <f t="shared" si="3"/>
        <v>23</v>
      </c>
      <c r="N101" s="115" t="s">
        <v>3</v>
      </c>
      <c r="O101" s="115" t="s">
        <v>464</v>
      </c>
      <c r="P101" s="116" t="s">
        <v>474</v>
      </c>
      <c r="Q101" s="115"/>
      <c r="R101" s="116" t="s">
        <v>469</v>
      </c>
    </row>
    <row r="102" spans="2:18" ht="25.5">
      <c r="B102" s="168"/>
      <c r="C102" s="168"/>
      <c r="D102" s="115">
        <v>95</v>
      </c>
      <c r="E102" s="116" t="s">
        <v>267</v>
      </c>
      <c r="F102" s="115" t="s">
        <v>11</v>
      </c>
      <c r="G102" s="115" t="s">
        <v>268</v>
      </c>
      <c r="H102" s="115" t="s">
        <v>7</v>
      </c>
      <c r="I102" s="115" t="s">
        <v>2</v>
      </c>
      <c r="J102" s="116" t="s">
        <v>463</v>
      </c>
      <c r="K102" s="117">
        <v>38570</v>
      </c>
      <c r="L102" s="118">
        <v>2005</v>
      </c>
      <c r="M102" s="118">
        <f t="shared" si="3"/>
        <v>14</v>
      </c>
      <c r="N102" s="115" t="s">
        <v>3</v>
      </c>
      <c r="O102" s="115" t="s">
        <v>464</v>
      </c>
      <c r="P102" s="116" t="s">
        <v>470</v>
      </c>
      <c r="Q102" s="115"/>
      <c r="R102" s="116" t="s">
        <v>471</v>
      </c>
    </row>
    <row r="103" spans="2:18" ht="25.5">
      <c r="B103" s="168"/>
      <c r="C103" s="168"/>
      <c r="D103" s="115">
        <v>96</v>
      </c>
      <c r="E103" s="116" t="s">
        <v>269</v>
      </c>
      <c r="F103" s="115" t="s">
        <v>11</v>
      </c>
      <c r="G103" s="115" t="s">
        <v>270</v>
      </c>
      <c r="H103" s="115" t="s">
        <v>1</v>
      </c>
      <c r="I103" s="115" t="s">
        <v>2</v>
      </c>
      <c r="J103" s="116" t="s">
        <v>550</v>
      </c>
      <c r="K103" s="117">
        <v>41517</v>
      </c>
      <c r="L103" s="118">
        <v>2013</v>
      </c>
      <c r="M103" s="118">
        <f t="shared" ref="M103:M134" si="5">2019-L103</f>
        <v>6</v>
      </c>
      <c r="N103" s="115" t="s">
        <v>3</v>
      </c>
      <c r="O103" s="115" t="s">
        <v>464</v>
      </c>
      <c r="P103" s="116" t="s">
        <v>470</v>
      </c>
      <c r="Q103" s="115"/>
      <c r="R103" s="116" t="s">
        <v>471</v>
      </c>
    </row>
    <row r="104" spans="2:18">
      <c r="B104" s="165">
        <v>28</v>
      </c>
      <c r="C104" s="165" t="s">
        <v>920</v>
      </c>
      <c r="D104" s="115">
        <v>97</v>
      </c>
      <c r="E104" s="116" t="s">
        <v>80</v>
      </c>
      <c r="F104" s="115" t="s">
        <v>6</v>
      </c>
      <c r="G104" s="115" t="s">
        <v>763</v>
      </c>
      <c r="H104" s="115" t="s">
        <v>1</v>
      </c>
      <c r="I104" s="115" t="s">
        <v>2</v>
      </c>
      <c r="J104" s="116" t="s">
        <v>463</v>
      </c>
      <c r="K104" s="117">
        <v>31352</v>
      </c>
      <c r="L104" s="118">
        <v>1985</v>
      </c>
      <c r="M104" s="118">
        <f t="shared" si="5"/>
        <v>34</v>
      </c>
      <c r="N104" s="115" t="s">
        <v>3</v>
      </c>
      <c r="O104" s="115" t="s">
        <v>464</v>
      </c>
      <c r="P104" s="116" t="s">
        <v>474</v>
      </c>
      <c r="Q104" s="115"/>
      <c r="R104" s="116" t="s">
        <v>466</v>
      </c>
    </row>
    <row r="105" spans="2:18" ht="38.25">
      <c r="B105" s="166"/>
      <c r="C105" s="166"/>
      <c r="D105" s="115">
        <v>98</v>
      </c>
      <c r="E105" s="116" t="s">
        <v>271</v>
      </c>
      <c r="F105" s="115" t="s">
        <v>8</v>
      </c>
      <c r="G105" s="115" t="s">
        <v>764</v>
      </c>
      <c r="H105" s="115" t="s">
        <v>7</v>
      </c>
      <c r="I105" s="115" t="s">
        <v>2</v>
      </c>
      <c r="J105" s="116" t="s">
        <v>506</v>
      </c>
      <c r="K105" s="117">
        <v>31542</v>
      </c>
      <c r="L105" s="118">
        <v>1986</v>
      </c>
      <c r="M105" s="118">
        <f t="shared" si="5"/>
        <v>33</v>
      </c>
      <c r="N105" s="115" t="s">
        <v>3</v>
      </c>
      <c r="O105" s="115" t="s">
        <v>464</v>
      </c>
      <c r="P105" s="116" t="s">
        <v>474</v>
      </c>
      <c r="Q105" s="115"/>
      <c r="R105" s="116" t="s">
        <v>467</v>
      </c>
    </row>
    <row r="106" spans="2:18" ht="25.5">
      <c r="B106" s="166"/>
      <c r="C106" s="166"/>
      <c r="D106" s="115">
        <v>99</v>
      </c>
      <c r="E106" s="116" t="s">
        <v>272</v>
      </c>
      <c r="F106" s="115" t="s">
        <v>11</v>
      </c>
      <c r="G106" s="115" t="s">
        <v>765</v>
      </c>
      <c r="H106" s="115" t="s">
        <v>7</v>
      </c>
      <c r="I106" s="115" t="s">
        <v>9</v>
      </c>
      <c r="J106" s="116" t="s">
        <v>463</v>
      </c>
      <c r="K106" s="117">
        <v>39976</v>
      </c>
      <c r="L106" s="118">
        <v>2009</v>
      </c>
      <c r="M106" s="118">
        <f t="shared" si="5"/>
        <v>10</v>
      </c>
      <c r="N106" s="115" t="s">
        <v>3</v>
      </c>
      <c r="O106" s="115" t="s">
        <v>464</v>
      </c>
      <c r="P106" s="116" t="s">
        <v>468</v>
      </c>
      <c r="Q106" s="115"/>
      <c r="R106" s="116" t="s">
        <v>469</v>
      </c>
    </row>
    <row r="107" spans="2:18" ht="25.5">
      <c r="B107" s="167"/>
      <c r="C107" s="167"/>
      <c r="D107" s="115">
        <v>100</v>
      </c>
      <c r="E107" s="116" t="s">
        <v>762</v>
      </c>
      <c r="F107" s="115" t="s">
        <v>11</v>
      </c>
      <c r="G107" s="115" t="s">
        <v>766</v>
      </c>
      <c r="H107" s="115" t="s">
        <v>1</v>
      </c>
      <c r="I107" s="115" t="s">
        <v>9</v>
      </c>
      <c r="J107" s="116" t="s">
        <v>463</v>
      </c>
      <c r="K107" s="117" t="s">
        <v>767</v>
      </c>
      <c r="L107" s="118">
        <v>2017</v>
      </c>
      <c r="M107" s="118">
        <f t="shared" si="5"/>
        <v>2</v>
      </c>
      <c r="N107" s="115" t="s">
        <v>3</v>
      </c>
      <c r="O107" s="115" t="s">
        <v>464</v>
      </c>
      <c r="P107" s="116" t="s">
        <v>470</v>
      </c>
      <c r="Q107" s="115"/>
      <c r="R107" s="116" t="s">
        <v>471</v>
      </c>
    </row>
    <row r="108" spans="2:18" ht="25.5">
      <c r="B108" s="165">
        <v>29</v>
      </c>
      <c r="C108" s="165" t="s">
        <v>677</v>
      </c>
      <c r="D108" s="115">
        <v>101</v>
      </c>
      <c r="E108" s="116" t="s">
        <v>273</v>
      </c>
      <c r="F108" s="115" t="s">
        <v>6</v>
      </c>
      <c r="G108" s="115" t="s">
        <v>274</v>
      </c>
      <c r="H108" s="115" t="s">
        <v>1</v>
      </c>
      <c r="I108" s="115" t="s">
        <v>9</v>
      </c>
      <c r="J108" s="116" t="s">
        <v>463</v>
      </c>
      <c r="K108" s="117">
        <v>30681</v>
      </c>
      <c r="L108" s="118">
        <v>1983</v>
      </c>
      <c r="M108" s="118">
        <f t="shared" si="5"/>
        <v>36</v>
      </c>
      <c r="N108" s="115" t="s">
        <v>3</v>
      </c>
      <c r="O108" s="115" t="s">
        <v>464</v>
      </c>
      <c r="P108" s="116" t="s">
        <v>468</v>
      </c>
      <c r="Q108" s="115"/>
      <c r="R108" s="116" t="s">
        <v>466</v>
      </c>
    </row>
    <row r="109" spans="2:18" ht="25.5">
      <c r="B109" s="166"/>
      <c r="C109" s="166"/>
      <c r="D109" s="115">
        <v>102</v>
      </c>
      <c r="E109" s="116" t="s">
        <v>275</v>
      </c>
      <c r="F109" s="115" t="s">
        <v>8</v>
      </c>
      <c r="G109" s="115" t="s">
        <v>276</v>
      </c>
      <c r="H109" s="115" t="s">
        <v>7</v>
      </c>
      <c r="I109" s="115" t="s">
        <v>2</v>
      </c>
      <c r="J109" s="116" t="s">
        <v>674</v>
      </c>
      <c r="K109" s="117">
        <v>31777</v>
      </c>
      <c r="L109" s="118">
        <v>1986</v>
      </c>
      <c r="M109" s="118">
        <f t="shared" si="5"/>
        <v>33</v>
      </c>
      <c r="N109" s="115" t="s">
        <v>3</v>
      </c>
      <c r="O109" s="115" t="s">
        <v>464</v>
      </c>
      <c r="P109" s="116" t="s">
        <v>465</v>
      </c>
      <c r="Q109" s="115"/>
      <c r="R109" s="116" t="s">
        <v>26</v>
      </c>
    </row>
    <row r="110" spans="2:18" ht="25.5">
      <c r="B110" s="166"/>
      <c r="C110" s="166"/>
      <c r="D110" s="115">
        <v>103</v>
      </c>
      <c r="E110" s="116" t="s">
        <v>277</v>
      </c>
      <c r="F110" s="115" t="s">
        <v>11</v>
      </c>
      <c r="G110" s="115" t="s">
        <v>278</v>
      </c>
      <c r="H110" s="115" t="s">
        <v>1</v>
      </c>
      <c r="I110" s="115" t="s">
        <v>9</v>
      </c>
      <c r="J110" s="116" t="s">
        <v>675</v>
      </c>
      <c r="K110" s="117">
        <v>38895</v>
      </c>
      <c r="L110" s="118">
        <v>2006</v>
      </c>
      <c r="M110" s="118">
        <f t="shared" si="5"/>
        <v>13</v>
      </c>
      <c r="N110" s="115" t="s">
        <v>3</v>
      </c>
      <c r="O110" s="115" t="s">
        <v>464</v>
      </c>
      <c r="P110" s="116" t="s">
        <v>470</v>
      </c>
      <c r="Q110" s="115"/>
      <c r="R110" s="116" t="s">
        <v>471</v>
      </c>
    </row>
    <row r="111" spans="2:18" ht="38.25">
      <c r="B111" s="167"/>
      <c r="C111" s="167"/>
      <c r="D111" s="115">
        <v>104</v>
      </c>
      <c r="E111" s="116" t="s">
        <v>672</v>
      </c>
      <c r="F111" s="115" t="s">
        <v>11</v>
      </c>
      <c r="G111" s="115" t="s">
        <v>673</v>
      </c>
      <c r="H111" s="115" t="s">
        <v>7</v>
      </c>
      <c r="I111" s="115" t="s">
        <v>9</v>
      </c>
      <c r="J111" s="116" t="s">
        <v>676</v>
      </c>
      <c r="K111" s="117">
        <v>41299</v>
      </c>
      <c r="L111" s="118">
        <v>2013</v>
      </c>
      <c r="M111" s="118">
        <f t="shared" si="5"/>
        <v>6</v>
      </c>
      <c r="N111" s="115" t="s">
        <v>3</v>
      </c>
      <c r="O111" s="115" t="s">
        <v>464</v>
      </c>
      <c r="P111" s="116" t="s">
        <v>470</v>
      </c>
      <c r="Q111" s="115"/>
      <c r="R111" s="116" t="s">
        <v>471</v>
      </c>
    </row>
    <row r="112" spans="2:18" ht="25.5">
      <c r="B112" s="168">
        <v>30</v>
      </c>
      <c r="C112" s="168" t="s">
        <v>685</v>
      </c>
      <c r="D112" s="115">
        <v>105</v>
      </c>
      <c r="E112" s="116" t="s">
        <v>279</v>
      </c>
      <c r="F112" s="115" t="s">
        <v>6</v>
      </c>
      <c r="G112" s="115" t="s">
        <v>280</v>
      </c>
      <c r="H112" s="115" t="s">
        <v>1</v>
      </c>
      <c r="I112" s="115" t="s">
        <v>2</v>
      </c>
      <c r="J112" s="116" t="s">
        <v>463</v>
      </c>
      <c r="K112" s="117">
        <v>22500</v>
      </c>
      <c r="L112" s="118">
        <v>1961</v>
      </c>
      <c r="M112" s="118">
        <f t="shared" si="5"/>
        <v>58</v>
      </c>
      <c r="N112" s="115" t="s">
        <v>3</v>
      </c>
      <c r="O112" s="115" t="s">
        <v>464</v>
      </c>
      <c r="P112" s="116" t="s">
        <v>465</v>
      </c>
      <c r="Q112" s="115"/>
      <c r="R112" s="116" t="s">
        <v>480</v>
      </c>
    </row>
    <row r="113" spans="2:18" ht="38.25">
      <c r="B113" s="168"/>
      <c r="C113" s="168"/>
      <c r="D113" s="115">
        <v>106</v>
      </c>
      <c r="E113" s="116" t="s">
        <v>281</v>
      </c>
      <c r="F113" s="115" t="s">
        <v>8</v>
      </c>
      <c r="G113" s="115" t="s">
        <v>282</v>
      </c>
      <c r="H113" s="115" t="s">
        <v>7</v>
      </c>
      <c r="I113" s="115" t="s">
        <v>2</v>
      </c>
      <c r="J113" s="116" t="s">
        <v>463</v>
      </c>
      <c r="K113" s="117">
        <v>23296</v>
      </c>
      <c r="L113" s="118">
        <v>1963</v>
      </c>
      <c r="M113" s="118">
        <f t="shared" si="5"/>
        <v>56</v>
      </c>
      <c r="N113" s="115" t="s">
        <v>3</v>
      </c>
      <c r="O113" s="115" t="s">
        <v>464</v>
      </c>
      <c r="P113" s="116" t="s">
        <v>465</v>
      </c>
      <c r="Q113" s="115"/>
      <c r="R113" s="116" t="s">
        <v>467</v>
      </c>
    </row>
    <row r="114" spans="2:18">
      <c r="B114" s="168"/>
      <c r="C114" s="168"/>
      <c r="D114" s="115">
        <v>107</v>
      </c>
      <c r="E114" s="116" t="s">
        <v>283</v>
      </c>
      <c r="F114" s="115" t="s">
        <v>11</v>
      </c>
      <c r="G114" s="115" t="s">
        <v>284</v>
      </c>
      <c r="H114" s="115" t="s">
        <v>7</v>
      </c>
      <c r="I114" s="115" t="s">
        <v>9</v>
      </c>
      <c r="J114" s="116" t="s">
        <v>463</v>
      </c>
      <c r="K114" s="117">
        <v>33122</v>
      </c>
      <c r="L114" s="118">
        <v>1990</v>
      </c>
      <c r="M114" s="118">
        <f t="shared" si="5"/>
        <v>29</v>
      </c>
      <c r="N114" s="115" t="s">
        <v>3</v>
      </c>
      <c r="O114" s="115" t="s">
        <v>464</v>
      </c>
      <c r="P114" s="116" t="s">
        <v>474</v>
      </c>
      <c r="Q114" s="115"/>
      <c r="R114" s="116" t="s">
        <v>26</v>
      </c>
    </row>
    <row r="115" spans="2:18" ht="25.5">
      <c r="B115" s="168"/>
      <c r="C115" s="168"/>
      <c r="D115" s="115">
        <v>108</v>
      </c>
      <c r="E115" s="116" t="s">
        <v>82</v>
      </c>
      <c r="F115" s="115" t="s">
        <v>11</v>
      </c>
      <c r="G115" s="115" t="s">
        <v>285</v>
      </c>
      <c r="H115" s="115" t="s">
        <v>7</v>
      </c>
      <c r="I115" s="115" t="s">
        <v>9</v>
      </c>
      <c r="J115" s="116" t="s">
        <v>463</v>
      </c>
      <c r="K115" s="117">
        <v>34135</v>
      </c>
      <c r="L115" s="118">
        <v>1993</v>
      </c>
      <c r="M115" s="118">
        <f t="shared" si="5"/>
        <v>26</v>
      </c>
      <c r="N115" s="115" t="s">
        <v>3</v>
      </c>
      <c r="O115" s="115" t="s">
        <v>464</v>
      </c>
      <c r="P115" s="116" t="s">
        <v>474</v>
      </c>
      <c r="Q115" s="115"/>
      <c r="R115" s="116" t="s">
        <v>471</v>
      </c>
    </row>
    <row r="116" spans="2:18" ht="25.5">
      <c r="B116" s="168"/>
      <c r="C116" s="168"/>
      <c r="D116" s="115">
        <v>109</v>
      </c>
      <c r="E116" s="116" t="s">
        <v>81</v>
      </c>
      <c r="F116" s="115" t="s">
        <v>11</v>
      </c>
      <c r="G116" s="115" t="s">
        <v>686</v>
      </c>
      <c r="H116" s="115" t="s">
        <v>1</v>
      </c>
      <c r="I116" s="115" t="s">
        <v>9</v>
      </c>
      <c r="J116" s="116" t="s">
        <v>463</v>
      </c>
      <c r="K116" s="117">
        <v>35288</v>
      </c>
      <c r="L116" s="118">
        <v>1996</v>
      </c>
      <c r="M116" s="118">
        <f t="shared" si="5"/>
        <v>23</v>
      </c>
      <c r="N116" s="115" t="s">
        <v>3</v>
      </c>
      <c r="O116" s="115" t="s">
        <v>464</v>
      </c>
      <c r="P116" s="116" t="s">
        <v>474</v>
      </c>
      <c r="Q116" s="115"/>
      <c r="R116" s="116" t="s">
        <v>471</v>
      </c>
    </row>
    <row r="117" spans="2:18" ht="25.5">
      <c r="B117" s="168">
        <v>31</v>
      </c>
      <c r="C117" s="168" t="s">
        <v>867</v>
      </c>
      <c r="D117" s="115">
        <v>110</v>
      </c>
      <c r="E117" s="116" t="s">
        <v>286</v>
      </c>
      <c r="F117" s="115" t="s">
        <v>6</v>
      </c>
      <c r="G117" s="115" t="s">
        <v>287</v>
      </c>
      <c r="H117" s="115" t="s">
        <v>1</v>
      </c>
      <c r="I117" s="115" t="s">
        <v>2</v>
      </c>
      <c r="J117" s="116"/>
      <c r="K117" s="117">
        <v>27029</v>
      </c>
      <c r="L117" s="118">
        <v>1973</v>
      </c>
      <c r="M117" s="118">
        <f t="shared" si="5"/>
        <v>46</v>
      </c>
      <c r="N117" s="115" t="s">
        <v>3</v>
      </c>
      <c r="O117" s="115" t="s">
        <v>464</v>
      </c>
      <c r="P117" s="116" t="s">
        <v>465</v>
      </c>
      <c r="Q117" s="115"/>
      <c r="R117" s="116" t="s">
        <v>866</v>
      </c>
    </row>
    <row r="118" spans="2:18" ht="25.5">
      <c r="B118" s="168"/>
      <c r="C118" s="168"/>
      <c r="D118" s="115">
        <v>111</v>
      </c>
      <c r="E118" s="116" t="s">
        <v>23</v>
      </c>
      <c r="F118" s="115" t="s">
        <v>8</v>
      </c>
      <c r="G118" s="115" t="s">
        <v>288</v>
      </c>
      <c r="H118" s="115" t="s">
        <v>7</v>
      </c>
      <c r="I118" s="115" t="s">
        <v>2</v>
      </c>
      <c r="J118" s="116"/>
      <c r="K118" s="117">
        <v>28074</v>
      </c>
      <c r="L118" s="118">
        <v>1976</v>
      </c>
      <c r="M118" s="118">
        <f t="shared" si="5"/>
        <v>43</v>
      </c>
      <c r="N118" s="115" t="s">
        <v>3</v>
      </c>
      <c r="O118" s="115" t="s">
        <v>464</v>
      </c>
      <c r="P118" s="116" t="s">
        <v>465</v>
      </c>
      <c r="Q118" s="115"/>
      <c r="R118" s="116" t="s">
        <v>480</v>
      </c>
    </row>
    <row r="119" spans="2:18" ht="25.5">
      <c r="B119" s="168"/>
      <c r="C119" s="168"/>
      <c r="D119" s="115">
        <v>112</v>
      </c>
      <c r="E119" s="116" t="s">
        <v>289</v>
      </c>
      <c r="F119" s="115" t="s">
        <v>11</v>
      </c>
      <c r="G119" s="115" t="s">
        <v>290</v>
      </c>
      <c r="H119" s="115" t="s">
        <v>7</v>
      </c>
      <c r="I119" s="115" t="s">
        <v>9</v>
      </c>
      <c r="J119" s="116"/>
      <c r="K119" s="117">
        <v>35552</v>
      </c>
      <c r="L119" s="118">
        <v>1997</v>
      </c>
      <c r="M119" s="118">
        <f t="shared" si="5"/>
        <v>22</v>
      </c>
      <c r="N119" s="115" t="s">
        <v>3</v>
      </c>
      <c r="O119" s="115" t="s">
        <v>464</v>
      </c>
      <c r="P119" s="116" t="s">
        <v>465</v>
      </c>
      <c r="Q119" s="115"/>
      <c r="R119" s="116" t="s">
        <v>469</v>
      </c>
    </row>
    <row r="120" spans="2:18" ht="25.5">
      <c r="B120" s="168"/>
      <c r="C120" s="168"/>
      <c r="D120" s="115">
        <v>113</v>
      </c>
      <c r="E120" s="116" t="s">
        <v>291</v>
      </c>
      <c r="F120" s="115" t="s">
        <v>11</v>
      </c>
      <c r="G120" s="115" t="s">
        <v>292</v>
      </c>
      <c r="H120" s="115" t="s">
        <v>1</v>
      </c>
      <c r="I120" s="115" t="s">
        <v>9</v>
      </c>
      <c r="J120" s="116"/>
      <c r="K120" s="117">
        <v>39780</v>
      </c>
      <c r="L120" s="118">
        <v>2008</v>
      </c>
      <c r="M120" s="118">
        <f t="shared" si="5"/>
        <v>11</v>
      </c>
      <c r="N120" s="115" t="s">
        <v>3</v>
      </c>
      <c r="O120" s="115" t="s">
        <v>464</v>
      </c>
      <c r="P120" s="116" t="s">
        <v>470</v>
      </c>
      <c r="Q120" s="115"/>
      <c r="R120" s="116" t="s">
        <v>471</v>
      </c>
    </row>
    <row r="121" spans="2:18" ht="25.5">
      <c r="B121" s="168"/>
      <c r="C121" s="168"/>
      <c r="D121" s="115">
        <v>114</v>
      </c>
      <c r="E121" s="116" t="s">
        <v>64</v>
      </c>
      <c r="F121" s="115" t="s">
        <v>865</v>
      </c>
      <c r="G121" s="115" t="s">
        <v>293</v>
      </c>
      <c r="H121" s="115" t="s">
        <v>7</v>
      </c>
      <c r="I121" s="115" t="s">
        <v>9</v>
      </c>
      <c r="J121" s="116"/>
      <c r="K121" s="117">
        <v>35228</v>
      </c>
      <c r="L121" s="118">
        <v>1996</v>
      </c>
      <c r="M121" s="118">
        <f t="shared" si="5"/>
        <v>23</v>
      </c>
      <c r="N121" s="115" t="s">
        <v>3</v>
      </c>
      <c r="O121" s="115" t="s">
        <v>464</v>
      </c>
      <c r="P121" s="116" t="s">
        <v>465</v>
      </c>
      <c r="Q121" s="115"/>
      <c r="R121" s="116" t="s">
        <v>469</v>
      </c>
    </row>
    <row r="122" spans="2:18" ht="25.5">
      <c r="B122" s="168">
        <v>32</v>
      </c>
      <c r="C122" s="168" t="s">
        <v>651</v>
      </c>
      <c r="D122" s="115">
        <v>115</v>
      </c>
      <c r="E122" s="116" t="s">
        <v>294</v>
      </c>
      <c r="F122" s="115" t="s">
        <v>6</v>
      </c>
      <c r="G122" s="115" t="s">
        <v>295</v>
      </c>
      <c r="H122" s="115" t="s">
        <v>1</v>
      </c>
      <c r="I122" s="115" t="s">
        <v>2</v>
      </c>
      <c r="J122" s="116" t="s">
        <v>463</v>
      </c>
      <c r="K122" s="117">
        <v>23742</v>
      </c>
      <c r="L122" s="118">
        <v>1964</v>
      </c>
      <c r="M122" s="118">
        <f t="shared" si="5"/>
        <v>55</v>
      </c>
      <c r="N122" s="115" t="s">
        <v>3</v>
      </c>
      <c r="O122" s="115" t="s">
        <v>464</v>
      </c>
      <c r="P122" s="116" t="s">
        <v>465</v>
      </c>
      <c r="Q122" s="115"/>
      <c r="R122" s="116" t="s">
        <v>492</v>
      </c>
    </row>
    <row r="123" spans="2:18" ht="25.5">
      <c r="B123" s="168"/>
      <c r="C123" s="168"/>
      <c r="D123" s="115">
        <v>116</v>
      </c>
      <c r="E123" s="116" t="s">
        <v>19</v>
      </c>
      <c r="F123" s="115" t="s">
        <v>8</v>
      </c>
      <c r="G123" s="115" t="s">
        <v>653</v>
      </c>
      <c r="H123" s="115" t="s">
        <v>7</v>
      </c>
      <c r="I123" s="115" t="s">
        <v>2</v>
      </c>
      <c r="J123" s="116" t="s">
        <v>463</v>
      </c>
      <c r="K123" s="117">
        <v>24472</v>
      </c>
      <c r="L123" s="118">
        <v>1966</v>
      </c>
      <c r="M123" s="118">
        <f t="shared" si="5"/>
        <v>53</v>
      </c>
      <c r="N123" s="115" t="s">
        <v>3</v>
      </c>
      <c r="O123" s="115" t="s">
        <v>464</v>
      </c>
      <c r="P123" s="116" t="s">
        <v>465</v>
      </c>
      <c r="Q123" s="115"/>
      <c r="R123" s="116" t="s">
        <v>492</v>
      </c>
    </row>
    <row r="124" spans="2:18" ht="25.5">
      <c r="B124" s="168"/>
      <c r="C124" s="168"/>
      <c r="D124" s="115">
        <v>117</v>
      </c>
      <c r="E124" s="116" t="s">
        <v>296</v>
      </c>
      <c r="F124" s="115" t="s">
        <v>11</v>
      </c>
      <c r="G124" s="115" t="s">
        <v>297</v>
      </c>
      <c r="H124" s="115" t="s">
        <v>1</v>
      </c>
      <c r="I124" s="115" t="s">
        <v>9</v>
      </c>
      <c r="J124" s="116" t="s">
        <v>463</v>
      </c>
      <c r="K124" s="117">
        <v>31361</v>
      </c>
      <c r="L124" s="118">
        <v>1985</v>
      </c>
      <c r="M124" s="118">
        <f t="shared" si="5"/>
        <v>34</v>
      </c>
      <c r="N124" s="115" t="s">
        <v>3</v>
      </c>
      <c r="O124" s="115" t="s">
        <v>464</v>
      </c>
      <c r="P124" s="116" t="s">
        <v>465</v>
      </c>
      <c r="Q124" s="115"/>
      <c r="R124" s="116" t="s">
        <v>466</v>
      </c>
    </row>
    <row r="125" spans="2:18" ht="25.5">
      <c r="B125" s="168"/>
      <c r="C125" s="168"/>
      <c r="D125" s="115">
        <v>118</v>
      </c>
      <c r="E125" s="116" t="s">
        <v>652</v>
      </c>
      <c r="F125" s="115" t="s">
        <v>11</v>
      </c>
      <c r="G125" s="115" t="s">
        <v>654</v>
      </c>
      <c r="H125" s="115" t="s">
        <v>1</v>
      </c>
      <c r="I125" s="115" t="s">
        <v>9</v>
      </c>
      <c r="J125" s="116" t="s">
        <v>463</v>
      </c>
      <c r="K125" s="117">
        <v>33222</v>
      </c>
      <c r="L125" s="118">
        <v>1990</v>
      </c>
      <c r="M125" s="118">
        <f t="shared" si="5"/>
        <v>29</v>
      </c>
      <c r="N125" s="115" t="s">
        <v>3</v>
      </c>
      <c r="O125" s="115" t="s">
        <v>464</v>
      </c>
      <c r="P125" s="116" t="s">
        <v>465</v>
      </c>
      <c r="Q125" s="115"/>
      <c r="R125" s="116" t="s">
        <v>466</v>
      </c>
    </row>
    <row r="126" spans="2:18" ht="25.5">
      <c r="B126" s="168"/>
      <c r="C126" s="168"/>
      <c r="D126" s="115">
        <v>119</v>
      </c>
      <c r="E126" s="116" t="s">
        <v>298</v>
      </c>
      <c r="F126" s="115" t="s">
        <v>11</v>
      </c>
      <c r="G126" s="115" t="s">
        <v>299</v>
      </c>
      <c r="H126" s="115" t="s">
        <v>1</v>
      </c>
      <c r="I126" s="115" t="s">
        <v>9</v>
      </c>
      <c r="J126" s="116" t="s">
        <v>463</v>
      </c>
      <c r="K126" s="117">
        <v>36506</v>
      </c>
      <c r="L126" s="118">
        <v>1999</v>
      </c>
      <c r="M126" s="118">
        <f t="shared" si="5"/>
        <v>20</v>
      </c>
      <c r="N126" s="115" t="s">
        <v>3</v>
      </c>
      <c r="O126" s="115" t="s">
        <v>464</v>
      </c>
      <c r="P126" s="116" t="s">
        <v>465</v>
      </c>
      <c r="Q126" s="115"/>
      <c r="R126" s="116" t="s">
        <v>466</v>
      </c>
    </row>
    <row r="127" spans="2:18">
      <c r="B127" s="115">
        <v>33</v>
      </c>
      <c r="C127" s="115"/>
      <c r="D127" s="115">
        <v>120</v>
      </c>
      <c r="E127" s="116" t="s">
        <v>300</v>
      </c>
      <c r="F127" s="115" t="s">
        <v>6</v>
      </c>
      <c r="G127" s="115" t="s">
        <v>301</v>
      </c>
      <c r="H127" s="115" t="s">
        <v>7</v>
      </c>
      <c r="I127" s="115" t="s">
        <v>16</v>
      </c>
      <c r="J127" s="116"/>
      <c r="K127" s="117">
        <v>23924</v>
      </c>
      <c r="L127" s="118">
        <f>YEAR(K127)</f>
        <v>1965</v>
      </c>
      <c r="M127" s="118">
        <f t="shared" si="5"/>
        <v>54</v>
      </c>
      <c r="N127" s="115" t="s">
        <v>3</v>
      </c>
      <c r="O127" s="115"/>
      <c r="P127" s="116" t="s">
        <v>4</v>
      </c>
      <c r="Q127" s="115"/>
      <c r="R127" s="116" t="s">
        <v>5</v>
      </c>
    </row>
    <row r="128" spans="2:18" ht="25.5">
      <c r="B128" s="168">
        <v>34</v>
      </c>
      <c r="C128" s="168" t="s">
        <v>916</v>
      </c>
      <c r="D128" s="115">
        <v>121</v>
      </c>
      <c r="E128" s="116" t="s">
        <v>17</v>
      </c>
      <c r="F128" s="115" t="s">
        <v>6</v>
      </c>
      <c r="G128" s="115" t="s">
        <v>917</v>
      </c>
      <c r="H128" s="115" t="s">
        <v>7</v>
      </c>
      <c r="I128" s="115" t="s">
        <v>16</v>
      </c>
      <c r="J128" s="116" t="s">
        <v>526</v>
      </c>
      <c r="K128" s="117">
        <v>28855</v>
      </c>
      <c r="L128" s="118">
        <v>1978</v>
      </c>
      <c r="M128" s="118">
        <f t="shared" si="5"/>
        <v>41</v>
      </c>
      <c r="N128" s="115" t="s">
        <v>3</v>
      </c>
      <c r="O128" s="115" t="s">
        <v>464</v>
      </c>
      <c r="P128" s="116" t="s">
        <v>465</v>
      </c>
      <c r="Q128" s="115"/>
      <c r="R128" s="116" t="s">
        <v>492</v>
      </c>
    </row>
    <row r="129" spans="1:19" ht="25.5">
      <c r="B129" s="168"/>
      <c r="C129" s="168"/>
      <c r="D129" s="115">
        <v>122</v>
      </c>
      <c r="E129" s="116" t="s">
        <v>303</v>
      </c>
      <c r="F129" s="115" t="s">
        <v>11</v>
      </c>
      <c r="G129" s="115" t="s">
        <v>918</v>
      </c>
      <c r="H129" s="115" t="s">
        <v>7</v>
      </c>
      <c r="I129" s="115" t="s">
        <v>9</v>
      </c>
      <c r="J129" s="116" t="s">
        <v>463</v>
      </c>
      <c r="K129" s="117">
        <v>37340</v>
      </c>
      <c r="L129" s="118">
        <v>2002</v>
      </c>
      <c r="M129" s="118">
        <f t="shared" si="5"/>
        <v>17</v>
      </c>
      <c r="N129" s="115" t="s">
        <v>3</v>
      </c>
      <c r="O129" s="115" t="s">
        <v>464</v>
      </c>
      <c r="P129" s="116" t="s">
        <v>474</v>
      </c>
      <c r="Q129" s="115"/>
      <c r="R129" s="116" t="s">
        <v>469</v>
      </c>
    </row>
    <row r="130" spans="1:19" ht="25.5">
      <c r="B130" s="168">
        <v>35</v>
      </c>
      <c r="C130" s="168" t="s">
        <v>913</v>
      </c>
      <c r="D130" s="115">
        <v>123</v>
      </c>
      <c r="E130" s="116" t="s">
        <v>38</v>
      </c>
      <c r="F130" s="115" t="s">
        <v>6</v>
      </c>
      <c r="G130" s="115" t="s">
        <v>304</v>
      </c>
      <c r="H130" s="115" t="s">
        <v>1</v>
      </c>
      <c r="I130" s="115" t="s">
        <v>2</v>
      </c>
      <c r="J130" s="116" t="s">
        <v>463</v>
      </c>
      <c r="K130" s="117">
        <v>30732</v>
      </c>
      <c r="L130" s="118">
        <v>1984</v>
      </c>
      <c r="M130" s="118">
        <f t="shared" si="5"/>
        <v>35</v>
      </c>
      <c r="N130" s="115" t="s">
        <v>3</v>
      </c>
      <c r="O130" s="115" t="s">
        <v>464</v>
      </c>
      <c r="P130" s="116" t="s">
        <v>465</v>
      </c>
      <c r="Q130" s="115"/>
      <c r="R130" s="116" t="s">
        <v>866</v>
      </c>
    </row>
    <row r="131" spans="1:19" ht="38.25">
      <c r="B131" s="168"/>
      <c r="C131" s="168"/>
      <c r="D131" s="115">
        <v>124</v>
      </c>
      <c r="E131" s="116" t="s">
        <v>305</v>
      </c>
      <c r="F131" s="115" t="s">
        <v>8</v>
      </c>
      <c r="G131" s="115" t="s">
        <v>306</v>
      </c>
      <c r="H131" s="115" t="s">
        <v>7</v>
      </c>
      <c r="I131" s="115" t="s">
        <v>2</v>
      </c>
      <c r="J131" s="116" t="s">
        <v>478</v>
      </c>
      <c r="K131" s="117">
        <v>32142</v>
      </c>
      <c r="L131" s="118">
        <v>1987</v>
      </c>
      <c r="M131" s="118">
        <f t="shared" si="5"/>
        <v>32</v>
      </c>
      <c r="N131" s="115" t="s">
        <v>3</v>
      </c>
      <c r="O131" s="115" t="s">
        <v>464</v>
      </c>
      <c r="P131" s="116" t="s">
        <v>465</v>
      </c>
      <c r="Q131" s="115"/>
      <c r="R131" s="116" t="s">
        <v>467</v>
      </c>
    </row>
    <row r="132" spans="1:19" ht="25.5">
      <c r="B132" s="168"/>
      <c r="C132" s="168"/>
      <c r="D132" s="115">
        <v>125</v>
      </c>
      <c r="E132" s="116" t="s">
        <v>307</v>
      </c>
      <c r="F132" s="115" t="s">
        <v>11</v>
      </c>
      <c r="G132" s="115" t="s">
        <v>308</v>
      </c>
      <c r="H132" s="115" t="s">
        <v>1</v>
      </c>
      <c r="I132" s="115" t="s">
        <v>9</v>
      </c>
      <c r="J132" s="116" t="s">
        <v>463</v>
      </c>
      <c r="K132" s="117">
        <v>38513</v>
      </c>
      <c r="L132" s="118">
        <v>2005</v>
      </c>
      <c r="M132" s="118">
        <f t="shared" si="5"/>
        <v>14</v>
      </c>
      <c r="N132" s="115" t="s">
        <v>3</v>
      </c>
      <c r="O132" s="115" t="s">
        <v>464</v>
      </c>
      <c r="P132" s="116" t="s">
        <v>468</v>
      </c>
      <c r="Q132" s="115"/>
      <c r="R132" s="116" t="s">
        <v>469</v>
      </c>
    </row>
    <row r="133" spans="1:19" ht="25.5">
      <c r="B133" s="168"/>
      <c r="C133" s="168"/>
      <c r="D133" s="115">
        <v>126</v>
      </c>
      <c r="E133" s="116" t="s">
        <v>309</v>
      </c>
      <c r="F133" s="115" t="s">
        <v>11</v>
      </c>
      <c r="G133" s="115" t="s">
        <v>310</v>
      </c>
      <c r="H133" s="115" t="s">
        <v>1</v>
      </c>
      <c r="I133" s="115" t="s">
        <v>9</v>
      </c>
      <c r="J133" s="116" t="s">
        <v>463</v>
      </c>
      <c r="K133" s="117">
        <v>40231</v>
      </c>
      <c r="L133" s="118">
        <v>2010</v>
      </c>
      <c r="M133" s="118">
        <f t="shared" si="5"/>
        <v>9</v>
      </c>
      <c r="N133" s="115" t="s">
        <v>3</v>
      </c>
      <c r="O133" s="115" t="s">
        <v>464</v>
      </c>
      <c r="P133" s="116" t="s">
        <v>468</v>
      </c>
      <c r="Q133" s="115"/>
      <c r="R133" s="116" t="s">
        <v>469</v>
      </c>
    </row>
    <row r="134" spans="1:19">
      <c r="B134" s="168">
        <v>36</v>
      </c>
      <c r="C134" s="168"/>
      <c r="D134" s="115">
        <v>127</v>
      </c>
      <c r="E134" s="116" t="s">
        <v>311</v>
      </c>
      <c r="F134" s="115" t="s">
        <v>6</v>
      </c>
      <c r="G134" s="115" t="s">
        <v>211</v>
      </c>
      <c r="H134" s="115" t="s">
        <v>1</v>
      </c>
      <c r="I134" s="115" t="s">
        <v>2</v>
      </c>
      <c r="J134" s="116"/>
      <c r="K134" s="117">
        <v>33642</v>
      </c>
      <c r="L134" s="118">
        <f t="shared" ref="L134:L136" si="6">YEAR(K134)</f>
        <v>1992</v>
      </c>
      <c r="M134" s="118">
        <f t="shared" si="5"/>
        <v>27</v>
      </c>
      <c r="N134" s="115" t="s">
        <v>3</v>
      </c>
      <c r="O134" s="115"/>
      <c r="P134" s="116" t="s">
        <v>18</v>
      </c>
      <c r="Q134" s="115"/>
      <c r="R134" s="116" t="s">
        <v>5</v>
      </c>
    </row>
    <row r="135" spans="1:19">
      <c r="B135" s="168"/>
      <c r="C135" s="168"/>
      <c r="D135" s="115">
        <v>128</v>
      </c>
      <c r="E135" s="116" t="s">
        <v>312</v>
      </c>
      <c r="F135" s="115" t="s">
        <v>8</v>
      </c>
      <c r="G135" s="115" t="s">
        <v>313</v>
      </c>
      <c r="H135" s="115" t="s">
        <v>7</v>
      </c>
      <c r="I135" s="115" t="s">
        <v>2</v>
      </c>
      <c r="J135" s="116"/>
      <c r="K135" s="117">
        <v>35023</v>
      </c>
      <c r="L135" s="118">
        <f t="shared" si="6"/>
        <v>1995</v>
      </c>
      <c r="M135" s="118">
        <f t="shared" ref="M135:M166" si="7">2019-L135</f>
        <v>24</v>
      </c>
      <c r="N135" s="115" t="s">
        <v>3</v>
      </c>
      <c r="O135" s="115"/>
      <c r="P135" s="116" t="s">
        <v>18</v>
      </c>
      <c r="Q135" s="115"/>
      <c r="R135" s="116" t="s">
        <v>5</v>
      </c>
    </row>
    <row r="136" spans="1:19" ht="25.5">
      <c r="B136" s="168"/>
      <c r="C136" s="168"/>
      <c r="D136" s="115">
        <v>129</v>
      </c>
      <c r="E136" s="116" t="s">
        <v>314</v>
      </c>
      <c r="F136" s="115" t="s">
        <v>11</v>
      </c>
      <c r="G136" s="115" t="s">
        <v>315</v>
      </c>
      <c r="H136" s="115" t="s">
        <v>1</v>
      </c>
      <c r="I136" s="115" t="s">
        <v>9</v>
      </c>
      <c r="J136" s="116"/>
      <c r="K136" s="117">
        <v>42029</v>
      </c>
      <c r="L136" s="118">
        <f t="shared" si="6"/>
        <v>2015</v>
      </c>
      <c r="M136" s="118">
        <f t="shared" si="7"/>
        <v>4</v>
      </c>
      <c r="N136" s="115" t="s">
        <v>3</v>
      </c>
      <c r="O136" s="115"/>
      <c r="P136" s="116" t="s">
        <v>4</v>
      </c>
      <c r="Q136" s="115"/>
      <c r="R136" s="116" t="s">
        <v>4</v>
      </c>
    </row>
    <row r="137" spans="1:19">
      <c r="B137" s="165">
        <v>37</v>
      </c>
      <c r="C137" s="165" t="s">
        <v>871</v>
      </c>
      <c r="D137" s="115">
        <v>130</v>
      </c>
      <c r="E137" s="116" t="s">
        <v>316</v>
      </c>
      <c r="F137" s="115" t="s">
        <v>6</v>
      </c>
      <c r="G137" s="115" t="s">
        <v>317</v>
      </c>
      <c r="H137" s="115" t="s">
        <v>1</v>
      </c>
      <c r="I137" s="115" t="s">
        <v>2</v>
      </c>
      <c r="J137" s="116" t="s">
        <v>463</v>
      </c>
      <c r="K137" s="117">
        <v>30680</v>
      </c>
      <c r="L137" s="118">
        <v>1983</v>
      </c>
      <c r="M137" s="118">
        <f t="shared" si="7"/>
        <v>36</v>
      </c>
      <c r="N137" s="115" t="s">
        <v>3</v>
      </c>
      <c r="O137" s="115" t="s">
        <v>464</v>
      </c>
      <c r="P137" s="116" t="s">
        <v>474</v>
      </c>
      <c r="Q137" s="115"/>
      <c r="R137" s="116" t="s">
        <v>466</v>
      </c>
    </row>
    <row r="138" spans="1:19" ht="38.25">
      <c r="B138" s="166"/>
      <c r="C138" s="166"/>
      <c r="D138" s="115">
        <v>131</v>
      </c>
      <c r="E138" s="116" t="s">
        <v>318</v>
      </c>
      <c r="F138" s="115" t="s">
        <v>8</v>
      </c>
      <c r="G138" s="115" t="s">
        <v>319</v>
      </c>
      <c r="H138" s="115" t="s">
        <v>7</v>
      </c>
      <c r="I138" s="115" t="s">
        <v>2</v>
      </c>
      <c r="J138" s="116" t="s">
        <v>870</v>
      </c>
      <c r="K138" s="117">
        <v>33091</v>
      </c>
      <c r="L138" s="118">
        <v>1990</v>
      </c>
      <c r="M138" s="118">
        <f t="shared" si="7"/>
        <v>29</v>
      </c>
      <c r="N138" s="115" t="s">
        <v>3</v>
      </c>
      <c r="O138" s="115" t="s">
        <v>464</v>
      </c>
      <c r="P138" s="116" t="s">
        <v>516</v>
      </c>
      <c r="Q138" s="115"/>
      <c r="R138" s="116" t="s">
        <v>467</v>
      </c>
    </row>
    <row r="139" spans="1:19" ht="25.5">
      <c r="B139" s="166"/>
      <c r="C139" s="166"/>
      <c r="D139" s="115">
        <v>132</v>
      </c>
      <c r="E139" s="116" t="s">
        <v>320</v>
      </c>
      <c r="F139" s="115" t="s">
        <v>11</v>
      </c>
      <c r="G139" s="115" t="s">
        <v>321</v>
      </c>
      <c r="H139" s="115" t="s">
        <v>1</v>
      </c>
      <c r="I139" s="115" t="s">
        <v>9</v>
      </c>
      <c r="J139" s="116" t="s">
        <v>558</v>
      </c>
      <c r="K139" s="117">
        <v>40866</v>
      </c>
      <c r="L139" s="118">
        <v>2011</v>
      </c>
      <c r="M139" s="118">
        <f t="shared" si="7"/>
        <v>8</v>
      </c>
      <c r="N139" s="115" t="s">
        <v>3</v>
      </c>
      <c r="O139" s="115" t="s">
        <v>464</v>
      </c>
      <c r="P139" s="116" t="s">
        <v>470</v>
      </c>
      <c r="Q139" s="115"/>
      <c r="R139" s="116" t="s">
        <v>471</v>
      </c>
    </row>
    <row r="140" spans="1:19" ht="25.5">
      <c r="B140" s="167"/>
      <c r="C140" s="167"/>
      <c r="D140" s="115">
        <v>133</v>
      </c>
      <c r="E140" s="116" t="s">
        <v>868</v>
      </c>
      <c r="F140" s="115" t="s">
        <v>11</v>
      </c>
      <c r="G140" s="115" t="s">
        <v>869</v>
      </c>
      <c r="H140" s="115" t="s">
        <v>1</v>
      </c>
      <c r="I140" s="115" t="s">
        <v>9</v>
      </c>
      <c r="J140" s="116" t="s">
        <v>550</v>
      </c>
      <c r="K140" s="117">
        <v>42130</v>
      </c>
      <c r="L140" s="118">
        <v>2015</v>
      </c>
      <c r="M140" s="118">
        <f t="shared" si="7"/>
        <v>4</v>
      </c>
      <c r="N140" s="115" t="s">
        <v>3</v>
      </c>
      <c r="O140" s="115" t="s">
        <v>464</v>
      </c>
      <c r="P140" s="116" t="s">
        <v>470</v>
      </c>
      <c r="Q140" s="115"/>
      <c r="R140" s="116" t="s">
        <v>471</v>
      </c>
    </row>
    <row r="141" spans="1:19" ht="25.5">
      <c r="B141" s="168">
        <v>38</v>
      </c>
      <c r="C141" s="168" t="s">
        <v>510</v>
      </c>
      <c r="D141" s="115">
        <v>134</v>
      </c>
      <c r="E141" s="116" t="s">
        <v>61</v>
      </c>
      <c r="F141" s="115" t="s">
        <v>6</v>
      </c>
      <c r="G141" s="115" t="s">
        <v>322</v>
      </c>
      <c r="H141" s="115" t="s">
        <v>1</v>
      </c>
      <c r="I141" s="115" t="s">
        <v>2</v>
      </c>
      <c r="J141" s="116" t="s">
        <v>463</v>
      </c>
      <c r="K141" s="117">
        <v>14793</v>
      </c>
      <c r="L141" s="118">
        <v>1940</v>
      </c>
      <c r="M141" s="118">
        <f t="shared" si="7"/>
        <v>79</v>
      </c>
      <c r="N141" s="115" t="s">
        <v>3</v>
      </c>
      <c r="O141" s="115" t="s">
        <v>464</v>
      </c>
      <c r="P141" s="116" t="s">
        <v>465</v>
      </c>
      <c r="Q141" s="115"/>
      <c r="R141" s="116" t="s">
        <v>480</v>
      </c>
    </row>
    <row r="142" spans="1:19" ht="25.5">
      <c r="B142" s="168"/>
      <c r="C142" s="168"/>
      <c r="D142" s="115">
        <v>135</v>
      </c>
      <c r="E142" s="116" t="s">
        <v>323</v>
      </c>
      <c r="F142" s="115" t="s">
        <v>8</v>
      </c>
      <c r="G142" s="115" t="s">
        <v>324</v>
      </c>
      <c r="H142" s="115" t="s">
        <v>7</v>
      </c>
      <c r="I142" s="115" t="s">
        <v>2</v>
      </c>
      <c r="J142" s="116" t="s">
        <v>511</v>
      </c>
      <c r="K142" s="117">
        <v>23043</v>
      </c>
      <c r="L142" s="118">
        <v>1963</v>
      </c>
      <c r="M142" s="118">
        <f t="shared" si="7"/>
        <v>56</v>
      </c>
      <c r="N142" s="115" t="s">
        <v>3</v>
      </c>
      <c r="O142" s="115" t="s">
        <v>464</v>
      </c>
      <c r="P142" s="116" t="s">
        <v>465</v>
      </c>
      <c r="Q142" s="115"/>
      <c r="R142" s="116" t="s">
        <v>26</v>
      </c>
    </row>
    <row r="143" spans="1:19" s="71" customFormat="1">
      <c r="A143" s="73"/>
      <c r="B143" s="165">
        <v>39</v>
      </c>
      <c r="C143" s="165" t="s">
        <v>846</v>
      </c>
      <c r="D143" s="115">
        <v>136</v>
      </c>
      <c r="E143" s="116" t="s">
        <v>325</v>
      </c>
      <c r="F143" s="115" t="s">
        <v>6</v>
      </c>
      <c r="G143" s="115" t="s">
        <v>326</v>
      </c>
      <c r="H143" s="115" t="s">
        <v>1</v>
      </c>
      <c r="I143" s="115" t="s">
        <v>2</v>
      </c>
      <c r="J143" s="116" t="s">
        <v>463</v>
      </c>
      <c r="K143" s="117">
        <v>29586</v>
      </c>
      <c r="L143" s="118">
        <v>1980</v>
      </c>
      <c r="M143" s="118">
        <f t="shared" si="7"/>
        <v>39</v>
      </c>
      <c r="N143" s="115" t="s">
        <v>3</v>
      </c>
      <c r="O143" s="115" t="s">
        <v>464</v>
      </c>
      <c r="P143" s="116" t="s">
        <v>474</v>
      </c>
      <c r="Q143" s="115"/>
      <c r="R143" s="116" t="s">
        <v>466</v>
      </c>
      <c r="S143" s="74"/>
    </row>
    <row r="144" spans="1:19" s="71" customFormat="1" ht="38.25">
      <c r="A144" s="73"/>
      <c r="B144" s="166"/>
      <c r="C144" s="166"/>
      <c r="D144" s="115">
        <v>137</v>
      </c>
      <c r="E144" s="116" t="s">
        <v>327</v>
      </c>
      <c r="F144" s="115" t="s">
        <v>8</v>
      </c>
      <c r="G144" s="115" t="s">
        <v>328</v>
      </c>
      <c r="H144" s="115" t="s">
        <v>7</v>
      </c>
      <c r="I144" s="115" t="s">
        <v>2</v>
      </c>
      <c r="J144" s="116" t="s">
        <v>478</v>
      </c>
      <c r="K144" s="117">
        <v>32808</v>
      </c>
      <c r="L144" s="118">
        <v>1989</v>
      </c>
      <c r="M144" s="118">
        <f t="shared" si="7"/>
        <v>30</v>
      </c>
      <c r="N144" s="115" t="s">
        <v>3</v>
      </c>
      <c r="O144" s="115" t="s">
        <v>464</v>
      </c>
      <c r="P144" s="116" t="s">
        <v>516</v>
      </c>
      <c r="Q144" s="115"/>
      <c r="R144" s="116" t="s">
        <v>467</v>
      </c>
      <c r="S144" s="74"/>
    </row>
    <row r="145" spans="1:19" s="71" customFormat="1" ht="25.5">
      <c r="A145" s="73"/>
      <c r="B145" s="166"/>
      <c r="C145" s="166"/>
      <c r="D145" s="115">
        <v>138</v>
      </c>
      <c r="E145" s="116" t="s">
        <v>65</v>
      </c>
      <c r="F145" s="115" t="s">
        <v>11</v>
      </c>
      <c r="G145" s="115" t="s">
        <v>329</v>
      </c>
      <c r="H145" s="115" t="s">
        <v>7</v>
      </c>
      <c r="I145" s="115" t="s">
        <v>9</v>
      </c>
      <c r="J145" s="116" t="s">
        <v>463</v>
      </c>
      <c r="K145" s="117">
        <v>35771</v>
      </c>
      <c r="L145" s="118">
        <v>1997</v>
      </c>
      <c r="M145" s="118">
        <f t="shared" si="7"/>
        <v>22</v>
      </c>
      <c r="N145" s="115" t="s">
        <v>3</v>
      </c>
      <c r="O145" s="115" t="s">
        <v>464</v>
      </c>
      <c r="P145" s="116" t="s">
        <v>516</v>
      </c>
      <c r="Q145" s="115"/>
      <c r="R145" s="116" t="s">
        <v>469</v>
      </c>
      <c r="S145" s="74"/>
    </row>
    <row r="146" spans="1:19" s="71" customFormat="1" ht="25.5">
      <c r="A146" s="73"/>
      <c r="B146" s="166"/>
      <c r="C146" s="166"/>
      <c r="D146" s="115">
        <v>139</v>
      </c>
      <c r="E146" s="116" t="s">
        <v>330</v>
      </c>
      <c r="F146" s="115" t="s">
        <v>11</v>
      </c>
      <c r="G146" s="115" t="s">
        <v>331</v>
      </c>
      <c r="H146" s="115" t="s">
        <v>7</v>
      </c>
      <c r="I146" s="115" t="s">
        <v>9</v>
      </c>
      <c r="J146" s="116" t="s">
        <v>463</v>
      </c>
      <c r="K146" s="117">
        <v>39648</v>
      </c>
      <c r="L146" s="118">
        <v>2008</v>
      </c>
      <c r="M146" s="118">
        <f t="shared" si="7"/>
        <v>11</v>
      </c>
      <c r="N146" s="115" t="s">
        <v>3</v>
      </c>
      <c r="O146" s="115" t="s">
        <v>464</v>
      </c>
      <c r="P146" s="116" t="s">
        <v>468</v>
      </c>
      <c r="Q146" s="115"/>
      <c r="R146" s="116" t="s">
        <v>469</v>
      </c>
      <c r="S146" s="74"/>
    </row>
    <row r="147" spans="1:19" s="71" customFormat="1" ht="25.5">
      <c r="A147" s="73"/>
      <c r="B147" s="166"/>
      <c r="C147" s="166"/>
      <c r="D147" s="115">
        <v>140</v>
      </c>
      <c r="E147" s="116" t="s">
        <v>332</v>
      </c>
      <c r="F147" s="115" t="s">
        <v>11</v>
      </c>
      <c r="G147" s="115" t="s">
        <v>333</v>
      </c>
      <c r="H147" s="115" t="s">
        <v>7</v>
      </c>
      <c r="I147" s="115" t="s">
        <v>9</v>
      </c>
      <c r="J147" s="116" t="s">
        <v>463</v>
      </c>
      <c r="K147" s="117">
        <v>40629</v>
      </c>
      <c r="L147" s="118">
        <v>2011</v>
      </c>
      <c r="M147" s="118">
        <f t="shared" si="7"/>
        <v>8</v>
      </c>
      <c r="N147" s="115" t="s">
        <v>3</v>
      </c>
      <c r="O147" s="115" t="s">
        <v>464</v>
      </c>
      <c r="P147" s="116" t="s">
        <v>470</v>
      </c>
      <c r="Q147" s="115"/>
      <c r="R147" s="116" t="s">
        <v>471</v>
      </c>
      <c r="S147" s="74"/>
    </row>
    <row r="148" spans="1:19" s="71" customFormat="1" ht="25.5">
      <c r="A148" s="73"/>
      <c r="B148" s="167"/>
      <c r="C148" s="167"/>
      <c r="D148" s="115">
        <v>141</v>
      </c>
      <c r="E148" s="116" t="s">
        <v>845</v>
      </c>
      <c r="F148" s="115" t="s">
        <v>11</v>
      </c>
      <c r="G148" s="115" t="s">
        <v>847</v>
      </c>
      <c r="H148" s="115" t="s">
        <v>7</v>
      </c>
      <c r="I148" s="115" t="s">
        <v>9</v>
      </c>
      <c r="J148" s="116" t="s">
        <v>463</v>
      </c>
      <c r="K148" s="117">
        <v>42081</v>
      </c>
      <c r="L148" s="118">
        <v>2015</v>
      </c>
      <c r="M148" s="118">
        <f t="shared" si="7"/>
        <v>4</v>
      </c>
      <c r="N148" s="115" t="s">
        <v>3</v>
      </c>
      <c r="O148" s="115" t="s">
        <v>464</v>
      </c>
      <c r="P148" s="116" t="s">
        <v>470</v>
      </c>
      <c r="Q148" s="115"/>
      <c r="R148" s="116" t="s">
        <v>471</v>
      </c>
      <c r="S148" s="74"/>
    </row>
    <row r="149" spans="1:19" ht="25.5">
      <c r="B149" s="168">
        <v>40</v>
      </c>
      <c r="C149" s="168" t="s">
        <v>537</v>
      </c>
      <c r="D149" s="115">
        <v>142</v>
      </c>
      <c r="E149" s="116" t="s">
        <v>89</v>
      </c>
      <c r="F149" s="115" t="s">
        <v>6</v>
      </c>
      <c r="G149" s="115" t="s">
        <v>338</v>
      </c>
      <c r="H149" s="115" t="s">
        <v>1</v>
      </c>
      <c r="I149" s="115" t="s">
        <v>2</v>
      </c>
      <c r="J149" s="116" t="s">
        <v>463</v>
      </c>
      <c r="K149" s="117">
        <v>25203</v>
      </c>
      <c r="L149" s="118">
        <v>1968</v>
      </c>
      <c r="M149" s="118">
        <f t="shared" si="7"/>
        <v>51</v>
      </c>
      <c r="N149" s="115" t="s">
        <v>3</v>
      </c>
      <c r="O149" s="115" t="s">
        <v>464</v>
      </c>
      <c r="P149" s="116" t="s">
        <v>465</v>
      </c>
      <c r="Q149" s="115"/>
      <c r="R149" s="116" t="s">
        <v>466</v>
      </c>
    </row>
    <row r="150" spans="1:19" ht="38.25">
      <c r="B150" s="168"/>
      <c r="C150" s="168"/>
      <c r="D150" s="115">
        <v>143</v>
      </c>
      <c r="E150" s="116" t="s">
        <v>339</v>
      </c>
      <c r="F150" s="115" t="s">
        <v>8</v>
      </c>
      <c r="G150" s="115" t="s">
        <v>340</v>
      </c>
      <c r="H150" s="115" t="s">
        <v>7</v>
      </c>
      <c r="I150" s="115" t="s">
        <v>2</v>
      </c>
      <c r="J150" s="116" t="s">
        <v>463</v>
      </c>
      <c r="K150" s="117">
        <v>25636</v>
      </c>
      <c r="L150" s="118">
        <v>1970</v>
      </c>
      <c r="M150" s="118">
        <f t="shared" si="7"/>
        <v>49</v>
      </c>
      <c r="N150" s="115" t="s">
        <v>3</v>
      </c>
      <c r="O150" s="115" t="s">
        <v>464</v>
      </c>
      <c r="P150" s="116" t="s">
        <v>465</v>
      </c>
      <c r="Q150" s="115"/>
      <c r="R150" s="116" t="s">
        <v>467</v>
      </c>
    </row>
    <row r="151" spans="1:19" ht="25.5">
      <c r="B151" s="165">
        <v>41</v>
      </c>
      <c r="C151" s="165" t="s">
        <v>738</v>
      </c>
      <c r="D151" s="115">
        <v>144</v>
      </c>
      <c r="E151" s="116" t="s">
        <v>346</v>
      </c>
      <c r="F151" s="115" t="s">
        <v>6</v>
      </c>
      <c r="G151" s="115" t="s">
        <v>740</v>
      </c>
      <c r="H151" s="115" t="s">
        <v>1</v>
      </c>
      <c r="I151" s="115" t="s">
        <v>2</v>
      </c>
      <c r="J151" s="116" t="s">
        <v>463</v>
      </c>
      <c r="K151" s="117">
        <v>20820</v>
      </c>
      <c r="L151" s="118">
        <v>1956</v>
      </c>
      <c r="M151" s="118">
        <f t="shared" si="7"/>
        <v>63</v>
      </c>
      <c r="N151" s="115" t="s">
        <v>3</v>
      </c>
      <c r="O151" s="115" t="s">
        <v>464</v>
      </c>
      <c r="P151" s="116" t="s">
        <v>465</v>
      </c>
      <c r="Q151" s="115"/>
      <c r="R151" s="116" t="s">
        <v>480</v>
      </c>
    </row>
    <row r="152" spans="1:19" ht="25.5">
      <c r="B152" s="166"/>
      <c r="C152" s="166"/>
      <c r="D152" s="115">
        <v>145</v>
      </c>
      <c r="E152" s="116" t="s">
        <v>347</v>
      </c>
      <c r="F152" s="115" t="s">
        <v>8</v>
      </c>
      <c r="G152" s="115" t="s">
        <v>741</v>
      </c>
      <c r="H152" s="115" t="s">
        <v>7</v>
      </c>
      <c r="I152" s="115" t="s">
        <v>2</v>
      </c>
      <c r="J152" s="116" t="s">
        <v>478</v>
      </c>
      <c r="K152" s="117">
        <v>25203</v>
      </c>
      <c r="L152" s="118">
        <v>1968</v>
      </c>
      <c r="M152" s="118">
        <f t="shared" si="7"/>
        <v>51</v>
      </c>
      <c r="N152" s="115" t="s">
        <v>3</v>
      </c>
      <c r="O152" s="115" t="s">
        <v>464</v>
      </c>
      <c r="P152" s="116" t="s">
        <v>465</v>
      </c>
      <c r="Q152" s="115"/>
      <c r="R152" s="116" t="s">
        <v>26</v>
      </c>
    </row>
    <row r="153" spans="1:19">
      <c r="B153" s="166"/>
      <c r="C153" s="166"/>
      <c r="D153" s="115">
        <v>146</v>
      </c>
      <c r="E153" s="116" t="s">
        <v>348</v>
      </c>
      <c r="F153" s="115" t="s">
        <v>11</v>
      </c>
      <c r="G153" s="115" t="s">
        <v>349</v>
      </c>
      <c r="H153" s="115" t="s">
        <v>1</v>
      </c>
      <c r="I153" s="115" t="s">
        <v>9</v>
      </c>
      <c r="J153" s="116" t="s">
        <v>463</v>
      </c>
      <c r="K153" s="117">
        <v>32857</v>
      </c>
      <c r="L153" s="118">
        <v>1989</v>
      </c>
      <c r="M153" s="118">
        <f t="shared" si="7"/>
        <v>30</v>
      </c>
      <c r="N153" s="115" t="s">
        <v>3</v>
      </c>
      <c r="O153" s="115" t="s">
        <v>464</v>
      </c>
      <c r="P153" s="116" t="s">
        <v>516</v>
      </c>
      <c r="Q153" s="115"/>
      <c r="R153" s="116" t="s">
        <v>466</v>
      </c>
    </row>
    <row r="154" spans="1:19" ht="25.5">
      <c r="B154" s="167"/>
      <c r="C154" s="167"/>
      <c r="D154" s="115">
        <v>147</v>
      </c>
      <c r="E154" s="116" t="s">
        <v>739</v>
      </c>
      <c r="F154" s="115" t="s">
        <v>11</v>
      </c>
      <c r="G154" s="115" t="s">
        <v>742</v>
      </c>
      <c r="H154" s="115" t="s">
        <v>1</v>
      </c>
      <c r="I154" s="115" t="s">
        <v>9</v>
      </c>
      <c r="J154" s="116" t="s">
        <v>463</v>
      </c>
      <c r="K154" s="117">
        <v>36346</v>
      </c>
      <c r="L154" s="118">
        <v>1999</v>
      </c>
      <c r="M154" s="118">
        <f t="shared" si="7"/>
        <v>20</v>
      </c>
      <c r="N154" s="115" t="s">
        <v>3</v>
      </c>
      <c r="O154" s="115" t="s">
        <v>464</v>
      </c>
      <c r="P154" s="116" t="s">
        <v>474</v>
      </c>
      <c r="Q154" s="115"/>
      <c r="R154" s="116" t="s">
        <v>469</v>
      </c>
    </row>
    <row r="155" spans="1:19" ht="25.5">
      <c r="B155" s="165">
        <v>42</v>
      </c>
      <c r="C155" s="165" t="s">
        <v>714</v>
      </c>
      <c r="D155" s="115">
        <v>148</v>
      </c>
      <c r="E155" s="116" t="s">
        <v>354</v>
      </c>
      <c r="F155" s="115" t="s">
        <v>6</v>
      </c>
      <c r="G155" s="115" t="s">
        <v>355</v>
      </c>
      <c r="H155" s="115" t="s">
        <v>1</v>
      </c>
      <c r="I155" s="115" t="s">
        <v>2</v>
      </c>
      <c r="J155" s="116" t="s">
        <v>463</v>
      </c>
      <c r="K155" s="117">
        <v>23631</v>
      </c>
      <c r="L155" s="118">
        <v>1964</v>
      </c>
      <c r="M155" s="118">
        <f t="shared" si="7"/>
        <v>55</v>
      </c>
      <c r="N155" s="115" t="s">
        <v>3</v>
      </c>
      <c r="O155" s="115" t="s">
        <v>464</v>
      </c>
      <c r="P155" s="116" t="s">
        <v>465</v>
      </c>
      <c r="Q155" s="115"/>
      <c r="R155" s="116" t="s">
        <v>466</v>
      </c>
    </row>
    <row r="156" spans="1:19" ht="38.25">
      <c r="B156" s="166"/>
      <c r="C156" s="166"/>
      <c r="D156" s="115">
        <v>149</v>
      </c>
      <c r="E156" s="116" t="s">
        <v>356</v>
      </c>
      <c r="F156" s="115" t="s">
        <v>8</v>
      </c>
      <c r="G156" s="115" t="s">
        <v>357</v>
      </c>
      <c r="H156" s="115" t="s">
        <v>7</v>
      </c>
      <c r="I156" s="115" t="s">
        <v>2</v>
      </c>
      <c r="J156" s="116" t="s">
        <v>713</v>
      </c>
      <c r="K156" s="117">
        <v>18207</v>
      </c>
      <c r="L156" s="118">
        <v>1949</v>
      </c>
      <c r="M156" s="118">
        <f t="shared" si="7"/>
        <v>70</v>
      </c>
      <c r="N156" s="115" t="s">
        <v>3</v>
      </c>
      <c r="O156" s="115" t="s">
        <v>464</v>
      </c>
      <c r="P156" s="116" t="s">
        <v>465</v>
      </c>
      <c r="Q156" s="115"/>
      <c r="R156" s="116" t="s">
        <v>467</v>
      </c>
    </row>
    <row r="157" spans="1:19" ht="25.5">
      <c r="B157" s="167"/>
      <c r="C157" s="167"/>
      <c r="D157" s="115">
        <v>150</v>
      </c>
      <c r="E157" s="116" t="s">
        <v>716</v>
      </c>
      <c r="F157" s="115" t="s">
        <v>11</v>
      </c>
      <c r="G157" s="115" t="s">
        <v>718</v>
      </c>
      <c r="H157" s="115" t="s">
        <v>7</v>
      </c>
      <c r="I157" s="115" t="s">
        <v>9</v>
      </c>
      <c r="J157" s="116" t="s">
        <v>463</v>
      </c>
      <c r="K157" s="117">
        <v>38275</v>
      </c>
      <c r="L157" s="118">
        <v>2004</v>
      </c>
      <c r="M157" s="118">
        <f t="shared" si="7"/>
        <v>15</v>
      </c>
      <c r="N157" s="115" t="s">
        <v>3</v>
      </c>
      <c r="O157" s="115" t="s">
        <v>464</v>
      </c>
      <c r="P157" s="116" t="s">
        <v>468</v>
      </c>
      <c r="Q157" s="115"/>
      <c r="R157" s="116" t="s">
        <v>469</v>
      </c>
    </row>
    <row r="158" spans="1:19">
      <c r="B158" s="168">
        <v>43</v>
      </c>
      <c r="C158" s="168"/>
      <c r="D158" s="115">
        <v>151</v>
      </c>
      <c r="E158" s="116" t="s">
        <v>358</v>
      </c>
      <c r="F158" s="115" t="s">
        <v>6</v>
      </c>
      <c r="G158" s="115" t="s">
        <v>359</v>
      </c>
      <c r="H158" s="115" t="s">
        <v>1</v>
      </c>
      <c r="I158" s="115" t="s">
        <v>2</v>
      </c>
      <c r="J158" s="116"/>
      <c r="K158" s="117">
        <v>21185</v>
      </c>
      <c r="L158" s="118">
        <f t="shared" ref="L158:L159" si="8">YEAR(K158)</f>
        <v>1957</v>
      </c>
      <c r="M158" s="118">
        <f t="shared" si="7"/>
        <v>62</v>
      </c>
      <c r="N158" s="115" t="s">
        <v>3</v>
      </c>
      <c r="O158" s="115"/>
      <c r="P158" s="116" t="s">
        <v>4</v>
      </c>
      <c r="Q158" s="115"/>
      <c r="R158" s="116" t="s">
        <v>5</v>
      </c>
    </row>
    <row r="159" spans="1:19">
      <c r="B159" s="168"/>
      <c r="C159" s="168"/>
      <c r="D159" s="115">
        <v>152</v>
      </c>
      <c r="E159" s="116" t="s">
        <v>360</v>
      </c>
      <c r="F159" s="115" t="s">
        <v>8</v>
      </c>
      <c r="G159" s="115" t="s">
        <v>361</v>
      </c>
      <c r="H159" s="115" t="s">
        <v>7</v>
      </c>
      <c r="I159" s="115" t="s">
        <v>2</v>
      </c>
      <c r="J159" s="116"/>
      <c r="K159" s="117">
        <v>22281</v>
      </c>
      <c r="L159" s="118">
        <f t="shared" si="8"/>
        <v>1960</v>
      </c>
      <c r="M159" s="118">
        <f t="shared" si="7"/>
        <v>59</v>
      </c>
      <c r="N159" s="115" t="s">
        <v>3</v>
      </c>
      <c r="O159" s="115"/>
      <c r="P159" s="116" t="s">
        <v>4</v>
      </c>
      <c r="Q159" s="115"/>
      <c r="R159" s="116" t="s">
        <v>30</v>
      </c>
    </row>
    <row r="160" spans="1:19" ht="38.25">
      <c r="B160" s="168">
        <v>44</v>
      </c>
      <c r="C160" s="168" t="s">
        <v>642</v>
      </c>
      <c r="D160" s="115">
        <v>153</v>
      </c>
      <c r="E160" s="116" t="s">
        <v>363</v>
      </c>
      <c r="F160" s="115" t="s">
        <v>6</v>
      </c>
      <c r="G160" s="115" t="s">
        <v>364</v>
      </c>
      <c r="H160" s="115" t="s">
        <v>1</v>
      </c>
      <c r="I160" s="115" t="s">
        <v>2</v>
      </c>
      <c r="J160" s="116" t="s">
        <v>463</v>
      </c>
      <c r="K160" s="117">
        <v>31047</v>
      </c>
      <c r="L160" s="118">
        <v>1984</v>
      </c>
      <c r="M160" s="118">
        <f t="shared" si="7"/>
        <v>35</v>
      </c>
      <c r="N160" s="115" t="s">
        <v>3</v>
      </c>
      <c r="O160" s="115" t="s">
        <v>464</v>
      </c>
      <c r="P160" s="116" t="s">
        <v>474</v>
      </c>
      <c r="Q160" s="115"/>
      <c r="R160" s="116" t="s">
        <v>583</v>
      </c>
    </row>
    <row r="161" spans="2:18" ht="38.25">
      <c r="B161" s="168"/>
      <c r="C161" s="168"/>
      <c r="D161" s="115">
        <v>154</v>
      </c>
      <c r="E161" s="116" t="s">
        <v>365</v>
      </c>
      <c r="F161" s="115" t="s">
        <v>8</v>
      </c>
      <c r="G161" s="115" t="s">
        <v>366</v>
      </c>
      <c r="H161" s="115" t="s">
        <v>7</v>
      </c>
      <c r="I161" s="115" t="s">
        <v>2</v>
      </c>
      <c r="J161" s="116" t="s">
        <v>526</v>
      </c>
      <c r="K161" s="117">
        <v>31273</v>
      </c>
      <c r="L161" s="118">
        <v>1985</v>
      </c>
      <c r="M161" s="118">
        <f t="shared" si="7"/>
        <v>34</v>
      </c>
      <c r="N161" s="115" t="s">
        <v>3</v>
      </c>
      <c r="O161" s="115" t="s">
        <v>464</v>
      </c>
      <c r="P161" s="116" t="s">
        <v>474</v>
      </c>
      <c r="Q161" s="115"/>
      <c r="R161" s="116" t="s">
        <v>467</v>
      </c>
    </row>
    <row r="162" spans="2:18" ht="25.5">
      <c r="B162" s="168"/>
      <c r="C162" s="168"/>
      <c r="D162" s="115">
        <v>155</v>
      </c>
      <c r="E162" s="116" t="s">
        <v>367</v>
      </c>
      <c r="F162" s="115" t="s">
        <v>11</v>
      </c>
      <c r="G162" s="115" t="s">
        <v>368</v>
      </c>
      <c r="H162" s="115" t="s">
        <v>7</v>
      </c>
      <c r="I162" s="115" t="s">
        <v>9</v>
      </c>
      <c r="J162" s="116" t="s">
        <v>463</v>
      </c>
      <c r="K162" s="117">
        <v>38417</v>
      </c>
      <c r="L162" s="118">
        <v>2005</v>
      </c>
      <c r="M162" s="118">
        <f t="shared" si="7"/>
        <v>14</v>
      </c>
      <c r="N162" s="115" t="s">
        <v>3</v>
      </c>
      <c r="O162" s="115" t="s">
        <v>464</v>
      </c>
      <c r="P162" s="116" t="s">
        <v>468</v>
      </c>
      <c r="Q162" s="115"/>
      <c r="R162" s="116" t="s">
        <v>469</v>
      </c>
    </row>
    <row r="163" spans="2:18" ht="25.5">
      <c r="B163" s="168"/>
      <c r="C163" s="168"/>
      <c r="D163" s="115">
        <v>156</v>
      </c>
      <c r="E163" s="116" t="s">
        <v>369</v>
      </c>
      <c r="F163" s="115" t="s">
        <v>11</v>
      </c>
      <c r="G163" s="115" t="s">
        <v>370</v>
      </c>
      <c r="H163" s="115" t="s">
        <v>1</v>
      </c>
      <c r="I163" s="115" t="s">
        <v>9</v>
      </c>
      <c r="J163" s="116" t="s">
        <v>463</v>
      </c>
      <c r="K163" s="117">
        <v>39481</v>
      </c>
      <c r="L163" s="118">
        <v>2008</v>
      </c>
      <c r="M163" s="118">
        <f t="shared" si="7"/>
        <v>11</v>
      </c>
      <c r="N163" s="115" t="s">
        <v>3</v>
      </c>
      <c r="O163" s="115" t="s">
        <v>464</v>
      </c>
      <c r="P163" s="116" t="s">
        <v>470</v>
      </c>
      <c r="Q163" s="115"/>
      <c r="R163" s="116" t="s">
        <v>471</v>
      </c>
    </row>
    <row r="164" spans="2:18" ht="25.5">
      <c r="B164" s="168"/>
      <c r="C164" s="168"/>
      <c r="D164" s="115">
        <v>157</v>
      </c>
      <c r="E164" s="116" t="s">
        <v>371</v>
      </c>
      <c r="F164" s="115" t="s">
        <v>11</v>
      </c>
      <c r="G164" s="115" t="s">
        <v>372</v>
      </c>
      <c r="H164" s="115" t="s">
        <v>1</v>
      </c>
      <c r="I164" s="115" t="s">
        <v>9</v>
      </c>
      <c r="J164" s="116" t="s">
        <v>643</v>
      </c>
      <c r="K164" s="117">
        <v>41794</v>
      </c>
      <c r="L164" s="118">
        <v>2014</v>
      </c>
      <c r="M164" s="118">
        <f t="shared" si="7"/>
        <v>5</v>
      </c>
      <c r="N164" s="115" t="s">
        <v>3</v>
      </c>
      <c r="O164" s="115" t="s">
        <v>464</v>
      </c>
      <c r="P164" s="116" t="s">
        <v>470</v>
      </c>
      <c r="Q164" s="115"/>
      <c r="R164" s="116" t="s">
        <v>471</v>
      </c>
    </row>
    <row r="165" spans="2:18">
      <c r="B165" s="168">
        <v>45</v>
      </c>
      <c r="C165" s="168"/>
      <c r="D165" s="115">
        <v>158</v>
      </c>
      <c r="E165" s="116" t="s">
        <v>373</v>
      </c>
      <c r="F165" s="115" t="s">
        <v>6</v>
      </c>
      <c r="G165" s="115" t="s">
        <v>374</v>
      </c>
      <c r="H165" s="115" t="s">
        <v>1</v>
      </c>
      <c r="I165" s="115" t="s">
        <v>2</v>
      </c>
      <c r="J165" s="116"/>
      <c r="K165" s="117">
        <v>30133</v>
      </c>
      <c r="L165" s="118">
        <f t="shared" ref="L165:L167" si="9">YEAR(K165)</f>
        <v>1982</v>
      </c>
      <c r="M165" s="118">
        <f t="shared" si="7"/>
        <v>37</v>
      </c>
      <c r="N165" s="115" t="s">
        <v>3</v>
      </c>
      <c r="O165" s="115"/>
      <c r="P165" s="116" t="s">
        <v>4</v>
      </c>
      <c r="Q165" s="115"/>
      <c r="R165" s="116" t="s">
        <v>5</v>
      </c>
    </row>
    <row r="166" spans="2:18">
      <c r="B166" s="168"/>
      <c r="C166" s="168"/>
      <c r="D166" s="115">
        <v>159</v>
      </c>
      <c r="E166" s="116" t="s">
        <v>281</v>
      </c>
      <c r="F166" s="115" t="s">
        <v>8</v>
      </c>
      <c r="G166" s="115" t="s">
        <v>375</v>
      </c>
      <c r="H166" s="115" t="s">
        <v>7</v>
      </c>
      <c r="I166" s="115" t="s">
        <v>2</v>
      </c>
      <c r="J166" s="116"/>
      <c r="K166" s="117">
        <v>31229</v>
      </c>
      <c r="L166" s="118">
        <f t="shared" si="9"/>
        <v>1985</v>
      </c>
      <c r="M166" s="118">
        <f t="shared" si="7"/>
        <v>34</v>
      </c>
      <c r="N166" s="115" t="s">
        <v>3</v>
      </c>
      <c r="O166" s="115"/>
      <c r="P166" s="116" t="s">
        <v>4</v>
      </c>
      <c r="Q166" s="115"/>
      <c r="R166" s="116" t="s">
        <v>5</v>
      </c>
    </row>
    <row r="167" spans="2:18" ht="25.5">
      <c r="B167" s="168"/>
      <c r="C167" s="168"/>
      <c r="D167" s="115">
        <v>160</v>
      </c>
      <c r="E167" s="116" t="s">
        <v>376</v>
      </c>
      <c r="F167" s="115" t="s">
        <v>11</v>
      </c>
      <c r="G167" s="115" t="s">
        <v>377</v>
      </c>
      <c r="H167" s="115" t="s">
        <v>1</v>
      </c>
      <c r="I167" s="115" t="s">
        <v>9</v>
      </c>
      <c r="J167" s="116"/>
      <c r="K167" s="117">
        <v>40064</v>
      </c>
      <c r="L167" s="118">
        <f t="shared" si="9"/>
        <v>2009</v>
      </c>
      <c r="M167" s="118">
        <f t="shared" ref="M167:M188" si="10">2019-L167</f>
        <v>10</v>
      </c>
      <c r="N167" s="115" t="s">
        <v>3</v>
      </c>
      <c r="O167" s="115"/>
      <c r="P167" s="116" t="s">
        <v>4</v>
      </c>
      <c r="Q167" s="115"/>
      <c r="R167" s="116" t="s">
        <v>4</v>
      </c>
    </row>
    <row r="168" spans="2:18" ht="25.5">
      <c r="B168" s="168">
        <v>46</v>
      </c>
      <c r="C168" s="168" t="s">
        <v>521</v>
      </c>
      <c r="D168" s="115">
        <v>161</v>
      </c>
      <c r="E168" s="116" t="s">
        <v>31</v>
      </c>
      <c r="F168" s="115" t="s">
        <v>6</v>
      </c>
      <c r="G168" s="115" t="s">
        <v>523</v>
      </c>
      <c r="H168" s="115" t="s">
        <v>1</v>
      </c>
      <c r="I168" s="115" t="s">
        <v>2</v>
      </c>
      <c r="J168" s="116" t="s">
        <v>463</v>
      </c>
      <c r="K168" s="117">
        <v>26664</v>
      </c>
      <c r="L168" s="118">
        <v>1972</v>
      </c>
      <c r="M168" s="118">
        <f t="shared" si="10"/>
        <v>47</v>
      </c>
      <c r="N168" s="115" t="s">
        <v>3</v>
      </c>
      <c r="O168" s="115" t="s">
        <v>464</v>
      </c>
      <c r="P168" s="116" t="s">
        <v>468</v>
      </c>
      <c r="Q168" s="115"/>
      <c r="R168" s="116" t="s">
        <v>480</v>
      </c>
    </row>
    <row r="169" spans="2:18" ht="38.25">
      <c r="B169" s="168"/>
      <c r="C169" s="168"/>
      <c r="D169" s="115">
        <v>162</v>
      </c>
      <c r="E169" s="116" t="s">
        <v>32</v>
      </c>
      <c r="F169" s="115" t="s">
        <v>8</v>
      </c>
      <c r="G169" s="115" t="s">
        <v>524</v>
      </c>
      <c r="H169" s="115" t="s">
        <v>7</v>
      </c>
      <c r="I169" s="115" t="s">
        <v>2</v>
      </c>
      <c r="J169" s="116" t="s">
        <v>526</v>
      </c>
      <c r="K169" s="117">
        <v>30316</v>
      </c>
      <c r="L169" s="118">
        <v>1982</v>
      </c>
      <c r="M169" s="118">
        <f t="shared" si="10"/>
        <v>37</v>
      </c>
      <c r="N169" s="115" t="s">
        <v>3</v>
      </c>
      <c r="O169" s="115" t="s">
        <v>464</v>
      </c>
      <c r="P169" s="116" t="s">
        <v>465</v>
      </c>
      <c r="Q169" s="115"/>
      <c r="R169" s="116" t="s">
        <v>467</v>
      </c>
    </row>
    <row r="170" spans="2:18" ht="25.5">
      <c r="B170" s="168"/>
      <c r="C170" s="168"/>
      <c r="D170" s="115">
        <v>163</v>
      </c>
      <c r="E170" s="116" t="s">
        <v>522</v>
      </c>
      <c r="F170" s="115" t="s">
        <v>11</v>
      </c>
      <c r="G170" s="115" t="s">
        <v>525</v>
      </c>
      <c r="H170" s="115" t="s">
        <v>1</v>
      </c>
      <c r="I170" s="115" t="s">
        <v>9</v>
      </c>
      <c r="J170" s="116" t="s">
        <v>463</v>
      </c>
      <c r="K170" s="117">
        <v>42128</v>
      </c>
      <c r="L170" s="118">
        <v>2015</v>
      </c>
      <c r="M170" s="118">
        <f t="shared" si="10"/>
        <v>4</v>
      </c>
      <c r="N170" s="115" t="s">
        <v>3</v>
      </c>
      <c r="O170" s="115" t="s">
        <v>464</v>
      </c>
      <c r="P170" s="116" t="s">
        <v>470</v>
      </c>
      <c r="Q170" s="115"/>
      <c r="R170" s="116" t="s">
        <v>471</v>
      </c>
    </row>
    <row r="171" spans="2:18" ht="38.25">
      <c r="B171" s="115">
        <v>47</v>
      </c>
      <c r="C171" s="115" t="s">
        <v>538</v>
      </c>
      <c r="D171" s="115">
        <v>164</v>
      </c>
      <c r="E171" s="116" t="s">
        <v>89</v>
      </c>
      <c r="F171" s="115" t="s">
        <v>6</v>
      </c>
      <c r="G171" s="115" t="s">
        <v>541</v>
      </c>
      <c r="H171" s="115" t="s">
        <v>7</v>
      </c>
      <c r="I171" s="115" t="s">
        <v>2</v>
      </c>
      <c r="J171" s="116" t="s">
        <v>463</v>
      </c>
      <c r="K171" s="117">
        <v>24980</v>
      </c>
      <c r="L171" s="118">
        <v>1968</v>
      </c>
      <c r="M171" s="118">
        <f t="shared" si="10"/>
        <v>51</v>
      </c>
      <c r="N171" s="115" t="s">
        <v>3</v>
      </c>
      <c r="O171" s="115" t="s">
        <v>464</v>
      </c>
      <c r="P171" s="116" t="s">
        <v>468</v>
      </c>
      <c r="Q171" s="115"/>
      <c r="R171" s="116" t="s">
        <v>467</v>
      </c>
    </row>
    <row r="172" spans="2:18" ht="25.5">
      <c r="B172" s="168">
        <v>48</v>
      </c>
      <c r="C172" s="168" t="s">
        <v>551</v>
      </c>
      <c r="D172" s="115">
        <v>165</v>
      </c>
      <c r="E172" s="116" t="s">
        <v>552</v>
      </c>
      <c r="F172" s="115" t="s">
        <v>6</v>
      </c>
      <c r="G172" s="115" t="s">
        <v>555</v>
      </c>
      <c r="H172" s="115" t="s">
        <v>1</v>
      </c>
      <c r="I172" s="115" t="s">
        <v>2</v>
      </c>
      <c r="J172" s="116" t="s">
        <v>463</v>
      </c>
      <c r="K172" s="117">
        <v>25279</v>
      </c>
      <c r="L172" s="118">
        <v>1969</v>
      </c>
      <c r="M172" s="118">
        <f t="shared" si="10"/>
        <v>50</v>
      </c>
      <c r="N172" s="115" t="s">
        <v>3</v>
      </c>
      <c r="O172" s="115" t="s">
        <v>464</v>
      </c>
      <c r="P172" s="116" t="s">
        <v>465</v>
      </c>
      <c r="Q172" s="121"/>
      <c r="R172" s="116" t="s">
        <v>480</v>
      </c>
    </row>
    <row r="173" spans="2:18" ht="25.5">
      <c r="B173" s="168"/>
      <c r="C173" s="168"/>
      <c r="D173" s="115">
        <v>166</v>
      </c>
      <c r="E173" s="116" t="s">
        <v>553</v>
      </c>
      <c r="F173" s="115" t="s">
        <v>8</v>
      </c>
      <c r="G173" s="115" t="s">
        <v>556</v>
      </c>
      <c r="H173" s="115" t="s">
        <v>7</v>
      </c>
      <c r="I173" s="115" t="s">
        <v>2</v>
      </c>
      <c r="J173" s="116" t="s">
        <v>558</v>
      </c>
      <c r="K173" s="117">
        <v>25877</v>
      </c>
      <c r="L173" s="118">
        <v>1970</v>
      </c>
      <c r="M173" s="118">
        <f t="shared" si="10"/>
        <v>49</v>
      </c>
      <c r="N173" s="115" t="s">
        <v>3</v>
      </c>
      <c r="O173" s="115" t="s">
        <v>464</v>
      </c>
      <c r="P173" s="116" t="s">
        <v>465</v>
      </c>
      <c r="Q173" s="121"/>
      <c r="R173" s="116" t="s">
        <v>26</v>
      </c>
    </row>
    <row r="174" spans="2:18" ht="25.5">
      <c r="B174" s="168"/>
      <c r="C174" s="168"/>
      <c r="D174" s="115">
        <v>167</v>
      </c>
      <c r="E174" s="116" t="s">
        <v>554</v>
      </c>
      <c r="F174" s="115" t="s">
        <v>11</v>
      </c>
      <c r="G174" s="115" t="s">
        <v>557</v>
      </c>
      <c r="H174" s="115" t="s">
        <v>1</v>
      </c>
      <c r="I174" s="115" t="s">
        <v>9</v>
      </c>
      <c r="J174" s="116" t="s">
        <v>463</v>
      </c>
      <c r="K174" s="117">
        <v>37662</v>
      </c>
      <c r="L174" s="118">
        <v>2003</v>
      </c>
      <c r="M174" s="118">
        <f t="shared" si="10"/>
        <v>16</v>
      </c>
      <c r="N174" s="115" t="s">
        <v>3</v>
      </c>
      <c r="O174" s="115" t="s">
        <v>464</v>
      </c>
      <c r="P174" s="116" t="s">
        <v>468</v>
      </c>
      <c r="Q174" s="121"/>
      <c r="R174" s="116" t="s">
        <v>469</v>
      </c>
    </row>
    <row r="175" spans="2:18" ht="25.5">
      <c r="B175" s="168">
        <v>49</v>
      </c>
      <c r="C175" s="168" t="s">
        <v>559</v>
      </c>
      <c r="D175" s="115">
        <v>168</v>
      </c>
      <c r="E175" s="116" t="s">
        <v>71</v>
      </c>
      <c r="F175" s="115" t="s">
        <v>6</v>
      </c>
      <c r="G175" s="115" t="s">
        <v>563</v>
      </c>
      <c r="H175" s="115" t="s">
        <v>1</v>
      </c>
      <c r="I175" s="115" t="s">
        <v>2</v>
      </c>
      <c r="J175" s="116" t="s">
        <v>463</v>
      </c>
      <c r="K175" s="117">
        <v>30153</v>
      </c>
      <c r="L175" s="118">
        <v>1982</v>
      </c>
      <c r="M175" s="118">
        <f t="shared" si="10"/>
        <v>37</v>
      </c>
      <c r="N175" s="115" t="s">
        <v>3</v>
      </c>
      <c r="O175" s="115" t="s">
        <v>464</v>
      </c>
      <c r="P175" s="116" t="s">
        <v>468</v>
      </c>
      <c r="Q175" s="115"/>
      <c r="R175" s="116" t="s">
        <v>480</v>
      </c>
    </row>
    <row r="176" spans="2:18" ht="38.25">
      <c r="B176" s="168"/>
      <c r="C176" s="168"/>
      <c r="D176" s="115">
        <v>169</v>
      </c>
      <c r="E176" s="116" t="s">
        <v>560</v>
      </c>
      <c r="F176" s="115" t="s">
        <v>8</v>
      </c>
      <c r="G176" s="115" t="s">
        <v>564</v>
      </c>
      <c r="H176" s="115" t="s">
        <v>7</v>
      </c>
      <c r="I176" s="115" t="s">
        <v>2</v>
      </c>
      <c r="J176" s="116" t="s">
        <v>558</v>
      </c>
      <c r="K176" s="117">
        <v>31942</v>
      </c>
      <c r="L176" s="118">
        <v>1987</v>
      </c>
      <c r="M176" s="118">
        <f t="shared" si="10"/>
        <v>32</v>
      </c>
      <c r="N176" s="115" t="s">
        <v>3</v>
      </c>
      <c r="O176" s="115" t="s">
        <v>464</v>
      </c>
      <c r="P176" s="116" t="s">
        <v>468</v>
      </c>
      <c r="Q176" s="115"/>
      <c r="R176" s="116" t="s">
        <v>479</v>
      </c>
    </row>
    <row r="177" spans="2:18" ht="25.5">
      <c r="B177" s="168"/>
      <c r="C177" s="168"/>
      <c r="D177" s="115">
        <v>170</v>
      </c>
      <c r="E177" s="116" t="s">
        <v>561</v>
      </c>
      <c r="F177" s="115" t="s">
        <v>11</v>
      </c>
      <c r="G177" s="115" t="s">
        <v>565</v>
      </c>
      <c r="H177" s="115" t="s">
        <v>7</v>
      </c>
      <c r="I177" s="115" t="s">
        <v>9</v>
      </c>
      <c r="J177" s="116" t="s">
        <v>463</v>
      </c>
      <c r="K177" s="117">
        <v>38310</v>
      </c>
      <c r="L177" s="118">
        <v>2004</v>
      </c>
      <c r="M177" s="118">
        <f t="shared" si="10"/>
        <v>15</v>
      </c>
      <c r="N177" s="115" t="s">
        <v>3</v>
      </c>
      <c r="O177" s="115" t="s">
        <v>464</v>
      </c>
      <c r="P177" s="116" t="s">
        <v>468</v>
      </c>
      <c r="Q177" s="115"/>
      <c r="R177" s="116" t="s">
        <v>469</v>
      </c>
    </row>
    <row r="178" spans="2:18" ht="25.5">
      <c r="B178" s="168"/>
      <c r="C178" s="168"/>
      <c r="D178" s="115">
        <v>171</v>
      </c>
      <c r="E178" s="116" t="s">
        <v>562</v>
      </c>
      <c r="F178" s="115" t="s">
        <v>11</v>
      </c>
      <c r="G178" s="115" t="s">
        <v>566</v>
      </c>
      <c r="H178" s="115" t="s">
        <v>7</v>
      </c>
      <c r="I178" s="115" t="s">
        <v>9</v>
      </c>
      <c r="J178" s="116" t="s">
        <v>495</v>
      </c>
      <c r="K178" s="117">
        <v>41311</v>
      </c>
      <c r="L178" s="118">
        <v>2013</v>
      </c>
      <c r="M178" s="118">
        <f t="shared" si="10"/>
        <v>6</v>
      </c>
      <c r="N178" s="115" t="s">
        <v>3</v>
      </c>
      <c r="O178" s="115" t="s">
        <v>464</v>
      </c>
      <c r="P178" s="116" t="s">
        <v>470</v>
      </c>
      <c r="Q178" s="115"/>
      <c r="R178" s="116" t="s">
        <v>471</v>
      </c>
    </row>
    <row r="179" spans="2:18" ht="38.25">
      <c r="B179" s="168">
        <v>50</v>
      </c>
      <c r="C179" s="168" t="s">
        <v>569</v>
      </c>
      <c r="D179" s="115">
        <v>172</v>
      </c>
      <c r="E179" s="116" t="s">
        <v>570</v>
      </c>
      <c r="F179" s="115" t="s">
        <v>6</v>
      </c>
      <c r="G179" s="115" t="s">
        <v>576</v>
      </c>
      <c r="H179" s="115" t="s">
        <v>1</v>
      </c>
      <c r="I179" s="115" t="s">
        <v>2</v>
      </c>
      <c r="J179" s="116" t="s">
        <v>463</v>
      </c>
      <c r="K179" s="117">
        <v>27394</v>
      </c>
      <c r="L179" s="118">
        <v>1974</v>
      </c>
      <c r="M179" s="118">
        <f t="shared" si="10"/>
        <v>45</v>
      </c>
      <c r="N179" s="115" t="s">
        <v>3</v>
      </c>
      <c r="O179" s="115" t="s">
        <v>464</v>
      </c>
      <c r="P179" s="116" t="s">
        <v>516</v>
      </c>
      <c r="Q179" s="115"/>
      <c r="R179" s="116" t="s">
        <v>583</v>
      </c>
    </row>
    <row r="180" spans="2:18" ht="38.25">
      <c r="B180" s="168"/>
      <c r="C180" s="168"/>
      <c r="D180" s="115">
        <v>173</v>
      </c>
      <c r="E180" s="116" t="s">
        <v>571</v>
      </c>
      <c r="F180" s="115" t="s">
        <v>8</v>
      </c>
      <c r="G180" s="115" t="s">
        <v>577</v>
      </c>
      <c r="H180" s="115" t="s">
        <v>7</v>
      </c>
      <c r="I180" s="115" t="s">
        <v>2</v>
      </c>
      <c r="J180" s="116" t="s">
        <v>582</v>
      </c>
      <c r="K180" s="117">
        <v>29036</v>
      </c>
      <c r="L180" s="118">
        <v>1979</v>
      </c>
      <c r="M180" s="118">
        <f t="shared" si="10"/>
        <v>40</v>
      </c>
      <c r="N180" s="115" t="s">
        <v>3</v>
      </c>
      <c r="O180" s="115" t="s">
        <v>464</v>
      </c>
      <c r="P180" s="116" t="s">
        <v>474</v>
      </c>
      <c r="Q180" s="115"/>
      <c r="R180" s="116" t="s">
        <v>467</v>
      </c>
    </row>
    <row r="181" spans="2:18" ht="25.5">
      <c r="B181" s="168"/>
      <c r="C181" s="168"/>
      <c r="D181" s="115">
        <v>174</v>
      </c>
      <c r="E181" s="116" t="s">
        <v>572</v>
      </c>
      <c r="F181" s="115" t="s">
        <v>11</v>
      </c>
      <c r="G181" s="115" t="s">
        <v>578</v>
      </c>
      <c r="H181" s="115" t="s">
        <v>1</v>
      </c>
      <c r="I181" s="115" t="s">
        <v>9</v>
      </c>
      <c r="J181" s="116" t="s">
        <v>582</v>
      </c>
      <c r="K181" s="117">
        <v>37692</v>
      </c>
      <c r="L181" s="118">
        <v>2003</v>
      </c>
      <c r="M181" s="118">
        <f t="shared" si="10"/>
        <v>16</v>
      </c>
      <c r="N181" s="115" t="s">
        <v>3</v>
      </c>
      <c r="O181" s="115" t="s">
        <v>464</v>
      </c>
      <c r="P181" s="116" t="s">
        <v>468</v>
      </c>
      <c r="Q181" s="115"/>
      <c r="R181" s="116" t="s">
        <v>469</v>
      </c>
    </row>
    <row r="182" spans="2:18" ht="25.5">
      <c r="B182" s="168"/>
      <c r="C182" s="168"/>
      <c r="D182" s="115">
        <v>175</v>
      </c>
      <c r="E182" s="116" t="s">
        <v>573</v>
      </c>
      <c r="F182" s="115" t="s">
        <v>11</v>
      </c>
      <c r="G182" s="115" t="s">
        <v>579</v>
      </c>
      <c r="H182" s="115" t="s">
        <v>1</v>
      </c>
      <c r="I182" s="115" t="s">
        <v>9</v>
      </c>
      <c r="J182" s="116" t="s">
        <v>495</v>
      </c>
      <c r="K182" s="117">
        <v>39514</v>
      </c>
      <c r="L182" s="118">
        <v>2008</v>
      </c>
      <c r="M182" s="118">
        <f t="shared" si="10"/>
        <v>11</v>
      </c>
      <c r="N182" s="115" t="s">
        <v>3</v>
      </c>
      <c r="O182" s="115" t="s">
        <v>464</v>
      </c>
      <c r="P182" s="116" t="s">
        <v>470</v>
      </c>
      <c r="Q182" s="115"/>
      <c r="R182" s="116" t="s">
        <v>471</v>
      </c>
    </row>
    <row r="183" spans="2:18" ht="25.5">
      <c r="B183" s="168"/>
      <c r="C183" s="168"/>
      <c r="D183" s="115">
        <v>176</v>
      </c>
      <c r="E183" s="116" t="s">
        <v>574</v>
      </c>
      <c r="F183" s="115" t="s">
        <v>11</v>
      </c>
      <c r="G183" s="115" t="s">
        <v>580</v>
      </c>
      <c r="H183" s="115" t="s">
        <v>1</v>
      </c>
      <c r="I183" s="115" t="s">
        <v>9</v>
      </c>
      <c r="J183" s="116" t="s">
        <v>495</v>
      </c>
      <c r="K183" s="117">
        <v>41205</v>
      </c>
      <c r="L183" s="118">
        <v>2012</v>
      </c>
      <c r="M183" s="118">
        <f t="shared" si="10"/>
        <v>7</v>
      </c>
      <c r="N183" s="115" t="s">
        <v>3</v>
      </c>
      <c r="O183" s="115" t="s">
        <v>464</v>
      </c>
      <c r="P183" s="116" t="s">
        <v>470</v>
      </c>
      <c r="Q183" s="115"/>
      <c r="R183" s="116" t="s">
        <v>471</v>
      </c>
    </row>
    <row r="184" spans="2:18" ht="25.5">
      <c r="B184" s="168"/>
      <c r="C184" s="168"/>
      <c r="D184" s="115">
        <v>177</v>
      </c>
      <c r="E184" s="116" t="s">
        <v>575</v>
      </c>
      <c r="F184" s="115" t="s">
        <v>11</v>
      </c>
      <c r="G184" s="115" t="s">
        <v>581</v>
      </c>
      <c r="H184" s="115" t="s">
        <v>7</v>
      </c>
      <c r="I184" s="115" t="s">
        <v>9</v>
      </c>
      <c r="J184" s="116" t="s">
        <v>550</v>
      </c>
      <c r="K184" s="117">
        <v>43129</v>
      </c>
      <c r="L184" s="118">
        <v>2018</v>
      </c>
      <c r="M184" s="118">
        <f t="shared" si="10"/>
        <v>1</v>
      </c>
      <c r="N184" s="115" t="s">
        <v>3</v>
      </c>
      <c r="O184" s="115" t="s">
        <v>464</v>
      </c>
      <c r="P184" s="116" t="s">
        <v>470</v>
      </c>
      <c r="Q184" s="115"/>
      <c r="R184" s="116" t="s">
        <v>471</v>
      </c>
    </row>
    <row r="185" spans="2:18" ht="25.5">
      <c r="B185" s="168">
        <v>51</v>
      </c>
      <c r="C185" s="168" t="s">
        <v>586</v>
      </c>
      <c r="D185" s="115">
        <v>178</v>
      </c>
      <c r="E185" s="116" t="s">
        <v>587</v>
      </c>
      <c r="F185" s="115" t="s">
        <v>6</v>
      </c>
      <c r="G185" s="115" t="s">
        <v>591</v>
      </c>
      <c r="H185" s="115" t="s">
        <v>1</v>
      </c>
      <c r="I185" s="115" t="s">
        <v>2</v>
      </c>
      <c r="J185" s="116" t="s">
        <v>463</v>
      </c>
      <c r="K185" s="117">
        <v>30316</v>
      </c>
      <c r="L185" s="118">
        <v>1982</v>
      </c>
      <c r="M185" s="118">
        <f t="shared" si="10"/>
        <v>37</v>
      </c>
      <c r="N185" s="115" t="s">
        <v>3</v>
      </c>
      <c r="O185" s="115" t="s">
        <v>464</v>
      </c>
      <c r="P185" s="116" t="s">
        <v>465</v>
      </c>
      <c r="Q185" s="121"/>
      <c r="R185" s="116" t="s">
        <v>466</v>
      </c>
    </row>
    <row r="186" spans="2:18" ht="38.25">
      <c r="B186" s="168"/>
      <c r="C186" s="168"/>
      <c r="D186" s="115">
        <v>179</v>
      </c>
      <c r="E186" s="116" t="s">
        <v>588</v>
      </c>
      <c r="F186" s="115" t="s">
        <v>8</v>
      </c>
      <c r="G186" s="115" t="s">
        <v>592</v>
      </c>
      <c r="H186" s="115" t="s">
        <v>7</v>
      </c>
      <c r="I186" s="115" t="s">
        <v>2</v>
      </c>
      <c r="J186" s="116" t="s">
        <v>463</v>
      </c>
      <c r="K186" s="117">
        <v>30987</v>
      </c>
      <c r="L186" s="118">
        <v>1984</v>
      </c>
      <c r="M186" s="118">
        <f t="shared" si="10"/>
        <v>35</v>
      </c>
      <c r="N186" s="115" t="s">
        <v>3</v>
      </c>
      <c r="O186" s="115" t="s">
        <v>464</v>
      </c>
      <c r="P186" s="116" t="s">
        <v>465</v>
      </c>
      <c r="Q186" s="121"/>
      <c r="R186" s="116" t="s">
        <v>467</v>
      </c>
    </row>
    <row r="187" spans="2:18" ht="25.5">
      <c r="B187" s="168"/>
      <c r="C187" s="168"/>
      <c r="D187" s="115">
        <v>180</v>
      </c>
      <c r="E187" s="116" t="s">
        <v>589</v>
      </c>
      <c r="F187" s="115" t="s">
        <v>11</v>
      </c>
      <c r="G187" s="115" t="s">
        <v>593</v>
      </c>
      <c r="H187" s="115" t="s">
        <v>1</v>
      </c>
      <c r="I187" s="115" t="s">
        <v>9</v>
      </c>
      <c r="J187" s="116" t="s">
        <v>550</v>
      </c>
      <c r="K187" s="117">
        <v>37387</v>
      </c>
      <c r="L187" s="118">
        <v>2002</v>
      </c>
      <c r="M187" s="118">
        <f t="shared" si="10"/>
        <v>17</v>
      </c>
      <c r="N187" s="115" t="s">
        <v>3</v>
      </c>
      <c r="O187" s="115" t="s">
        <v>464</v>
      </c>
      <c r="P187" s="116" t="s">
        <v>465</v>
      </c>
      <c r="Q187" s="121"/>
      <c r="R187" s="116" t="s">
        <v>469</v>
      </c>
    </row>
    <row r="188" spans="2:18" ht="25.5">
      <c r="B188" s="168"/>
      <c r="C188" s="168"/>
      <c r="D188" s="115">
        <v>181</v>
      </c>
      <c r="E188" s="116" t="s">
        <v>590</v>
      </c>
      <c r="F188" s="115" t="s">
        <v>11</v>
      </c>
      <c r="G188" s="115" t="s">
        <v>594</v>
      </c>
      <c r="H188" s="115" t="s">
        <v>1</v>
      </c>
      <c r="I188" s="115" t="s">
        <v>9</v>
      </c>
      <c r="J188" s="116" t="s">
        <v>550</v>
      </c>
      <c r="K188" s="117">
        <v>42645</v>
      </c>
      <c r="L188" s="118">
        <v>2016</v>
      </c>
      <c r="M188" s="118">
        <f t="shared" si="10"/>
        <v>3</v>
      </c>
      <c r="N188" s="115" t="s">
        <v>3</v>
      </c>
      <c r="O188" s="115" t="s">
        <v>464</v>
      </c>
      <c r="P188" s="116" t="s">
        <v>470</v>
      </c>
      <c r="Q188" s="121"/>
      <c r="R188" s="116" t="s">
        <v>471</v>
      </c>
    </row>
    <row r="189" spans="2:18" ht="25.5">
      <c r="B189" s="168">
        <v>52</v>
      </c>
      <c r="C189" s="168" t="s">
        <v>595</v>
      </c>
      <c r="D189" s="115">
        <v>182</v>
      </c>
      <c r="E189" s="116" t="s">
        <v>596</v>
      </c>
      <c r="F189" s="115" t="s">
        <v>6</v>
      </c>
      <c r="G189" s="115" t="s">
        <v>598</v>
      </c>
      <c r="H189" s="115" t="s">
        <v>1</v>
      </c>
      <c r="I189" s="115" t="s">
        <v>2</v>
      </c>
      <c r="J189" s="116" t="s">
        <v>600</v>
      </c>
      <c r="K189" s="117">
        <v>32142</v>
      </c>
      <c r="L189" s="118">
        <v>1987</v>
      </c>
      <c r="M189" s="118">
        <f t="shared" ref="M189:M250" si="11">2019-L189</f>
        <v>32</v>
      </c>
      <c r="N189" s="115" t="s">
        <v>3</v>
      </c>
      <c r="O189" s="115" t="s">
        <v>464</v>
      </c>
      <c r="P189" s="116" t="s">
        <v>470</v>
      </c>
      <c r="Q189" s="121"/>
      <c r="R189" s="116" t="s">
        <v>466</v>
      </c>
    </row>
    <row r="190" spans="2:18" ht="38.25">
      <c r="B190" s="168"/>
      <c r="C190" s="168"/>
      <c r="D190" s="115">
        <v>183</v>
      </c>
      <c r="E190" s="116" t="s">
        <v>77</v>
      </c>
      <c r="F190" s="115" t="s">
        <v>8</v>
      </c>
      <c r="G190" s="115" t="s">
        <v>85</v>
      </c>
      <c r="H190" s="115" t="s">
        <v>7</v>
      </c>
      <c r="I190" s="115" t="s">
        <v>2</v>
      </c>
      <c r="J190" s="116" t="s">
        <v>463</v>
      </c>
      <c r="K190" s="117">
        <v>31412</v>
      </c>
      <c r="L190" s="118">
        <v>1985</v>
      </c>
      <c r="M190" s="118">
        <f t="shared" si="11"/>
        <v>34</v>
      </c>
      <c r="N190" s="115" t="s">
        <v>3</v>
      </c>
      <c r="O190" s="115" t="s">
        <v>464</v>
      </c>
      <c r="P190" s="116" t="s">
        <v>465</v>
      </c>
      <c r="Q190" s="121"/>
      <c r="R190" s="116" t="s">
        <v>467</v>
      </c>
    </row>
    <row r="191" spans="2:18" ht="25.5">
      <c r="B191" s="168"/>
      <c r="C191" s="168"/>
      <c r="D191" s="115">
        <v>184</v>
      </c>
      <c r="E191" s="116" t="s">
        <v>597</v>
      </c>
      <c r="F191" s="115" t="s">
        <v>11</v>
      </c>
      <c r="G191" s="115" t="s">
        <v>599</v>
      </c>
      <c r="H191" s="115" t="s">
        <v>7</v>
      </c>
      <c r="I191" s="115" t="s">
        <v>9</v>
      </c>
      <c r="J191" s="116" t="s">
        <v>601</v>
      </c>
      <c r="K191" s="117">
        <v>42661</v>
      </c>
      <c r="L191" s="118">
        <v>2016</v>
      </c>
      <c r="M191" s="118">
        <f t="shared" si="11"/>
        <v>3</v>
      </c>
      <c r="N191" s="115" t="s">
        <v>3</v>
      </c>
      <c r="O191" s="115" t="s">
        <v>464</v>
      </c>
      <c r="P191" s="116" t="s">
        <v>470</v>
      </c>
      <c r="Q191" s="121"/>
      <c r="R191" s="116" t="s">
        <v>471</v>
      </c>
    </row>
    <row r="192" spans="2:18" ht="38.25">
      <c r="B192" s="165">
        <v>53</v>
      </c>
      <c r="C192" s="165" t="s">
        <v>623</v>
      </c>
      <c r="D192" s="115">
        <v>185</v>
      </c>
      <c r="E192" s="116" t="s">
        <v>624</v>
      </c>
      <c r="F192" s="115" t="s">
        <v>6</v>
      </c>
      <c r="G192" s="115" t="s">
        <v>626</v>
      </c>
      <c r="H192" s="115" t="s">
        <v>1</v>
      </c>
      <c r="I192" s="115" t="s">
        <v>2</v>
      </c>
      <c r="J192" s="116" t="s">
        <v>463</v>
      </c>
      <c r="K192" s="122">
        <v>15962</v>
      </c>
      <c r="L192" s="118">
        <v>1943</v>
      </c>
      <c r="M192" s="118">
        <f t="shared" si="11"/>
        <v>76</v>
      </c>
      <c r="N192" s="115" t="s">
        <v>3</v>
      </c>
      <c r="O192" s="115" t="s">
        <v>464</v>
      </c>
      <c r="P192" s="116" t="s">
        <v>470</v>
      </c>
      <c r="Q192" s="121"/>
      <c r="R192" s="116" t="s">
        <v>479</v>
      </c>
    </row>
    <row r="193" spans="2:18" ht="25.5">
      <c r="B193" s="167"/>
      <c r="C193" s="167"/>
      <c r="D193" s="115">
        <v>186</v>
      </c>
      <c r="E193" s="116" t="s">
        <v>625</v>
      </c>
      <c r="F193" s="115" t="s">
        <v>8</v>
      </c>
      <c r="G193" s="121" t="s">
        <v>902</v>
      </c>
      <c r="H193" s="115" t="s">
        <v>7</v>
      </c>
      <c r="I193" s="115" t="s">
        <v>2</v>
      </c>
      <c r="J193" s="116" t="s">
        <v>463</v>
      </c>
      <c r="K193" s="122">
        <v>20840</v>
      </c>
      <c r="L193" s="118">
        <v>1957</v>
      </c>
      <c r="M193" s="118">
        <f t="shared" si="11"/>
        <v>62</v>
      </c>
      <c r="N193" s="115" t="s">
        <v>3</v>
      </c>
      <c r="O193" s="115" t="s">
        <v>464</v>
      </c>
      <c r="P193" s="116" t="s">
        <v>470</v>
      </c>
      <c r="Q193" s="121"/>
      <c r="R193" s="116" t="s">
        <v>480</v>
      </c>
    </row>
    <row r="194" spans="2:18" ht="25.5">
      <c r="B194" s="165">
        <v>54</v>
      </c>
      <c r="C194" s="165" t="s">
        <v>634</v>
      </c>
      <c r="D194" s="115">
        <v>187</v>
      </c>
      <c r="E194" s="116" t="s">
        <v>442</v>
      </c>
      <c r="F194" s="115" t="s">
        <v>6</v>
      </c>
      <c r="G194" s="115" t="s">
        <v>635</v>
      </c>
      <c r="H194" s="115" t="s">
        <v>1</v>
      </c>
      <c r="I194" s="115" t="s">
        <v>2</v>
      </c>
      <c r="J194" s="116" t="s">
        <v>463</v>
      </c>
      <c r="K194" s="122">
        <v>17930</v>
      </c>
      <c r="L194" s="118">
        <v>1949</v>
      </c>
      <c r="M194" s="118">
        <f t="shared" si="11"/>
        <v>70</v>
      </c>
      <c r="N194" s="115" t="s">
        <v>3</v>
      </c>
      <c r="O194" s="115" t="s">
        <v>464</v>
      </c>
      <c r="P194" s="116" t="s">
        <v>470</v>
      </c>
      <c r="Q194" s="121"/>
      <c r="R194" s="116" t="s">
        <v>480</v>
      </c>
    </row>
    <row r="195" spans="2:18" ht="25.5">
      <c r="B195" s="167"/>
      <c r="C195" s="167"/>
      <c r="D195" s="115">
        <v>188</v>
      </c>
      <c r="E195" s="116" t="s">
        <v>443</v>
      </c>
      <c r="F195" s="115" t="s">
        <v>8</v>
      </c>
      <c r="G195" s="121" t="s">
        <v>636</v>
      </c>
      <c r="H195" s="115" t="s">
        <v>7</v>
      </c>
      <c r="I195" s="115" t="s">
        <v>2</v>
      </c>
      <c r="J195" s="116" t="s">
        <v>463</v>
      </c>
      <c r="K195" s="122">
        <v>18445</v>
      </c>
      <c r="L195" s="118">
        <v>1950</v>
      </c>
      <c r="M195" s="118">
        <f t="shared" si="11"/>
        <v>69</v>
      </c>
      <c r="N195" s="115" t="s">
        <v>3</v>
      </c>
      <c r="O195" s="115" t="s">
        <v>464</v>
      </c>
      <c r="P195" s="116" t="s">
        <v>470</v>
      </c>
      <c r="Q195" s="121"/>
      <c r="R195" s="116" t="s">
        <v>480</v>
      </c>
    </row>
    <row r="196" spans="2:18" ht="25.5">
      <c r="B196" s="165">
        <v>55</v>
      </c>
      <c r="C196" s="165" t="s">
        <v>646</v>
      </c>
      <c r="D196" s="115">
        <v>189</v>
      </c>
      <c r="E196" s="116" t="s">
        <v>22</v>
      </c>
      <c r="F196" s="115" t="s">
        <v>6</v>
      </c>
      <c r="G196" s="121" t="s">
        <v>647</v>
      </c>
      <c r="H196" s="115" t="s">
        <v>1</v>
      </c>
      <c r="I196" s="115" t="s">
        <v>2</v>
      </c>
      <c r="J196" s="116" t="s">
        <v>463</v>
      </c>
      <c r="K196" s="122">
        <v>21185</v>
      </c>
      <c r="L196" s="118">
        <v>1957</v>
      </c>
      <c r="M196" s="118">
        <f t="shared" si="11"/>
        <v>62</v>
      </c>
      <c r="N196" s="115" t="s">
        <v>3</v>
      </c>
      <c r="O196" s="115" t="s">
        <v>464</v>
      </c>
      <c r="P196" s="116" t="s">
        <v>470</v>
      </c>
      <c r="Q196" s="121"/>
      <c r="R196" s="116" t="s">
        <v>480</v>
      </c>
    </row>
    <row r="197" spans="2:18" ht="25.5">
      <c r="B197" s="166"/>
      <c r="C197" s="166"/>
      <c r="D197" s="115">
        <v>190</v>
      </c>
      <c r="E197" s="116" t="s">
        <v>17</v>
      </c>
      <c r="F197" s="115" t="s">
        <v>8</v>
      </c>
      <c r="G197" s="121" t="s">
        <v>648</v>
      </c>
      <c r="H197" s="115" t="s">
        <v>7</v>
      </c>
      <c r="I197" s="115" t="s">
        <v>2</v>
      </c>
      <c r="J197" s="116" t="s">
        <v>650</v>
      </c>
      <c r="K197" s="122">
        <v>22281</v>
      </c>
      <c r="L197" s="118">
        <v>1960</v>
      </c>
      <c r="M197" s="118">
        <f t="shared" si="11"/>
        <v>59</v>
      </c>
      <c r="N197" s="115" t="s">
        <v>3</v>
      </c>
      <c r="O197" s="115" t="s">
        <v>464</v>
      </c>
      <c r="P197" s="116" t="s">
        <v>470</v>
      </c>
      <c r="Q197" s="121"/>
      <c r="R197" s="116" t="s">
        <v>480</v>
      </c>
    </row>
    <row r="198" spans="2:18" ht="25.5">
      <c r="B198" s="167"/>
      <c r="C198" s="167"/>
      <c r="D198" s="115">
        <v>191</v>
      </c>
      <c r="E198" s="116" t="s">
        <v>158</v>
      </c>
      <c r="F198" s="115" t="s">
        <v>11</v>
      </c>
      <c r="G198" s="121" t="s">
        <v>649</v>
      </c>
      <c r="H198" s="115" t="s">
        <v>7</v>
      </c>
      <c r="I198" s="115" t="s">
        <v>9</v>
      </c>
      <c r="J198" s="116" t="s">
        <v>463</v>
      </c>
      <c r="K198" s="122">
        <v>35795</v>
      </c>
      <c r="L198" s="118">
        <v>1997</v>
      </c>
      <c r="M198" s="118">
        <f t="shared" si="11"/>
        <v>22</v>
      </c>
      <c r="N198" s="115" t="s">
        <v>3</v>
      </c>
      <c r="O198" s="115" t="s">
        <v>464</v>
      </c>
      <c r="P198" s="116" t="s">
        <v>516</v>
      </c>
      <c r="Q198" s="121"/>
      <c r="R198" s="116" t="s">
        <v>469</v>
      </c>
    </row>
    <row r="199" spans="2:18" ht="25.5">
      <c r="B199" s="165">
        <v>56</v>
      </c>
      <c r="C199" s="165" t="s">
        <v>655</v>
      </c>
      <c r="D199" s="115">
        <v>192</v>
      </c>
      <c r="E199" s="116" t="s">
        <v>294</v>
      </c>
      <c r="F199" s="115" t="s">
        <v>6</v>
      </c>
      <c r="G199" s="121" t="s">
        <v>657</v>
      </c>
      <c r="H199" s="115" t="s">
        <v>1</v>
      </c>
      <c r="I199" s="115" t="s">
        <v>2</v>
      </c>
      <c r="J199" s="116" t="s">
        <v>463</v>
      </c>
      <c r="K199" s="122">
        <v>21523</v>
      </c>
      <c r="L199" s="118">
        <v>1958</v>
      </c>
      <c r="M199" s="118">
        <f t="shared" si="11"/>
        <v>61</v>
      </c>
      <c r="N199" s="115" t="s">
        <v>3</v>
      </c>
      <c r="O199" s="115" t="s">
        <v>464</v>
      </c>
      <c r="P199" s="116" t="s">
        <v>465</v>
      </c>
      <c r="Q199" s="121"/>
      <c r="R199" s="116" t="s">
        <v>492</v>
      </c>
    </row>
    <row r="200" spans="2:18" ht="38.25">
      <c r="B200" s="166"/>
      <c r="C200" s="166"/>
      <c r="D200" s="115">
        <v>193</v>
      </c>
      <c r="E200" s="116" t="s">
        <v>19</v>
      </c>
      <c r="F200" s="115" t="s">
        <v>8</v>
      </c>
      <c r="G200" s="121" t="s">
        <v>658</v>
      </c>
      <c r="H200" s="115" t="s">
        <v>7</v>
      </c>
      <c r="I200" s="115" t="s">
        <v>2</v>
      </c>
      <c r="J200" s="116" t="s">
        <v>463</v>
      </c>
      <c r="K200" s="122">
        <v>21985</v>
      </c>
      <c r="L200" s="118">
        <v>1960</v>
      </c>
      <c r="M200" s="118">
        <f t="shared" si="11"/>
        <v>59</v>
      </c>
      <c r="N200" s="115" t="s">
        <v>3</v>
      </c>
      <c r="O200" s="115" t="s">
        <v>464</v>
      </c>
      <c r="P200" s="116" t="s">
        <v>465</v>
      </c>
      <c r="Q200" s="121"/>
      <c r="R200" s="116" t="s">
        <v>479</v>
      </c>
    </row>
    <row r="201" spans="2:18" ht="25.5">
      <c r="B201" s="167"/>
      <c r="C201" s="167"/>
      <c r="D201" s="115">
        <v>194</v>
      </c>
      <c r="E201" s="116" t="s">
        <v>656</v>
      </c>
      <c r="F201" s="115" t="s">
        <v>11</v>
      </c>
      <c r="G201" s="121" t="s">
        <v>659</v>
      </c>
      <c r="H201" s="115" t="s">
        <v>1</v>
      </c>
      <c r="I201" s="115" t="s">
        <v>9</v>
      </c>
      <c r="J201" s="116" t="s">
        <v>463</v>
      </c>
      <c r="K201" s="122">
        <v>35485</v>
      </c>
      <c r="L201" s="118">
        <v>1997</v>
      </c>
      <c r="M201" s="118">
        <f t="shared" si="11"/>
        <v>22</v>
      </c>
      <c r="N201" s="115" t="s">
        <v>3</v>
      </c>
      <c r="O201" s="115" t="s">
        <v>464</v>
      </c>
      <c r="P201" s="116" t="s">
        <v>516</v>
      </c>
      <c r="Q201" s="121"/>
      <c r="R201" s="116" t="s">
        <v>469</v>
      </c>
    </row>
    <row r="202" spans="2:18" ht="25.5">
      <c r="B202" s="165">
        <v>57</v>
      </c>
      <c r="C202" s="165" t="s">
        <v>660</v>
      </c>
      <c r="D202" s="115">
        <v>195</v>
      </c>
      <c r="E202" s="116" t="s">
        <v>661</v>
      </c>
      <c r="F202" s="115" t="s">
        <v>6</v>
      </c>
      <c r="G202" s="121" t="s">
        <v>664</v>
      </c>
      <c r="H202" s="115" t="s">
        <v>1</v>
      </c>
      <c r="I202" s="115" t="s">
        <v>2</v>
      </c>
      <c r="J202" s="116" t="s">
        <v>669</v>
      </c>
      <c r="K202" s="122">
        <v>30725</v>
      </c>
      <c r="L202" s="118">
        <v>1984</v>
      </c>
      <c r="M202" s="118">
        <f t="shared" si="11"/>
        <v>35</v>
      </c>
      <c r="N202" s="115" t="s">
        <v>3</v>
      </c>
      <c r="O202" s="115" t="s">
        <v>464</v>
      </c>
      <c r="P202" s="116" t="s">
        <v>670</v>
      </c>
      <c r="Q202" s="121"/>
      <c r="R202" s="116" t="s">
        <v>466</v>
      </c>
    </row>
    <row r="203" spans="2:18" ht="25.5">
      <c r="B203" s="166"/>
      <c r="C203" s="166"/>
      <c r="D203" s="115">
        <v>196</v>
      </c>
      <c r="E203" s="116" t="s">
        <v>65</v>
      </c>
      <c r="F203" s="115" t="s">
        <v>8</v>
      </c>
      <c r="G203" s="121" t="s">
        <v>665</v>
      </c>
      <c r="H203" s="115" t="s">
        <v>7</v>
      </c>
      <c r="I203" s="115" t="s">
        <v>2</v>
      </c>
      <c r="J203" s="116" t="s">
        <v>532</v>
      </c>
      <c r="K203" s="122">
        <v>31639</v>
      </c>
      <c r="L203" s="118">
        <v>1986</v>
      </c>
      <c r="M203" s="118">
        <f t="shared" si="11"/>
        <v>33</v>
      </c>
      <c r="N203" s="115" t="s">
        <v>3</v>
      </c>
      <c r="O203" s="115" t="s">
        <v>464</v>
      </c>
      <c r="P203" s="116" t="s">
        <v>670</v>
      </c>
      <c r="Q203" s="121"/>
      <c r="R203" s="116" t="s">
        <v>466</v>
      </c>
    </row>
    <row r="204" spans="2:18" ht="25.5">
      <c r="B204" s="166"/>
      <c r="C204" s="166"/>
      <c r="D204" s="115">
        <v>197</v>
      </c>
      <c r="E204" s="116" t="s">
        <v>662</v>
      </c>
      <c r="F204" s="115" t="s">
        <v>11</v>
      </c>
      <c r="G204" s="121" t="s">
        <v>666</v>
      </c>
      <c r="H204" s="115" t="s">
        <v>7</v>
      </c>
      <c r="I204" s="115" t="s">
        <v>9</v>
      </c>
      <c r="J204" s="116" t="s">
        <v>463</v>
      </c>
      <c r="K204" s="122">
        <v>40615</v>
      </c>
      <c r="L204" s="118">
        <v>2011</v>
      </c>
      <c r="M204" s="118">
        <f t="shared" si="11"/>
        <v>8</v>
      </c>
      <c r="N204" s="115" t="s">
        <v>3</v>
      </c>
      <c r="O204" s="115" t="s">
        <v>464</v>
      </c>
      <c r="P204" s="116" t="s">
        <v>470</v>
      </c>
      <c r="Q204" s="121"/>
      <c r="R204" s="116" t="s">
        <v>471</v>
      </c>
    </row>
    <row r="205" spans="2:18" ht="25.5">
      <c r="B205" s="166"/>
      <c r="C205" s="166"/>
      <c r="D205" s="115">
        <v>198</v>
      </c>
      <c r="E205" s="116" t="s">
        <v>663</v>
      </c>
      <c r="F205" s="115" t="s">
        <v>11</v>
      </c>
      <c r="G205" s="121" t="s">
        <v>667</v>
      </c>
      <c r="H205" s="115" t="s">
        <v>7</v>
      </c>
      <c r="I205" s="115" t="s">
        <v>9</v>
      </c>
      <c r="J205" s="116" t="s">
        <v>463</v>
      </c>
      <c r="K205" s="122">
        <v>41931</v>
      </c>
      <c r="L205" s="118">
        <v>2014</v>
      </c>
      <c r="M205" s="118">
        <f t="shared" si="11"/>
        <v>5</v>
      </c>
      <c r="N205" s="115" t="s">
        <v>3</v>
      </c>
      <c r="O205" s="115" t="s">
        <v>464</v>
      </c>
      <c r="P205" s="116" t="s">
        <v>470</v>
      </c>
      <c r="Q205" s="121"/>
      <c r="R205" s="116" t="s">
        <v>471</v>
      </c>
    </row>
    <row r="206" spans="2:18" ht="25.5">
      <c r="B206" s="167"/>
      <c r="C206" s="167"/>
      <c r="D206" s="115">
        <v>199</v>
      </c>
      <c r="E206" s="116" t="s">
        <v>350</v>
      </c>
      <c r="F206" s="115" t="s">
        <v>483</v>
      </c>
      <c r="G206" s="121" t="s">
        <v>668</v>
      </c>
      <c r="H206" s="115" t="s">
        <v>7</v>
      </c>
      <c r="I206" s="115" t="s">
        <v>477</v>
      </c>
      <c r="J206" s="116" t="s">
        <v>463</v>
      </c>
      <c r="K206" s="122">
        <v>20454</v>
      </c>
      <c r="L206" s="118">
        <v>1955</v>
      </c>
      <c r="M206" s="118">
        <f t="shared" si="11"/>
        <v>64</v>
      </c>
      <c r="N206" s="115" t="s">
        <v>3</v>
      </c>
      <c r="O206" s="115" t="s">
        <v>464</v>
      </c>
      <c r="P206" s="116" t="s">
        <v>465</v>
      </c>
      <c r="Q206" s="121"/>
      <c r="R206" s="116" t="s">
        <v>471</v>
      </c>
    </row>
    <row r="207" spans="2:18" ht="25.5">
      <c r="B207" s="115">
        <v>58</v>
      </c>
      <c r="C207" s="115" t="s">
        <v>761</v>
      </c>
      <c r="D207" s="115">
        <v>200</v>
      </c>
      <c r="E207" s="116" t="s">
        <v>93</v>
      </c>
      <c r="F207" s="115" t="s">
        <v>6</v>
      </c>
      <c r="G207" s="115" t="s">
        <v>94</v>
      </c>
      <c r="H207" s="115" t="s">
        <v>7</v>
      </c>
      <c r="I207" s="115" t="s">
        <v>2</v>
      </c>
      <c r="J207" s="116" t="s">
        <v>463</v>
      </c>
      <c r="K207" s="117">
        <v>23683</v>
      </c>
      <c r="L207" s="118">
        <v>1964</v>
      </c>
      <c r="M207" s="118">
        <f t="shared" si="11"/>
        <v>55</v>
      </c>
      <c r="N207" s="115" t="s">
        <v>3</v>
      </c>
      <c r="O207" s="115" t="s">
        <v>464</v>
      </c>
      <c r="P207" s="116" t="s">
        <v>470</v>
      </c>
      <c r="Q207" s="115"/>
      <c r="R207" s="116" t="s">
        <v>492</v>
      </c>
    </row>
    <row r="208" spans="2:18" ht="25.5">
      <c r="B208" s="165">
        <v>59</v>
      </c>
      <c r="C208" s="165" t="s">
        <v>735</v>
      </c>
      <c r="D208" s="115">
        <v>201</v>
      </c>
      <c r="E208" s="116" t="s">
        <v>59</v>
      </c>
      <c r="F208" s="115" t="s">
        <v>6</v>
      </c>
      <c r="G208" s="121" t="s">
        <v>736</v>
      </c>
      <c r="H208" s="115" t="s">
        <v>1</v>
      </c>
      <c r="I208" s="115" t="s">
        <v>2</v>
      </c>
      <c r="J208" s="116" t="s">
        <v>463</v>
      </c>
      <c r="K208" s="122">
        <v>25203</v>
      </c>
      <c r="L208" s="118">
        <v>1968</v>
      </c>
      <c r="M208" s="118">
        <f t="shared" si="11"/>
        <v>51</v>
      </c>
      <c r="N208" s="115" t="s">
        <v>3</v>
      </c>
      <c r="O208" s="115" t="s">
        <v>464</v>
      </c>
      <c r="P208" s="116" t="s">
        <v>465</v>
      </c>
      <c r="Q208" s="121"/>
      <c r="R208" s="116" t="s">
        <v>26</v>
      </c>
    </row>
    <row r="209" spans="2:18" ht="25.5">
      <c r="B209" s="167"/>
      <c r="C209" s="167"/>
      <c r="D209" s="115">
        <v>202</v>
      </c>
      <c r="E209" s="116" t="s">
        <v>37</v>
      </c>
      <c r="F209" s="115" t="s">
        <v>8</v>
      </c>
      <c r="G209" s="121" t="s">
        <v>737</v>
      </c>
      <c r="H209" s="115" t="s">
        <v>7</v>
      </c>
      <c r="I209" s="115" t="s">
        <v>2</v>
      </c>
      <c r="J209" s="116" t="s">
        <v>463</v>
      </c>
      <c r="K209" s="122">
        <v>25933</v>
      </c>
      <c r="L209" s="118">
        <v>1970</v>
      </c>
      <c r="M209" s="118">
        <f t="shared" si="11"/>
        <v>49</v>
      </c>
      <c r="N209" s="115" t="s">
        <v>3</v>
      </c>
      <c r="O209" s="115" t="s">
        <v>464</v>
      </c>
      <c r="P209" s="116" t="s">
        <v>465</v>
      </c>
      <c r="Q209" s="121"/>
      <c r="R209" s="116" t="s">
        <v>26</v>
      </c>
    </row>
    <row r="210" spans="2:18" ht="25.5">
      <c r="B210" s="165">
        <v>60</v>
      </c>
      <c r="C210" s="165" t="s">
        <v>744</v>
      </c>
      <c r="D210" s="115">
        <v>203</v>
      </c>
      <c r="E210" s="116" t="s">
        <v>257</v>
      </c>
      <c r="F210" s="115" t="s">
        <v>6</v>
      </c>
      <c r="G210" s="121" t="s">
        <v>746</v>
      </c>
      <c r="H210" s="115" t="s">
        <v>1</v>
      </c>
      <c r="I210" s="115" t="s">
        <v>2</v>
      </c>
      <c r="J210" s="116" t="s">
        <v>463</v>
      </c>
      <c r="K210" s="122">
        <v>29220</v>
      </c>
      <c r="L210" s="118">
        <v>1979</v>
      </c>
      <c r="M210" s="118">
        <f t="shared" si="11"/>
        <v>40</v>
      </c>
      <c r="N210" s="115" t="s">
        <v>3</v>
      </c>
      <c r="O210" s="115" t="s">
        <v>464</v>
      </c>
      <c r="P210" s="116" t="s">
        <v>465</v>
      </c>
      <c r="Q210" s="121"/>
      <c r="R210" s="116" t="s">
        <v>466</v>
      </c>
    </row>
    <row r="211" spans="2:18" ht="38.25">
      <c r="B211" s="167"/>
      <c r="C211" s="167"/>
      <c r="D211" s="115">
        <v>204</v>
      </c>
      <c r="E211" s="116" t="s">
        <v>745</v>
      </c>
      <c r="F211" s="115" t="s">
        <v>8</v>
      </c>
      <c r="G211" s="121" t="s">
        <v>747</v>
      </c>
      <c r="H211" s="115" t="s">
        <v>7</v>
      </c>
      <c r="I211" s="115" t="s">
        <v>2</v>
      </c>
      <c r="J211" s="116" t="s">
        <v>748</v>
      </c>
      <c r="K211" s="122">
        <v>29321</v>
      </c>
      <c r="L211" s="118">
        <v>1980</v>
      </c>
      <c r="M211" s="118">
        <f t="shared" si="11"/>
        <v>39</v>
      </c>
      <c r="N211" s="115" t="s">
        <v>3</v>
      </c>
      <c r="O211" s="115" t="s">
        <v>464</v>
      </c>
      <c r="P211" s="116" t="s">
        <v>465</v>
      </c>
      <c r="Q211" s="121"/>
      <c r="R211" s="116" t="s">
        <v>467</v>
      </c>
    </row>
    <row r="212" spans="2:18" ht="25.5">
      <c r="B212" s="165">
        <v>61</v>
      </c>
      <c r="C212" s="165" t="s">
        <v>752</v>
      </c>
      <c r="D212" s="115">
        <v>205</v>
      </c>
      <c r="E212" s="116" t="s">
        <v>155</v>
      </c>
      <c r="F212" s="115" t="s">
        <v>6</v>
      </c>
      <c r="G212" s="121" t="s">
        <v>156</v>
      </c>
      <c r="H212" s="115" t="s">
        <v>1</v>
      </c>
      <c r="I212" s="115" t="s">
        <v>2</v>
      </c>
      <c r="J212" s="116" t="s">
        <v>463</v>
      </c>
      <c r="K212" s="122">
        <v>33423</v>
      </c>
      <c r="L212" s="118">
        <v>1991</v>
      </c>
      <c r="M212" s="118">
        <f t="shared" si="11"/>
        <v>28</v>
      </c>
      <c r="N212" s="115" t="s">
        <v>3</v>
      </c>
      <c r="O212" s="115" t="s">
        <v>464</v>
      </c>
      <c r="P212" s="116" t="s">
        <v>474</v>
      </c>
      <c r="Q212" s="121"/>
      <c r="R212" s="116" t="s">
        <v>480</v>
      </c>
    </row>
    <row r="213" spans="2:18" ht="38.25">
      <c r="B213" s="166"/>
      <c r="C213" s="166"/>
      <c r="D213" s="115">
        <v>206</v>
      </c>
      <c r="E213" s="116" t="s">
        <v>129</v>
      </c>
      <c r="F213" s="115" t="s">
        <v>8</v>
      </c>
      <c r="G213" s="121" t="s">
        <v>754</v>
      </c>
      <c r="H213" s="115" t="s">
        <v>7</v>
      </c>
      <c r="I213" s="115" t="s">
        <v>2</v>
      </c>
      <c r="J213" s="116" t="s">
        <v>526</v>
      </c>
      <c r="K213" s="122">
        <v>34944</v>
      </c>
      <c r="L213" s="118">
        <v>1995</v>
      </c>
      <c r="M213" s="118">
        <f t="shared" si="11"/>
        <v>24</v>
      </c>
      <c r="N213" s="115" t="s">
        <v>3</v>
      </c>
      <c r="O213" s="115" t="s">
        <v>464</v>
      </c>
      <c r="P213" s="116" t="s">
        <v>474</v>
      </c>
      <c r="Q213" s="121"/>
      <c r="R213" s="116" t="s">
        <v>467</v>
      </c>
    </row>
    <row r="214" spans="2:18" ht="25.5">
      <c r="B214" s="167"/>
      <c r="C214" s="167"/>
      <c r="D214" s="115">
        <v>207</v>
      </c>
      <c r="E214" s="116" t="s">
        <v>753</v>
      </c>
      <c r="F214" s="115" t="s">
        <v>11</v>
      </c>
      <c r="G214" s="121" t="s">
        <v>755</v>
      </c>
      <c r="H214" s="115" t="s">
        <v>7</v>
      </c>
      <c r="I214" s="115" t="s">
        <v>2</v>
      </c>
      <c r="J214" s="116" t="s">
        <v>550</v>
      </c>
      <c r="K214" s="122">
        <v>43068</v>
      </c>
      <c r="L214" s="118">
        <v>2017</v>
      </c>
      <c r="M214" s="118">
        <f t="shared" si="11"/>
        <v>2</v>
      </c>
      <c r="N214" s="115" t="s">
        <v>3</v>
      </c>
      <c r="O214" s="115" t="s">
        <v>464</v>
      </c>
      <c r="P214" s="116" t="s">
        <v>470</v>
      </c>
      <c r="Q214" s="121"/>
      <c r="R214" s="116" t="s">
        <v>471</v>
      </c>
    </row>
    <row r="215" spans="2:18" s="72" customFormat="1" ht="25.5">
      <c r="B215" s="165">
        <v>62</v>
      </c>
      <c r="C215" s="165" t="s">
        <v>881</v>
      </c>
      <c r="D215" s="115">
        <v>208</v>
      </c>
      <c r="E215" s="116" t="s">
        <v>25</v>
      </c>
      <c r="F215" s="115" t="s">
        <v>6</v>
      </c>
      <c r="G215" s="115" t="s">
        <v>29</v>
      </c>
      <c r="H215" s="115" t="s">
        <v>1</v>
      </c>
      <c r="I215" s="115" t="s">
        <v>2</v>
      </c>
      <c r="J215" s="116" t="s">
        <v>463</v>
      </c>
      <c r="K215" s="117">
        <v>25933</v>
      </c>
      <c r="L215" s="118">
        <v>1970</v>
      </c>
      <c r="M215" s="118">
        <f t="shared" si="11"/>
        <v>49</v>
      </c>
      <c r="N215" s="115" t="s">
        <v>3</v>
      </c>
      <c r="O215" s="115" t="s">
        <v>464</v>
      </c>
      <c r="P215" s="116" t="s">
        <v>470</v>
      </c>
      <c r="Q215" s="115"/>
      <c r="R215" s="116" t="s">
        <v>466</v>
      </c>
    </row>
    <row r="216" spans="2:18" s="72" customFormat="1" ht="25.5">
      <c r="B216" s="166"/>
      <c r="C216" s="166"/>
      <c r="D216" s="115">
        <v>209</v>
      </c>
      <c r="E216" s="116" t="s">
        <v>74</v>
      </c>
      <c r="F216" s="115" t="s">
        <v>8</v>
      </c>
      <c r="G216" s="115" t="s">
        <v>882</v>
      </c>
      <c r="H216" s="115" t="s">
        <v>7</v>
      </c>
      <c r="I216" s="115" t="s">
        <v>2</v>
      </c>
      <c r="J216" s="116" t="s">
        <v>463</v>
      </c>
      <c r="K216" s="117">
        <v>28125</v>
      </c>
      <c r="L216" s="118">
        <v>1976</v>
      </c>
      <c r="M216" s="118">
        <f t="shared" si="11"/>
        <v>43</v>
      </c>
      <c r="N216" s="115" t="s">
        <v>3</v>
      </c>
      <c r="O216" s="115" t="s">
        <v>464</v>
      </c>
      <c r="P216" s="116" t="s">
        <v>470</v>
      </c>
      <c r="Q216" s="115"/>
      <c r="R216" s="116" t="s">
        <v>492</v>
      </c>
    </row>
    <row r="217" spans="2:18" s="72" customFormat="1" ht="25.5">
      <c r="B217" s="166"/>
      <c r="C217" s="166"/>
      <c r="D217" s="115">
        <v>210</v>
      </c>
      <c r="E217" s="116" t="s">
        <v>879</v>
      </c>
      <c r="F217" s="115" t="s">
        <v>11</v>
      </c>
      <c r="G217" s="115" t="s">
        <v>883</v>
      </c>
      <c r="H217" s="115" t="s">
        <v>1</v>
      </c>
      <c r="I217" s="115" t="s">
        <v>9</v>
      </c>
      <c r="J217" s="116" t="s">
        <v>463</v>
      </c>
      <c r="K217" s="117">
        <v>39485</v>
      </c>
      <c r="L217" s="118">
        <v>2008</v>
      </c>
      <c r="M217" s="118">
        <f t="shared" si="11"/>
        <v>11</v>
      </c>
      <c r="N217" s="115" t="s">
        <v>3</v>
      </c>
      <c r="O217" s="115" t="s">
        <v>464</v>
      </c>
      <c r="P217" s="116" t="s">
        <v>470</v>
      </c>
      <c r="Q217" s="115"/>
      <c r="R217" s="116" t="s">
        <v>471</v>
      </c>
    </row>
    <row r="218" spans="2:18" s="72" customFormat="1" ht="25.5">
      <c r="B218" s="167"/>
      <c r="C218" s="167"/>
      <c r="D218" s="115">
        <v>211</v>
      </c>
      <c r="E218" s="116" t="s">
        <v>880</v>
      </c>
      <c r="F218" s="115" t="s">
        <v>11</v>
      </c>
      <c r="G218" s="115" t="s">
        <v>884</v>
      </c>
      <c r="H218" s="115" t="s">
        <v>1</v>
      </c>
      <c r="I218" s="115" t="s">
        <v>9</v>
      </c>
      <c r="J218" s="116" t="s">
        <v>844</v>
      </c>
      <c r="K218" s="117">
        <v>40859</v>
      </c>
      <c r="L218" s="118">
        <v>2011</v>
      </c>
      <c r="M218" s="118">
        <f t="shared" si="11"/>
        <v>8</v>
      </c>
      <c r="N218" s="115" t="s">
        <v>3</v>
      </c>
      <c r="O218" s="115" t="s">
        <v>464</v>
      </c>
      <c r="P218" s="116" t="s">
        <v>470</v>
      </c>
      <c r="Q218" s="115"/>
      <c r="R218" s="116" t="s">
        <v>471</v>
      </c>
    </row>
    <row r="219" spans="2:18" ht="25.5">
      <c r="B219" s="165">
        <v>63</v>
      </c>
      <c r="C219" s="165" t="s">
        <v>756</v>
      </c>
      <c r="D219" s="115">
        <v>212</v>
      </c>
      <c r="E219" s="116" t="s">
        <v>0</v>
      </c>
      <c r="F219" s="115" t="s">
        <v>6</v>
      </c>
      <c r="G219" s="121" t="s">
        <v>757</v>
      </c>
      <c r="H219" s="115" t="s">
        <v>1</v>
      </c>
      <c r="I219" s="115" t="s">
        <v>2</v>
      </c>
      <c r="J219" s="116" t="s">
        <v>558</v>
      </c>
      <c r="K219" s="122">
        <v>27759</v>
      </c>
      <c r="L219" s="118">
        <v>1975</v>
      </c>
      <c r="M219" s="118">
        <f t="shared" si="11"/>
        <v>44</v>
      </c>
      <c r="N219" s="115" t="s">
        <v>3</v>
      </c>
      <c r="O219" s="115" t="s">
        <v>464</v>
      </c>
      <c r="P219" s="116" t="s">
        <v>465</v>
      </c>
      <c r="Q219" s="121"/>
      <c r="R219" s="116" t="s">
        <v>466</v>
      </c>
    </row>
    <row r="220" spans="2:18" ht="38.25">
      <c r="B220" s="166"/>
      <c r="C220" s="166"/>
      <c r="D220" s="115">
        <v>213</v>
      </c>
      <c r="E220" s="116" t="s">
        <v>87</v>
      </c>
      <c r="F220" s="115" t="s">
        <v>8</v>
      </c>
      <c r="G220" s="121" t="s">
        <v>758</v>
      </c>
      <c r="H220" s="115" t="s">
        <v>7</v>
      </c>
      <c r="I220" s="115" t="s">
        <v>2</v>
      </c>
      <c r="J220" s="116" t="s">
        <v>463</v>
      </c>
      <c r="K220" s="122">
        <v>28855</v>
      </c>
      <c r="L220" s="118">
        <v>1978</v>
      </c>
      <c r="M220" s="118">
        <f t="shared" si="11"/>
        <v>41</v>
      </c>
      <c r="N220" s="115" t="s">
        <v>3</v>
      </c>
      <c r="O220" s="115" t="s">
        <v>464</v>
      </c>
      <c r="P220" s="116" t="s">
        <v>465</v>
      </c>
      <c r="Q220" s="121"/>
      <c r="R220" s="116" t="s">
        <v>467</v>
      </c>
    </row>
    <row r="221" spans="2:18" ht="25.5">
      <c r="B221" s="166"/>
      <c r="C221" s="166"/>
      <c r="D221" s="115">
        <v>214</v>
      </c>
      <c r="E221" s="116" t="s">
        <v>88</v>
      </c>
      <c r="F221" s="115" t="s">
        <v>11</v>
      </c>
      <c r="G221" s="121" t="s">
        <v>759</v>
      </c>
      <c r="H221" s="115" t="s">
        <v>1</v>
      </c>
      <c r="I221" s="115" t="s">
        <v>2</v>
      </c>
      <c r="J221" s="116" t="s">
        <v>463</v>
      </c>
      <c r="K221" s="122">
        <v>34278</v>
      </c>
      <c r="L221" s="118">
        <v>1993</v>
      </c>
      <c r="M221" s="118">
        <f t="shared" si="11"/>
        <v>26</v>
      </c>
      <c r="N221" s="115" t="s">
        <v>3</v>
      </c>
      <c r="O221" s="115" t="s">
        <v>464</v>
      </c>
      <c r="P221" s="116" t="s">
        <v>516</v>
      </c>
      <c r="Q221" s="121"/>
      <c r="R221" s="116" t="s">
        <v>471</v>
      </c>
    </row>
    <row r="222" spans="2:18" ht="25.5">
      <c r="B222" s="167"/>
      <c r="C222" s="167"/>
      <c r="D222" s="115">
        <v>215</v>
      </c>
      <c r="E222" s="116" t="s">
        <v>34</v>
      </c>
      <c r="F222" s="115" t="s">
        <v>11</v>
      </c>
      <c r="G222" s="121" t="s">
        <v>760</v>
      </c>
      <c r="H222" s="115" t="s">
        <v>7</v>
      </c>
      <c r="I222" s="115" t="s">
        <v>2</v>
      </c>
      <c r="J222" s="116" t="s">
        <v>463</v>
      </c>
      <c r="K222" s="122">
        <v>36658</v>
      </c>
      <c r="L222" s="118">
        <v>2000</v>
      </c>
      <c r="M222" s="118">
        <f t="shared" si="11"/>
        <v>19</v>
      </c>
      <c r="N222" s="115" t="s">
        <v>3</v>
      </c>
      <c r="O222" s="115" t="s">
        <v>464</v>
      </c>
      <c r="P222" s="116" t="s">
        <v>465</v>
      </c>
      <c r="Q222" s="121"/>
      <c r="R222" s="116" t="s">
        <v>469</v>
      </c>
    </row>
    <row r="223" spans="2:18" ht="25.5">
      <c r="B223" s="165">
        <v>64</v>
      </c>
      <c r="C223" s="165" t="s">
        <v>768</v>
      </c>
      <c r="D223" s="115">
        <v>216</v>
      </c>
      <c r="E223" s="116" t="s">
        <v>769</v>
      </c>
      <c r="F223" s="115" t="s">
        <v>6</v>
      </c>
      <c r="G223" s="121" t="s">
        <v>772</v>
      </c>
      <c r="H223" s="115" t="s">
        <v>1</v>
      </c>
      <c r="I223" s="115" t="s">
        <v>2</v>
      </c>
      <c r="J223" s="116" t="s">
        <v>526</v>
      </c>
      <c r="K223" s="122">
        <v>31689</v>
      </c>
      <c r="L223" s="118">
        <v>1986</v>
      </c>
      <c r="M223" s="118">
        <f t="shared" si="11"/>
        <v>33</v>
      </c>
      <c r="N223" s="115" t="s">
        <v>3</v>
      </c>
      <c r="O223" s="115" t="s">
        <v>464</v>
      </c>
      <c r="P223" s="116" t="s">
        <v>516</v>
      </c>
      <c r="Q223" s="121"/>
      <c r="R223" s="116" t="s">
        <v>466</v>
      </c>
    </row>
    <row r="224" spans="2:18" ht="25.5">
      <c r="B224" s="166"/>
      <c r="C224" s="166"/>
      <c r="D224" s="115">
        <v>217</v>
      </c>
      <c r="E224" s="116" t="s">
        <v>770</v>
      </c>
      <c r="F224" s="115" t="s">
        <v>8</v>
      </c>
      <c r="G224" s="121" t="s">
        <v>773</v>
      </c>
      <c r="H224" s="115" t="s">
        <v>7</v>
      </c>
      <c r="I224" s="115" t="s">
        <v>2</v>
      </c>
      <c r="J224" s="116" t="s">
        <v>775</v>
      </c>
      <c r="K224" s="122">
        <v>27611</v>
      </c>
      <c r="L224" s="118">
        <v>1975</v>
      </c>
      <c r="M224" s="118">
        <f t="shared" si="11"/>
        <v>44</v>
      </c>
      <c r="N224" s="115" t="s">
        <v>3</v>
      </c>
      <c r="O224" s="115" t="s">
        <v>464</v>
      </c>
      <c r="P224" s="116" t="s">
        <v>670</v>
      </c>
      <c r="Q224" s="121"/>
      <c r="R224" s="116" t="s">
        <v>776</v>
      </c>
    </row>
    <row r="225" spans="1:19" ht="38.25">
      <c r="B225" s="167"/>
      <c r="C225" s="167"/>
      <c r="D225" s="115">
        <v>218</v>
      </c>
      <c r="E225" s="116" t="s">
        <v>771</v>
      </c>
      <c r="F225" s="115" t="s">
        <v>11</v>
      </c>
      <c r="G225" s="121" t="s">
        <v>774</v>
      </c>
      <c r="H225" s="115" t="s">
        <v>7</v>
      </c>
      <c r="I225" s="115" t="s">
        <v>9</v>
      </c>
      <c r="J225" s="116" t="s">
        <v>495</v>
      </c>
      <c r="K225" s="122">
        <v>41738</v>
      </c>
      <c r="L225" s="118">
        <v>2014</v>
      </c>
      <c r="M225" s="118">
        <f t="shared" si="11"/>
        <v>5</v>
      </c>
      <c r="N225" s="115" t="s">
        <v>3</v>
      </c>
      <c r="O225" s="115" t="s">
        <v>464</v>
      </c>
      <c r="P225" s="116" t="s">
        <v>470</v>
      </c>
      <c r="Q225" s="121"/>
      <c r="R225" s="116" t="s">
        <v>471</v>
      </c>
    </row>
    <row r="226" spans="1:19">
      <c r="B226" s="165">
        <v>65</v>
      </c>
      <c r="C226" s="165" t="s">
        <v>777</v>
      </c>
      <c r="D226" s="115">
        <v>219</v>
      </c>
      <c r="E226" s="116" t="s">
        <v>778</v>
      </c>
      <c r="F226" s="115" t="s">
        <v>6</v>
      </c>
      <c r="G226" s="121" t="s">
        <v>782</v>
      </c>
      <c r="H226" s="115" t="s">
        <v>1</v>
      </c>
      <c r="I226" s="115" t="s">
        <v>2</v>
      </c>
      <c r="J226" s="116" t="s">
        <v>463</v>
      </c>
      <c r="K226" s="122">
        <v>33154</v>
      </c>
      <c r="L226" s="118">
        <v>1990</v>
      </c>
      <c r="M226" s="118">
        <f t="shared" si="11"/>
        <v>29</v>
      </c>
      <c r="N226" s="115" t="s">
        <v>3</v>
      </c>
      <c r="O226" s="115" t="s">
        <v>464</v>
      </c>
      <c r="P226" s="116" t="s">
        <v>516</v>
      </c>
      <c r="Q226" s="121"/>
      <c r="R226" s="116" t="s">
        <v>466</v>
      </c>
    </row>
    <row r="227" spans="1:19" ht="25.5">
      <c r="B227" s="166"/>
      <c r="C227" s="166"/>
      <c r="D227" s="115">
        <v>220</v>
      </c>
      <c r="E227" s="116" t="s">
        <v>779</v>
      </c>
      <c r="F227" s="115" t="s">
        <v>8</v>
      </c>
      <c r="G227" s="121" t="s">
        <v>781</v>
      </c>
      <c r="H227" s="115" t="s">
        <v>7</v>
      </c>
      <c r="I227" s="115" t="s">
        <v>2</v>
      </c>
      <c r="J227" s="116" t="s">
        <v>511</v>
      </c>
      <c r="K227" s="122">
        <v>34617</v>
      </c>
      <c r="L227" s="118">
        <v>1994</v>
      </c>
      <c r="M227" s="118">
        <f t="shared" si="11"/>
        <v>25</v>
      </c>
      <c r="N227" s="115" t="s">
        <v>3</v>
      </c>
      <c r="O227" s="115" t="s">
        <v>464</v>
      </c>
      <c r="P227" s="116" t="s">
        <v>516</v>
      </c>
      <c r="Q227" s="121"/>
      <c r="R227" s="116" t="s">
        <v>471</v>
      </c>
    </row>
    <row r="228" spans="1:19" ht="25.5">
      <c r="B228" s="167"/>
      <c r="C228" s="167"/>
      <c r="D228" s="115">
        <v>221</v>
      </c>
      <c r="E228" s="116" t="s">
        <v>780</v>
      </c>
      <c r="F228" s="115" t="s">
        <v>11</v>
      </c>
      <c r="G228" s="121" t="s">
        <v>783</v>
      </c>
      <c r="H228" s="115" t="s">
        <v>7</v>
      </c>
      <c r="I228" s="115" t="s">
        <v>9</v>
      </c>
      <c r="J228" s="116" t="s">
        <v>550</v>
      </c>
      <c r="K228" s="122">
        <v>42714</v>
      </c>
      <c r="L228" s="118">
        <v>2016</v>
      </c>
      <c r="M228" s="118">
        <f t="shared" si="11"/>
        <v>3</v>
      </c>
      <c r="N228" s="115" t="s">
        <v>3</v>
      </c>
      <c r="O228" s="115" t="s">
        <v>464</v>
      </c>
      <c r="P228" s="116" t="s">
        <v>470</v>
      </c>
      <c r="Q228" s="121"/>
      <c r="R228" s="116" t="s">
        <v>471</v>
      </c>
    </row>
    <row r="229" spans="1:19" ht="25.5">
      <c r="B229" s="165">
        <v>66</v>
      </c>
      <c r="C229" s="165" t="s">
        <v>784</v>
      </c>
      <c r="D229" s="115">
        <v>222</v>
      </c>
      <c r="E229" s="116" t="s">
        <v>786</v>
      </c>
      <c r="F229" s="115" t="s">
        <v>6</v>
      </c>
      <c r="G229" s="121" t="s">
        <v>789</v>
      </c>
      <c r="H229" s="115" t="s">
        <v>7</v>
      </c>
      <c r="I229" s="115" t="s">
        <v>477</v>
      </c>
      <c r="J229" s="116" t="s">
        <v>791</v>
      </c>
      <c r="K229" s="122">
        <v>25203</v>
      </c>
      <c r="L229" s="118">
        <v>1968</v>
      </c>
      <c r="M229" s="118">
        <f t="shared" si="11"/>
        <v>51</v>
      </c>
      <c r="N229" s="115" t="s">
        <v>3</v>
      </c>
      <c r="O229" s="121"/>
      <c r="P229" s="116" t="s">
        <v>516</v>
      </c>
      <c r="Q229" s="121"/>
      <c r="R229" s="116" t="s">
        <v>475</v>
      </c>
    </row>
    <row r="230" spans="1:19" ht="25.5">
      <c r="B230" s="167"/>
      <c r="C230" s="167"/>
      <c r="D230" s="115">
        <v>223</v>
      </c>
      <c r="E230" s="116" t="s">
        <v>787</v>
      </c>
      <c r="F230" s="115" t="s">
        <v>27</v>
      </c>
      <c r="G230" s="121" t="s">
        <v>790</v>
      </c>
      <c r="H230" s="115" t="s">
        <v>7</v>
      </c>
      <c r="I230" s="115" t="s">
        <v>9</v>
      </c>
      <c r="J230" s="116" t="s">
        <v>792</v>
      </c>
      <c r="K230" s="122">
        <v>34247</v>
      </c>
      <c r="L230" s="118">
        <v>1993</v>
      </c>
      <c r="M230" s="118">
        <f t="shared" si="11"/>
        <v>26</v>
      </c>
      <c r="N230" s="115" t="s">
        <v>3</v>
      </c>
      <c r="O230" s="121"/>
      <c r="P230" s="116" t="s">
        <v>516</v>
      </c>
      <c r="Q230" s="121"/>
      <c r="R230" s="116" t="s">
        <v>469</v>
      </c>
    </row>
    <row r="231" spans="1:19" ht="25.5">
      <c r="B231" s="165">
        <v>67</v>
      </c>
      <c r="C231" s="165" t="s">
        <v>799</v>
      </c>
      <c r="D231" s="115">
        <v>224</v>
      </c>
      <c r="E231" s="116" t="s">
        <v>794</v>
      </c>
      <c r="F231" s="115" t="s">
        <v>6</v>
      </c>
      <c r="G231" s="121" t="s">
        <v>798</v>
      </c>
      <c r="H231" s="115" t="s">
        <v>1</v>
      </c>
      <c r="I231" s="115" t="s">
        <v>2</v>
      </c>
      <c r="J231" s="116" t="s">
        <v>526</v>
      </c>
      <c r="K231" s="122">
        <v>31251</v>
      </c>
      <c r="L231" s="118">
        <v>1985</v>
      </c>
      <c r="M231" s="118">
        <f t="shared" si="11"/>
        <v>34</v>
      </c>
      <c r="N231" s="115" t="s">
        <v>3</v>
      </c>
      <c r="O231" s="115" t="s">
        <v>464</v>
      </c>
      <c r="P231" s="116" t="s">
        <v>474</v>
      </c>
      <c r="Q231" s="121"/>
      <c r="R231" s="116" t="s">
        <v>475</v>
      </c>
    </row>
    <row r="232" spans="1:19" ht="25.5">
      <c r="B232" s="166"/>
      <c r="C232" s="166"/>
      <c r="D232" s="115">
        <v>225</v>
      </c>
      <c r="E232" s="116" t="s">
        <v>795</v>
      </c>
      <c r="F232" s="115" t="s">
        <v>8</v>
      </c>
      <c r="G232" s="121" t="s">
        <v>98</v>
      </c>
      <c r="H232" s="115" t="s">
        <v>7</v>
      </c>
      <c r="I232" s="115" t="s">
        <v>2</v>
      </c>
      <c r="J232" s="116" t="s">
        <v>526</v>
      </c>
      <c r="K232" s="122">
        <v>33521</v>
      </c>
      <c r="L232" s="118">
        <v>1991</v>
      </c>
      <c r="M232" s="118">
        <f t="shared" si="11"/>
        <v>28</v>
      </c>
      <c r="N232" s="115" t="s">
        <v>3</v>
      </c>
      <c r="O232" s="115" t="s">
        <v>464</v>
      </c>
      <c r="P232" s="116" t="s">
        <v>516</v>
      </c>
      <c r="Q232" s="121"/>
      <c r="R232" s="116" t="s">
        <v>475</v>
      </c>
    </row>
    <row r="233" spans="1:19" ht="25.5">
      <c r="B233" s="166"/>
      <c r="C233" s="166"/>
      <c r="D233" s="115">
        <v>226</v>
      </c>
      <c r="E233" s="116" t="s">
        <v>796</v>
      </c>
      <c r="F233" s="115" t="s">
        <v>11</v>
      </c>
      <c r="G233" s="121" t="s">
        <v>99</v>
      </c>
      <c r="H233" s="115" t="s">
        <v>7</v>
      </c>
      <c r="I233" s="115" t="s">
        <v>9</v>
      </c>
      <c r="J233" s="116" t="s">
        <v>463</v>
      </c>
      <c r="K233" s="122">
        <v>39725</v>
      </c>
      <c r="L233" s="118">
        <v>2008</v>
      </c>
      <c r="M233" s="118">
        <f t="shared" si="11"/>
        <v>11</v>
      </c>
      <c r="N233" s="115" t="s">
        <v>3</v>
      </c>
      <c r="O233" s="115" t="s">
        <v>464</v>
      </c>
      <c r="P233" s="116" t="s">
        <v>468</v>
      </c>
      <c r="Q233" s="121"/>
      <c r="R233" s="116" t="s">
        <v>469</v>
      </c>
    </row>
    <row r="234" spans="1:19" ht="25.5">
      <c r="B234" s="167"/>
      <c r="C234" s="167"/>
      <c r="D234" s="115">
        <v>227</v>
      </c>
      <c r="E234" s="116" t="s">
        <v>797</v>
      </c>
      <c r="F234" s="115" t="s">
        <v>11</v>
      </c>
      <c r="G234" s="121" t="s">
        <v>800</v>
      </c>
      <c r="H234" s="115" t="s">
        <v>7</v>
      </c>
      <c r="I234" s="115" t="s">
        <v>9</v>
      </c>
      <c r="J234" s="116" t="s">
        <v>463</v>
      </c>
      <c r="K234" s="122">
        <v>41531</v>
      </c>
      <c r="L234" s="118">
        <v>2013</v>
      </c>
      <c r="M234" s="118">
        <f t="shared" si="11"/>
        <v>6</v>
      </c>
      <c r="N234" s="115" t="s">
        <v>3</v>
      </c>
      <c r="O234" s="115" t="s">
        <v>464</v>
      </c>
      <c r="P234" s="116" t="s">
        <v>470</v>
      </c>
      <c r="Q234" s="121"/>
      <c r="R234" s="116" t="s">
        <v>471</v>
      </c>
    </row>
    <row r="235" spans="1:19" ht="25.5">
      <c r="B235" s="165">
        <v>68</v>
      </c>
      <c r="C235" s="165" t="s">
        <v>921</v>
      </c>
      <c r="D235" s="115">
        <v>228</v>
      </c>
      <c r="E235" s="116" t="s">
        <v>414</v>
      </c>
      <c r="F235" s="115" t="s">
        <v>6</v>
      </c>
      <c r="G235" s="121" t="s">
        <v>804</v>
      </c>
      <c r="H235" s="115" t="s">
        <v>1</v>
      </c>
      <c r="I235" s="115" t="s">
        <v>2</v>
      </c>
      <c r="J235" s="116" t="s">
        <v>808</v>
      </c>
      <c r="K235" s="122">
        <v>31047</v>
      </c>
      <c r="L235" s="118">
        <v>1984</v>
      </c>
      <c r="M235" s="118">
        <f t="shared" si="11"/>
        <v>35</v>
      </c>
      <c r="N235" s="115" t="s">
        <v>3</v>
      </c>
      <c r="O235" s="115" t="s">
        <v>464</v>
      </c>
      <c r="P235" s="116" t="s">
        <v>516</v>
      </c>
      <c r="Q235" s="121"/>
      <c r="R235" s="116" t="s">
        <v>466</v>
      </c>
    </row>
    <row r="236" spans="1:19" ht="38.25">
      <c r="B236" s="166"/>
      <c r="C236" s="166"/>
      <c r="D236" s="115">
        <v>229</v>
      </c>
      <c r="E236" s="116" t="s">
        <v>801</v>
      </c>
      <c r="F236" s="115" t="s">
        <v>8</v>
      </c>
      <c r="G236" s="121" t="s">
        <v>805</v>
      </c>
      <c r="H236" s="115" t="s">
        <v>7</v>
      </c>
      <c r="I236" s="115" t="s">
        <v>2</v>
      </c>
      <c r="J236" s="116" t="s">
        <v>809</v>
      </c>
      <c r="K236" s="122">
        <v>32143</v>
      </c>
      <c r="L236" s="118">
        <v>1988</v>
      </c>
      <c r="M236" s="118">
        <f t="shared" si="11"/>
        <v>31</v>
      </c>
      <c r="N236" s="115" t="s">
        <v>3</v>
      </c>
      <c r="O236" s="115" t="s">
        <v>464</v>
      </c>
      <c r="P236" s="116" t="s">
        <v>516</v>
      </c>
      <c r="Q236" s="121"/>
      <c r="R236" s="116" t="s">
        <v>467</v>
      </c>
    </row>
    <row r="237" spans="1:19" ht="25.5">
      <c r="B237" s="166"/>
      <c r="C237" s="166"/>
      <c r="D237" s="115">
        <v>230</v>
      </c>
      <c r="E237" s="116" t="s">
        <v>802</v>
      </c>
      <c r="F237" s="115" t="s">
        <v>11</v>
      </c>
      <c r="G237" s="121" t="s">
        <v>806</v>
      </c>
      <c r="H237" s="115" t="s">
        <v>7</v>
      </c>
      <c r="I237" s="115" t="s">
        <v>9</v>
      </c>
      <c r="J237" s="116" t="s">
        <v>495</v>
      </c>
      <c r="K237" s="122">
        <v>40261</v>
      </c>
      <c r="L237" s="118">
        <v>2010</v>
      </c>
      <c r="M237" s="118">
        <f t="shared" si="11"/>
        <v>9</v>
      </c>
      <c r="N237" s="115" t="s">
        <v>3</v>
      </c>
      <c r="O237" s="115" t="s">
        <v>464</v>
      </c>
      <c r="P237" s="116" t="s">
        <v>470</v>
      </c>
      <c r="Q237" s="121"/>
      <c r="R237" s="116" t="s">
        <v>471</v>
      </c>
    </row>
    <row r="238" spans="1:19" ht="25.5">
      <c r="B238" s="167"/>
      <c r="C238" s="167"/>
      <c r="D238" s="115">
        <v>231</v>
      </c>
      <c r="E238" s="116" t="s">
        <v>803</v>
      </c>
      <c r="F238" s="115" t="s">
        <v>11</v>
      </c>
      <c r="G238" s="121" t="s">
        <v>807</v>
      </c>
      <c r="H238" s="115" t="s">
        <v>7</v>
      </c>
      <c r="I238" s="115" t="s">
        <v>9</v>
      </c>
      <c r="J238" s="116" t="s">
        <v>550</v>
      </c>
      <c r="K238" s="122">
        <v>42499</v>
      </c>
      <c r="L238" s="118">
        <v>2016</v>
      </c>
      <c r="M238" s="118">
        <f t="shared" si="11"/>
        <v>3</v>
      </c>
      <c r="N238" s="115" t="s">
        <v>3</v>
      </c>
      <c r="O238" s="115" t="s">
        <v>464</v>
      </c>
      <c r="P238" s="116" t="s">
        <v>470</v>
      </c>
      <c r="Q238" s="121"/>
      <c r="R238" s="116" t="s">
        <v>471</v>
      </c>
    </row>
    <row r="239" spans="1:19" s="71" customFormat="1" ht="25.5">
      <c r="A239" s="73"/>
      <c r="B239" s="165">
        <v>69</v>
      </c>
      <c r="C239" s="165" t="s">
        <v>810</v>
      </c>
      <c r="D239" s="115">
        <v>232</v>
      </c>
      <c r="E239" s="116" t="s">
        <v>62</v>
      </c>
      <c r="F239" s="115" t="s">
        <v>6</v>
      </c>
      <c r="G239" s="115" t="s">
        <v>812</v>
      </c>
      <c r="H239" s="115" t="s">
        <v>1</v>
      </c>
      <c r="I239" s="115" t="s">
        <v>2</v>
      </c>
      <c r="J239" s="116" t="s">
        <v>844</v>
      </c>
      <c r="K239" s="117">
        <v>27394</v>
      </c>
      <c r="L239" s="118">
        <v>1974</v>
      </c>
      <c r="M239" s="118">
        <f t="shared" si="11"/>
        <v>45</v>
      </c>
      <c r="N239" s="115" t="s">
        <v>3</v>
      </c>
      <c r="O239" s="115" t="s">
        <v>464</v>
      </c>
      <c r="P239" s="116" t="s">
        <v>465</v>
      </c>
      <c r="Q239" s="115"/>
      <c r="R239" s="116" t="s">
        <v>492</v>
      </c>
      <c r="S239" s="74"/>
    </row>
    <row r="240" spans="1:19" s="71" customFormat="1" ht="25.5">
      <c r="A240" s="73"/>
      <c r="B240" s="166"/>
      <c r="C240" s="166"/>
      <c r="D240" s="115">
        <v>233</v>
      </c>
      <c r="E240" s="116" t="s">
        <v>387</v>
      </c>
      <c r="F240" s="115" t="s">
        <v>8</v>
      </c>
      <c r="G240" s="115" t="s">
        <v>841</v>
      </c>
      <c r="H240" s="115" t="s">
        <v>7</v>
      </c>
      <c r="I240" s="115" t="s">
        <v>2</v>
      </c>
      <c r="J240" s="116" t="s">
        <v>558</v>
      </c>
      <c r="K240" s="117">
        <v>29403</v>
      </c>
      <c r="L240" s="118">
        <v>1980</v>
      </c>
      <c r="M240" s="118">
        <f t="shared" si="11"/>
        <v>39</v>
      </c>
      <c r="N240" s="115" t="s">
        <v>3</v>
      </c>
      <c r="O240" s="115" t="s">
        <v>464</v>
      </c>
      <c r="P240" s="116" t="s">
        <v>468</v>
      </c>
      <c r="Q240" s="115"/>
      <c r="R240" s="116" t="s">
        <v>26</v>
      </c>
      <c r="S240" s="74"/>
    </row>
    <row r="241" spans="1:19" s="71" customFormat="1" ht="25.5">
      <c r="A241" s="73"/>
      <c r="B241" s="166"/>
      <c r="C241" s="166"/>
      <c r="D241" s="115">
        <v>234</v>
      </c>
      <c r="E241" s="116" t="s">
        <v>388</v>
      </c>
      <c r="F241" s="115" t="s">
        <v>11</v>
      </c>
      <c r="G241" s="115" t="s">
        <v>842</v>
      </c>
      <c r="H241" s="115" t="s">
        <v>1</v>
      </c>
      <c r="I241" s="115" t="s">
        <v>9</v>
      </c>
      <c r="J241" s="116" t="s">
        <v>844</v>
      </c>
      <c r="K241" s="117">
        <v>36442</v>
      </c>
      <c r="L241" s="118">
        <v>1999</v>
      </c>
      <c r="M241" s="118">
        <f t="shared" si="11"/>
        <v>20</v>
      </c>
      <c r="N241" s="115" t="s">
        <v>3</v>
      </c>
      <c r="O241" s="115" t="s">
        <v>464</v>
      </c>
      <c r="P241" s="116" t="s">
        <v>465</v>
      </c>
      <c r="Q241" s="115"/>
      <c r="R241" s="116" t="s">
        <v>469</v>
      </c>
      <c r="S241" s="74"/>
    </row>
    <row r="242" spans="1:19" s="71" customFormat="1" ht="25.5">
      <c r="A242" s="73"/>
      <c r="B242" s="167"/>
      <c r="C242" s="167"/>
      <c r="D242" s="115">
        <v>235</v>
      </c>
      <c r="E242" s="116" t="s">
        <v>811</v>
      </c>
      <c r="F242" s="115" t="s">
        <v>11</v>
      </c>
      <c r="G242" s="115" t="s">
        <v>843</v>
      </c>
      <c r="H242" s="115" t="s">
        <v>7</v>
      </c>
      <c r="I242" s="115" t="s">
        <v>9</v>
      </c>
      <c r="J242" s="116" t="s">
        <v>550</v>
      </c>
      <c r="K242" s="122">
        <v>41298</v>
      </c>
      <c r="L242" s="118">
        <v>2013</v>
      </c>
      <c r="M242" s="118">
        <f t="shared" si="11"/>
        <v>6</v>
      </c>
      <c r="N242" s="115" t="s">
        <v>3</v>
      </c>
      <c r="O242" s="115" t="s">
        <v>464</v>
      </c>
      <c r="P242" s="116" t="s">
        <v>470</v>
      </c>
      <c r="Q242" s="121"/>
      <c r="R242" s="116" t="s">
        <v>471</v>
      </c>
      <c r="S242" s="74"/>
    </row>
    <row r="243" spans="1:19" ht="25.5">
      <c r="B243" s="165">
        <v>70</v>
      </c>
      <c r="C243" s="165" t="s">
        <v>923</v>
      </c>
      <c r="D243" s="115">
        <v>236</v>
      </c>
      <c r="E243" s="116" t="s">
        <v>813</v>
      </c>
      <c r="F243" s="115" t="s">
        <v>6</v>
      </c>
      <c r="G243" s="121" t="s">
        <v>817</v>
      </c>
      <c r="H243" s="115" t="s">
        <v>1</v>
      </c>
      <c r="I243" s="115" t="s">
        <v>2</v>
      </c>
      <c r="J243" s="116" t="s">
        <v>821</v>
      </c>
      <c r="K243" s="122">
        <v>26335</v>
      </c>
      <c r="L243" s="123">
        <v>1972</v>
      </c>
      <c r="M243" s="118">
        <f t="shared" si="11"/>
        <v>47</v>
      </c>
      <c r="N243" s="115" t="s">
        <v>3</v>
      </c>
      <c r="O243" s="121" t="s">
        <v>464</v>
      </c>
      <c r="P243" s="116" t="s">
        <v>823</v>
      </c>
      <c r="Q243" s="121"/>
      <c r="R243" s="116" t="s">
        <v>727</v>
      </c>
    </row>
    <row r="244" spans="1:19" ht="25.5">
      <c r="B244" s="166"/>
      <c r="C244" s="166"/>
      <c r="D244" s="115">
        <v>237</v>
      </c>
      <c r="E244" s="116" t="s">
        <v>814</v>
      </c>
      <c r="F244" s="115" t="s">
        <v>8</v>
      </c>
      <c r="G244" s="115" t="s">
        <v>818</v>
      </c>
      <c r="H244" s="115" t="s">
        <v>7</v>
      </c>
      <c r="I244" s="115" t="s">
        <v>2</v>
      </c>
      <c r="J244" s="116" t="s">
        <v>822</v>
      </c>
      <c r="K244" s="122">
        <v>29167</v>
      </c>
      <c r="L244" s="123">
        <v>1979</v>
      </c>
      <c r="M244" s="118">
        <f t="shared" si="11"/>
        <v>40</v>
      </c>
      <c r="N244" s="115" t="s">
        <v>3</v>
      </c>
      <c r="O244" s="121" t="s">
        <v>464</v>
      </c>
      <c r="P244" s="116" t="s">
        <v>823</v>
      </c>
      <c r="Q244" s="121"/>
      <c r="R244" s="116" t="s">
        <v>727</v>
      </c>
    </row>
    <row r="245" spans="1:19">
      <c r="B245" s="166"/>
      <c r="C245" s="166"/>
      <c r="D245" s="115">
        <v>238</v>
      </c>
      <c r="E245" s="116" t="s">
        <v>815</v>
      </c>
      <c r="F245" s="115" t="s">
        <v>11</v>
      </c>
      <c r="G245" s="115" t="s">
        <v>819</v>
      </c>
      <c r="H245" s="115" t="s">
        <v>1</v>
      </c>
      <c r="I245" s="115" t="s">
        <v>9</v>
      </c>
      <c r="J245" s="116" t="s">
        <v>463</v>
      </c>
      <c r="K245" s="122">
        <v>36650</v>
      </c>
      <c r="L245" s="123">
        <v>2000</v>
      </c>
      <c r="M245" s="118">
        <f t="shared" si="11"/>
        <v>19</v>
      </c>
      <c r="N245" s="115" t="s">
        <v>3</v>
      </c>
      <c r="O245" s="121" t="s">
        <v>464</v>
      </c>
      <c r="P245" s="116" t="s">
        <v>824</v>
      </c>
      <c r="Q245" s="121"/>
      <c r="R245" s="116" t="s">
        <v>825</v>
      </c>
    </row>
    <row r="246" spans="1:19" ht="25.5">
      <c r="B246" s="167"/>
      <c r="C246" s="167"/>
      <c r="D246" s="115">
        <v>239</v>
      </c>
      <c r="E246" s="116" t="s">
        <v>816</v>
      </c>
      <c r="F246" s="115" t="s">
        <v>11</v>
      </c>
      <c r="G246" s="115" t="s">
        <v>820</v>
      </c>
      <c r="H246" s="115" t="s">
        <v>7</v>
      </c>
      <c r="I246" s="115" t="s">
        <v>9</v>
      </c>
      <c r="J246" s="116" t="s">
        <v>463</v>
      </c>
      <c r="K246" s="122">
        <v>39905</v>
      </c>
      <c r="L246" s="123">
        <v>2009</v>
      </c>
      <c r="M246" s="118">
        <f t="shared" si="11"/>
        <v>10</v>
      </c>
      <c r="N246" s="115" t="s">
        <v>3</v>
      </c>
      <c r="O246" s="121" t="s">
        <v>464</v>
      </c>
      <c r="P246" s="116" t="s">
        <v>823</v>
      </c>
      <c r="Q246" s="121"/>
      <c r="R246" s="116" t="s">
        <v>826</v>
      </c>
    </row>
    <row r="247" spans="1:19" ht="25.5">
      <c r="B247" s="165">
        <v>71</v>
      </c>
      <c r="C247" s="165" t="s">
        <v>886</v>
      </c>
      <c r="D247" s="115">
        <v>240</v>
      </c>
      <c r="E247" s="116" t="s">
        <v>887</v>
      </c>
      <c r="F247" s="115" t="s">
        <v>6</v>
      </c>
      <c r="G247" s="115" t="s">
        <v>891</v>
      </c>
      <c r="H247" s="115" t="s">
        <v>1</v>
      </c>
      <c r="I247" s="115" t="s">
        <v>2</v>
      </c>
      <c r="J247" s="116" t="s">
        <v>895</v>
      </c>
      <c r="K247" s="122">
        <v>24654</v>
      </c>
      <c r="L247" s="123">
        <v>1967</v>
      </c>
      <c r="M247" s="118">
        <f t="shared" si="11"/>
        <v>52</v>
      </c>
      <c r="N247" s="115" t="s">
        <v>3</v>
      </c>
      <c r="O247" s="121" t="s">
        <v>464</v>
      </c>
      <c r="P247" s="116" t="s">
        <v>474</v>
      </c>
      <c r="Q247" s="121"/>
      <c r="R247" s="116" t="s">
        <v>466</v>
      </c>
    </row>
    <row r="248" spans="1:19" ht="38.25">
      <c r="B248" s="166"/>
      <c r="C248" s="166"/>
      <c r="D248" s="115">
        <v>241</v>
      </c>
      <c r="E248" s="116" t="s">
        <v>888</v>
      </c>
      <c r="F248" s="115" t="s">
        <v>8</v>
      </c>
      <c r="G248" s="121" t="s">
        <v>892</v>
      </c>
      <c r="H248" s="115" t="s">
        <v>7</v>
      </c>
      <c r="I248" s="115" t="s">
        <v>2</v>
      </c>
      <c r="J248" s="116" t="s">
        <v>896</v>
      </c>
      <c r="K248" s="122">
        <v>25568</v>
      </c>
      <c r="L248" s="123">
        <v>1969</v>
      </c>
      <c r="M248" s="118">
        <f t="shared" si="11"/>
        <v>50</v>
      </c>
      <c r="N248" s="115" t="s">
        <v>3</v>
      </c>
      <c r="O248" s="121" t="s">
        <v>464</v>
      </c>
      <c r="P248" s="116" t="s">
        <v>474</v>
      </c>
      <c r="Q248" s="121"/>
      <c r="R248" s="116" t="s">
        <v>467</v>
      </c>
    </row>
    <row r="249" spans="1:19" ht="25.5">
      <c r="B249" s="166"/>
      <c r="C249" s="166"/>
      <c r="D249" s="115">
        <v>242</v>
      </c>
      <c r="E249" s="116" t="s">
        <v>889</v>
      </c>
      <c r="F249" s="115" t="s">
        <v>11</v>
      </c>
      <c r="G249" s="121" t="s">
        <v>893</v>
      </c>
      <c r="H249" s="115" t="s">
        <v>1</v>
      </c>
      <c r="I249" s="115" t="s">
        <v>9</v>
      </c>
      <c r="J249" s="116" t="s">
        <v>895</v>
      </c>
      <c r="K249" s="122">
        <v>32903</v>
      </c>
      <c r="L249" s="123">
        <v>1990</v>
      </c>
      <c r="M249" s="118">
        <f t="shared" si="11"/>
        <v>29</v>
      </c>
      <c r="N249" s="115" t="s">
        <v>3</v>
      </c>
      <c r="O249" s="121" t="s">
        <v>464</v>
      </c>
      <c r="P249" s="116" t="s">
        <v>516</v>
      </c>
      <c r="Q249" s="121"/>
      <c r="R249" s="116" t="s">
        <v>469</v>
      </c>
    </row>
    <row r="250" spans="1:19" ht="25.5">
      <c r="B250" s="167"/>
      <c r="C250" s="167"/>
      <c r="D250" s="115">
        <v>243</v>
      </c>
      <c r="E250" s="116" t="s">
        <v>890</v>
      </c>
      <c r="F250" s="115" t="s">
        <v>11</v>
      </c>
      <c r="G250" s="121" t="s">
        <v>894</v>
      </c>
      <c r="H250" s="115" t="s">
        <v>1</v>
      </c>
      <c r="I250" s="115" t="s">
        <v>9</v>
      </c>
      <c r="J250" s="116" t="s">
        <v>550</v>
      </c>
      <c r="K250" s="122">
        <v>35225</v>
      </c>
      <c r="L250" s="123">
        <v>1996</v>
      </c>
      <c r="M250" s="118">
        <f t="shared" si="11"/>
        <v>23</v>
      </c>
      <c r="N250" s="115" t="s">
        <v>3</v>
      </c>
      <c r="O250" s="121" t="s">
        <v>464</v>
      </c>
      <c r="P250" s="116" t="s">
        <v>516</v>
      </c>
      <c r="Q250" s="121"/>
      <c r="R250" s="116" t="s">
        <v>897</v>
      </c>
    </row>
    <row r="254" spans="1:19" s="136" customFormat="1" ht="15">
      <c r="D254" s="157" t="s">
        <v>1098</v>
      </c>
      <c r="E254" s="157"/>
      <c r="F254" s="157"/>
      <c r="L254" s="39"/>
      <c r="P254" s="41"/>
      <c r="R254" s="41"/>
    </row>
    <row r="255" spans="1:19" s="136" customFormat="1" ht="15">
      <c r="D255" s="157" t="s">
        <v>1099</v>
      </c>
      <c r="E255" s="157"/>
      <c r="F255" s="157"/>
      <c r="L255" s="39"/>
      <c r="P255" s="139" t="s">
        <v>1100</v>
      </c>
      <c r="Q255" s="139"/>
      <c r="R255" s="41"/>
    </row>
    <row r="256" spans="1:19" s="136" customFormat="1" ht="15">
      <c r="D256" s="137"/>
      <c r="E256" s="138"/>
      <c r="F256" s="137"/>
      <c r="L256" s="39"/>
      <c r="P256" s="94"/>
      <c r="Q256" s="93"/>
      <c r="R256" s="41"/>
    </row>
    <row r="257" spans="4:18" s="136" customFormat="1" ht="15">
      <c r="D257" s="137"/>
      <c r="E257" s="138"/>
      <c r="F257" s="137"/>
      <c r="L257" s="39"/>
      <c r="P257" s="94"/>
      <c r="Q257" s="93"/>
      <c r="R257" s="41"/>
    </row>
    <row r="258" spans="4:18" s="136" customFormat="1" ht="15">
      <c r="D258" s="137"/>
      <c r="E258" s="138"/>
      <c r="F258" s="137"/>
      <c r="L258" s="39"/>
      <c r="P258" s="94"/>
      <c r="Q258" s="93"/>
      <c r="R258" s="41"/>
    </row>
    <row r="259" spans="4:18" s="136" customFormat="1" ht="14.25">
      <c r="D259" s="158" t="s">
        <v>1101</v>
      </c>
      <c r="E259" s="158"/>
      <c r="F259" s="158"/>
      <c r="L259" s="39"/>
      <c r="P259" s="140" t="s">
        <v>1103</v>
      </c>
      <c r="Q259" s="140"/>
      <c r="R259" s="41"/>
    </row>
    <row r="260" spans="4:18" s="136" customFormat="1" ht="14.25">
      <c r="D260" s="158" t="s">
        <v>1102</v>
      </c>
      <c r="E260" s="158"/>
      <c r="F260" s="158"/>
      <c r="L260" s="39"/>
      <c r="P260" s="41"/>
      <c r="R260" s="41"/>
    </row>
  </sheetData>
  <autoFilter ref="B7:R250"/>
  <mergeCells count="155">
    <mergeCell ref="B43:B47"/>
    <mergeCell ref="C48:C51"/>
    <mergeCell ref="B155:B157"/>
    <mergeCell ref="C155:C157"/>
    <mergeCell ref="C160:C164"/>
    <mergeCell ref="B1:R1"/>
    <mergeCell ref="B2:R2"/>
    <mergeCell ref="E5:E6"/>
    <mergeCell ref="C24:C26"/>
    <mergeCell ref="B31:B34"/>
    <mergeCell ref="C35:C37"/>
    <mergeCell ref="C43:C47"/>
    <mergeCell ref="B48:B51"/>
    <mergeCell ref="B52:B55"/>
    <mergeCell ref="B13:B16"/>
    <mergeCell ref="B17:B20"/>
    <mergeCell ref="B21:B23"/>
    <mergeCell ref="C39:C42"/>
    <mergeCell ref="B35:B37"/>
    <mergeCell ref="B24:B26"/>
    <mergeCell ref="C27:C30"/>
    <mergeCell ref="B27:B30"/>
    <mergeCell ref="B39:B42"/>
    <mergeCell ref="C5:C6"/>
    <mergeCell ref="B8:B12"/>
    <mergeCell ref="C8:C12"/>
    <mergeCell ref="C141:C142"/>
    <mergeCell ref="C59:C63"/>
    <mergeCell ref="B93:B96"/>
    <mergeCell ref="B90:B92"/>
    <mergeCell ref="B149:B150"/>
    <mergeCell ref="B141:B142"/>
    <mergeCell ref="B74:B77"/>
    <mergeCell ref="B59:B63"/>
    <mergeCell ref="B64:B66"/>
    <mergeCell ref="B117:B121"/>
    <mergeCell ref="B112:B116"/>
    <mergeCell ref="B67:B70"/>
    <mergeCell ref="B71:B73"/>
    <mergeCell ref="B99:B103"/>
    <mergeCell ref="B97:B98"/>
    <mergeCell ref="B86:B89"/>
    <mergeCell ref="B79:B81"/>
    <mergeCell ref="C112:C116"/>
    <mergeCell ref="C117:C121"/>
    <mergeCell ref="B56:B58"/>
    <mergeCell ref="C56:C58"/>
    <mergeCell ref="B137:B140"/>
    <mergeCell ref="B82:B85"/>
    <mergeCell ref="C82:C85"/>
    <mergeCell ref="C86:C89"/>
    <mergeCell ref="C134:C136"/>
    <mergeCell ref="C122:C126"/>
    <mergeCell ref="C90:C92"/>
    <mergeCell ref="C67:C70"/>
    <mergeCell ref="C74:C77"/>
    <mergeCell ref="C137:C140"/>
    <mergeCell ref="C99:C103"/>
    <mergeCell ref="B104:B107"/>
    <mergeCell ref="C104:C107"/>
    <mergeCell ref="B108:B111"/>
    <mergeCell ref="C108:C111"/>
    <mergeCell ref="B122:B126"/>
    <mergeCell ref="B128:B129"/>
    <mergeCell ref="B130:B133"/>
    <mergeCell ref="B134:B136"/>
    <mergeCell ref="C172:C174"/>
    <mergeCell ref="C175:C178"/>
    <mergeCell ref="C179:C184"/>
    <mergeCell ref="B189:B191"/>
    <mergeCell ref="B185:B188"/>
    <mergeCell ref="B179:B184"/>
    <mergeCell ref="C158:C159"/>
    <mergeCell ref="C165:C167"/>
    <mergeCell ref="B175:B178"/>
    <mergeCell ref="B247:B250"/>
    <mergeCell ref="C247:C250"/>
    <mergeCell ref="B231:B234"/>
    <mergeCell ref="C231:C234"/>
    <mergeCell ref="B235:B238"/>
    <mergeCell ref="C235:C238"/>
    <mergeCell ref="B239:B242"/>
    <mergeCell ref="C239:C242"/>
    <mergeCell ref="B223:B225"/>
    <mergeCell ref="C223:C225"/>
    <mergeCell ref="B226:B228"/>
    <mergeCell ref="C226:C228"/>
    <mergeCell ref="B229:B230"/>
    <mergeCell ref="C229:C230"/>
    <mergeCell ref="B243:B246"/>
    <mergeCell ref="C243:C246"/>
    <mergeCell ref="B219:B222"/>
    <mergeCell ref="C219:C222"/>
    <mergeCell ref="B202:B206"/>
    <mergeCell ref="C202:C206"/>
    <mergeCell ref="B208:B209"/>
    <mergeCell ref="C208:C209"/>
    <mergeCell ref="B210:B211"/>
    <mergeCell ref="C210:C211"/>
    <mergeCell ref="B194:B195"/>
    <mergeCell ref="C194:C195"/>
    <mergeCell ref="B196:B198"/>
    <mergeCell ref="C196:C198"/>
    <mergeCell ref="B199:B201"/>
    <mergeCell ref="C199:C201"/>
    <mergeCell ref="B212:B214"/>
    <mergeCell ref="C212:C214"/>
    <mergeCell ref="C21:C23"/>
    <mergeCell ref="C93:C96"/>
    <mergeCell ref="C97:C98"/>
    <mergeCell ref="C71:C73"/>
    <mergeCell ref="C64:C66"/>
    <mergeCell ref="C52:C55"/>
    <mergeCell ref="C79:C81"/>
    <mergeCell ref="B215:B218"/>
    <mergeCell ref="C215:C218"/>
    <mergeCell ref="B192:B193"/>
    <mergeCell ref="C192:C193"/>
    <mergeCell ref="B143:B148"/>
    <mergeCell ref="C143:C148"/>
    <mergeCell ref="C149:C150"/>
    <mergeCell ref="B151:B154"/>
    <mergeCell ref="C151:C154"/>
    <mergeCell ref="B168:B170"/>
    <mergeCell ref="B160:B164"/>
    <mergeCell ref="B165:B167"/>
    <mergeCell ref="C168:C170"/>
    <mergeCell ref="B158:B159"/>
    <mergeCell ref="C185:C188"/>
    <mergeCell ref="C189:C191"/>
    <mergeCell ref="B172:B174"/>
    <mergeCell ref="D254:F254"/>
    <mergeCell ref="D255:F255"/>
    <mergeCell ref="P255:Q255"/>
    <mergeCell ref="D259:F259"/>
    <mergeCell ref="P259:Q259"/>
    <mergeCell ref="D260:F260"/>
    <mergeCell ref="B5:B6"/>
    <mergeCell ref="R5:R6"/>
    <mergeCell ref="F5:F6"/>
    <mergeCell ref="G5:G6"/>
    <mergeCell ref="J5:L5"/>
    <mergeCell ref="M5:M6"/>
    <mergeCell ref="O5:O6"/>
    <mergeCell ref="Q5:Q6"/>
    <mergeCell ref="P5:P6"/>
    <mergeCell ref="H5:H6"/>
    <mergeCell ref="I5:I6"/>
    <mergeCell ref="N5:N6"/>
    <mergeCell ref="D5:D6"/>
    <mergeCell ref="C31:C34"/>
    <mergeCell ref="C128:C129"/>
    <mergeCell ref="C130:C133"/>
    <mergeCell ref="C13:C16"/>
    <mergeCell ref="C17:C20"/>
  </mergeCells>
  <pageMargins left="1.37795275590551" right="0.196850393700787" top="0.39370078740157499" bottom="0.643700787" header="0.31496062992126" footer="0.31496062992126"/>
  <pageSetup paperSize="10000" scale="82" orientation="landscape" r:id="rId1"/>
  <headerFooter>
    <oddFooter>&amp;C&amp;"-,Bold"&amp;12&amp;P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AT200"/>
  <sheetViews>
    <sheetView workbookViewId="0">
      <pane ySplit="6" topLeftCell="A7" activePane="bottomLeft" state="frozen"/>
      <selection pane="bottomLeft" activeCell="J100" sqref="A1:AT200"/>
    </sheetView>
  </sheetViews>
  <sheetFormatPr defaultRowHeight="12.75"/>
  <cols>
    <col min="1" max="1" width="9.140625" style="81"/>
    <col min="2" max="2" width="3.140625" style="70" customWidth="1"/>
    <col min="3" max="3" width="15.7109375" style="79" customWidth="1"/>
    <col min="4" max="4" width="6.85546875" style="70" customWidth="1"/>
    <col min="5" max="5" width="12.7109375" style="124" customWidth="1"/>
    <col min="6" max="6" width="9.7109375" style="70" customWidth="1"/>
    <col min="7" max="7" width="15.7109375" style="79" customWidth="1"/>
    <col min="8" max="8" width="7.7109375" style="70" customWidth="1"/>
    <col min="9" max="9" width="10.7109375" style="70" customWidth="1"/>
    <col min="10" max="10" width="13.7109375" style="124" customWidth="1"/>
    <col min="11" max="11" width="15.140625" style="125" customWidth="1"/>
    <col min="12" max="12" width="6" style="126" customWidth="1"/>
    <col min="13" max="13" width="4.42578125" style="126" customWidth="1"/>
    <col min="14" max="14" width="6.42578125" style="70" customWidth="1"/>
    <col min="15" max="15" width="5.42578125" style="70" customWidth="1"/>
    <col min="16" max="16" width="16.7109375" style="124" customWidth="1"/>
    <col min="17" max="17" width="7.5703125" style="70" customWidth="1"/>
    <col min="18" max="18" width="15.7109375" style="124" customWidth="1"/>
    <col min="19" max="46" width="9.140625" style="81"/>
    <col min="47" max="16384" width="9.140625" style="70"/>
  </cols>
  <sheetData>
    <row r="1" spans="1:46" s="112" customFormat="1" ht="15.75">
      <c r="B1" s="169" t="s">
        <v>1092</v>
      </c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</row>
    <row r="2" spans="1:46" s="112" customFormat="1" ht="15.75">
      <c r="B2" s="169" t="s">
        <v>1093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</row>
    <row r="3" spans="1:46" s="112" customFormat="1" ht="15.75">
      <c r="B3" s="135" t="s">
        <v>1091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</row>
    <row r="4" spans="1:46" ht="15.75">
      <c r="B4" s="135" t="s">
        <v>1096</v>
      </c>
    </row>
    <row r="5" spans="1:46" s="115" customFormat="1" ht="20.100000000000001" customHeight="1">
      <c r="A5" s="113"/>
      <c r="B5" s="159" t="s">
        <v>50</v>
      </c>
      <c r="C5" s="159" t="s">
        <v>447</v>
      </c>
      <c r="D5" s="160" t="s">
        <v>903</v>
      </c>
      <c r="E5" s="160" t="s">
        <v>1095</v>
      </c>
      <c r="F5" s="160" t="s">
        <v>57</v>
      </c>
      <c r="G5" s="163" t="s">
        <v>58</v>
      </c>
      <c r="H5" s="160" t="s">
        <v>52</v>
      </c>
      <c r="I5" s="160" t="s">
        <v>53</v>
      </c>
      <c r="J5" s="159" t="s">
        <v>448</v>
      </c>
      <c r="K5" s="159"/>
      <c r="L5" s="159"/>
      <c r="M5" s="164" t="s">
        <v>452</v>
      </c>
      <c r="N5" s="159" t="s">
        <v>54</v>
      </c>
      <c r="O5" s="159" t="s">
        <v>460</v>
      </c>
      <c r="P5" s="160" t="s">
        <v>55</v>
      </c>
      <c r="Q5" s="159" t="s">
        <v>461</v>
      </c>
      <c r="R5" s="160" t="s">
        <v>56</v>
      </c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</row>
    <row r="6" spans="1:46" s="115" customFormat="1" ht="20.100000000000001" customHeight="1">
      <c r="A6" s="113"/>
      <c r="B6" s="159"/>
      <c r="C6" s="159"/>
      <c r="D6" s="160"/>
      <c r="E6" s="160"/>
      <c r="F6" s="160"/>
      <c r="G6" s="163"/>
      <c r="H6" s="160"/>
      <c r="I6" s="160"/>
      <c r="J6" s="127" t="s">
        <v>449</v>
      </c>
      <c r="K6" s="128" t="s">
        <v>450</v>
      </c>
      <c r="L6" s="129" t="s">
        <v>451</v>
      </c>
      <c r="M6" s="164"/>
      <c r="N6" s="159"/>
      <c r="O6" s="159"/>
      <c r="P6" s="160"/>
      <c r="Q6" s="159"/>
      <c r="R6" s="160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</row>
    <row r="7" spans="1:46">
      <c r="B7" s="130"/>
      <c r="C7" s="130"/>
      <c r="D7" s="130"/>
      <c r="E7" s="127"/>
      <c r="F7" s="130"/>
      <c r="G7" s="131"/>
      <c r="H7" s="130"/>
      <c r="I7" s="130"/>
      <c r="J7" s="127"/>
      <c r="K7" s="128"/>
      <c r="L7" s="129"/>
      <c r="M7" s="129"/>
      <c r="N7" s="130"/>
      <c r="O7" s="130"/>
      <c r="P7" s="127"/>
      <c r="Q7" s="130"/>
      <c r="R7" s="127"/>
    </row>
    <row r="8" spans="1:46" ht="25.5" hidden="1">
      <c r="B8" s="168">
        <v>1</v>
      </c>
      <c r="C8" s="168" t="s">
        <v>462</v>
      </c>
      <c r="D8" s="115">
        <v>1</v>
      </c>
      <c r="E8" s="116" t="s">
        <v>378</v>
      </c>
      <c r="F8" s="115" t="s">
        <v>6</v>
      </c>
      <c r="G8" s="115" t="s">
        <v>379</v>
      </c>
      <c r="H8" s="115" t="s">
        <v>1</v>
      </c>
      <c r="I8" s="115" t="s">
        <v>2</v>
      </c>
      <c r="J8" s="116" t="s">
        <v>463</v>
      </c>
      <c r="K8" s="117">
        <v>30316</v>
      </c>
      <c r="L8" s="118">
        <v>1982</v>
      </c>
      <c r="M8" s="118">
        <f t="shared" ref="M8:M39" si="0">2019-L8</f>
        <v>37</v>
      </c>
      <c r="N8" s="115" t="s">
        <v>3</v>
      </c>
      <c r="O8" s="115" t="s">
        <v>464</v>
      </c>
      <c r="P8" s="116" t="s">
        <v>465</v>
      </c>
      <c r="Q8" s="115"/>
      <c r="R8" s="116" t="s">
        <v>466</v>
      </c>
    </row>
    <row r="9" spans="1:46" ht="38.25" hidden="1">
      <c r="B9" s="168"/>
      <c r="C9" s="168"/>
      <c r="D9" s="115">
        <v>2</v>
      </c>
      <c r="E9" s="116" t="s">
        <v>263</v>
      </c>
      <c r="F9" s="115" t="s">
        <v>8</v>
      </c>
      <c r="G9" s="115" t="s">
        <v>380</v>
      </c>
      <c r="H9" s="115" t="s">
        <v>7</v>
      </c>
      <c r="I9" s="115" t="s">
        <v>2</v>
      </c>
      <c r="J9" s="116" t="s">
        <v>463</v>
      </c>
      <c r="K9" s="117">
        <v>30681</v>
      </c>
      <c r="L9" s="118">
        <v>1983</v>
      </c>
      <c r="M9" s="118">
        <f t="shared" si="0"/>
        <v>36</v>
      </c>
      <c r="N9" s="115" t="s">
        <v>3</v>
      </c>
      <c r="O9" s="115" t="s">
        <v>464</v>
      </c>
      <c r="P9" s="116" t="s">
        <v>465</v>
      </c>
      <c r="Q9" s="115"/>
      <c r="R9" s="116" t="s">
        <v>467</v>
      </c>
    </row>
    <row r="10" spans="1:46" ht="25.5" hidden="1">
      <c r="B10" s="168"/>
      <c r="C10" s="168"/>
      <c r="D10" s="115">
        <v>3</v>
      </c>
      <c r="E10" s="116" t="s">
        <v>381</v>
      </c>
      <c r="F10" s="115" t="s">
        <v>11</v>
      </c>
      <c r="G10" s="115" t="s">
        <v>382</v>
      </c>
      <c r="H10" s="115" t="s">
        <v>7</v>
      </c>
      <c r="I10" s="115" t="s">
        <v>9</v>
      </c>
      <c r="J10" s="116" t="s">
        <v>463</v>
      </c>
      <c r="K10" s="117">
        <v>36931</v>
      </c>
      <c r="L10" s="118">
        <v>2001</v>
      </c>
      <c r="M10" s="118">
        <f t="shared" si="0"/>
        <v>18</v>
      </c>
      <c r="N10" s="115" t="s">
        <v>3</v>
      </c>
      <c r="O10" s="115" t="s">
        <v>464</v>
      </c>
      <c r="P10" s="116" t="s">
        <v>468</v>
      </c>
      <c r="Q10" s="115"/>
      <c r="R10" s="116" t="s">
        <v>469</v>
      </c>
    </row>
    <row r="11" spans="1:46" ht="25.5" hidden="1">
      <c r="B11" s="168"/>
      <c r="C11" s="168"/>
      <c r="D11" s="115">
        <v>4</v>
      </c>
      <c r="E11" s="116" t="s">
        <v>383</v>
      </c>
      <c r="F11" s="115" t="s">
        <v>11</v>
      </c>
      <c r="G11" s="115" t="s">
        <v>384</v>
      </c>
      <c r="H11" s="115" t="s">
        <v>7</v>
      </c>
      <c r="I11" s="115" t="s">
        <v>9</v>
      </c>
      <c r="J11" s="116" t="s">
        <v>463</v>
      </c>
      <c r="K11" s="117">
        <v>39596</v>
      </c>
      <c r="L11" s="118">
        <v>2008</v>
      </c>
      <c r="M11" s="118">
        <f t="shared" si="0"/>
        <v>11</v>
      </c>
      <c r="N11" s="115" t="s">
        <v>3</v>
      </c>
      <c r="O11" s="115" t="s">
        <v>464</v>
      </c>
      <c r="P11" s="116" t="s">
        <v>470</v>
      </c>
      <c r="Q11" s="115"/>
      <c r="R11" s="116" t="s">
        <v>471</v>
      </c>
    </row>
    <row r="12" spans="1:46" ht="25.5" hidden="1">
      <c r="B12" s="168"/>
      <c r="C12" s="168"/>
      <c r="D12" s="115">
        <v>5</v>
      </c>
      <c r="E12" s="116" t="s">
        <v>385</v>
      </c>
      <c r="F12" s="115" t="s">
        <v>11</v>
      </c>
      <c r="G12" s="115" t="s">
        <v>386</v>
      </c>
      <c r="H12" s="115" t="s">
        <v>1</v>
      </c>
      <c r="I12" s="115" t="s">
        <v>9</v>
      </c>
      <c r="J12" s="116" t="s">
        <v>463</v>
      </c>
      <c r="K12" s="117">
        <v>41686</v>
      </c>
      <c r="L12" s="118">
        <v>2014</v>
      </c>
      <c r="M12" s="118">
        <f t="shared" si="0"/>
        <v>5</v>
      </c>
      <c r="N12" s="115" t="s">
        <v>3</v>
      </c>
      <c r="O12" s="115" t="s">
        <v>464</v>
      </c>
      <c r="P12" s="116" t="s">
        <v>470</v>
      </c>
      <c r="Q12" s="115"/>
      <c r="R12" s="116" t="s">
        <v>471</v>
      </c>
    </row>
    <row r="13" spans="1:46" hidden="1">
      <c r="B13" s="168">
        <v>2</v>
      </c>
      <c r="C13" s="168"/>
      <c r="D13" s="115">
        <v>6</v>
      </c>
      <c r="E13" s="116" t="s">
        <v>389</v>
      </c>
      <c r="F13" s="115" t="s">
        <v>6</v>
      </c>
      <c r="G13" s="115" t="s">
        <v>390</v>
      </c>
      <c r="H13" s="115" t="s">
        <v>1</v>
      </c>
      <c r="I13" s="115" t="s">
        <v>2</v>
      </c>
      <c r="J13" s="116"/>
      <c r="K13" s="117">
        <v>27029</v>
      </c>
      <c r="L13" s="118">
        <f>YEAR(K13)</f>
        <v>1973</v>
      </c>
      <c r="M13" s="118">
        <f t="shared" si="0"/>
        <v>46</v>
      </c>
      <c r="N13" s="115" t="s">
        <v>3</v>
      </c>
      <c r="O13" s="115"/>
      <c r="P13" s="116" t="s">
        <v>4</v>
      </c>
      <c r="Q13" s="115"/>
      <c r="R13" s="116" t="s">
        <v>5</v>
      </c>
    </row>
    <row r="14" spans="1:46" hidden="1">
      <c r="B14" s="168"/>
      <c r="C14" s="168"/>
      <c r="D14" s="115">
        <v>7</v>
      </c>
      <c r="E14" s="116" t="s">
        <v>393</v>
      </c>
      <c r="F14" s="115" t="s">
        <v>11</v>
      </c>
      <c r="G14" s="115" t="s">
        <v>394</v>
      </c>
      <c r="H14" s="115" t="s">
        <v>1</v>
      </c>
      <c r="I14" s="115" t="s">
        <v>9</v>
      </c>
      <c r="J14" s="116"/>
      <c r="K14" s="117">
        <v>37724</v>
      </c>
      <c r="L14" s="118">
        <f t="shared" ref="L14:L15" si="1">YEAR(K14)</f>
        <v>2003</v>
      </c>
      <c r="M14" s="118">
        <f t="shared" si="0"/>
        <v>16</v>
      </c>
      <c r="N14" s="115" t="s">
        <v>3</v>
      </c>
      <c r="O14" s="115"/>
      <c r="P14" s="116" t="s">
        <v>4</v>
      </c>
      <c r="Q14" s="115"/>
      <c r="R14" s="116" t="s">
        <v>4</v>
      </c>
    </row>
    <row r="15" spans="1:46" hidden="1">
      <c r="B15" s="168"/>
      <c r="C15" s="168"/>
      <c r="D15" s="115">
        <v>8</v>
      </c>
      <c r="E15" s="116" t="s">
        <v>395</v>
      </c>
      <c r="F15" s="115" t="s">
        <v>11</v>
      </c>
      <c r="G15" s="115" t="s">
        <v>396</v>
      </c>
      <c r="H15" s="115" t="s">
        <v>1</v>
      </c>
      <c r="I15" s="115" t="s">
        <v>9</v>
      </c>
      <c r="J15" s="116"/>
      <c r="K15" s="117">
        <v>39782</v>
      </c>
      <c r="L15" s="118">
        <f t="shared" si="1"/>
        <v>2008</v>
      </c>
      <c r="M15" s="118">
        <f t="shared" si="0"/>
        <v>11</v>
      </c>
      <c r="N15" s="115" t="s">
        <v>3</v>
      </c>
      <c r="O15" s="115"/>
      <c r="P15" s="116" t="s">
        <v>4</v>
      </c>
      <c r="Q15" s="115"/>
      <c r="R15" s="116" t="s">
        <v>4</v>
      </c>
    </row>
    <row r="16" spans="1:46" ht="25.5" hidden="1">
      <c r="B16" s="168">
        <v>3</v>
      </c>
      <c r="C16" s="168" t="s">
        <v>509</v>
      </c>
      <c r="D16" s="115">
        <v>9</v>
      </c>
      <c r="E16" s="116" t="s">
        <v>397</v>
      </c>
      <c r="F16" s="115" t="s">
        <v>6</v>
      </c>
      <c r="G16" s="115" t="s">
        <v>398</v>
      </c>
      <c r="H16" s="115" t="s">
        <v>1</v>
      </c>
      <c r="I16" s="115" t="s">
        <v>2</v>
      </c>
      <c r="J16" s="116" t="s">
        <v>463</v>
      </c>
      <c r="K16" s="117">
        <v>22232</v>
      </c>
      <c r="L16" s="118">
        <v>1960</v>
      </c>
      <c r="M16" s="118">
        <f t="shared" si="0"/>
        <v>59</v>
      </c>
      <c r="N16" s="115" t="s">
        <v>3</v>
      </c>
      <c r="O16" s="115" t="s">
        <v>464</v>
      </c>
      <c r="P16" s="116" t="s">
        <v>470</v>
      </c>
      <c r="Q16" s="115"/>
      <c r="R16" s="116" t="s">
        <v>480</v>
      </c>
    </row>
    <row r="17" spans="2:18" ht="25.5" hidden="1">
      <c r="B17" s="168"/>
      <c r="C17" s="168"/>
      <c r="D17" s="115">
        <v>10</v>
      </c>
      <c r="E17" s="116" t="s">
        <v>399</v>
      </c>
      <c r="F17" s="115" t="s">
        <v>8</v>
      </c>
      <c r="G17" s="115" t="s">
        <v>400</v>
      </c>
      <c r="H17" s="115" t="s">
        <v>7</v>
      </c>
      <c r="I17" s="115" t="s">
        <v>2</v>
      </c>
      <c r="J17" s="116" t="s">
        <v>463</v>
      </c>
      <c r="K17" s="117">
        <v>24107</v>
      </c>
      <c r="L17" s="118">
        <v>1965</v>
      </c>
      <c r="M17" s="118">
        <f t="shared" si="0"/>
        <v>54</v>
      </c>
      <c r="N17" s="115" t="s">
        <v>3</v>
      </c>
      <c r="O17" s="115" t="s">
        <v>464</v>
      </c>
      <c r="P17" s="116" t="s">
        <v>470</v>
      </c>
      <c r="Q17" s="115"/>
      <c r="R17" s="116" t="s">
        <v>480</v>
      </c>
    </row>
    <row r="18" spans="2:18" ht="25.5" hidden="1">
      <c r="B18" s="168"/>
      <c r="C18" s="168"/>
      <c r="D18" s="115">
        <v>11</v>
      </c>
      <c r="E18" s="116" t="s">
        <v>401</v>
      </c>
      <c r="F18" s="115" t="s">
        <v>11</v>
      </c>
      <c r="G18" s="115" t="s">
        <v>402</v>
      </c>
      <c r="H18" s="115" t="s">
        <v>1</v>
      </c>
      <c r="I18" s="115" t="s">
        <v>9</v>
      </c>
      <c r="J18" s="116" t="s">
        <v>463</v>
      </c>
      <c r="K18" s="117">
        <v>35831</v>
      </c>
      <c r="L18" s="118">
        <v>1998</v>
      </c>
      <c r="M18" s="118">
        <f t="shared" si="0"/>
        <v>21</v>
      </c>
      <c r="N18" s="115" t="s">
        <v>3</v>
      </c>
      <c r="O18" s="115" t="s">
        <v>464</v>
      </c>
      <c r="P18" s="116" t="s">
        <v>474</v>
      </c>
      <c r="Q18" s="115"/>
      <c r="R18" s="116" t="s">
        <v>469</v>
      </c>
    </row>
    <row r="19" spans="2:18" hidden="1">
      <c r="B19" s="168">
        <v>4</v>
      </c>
      <c r="C19" s="168"/>
      <c r="D19" s="115">
        <v>12</v>
      </c>
      <c r="E19" s="116" t="s">
        <v>403</v>
      </c>
      <c r="F19" s="115" t="s">
        <v>6</v>
      </c>
      <c r="G19" s="115" t="s">
        <v>404</v>
      </c>
      <c r="H19" s="115" t="s">
        <v>1</v>
      </c>
      <c r="I19" s="115" t="s">
        <v>2</v>
      </c>
      <c r="J19" s="116"/>
      <c r="K19" s="117">
        <v>27759</v>
      </c>
      <c r="L19" s="118">
        <f t="shared" ref="L19:L21" si="2">YEAR(K19)</f>
        <v>1975</v>
      </c>
      <c r="M19" s="118">
        <f t="shared" si="0"/>
        <v>44</v>
      </c>
      <c r="N19" s="115" t="s">
        <v>3</v>
      </c>
      <c r="O19" s="115"/>
      <c r="P19" s="116" t="s">
        <v>18</v>
      </c>
      <c r="Q19" s="115"/>
      <c r="R19" s="116" t="s">
        <v>5</v>
      </c>
    </row>
    <row r="20" spans="2:18" hidden="1">
      <c r="B20" s="168"/>
      <c r="C20" s="168"/>
      <c r="D20" s="115">
        <v>13</v>
      </c>
      <c r="E20" s="116" t="s">
        <v>405</v>
      </c>
      <c r="F20" s="115" t="s">
        <v>8</v>
      </c>
      <c r="G20" s="115" t="s">
        <v>406</v>
      </c>
      <c r="H20" s="115" t="s">
        <v>7</v>
      </c>
      <c r="I20" s="115" t="s">
        <v>2</v>
      </c>
      <c r="J20" s="116"/>
      <c r="K20" s="117">
        <v>35769</v>
      </c>
      <c r="L20" s="118">
        <f t="shared" si="2"/>
        <v>1997</v>
      </c>
      <c r="M20" s="118">
        <f t="shared" si="0"/>
        <v>22</v>
      </c>
      <c r="N20" s="115" t="s">
        <v>3</v>
      </c>
      <c r="O20" s="115"/>
      <c r="P20" s="116" t="s">
        <v>4</v>
      </c>
      <c r="Q20" s="115"/>
      <c r="R20" s="116" t="s">
        <v>5</v>
      </c>
    </row>
    <row r="21" spans="2:18" hidden="1">
      <c r="B21" s="168"/>
      <c r="C21" s="168"/>
      <c r="D21" s="115">
        <v>14</v>
      </c>
      <c r="E21" s="116" t="s">
        <v>407</v>
      </c>
      <c r="F21" s="115" t="s">
        <v>11</v>
      </c>
      <c r="G21" s="115" t="s">
        <v>408</v>
      </c>
      <c r="H21" s="115" t="s">
        <v>7</v>
      </c>
      <c r="I21" s="115" t="s">
        <v>9</v>
      </c>
      <c r="J21" s="116"/>
      <c r="K21" s="117">
        <v>39563</v>
      </c>
      <c r="L21" s="118">
        <f t="shared" si="2"/>
        <v>2008</v>
      </c>
      <c r="M21" s="118">
        <f t="shared" si="0"/>
        <v>11</v>
      </c>
      <c r="N21" s="115" t="s">
        <v>3</v>
      </c>
      <c r="O21" s="115"/>
      <c r="P21" s="116" t="s">
        <v>4</v>
      </c>
      <c r="Q21" s="115"/>
      <c r="R21" s="116" t="s">
        <v>4</v>
      </c>
    </row>
    <row r="22" spans="2:18" hidden="1">
      <c r="B22" s="168">
        <v>5</v>
      </c>
      <c r="C22" s="168" t="s">
        <v>878</v>
      </c>
      <c r="D22" s="115">
        <v>15</v>
      </c>
      <c r="E22" s="116" t="s">
        <v>69</v>
      </c>
      <c r="F22" s="115" t="s">
        <v>6</v>
      </c>
      <c r="G22" s="115" t="s">
        <v>873</v>
      </c>
      <c r="H22" s="115" t="s">
        <v>1</v>
      </c>
      <c r="I22" s="115" t="s">
        <v>2</v>
      </c>
      <c r="J22" s="116" t="s">
        <v>463</v>
      </c>
      <c r="K22" s="117">
        <v>30681</v>
      </c>
      <c r="L22" s="118">
        <v>1983</v>
      </c>
      <c r="M22" s="118">
        <f t="shared" si="0"/>
        <v>36</v>
      </c>
      <c r="N22" s="115" t="s">
        <v>3</v>
      </c>
      <c r="O22" s="115" t="s">
        <v>464</v>
      </c>
      <c r="P22" s="116" t="s">
        <v>474</v>
      </c>
      <c r="Q22" s="115"/>
      <c r="R22" s="116" t="s">
        <v>466</v>
      </c>
    </row>
    <row r="23" spans="2:18" ht="38.25" hidden="1">
      <c r="B23" s="168"/>
      <c r="C23" s="168"/>
      <c r="D23" s="115">
        <v>16</v>
      </c>
      <c r="E23" s="116" t="s">
        <v>36</v>
      </c>
      <c r="F23" s="115" t="s">
        <v>8</v>
      </c>
      <c r="G23" s="115" t="s">
        <v>874</v>
      </c>
      <c r="H23" s="115" t="s">
        <v>7</v>
      </c>
      <c r="I23" s="115" t="s">
        <v>2</v>
      </c>
      <c r="J23" s="116" t="s">
        <v>463</v>
      </c>
      <c r="K23" s="117">
        <v>34334</v>
      </c>
      <c r="L23" s="118">
        <v>1993</v>
      </c>
      <c r="M23" s="118">
        <f t="shared" si="0"/>
        <v>26</v>
      </c>
      <c r="N23" s="115" t="s">
        <v>3</v>
      </c>
      <c r="O23" s="115" t="s">
        <v>464</v>
      </c>
      <c r="P23" s="116" t="s">
        <v>465</v>
      </c>
      <c r="Q23" s="115"/>
      <c r="R23" s="116" t="s">
        <v>467</v>
      </c>
    </row>
    <row r="24" spans="2:18" ht="25.5" hidden="1">
      <c r="B24" s="168"/>
      <c r="C24" s="168"/>
      <c r="D24" s="115">
        <v>17</v>
      </c>
      <c r="E24" s="116" t="s">
        <v>409</v>
      </c>
      <c r="F24" s="115" t="s">
        <v>11</v>
      </c>
      <c r="G24" s="115" t="s">
        <v>875</v>
      </c>
      <c r="H24" s="115" t="s">
        <v>1</v>
      </c>
      <c r="I24" s="115" t="s">
        <v>9</v>
      </c>
      <c r="J24" s="116" t="s">
        <v>463</v>
      </c>
      <c r="K24" s="117">
        <v>40105</v>
      </c>
      <c r="L24" s="118">
        <v>2009</v>
      </c>
      <c r="M24" s="118">
        <f t="shared" si="0"/>
        <v>10</v>
      </c>
      <c r="N24" s="115" t="s">
        <v>3</v>
      </c>
      <c r="O24" s="115" t="s">
        <v>464</v>
      </c>
      <c r="P24" s="116" t="s">
        <v>470</v>
      </c>
      <c r="Q24" s="115"/>
      <c r="R24" s="116" t="s">
        <v>471</v>
      </c>
    </row>
    <row r="25" spans="2:18" ht="25.5" hidden="1">
      <c r="B25" s="168"/>
      <c r="C25" s="168"/>
      <c r="D25" s="115">
        <v>18</v>
      </c>
      <c r="E25" s="116" t="s">
        <v>872</v>
      </c>
      <c r="F25" s="115" t="s">
        <v>11</v>
      </c>
      <c r="G25" s="115" t="s">
        <v>876</v>
      </c>
      <c r="H25" s="115" t="s">
        <v>1</v>
      </c>
      <c r="I25" s="115" t="s">
        <v>9</v>
      </c>
      <c r="J25" s="116" t="s">
        <v>495</v>
      </c>
      <c r="K25" s="117">
        <v>42233</v>
      </c>
      <c r="L25" s="118">
        <v>2015</v>
      </c>
      <c r="M25" s="118">
        <f t="shared" si="0"/>
        <v>4</v>
      </c>
      <c r="N25" s="115" t="s">
        <v>3</v>
      </c>
      <c r="O25" s="115" t="s">
        <v>464</v>
      </c>
      <c r="P25" s="116" t="s">
        <v>470</v>
      </c>
      <c r="Q25" s="115"/>
      <c r="R25" s="116" t="s">
        <v>471</v>
      </c>
    </row>
    <row r="26" spans="2:18" ht="25.5" hidden="1">
      <c r="B26" s="168"/>
      <c r="C26" s="168"/>
      <c r="D26" s="115">
        <v>19</v>
      </c>
      <c r="E26" s="116" t="s">
        <v>1058</v>
      </c>
      <c r="F26" s="115" t="s">
        <v>11</v>
      </c>
      <c r="G26" s="115" t="s">
        <v>877</v>
      </c>
      <c r="H26" s="115" t="s">
        <v>1</v>
      </c>
      <c r="I26" s="115" t="s">
        <v>9</v>
      </c>
      <c r="J26" s="116" t="s">
        <v>495</v>
      </c>
      <c r="K26" s="117">
        <v>42233</v>
      </c>
      <c r="L26" s="118">
        <v>2015</v>
      </c>
      <c r="M26" s="118">
        <f t="shared" si="0"/>
        <v>4</v>
      </c>
      <c r="N26" s="115" t="s">
        <v>3</v>
      </c>
      <c r="O26" s="115" t="s">
        <v>464</v>
      </c>
      <c r="P26" s="116" t="s">
        <v>470</v>
      </c>
      <c r="Q26" s="115"/>
      <c r="R26" s="116" t="s">
        <v>471</v>
      </c>
    </row>
    <row r="27" spans="2:18" ht="25.5" hidden="1">
      <c r="B27" s="165">
        <v>6</v>
      </c>
      <c r="C27" s="168" t="s">
        <v>1094</v>
      </c>
      <c r="D27" s="115">
        <v>20</v>
      </c>
      <c r="E27" s="116" t="s">
        <v>38</v>
      </c>
      <c r="F27" s="115" t="s">
        <v>6</v>
      </c>
      <c r="G27" s="115" t="s">
        <v>680</v>
      </c>
      <c r="H27" s="115" t="s">
        <v>1</v>
      </c>
      <c r="I27" s="115" t="s">
        <v>2</v>
      </c>
      <c r="J27" s="116" t="s">
        <v>463</v>
      </c>
      <c r="K27" s="117">
        <v>30701</v>
      </c>
      <c r="L27" s="118">
        <v>1984</v>
      </c>
      <c r="M27" s="118">
        <f t="shared" si="0"/>
        <v>35</v>
      </c>
      <c r="N27" s="115" t="s">
        <v>3</v>
      </c>
      <c r="O27" s="115" t="s">
        <v>464</v>
      </c>
      <c r="P27" s="116" t="s">
        <v>465</v>
      </c>
      <c r="Q27" s="115"/>
      <c r="R27" s="116" t="s">
        <v>684</v>
      </c>
    </row>
    <row r="28" spans="2:18" ht="38.25" hidden="1">
      <c r="B28" s="166"/>
      <c r="C28" s="168"/>
      <c r="D28" s="115">
        <v>21</v>
      </c>
      <c r="E28" s="116" t="s">
        <v>305</v>
      </c>
      <c r="F28" s="115" t="s">
        <v>8</v>
      </c>
      <c r="G28" s="115" t="s">
        <v>681</v>
      </c>
      <c r="H28" s="115" t="s">
        <v>7</v>
      </c>
      <c r="I28" s="115" t="s">
        <v>2</v>
      </c>
      <c r="J28" s="116" t="s">
        <v>478</v>
      </c>
      <c r="K28" s="117">
        <v>32142</v>
      </c>
      <c r="L28" s="118">
        <v>1987</v>
      </c>
      <c r="M28" s="118">
        <f t="shared" si="0"/>
        <v>32</v>
      </c>
      <c r="N28" s="115" t="s">
        <v>3</v>
      </c>
      <c r="O28" s="115" t="s">
        <v>464</v>
      </c>
      <c r="P28" s="116" t="s">
        <v>465</v>
      </c>
      <c r="Q28" s="115"/>
      <c r="R28" s="116" t="s">
        <v>467</v>
      </c>
    </row>
    <row r="29" spans="2:18" ht="25.5" hidden="1">
      <c r="B29" s="166"/>
      <c r="C29" s="168"/>
      <c r="D29" s="115">
        <v>22</v>
      </c>
      <c r="E29" s="116" t="s">
        <v>307</v>
      </c>
      <c r="F29" s="115" t="s">
        <v>11</v>
      </c>
      <c r="G29" s="115" t="s">
        <v>682</v>
      </c>
      <c r="H29" s="115" t="s">
        <v>1</v>
      </c>
      <c r="I29" s="115" t="s">
        <v>9</v>
      </c>
      <c r="J29" s="116" t="s">
        <v>463</v>
      </c>
      <c r="K29" s="117">
        <v>38513</v>
      </c>
      <c r="L29" s="118">
        <v>2005</v>
      </c>
      <c r="M29" s="118">
        <f t="shared" si="0"/>
        <v>14</v>
      </c>
      <c r="N29" s="115" t="s">
        <v>3</v>
      </c>
      <c r="O29" s="115" t="s">
        <v>464</v>
      </c>
      <c r="P29" s="116" t="s">
        <v>468</v>
      </c>
      <c r="Q29" s="115"/>
      <c r="R29" s="116" t="s">
        <v>469</v>
      </c>
    </row>
    <row r="30" spans="2:18" ht="25.5" hidden="1">
      <c r="B30" s="166"/>
      <c r="C30" s="168"/>
      <c r="D30" s="115">
        <v>23</v>
      </c>
      <c r="E30" s="116" t="s">
        <v>309</v>
      </c>
      <c r="F30" s="115" t="s">
        <v>11</v>
      </c>
      <c r="G30" s="115" t="s">
        <v>683</v>
      </c>
      <c r="H30" s="115" t="s">
        <v>1</v>
      </c>
      <c r="I30" s="115" t="s">
        <v>9</v>
      </c>
      <c r="J30" s="116" t="s">
        <v>463</v>
      </c>
      <c r="K30" s="117">
        <v>40231</v>
      </c>
      <c r="L30" s="118">
        <v>2010</v>
      </c>
      <c r="M30" s="118">
        <f t="shared" si="0"/>
        <v>9</v>
      </c>
      <c r="N30" s="115" t="s">
        <v>3</v>
      </c>
      <c r="O30" s="115" t="s">
        <v>464</v>
      </c>
      <c r="P30" s="116" t="s">
        <v>468</v>
      </c>
      <c r="Q30" s="115"/>
      <c r="R30" s="116" t="s">
        <v>469</v>
      </c>
    </row>
    <row r="31" spans="2:18" ht="25.5" hidden="1">
      <c r="B31" s="167"/>
      <c r="C31" s="168"/>
      <c r="D31" s="115">
        <v>24</v>
      </c>
      <c r="E31" s="116" t="s">
        <v>678</v>
      </c>
      <c r="F31" s="115" t="s">
        <v>11</v>
      </c>
      <c r="G31" s="115" t="s">
        <v>679</v>
      </c>
      <c r="H31" s="115" t="s">
        <v>1</v>
      </c>
      <c r="I31" s="115" t="s">
        <v>9</v>
      </c>
      <c r="J31" s="116" t="s">
        <v>463</v>
      </c>
      <c r="K31" s="117">
        <v>43368</v>
      </c>
      <c r="L31" s="118">
        <v>2018</v>
      </c>
      <c r="M31" s="118">
        <f t="shared" si="0"/>
        <v>1</v>
      </c>
      <c r="N31" s="115" t="s">
        <v>3</v>
      </c>
      <c r="O31" s="115" t="s">
        <v>464</v>
      </c>
      <c r="P31" s="116" t="s">
        <v>470</v>
      </c>
      <c r="Q31" s="115"/>
      <c r="R31" s="116" t="s">
        <v>471</v>
      </c>
    </row>
    <row r="32" spans="2:18" ht="25.5" hidden="1">
      <c r="B32" s="168">
        <v>7</v>
      </c>
      <c r="C32" s="168" t="s">
        <v>612</v>
      </c>
      <c r="D32" s="115">
        <v>25</v>
      </c>
      <c r="E32" s="116" t="s">
        <v>611</v>
      </c>
      <c r="F32" s="115" t="s">
        <v>6</v>
      </c>
      <c r="G32" s="115" t="s">
        <v>410</v>
      </c>
      <c r="H32" s="115" t="s">
        <v>1</v>
      </c>
      <c r="I32" s="115" t="s">
        <v>2</v>
      </c>
      <c r="J32" s="116" t="s">
        <v>463</v>
      </c>
      <c r="K32" s="117">
        <v>29432</v>
      </c>
      <c r="L32" s="118">
        <v>1980</v>
      </c>
      <c r="M32" s="118">
        <f t="shared" si="0"/>
        <v>39</v>
      </c>
      <c r="N32" s="115" t="s">
        <v>3</v>
      </c>
      <c r="O32" s="115" t="s">
        <v>464</v>
      </c>
      <c r="P32" s="116" t="s">
        <v>465</v>
      </c>
      <c r="Q32" s="115"/>
      <c r="R32" s="116" t="s">
        <v>508</v>
      </c>
    </row>
    <row r="33" spans="2:18" ht="38.25" hidden="1">
      <c r="B33" s="168"/>
      <c r="C33" s="168"/>
      <c r="D33" s="115">
        <v>26</v>
      </c>
      <c r="E33" s="116" t="s">
        <v>33</v>
      </c>
      <c r="F33" s="115" t="s">
        <v>8</v>
      </c>
      <c r="G33" s="115" t="s">
        <v>411</v>
      </c>
      <c r="H33" s="115" t="s">
        <v>7</v>
      </c>
      <c r="I33" s="115" t="s">
        <v>2</v>
      </c>
      <c r="J33" s="116" t="s">
        <v>463</v>
      </c>
      <c r="K33" s="117">
        <v>29951</v>
      </c>
      <c r="L33" s="118">
        <v>1981</v>
      </c>
      <c r="M33" s="118">
        <f t="shared" si="0"/>
        <v>38</v>
      </c>
      <c r="N33" s="115" t="s">
        <v>3</v>
      </c>
      <c r="O33" s="115" t="s">
        <v>464</v>
      </c>
      <c r="P33" s="116" t="s">
        <v>465</v>
      </c>
      <c r="Q33" s="115"/>
      <c r="R33" s="116" t="s">
        <v>467</v>
      </c>
    </row>
    <row r="34" spans="2:18" ht="25.5" hidden="1">
      <c r="B34" s="168"/>
      <c r="C34" s="168"/>
      <c r="D34" s="115">
        <v>27</v>
      </c>
      <c r="E34" s="116" t="s">
        <v>412</v>
      </c>
      <c r="F34" s="115" t="s">
        <v>11</v>
      </c>
      <c r="G34" s="115" t="s">
        <v>614</v>
      </c>
      <c r="H34" s="115" t="s">
        <v>1</v>
      </c>
      <c r="I34" s="115" t="s">
        <v>9</v>
      </c>
      <c r="J34" s="116" t="s">
        <v>463</v>
      </c>
      <c r="K34" s="117">
        <v>36382</v>
      </c>
      <c r="L34" s="118">
        <v>1999</v>
      </c>
      <c r="M34" s="118">
        <f t="shared" si="0"/>
        <v>20</v>
      </c>
      <c r="N34" s="115" t="s">
        <v>3</v>
      </c>
      <c r="O34" s="115" t="s">
        <v>464</v>
      </c>
      <c r="P34" s="116" t="s">
        <v>516</v>
      </c>
      <c r="Q34" s="115"/>
      <c r="R34" s="116" t="s">
        <v>469</v>
      </c>
    </row>
    <row r="35" spans="2:18" ht="25.5" hidden="1">
      <c r="B35" s="168"/>
      <c r="C35" s="168"/>
      <c r="D35" s="115">
        <v>28</v>
      </c>
      <c r="E35" s="116" t="s">
        <v>613</v>
      </c>
      <c r="F35" s="115" t="s">
        <v>11</v>
      </c>
      <c r="G35" s="115" t="s">
        <v>413</v>
      </c>
      <c r="H35" s="115" t="s">
        <v>1</v>
      </c>
      <c r="I35" s="115" t="s">
        <v>9</v>
      </c>
      <c r="J35" s="116" t="s">
        <v>463</v>
      </c>
      <c r="K35" s="117">
        <v>39498</v>
      </c>
      <c r="L35" s="118">
        <v>2008</v>
      </c>
      <c r="M35" s="118">
        <f t="shared" si="0"/>
        <v>11</v>
      </c>
      <c r="N35" s="115" t="s">
        <v>3</v>
      </c>
      <c r="O35" s="115" t="s">
        <v>464</v>
      </c>
      <c r="P35" s="116" t="s">
        <v>468</v>
      </c>
      <c r="Q35" s="115"/>
      <c r="R35" s="116" t="s">
        <v>469</v>
      </c>
    </row>
    <row r="36" spans="2:18" ht="25.5" hidden="1">
      <c r="B36" s="168">
        <v>8</v>
      </c>
      <c r="C36" s="168" t="s">
        <v>1090</v>
      </c>
      <c r="D36" s="115">
        <v>29</v>
      </c>
      <c r="E36" s="116" t="s">
        <v>35</v>
      </c>
      <c r="F36" s="115" t="s">
        <v>6</v>
      </c>
      <c r="G36" s="115" t="s">
        <v>415</v>
      </c>
      <c r="H36" s="115" t="s">
        <v>1</v>
      </c>
      <c r="I36" s="115" t="s">
        <v>2</v>
      </c>
      <c r="J36" s="116" t="s">
        <v>463</v>
      </c>
      <c r="K36" s="117">
        <v>24107</v>
      </c>
      <c r="L36" s="118">
        <v>1965</v>
      </c>
      <c r="M36" s="118">
        <f t="shared" si="0"/>
        <v>54</v>
      </c>
      <c r="N36" s="115" t="s">
        <v>3</v>
      </c>
      <c r="O36" s="115" t="s">
        <v>464</v>
      </c>
      <c r="P36" s="116" t="s">
        <v>470</v>
      </c>
      <c r="Q36" s="115"/>
      <c r="R36" s="116" t="s">
        <v>508</v>
      </c>
    </row>
    <row r="37" spans="2:18" ht="25.5" hidden="1">
      <c r="B37" s="168"/>
      <c r="C37" s="168"/>
      <c r="D37" s="115">
        <v>30</v>
      </c>
      <c r="E37" s="116" t="s">
        <v>87</v>
      </c>
      <c r="F37" s="115" t="s">
        <v>8</v>
      </c>
      <c r="G37" s="115" t="s">
        <v>416</v>
      </c>
      <c r="H37" s="115" t="s">
        <v>7</v>
      </c>
      <c r="I37" s="115" t="s">
        <v>2</v>
      </c>
      <c r="J37" s="116" t="s">
        <v>463</v>
      </c>
      <c r="K37" s="117">
        <v>26031</v>
      </c>
      <c r="L37" s="118">
        <v>1971</v>
      </c>
      <c r="M37" s="118">
        <f t="shared" si="0"/>
        <v>48</v>
      </c>
      <c r="N37" s="115" t="s">
        <v>3</v>
      </c>
      <c r="O37" s="115" t="s">
        <v>464</v>
      </c>
      <c r="P37" s="116" t="s">
        <v>470</v>
      </c>
      <c r="Q37" s="115"/>
      <c r="R37" s="116" t="s">
        <v>26</v>
      </c>
    </row>
    <row r="38" spans="2:18" hidden="1">
      <c r="B38" s="168"/>
      <c r="C38" s="168"/>
      <c r="D38" s="115">
        <v>31</v>
      </c>
      <c r="E38" s="116" t="s">
        <v>417</v>
      </c>
      <c r="F38" s="115" t="s">
        <v>11</v>
      </c>
      <c r="G38" s="115" t="s">
        <v>418</v>
      </c>
      <c r="H38" s="115" t="s">
        <v>1</v>
      </c>
      <c r="I38" s="115" t="s">
        <v>9</v>
      </c>
      <c r="J38" s="116" t="s">
        <v>463</v>
      </c>
      <c r="K38" s="117">
        <v>32794</v>
      </c>
      <c r="L38" s="118">
        <v>1989</v>
      </c>
      <c r="M38" s="118">
        <f t="shared" si="0"/>
        <v>30</v>
      </c>
      <c r="N38" s="115" t="s">
        <v>3</v>
      </c>
      <c r="O38" s="115" t="s">
        <v>464</v>
      </c>
      <c r="P38" s="116" t="s">
        <v>474</v>
      </c>
      <c r="Q38" s="115"/>
      <c r="R38" s="116" t="s">
        <v>466</v>
      </c>
    </row>
    <row r="39" spans="2:18" hidden="1">
      <c r="B39" s="168">
        <v>9</v>
      </c>
      <c r="C39" s="168"/>
      <c r="D39" s="115">
        <v>32</v>
      </c>
      <c r="E39" s="116" t="s">
        <v>69</v>
      </c>
      <c r="F39" s="115" t="s">
        <v>6</v>
      </c>
      <c r="G39" s="115" t="s">
        <v>419</v>
      </c>
      <c r="H39" s="115" t="s">
        <v>1</v>
      </c>
      <c r="I39" s="115" t="s">
        <v>2</v>
      </c>
      <c r="J39" s="116"/>
      <c r="K39" s="117">
        <v>31047</v>
      </c>
      <c r="L39" s="118">
        <f t="shared" ref="L39:L44" si="3">YEAR(K39)</f>
        <v>1984</v>
      </c>
      <c r="M39" s="118">
        <f t="shared" si="0"/>
        <v>35</v>
      </c>
      <c r="N39" s="115" t="s">
        <v>3</v>
      </c>
      <c r="O39" s="115"/>
      <c r="P39" s="116" t="s">
        <v>18</v>
      </c>
      <c r="Q39" s="115"/>
      <c r="R39" s="116" t="s">
        <v>5</v>
      </c>
    </row>
    <row r="40" spans="2:18" hidden="1">
      <c r="B40" s="168"/>
      <c r="C40" s="168"/>
      <c r="D40" s="115">
        <v>33</v>
      </c>
      <c r="E40" s="116" t="s">
        <v>420</v>
      </c>
      <c r="F40" s="115" t="s">
        <v>8</v>
      </c>
      <c r="G40" s="115" t="s">
        <v>421</v>
      </c>
      <c r="H40" s="115" t="s">
        <v>7</v>
      </c>
      <c r="I40" s="115" t="s">
        <v>2</v>
      </c>
      <c r="J40" s="116"/>
      <c r="K40" s="117">
        <v>31272</v>
      </c>
      <c r="L40" s="118">
        <f t="shared" si="3"/>
        <v>1985</v>
      </c>
      <c r="M40" s="118">
        <f t="shared" ref="M40:M67" si="4">2019-L40</f>
        <v>34</v>
      </c>
      <c r="N40" s="115" t="s">
        <v>3</v>
      </c>
      <c r="O40" s="115"/>
      <c r="P40" s="116" t="s">
        <v>18</v>
      </c>
      <c r="Q40" s="115"/>
      <c r="R40" s="116" t="s">
        <v>5</v>
      </c>
    </row>
    <row r="41" spans="2:18" ht="38.25" hidden="1">
      <c r="B41" s="168"/>
      <c r="C41" s="168"/>
      <c r="D41" s="115">
        <v>34</v>
      </c>
      <c r="E41" s="116" t="s">
        <v>422</v>
      </c>
      <c r="F41" s="115" t="s">
        <v>11</v>
      </c>
      <c r="G41" s="115" t="s">
        <v>423</v>
      </c>
      <c r="H41" s="115" t="s">
        <v>20</v>
      </c>
      <c r="I41" s="115" t="s">
        <v>9</v>
      </c>
      <c r="J41" s="116"/>
      <c r="K41" s="117">
        <v>39995</v>
      </c>
      <c r="L41" s="118">
        <f t="shared" si="3"/>
        <v>2009</v>
      </c>
      <c r="M41" s="118">
        <f t="shared" si="4"/>
        <v>10</v>
      </c>
      <c r="N41" s="115" t="s">
        <v>3</v>
      </c>
      <c r="O41" s="115"/>
      <c r="P41" s="116" t="s">
        <v>4</v>
      </c>
      <c r="Q41" s="115"/>
      <c r="R41" s="116" t="s">
        <v>4</v>
      </c>
    </row>
    <row r="42" spans="2:18" hidden="1">
      <c r="B42" s="168">
        <v>10</v>
      </c>
      <c r="C42" s="168"/>
      <c r="D42" s="115">
        <v>35</v>
      </c>
      <c r="E42" s="116" t="s">
        <v>424</v>
      </c>
      <c r="F42" s="115" t="s">
        <v>6</v>
      </c>
      <c r="G42" s="115" t="s">
        <v>425</v>
      </c>
      <c r="H42" s="115" t="s">
        <v>1</v>
      </c>
      <c r="I42" s="115" t="s">
        <v>2</v>
      </c>
      <c r="J42" s="116"/>
      <c r="K42" s="117">
        <v>31345</v>
      </c>
      <c r="L42" s="118">
        <f t="shared" si="3"/>
        <v>1985</v>
      </c>
      <c r="M42" s="118">
        <f t="shared" si="4"/>
        <v>34</v>
      </c>
      <c r="N42" s="115" t="s">
        <v>3</v>
      </c>
      <c r="O42" s="115"/>
      <c r="P42" s="116" t="s">
        <v>10</v>
      </c>
      <c r="Q42" s="115"/>
      <c r="R42" s="116" t="s">
        <v>466</v>
      </c>
    </row>
    <row r="43" spans="2:18" ht="25.5" hidden="1">
      <c r="B43" s="168"/>
      <c r="C43" s="168"/>
      <c r="D43" s="115">
        <v>36</v>
      </c>
      <c r="E43" s="116" t="s">
        <v>426</v>
      </c>
      <c r="F43" s="115" t="s">
        <v>8</v>
      </c>
      <c r="G43" s="115" t="s">
        <v>427</v>
      </c>
      <c r="H43" s="115" t="s">
        <v>7</v>
      </c>
      <c r="I43" s="115" t="s">
        <v>2</v>
      </c>
      <c r="J43" s="116"/>
      <c r="K43" s="117">
        <v>33526</v>
      </c>
      <c r="L43" s="118">
        <f t="shared" si="3"/>
        <v>1991</v>
      </c>
      <c r="M43" s="118">
        <f t="shared" si="4"/>
        <v>28</v>
      </c>
      <c r="N43" s="115" t="s">
        <v>3</v>
      </c>
      <c r="O43" s="115"/>
      <c r="P43" s="116" t="s">
        <v>10</v>
      </c>
      <c r="Q43" s="115"/>
      <c r="R43" s="116" t="s">
        <v>5</v>
      </c>
    </row>
    <row r="44" spans="2:18" ht="25.5" hidden="1">
      <c r="B44" s="168"/>
      <c r="C44" s="168"/>
      <c r="D44" s="115">
        <v>37</v>
      </c>
      <c r="E44" s="116" t="s">
        <v>428</v>
      </c>
      <c r="F44" s="115" t="s">
        <v>11</v>
      </c>
      <c r="G44" s="115" t="s">
        <v>429</v>
      </c>
      <c r="H44" s="115" t="s">
        <v>1</v>
      </c>
      <c r="I44" s="115" t="s">
        <v>9</v>
      </c>
      <c r="J44" s="116"/>
      <c r="K44" s="117">
        <v>40978</v>
      </c>
      <c r="L44" s="118">
        <f t="shared" si="3"/>
        <v>2012</v>
      </c>
      <c r="M44" s="118">
        <f t="shared" si="4"/>
        <v>7</v>
      </c>
      <c r="N44" s="115" t="s">
        <v>3</v>
      </c>
      <c r="O44" s="115"/>
      <c r="P44" s="116" t="s">
        <v>4</v>
      </c>
      <c r="Q44" s="115"/>
      <c r="R44" s="116" t="s">
        <v>4</v>
      </c>
    </row>
    <row r="45" spans="2:18" ht="38.25" hidden="1">
      <c r="B45" s="168">
        <v>11</v>
      </c>
      <c r="C45" s="168" t="s">
        <v>1064</v>
      </c>
      <c r="D45" s="115">
        <v>38</v>
      </c>
      <c r="E45" s="116" t="s">
        <v>430</v>
      </c>
      <c r="F45" s="115" t="s">
        <v>6</v>
      </c>
      <c r="G45" s="115" t="s">
        <v>431</v>
      </c>
      <c r="H45" s="115" t="s">
        <v>1</v>
      </c>
      <c r="I45" s="115" t="s">
        <v>2</v>
      </c>
      <c r="J45" s="116" t="s">
        <v>463</v>
      </c>
      <c r="K45" s="117">
        <v>25648</v>
      </c>
      <c r="L45" s="118">
        <v>1970</v>
      </c>
      <c r="M45" s="118">
        <f t="shared" si="4"/>
        <v>49</v>
      </c>
      <c r="N45" s="115" t="s">
        <v>3</v>
      </c>
      <c r="O45" s="115" t="s">
        <v>464</v>
      </c>
      <c r="P45" s="116" t="s">
        <v>4</v>
      </c>
      <c r="Q45" s="115"/>
      <c r="R45" s="116" t="s">
        <v>479</v>
      </c>
    </row>
    <row r="46" spans="2:18" ht="38.25" hidden="1">
      <c r="B46" s="168"/>
      <c r="C46" s="168"/>
      <c r="D46" s="115">
        <v>39</v>
      </c>
      <c r="E46" s="116" t="s">
        <v>432</v>
      </c>
      <c r="F46" s="115" t="s">
        <v>8</v>
      </c>
      <c r="G46" s="115" t="s">
        <v>433</v>
      </c>
      <c r="H46" s="115" t="s">
        <v>7</v>
      </c>
      <c r="I46" s="115" t="s">
        <v>2</v>
      </c>
      <c r="J46" s="116" t="s">
        <v>463</v>
      </c>
      <c r="K46" s="117">
        <v>27425</v>
      </c>
      <c r="L46" s="118">
        <v>1975</v>
      </c>
      <c r="M46" s="118">
        <f t="shared" si="4"/>
        <v>44</v>
      </c>
      <c r="N46" s="115" t="s">
        <v>3</v>
      </c>
      <c r="O46" s="115" t="s">
        <v>464</v>
      </c>
      <c r="P46" s="116" t="s">
        <v>4</v>
      </c>
      <c r="Q46" s="115"/>
      <c r="R46" s="116" t="s">
        <v>479</v>
      </c>
    </row>
    <row r="47" spans="2:18" hidden="1">
      <c r="B47" s="165">
        <v>12</v>
      </c>
      <c r="C47" s="165" t="s">
        <v>711</v>
      </c>
      <c r="D47" s="115">
        <v>40</v>
      </c>
      <c r="E47" s="116" t="s">
        <v>439</v>
      </c>
      <c r="F47" s="115" t="s">
        <v>6</v>
      </c>
      <c r="G47" s="115" t="s">
        <v>440</v>
      </c>
      <c r="H47" s="115" t="s">
        <v>1</v>
      </c>
      <c r="I47" s="115" t="s">
        <v>2</v>
      </c>
      <c r="J47" s="116" t="s">
        <v>463</v>
      </c>
      <c r="K47" s="117">
        <v>31351</v>
      </c>
      <c r="L47" s="118">
        <v>1985</v>
      </c>
      <c r="M47" s="118">
        <f t="shared" si="4"/>
        <v>34</v>
      </c>
      <c r="N47" s="115" t="s">
        <v>3</v>
      </c>
      <c r="O47" s="115" t="s">
        <v>464</v>
      </c>
      <c r="P47" s="116" t="s">
        <v>474</v>
      </c>
      <c r="Q47" s="115"/>
      <c r="R47" s="116" t="s">
        <v>712</v>
      </c>
    </row>
    <row r="48" spans="2:18" ht="38.25" hidden="1">
      <c r="B48" s="166"/>
      <c r="C48" s="166"/>
      <c r="D48" s="115">
        <v>41</v>
      </c>
      <c r="E48" s="116" t="s">
        <v>441</v>
      </c>
      <c r="F48" s="115" t="s">
        <v>8</v>
      </c>
      <c r="G48" s="115" t="s">
        <v>708</v>
      </c>
      <c r="H48" s="115" t="s">
        <v>7</v>
      </c>
      <c r="I48" s="115" t="s">
        <v>2</v>
      </c>
      <c r="J48" s="116" t="s">
        <v>484</v>
      </c>
      <c r="K48" s="117">
        <v>32824</v>
      </c>
      <c r="L48" s="118">
        <v>1989</v>
      </c>
      <c r="M48" s="118">
        <f t="shared" si="4"/>
        <v>30</v>
      </c>
      <c r="N48" s="115" t="s">
        <v>3</v>
      </c>
      <c r="O48" s="115" t="s">
        <v>464</v>
      </c>
      <c r="P48" s="116" t="s">
        <v>516</v>
      </c>
      <c r="Q48" s="115"/>
      <c r="R48" s="116" t="s">
        <v>467</v>
      </c>
    </row>
    <row r="49" spans="2:18" ht="25.5" hidden="1">
      <c r="B49" s="166"/>
      <c r="C49" s="166"/>
      <c r="D49" s="115">
        <v>42</v>
      </c>
      <c r="E49" s="116" t="s">
        <v>710</v>
      </c>
      <c r="F49" s="115" t="s">
        <v>11</v>
      </c>
      <c r="G49" s="115" t="s">
        <v>709</v>
      </c>
      <c r="H49" s="115" t="s">
        <v>7</v>
      </c>
      <c r="I49" s="115" t="s">
        <v>9</v>
      </c>
      <c r="J49" s="116" t="s">
        <v>495</v>
      </c>
      <c r="K49" s="117">
        <v>40142</v>
      </c>
      <c r="L49" s="118">
        <v>2009</v>
      </c>
      <c r="M49" s="118">
        <f t="shared" si="4"/>
        <v>10</v>
      </c>
      <c r="N49" s="115" t="s">
        <v>3</v>
      </c>
      <c r="O49" s="115" t="s">
        <v>464</v>
      </c>
      <c r="P49" s="116" t="s">
        <v>470</v>
      </c>
      <c r="Q49" s="115"/>
      <c r="R49" s="116" t="s">
        <v>471</v>
      </c>
    </row>
    <row r="50" spans="2:18" ht="25.5" hidden="1">
      <c r="B50" s="167"/>
      <c r="C50" s="167"/>
      <c r="D50" s="115">
        <v>43</v>
      </c>
      <c r="E50" s="116" t="s">
        <v>706</v>
      </c>
      <c r="F50" s="115" t="s">
        <v>11</v>
      </c>
      <c r="G50" s="115" t="s">
        <v>707</v>
      </c>
      <c r="H50" s="115" t="s">
        <v>7</v>
      </c>
      <c r="I50" s="115" t="s">
        <v>9</v>
      </c>
      <c r="J50" s="116" t="s">
        <v>495</v>
      </c>
      <c r="K50" s="117">
        <v>42308</v>
      </c>
      <c r="L50" s="118">
        <v>2015</v>
      </c>
      <c r="M50" s="118">
        <f t="shared" si="4"/>
        <v>4</v>
      </c>
      <c r="N50" s="115" t="s">
        <v>3</v>
      </c>
      <c r="O50" s="115" t="s">
        <v>464</v>
      </c>
      <c r="P50" s="116" t="s">
        <v>470</v>
      </c>
      <c r="Q50" s="115"/>
      <c r="R50" s="116" t="s">
        <v>471</v>
      </c>
    </row>
    <row r="51" spans="2:18" hidden="1">
      <c r="B51" s="168">
        <v>13</v>
      </c>
      <c r="C51" s="168"/>
      <c r="D51" s="115">
        <v>44</v>
      </c>
      <c r="E51" s="116" t="s">
        <v>78</v>
      </c>
      <c r="F51" s="115" t="s">
        <v>6</v>
      </c>
      <c r="G51" s="115" t="s">
        <v>444</v>
      </c>
      <c r="H51" s="115" t="s">
        <v>1</v>
      </c>
      <c r="I51" s="115" t="s">
        <v>2</v>
      </c>
      <c r="J51" s="116"/>
      <c r="K51" s="117">
        <v>27565</v>
      </c>
      <c r="L51" s="118">
        <f t="shared" ref="L51:L52" si="5">YEAR(K51)</f>
        <v>1975</v>
      </c>
      <c r="M51" s="118">
        <f t="shared" si="4"/>
        <v>44</v>
      </c>
      <c r="N51" s="115" t="s">
        <v>3</v>
      </c>
      <c r="O51" s="115"/>
      <c r="P51" s="116" t="s">
        <v>4</v>
      </c>
      <c r="Q51" s="115"/>
      <c r="R51" s="116" t="s">
        <v>5</v>
      </c>
    </row>
    <row r="52" spans="2:18" hidden="1">
      <c r="B52" s="168"/>
      <c r="C52" s="168"/>
      <c r="D52" s="115">
        <v>45</v>
      </c>
      <c r="E52" s="116" t="s">
        <v>45</v>
      </c>
      <c r="F52" s="115" t="s">
        <v>8</v>
      </c>
      <c r="G52" s="115" t="s">
        <v>630</v>
      </c>
      <c r="H52" s="115" t="s">
        <v>7</v>
      </c>
      <c r="I52" s="115" t="s">
        <v>2</v>
      </c>
      <c r="J52" s="116"/>
      <c r="K52" s="117">
        <v>32914</v>
      </c>
      <c r="L52" s="118">
        <f t="shared" si="5"/>
        <v>1990</v>
      </c>
      <c r="M52" s="118">
        <f t="shared" si="4"/>
        <v>29</v>
      </c>
      <c r="N52" s="115" t="s">
        <v>3</v>
      </c>
      <c r="O52" s="115"/>
      <c r="P52" s="116" t="s">
        <v>18</v>
      </c>
      <c r="Q52" s="115"/>
      <c r="R52" s="116" t="s">
        <v>5</v>
      </c>
    </row>
    <row r="53" spans="2:18" ht="25.5">
      <c r="B53" s="115">
        <v>14</v>
      </c>
      <c r="C53" s="115" t="s">
        <v>904</v>
      </c>
      <c r="D53" s="115">
        <v>46</v>
      </c>
      <c r="E53" s="116" t="s">
        <v>905</v>
      </c>
      <c r="F53" s="115" t="s">
        <v>6</v>
      </c>
      <c r="G53" s="115" t="s">
        <v>906</v>
      </c>
      <c r="H53" s="115" t="s">
        <v>7</v>
      </c>
      <c r="I53" s="115" t="s">
        <v>477</v>
      </c>
      <c r="J53" s="116" t="s">
        <v>463</v>
      </c>
      <c r="K53" s="117">
        <v>20454</v>
      </c>
      <c r="L53" s="118">
        <v>1955</v>
      </c>
      <c r="M53" s="118">
        <f t="shared" si="4"/>
        <v>64</v>
      </c>
      <c r="N53" s="115" t="s">
        <v>3</v>
      </c>
      <c r="O53" s="115" t="s">
        <v>464</v>
      </c>
      <c r="P53" s="116" t="s">
        <v>470</v>
      </c>
      <c r="Q53" s="115"/>
      <c r="R53" s="116" t="s">
        <v>480</v>
      </c>
    </row>
    <row r="54" spans="2:18" ht="25.5" hidden="1">
      <c r="B54" s="165">
        <v>15</v>
      </c>
      <c r="C54" s="165" t="s">
        <v>472</v>
      </c>
      <c r="D54" s="115">
        <v>47</v>
      </c>
      <c r="E54" s="116" t="s">
        <v>127</v>
      </c>
      <c r="F54" s="115" t="s">
        <v>6</v>
      </c>
      <c r="G54" s="115" t="s">
        <v>128</v>
      </c>
      <c r="H54" s="115" t="s">
        <v>1</v>
      </c>
      <c r="I54" s="115" t="s">
        <v>2</v>
      </c>
      <c r="J54" s="116" t="s">
        <v>473</v>
      </c>
      <c r="K54" s="117">
        <v>27463</v>
      </c>
      <c r="L54" s="118">
        <v>1975</v>
      </c>
      <c r="M54" s="118">
        <f t="shared" si="4"/>
        <v>44</v>
      </c>
      <c r="N54" s="115" t="s">
        <v>3</v>
      </c>
      <c r="O54" s="115" t="s">
        <v>464</v>
      </c>
      <c r="P54" s="116" t="s">
        <v>465</v>
      </c>
      <c r="Q54" s="115"/>
      <c r="R54" s="116" t="s">
        <v>466</v>
      </c>
    </row>
    <row r="55" spans="2:18" ht="25.5" hidden="1">
      <c r="B55" s="166"/>
      <c r="C55" s="166"/>
      <c r="D55" s="115">
        <v>48</v>
      </c>
      <c r="E55" s="116" t="s">
        <v>129</v>
      </c>
      <c r="F55" s="115" t="s">
        <v>8</v>
      </c>
      <c r="G55" s="115" t="s">
        <v>130</v>
      </c>
      <c r="H55" s="115" t="s">
        <v>7</v>
      </c>
      <c r="I55" s="115" t="s">
        <v>2</v>
      </c>
      <c r="J55" s="116" t="s">
        <v>463</v>
      </c>
      <c r="K55" s="117">
        <v>28451</v>
      </c>
      <c r="L55" s="118">
        <v>1977</v>
      </c>
      <c r="M55" s="118">
        <f t="shared" si="4"/>
        <v>42</v>
      </c>
      <c r="N55" s="115" t="s">
        <v>3</v>
      </c>
      <c r="O55" s="115" t="s">
        <v>464</v>
      </c>
      <c r="P55" s="116" t="s">
        <v>465</v>
      </c>
      <c r="Q55" s="115"/>
      <c r="R55" s="116" t="s">
        <v>475</v>
      </c>
    </row>
    <row r="56" spans="2:18" ht="25.5" hidden="1">
      <c r="B56" s="166"/>
      <c r="C56" s="166"/>
      <c r="D56" s="115">
        <v>49</v>
      </c>
      <c r="E56" s="116" t="s">
        <v>131</v>
      </c>
      <c r="F56" s="115" t="s">
        <v>11</v>
      </c>
      <c r="G56" s="115" t="s">
        <v>132</v>
      </c>
      <c r="H56" s="115" t="s">
        <v>1</v>
      </c>
      <c r="I56" s="115" t="s">
        <v>9</v>
      </c>
      <c r="J56" s="116" t="s">
        <v>463</v>
      </c>
      <c r="K56" s="117">
        <v>35118</v>
      </c>
      <c r="L56" s="118">
        <v>1996</v>
      </c>
      <c r="M56" s="118">
        <f t="shared" si="4"/>
        <v>23</v>
      </c>
      <c r="N56" s="115" t="s">
        <v>3</v>
      </c>
      <c r="O56" s="115" t="s">
        <v>464</v>
      </c>
      <c r="P56" s="116" t="s">
        <v>474</v>
      </c>
      <c r="Q56" s="115"/>
      <c r="R56" s="116" t="s">
        <v>469</v>
      </c>
    </row>
    <row r="57" spans="2:18" ht="25.5" hidden="1">
      <c r="B57" s="166"/>
      <c r="C57" s="166"/>
      <c r="D57" s="115">
        <v>50</v>
      </c>
      <c r="E57" s="116" t="s">
        <v>133</v>
      </c>
      <c r="F57" s="115" t="s">
        <v>11</v>
      </c>
      <c r="G57" s="115" t="s">
        <v>134</v>
      </c>
      <c r="H57" s="115" t="s">
        <v>7</v>
      </c>
      <c r="I57" s="115" t="s">
        <v>9</v>
      </c>
      <c r="J57" s="116" t="s">
        <v>463</v>
      </c>
      <c r="K57" s="117">
        <v>37788</v>
      </c>
      <c r="L57" s="118">
        <v>2003</v>
      </c>
      <c r="M57" s="118">
        <f t="shared" si="4"/>
        <v>16</v>
      </c>
      <c r="N57" s="115" t="s">
        <v>3</v>
      </c>
      <c r="O57" s="115" t="s">
        <v>464</v>
      </c>
      <c r="P57" s="116" t="s">
        <v>468</v>
      </c>
      <c r="Q57" s="115"/>
      <c r="R57" s="116" t="s">
        <v>469</v>
      </c>
    </row>
    <row r="58" spans="2:18" ht="25.5" hidden="1">
      <c r="B58" s="167"/>
      <c r="C58" s="167"/>
      <c r="D58" s="115">
        <v>51</v>
      </c>
      <c r="E58" s="116" t="s">
        <v>135</v>
      </c>
      <c r="F58" s="115" t="s">
        <v>11</v>
      </c>
      <c r="G58" s="115" t="s">
        <v>136</v>
      </c>
      <c r="H58" s="115" t="s">
        <v>1</v>
      </c>
      <c r="I58" s="115" t="s">
        <v>9</v>
      </c>
      <c r="J58" s="116" t="s">
        <v>463</v>
      </c>
      <c r="K58" s="117">
        <v>41624</v>
      </c>
      <c r="L58" s="118">
        <v>2013</v>
      </c>
      <c r="M58" s="118">
        <f t="shared" si="4"/>
        <v>6</v>
      </c>
      <c r="N58" s="115" t="s">
        <v>3</v>
      </c>
      <c r="O58" s="115" t="s">
        <v>464</v>
      </c>
      <c r="P58" s="116" t="s">
        <v>470</v>
      </c>
      <c r="Q58" s="115"/>
      <c r="R58" s="116" t="s">
        <v>471</v>
      </c>
    </row>
    <row r="59" spans="2:18" ht="25.5" hidden="1">
      <c r="B59" s="168">
        <v>16</v>
      </c>
      <c r="C59" s="168" t="s">
        <v>481</v>
      </c>
      <c r="D59" s="115">
        <v>52</v>
      </c>
      <c r="E59" s="116" t="s">
        <v>40</v>
      </c>
      <c r="F59" s="115" t="s">
        <v>6</v>
      </c>
      <c r="G59" s="115" t="s">
        <v>41</v>
      </c>
      <c r="H59" s="115" t="s">
        <v>1</v>
      </c>
      <c r="I59" s="115" t="s">
        <v>2</v>
      </c>
      <c r="J59" s="116" t="s">
        <v>484</v>
      </c>
      <c r="K59" s="117">
        <v>29586</v>
      </c>
      <c r="L59" s="118">
        <v>1980</v>
      </c>
      <c r="M59" s="118">
        <f t="shared" si="4"/>
        <v>39</v>
      </c>
      <c r="N59" s="115" t="s">
        <v>3</v>
      </c>
      <c r="O59" s="115" t="s">
        <v>464</v>
      </c>
      <c r="P59" s="116" t="s">
        <v>474</v>
      </c>
      <c r="Q59" s="115"/>
      <c r="R59" s="116" t="s">
        <v>480</v>
      </c>
    </row>
    <row r="60" spans="2:18" ht="38.25" hidden="1">
      <c r="B60" s="168"/>
      <c r="C60" s="168"/>
      <c r="D60" s="115">
        <v>53</v>
      </c>
      <c r="E60" s="116" t="s">
        <v>42</v>
      </c>
      <c r="F60" s="115" t="s">
        <v>8</v>
      </c>
      <c r="G60" s="115" t="s">
        <v>43</v>
      </c>
      <c r="H60" s="115" t="s">
        <v>7</v>
      </c>
      <c r="I60" s="115" t="s">
        <v>2</v>
      </c>
      <c r="J60" s="116" t="s">
        <v>484</v>
      </c>
      <c r="K60" s="117">
        <v>31412</v>
      </c>
      <c r="L60" s="118">
        <v>1985</v>
      </c>
      <c r="M60" s="118">
        <f t="shared" si="4"/>
        <v>34</v>
      </c>
      <c r="N60" s="115" t="s">
        <v>3</v>
      </c>
      <c r="O60" s="115" t="s">
        <v>464</v>
      </c>
      <c r="P60" s="116" t="s">
        <v>465</v>
      </c>
      <c r="Q60" s="115"/>
      <c r="R60" s="116" t="s">
        <v>467</v>
      </c>
    </row>
    <row r="61" spans="2:18" ht="25.5" hidden="1">
      <c r="B61" s="168"/>
      <c r="C61" s="168"/>
      <c r="D61" s="115">
        <v>54</v>
      </c>
      <c r="E61" s="116" t="s">
        <v>482</v>
      </c>
      <c r="F61" s="115" t="s">
        <v>11</v>
      </c>
      <c r="G61" s="115" t="s">
        <v>44</v>
      </c>
      <c r="H61" s="115" t="s">
        <v>1</v>
      </c>
      <c r="I61" s="115" t="s">
        <v>9</v>
      </c>
      <c r="J61" s="116" t="s">
        <v>484</v>
      </c>
      <c r="K61" s="117">
        <v>38234</v>
      </c>
      <c r="L61" s="118">
        <v>2004</v>
      </c>
      <c r="M61" s="118">
        <f t="shared" si="4"/>
        <v>15</v>
      </c>
      <c r="N61" s="115" t="s">
        <v>3</v>
      </c>
      <c r="O61" s="115" t="s">
        <v>464</v>
      </c>
      <c r="P61" s="116" t="s">
        <v>468</v>
      </c>
      <c r="Q61" s="115"/>
      <c r="R61" s="116" t="s">
        <v>469</v>
      </c>
    </row>
    <row r="62" spans="2:18" ht="38.25">
      <c r="B62" s="168"/>
      <c r="C62" s="168"/>
      <c r="D62" s="115">
        <v>55</v>
      </c>
      <c r="E62" s="116" t="s">
        <v>15</v>
      </c>
      <c r="F62" s="115" t="s">
        <v>483</v>
      </c>
      <c r="G62" s="115" t="s">
        <v>47</v>
      </c>
      <c r="H62" s="115" t="s">
        <v>7</v>
      </c>
      <c r="I62" s="115" t="s">
        <v>477</v>
      </c>
      <c r="J62" s="116" t="s">
        <v>484</v>
      </c>
      <c r="K62" s="117">
        <v>17167</v>
      </c>
      <c r="L62" s="118">
        <v>1946</v>
      </c>
      <c r="M62" s="118">
        <f t="shared" si="4"/>
        <v>73</v>
      </c>
      <c r="N62" s="115" t="s">
        <v>3</v>
      </c>
      <c r="O62" s="115" t="s">
        <v>464</v>
      </c>
      <c r="P62" s="116" t="s">
        <v>465</v>
      </c>
      <c r="Q62" s="115"/>
      <c r="R62" s="116" t="s">
        <v>467</v>
      </c>
    </row>
    <row r="63" spans="2:18" ht="38.25" hidden="1">
      <c r="B63" s="168">
        <v>17</v>
      </c>
      <c r="C63" s="168" t="s">
        <v>485</v>
      </c>
      <c r="D63" s="115">
        <v>56</v>
      </c>
      <c r="E63" s="116" t="s">
        <v>486</v>
      </c>
      <c r="F63" s="115" t="s">
        <v>6</v>
      </c>
      <c r="G63" s="115" t="s">
        <v>83</v>
      </c>
      <c r="H63" s="115" t="s">
        <v>1</v>
      </c>
      <c r="I63" s="115" t="s">
        <v>2</v>
      </c>
      <c r="J63" s="116" t="s">
        <v>484</v>
      </c>
      <c r="K63" s="117">
        <v>33272</v>
      </c>
      <c r="L63" s="118">
        <v>1991</v>
      </c>
      <c r="M63" s="118">
        <f t="shared" si="4"/>
        <v>28</v>
      </c>
      <c r="N63" s="115" t="s">
        <v>3</v>
      </c>
      <c r="O63" s="115" t="s">
        <v>464</v>
      </c>
      <c r="P63" s="116" t="s">
        <v>465</v>
      </c>
      <c r="Q63" s="115"/>
      <c r="R63" s="116" t="s">
        <v>479</v>
      </c>
    </row>
    <row r="64" spans="2:18" ht="38.25" hidden="1">
      <c r="B64" s="168"/>
      <c r="C64" s="168"/>
      <c r="D64" s="115">
        <v>57</v>
      </c>
      <c r="E64" s="116" t="s">
        <v>84</v>
      </c>
      <c r="F64" s="115" t="s">
        <v>8</v>
      </c>
      <c r="G64" s="115" t="s">
        <v>487</v>
      </c>
      <c r="H64" s="115" t="s">
        <v>7</v>
      </c>
      <c r="I64" s="115" t="s">
        <v>2</v>
      </c>
      <c r="J64" s="116" t="s">
        <v>488</v>
      </c>
      <c r="K64" s="117">
        <v>32970</v>
      </c>
      <c r="L64" s="118">
        <v>1990</v>
      </c>
      <c r="M64" s="118">
        <f t="shared" si="4"/>
        <v>29</v>
      </c>
      <c r="N64" s="115" t="s">
        <v>3</v>
      </c>
      <c r="O64" s="115" t="s">
        <v>464</v>
      </c>
      <c r="P64" s="116" t="s">
        <v>465</v>
      </c>
      <c r="Q64" s="115"/>
      <c r="R64" s="116" t="s">
        <v>479</v>
      </c>
    </row>
    <row r="65" spans="1:46" ht="25.5" hidden="1">
      <c r="B65" s="168">
        <v>18</v>
      </c>
      <c r="C65" s="168" t="s">
        <v>494</v>
      </c>
      <c r="D65" s="115">
        <v>58</v>
      </c>
      <c r="E65" s="116" t="s">
        <v>227</v>
      </c>
      <c r="F65" s="115" t="s">
        <v>6</v>
      </c>
      <c r="G65" s="115" t="s">
        <v>228</v>
      </c>
      <c r="H65" s="115" t="s">
        <v>1</v>
      </c>
      <c r="I65" s="115" t="s">
        <v>2</v>
      </c>
      <c r="J65" s="116" t="s">
        <v>463</v>
      </c>
      <c r="K65" s="117">
        <v>28672</v>
      </c>
      <c r="L65" s="118">
        <v>1978</v>
      </c>
      <c r="M65" s="118">
        <f t="shared" si="4"/>
        <v>41</v>
      </c>
      <c r="N65" s="115" t="s">
        <v>3</v>
      </c>
      <c r="O65" s="115" t="s">
        <v>464</v>
      </c>
      <c r="P65" s="116" t="s">
        <v>470</v>
      </c>
      <c r="Q65" s="115"/>
      <c r="R65" s="116" t="s">
        <v>480</v>
      </c>
    </row>
    <row r="66" spans="1:46" ht="25.5" hidden="1">
      <c r="B66" s="168"/>
      <c r="C66" s="168"/>
      <c r="D66" s="115">
        <v>59</v>
      </c>
      <c r="E66" s="116" t="s">
        <v>73</v>
      </c>
      <c r="F66" s="115" t="s">
        <v>8</v>
      </c>
      <c r="G66" s="115" t="s">
        <v>229</v>
      </c>
      <c r="H66" s="115" t="s">
        <v>7</v>
      </c>
      <c r="I66" s="115" t="s">
        <v>2</v>
      </c>
      <c r="J66" s="116" t="s">
        <v>463</v>
      </c>
      <c r="K66" s="117">
        <v>29403</v>
      </c>
      <c r="L66" s="118">
        <v>1980</v>
      </c>
      <c r="M66" s="118">
        <f t="shared" si="4"/>
        <v>39</v>
      </c>
      <c r="N66" s="115" t="s">
        <v>3</v>
      </c>
      <c r="O66" s="115" t="s">
        <v>464</v>
      </c>
      <c r="P66" s="116" t="s">
        <v>470</v>
      </c>
      <c r="Q66" s="115"/>
      <c r="R66" s="116" t="s">
        <v>480</v>
      </c>
    </row>
    <row r="67" spans="1:46" ht="25.5" hidden="1">
      <c r="B67" s="168"/>
      <c r="C67" s="168"/>
      <c r="D67" s="115">
        <v>60</v>
      </c>
      <c r="E67" s="116" t="s">
        <v>230</v>
      </c>
      <c r="F67" s="115" t="s">
        <v>11</v>
      </c>
      <c r="G67" s="115" t="s">
        <v>231</v>
      </c>
      <c r="H67" s="115" t="s">
        <v>7</v>
      </c>
      <c r="I67" s="115" t="s">
        <v>27</v>
      </c>
      <c r="J67" s="116" t="s">
        <v>463</v>
      </c>
      <c r="K67" s="117">
        <v>37313</v>
      </c>
      <c r="L67" s="118">
        <v>2002</v>
      </c>
      <c r="M67" s="118">
        <f t="shared" si="4"/>
        <v>17</v>
      </c>
      <c r="N67" s="115" t="s">
        <v>3</v>
      </c>
      <c r="O67" s="115" t="s">
        <v>464</v>
      </c>
      <c r="P67" s="116" t="s">
        <v>468</v>
      </c>
      <c r="Q67" s="115"/>
      <c r="R67" s="116" t="s">
        <v>469</v>
      </c>
    </row>
    <row r="68" spans="1:46" ht="25.5" hidden="1">
      <c r="B68" s="168"/>
      <c r="C68" s="168"/>
      <c r="D68" s="115">
        <v>61</v>
      </c>
      <c r="E68" s="116" t="s">
        <v>232</v>
      </c>
      <c r="F68" s="115" t="s">
        <v>11</v>
      </c>
      <c r="G68" s="115" t="s">
        <v>233</v>
      </c>
      <c r="H68" s="115" t="s">
        <v>7</v>
      </c>
      <c r="I68" s="115" t="s">
        <v>9</v>
      </c>
      <c r="J68" s="116" t="s">
        <v>463</v>
      </c>
      <c r="K68" s="117">
        <v>40192</v>
      </c>
      <c r="L68" s="118">
        <v>2010</v>
      </c>
      <c r="M68" s="118">
        <f t="shared" ref="M68:M99" si="6">2019-L68</f>
        <v>9</v>
      </c>
      <c r="N68" s="115" t="s">
        <v>3</v>
      </c>
      <c r="O68" s="115" t="s">
        <v>464</v>
      </c>
      <c r="P68" s="116" t="s">
        <v>470</v>
      </c>
      <c r="Q68" s="115"/>
      <c r="R68" s="116" t="s">
        <v>471</v>
      </c>
    </row>
    <row r="69" spans="1:46" ht="25.5" hidden="1">
      <c r="B69" s="168"/>
      <c r="C69" s="168"/>
      <c r="D69" s="115">
        <v>62</v>
      </c>
      <c r="E69" s="116" t="s">
        <v>493</v>
      </c>
      <c r="F69" s="115" t="s">
        <v>11</v>
      </c>
      <c r="G69" s="115" t="s">
        <v>234</v>
      </c>
      <c r="H69" s="115" t="s">
        <v>1</v>
      </c>
      <c r="I69" s="115" t="s">
        <v>27</v>
      </c>
      <c r="J69" s="116" t="s">
        <v>495</v>
      </c>
      <c r="K69" s="117">
        <v>41773</v>
      </c>
      <c r="L69" s="118">
        <v>2014</v>
      </c>
      <c r="M69" s="118">
        <f t="shared" si="6"/>
        <v>5</v>
      </c>
      <c r="N69" s="115" t="s">
        <v>3</v>
      </c>
      <c r="O69" s="115" t="s">
        <v>464</v>
      </c>
      <c r="P69" s="116" t="s">
        <v>470</v>
      </c>
      <c r="Q69" s="115"/>
      <c r="R69" s="116" t="s">
        <v>471</v>
      </c>
    </row>
    <row r="70" spans="1:46" s="133" customFormat="1" ht="25.5" hidden="1">
      <c r="A70" s="81"/>
      <c r="B70" s="168">
        <v>19</v>
      </c>
      <c r="C70" s="168" t="s">
        <v>496</v>
      </c>
      <c r="D70" s="115">
        <v>63</v>
      </c>
      <c r="E70" s="116" t="s">
        <v>300</v>
      </c>
      <c r="F70" s="115" t="s">
        <v>6</v>
      </c>
      <c r="G70" s="115" t="s">
        <v>301</v>
      </c>
      <c r="H70" s="115" t="s">
        <v>7</v>
      </c>
      <c r="I70" s="115" t="s">
        <v>477</v>
      </c>
      <c r="J70" s="116" t="s">
        <v>463</v>
      </c>
      <c r="K70" s="117">
        <v>23924</v>
      </c>
      <c r="L70" s="118">
        <v>1965</v>
      </c>
      <c r="M70" s="118">
        <f t="shared" si="6"/>
        <v>54</v>
      </c>
      <c r="N70" s="115" t="s">
        <v>3</v>
      </c>
      <c r="O70" s="115" t="s">
        <v>464</v>
      </c>
      <c r="P70" s="116" t="s">
        <v>470</v>
      </c>
      <c r="Q70" s="115"/>
      <c r="R70" s="116" t="s">
        <v>480</v>
      </c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</row>
    <row r="71" spans="1:46" s="81" customFormat="1" ht="25.5" hidden="1">
      <c r="B71" s="168"/>
      <c r="C71" s="168"/>
      <c r="D71" s="115">
        <v>64</v>
      </c>
      <c r="E71" s="116" t="s">
        <v>17</v>
      </c>
      <c r="F71" s="115" t="s">
        <v>11</v>
      </c>
      <c r="G71" s="115" t="s">
        <v>302</v>
      </c>
      <c r="H71" s="115" t="s">
        <v>7</v>
      </c>
      <c r="I71" s="115" t="s">
        <v>500</v>
      </c>
      <c r="J71" s="116" t="s">
        <v>463</v>
      </c>
      <c r="K71" s="117">
        <v>30133</v>
      </c>
      <c r="L71" s="118">
        <v>1982</v>
      </c>
      <c r="M71" s="118">
        <f t="shared" si="6"/>
        <v>37</v>
      </c>
      <c r="N71" s="115" t="s">
        <v>3</v>
      </c>
      <c r="O71" s="115" t="s">
        <v>464</v>
      </c>
      <c r="P71" s="116" t="s">
        <v>470</v>
      </c>
      <c r="Q71" s="115"/>
      <c r="R71" s="116" t="s">
        <v>480</v>
      </c>
    </row>
    <row r="72" spans="1:46" s="134" customFormat="1" ht="25.5" hidden="1">
      <c r="A72" s="82"/>
      <c r="B72" s="168"/>
      <c r="C72" s="168"/>
      <c r="D72" s="115">
        <v>65</v>
      </c>
      <c r="E72" s="116" t="s">
        <v>497</v>
      </c>
      <c r="F72" s="115" t="s">
        <v>498</v>
      </c>
      <c r="G72" s="115" t="s">
        <v>499</v>
      </c>
      <c r="H72" s="115" t="s">
        <v>1</v>
      </c>
      <c r="I72" s="115" t="s">
        <v>9</v>
      </c>
      <c r="J72" s="116" t="s">
        <v>463</v>
      </c>
      <c r="K72" s="117">
        <v>40064</v>
      </c>
      <c r="L72" s="118">
        <v>2009</v>
      </c>
      <c r="M72" s="118">
        <f t="shared" si="6"/>
        <v>10</v>
      </c>
      <c r="N72" s="115" t="s">
        <v>3</v>
      </c>
      <c r="O72" s="115" t="s">
        <v>464</v>
      </c>
      <c r="P72" s="116" t="s">
        <v>468</v>
      </c>
      <c r="Q72" s="115"/>
      <c r="R72" s="116" t="s">
        <v>469</v>
      </c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</row>
    <row r="73" spans="1:46" ht="25.5" hidden="1">
      <c r="B73" s="168">
        <v>20</v>
      </c>
      <c r="C73" s="168" t="s">
        <v>513</v>
      </c>
      <c r="D73" s="115">
        <v>66</v>
      </c>
      <c r="E73" s="116" t="s">
        <v>0</v>
      </c>
      <c r="F73" s="115" t="s">
        <v>6</v>
      </c>
      <c r="G73" s="115" t="s">
        <v>334</v>
      </c>
      <c r="H73" s="115" t="s">
        <v>1</v>
      </c>
      <c r="I73" s="115" t="s">
        <v>2</v>
      </c>
      <c r="J73" s="116" t="s">
        <v>463</v>
      </c>
      <c r="K73" s="117">
        <v>31514</v>
      </c>
      <c r="L73" s="118">
        <v>1986</v>
      </c>
      <c r="M73" s="118">
        <f t="shared" si="6"/>
        <v>33</v>
      </c>
      <c r="N73" s="115" t="s">
        <v>3</v>
      </c>
      <c r="O73" s="115" t="s">
        <v>464</v>
      </c>
      <c r="P73" s="116" t="s">
        <v>516</v>
      </c>
      <c r="Q73" s="115"/>
      <c r="R73" s="116" t="s">
        <v>517</v>
      </c>
    </row>
    <row r="74" spans="1:46" ht="38.25" hidden="1">
      <c r="B74" s="168"/>
      <c r="C74" s="168"/>
      <c r="D74" s="115">
        <v>67</v>
      </c>
      <c r="E74" s="116" t="s">
        <v>335</v>
      </c>
      <c r="F74" s="115" t="s">
        <v>8</v>
      </c>
      <c r="G74" s="115" t="s">
        <v>515</v>
      </c>
      <c r="H74" s="115" t="s">
        <v>7</v>
      </c>
      <c r="I74" s="115" t="s">
        <v>2</v>
      </c>
      <c r="J74" s="116" t="s">
        <v>514</v>
      </c>
      <c r="K74" s="117">
        <v>32705</v>
      </c>
      <c r="L74" s="118">
        <v>1989</v>
      </c>
      <c r="M74" s="118">
        <f t="shared" si="6"/>
        <v>30</v>
      </c>
      <c r="N74" s="115" t="s">
        <v>3</v>
      </c>
      <c r="O74" s="115" t="s">
        <v>464</v>
      </c>
      <c r="P74" s="116" t="s">
        <v>516</v>
      </c>
      <c r="Q74" s="115"/>
      <c r="R74" s="116" t="s">
        <v>467</v>
      </c>
    </row>
    <row r="75" spans="1:46" ht="25.5" hidden="1">
      <c r="B75" s="168"/>
      <c r="C75" s="168"/>
      <c r="D75" s="115">
        <v>68</v>
      </c>
      <c r="E75" s="116" t="s">
        <v>336</v>
      </c>
      <c r="F75" s="115" t="s">
        <v>11</v>
      </c>
      <c r="G75" s="115" t="s">
        <v>337</v>
      </c>
      <c r="H75" s="115" t="s">
        <v>1</v>
      </c>
      <c r="I75" s="115" t="s">
        <v>9</v>
      </c>
      <c r="J75" s="116" t="s">
        <v>463</v>
      </c>
      <c r="K75" s="117">
        <v>41421</v>
      </c>
      <c r="L75" s="118">
        <v>2013</v>
      </c>
      <c r="M75" s="118">
        <f t="shared" si="6"/>
        <v>6</v>
      </c>
      <c r="N75" s="115" t="s">
        <v>3</v>
      </c>
      <c r="O75" s="115" t="s">
        <v>464</v>
      </c>
      <c r="P75" s="116" t="s">
        <v>470</v>
      </c>
      <c r="Q75" s="115"/>
      <c r="R75" s="116" t="s">
        <v>471</v>
      </c>
    </row>
    <row r="76" spans="1:46" ht="25.5" hidden="1">
      <c r="B76" s="168">
        <v>21</v>
      </c>
      <c r="C76" s="168" t="s">
        <v>527</v>
      </c>
      <c r="D76" s="115">
        <v>69</v>
      </c>
      <c r="E76" s="116" t="s">
        <v>235</v>
      </c>
      <c r="F76" s="115" t="s">
        <v>6</v>
      </c>
      <c r="G76" s="115" t="s">
        <v>236</v>
      </c>
      <c r="H76" s="115" t="s">
        <v>1</v>
      </c>
      <c r="I76" s="115" t="s">
        <v>2</v>
      </c>
      <c r="J76" s="116" t="s">
        <v>463</v>
      </c>
      <c r="K76" s="117">
        <v>25951</v>
      </c>
      <c r="L76" s="118">
        <v>1971</v>
      </c>
      <c r="M76" s="118">
        <f t="shared" si="6"/>
        <v>48</v>
      </c>
      <c r="N76" s="115" t="s">
        <v>3</v>
      </c>
      <c r="O76" s="115" t="s">
        <v>464</v>
      </c>
      <c r="P76" s="116" t="s">
        <v>470</v>
      </c>
      <c r="Q76" s="115"/>
      <c r="R76" s="116" t="s">
        <v>480</v>
      </c>
    </row>
    <row r="77" spans="1:46" ht="25.5" hidden="1">
      <c r="B77" s="168"/>
      <c r="C77" s="168"/>
      <c r="D77" s="115">
        <v>70</v>
      </c>
      <c r="E77" s="116" t="s">
        <v>237</v>
      </c>
      <c r="F77" s="115" t="s">
        <v>8</v>
      </c>
      <c r="G77" s="115" t="s">
        <v>238</v>
      </c>
      <c r="H77" s="115" t="s">
        <v>7</v>
      </c>
      <c r="I77" s="115" t="s">
        <v>2</v>
      </c>
      <c r="J77" s="116" t="s">
        <v>463</v>
      </c>
      <c r="K77" s="117">
        <v>26357</v>
      </c>
      <c r="L77" s="118">
        <v>1972</v>
      </c>
      <c r="M77" s="118">
        <f t="shared" si="6"/>
        <v>47</v>
      </c>
      <c r="N77" s="115" t="s">
        <v>3</v>
      </c>
      <c r="O77" s="115" t="s">
        <v>464</v>
      </c>
      <c r="P77" s="116" t="s">
        <v>465</v>
      </c>
      <c r="Q77" s="115"/>
      <c r="R77" s="116" t="s">
        <v>480</v>
      </c>
    </row>
    <row r="78" spans="1:46" ht="25.5" hidden="1">
      <c r="B78" s="168"/>
      <c r="C78" s="168"/>
      <c r="D78" s="115">
        <v>71</v>
      </c>
      <c r="E78" s="116" t="s">
        <v>239</v>
      </c>
      <c r="F78" s="115" t="s">
        <v>11</v>
      </c>
      <c r="G78" s="115" t="s">
        <v>240</v>
      </c>
      <c r="H78" s="115" t="s">
        <v>1</v>
      </c>
      <c r="I78" s="115" t="s">
        <v>9</v>
      </c>
      <c r="J78" s="116" t="s">
        <v>463</v>
      </c>
      <c r="K78" s="117">
        <v>33390</v>
      </c>
      <c r="L78" s="118">
        <v>1991</v>
      </c>
      <c r="M78" s="118">
        <f t="shared" si="6"/>
        <v>28</v>
      </c>
      <c r="N78" s="115" t="s">
        <v>3</v>
      </c>
      <c r="O78" s="115" t="s">
        <v>464</v>
      </c>
      <c r="P78" s="116" t="s">
        <v>465</v>
      </c>
      <c r="Q78" s="115"/>
      <c r="R78" s="116" t="s">
        <v>480</v>
      </c>
    </row>
    <row r="79" spans="1:46" ht="25.5" hidden="1">
      <c r="B79" s="168"/>
      <c r="C79" s="168"/>
      <c r="D79" s="115">
        <v>72</v>
      </c>
      <c r="E79" s="116" t="s">
        <v>622</v>
      </c>
      <c r="F79" s="115" t="s">
        <v>11</v>
      </c>
      <c r="G79" s="115" t="s">
        <v>241</v>
      </c>
      <c r="H79" s="115" t="s">
        <v>1</v>
      </c>
      <c r="I79" s="115" t="s">
        <v>9</v>
      </c>
      <c r="J79" s="116" t="s">
        <v>463</v>
      </c>
      <c r="K79" s="117">
        <v>34229</v>
      </c>
      <c r="L79" s="118">
        <v>1993</v>
      </c>
      <c r="M79" s="118">
        <f t="shared" si="6"/>
        <v>26</v>
      </c>
      <c r="N79" s="115" t="s">
        <v>3</v>
      </c>
      <c r="O79" s="115" t="s">
        <v>464</v>
      </c>
      <c r="P79" s="116" t="s">
        <v>465</v>
      </c>
      <c r="Q79" s="115"/>
      <c r="R79" s="116" t="s">
        <v>480</v>
      </c>
    </row>
    <row r="80" spans="1:46" ht="25.5" hidden="1">
      <c r="B80" s="168"/>
      <c r="C80" s="168"/>
      <c r="D80" s="115">
        <v>73</v>
      </c>
      <c r="E80" s="116" t="s">
        <v>242</v>
      </c>
      <c r="F80" s="115" t="s">
        <v>11</v>
      </c>
      <c r="G80" s="115" t="s">
        <v>243</v>
      </c>
      <c r="H80" s="115" t="s">
        <v>7</v>
      </c>
      <c r="I80" s="115" t="s">
        <v>9</v>
      </c>
      <c r="J80" s="116" t="s">
        <v>463</v>
      </c>
      <c r="K80" s="117">
        <v>38368</v>
      </c>
      <c r="L80" s="118">
        <v>2005</v>
      </c>
      <c r="M80" s="118">
        <f t="shared" si="6"/>
        <v>14</v>
      </c>
      <c r="N80" s="115" t="s">
        <v>3</v>
      </c>
      <c r="O80" s="115" t="s">
        <v>464</v>
      </c>
      <c r="P80" s="116" t="s">
        <v>465</v>
      </c>
      <c r="Q80" s="115"/>
      <c r="R80" s="116" t="s">
        <v>471</v>
      </c>
    </row>
    <row r="81" spans="2:18" ht="25.5" hidden="1">
      <c r="B81" s="168"/>
      <c r="C81" s="168"/>
      <c r="D81" s="115">
        <v>74</v>
      </c>
      <c r="E81" s="116" t="s">
        <v>244</v>
      </c>
      <c r="F81" s="115" t="s">
        <v>11</v>
      </c>
      <c r="G81" s="115" t="s">
        <v>245</v>
      </c>
      <c r="H81" s="115" t="s">
        <v>1</v>
      </c>
      <c r="I81" s="115" t="s">
        <v>9</v>
      </c>
      <c r="J81" s="116" t="s">
        <v>463</v>
      </c>
      <c r="K81" s="117">
        <v>38368</v>
      </c>
      <c r="L81" s="118">
        <v>2005</v>
      </c>
      <c r="M81" s="118">
        <f t="shared" si="6"/>
        <v>14</v>
      </c>
      <c r="N81" s="115" t="s">
        <v>3</v>
      </c>
      <c r="O81" s="115" t="s">
        <v>464</v>
      </c>
      <c r="P81" s="116" t="s">
        <v>465</v>
      </c>
      <c r="Q81" s="115"/>
      <c r="R81" s="116" t="s">
        <v>471</v>
      </c>
    </row>
    <row r="82" spans="2:18" ht="25.5">
      <c r="B82" s="168">
        <v>22</v>
      </c>
      <c r="C82" s="168" t="s">
        <v>602</v>
      </c>
      <c r="D82" s="115">
        <v>75</v>
      </c>
      <c r="E82" s="116" t="s">
        <v>67</v>
      </c>
      <c r="F82" s="115" t="s">
        <v>6</v>
      </c>
      <c r="G82" s="115" t="s">
        <v>603</v>
      </c>
      <c r="H82" s="115" t="s">
        <v>7</v>
      </c>
      <c r="I82" s="115" t="s">
        <v>500</v>
      </c>
      <c r="J82" s="116" t="s">
        <v>463</v>
      </c>
      <c r="K82" s="117">
        <v>21802</v>
      </c>
      <c r="L82" s="118">
        <v>1959</v>
      </c>
      <c r="M82" s="118">
        <f t="shared" si="6"/>
        <v>60</v>
      </c>
      <c r="N82" s="115" t="s">
        <v>3</v>
      </c>
      <c r="O82" s="115" t="s">
        <v>464</v>
      </c>
      <c r="P82" s="116" t="s">
        <v>470</v>
      </c>
      <c r="Q82" s="115"/>
      <c r="R82" s="116" t="s">
        <v>26</v>
      </c>
    </row>
    <row r="83" spans="2:18" ht="25.5" hidden="1">
      <c r="B83" s="168"/>
      <c r="C83" s="168"/>
      <c r="D83" s="115">
        <v>76</v>
      </c>
      <c r="E83" s="116" t="s">
        <v>671</v>
      </c>
      <c r="F83" s="115" t="s">
        <v>11</v>
      </c>
      <c r="G83" s="115" t="s">
        <v>604</v>
      </c>
      <c r="H83" s="115" t="s">
        <v>1</v>
      </c>
      <c r="I83" s="115" t="s">
        <v>9</v>
      </c>
      <c r="J83" s="116" t="s">
        <v>463</v>
      </c>
      <c r="K83" s="117">
        <v>33423</v>
      </c>
      <c r="L83" s="118">
        <v>1991</v>
      </c>
      <c r="M83" s="118">
        <f t="shared" si="6"/>
        <v>28</v>
      </c>
      <c r="N83" s="115" t="s">
        <v>3</v>
      </c>
      <c r="O83" s="115" t="s">
        <v>464</v>
      </c>
      <c r="P83" s="116" t="s">
        <v>465</v>
      </c>
      <c r="Q83" s="115"/>
      <c r="R83" s="116" t="s">
        <v>480</v>
      </c>
    </row>
    <row r="84" spans="2:18" ht="25.5" hidden="1">
      <c r="B84" s="168">
        <v>23</v>
      </c>
      <c r="C84" s="168" t="s">
        <v>605</v>
      </c>
      <c r="D84" s="115">
        <v>77</v>
      </c>
      <c r="E84" s="116" t="s">
        <v>49</v>
      </c>
      <c r="F84" s="115" t="s">
        <v>6</v>
      </c>
      <c r="G84" s="115" t="s">
        <v>607</v>
      </c>
      <c r="H84" s="115" t="s">
        <v>1</v>
      </c>
      <c r="I84" s="115" t="s">
        <v>2</v>
      </c>
      <c r="J84" s="116" t="s">
        <v>463</v>
      </c>
      <c r="K84" s="117">
        <v>27759</v>
      </c>
      <c r="L84" s="118">
        <v>1975</v>
      </c>
      <c r="M84" s="118">
        <f t="shared" si="6"/>
        <v>44</v>
      </c>
      <c r="N84" s="115" t="s">
        <v>3</v>
      </c>
      <c r="O84" s="115" t="s">
        <v>464</v>
      </c>
      <c r="P84" s="116" t="s">
        <v>465</v>
      </c>
      <c r="Q84" s="115"/>
      <c r="R84" s="116" t="s">
        <v>480</v>
      </c>
    </row>
    <row r="85" spans="2:18" ht="25.5" hidden="1">
      <c r="B85" s="168"/>
      <c r="C85" s="168"/>
      <c r="D85" s="115">
        <v>78</v>
      </c>
      <c r="E85" s="116" t="s">
        <v>353</v>
      </c>
      <c r="F85" s="115" t="s">
        <v>8</v>
      </c>
      <c r="G85" s="115" t="s">
        <v>608</v>
      </c>
      <c r="H85" s="115" t="s">
        <v>7</v>
      </c>
      <c r="I85" s="115" t="s">
        <v>2</v>
      </c>
      <c r="J85" s="116" t="s">
        <v>558</v>
      </c>
      <c r="K85" s="117">
        <v>26009</v>
      </c>
      <c r="L85" s="118">
        <v>1971</v>
      </c>
      <c r="M85" s="118">
        <f t="shared" si="6"/>
        <v>48</v>
      </c>
      <c r="N85" s="115" t="s">
        <v>3</v>
      </c>
      <c r="O85" s="115" t="s">
        <v>464</v>
      </c>
      <c r="P85" s="116" t="s">
        <v>465</v>
      </c>
      <c r="Q85" s="115"/>
      <c r="R85" s="116" t="s">
        <v>480</v>
      </c>
    </row>
    <row r="86" spans="2:18" ht="25.5" hidden="1">
      <c r="B86" s="168"/>
      <c r="C86" s="168"/>
      <c r="D86" s="115">
        <v>79</v>
      </c>
      <c r="E86" s="116" t="s">
        <v>335</v>
      </c>
      <c r="F86" s="115" t="s">
        <v>11</v>
      </c>
      <c r="G86" s="115" t="s">
        <v>609</v>
      </c>
      <c r="H86" s="115" t="s">
        <v>7</v>
      </c>
      <c r="I86" s="115" t="s">
        <v>9</v>
      </c>
      <c r="J86" s="116" t="s">
        <v>463</v>
      </c>
      <c r="K86" s="117">
        <v>36364</v>
      </c>
      <c r="L86" s="118">
        <v>1999</v>
      </c>
      <c r="M86" s="118">
        <f t="shared" si="6"/>
        <v>20</v>
      </c>
      <c r="N86" s="115" t="s">
        <v>3</v>
      </c>
      <c r="O86" s="115" t="s">
        <v>464</v>
      </c>
      <c r="P86" s="116" t="s">
        <v>516</v>
      </c>
      <c r="Q86" s="115"/>
      <c r="R86" s="116" t="s">
        <v>471</v>
      </c>
    </row>
    <row r="87" spans="2:18" ht="25.5" hidden="1">
      <c r="B87" s="168"/>
      <c r="C87" s="168"/>
      <c r="D87" s="115">
        <v>80</v>
      </c>
      <c r="E87" s="116" t="s">
        <v>606</v>
      </c>
      <c r="F87" s="115" t="s">
        <v>11</v>
      </c>
      <c r="G87" s="115" t="s">
        <v>610</v>
      </c>
      <c r="H87" s="115" t="s">
        <v>1</v>
      </c>
      <c r="I87" s="115" t="s">
        <v>9</v>
      </c>
      <c r="J87" s="116" t="s">
        <v>463</v>
      </c>
      <c r="K87" s="117">
        <v>39363</v>
      </c>
      <c r="L87" s="118">
        <v>2007</v>
      </c>
      <c r="M87" s="118">
        <f t="shared" si="6"/>
        <v>12</v>
      </c>
      <c r="N87" s="115" t="s">
        <v>3</v>
      </c>
      <c r="O87" s="115" t="s">
        <v>464</v>
      </c>
      <c r="P87" s="116" t="s">
        <v>468</v>
      </c>
      <c r="Q87" s="115"/>
      <c r="R87" s="116" t="s">
        <v>469</v>
      </c>
    </row>
    <row r="88" spans="2:18" hidden="1">
      <c r="B88" s="168">
        <v>24</v>
      </c>
      <c r="C88" s="168" t="s">
        <v>615</v>
      </c>
      <c r="D88" s="115">
        <v>81</v>
      </c>
      <c r="E88" s="116" t="s">
        <v>61</v>
      </c>
      <c r="F88" s="115" t="s">
        <v>6</v>
      </c>
      <c r="G88" s="115" t="s">
        <v>184</v>
      </c>
      <c r="H88" s="115" t="s">
        <v>1</v>
      </c>
      <c r="I88" s="115" t="s">
        <v>2</v>
      </c>
      <c r="J88" s="116" t="s">
        <v>463</v>
      </c>
      <c r="K88" s="117">
        <v>32510</v>
      </c>
      <c r="L88" s="118">
        <v>1989</v>
      </c>
      <c r="M88" s="118">
        <f t="shared" si="6"/>
        <v>30</v>
      </c>
      <c r="N88" s="115" t="s">
        <v>3</v>
      </c>
      <c r="O88" s="115" t="s">
        <v>464</v>
      </c>
      <c r="P88" s="116" t="s">
        <v>474</v>
      </c>
      <c r="Q88" s="115"/>
      <c r="R88" s="116" t="s">
        <v>24</v>
      </c>
    </row>
    <row r="89" spans="2:18" ht="38.25" hidden="1">
      <c r="B89" s="168"/>
      <c r="C89" s="168"/>
      <c r="D89" s="115">
        <v>82</v>
      </c>
      <c r="E89" s="116" t="s">
        <v>616</v>
      </c>
      <c r="F89" s="115" t="s">
        <v>8</v>
      </c>
      <c r="G89" s="115" t="s">
        <v>617</v>
      </c>
      <c r="H89" s="115" t="s">
        <v>7</v>
      </c>
      <c r="I89" s="115" t="s">
        <v>2</v>
      </c>
      <c r="J89" s="116" t="s">
        <v>618</v>
      </c>
      <c r="K89" s="117">
        <v>34334</v>
      </c>
      <c r="L89" s="118">
        <v>1993</v>
      </c>
      <c r="M89" s="118">
        <f t="shared" si="6"/>
        <v>26</v>
      </c>
      <c r="N89" s="115" t="s">
        <v>3</v>
      </c>
      <c r="O89" s="115" t="s">
        <v>464</v>
      </c>
      <c r="P89" s="116" t="s">
        <v>474</v>
      </c>
      <c r="Q89" s="115"/>
      <c r="R89" s="116" t="s">
        <v>467</v>
      </c>
    </row>
    <row r="90" spans="2:18" ht="25.5" hidden="1">
      <c r="B90" s="168"/>
      <c r="C90" s="168"/>
      <c r="D90" s="115">
        <v>83</v>
      </c>
      <c r="E90" s="116" t="s">
        <v>185</v>
      </c>
      <c r="F90" s="115" t="s">
        <v>11</v>
      </c>
      <c r="G90" s="115" t="s">
        <v>186</v>
      </c>
      <c r="H90" s="115" t="s">
        <v>7</v>
      </c>
      <c r="I90" s="115" t="s">
        <v>9</v>
      </c>
      <c r="J90" s="116" t="s">
        <v>495</v>
      </c>
      <c r="K90" s="117">
        <v>41653</v>
      </c>
      <c r="L90" s="118">
        <v>2014</v>
      </c>
      <c r="M90" s="118">
        <f t="shared" si="6"/>
        <v>5</v>
      </c>
      <c r="N90" s="115" t="s">
        <v>3</v>
      </c>
      <c r="O90" s="115" t="s">
        <v>464</v>
      </c>
      <c r="P90" s="116" t="s">
        <v>470</v>
      </c>
      <c r="Q90" s="115"/>
      <c r="R90" s="116" t="s">
        <v>471</v>
      </c>
    </row>
    <row r="91" spans="2:18" ht="25.5">
      <c r="B91" s="165">
        <v>25</v>
      </c>
      <c r="C91" s="165" t="s">
        <v>619</v>
      </c>
      <c r="D91" s="115">
        <v>84</v>
      </c>
      <c r="E91" s="116" t="s">
        <v>341</v>
      </c>
      <c r="F91" s="115" t="s">
        <v>6</v>
      </c>
      <c r="G91" s="115" t="s">
        <v>620</v>
      </c>
      <c r="H91" s="115" t="s">
        <v>1</v>
      </c>
      <c r="I91" s="115" t="s">
        <v>2</v>
      </c>
      <c r="J91" s="116" t="s">
        <v>463</v>
      </c>
      <c r="K91" s="117">
        <v>21052</v>
      </c>
      <c r="L91" s="118">
        <v>1957</v>
      </c>
      <c r="M91" s="118">
        <f t="shared" si="6"/>
        <v>62</v>
      </c>
      <c r="N91" s="115" t="s">
        <v>3</v>
      </c>
      <c r="O91" s="115" t="s">
        <v>464</v>
      </c>
      <c r="P91" s="116" t="s">
        <v>470</v>
      </c>
      <c r="Q91" s="115"/>
      <c r="R91" s="116" t="s">
        <v>480</v>
      </c>
    </row>
    <row r="92" spans="2:18" ht="25.5">
      <c r="B92" s="166"/>
      <c r="C92" s="166"/>
      <c r="D92" s="115">
        <v>85</v>
      </c>
      <c r="E92" s="116" t="s">
        <v>33</v>
      </c>
      <c r="F92" s="115" t="s">
        <v>8</v>
      </c>
      <c r="G92" s="115" t="s">
        <v>621</v>
      </c>
      <c r="H92" s="115" t="s">
        <v>7</v>
      </c>
      <c r="I92" s="115" t="s">
        <v>2</v>
      </c>
      <c r="J92" s="116" t="s">
        <v>463</v>
      </c>
      <c r="K92" s="117">
        <v>21366</v>
      </c>
      <c r="L92" s="118">
        <v>1958</v>
      </c>
      <c r="M92" s="118">
        <f t="shared" si="6"/>
        <v>61</v>
      </c>
      <c r="N92" s="115" t="s">
        <v>3</v>
      </c>
      <c r="O92" s="115" t="s">
        <v>464</v>
      </c>
      <c r="P92" s="116" t="s">
        <v>470</v>
      </c>
      <c r="Q92" s="115"/>
      <c r="R92" s="116" t="s">
        <v>26</v>
      </c>
    </row>
    <row r="93" spans="2:18" hidden="1">
      <c r="B93" s="166"/>
      <c r="C93" s="166"/>
      <c r="D93" s="115">
        <v>86</v>
      </c>
      <c r="E93" s="116" t="s">
        <v>39</v>
      </c>
      <c r="F93" s="115" t="s">
        <v>11</v>
      </c>
      <c r="G93" s="115" t="s">
        <v>899</v>
      </c>
      <c r="H93" s="115" t="s">
        <v>7</v>
      </c>
      <c r="I93" s="115" t="s">
        <v>9</v>
      </c>
      <c r="J93" s="116" t="s">
        <v>463</v>
      </c>
      <c r="K93" s="117">
        <v>30366</v>
      </c>
      <c r="L93" s="118">
        <v>1983</v>
      </c>
      <c r="M93" s="118">
        <f t="shared" si="6"/>
        <v>36</v>
      </c>
      <c r="N93" s="115" t="s">
        <v>3</v>
      </c>
      <c r="O93" s="115" t="s">
        <v>464</v>
      </c>
      <c r="P93" s="116" t="s">
        <v>474</v>
      </c>
      <c r="Q93" s="115"/>
      <c r="R93" s="116" t="s">
        <v>26</v>
      </c>
    </row>
    <row r="94" spans="2:18" ht="25.5" hidden="1">
      <c r="B94" s="166"/>
      <c r="C94" s="166"/>
      <c r="D94" s="115">
        <v>87</v>
      </c>
      <c r="E94" s="116" t="s">
        <v>898</v>
      </c>
      <c r="F94" s="115" t="s">
        <v>11</v>
      </c>
      <c r="G94" s="115" t="s">
        <v>900</v>
      </c>
      <c r="H94" s="115" t="s">
        <v>7</v>
      </c>
      <c r="I94" s="115" t="s">
        <v>9</v>
      </c>
      <c r="J94" s="116" t="s">
        <v>463</v>
      </c>
      <c r="K94" s="117">
        <v>33395</v>
      </c>
      <c r="L94" s="118">
        <v>1991</v>
      </c>
      <c r="M94" s="118">
        <f t="shared" si="6"/>
        <v>28</v>
      </c>
      <c r="N94" s="115" t="s">
        <v>3</v>
      </c>
      <c r="O94" s="115" t="s">
        <v>464</v>
      </c>
      <c r="P94" s="116" t="s">
        <v>465</v>
      </c>
      <c r="Q94" s="115"/>
      <c r="R94" s="116" t="s">
        <v>471</v>
      </c>
    </row>
    <row r="95" spans="2:18" ht="38.25" hidden="1">
      <c r="B95" s="167"/>
      <c r="C95" s="167"/>
      <c r="D95" s="115">
        <v>88</v>
      </c>
      <c r="E95" s="116" t="s">
        <v>343</v>
      </c>
      <c r="F95" s="115" t="s">
        <v>11</v>
      </c>
      <c r="G95" s="115" t="s">
        <v>901</v>
      </c>
      <c r="H95" s="115" t="s">
        <v>7</v>
      </c>
      <c r="I95" s="115" t="s">
        <v>9</v>
      </c>
      <c r="J95" s="116" t="s">
        <v>463</v>
      </c>
      <c r="K95" s="117">
        <v>33479</v>
      </c>
      <c r="L95" s="118">
        <v>1991</v>
      </c>
      <c r="M95" s="118">
        <f t="shared" si="6"/>
        <v>28</v>
      </c>
      <c r="N95" s="115" t="s">
        <v>3</v>
      </c>
      <c r="O95" s="115" t="s">
        <v>464</v>
      </c>
      <c r="P95" s="116" t="s">
        <v>465</v>
      </c>
      <c r="Q95" s="115"/>
      <c r="R95" s="116" t="s">
        <v>467</v>
      </c>
    </row>
    <row r="96" spans="2:18" ht="25.5" hidden="1">
      <c r="B96" s="115">
        <v>26</v>
      </c>
      <c r="C96" s="115" t="s">
        <v>631</v>
      </c>
      <c r="D96" s="115">
        <v>89</v>
      </c>
      <c r="E96" s="116" t="s">
        <v>45</v>
      </c>
      <c r="F96" s="115" t="s">
        <v>6</v>
      </c>
      <c r="G96" s="115" t="s">
        <v>632</v>
      </c>
      <c r="H96" s="115" t="s">
        <v>7</v>
      </c>
      <c r="I96" s="115" t="s">
        <v>500</v>
      </c>
      <c r="J96" s="116" t="s">
        <v>463</v>
      </c>
      <c r="K96" s="117">
        <v>24695</v>
      </c>
      <c r="L96" s="118">
        <v>1967</v>
      </c>
      <c r="M96" s="118">
        <f t="shared" si="6"/>
        <v>52</v>
      </c>
      <c r="N96" s="115" t="s">
        <v>3</v>
      </c>
      <c r="O96" s="115" t="s">
        <v>464</v>
      </c>
      <c r="P96" s="116" t="s">
        <v>470</v>
      </c>
      <c r="Q96" s="115"/>
      <c r="R96" s="116" t="s">
        <v>633</v>
      </c>
    </row>
    <row r="97" spans="1:46" s="71" customFormat="1" hidden="1">
      <c r="A97" s="81"/>
      <c r="B97" s="165">
        <v>27</v>
      </c>
      <c r="C97" s="165" t="s">
        <v>184</v>
      </c>
      <c r="D97" s="115">
        <v>90</v>
      </c>
      <c r="E97" s="116" t="s">
        <v>61</v>
      </c>
      <c r="F97" s="115" t="s">
        <v>6</v>
      </c>
      <c r="G97" s="115" t="s">
        <v>184</v>
      </c>
      <c r="H97" s="115" t="s">
        <v>1</v>
      </c>
      <c r="I97" s="115" t="s">
        <v>2</v>
      </c>
      <c r="J97" s="116" t="s">
        <v>463</v>
      </c>
      <c r="K97" s="117">
        <v>32510</v>
      </c>
      <c r="L97" s="118">
        <v>1989</v>
      </c>
      <c r="M97" s="118">
        <f t="shared" si="6"/>
        <v>30</v>
      </c>
      <c r="N97" s="115" t="s">
        <v>3</v>
      </c>
      <c r="O97" s="115" t="s">
        <v>464</v>
      </c>
      <c r="P97" s="116" t="s">
        <v>474</v>
      </c>
      <c r="Q97" s="115"/>
      <c r="R97" s="116" t="s">
        <v>24</v>
      </c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</row>
    <row r="98" spans="1:46" s="71" customFormat="1" ht="38.25" hidden="1">
      <c r="A98" s="81"/>
      <c r="B98" s="166"/>
      <c r="C98" s="166"/>
      <c r="D98" s="115">
        <v>91</v>
      </c>
      <c r="E98" s="116" t="s">
        <v>616</v>
      </c>
      <c r="F98" s="115" t="s">
        <v>8</v>
      </c>
      <c r="G98" s="115" t="s">
        <v>617</v>
      </c>
      <c r="H98" s="115" t="s">
        <v>7</v>
      </c>
      <c r="I98" s="115" t="s">
        <v>2</v>
      </c>
      <c r="J98" s="116" t="s">
        <v>618</v>
      </c>
      <c r="K98" s="117">
        <v>34334</v>
      </c>
      <c r="L98" s="118">
        <v>1993</v>
      </c>
      <c r="M98" s="118">
        <f t="shared" si="6"/>
        <v>26</v>
      </c>
      <c r="N98" s="115" t="s">
        <v>3</v>
      </c>
      <c r="O98" s="115" t="s">
        <v>464</v>
      </c>
      <c r="P98" s="116" t="s">
        <v>474</v>
      </c>
      <c r="Q98" s="115"/>
      <c r="R98" s="116" t="s">
        <v>467</v>
      </c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</row>
    <row r="99" spans="1:46" s="71" customFormat="1" ht="25.5" hidden="1">
      <c r="A99" s="81"/>
      <c r="B99" s="167"/>
      <c r="C99" s="167"/>
      <c r="D99" s="115">
        <v>92</v>
      </c>
      <c r="E99" s="116" t="s">
        <v>185</v>
      </c>
      <c r="F99" s="115" t="s">
        <v>11</v>
      </c>
      <c r="G99" s="115" t="s">
        <v>186</v>
      </c>
      <c r="H99" s="115" t="s">
        <v>7</v>
      </c>
      <c r="I99" s="115" t="s">
        <v>9</v>
      </c>
      <c r="J99" s="116" t="s">
        <v>495</v>
      </c>
      <c r="K99" s="117">
        <v>41653</v>
      </c>
      <c r="L99" s="118">
        <v>2014</v>
      </c>
      <c r="M99" s="118">
        <f t="shared" si="6"/>
        <v>5</v>
      </c>
      <c r="N99" s="115" t="s">
        <v>3</v>
      </c>
      <c r="O99" s="115" t="s">
        <v>464</v>
      </c>
      <c r="P99" s="116" t="s">
        <v>470</v>
      </c>
      <c r="Q99" s="115"/>
      <c r="R99" s="116" t="s">
        <v>471</v>
      </c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</row>
    <row r="100" spans="1:46" s="71" customFormat="1" ht="25.5">
      <c r="A100" s="81"/>
      <c r="B100" s="165">
        <v>38</v>
      </c>
      <c r="C100" s="165" t="s">
        <v>687</v>
      </c>
      <c r="D100" s="115">
        <v>93</v>
      </c>
      <c r="E100" s="116" t="s">
        <v>688</v>
      </c>
      <c r="F100" s="115" t="s">
        <v>6</v>
      </c>
      <c r="G100" s="115" t="s">
        <v>691</v>
      </c>
      <c r="H100" s="115" t="s">
        <v>1</v>
      </c>
      <c r="I100" s="115" t="s">
        <v>2</v>
      </c>
      <c r="J100" s="116" t="s">
        <v>463</v>
      </c>
      <c r="K100" s="117">
        <v>21855</v>
      </c>
      <c r="L100" s="118">
        <v>1959</v>
      </c>
      <c r="M100" s="118">
        <f t="shared" ref="M100:M131" si="7">2019-L100</f>
        <v>60</v>
      </c>
      <c r="N100" s="115" t="s">
        <v>3</v>
      </c>
      <c r="O100" s="115" t="s">
        <v>464</v>
      </c>
      <c r="P100" s="116" t="s">
        <v>465</v>
      </c>
      <c r="Q100" s="115"/>
      <c r="R100" s="116" t="s">
        <v>508</v>
      </c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</row>
    <row r="101" spans="1:46" s="71" customFormat="1" ht="25.5" hidden="1">
      <c r="A101" s="81"/>
      <c r="B101" s="166"/>
      <c r="C101" s="166"/>
      <c r="D101" s="115">
        <v>94</v>
      </c>
      <c r="E101" s="116" t="s">
        <v>82</v>
      </c>
      <c r="F101" s="115" t="s">
        <v>8</v>
      </c>
      <c r="G101" s="115" t="s">
        <v>692</v>
      </c>
      <c r="H101" s="115" t="s">
        <v>7</v>
      </c>
      <c r="I101" s="115" t="s">
        <v>2</v>
      </c>
      <c r="J101" s="116" t="s">
        <v>526</v>
      </c>
      <c r="K101" s="117">
        <v>25414</v>
      </c>
      <c r="L101" s="118">
        <v>1969</v>
      </c>
      <c r="M101" s="118">
        <f t="shared" si="7"/>
        <v>50</v>
      </c>
      <c r="N101" s="115" t="s">
        <v>3</v>
      </c>
      <c r="O101" s="115" t="s">
        <v>464</v>
      </c>
      <c r="P101" s="116" t="s">
        <v>465</v>
      </c>
      <c r="Q101" s="115"/>
      <c r="R101" s="116" t="s">
        <v>508</v>
      </c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</row>
    <row r="102" spans="1:46" s="71" customFormat="1" ht="25.5" hidden="1">
      <c r="A102" s="81"/>
      <c r="B102" s="166"/>
      <c r="C102" s="166"/>
      <c r="D102" s="115">
        <v>95</v>
      </c>
      <c r="E102" s="116" t="s">
        <v>689</v>
      </c>
      <c r="F102" s="115" t="s">
        <v>11</v>
      </c>
      <c r="G102" s="115" t="s">
        <v>693</v>
      </c>
      <c r="H102" s="115" t="s">
        <v>1</v>
      </c>
      <c r="I102" s="115" t="s">
        <v>9</v>
      </c>
      <c r="J102" s="116" t="s">
        <v>463</v>
      </c>
      <c r="K102" s="117">
        <v>31343</v>
      </c>
      <c r="L102" s="118">
        <v>1985</v>
      </c>
      <c r="M102" s="118">
        <f t="shared" si="7"/>
        <v>34</v>
      </c>
      <c r="N102" s="115" t="s">
        <v>3</v>
      </c>
      <c r="O102" s="115" t="s">
        <v>464</v>
      </c>
      <c r="P102" s="116" t="s">
        <v>670</v>
      </c>
      <c r="Q102" s="115"/>
      <c r="R102" s="116" t="s">
        <v>24</v>
      </c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</row>
    <row r="103" spans="1:46" s="71" customFormat="1" ht="25.5" hidden="1">
      <c r="A103" s="81"/>
      <c r="B103" s="166"/>
      <c r="C103" s="166"/>
      <c r="D103" s="115">
        <v>96</v>
      </c>
      <c r="E103" s="116" t="s">
        <v>63</v>
      </c>
      <c r="F103" s="115" t="s">
        <v>11</v>
      </c>
      <c r="G103" s="115" t="s">
        <v>694</v>
      </c>
      <c r="H103" s="115" t="s">
        <v>1</v>
      </c>
      <c r="I103" s="115" t="s">
        <v>9</v>
      </c>
      <c r="J103" s="116" t="s">
        <v>463</v>
      </c>
      <c r="K103" s="117">
        <v>32190</v>
      </c>
      <c r="L103" s="118">
        <v>1988</v>
      </c>
      <c r="M103" s="118">
        <f t="shared" si="7"/>
        <v>31</v>
      </c>
      <c r="N103" s="115" t="s">
        <v>3</v>
      </c>
      <c r="O103" s="115" t="s">
        <v>464</v>
      </c>
      <c r="P103" s="116" t="s">
        <v>670</v>
      </c>
      <c r="Q103" s="115"/>
      <c r="R103" s="116" t="s">
        <v>471</v>
      </c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</row>
    <row r="104" spans="1:46" s="71" customFormat="1" ht="25.5" hidden="1">
      <c r="A104" s="81"/>
      <c r="B104" s="167"/>
      <c r="C104" s="167"/>
      <c r="D104" s="115">
        <v>97</v>
      </c>
      <c r="E104" s="116" t="s">
        <v>690</v>
      </c>
      <c r="F104" s="115" t="s">
        <v>11</v>
      </c>
      <c r="G104" s="115" t="s">
        <v>695</v>
      </c>
      <c r="H104" s="115" t="s">
        <v>7</v>
      </c>
      <c r="I104" s="115" t="s">
        <v>9</v>
      </c>
      <c r="J104" s="116" t="s">
        <v>696</v>
      </c>
      <c r="K104" s="117">
        <v>35623</v>
      </c>
      <c r="L104" s="118">
        <v>1997</v>
      </c>
      <c r="M104" s="118">
        <f t="shared" si="7"/>
        <v>22</v>
      </c>
      <c r="N104" s="115" t="s">
        <v>3</v>
      </c>
      <c r="O104" s="115" t="s">
        <v>464</v>
      </c>
      <c r="P104" s="116" t="s">
        <v>516</v>
      </c>
      <c r="Q104" s="115"/>
      <c r="R104" s="116" t="s">
        <v>469</v>
      </c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</row>
    <row r="105" spans="1:46" s="71" customFormat="1" ht="25.5" hidden="1">
      <c r="A105" s="81"/>
      <c r="B105" s="165">
        <v>39</v>
      </c>
      <c r="C105" s="168" t="s">
        <v>697</v>
      </c>
      <c r="D105" s="115">
        <v>98</v>
      </c>
      <c r="E105" s="116" t="s">
        <v>698</v>
      </c>
      <c r="F105" s="115" t="s">
        <v>6</v>
      </c>
      <c r="G105" s="115" t="s">
        <v>702</v>
      </c>
      <c r="H105" s="115" t="s">
        <v>1</v>
      </c>
      <c r="I105" s="115" t="s">
        <v>2</v>
      </c>
      <c r="J105" s="116" t="s">
        <v>463</v>
      </c>
      <c r="K105" s="117">
        <v>24107</v>
      </c>
      <c r="L105" s="118">
        <v>1965</v>
      </c>
      <c r="M105" s="118">
        <f t="shared" si="7"/>
        <v>54</v>
      </c>
      <c r="N105" s="115" t="s">
        <v>3</v>
      </c>
      <c r="O105" s="115" t="s">
        <v>464</v>
      </c>
      <c r="P105" s="116" t="s">
        <v>465</v>
      </c>
      <c r="Q105" s="115"/>
      <c r="R105" s="116" t="s">
        <v>684</v>
      </c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</row>
    <row r="106" spans="1:46" s="71" customFormat="1" ht="25.5" hidden="1">
      <c r="A106" s="81"/>
      <c r="B106" s="166"/>
      <c r="C106" s="168"/>
      <c r="D106" s="115">
        <v>99</v>
      </c>
      <c r="E106" s="116" t="s">
        <v>699</v>
      </c>
      <c r="F106" s="115" t="s">
        <v>8</v>
      </c>
      <c r="G106" s="115" t="s">
        <v>703</v>
      </c>
      <c r="H106" s="115" t="s">
        <v>7</v>
      </c>
      <c r="I106" s="115" t="s">
        <v>2</v>
      </c>
      <c r="J106" s="116" t="s">
        <v>463</v>
      </c>
      <c r="K106" s="117">
        <v>25933</v>
      </c>
      <c r="L106" s="118">
        <v>1970</v>
      </c>
      <c r="M106" s="118">
        <f t="shared" si="7"/>
        <v>49</v>
      </c>
      <c r="N106" s="115" t="s">
        <v>3</v>
      </c>
      <c r="O106" s="115" t="s">
        <v>464</v>
      </c>
      <c r="P106" s="116" t="s">
        <v>468</v>
      </c>
      <c r="Q106" s="115"/>
      <c r="R106" s="116" t="s">
        <v>508</v>
      </c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</row>
    <row r="107" spans="1:46" s="71" customFormat="1" hidden="1">
      <c r="A107" s="81"/>
      <c r="B107" s="166"/>
      <c r="C107" s="168"/>
      <c r="D107" s="115">
        <v>100</v>
      </c>
      <c r="E107" s="116" t="s">
        <v>700</v>
      </c>
      <c r="F107" s="115" t="s">
        <v>11</v>
      </c>
      <c r="G107" s="115" t="s">
        <v>704</v>
      </c>
      <c r="H107" s="115" t="s">
        <v>1</v>
      </c>
      <c r="I107" s="115" t="s">
        <v>9</v>
      </c>
      <c r="J107" s="116" t="s">
        <v>463</v>
      </c>
      <c r="K107" s="117">
        <v>33757</v>
      </c>
      <c r="L107" s="118">
        <v>1992</v>
      </c>
      <c r="M107" s="118">
        <f t="shared" si="7"/>
        <v>27</v>
      </c>
      <c r="N107" s="115" t="s">
        <v>3</v>
      </c>
      <c r="O107" s="115" t="s">
        <v>464</v>
      </c>
      <c r="P107" s="116" t="s">
        <v>474</v>
      </c>
      <c r="Q107" s="115"/>
      <c r="R107" s="116" t="s">
        <v>24</v>
      </c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</row>
    <row r="108" spans="1:46" s="71" customFormat="1" ht="25.5" hidden="1">
      <c r="A108" s="81"/>
      <c r="B108" s="167"/>
      <c r="C108" s="168"/>
      <c r="D108" s="115">
        <v>101</v>
      </c>
      <c r="E108" s="116" t="s">
        <v>701</v>
      </c>
      <c r="F108" s="115" t="s">
        <v>11</v>
      </c>
      <c r="G108" s="115" t="s">
        <v>705</v>
      </c>
      <c r="H108" s="115" t="s">
        <v>1</v>
      </c>
      <c r="I108" s="115" t="s">
        <v>9</v>
      </c>
      <c r="J108" s="116" t="s">
        <v>463</v>
      </c>
      <c r="K108" s="117">
        <v>36525</v>
      </c>
      <c r="L108" s="118">
        <v>1999</v>
      </c>
      <c r="M108" s="118">
        <f t="shared" si="7"/>
        <v>20</v>
      </c>
      <c r="N108" s="115" t="s">
        <v>3</v>
      </c>
      <c r="O108" s="115" t="s">
        <v>464</v>
      </c>
      <c r="P108" s="116" t="s">
        <v>468</v>
      </c>
      <c r="Q108" s="115"/>
      <c r="R108" s="116" t="s">
        <v>469</v>
      </c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</row>
    <row r="109" spans="1:46" s="71" customFormat="1" ht="25.5" hidden="1">
      <c r="A109" s="81"/>
      <c r="B109" s="165">
        <v>30</v>
      </c>
      <c r="C109" s="168" t="s">
        <v>827</v>
      </c>
      <c r="D109" s="115">
        <v>102</v>
      </c>
      <c r="E109" s="116" t="s">
        <v>828</v>
      </c>
      <c r="F109" s="115" t="s">
        <v>6</v>
      </c>
      <c r="G109" s="115" t="s">
        <v>831</v>
      </c>
      <c r="H109" s="115" t="s">
        <v>1</v>
      </c>
      <c r="I109" s="115" t="s">
        <v>2</v>
      </c>
      <c r="J109" s="116" t="s">
        <v>463</v>
      </c>
      <c r="K109" s="117">
        <v>24837</v>
      </c>
      <c r="L109" s="118">
        <v>1967</v>
      </c>
      <c r="M109" s="118">
        <f t="shared" si="7"/>
        <v>52</v>
      </c>
      <c r="N109" s="115" t="s">
        <v>3</v>
      </c>
      <c r="O109" s="115" t="s">
        <v>464</v>
      </c>
      <c r="P109" s="116" t="s">
        <v>670</v>
      </c>
      <c r="Q109" s="115"/>
      <c r="R109" s="116" t="s">
        <v>776</v>
      </c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</row>
    <row r="110" spans="1:46" s="71" customFormat="1" ht="38.25" hidden="1">
      <c r="A110" s="81"/>
      <c r="B110" s="166"/>
      <c r="C110" s="168"/>
      <c r="D110" s="115">
        <v>103</v>
      </c>
      <c r="E110" s="116" t="s">
        <v>829</v>
      </c>
      <c r="F110" s="115" t="s">
        <v>8</v>
      </c>
      <c r="G110" s="115" t="s">
        <v>832</v>
      </c>
      <c r="H110" s="115" t="s">
        <v>7</v>
      </c>
      <c r="I110" s="115" t="s">
        <v>2</v>
      </c>
      <c r="J110" s="116" t="s">
        <v>809</v>
      </c>
      <c r="K110" s="117">
        <v>30164</v>
      </c>
      <c r="L110" s="118">
        <v>1982</v>
      </c>
      <c r="M110" s="118">
        <f t="shared" si="7"/>
        <v>37</v>
      </c>
      <c r="N110" s="115" t="s">
        <v>3</v>
      </c>
      <c r="O110" s="115" t="s">
        <v>464</v>
      </c>
      <c r="P110" s="116" t="s">
        <v>516</v>
      </c>
      <c r="Q110" s="115"/>
      <c r="R110" s="116" t="s">
        <v>467</v>
      </c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</row>
    <row r="111" spans="1:46" s="71" customFormat="1" ht="25.5" hidden="1">
      <c r="A111" s="81"/>
      <c r="B111" s="167"/>
      <c r="C111" s="168"/>
      <c r="D111" s="115">
        <v>104</v>
      </c>
      <c r="E111" s="116" t="s">
        <v>830</v>
      </c>
      <c r="F111" s="115" t="s">
        <v>11</v>
      </c>
      <c r="G111" s="115" t="s">
        <v>833</v>
      </c>
      <c r="H111" s="115" t="s">
        <v>7</v>
      </c>
      <c r="I111" s="115" t="s">
        <v>9</v>
      </c>
      <c r="J111" s="116" t="s">
        <v>463</v>
      </c>
      <c r="K111" s="117">
        <v>37779</v>
      </c>
      <c r="L111" s="118">
        <v>2003</v>
      </c>
      <c r="M111" s="118">
        <f t="shared" si="7"/>
        <v>16</v>
      </c>
      <c r="N111" s="115" t="s">
        <v>3</v>
      </c>
      <c r="O111" s="115" t="s">
        <v>464</v>
      </c>
      <c r="P111" s="116" t="s">
        <v>474</v>
      </c>
      <c r="Q111" s="115"/>
      <c r="R111" s="116" t="s">
        <v>469</v>
      </c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</row>
    <row r="112" spans="1:46" s="71" customFormat="1" ht="25.5" hidden="1">
      <c r="A112" s="81"/>
      <c r="B112" s="165">
        <v>31</v>
      </c>
      <c r="C112" s="165" t="s">
        <v>494</v>
      </c>
      <c r="D112" s="115">
        <v>105</v>
      </c>
      <c r="E112" s="116" t="s">
        <v>834</v>
      </c>
      <c r="F112" s="115" t="s">
        <v>6</v>
      </c>
      <c r="G112" s="115" t="s">
        <v>837</v>
      </c>
      <c r="H112" s="115" t="s">
        <v>1</v>
      </c>
      <c r="I112" s="115" t="s">
        <v>2</v>
      </c>
      <c r="J112" s="116" t="s">
        <v>463</v>
      </c>
      <c r="K112" s="117">
        <v>24759</v>
      </c>
      <c r="L112" s="118">
        <v>1967</v>
      </c>
      <c r="M112" s="118">
        <f t="shared" si="7"/>
        <v>52</v>
      </c>
      <c r="N112" s="115" t="s">
        <v>3</v>
      </c>
      <c r="O112" s="115" t="s">
        <v>464</v>
      </c>
      <c r="P112" s="116" t="s">
        <v>465</v>
      </c>
      <c r="Q112" s="115"/>
      <c r="R112" s="116" t="s">
        <v>480</v>
      </c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</row>
    <row r="113" spans="1:46" s="71" customFormat="1" ht="25.5" hidden="1">
      <c r="A113" s="81"/>
      <c r="B113" s="166"/>
      <c r="C113" s="166"/>
      <c r="D113" s="115">
        <v>106</v>
      </c>
      <c r="E113" s="116" t="s">
        <v>835</v>
      </c>
      <c r="F113" s="115" t="s">
        <v>8</v>
      </c>
      <c r="G113" s="115" t="s">
        <v>838</v>
      </c>
      <c r="H113" s="115" t="s">
        <v>7</v>
      </c>
      <c r="I113" s="115" t="s">
        <v>2</v>
      </c>
      <c r="J113" s="116" t="s">
        <v>463</v>
      </c>
      <c r="K113" s="117">
        <v>26653</v>
      </c>
      <c r="L113" s="118">
        <v>1972</v>
      </c>
      <c r="M113" s="118">
        <f t="shared" si="7"/>
        <v>47</v>
      </c>
      <c r="N113" s="115" t="s">
        <v>3</v>
      </c>
      <c r="O113" s="115" t="s">
        <v>464</v>
      </c>
      <c r="P113" s="116" t="s">
        <v>465</v>
      </c>
      <c r="Q113" s="115"/>
      <c r="R113" s="116" t="s">
        <v>475</v>
      </c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</row>
    <row r="114" spans="1:46" s="71" customFormat="1" ht="25.5" hidden="1">
      <c r="A114" s="81"/>
      <c r="B114" s="166"/>
      <c r="C114" s="166"/>
      <c r="D114" s="115">
        <v>107</v>
      </c>
      <c r="E114" s="116" t="s">
        <v>75</v>
      </c>
      <c r="F114" s="115" t="s">
        <v>11</v>
      </c>
      <c r="G114" s="115" t="s">
        <v>839</v>
      </c>
      <c r="H114" s="115" t="s">
        <v>1</v>
      </c>
      <c r="I114" s="115" t="s">
        <v>9</v>
      </c>
      <c r="J114" s="116" t="s">
        <v>463</v>
      </c>
      <c r="K114" s="117">
        <v>33608</v>
      </c>
      <c r="L114" s="118">
        <v>1992</v>
      </c>
      <c r="M114" s="118">
        <f t="shared" si="7"/>
        <v>27</v>
      </c>
      <c r="N114" s="115" t="s">
        <v>3</v>
      </c>
      <c r="O114" s="115" t="s">
        <v>464</v>
      </c>
      <c r="P114" s="116" t="s">
        <v>465</v>
      </c>
      <c r="Q114" s="115"/>
      <c r="R114" s="116" t="s">
        <v>466</v>
      </c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</row>
    <row r="115" spans="1:46" s="71" customFormat="1" ht="25.5" hidden="1">
      <c r="A115" s="81"/>
      <c r="B115" s="167"/>
      <c r="C115" s="167"/>
      <c r="D115" s="115">
        <v>108</v>
      </c>
      <c r="E115" s="116" t="s">
        <v>836</v>
      </c>
      <c r="F115" s="115" t="s">
        <v>11</v>
      </c>
      <c r="G115" s="115" t="s">
        <v>840</v>
      </c>
      <c r="H115" s="115" t="s">
        <v>7</v>
      </c>
      <c r="I115" s="115" t="s">
        <v>9</v>
      </c>
      <c r="J115" s="116" t="s">
        <v>463</v>
      </c>
      <c r="K115" s="117">
        <v>36590</v>
      </c>
      <c r="L115" s="118">
        <v>2000</v>
      </c>
      <c r="M115" s="118">
        <f t="shared" si="7"/>
        <v>19</v>
      </c>
      <c r="N115" s="115" t="s">
        <v>3</v>
      </c>
      <c r="O115" s="115" t="s">
        <v>464</v>
      </c>
      <c r="P115" s="116" t="s">
        <v>474</v>
      </c>
      <c r="Q115" s="115"/>
      <c r="R115" s="116" t="s">
        <v>469</v>
      </c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</row>
    <row r="116" spans="1:46" s="115" customFormat="1" ht="25.5" hidden="1">
      <c r="A116" s="113"/>
      <c r="B116" s="165">
        <v>32</v>
      </c>
      <c r="C116" s="165" t="s">
        <v>784</v>
      </c>
      <c r="D116" s="115">
        <v>109</v>
      </c>
      <c r="E116" s="116" t="s">
        <v>858</v>
      </c>
      <c r="F116" s="115" t="s">
        <v>6</v>
      </c>
      <c r="G116" s="115" t="s">
        <v>861</v>
      </c>
      <c r="H116" s="115" t="s">
        <v>7</v>
      </c>
      <c r="I116" s="115" t="s">
        <v>2</v>
      </c>
      <c r="J116" s="116" t="s">
        <v>791</v>
      </c>
      <c r="K116" s="117">
        <v>25203</v>
      </c>
      <c r="L116" s="118">
        <v>1968</v>
      </c>
      <c r="M116" s="118">
        <f t="shared" si="7"/>
        <v>51</v>
      </c>
      <c r="N116" s="115" t="s">
        <v>3</v>
      </c>
      <c r="O116" s="115" t="s">
        <v>464</v>
      </c>
      <c r="P116" s="116" t="s">
        <v>516</v>
      </c>
      <c r="R116" s="116" t="s">
        <v>475</v>
      </c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  <c r="AM116" s="113"/>
      <c r="AN116" s="113"/>
      <c r="AO116" s="113"/>
      <c r="AP116" s="113"/>
      <c r="AQ116" s="113"/>
      <c r="AR116" s="113"/>
      <c r="AS116" s="113"/>
      <c r="AT116" s="113"/>
    </row>
    <row r="117" spans="1:46" s="115" customFormat="1" ht="25.5" hidden="1">
      <c r="A117" s="113"/>
      <c r="B117" s="167"/>
      <c r="C117" s="167"/>
      <c r="D117" s="115">
        <v>110</v>
      </c>
      <c r="E117" s="116" t="s">
        <v>787</v>
      </c>
      <c r="F117" s="115" t="s">
        <v>11</v>
      </c>
      <c r="G117" s="115" t="s">
        <v>863</v>
      </c>
      <c r="H117" s="115" t="s">
        <v>7</v>
      </c>
      <c r="I117" s="115" t="s">
        <v>27</v>
      </c>
      <c r="J117" s="116" t="s">
        <v>792</v>
      </c>
      <c r="K117" s="117">
        <v>34248</v>
      </c>
      <c r="L117" s="118">
        <v>1993</v>
      </c>
      <c r="M117" s="118">
        <f t="shared" si="7"/>
        <v>26</v>
      </c>
      <c r="N117" s="115" t="s">
        <v>3</v>
      </c>
      <c r="O117" s="115" t="s">
        <v>464</v>
      </c>
      <c r="P117" s="116" t="s">
        <v>516</v>
      </c>
      <c r="R117" s="116" t="s">
        <v>864</v>
      </c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  <c r="AM117" s="113"/>
      <c r="AN117" s="113"/>
      <c r="AO117" s="113"/>
      <c r="AP117" s="113"/>
      <c r="AQ117" s="113"/>
      <c r="AR117" s="113"/>
      <c r="AS117" s="113"/>
      <c r="AT117" s="113"/>
    </row>
    <row r="118" spans="1:46" ht="25.5" hidden="1">
      <c r="B118" s="165">
        <v>33</v>
      </c>
      <c r="C118" s="165" t="s">
        <v>924</v>
      </c>
      <c r="D118" s="115">
        <v>111</v>
      </c>
      <c r="E118" s="116" t="s">
        <v>31</v>
      </c>
      <c r="F118" s="115" t="s">
        <v>6</v>
      </c>
      <c r="G118" s="115" t="s">
        <v>927</v>
      </c>
      <c r="H118" s="115" t="s">
        <v>1</v>
      </c>
      <c r="I118" s="115" t="s">
        <v>2</v>
      </c>
      <c r="J118" s="116" t="s">
        <v>484</v>
      </c>
      <c r="K118" s="117">
        <v>25871</v>
      </c>
      <c r="L118" s="118">
        <v>1970</v>
      </c>
      <c r="M118" s="115">
        <f t="shared" si="7"/>
        <v>49</v>
      </c>
      <c r="N118" s="115" t="s">
        <v>3</v>
      </c>
      <c r="O118" s="116" t="s">
        <v>464</v>
      </c>
      <c r="P118" s="116" t="s">
        <v>465</v>
      </c>
      <c r="Q118" s="116"/>
      <c r="R118" s="116" t="s">
        <v>480</v>
      </c>
    </row>
    <row r="119" spans="1:46" ht="25.5" hidden="1">
      <c r="B119" s="166"/>
      <c r="C119" s="166"/>
      <c r="D119" s="115">
        <v>112</v>
      </c>
      <c r="E119" s="116" t="s">
        <v>925</v>
      </c>
      <c r="F119" s="115" t="s">
        <v>8</v>
      </c>
      <c r="G119" s="115" t="s">
        <v>928</v>
      </c>
      <c r="H119" s="115" t="s">
        <v>7</v>
      </c>
      <c r="I119" s="115" t="s">
        <v>2</v>
      </c>
      <c r="J119" s="116" t="s">
        <v>484</v>
      </c>
      <c r="K119" s="117">
        <v>26846</v>
      </c>
      <c r="L119" s="118">
        <v>1973</v>
      </c>
      <c r="M119" s="115">
        <f t="shared" si="7"/>
        <v>46</v>
      </c>
      <c r="N119" s="115" t="s">
        <v>3</v>
      </c>
      <c r="O119" s="116" t="s">
        <v>464</v>
      </c>
      <c r="P119" s="116" t="s">
        <v>465</v>
      </c>
      <c r="Q119" s="116"/>
      <c r="R119" s="116" t="s">
        <v>480</v>
      </c>
    </row>
    <row r="120" spans="1:46" hidden="1">
      <c r="B120" s="166"/>
      <c r="C120" s="166"/>
      <c r="D120" s="115">
        <v>113</v>
      </c>
      <c r="E120" s="116" t="s">
        <v>275</v>
      </c>
      <c r="F120" s="115" t="s">
        <v>11</v>
      </c>
      <c r="G120" s="115" t="s">
        <v>929</v>
      </c>
      <c r="H120" s="115" t="s">
        <v>7</v>
      </c>
      <c r="I120" s="115" t="s">
        <v>9</v>
      </c>
      <c r="J120" s="116" t="s">
        <v>484</v>
      </c>
      <c r="K120" s="117">
        <v>32383</v>
      </c>
      <c r="L120" s="118">
        <v>1988</v>
      </c>
      <c r="M120" s="115">
        <f t="shared" si="7"/>
        <v>31</v>
      </c>
      <c r="N120" s="115" t="s">
        <v>3</v>
      </c>
      <c r="O120" s="116" t="s">
        <v>464</v>
      </c>
      <c r="P120" s="116" t="s">
        <v>474</v>
      </c>
      <c r="Q120" s="116"/>
      <c r="R120" s="116" t="s">
        <v>466</v>
      </c>
    </row>
    <row r="121" spans="1:46" ht="25.5" hidden="1">
      <c r="B121" s="166"/>
      <c r="C121" s="166"/>
      <c r="D121" s="115">
        <v>114</v>
      </c>
      <c r="E121" s="116" t="s">
        <v>926</v>
      </c>
      <c r="F121" s="115" t="s">
        <v>11</v>
      </c>
      <c r="G121" s="115" t="s">
        <v>930</v>
      </c>
      <c r="H121" s="115" t="s">
        <v>7</v>
      </c>
      <c r="I121" s="115" t="s">
        <v>9</v>
      </c>
      <c r="J121" s="116" t="s">
        <v>484</v>
      </c>
      <c r="K121" s="117">
        <v>33055</v>
      </c>
      <c r="L121" s="118">
        <v>1990</v>
      </c>
      <c r="M121" s="115">
        <f t="shared" si="7"/>
        <v>29</v>
      </c>
      <c r="N121" s="115" t="s">
        <v>3</v>
      </c>
      <c r="O121" s="116" t="s">
        <v>464</v>
      </c>
      <c r="P121" s="116" t="s">
        <v>474</v>
      </c>
      <c r="Q121" s="116"/>
      <c r="R121" s="116" t="s">
        <v>471</v>
      </c>
    </row>
    <row r="122" spans="1:46" ht="25.5" hidden="1">
      <c r="B122" s="167"/>
      <c r="C122" s="167"/>
      <c r="D122" s="115">
        <v>115</v>
      </c>
      <c r="E122" s="116" t="s">
        <v>62</v>
      </c>
      <c r="F122" s="115" t="s">
        <v>11</v>
      </c>
      <c r="G122" s="115" t="s">
        <v>931</v>
      </c>
      <c r="H122" s="115" t="s">
        <v>1</v>
      </c>
      <c r="I122" s="115" t="s">
        <v>9</v>
      </c>
      <c r="J122" s="116" t="s">
        <v>484</v>
      </c>
      <c r="K122" s="117">
        <v>36400</v>
      </c>
      <c r="L122" s="118">
        <v>1999</v>
      </c>
      <c r="M122" s="115">
        <f t="shared" si="7"/>
        <v>20</v>
      </c>
      <c r="N122" s="115" t="s">
        <v>3</v>
      </c>
      <c r="O122" s="116" t="s">
        <v>464</v>
      </c>
      <c r="P122" s="116" t="s">
        <v>465</v>
      </c>
      <c r="Q122" s="116"/>
      <c r="R122" s="116" t="s">
        <v>469</v>
      </c>
    </row>
    <row r="123" spans="1:46" ht="25.5" hidden="1">
      <c r="B123" s="165">
        <v>34</v>
      </c>
      <c r="C123" s="165" t="s">
        <v>932</v>
      </c>
      <c r="D123" s="115">
        <v>116</v>
      </c>
      <c r="E123" s="116" t="s">
        <v>934</v>
      </c>
      <c r="F123" s="115" t="s">
        <v>6</v>
      </c>
      <c r="G123" s="115" t="s">
        <v>935</v>
      </c>
      <c r="H123" s="115" t="s">
        <v>1</v>
      </c>
      <c r="I123" s="115" t="s">
        <v>477</v>
      </c>
      <c r="J123" s="116" t="s">
        <v>937</v>
      </c>
      <c r="K123" s="117">
        <v>22828</v>
      </c>
      <c r="L123" s="118">
        <v>1962</v>
      </c>
      <c r="M123" s="115">
        <f t="shared" si="7"/>
        <v>57</v>
      </c>
      <c r="N123" s="115" t="s">
        <v>3</v>
      </c>
      <c r="O123" s="116" t="s">
        <v>464</v>
      </c>
      <c r="P123" s="116" t="s">
        <v>465</v>
      </c>
      <c r="Q123" s="116"/>
      <c r="R123" s="116" t="s">
        <v>480</v>
      </c>
    </row>
    <row r="124" spans="1:46" ht="25.5" hidden="1">
      <c r="B124" s="167"/>
      <c r="C124" s="167"/>
      <c r="D124" s="115">
        <v>117</v>
      </c>
      <c r="E124" s="116" t="s">
        <v>933</v>
      </c>
      <c r="F124" s="115" t="s">
        <v>11</v>
      </c>
      <c r="G124" s="115" t="s">
        <v>936</v>
      </c>
      <c r="H124" s="115" t="s">
        <v>1</v>
      </c>
      <c r="I124" s="115" t="s">
        <v>9</v>
      </c>
      <c r="J124" s="116" t="s">
        <v>938</v>
      </c>
      <c r="K124" s="117">
        <v>36149</v>
      </c>
      <c r="L124" s="118">
        <v>1998</v>
      </c>
      <c r="M124" s="118">
        <f t="shared" si="7"/>
        <v>21</v>
      </c>
      <c r="N124" s="115" t="s">
        <v>3</v>
      </c>
      <c r="O124" s="115" t="s">
        <v>464</v>
      </c>
      <c r="P124" s="116" t="s">
        <v>474</v>
      </c>
      <c r="Q124" s="115"/>
      <c r="R124" s="116" t="s">
        <v>469</v>
      </c>
    </row>
    <row r="125" spans="1:46" ht="25.5" hidden="1">
      <c r="B125" s="165">
        <v>35</v>
      </c>
      <c r="C125" s="165" t="s">
        <v>939</v>
      </c>
      <c r="D125" s="115">
        <v>118</v>
      </c>
      <c r="E125" s="116" t="s">
        <v>940</v>
      </c>
      <c r="F125" s="115" t="s">
        <v>6</v>
      </c>
      <c r="G125" s="115" t="s">
        <v>943</v>
      </c>
      <c r="H125" s="115" t="s">
        <v>1</v>
      </c>
      <c r="I125" s="115" t="s">
        <v>2</v>
      </c>
      <c r="J125" s="116" t="s">
        <v>463</v>
      </c>
      <c r="K125" s="117">
        <v>32325</v>
      </c>
      <c r="L125" s="118">
        <v>1988</v>
      </c>
      <c r="M125" s="118">
        <f t="shared" si="7"/>
        <v>31</v>
      </c>
      <c r="N125" s="115" t="s">
        <v>3</v>
      </c>
      <c r="O125" s="115" t="s">
        <v>464</v>
      </c>
      <c r="P125" s="116" t="s">
        <v>468</v>
      </c>
      <c r="Q125" s="115"/>
      <c r="R125" s="116" t="s">
        <v>480</v>
      </c>
    </row>
    <row r="126" spans="1:46" ht="38.25" hidden="1">
      <c r="B126" s="166"/>
      <c r="C126" s="166"/>
      <c r="D126" s="115">
        <v>119</v>
      </c>
      <c r="E126" s="116" t="s">
        <v>941</v>
      </c>
      <c r="F126" s="115" t="s">
        <v>8</v>
      </c>
      <c r="G126" s="115" t="s">
        <v>944</v>
      </c>
      <c r="H126" s="115" t="s">
        <v>7</v>
      </c>
      <c r="I126" s="115" t="s">
        <v>2</v>
      </c>
      <c r="J126" s="116" t="s">
        <v>946</v>
      </c>
      <c r="K126" s="117">
        <v>32695</v>
      </c>
      <c r="L126" s="118">
        <v>1989</v>
      </c>
      <c r="M126" s="118">
        <f t="shared" si="7"/>
        <v>30</v>
      </c>
      <c r="N126" s="115" t="s">
        <v>3</v>
      </c>
      <c r="O126" s="115" t="s">
        <v>464</v>
      </c>
      <c r="P126" s="116" t="s">
        <v>516</v>
      </c>
      <c r="Q126" s="115"/>
      <c r="R126" s="116" t="s">
        <v>467</v>
      </c>
    </row>
    <row r="127" spans="1:46" ht="25.5" hidden="1">
      <c r="B127" s="167"/>
      <c r="C127" s="167"/>
      <c r="D127" s="115">
        <v>120</v>
      </c>
      <c r="E127" s="116" t="s">
        <v>942</v>
      </c>
      <c r="F127" s="115" t="s">
        <v>11</v>
      </c>
      <c r="G127" s="115" t="s">
        <v>945</v>
      </c>
      <c r="H127" s="115" t="s">
        <v>7</v>
      </c>
      <c r="I127" s="115" t="s">
        <v>9</v>
      </c>
      <c r="J127" s="116" t="s">
        <v>463</v>
      </c>
      <c r="K127" s="117">
        <v>41181</v>
      </c>
      <c r="L127" s="118">
        <v>2012</v>
      </c>
      <c r="M127" s="118">
        <f t="shared" si="7"/>
        <v>7</v>
      </c>
      <c r="N127" s="115" t="s">
        <v>3</v>
      </c>
      <c r="O127" s="115" t="s">
        <v>464</v>
      </c>
      <c r="P127" s="116" t="s">
        <v>470</v>
      </c>
      <c r="Q127" s="115"/>
      <c r="R127" s="116" t="s">
        <v>471</v>
      </c>
    </row>
    <row r="128" spans="1:46" ht="25.5">
      <c r="B128" s="165">
        <v>36</v>
      </c>
      <c r="C128" s="165">
        <v>520101</v>
      </c>
      <c r="D128" s="115">
        <v>121</v>
      </c>
      <c r="E128" s="116" t="s">
        <v>947</v>
      </c>
      <c r="F128" s="115" t="s">
        <v>6</v>
      </c>
      <c r="G128" s="115" t="s">
        <v>949</v>
      </c>
      <c r="H128" s="115" t="s">
        <v>1</v>
      </c>
      <c r="I128" s="115" t="s">
        <v>2</v>
      </c>
      <c r="J128" s="116" t="s">
        <v>484</v>
      </c>
      <c r="K128" s="117">
        <v>21915</v>
      </c>
      <c r="L128" s="118">
        <v>1959</v>
      </c>
      <c r="M128" s="118">
        <f t="shared" si="7"/>
        <v>60</v>
      </c>
      <c r="N128" s="115" t="s">
        <v>3</v>
      </c>
      <c r="O128" s="115" t="s">
        <v>464</v>
      </c>
      <c r="P128" s="116" t="s">
        <v>465</v>
      </c>
      <c r="Q128" s="115"/>
      <c r="R128" s="116" t="s">
        <v>480</v>
      </c>
    </row>
    <row r="129" spans="2:18" ht="25.5">
      <c r="B129" s="166"/>
      <c r="C129" s="166"/>
      <c r="D129" s="115">
        <v>122</v>
      </c>
      <c r="E129" s="116" t="s">
        <v>948</v>
      </c>
      <c r="F129" s="115" t="s">
        <v>8</v>
      </c>
      <c r="G129" s="115" t="s">
        <v>950</v>
      </c>
      <c r="H129" s="115" t="s">
        <v>7</v>
      </c>
      <c r="I129" s="115" t="s">
        <v>2</v>
      </c>
      <c r="J129" s="116" t="s">
        <v>484</v>
      </c>
      <c r="K129" s="117">
        <v>21915</v>
      </c>
      <c r="L129" s="118">
        <v>1959</v>
      </c>
      <c r="M129" s="118">
        <f t="shared" si="7"/>
        <v>60</v>
      </c>
      <c r="N129" s="115" t="s">
        <v>3</v>
      </c>
      <c r="O129" s="115" t="s">
        <v>464</v>
      </c>
      <c r="P129" s="116" t="s">
        <v>465</v>
      </c>
      <c r="Q129" s="115"/>
      <c r="R129" s="116" t="s">
        <v>480</v>
      </c>
    </row>
    <row r="130" spans="2:18" ht="25.5" hidden="1">
      <c r="B130" s="167"/>
      <c r="C130" s="167"/>
      <c r="D130" s="115">
        <v>123</v>
      </c>
      <c r="E130" s="116" t="s">
        <v>75</v>
      </c>
      <c r="F130" s="115" t="s">
        <v>11</v>
      </c>
      <c r="G130" s="115" t="s">
        <v>951</v>
      </c>
      <c r="H130" s="115" t="s">
        <v>1</v>
      </c>
      <c r="I130" s="115" t="s">
        <v>9</v>
      </c>
      <c r="J130" s="116" t="s">
        <v>484</v>
      </c>
      <c r="K130" s="117">
        <v>35101</v>
      </c>
      <c r="L130" s="118">
        <v>1996</v>
      </c>
      <c r="M130" s="118">
        <f t="shared" si="7"/>
        <v>23</v>
      </c>
      <c r="N130" s="115" t="s">
        <v>3</v>
      </c>
      <c r="O130" s="115" t="s">
        <v>464</v>
      </c>
      <c r="P130" s="116" t="s">
        <v>474</v>
      </c>
      <c r="Q130" s="115"/>
      <c r="R130" s="116" t="s">
        <v>480</v>
      </c>
    </row>
    <row r="131" spans="2:18" ht="25.5" hidden="1">
      <c r="B131" s="165">
        <v>37</v>
      </c>
      <c r="C131" s="165">
        <v>520101</v>
      </c>
      <c r="D131" s="115">
        <v>124</v>
      </c>
      <c r="E131" s="116" t="s">
        <v>952</v>
      </c>
      <c r="F131" s="115" t="s">
        <v>6</v>
      </c>
      <c r="G131" s="115" t="s">
        <v>954</v>
      </c>
      <c r="H131" s="115" t="s">
        <v>1</v>
      </c>
      <c r="I131" s="115" t="s">
        <v>2</v>
      </c>
      <c r="J131" s="116" t="s">
        <v>484</v>
      </c>
      <c r="K131" s="117">
        <v>25568</v>
      </c>
      <c r="L131" s="118">
        <v>1969</v>
      </c>
      <c r="M131" s="118">
        <f t="shared" si="7"/>
        <v>50</v>
      </c>
      <c r="N131" s="115" t="s">
        <v>3</v>
      </c>
      <c r="O131" s="115" t="s">
        <v>464</v>
      </c>
      <c r="P131" s="116" t="s">
        <v>470</v>
      </c>
      <c r="Q131" s="115"/>
      <c r="R131" s="116" t="s">
        <v>466</v>
      </c>
    </row>
    <row r="132" spans="2:18" ht="25.5">
      <c r="B132" s="166"/>
      <c r="C132" s="166"/>
      <c r="D132" s="115">
        <v>125</v>
      </c>
      <c r="E132" s="116" t="s">
        <v>953</v>
      </c>
      <c r="F132" s="115" t="s">
        <v>8</v>
      </c>
      <c r="G132" s="115" t="s">
        <v>955</v>
      </c>
      <c r="H132" s="115" t="s">
        <v>7</v>
      </c>
      <c r="I132" s="115" t="s">
        <v>2</v>
      </c>
      <c r="J132" s="116" t="s">
        <v>484</v>
      </c>
      <c r="K132" s="117">
        <v>19724</v>
      </c>
      <c r="L132" s="118">
        <v>1953</v>
      </c>
      <c r="M132" s="118">
        <f t="shared" ref="M132:M163" si="8">2019-L132</f>
        <v>66</v>
      </c>
      <c r="N132" s="115" t="s">
        <v>3</v>
      </c>
      <c r="O132" s="115" t="s">
        <v>464</v>
      </c>
      <c r="P132" s="116" t="s">
        <v>470</v>
      </c>
      <c r="Q132" s="115"/>
      <c r="R132" s="116" t="s">
        <v>466</v>
      </c>
    </row>
    <row r="133" spans="2:18" hidden="1">
      <c r="B133" s="167"/>
      <c r="C133" s="167"/>
      <c r="D133" s="115">
        <v>126</v>
      </c>
      <c r="E133" s="116" t="s">
        <v>33</v>
      </c>
      <c r="F133" s="115" t="s">
        <v>11</v>
      </c>
      <c r="G133" s="115" t="s">
        <v>956</v>
      </c>
      <c r="H133" s="115" t="s">
        <v>7</v>
      </c>
      <c r="I133" s="115" t="s">
        <v>9</v>
      </c>
      <c r="J133" s="116" t="s">
        <v>484</v>
      </c>
      <c r="K133" s="117">
        <v>34563</v>
      </c>
      <c r="L133" s="118">
        <v>1994</v>
      </c>
      <c r="M133" s="118">
        <f t="shared" si="8"/>
        <v>25</v>
      </c>
      <c r="N133" s="115" t="s">
        <v>3</v>
      </c>
      <c r="O133" s="115" t="s">
        <v>464</v>
      </c>
      <c r="P133" s="116" t="s">
        <v>516</v>
      </c>
      <c r="Q133" s="115"/>
      <c r="R133" s="116" t="s">
        <v>466</v>
      </c>
    </row>
    <row r="134" spans="2:18" ht="25.5">
      <c r="B134" s="165">
        <v>38</v>
      </c>
      <c r="C134" s="165">
        <v>520101</v>
      </c>
      <c r="D134" s="115">
        <v>127</v>
      </c>
      <c r="E134" s="116" t="s">
        <v>957</v>
      </c>
      <c r="F134" s="115" t="s">
        <v>6</v>
      </c>
      <c r="G134" s="115"/>
      <c r="H134" s="115" t="s">
        <v>1</v>
      </c>
      <c r="I134" s="115" t="s">
        <v>2</v>
      </c>
      <c r="J134" s="116" t="s">
        <v>962</v>
      </c>
      <c r="K134" s="117">
        <v>18609</v>
      </c>
      <c r="L134" s="118">
        <v>1950</v>
      </c>
      <c r="M134" s="118">
        <f t="shared" si="8"/>
        <v>69</v>
      </c>
      <c r="N134" s="115" t="s">
        <v>3</v>
      </c>
      <c r="O134" s="115" t="s">
        <v>464</v>
      </c>
      <c r="P134" s="116" t="s">
        <v>470</v>
      </c>
      <c r="Q134" s="115"/>
      <c r="R134" s="116" t="s">
        <v>480</v>
      </c>
    </row>
    <row r="135" spans="2:18" ht="25.5" hidden="1">
      <c r="B135" s="166"/>
      <c r="C135" s="166"/>
      <c r="D135" s="115">
        <v>128</v>
      </c>
      <c r="E135" s="116" t="s">
        <v>958</v>
      </c>
      <c r="F135" s="115" t="s">
        <v>8</v>
      </c>
      <c r="G135" s="115" t="s">
        <v>961</v>
      </c>
      <c r="H135" s="115" t="s">
        <v>7</v>
      </c>
      <c r="I135" s="115" t="s">
        <v>2</v>
      </c>
      <c r="J135" s="116" t="s">
        <v>937</v>
      </c>
      <c r="K135" s="117">
        <v>25385</v>
      </c>
      <c r="L135" s="118">
        <v>1969</v>
      </c>
      <c r="M135" s="118">
        <f t="shared" si="8"/>
        <v>50</v>
      </c>
      <c r="N135" s="115" t="s">
        <v>3</v>
      </c>
      <c r="O135" s="115" t="s">
        <v>464</v>
      </c>
      <c r="P135" s="116" t="s">
        <v>470</v>
      </c>
      <c r="Q135" s="115"/>
      <c r="R135" s="116" t="s">
        <v>480</v>
      </c>
    </row>
    <row r="136" spans="2:18" ht="25.5" hidden="1">
      <c r="B136" s="166"/>
      <c r="C136" s="166"/>
      <c r="D136" s="115">
        <v>129</v>
      </c>
      <c r="E136" s="116" t="s">
        <v>959</v>
      </c>
      <c r="F136" s="115" t="s">
        <v>11</v>
      </c>
      <c r="G136" s="115"/>
      <c r="H136" s="115" t="s">
        <v>7</v>
      </c>
      <c r="I136" s="115" t="s">
        <v>9</v>
      </c>
      <c r="J136" s="116" t="s">
        <v>963</v>
      </c>
      <c r="K136" s="117">
        <v>39052</v>
      </c>
      <c r="L136" s="118">
        <v>2006</v>
      </c>
      <c r="M136" s="118">
        <f t="shared" si="8"/>
        <v>13</v>
      </c>
      <c r="N136" s="115" t="s">
        <v>3</v>
      </c>
      <c r="O136" s="115" t="s">
        <v>464</v>
      </c>
      <c r="P136" s="116" t="s">
        <v>468</v>
      </c>
      <c r="Q136" s="115"/>
      <c r="R136" s="116" t="s">
        <v>469</v>
      </c>
    </row>
    <row r="137" spans="2:18" ht="25.5" hidden="1">
      <c r="B137" s="167"/>
      <c r="C137" s="167"/>
      <c r="D137" s="115">
        <v>130</v>
      </c>
      <c r="E137" s="116" t="s">
        <v>960</v>
      </c>
      <c r="F137" s="115" t="s">
        <v>11</v>
      </c>
      <c r="G137" s="115"/>
      <c r="H137" s="115" t="s">
        <v>1</v>
      </c>
      <c r="I137" s="115" t="s">
        <v>9</v>
      </c>
      <c r="J137" s="116" t="s">
        <v>963</v>
      </c>
      <c r="K137" s="117">
        <v>39962</v>
      </c>
      <c r="L137" s="118">
        <v>2009</v>
      </c>
      <c r="M137" s="118">
        <f t="shared" si="8"/>
        <v>10</v>
      </c>
      <c r="N137" s="115" t="s">
        <v>3</v>
      </c>
      <c r="O137" s="115" t="s">
        <v>464</v>
      </c>
      <c r="P137" s="116" t="s">
        <v>468</v>
      </c>
      <c r="Q137" s="115"/>
      <c r="R137" s="116" t="s">
        <v>471</v>
      </c>
    </row>
    <row r="138" spans="2:18" ht="38.25" hidden="1">
      <c r="B138" s="165">
        <v>39</v>
      </c>
      <c r="C138" s="165" t="s">
        <v>964</v>
      </c>
      <c r="D138" s="115">
        <v>131</v>
      </c>
      <c r="E138" s="116" t="s">
        <v>965</v>
      </c>
      <c r="F138" s="115" t="s">
        <v>6</v>
      </c>
      <c r="G138" s="115" t="s">
        <v>969</v>
      </c>
      <c r="H138" s="115" t="s">
        <v>1</v>
      </c>
      <c r="I138" s="115" t="s">
        <v>2</v>
      </c>
      <c r="J138" s="116" t="s">
        <v>963</v>
      </c>
      <c r="K138" s="117">
        <v>26330</v>
      </c>
      <c r="L138" s="118">
        <v>1972</v>
      </c>
      <c r="M138" s="118">
        <f t="shared" si="8"/>
        <v>47</v>
      </c>
      <c r="N138" s="115" t="s">
        <v>3</v>
      </c>
      <c r="O138" s="115" t="s">
        <v>464</v>
      </c>
      <c r="P138" s="116" t="s">
        <v>470</v>
      </c>
      <c r="Q138" s="115"/>
      <c r="R138" s="116" t="s">
        <v>479</v>
      </c>
    </row>
    <row r="139" spans="2:18" ht="38.25" hidden="1">
      <c r="B139" s="166"/>
      <c r="C139" s="166"/>
      <c r="D139" s="115">
        <v>132</v>
      </c>
      <c r="E139" s="116" t="s">
        <v>966</v>
      </c>
      <c r="F139" s="115" t="s">
        <v>8</v>
      </c>
      <c r="G139" s="115" t="s">
        <v>970</v>
      </c>
      <c r="H139" s="115" t="s">
        <v>7</v>
      </c>
      <c r="I139" s="115" t="s">
        <v>2</v>
      </c>
      <c r="J139" s="116" t="s">
        <v>963</v>
      </c>
      <c r="K139" s="117">
        <v>28307</v>
      </c>
      <c r="L139" s="118">
        <v>1977</v>
      </c>
      <c r="M139" s="118">
        <f t="shared" si="8"/>
        <v>42</v>
      </c>
      <c r="N139" s="115" t="s">
        <v>3</v>
      </c>
      <c r="O139" s="115" t="s">
        <v>464</v>
      </c>
      <c r="P139" s="116" t="s">
        <v>470</v>
      </c>
      <c r="Q139" s="115"/>
      <c r="R139" s="116" t="s">
        <v>479</v>
      </c>
    </row>
    <row r="140" spans="2:18" ht="25.5" hidden="1">
      <c r="B140" s="166"/>
      <c r="C140" s="166"/>
      <c r="D140" s="115">
        <v>133</v>
      </c>
      <c r="E140" s="116" t="s">
        <v>967</v>
      </c>
      <c r="F140" s="115" t="s">
        <v>11</v>
      </c>
      <c r="G140" s="115" t="s">
        <v>971</v>
      </c>
      <c r="H140" s="115" t="s">
        <v>1</v>
      </c>
      <c r="I140" s="115" t="s">
        <v>9</v>
      </c>
      <c r="J140" s="116" t="s">
        <v>963</v>
      </c>
      <c r="K140" s="117">
        <v>39035</v>
      </c>
      <c r="L140" s="118">
        <v>2006</v>
      </c>
      <c r="M140" s="118">
        <f t="shared" si="8"/>
        <v>13</v>
      </c>
      <c r="N140" s="115" t="s">
        <v>3</v>
      </c>
      <c r="O140" s="115" t="s">
        <v>464</v>
      </c>
      <c r="P140" s="116" t="s">
        <v>468</v>
      </c>
      <c r="Q140" s="115"/>
      <c r="R140" s="116" t="s">
        <v>469</v>
      </c>
    </row>
    <row r="141" spans="2:18" ht="25.5" hidden="1">
      <c r="B141" s="167"/>
      <c r="C141" s="167"/>
      <c r="D141" s="115">
        <v>134</v>
      </c>
      <c r="E141" s="116" t="s">
        <v>968</v>
      </c>
      <c r="F141" s="115" t="s">
        <v>11</v>
      </c>
      <c r="G141" s="115" t="s">
        <v>972</v>
      </c>
      <c r="H141" s="115" t="s">
        <v>1</v>
      </c>
      <c r="I141" s="115" t="s">
        <v>9</v>
      </c>
      <c r="J141" s="116" t="s">
        <v>963</v>
      </c>
      <c r="K141" s="117">
        <v>40530</v>
      </c>
      <c r="L141" s="118">
        <v>2010</v>
      </c>
      <c r="M141" s="118">
        <f t="shared" si="8"/>
        <v>9</v>
      </c>
      <c r="N141" s="115" t="s">
        <v>3</v>
      </c>
      <c r="O141" s="115" t="s">
        <v>464</v>
      </c>
      <c r="P141" s="116" t="s">
        <v>468</v>
      </c>
      <c r="Q141" s="115"/>
      <c r="R141" s="116" t="s">
        <v>469</v>
      </c>
    </row>
    <row r="142" spans="2:18" ht="25.5" hidden="1">
      <c r="B142" s="165">
        <v>40</v>
      </c>
      <c r="C142" s="165" t="s">
        <v>973</v>
      </c>
      <c r="D142" s="115">
        <v>135</v>
      </c>
      <c r="E142" s="116" t="s">
        <v>974</v>
      </c>
      <c r="F142" s="115" t="s">
        <v>6</v>
      </c>
      <c r="G142" s="115" t="s">
        <v>977</v>
      </c>
      <c r="H142" s="115" t="s">
        <v>1</v>
      </c>
      <c r="I142" s="115" t="s">
        <v>2</v>
      </c>
      <c r="J142" s="116" t="s">
        <v>963</v>
      </c>
      <c r="K142" s="117">
        <v>24837</v>
      </c>
      <c r="L142" s="118">
        <v>1967</v>
      </c>
      <c r="M142" s="118">
        <f t="shared" si="8"/>
        <v>52</v>
      </c>
      <c r="N142" s="115" t="s">
        <v>3</v>
      </c>
      <c r="O142" s="115" t="s">
        <v>464</v>
      </c>
      <c r="P142" s="116" t="s">
        <v>465</v>
      </c>
      <c r="Q142" s="115"/>
      <c r="R142" s="116" t="s">
        <v>466</v>
      </c>
    </row>
    <row r="143" spans="2:18" ht="25.5" hidden="1">
      <c r="B143" s="166"/>
      <c r="C143" s="166"/>
      <c r="D143" s="115">
        <v>136</v>
      </c>
      <c r="E143" s="116" t="s">
        <v>975</v>
      </c>
      <c r="F143" s="115" t="s">
        <v>8</v>
      </c>
      <c r="G143" s="115" t="s">
        <v>978</v>
      </c>
      <c r="H143" s="115" t="s">
        <v>7</v>
      </c>
      <c r="I143" s="115" t="s">
        <v>2</v>
      </c>
      <c r="J143" s="116" t="s">
        <v>526</v>
      </c>
      <c r="K143" s="117">
        <v>25568</v>
      </c>
      <c r="L143" s="118">
        <v>1969</v>
      </c>
      <c r="M143" s="118">
        <f t="shared" si="8"/>
        <v>50</v>
      </c>
      <c r="N143" s="115" t="s">
        <v>3</v>
      </c>
      <c r="O143" s="115" t="s">
        <v>464</v>
      </c>
      <c r="P143" s="116" t="s">
        <v>465</v>
      </c>
      <c r="Q143" s="115"/>
      <c r="R143" s="116" t="s">
        <v>26</v>
      </c>
    </row>
    <row r="144" spans="2:18" hidden="1">
      <c r="B144" s="167"/>
      <c r="C144" s="167"/>
      <c r="D144" s="115">
        <v>137</v>
      </c>
      <c r="E144" s="116" t="s">
        <v>976</v>
      </c>
      <c r="F144" s="115" t="s">
        <v>11</v>
      </c>
      <c r="G144" s="115" t="s">
        <v>979</v>
      </c>
      <c r="H144" s="115" t="s">
        <v>1</v>
      </c>
      <c r="I144" s="115" t="s">
        <v>9</v>
      </c>
      <c r="J144" s="116" t="s">
        <v>963</v>
      </c>
      <c r="K144" s="117">
        <v>32973</v>
      </c>
      <c r="L144" s="118">
        <v>1990</v>
      </c>
      <c r="M144" s="118">
        <f t="shared" si="8"/>
        <v>29</v>
      </c>
      <c r="N144" s="115" t="s">
        <v>3</v>
      </c>
      <c r="O144" s="115" t="s">
        <v>464</v>
      </c>
      <c r="P144" s="116" t="s">
        <v>474</v>
      </c>
      <c r="Q144" s="115"/>
      <c r="R144" s="116" t="s">
        <v>466</v>
      </c>
    </row>
    <row r="145" spans="2:18" ht="25.5">
      <c r="B145" s="165">
        <v>41</v>
      </c>
      <c r="C145" s="165" t="s">
        <v>980</v>
      </c>
      <c r="D145" s="115">
        <v>138</v>
      </c>
      <c r="E145" s="116" t="s">
        <v>981</v>
      </c>
      <c r="F145" s="115" t="s">
        <v>6</v>
      </c>
      <c r="G145" s="115" t="s">
        <v>984</v>
      </c>
      <c r="H145" s="115" t="s">
        <v>1</v>
      </c>
      <c r="I145" s="115" t="s">
        <v>2</v>
      </c>
      <c r="J145" s="116" t="s">
        <v>963</v>
      </c>
      <c r="K145" s="117">
        <v>17167</v>
      </c>
      <c r="L145" s="118">
        <v>1946</v>
      </c>
      <c r="M145" s="118">
        <f t="shared" si="8"/>
        <v>73</v>
      </c>
      <c r="N145" s="115" t="s">
        <v>3</v>
      </c>
      <c r="O145" s="115" t="s">
        <v>464</v>
      </c>
      <c r="P145" s="116" t="s">
        <v>465</v>
      </c>
      <c r="Q145" s="115"/>
      <c r="R145" s="116" t="s">
        <v>480</v>
      </c>
    </row>
    <row r="146" spans="2:18" ht="25.5">
      <c r="B146" s="166"/>
      <c r="C146" s="166"/>
      <c r="D146" s="115">
        <v>139</v>
      </c>
      <c r="E146" s="116" t="s">
        <v>982</v>
      </c>
      <c r="F146" s="115" t="s">
        <v>8</v>
      </c>
      <c r="G146" s="115" t="s">
        <v>985</v>
      </c>
      <c r="H146" s="115" t="s">
        <v>7</v>
      </c>
      <c r="I146" s="115" t="s">
        <v>2</v>
      </c>
      <c r="J146" s="116" t="s">
        <v>963</v>
      </c>
      <c r="K146" s="117">
        <v>18212</v>
      </c>
      <c r="L146" s="118">
        <v>1949</v>
      </c>
      <c r="M146" s="118">
        <f t="shared" si="8"/>
        <v>70</v>
      </c>
      <c r="N146" s="115" t="s">
        <v>3</v>
      </c>
      <c r="O146" s="115" t="s">
        <v>464</v>
      </c>
      <c r="P146" s="116" t="s">
        <v>465</v>
      </c>
      <c r="Q146" s="115"/>
      <c r="R146" s="116" t="s">
        <v>26</v>
      </c>
    </row>
    <row r="147" spans="2:18" ht="25.5" hidden="1">
      <c r="B147" s="166"/>
      <c r="C147" s="166"/>
      <c r="D147" s="115">
        <v>140</v>
      </c>
      <c r="E147" s="116" t="s">
        <v>983</v>
      </c>
      <c r="F147" s="115" t="s">
        <v>11</v>
      </c>
      <c r="G147" s="115" t="s">
        <v>986</v>
      </c>
      <c r="H147" s="115" t="s">
        <v>1</v>
      </c>
      <c r="I147" s="115" t="s">
        <v>9</v>
      </c>
      <c r="J147" s="116" t="s">
        <v>963</v>
      </c>
      <c r="K147" s="117">
        <v>27759</v>
      </c>
      <c r="L147" s="118">
        <v>1975</v>
      </c>
      <c r="M147" s="118">
        <f t="shared" si="8"/>
        <v>44</v>
      </c>
      <c r="N147" s="115" t="s">
        <v>3</v>
      </c>
      <c r="O147" s="115" t="s">
        <v>464</v>
      </c>
      <c r="P147" s="116" t="s">
        <v>465</v>
      </c>
      <c r="Q147" s="115"/>
      <c r="R147" s="116" t="s">
        <v>466</v>
      </c>
    </row>
    <row r="148" spans="2:18" ht="25.5" hidden="1">
      <c r="B148" s="167"/>
      <c r="C148" s="167"/>
      <c r="D148" s="115">
        <v>141</v>
      </c>
      <c r="E148" s="116" t="s">
        <v>405</v>
      </c>
      <c r="F148" s="115" t="s">
        <v>11</v>
      </c>
      <c r="G148" s="115" t="s">
        <v>987</v>
      </c>
      <c r="H148" s="115" t="s">
        <v>7</v>
      </c>
      <c r="I148" s="115" t="s">
        <v>9</v>
      </c>
      <c r="J148" s="116" t="s">
        <v>963</v>
      </c>
      <c r="K148" s="117">
        <v>28613</v>
      </c>
      <c r="L148" s="118">
        <v>1978</v>
      </c>
      <c r="M148" s="118">
        <f t="shared" si="8"/>
        <v>41</v>
      </c>
      <c r="N148" s="115" t="s">
        <v>3</v>
      </c>
      <c r="O148" s="115" t="s">
        <v>464</v>
      </c>
      <c r="P148" s="116" t="s">
        <v>465</v>
      </c>
      <c r="Q148" s="115"/>
      <c r="R148" s="116" t="s">
        <v>4</v>
      </c>
    </row>
    <row r="149" spans="2:18" hidden="1">
      <c r="B149" s="165">
        <v>42</v>
      </c>
      <c r="C149" s="165" t="s">
        <v>988</v>
      </c>
      <c r="D149" s="115">
        <v>142</v>
      </c>
      <c r="E149" s="116" t="s">
        <v>715</v>
      </c>
      <c r="F149" s="115" t="s">
        <v>6</v>
      </c>
      <c r="G149" s="115" t="s">
        <v>990</v>
      </c>
      <c r="H149" s="115" t="s">
        <v>1</v>
      </c>
      <c r="I149" s="115" t="s">
        <v>2</v>
      </c>
      <c r="J149" s="116" t="s">
        <v>963</v>
      </c>
      <c r="K149" s="117">
        <v>33800</v>
      </c>
      <c r="L149" s="118">
        <v>1992</v>
      </c>
      <c r="M149" s="118">
        <f t="shared" si="8"/>
        <v>27</v>
      </c>
      <c r="N149" s="115" t="s">
        <v>3</v>
      </c>
      <c r="O149" s="115" t="s">
        <v>464</v>
      </c>
      <c r="P149" s="116" t="s">
        <v>474</v>
      </c>
      <c r="Q149" s="115"/>
      <c r="R149" s="116" t="s">
        <v>466</v>
      </c>
    </row>
    <row r="150" spans="2:18" ht="38.25" hidden="1">
      <c r="B150" s="167"/>
      <c r="C150" s="167"/>
      <c r="D150" s="115">
        <v>143</v>
      </c>
      <c r="E150" s="116" t="s">
        <v>989</v>
      </c>
      <c r="F150" s="115" t="s">
        <v>8</v>
      </c>
      <c r="G150" s="115" t="s">
        <v>991</v>
      </c>
      <c r="H150" s="115" t="s">
        <v>7</v>
      </c>
      <c r="I150" s="115" t="s">
        <v>2</v>
      </c>
      <c r="J150" s="116" t="s">
        <v>963</v>
      </c>
      <c r="K150" s="117">
        <v>34185</v>
      </c>
      <c r="L150" s="118">
        <v>1993</v>
      </c>
      <c r="M150" s="118">
        <f t="shared" si="8"/>
        <v>26</v>
      </c>
      <c r="N150" s="115" t="s">
        <v>3</v>
      </c>
      <c r="O150" s="115" t="s">
        <v>464</v>
      </c>
      <c r="P150" s="116" t="s">
        <v>474</v>
      </c>
      <c r="Q150" s="115"/>
      <c r="R150" s="116" t="s">
        <v>467</v>
      </c>
    </row>
    <row r="151" spans="2:18" hidden="1">
      <c r="B151" s="165">
        <v>43</v>
      </c>
      <c r="C151" s="165" t="s">
        <v>993</v>
      </c>
      <c r="D151" s="115">
        <v>144</v>
      </c>
      <c r="E151" s="116" t="s">
        <v>992</v>
      </c>
      <c r="F151" s="115" t="s">
        <v>6</v>
      </c>
      <c r="G151" s="115" t="s">
        <v>995</v>
      </c>
      <c r="H151" s="115" t="s">
        <v>1</v>
      </c>
      <c r="I151" s="115" t="s">
        <v>2</v>
      </c>
      <c r="J151" s="116" t="s">
        <v>997</v>
      </c>
      <c r="K151" s="117">
        <v>33263</v>
      </c>
      <c r="L151" s="118">
        <v>1991</v>
      </c>
      <c r="M151" s="118">
        <f t="shared" si="8"/>
        <v>28</v>
      </c>
      <c r="N151" s="115" t="s">
        <v>3</v>
      </c>
      <c r="O151" s="115" t="s">
        <v>464</v>
      </c>
      <c r="P151" s="116" t="s">
        <v>516</v>
      </c>
      <c r="Q151" s="115"/>
      <c r="R151" s="116" t="s">
        <v>466</v>
      </c>
    </row>
    <row r="152" spans="2:18" ht="25.5" hidden="1">
      <c r="B152" s="167"/>
      <c r="C152" s="167"/>
      <c r="D152" s="115">
        <v>145</v>
      </c>
      <c r="E152" s="116" t="s">
        <v>994</v>
      </c>
      <c r="F152" s="115" t="s">
        <v>8</v>
      </c>
      <c r="G152" s="115" t="s">
        <v>996</v>
      </c>
      <c r="H152" s="115" t="s">
        <v>7</v>
      </c>
      <c r="I152" s="115" t="s">
        <v>2</v>
      </c>
      <c r="J152" s="116" t="s">
        <v>998</v>
      </c>
      <c r="K152" s="117">
        <v>34492</v>
      </c>
      <c r="L152" s="118">
        <v>1994</v>
      </c>
      <c r="M152" s="118">
        <f t="shared" si="8"/>
        <v>25</v>
      </c>
      <c r="N152" s="115" t="s">
        <v>3</v>
      </c>
      <c r="O152" s="115" t="s">
        <v>464</v>
      </c>
      <c r="P152" s="116" t="s">
        <v>516</v>
      </c>
      <c r="Q152" s="115"/>
      <c r="R152" s="116" t="s">
        <v>466</v>
      </c>
    </row>
    <row r="153" spans="2:18" ht="25.5" hidden="1">
      <c r="B153" s="165">
        <v>44</v>
      </c>
      <c r="C153" s="165" t="s">
        <v>999</v>
      </c>
      <c r="D153" s="115">
        <v>146</v>
      </c>
      <c r="E153" s="116" t="s">
        <v>131</v>
      </c>
      <c r="F153" s="115" t="s">
        <v>6</v>
      </c>
      <c r="G153" s="115" t="s">
        <v>1001</v>
      </c>
      <c r="H153" s="115" t="s">
        <v>1</v>
      </c>
      <c r="I153" s="115" t="s">
        <v>2</v>
      </c>
      <c r="J153" s="116" t="s">
        <v>1003</v>
      </c>
      <c r="K153" s="117">
        <v>35118</v>
      </c>
      <c r="L153" s="118">
        <v>1996</v>
      </c>
      <c r="M153" s="118">
        <f t="shared" si="8"/>
        <v>23</v>
      </c>
      <c r="N153" s="115" t="s">
        <v>3</v>
      </c>
      <c r="O153" s="115" t="s">
        <v>464</v>
      </c>
      <c r="P153" s="116" t="s">
        <v>474</v>
      </c>
      <c r="Q153" s="115"/>
      <c r="R153" s="116" t="s">
        <v>466</v>
      </c>
    </row>
    <row r="154" spans="2:18" ht="38.25" hidden="1">
      <c r="B154" s="167"/>
      <c r="C154" s="167"/>
      <c r="D154" s="115">
        <v>147</v>
      </c>
      <c r="E154" s="116" t="s">
        <v>1000</v>
      </c>
      <c r="F154" s="115" t="s">
        <v>8</v>
      </c>
      <c r="G154" s="115" t="s">
        <v>1002</v>
      </c>
      <c r="H154" s="115" t="s">
        <v>7</v>
      </c>
      <c r="I154" s="115" t="s">
        <v>2</v>
      </c>
      <c r="J154" s="116" t="s">
        <v>1004</v>
      </c>
      <c r="K154" s="117">
        <v>36998</v>
      </c>
      <c r="L154" s="118">
        <v>2001</v>
      </c>
      <c r="M154" s="118">
        <f t="shared" si="8"/>
        <v>18</v>
      </c>
      <c r="N154" s="115" t="s">
        <v>3</v>
      </c>
      <c r="O154" s="115" t="s">
        <v>464</v>
      </c>
      <c r="P154" s="116" t="s">
        <v>465</v>
      </c>
      <c r="Q154" s="115"/>
      <c r="R154" s="116" t="s">
        <v>467</v>
      </c>
    </row>
    <row r="155" spans="2:18" ht="25.5" hidden="1">
      <c r="B155" s="165">
        <v>45</v>
      </c>
      <c r="C155" s="165" t="s">
        <v>1005</v>
      </c>
      <c r="D155" s="115">
        <v>148</v>
      </c>
      <c r="E155" s="116" t="s">
        <v>1006</v>
      </c>
      <c r="F155" s="115" t="s">
        <v>6</v>
      </c>
      <c r="G155" s="115" t="s">
        <v>1009</v>
      </c>
      <c r="H155" s="115" t="s">
        <v>1</v>
      </c>
      <c r="I155" s="115" t="s">
        <v>2</v>
      </c>
      <c r="J155" s="116" t="s">
        <v>963</v>
      </c>
      <c r="K155" s="117">
        <v>28692</v>
      </c>
      <c r="L155" s="118">
        <v>1978</v>
      </c>
      <c r="M155" s="118">
        <f t="shared" si="8"/>
        <v>41</v>
      </c>
      <c r="N155" s="115" t="s">
        <v>3</v>
      </c>
      <c r="O155" s="115" t="s">
        <v>464</v>
      </c>
      <c r="P155" s="116" t="s">
        <v>465</v>
      </c>
      <c r="Q155" s="115"/>
      <c r="R155" s="116" t="s">
        <v>475</v>
      </c>
    </row>
    <row r="156" spans="2:18" hidden="1">
      <c r="B156" s="166"/>
      <c r="C156" s="166"/>
      <c r="D156" s="115">
        <v>149</v>
      </c>
      <c r="E156" s="116" t="s">
        <v>1007</v>
      </c>
      <c r="F156" s="115" t="s">
        <v>8</v>
      </c>
      <c r="G156" s="115" t="s">
        <v>1010</v>
      </c>
      <c r="H156" s="115" t="s">
        <v>7</v>
      </c>
      <c r="I156" s="115" t="s">
        <v>2</v>
      </c>
      <c r="J156" s="116" t="s">
        <v>963</v>
      </c>
      <c r="K156" s="117">
        <v>30163</v>
      </c>
      <c r="L156" s="118">
        <v>1982</v>
      </c>
      <c r="M156" s="118">
        <f t="shared" si="8"/>
        <v>37</v>
      </c>
      <c r="N156" s="115" t="s">
        <v>3</v>
      </c>
      <c r="O156" s="115" t="s">
        <v>464</v>
      </c>
      <c r="P156" s="116" t="s">
        <v>516</v>
      </c>
      <c r="Q156" s="115"/>
      <c r="R156" s="116" t="s">
        <v>475</v>
      </c>
    </row>
    <row r="157" spans="2:18" ht="25.5" hidden="1">
      <c r="B157" s="167"/>
      <c r="C157" s="167"/>
      <c r="D157" s="115">
        <v>150</v>
      </c>
      <c r="E157" s="116" t="s">
        <v>1008</v>
      </c>
      <c r="F157" s="115" t="s">
        <v>11</v>
      </c>
      <c r="G157" s="115" t="s">
        <v>1011</v>
      </c>
      <c r="H157" s="115" t="s">
        <v>1</v>
      </c>
      <c r="I157" s="115" t="s">
        <v>9</v>
      </c>
      <c r="J157" s="116" t="s">
        <v>963</v>
      </c>
      <c r="K157" s="117">
        <v>37820</v>
      </c>
      <c r="L157" s="118">
        <v>2003</v>
      </c>
      <c r="M157" s="118">
        <f t="shared" si="8"/>
        <v>16</v>
      </c>
      <c r="N157" s="115" t="s">
        <v>3</v>
      </c>
      <c r="O157" s="115" t="s">
        <v>464</v>
      </c>
      <c r="P157" s="116" t="s">
        <v>474</v>
      </c>
      <c r="Q157" s="115"/>
      <c r="R157" s="116" t="s">
        <v>469</v>
      </c>
    </row>
    <row r="158" spans="2:18" ht="25.5" hidden="1">
      <c r="B158" s="165">
        <v>46</v>
      </c>
      <c r="C158" s="165" t="s">
        <v>1012</v>
      </c>
      <c r="D158" s="115">
        <v>151</v>
      </c>
      <c r="E158" s="116" t="s">
        <v>1015</v>
      </c>
      <c r="F158" s="115" t="s">
        <v>6</v>
      </c>
      <c r="G158" s="115" t="s">
        <v>1016</v>
      </c>
      <c r="H158" s="115" t="s">
        <v>1</v>
      </c>
      <c r="I158" s="115" t="s">
        <v>2</v>
      </c>
      <c r="J158" s="116" t="s">
        <v>484</v>
      </c>
      <c r="K158" s="117">
        <v>32215</v>
      </c>
      <c r="L158" s="118">
        <v>1988</v>
      </c>
      <c r="M158" s="118">
        <f t="shared" si="8"/>
        <v>31</v>
      </c>
      <c r="N158" s="115" t="s">
        <v>3</v>
      </c>
      <c r="O158" s="115" t="s">
        <v>464</v>
      </c>
      <c r="P158" s="116" t="s">
        <v>516</v>
      </c>
      <c r="Q158" s="115"/>
      <c r="R158" s="116" t="s">
        <v>517</v>
      </c>
    </row>
    <row r="159" spans="2:18" ht="38.25" hidden="1">
      <c r="B159" s="166"/>
      <c r="C159" s="166"/>
      <c r="D159" s="115">
        <v>152</v>
      </c>
      <c r="E159" s="116" t="s">
        <v>82</v>
      </c>
      <c r="F159" s="115" t="s">
        <v>8</v>
      </c>
      <c r="G159" s="115" t="s">
        <v>1017</v>
      </c>
      <c r="H159" s="115" t="s">
        <v>7</v>
      </c>
      <c r="I159" s="115" t="s">
        <v>2</v>
      </c>
      <c r="J159" s="116" t="s">
        <v>963</v>
      </c>
      <c r="K159" s="117">
        <v>33375</v>
      </c>
      <c r="L159" s="118">
        <v>1991</v>
      </c>
      <c r="M159" s="118">
        <f t="shared" si="8"/>
        <v>28</v>
      </c>
      <c r="N159" s="115" t="s">
        <v>3</v>
      </c>
      <c r="O159" s="115" t="s">
        <v>464</v>
      </c>
      <c r="P159" s="116" t="s">
        <v>474</v>
      </c>
      <c r="Q159" s="115"/>
      <c r="R159" s="116" t="s">
        <v>467</v>
      </c>
    </row>
    <row r="160" spans="2:18" ht="25.5" hidden="1">
      <c r="B160" s="166"/>
      <c r="C160" s="166"/>
      <c r="D160" s="115">
        <v>153</v>
      </c>
      <c r="E160" s="116" t="s">
        <v>1013</v>
      </c>
      <c r="F160" s="115" t="s">
        <v>11</v>
      </c>
      <c r="G160" s="115" t="s">
        <v>1018</v>
      </c>
      <c r="H160" s="115" t="s">
        <v>1</v>
      </c>
      <c r="I160" s="115" t="s">
        <v>27</v>
      </c>
      <c r="J160" s="116" t="s">
        <v>1020</v>
      </c>
      <c r="K160" s="117">
        <v>40311</v>
      </c>
      <c r="L160" s="118">
        <v>2010</v>
      </c>
      <c r="M160" s="118">
        <f t="shared" si="8"/>
        <v>9</v>
      </c>
      <c r="N160" s="115" t="s">
        <v>3</v>
      </c>
      <c r="O160" s="115" t="s">
        <v>464</v>
      </c>
      <c r="P160" s="116" t="s">
        <v>468</v>
      </c>
      <c r="Q160" s="115"/>
      <c r="R160" s="116" t="s">
        <v>469</v>
      </c>
    </row>
    <row r="161" spans="2:18" ht="25.5" hidden="1">
      <c r="B161" s="167"/>
      <c r="C161" s="167"/>
      <c r="D161" s="115">
        <v>154</v>
      </c>
      <c r="E161" s="116" t="s">
        <v>1014</v>
      </c>
      <c r="F161" s="115" t="s">
        <v>11</v>
      </c>
      <c r="G161" s="115" t="s">
        <v>1019</v>
      </c>
      <c r="H161" s="115" t="s">
        <v>1</v>
      </c>
      <c r="I161" s="115" t="s">
        <v>27</v>
      </c>
      <c r="J161" s="116" t="s">
        <v>495</v>
      </c>
      <c r="K161" s="117">
        <v>42807</v>
      </c>
      <c r="L161" s="118">
        <v>2017</v>
      </c>
      <c r="M161" s="118">
        <f t="shared" si="8"/>
        <v>2</v>
      </c>
      <c r="N161" s="115" t="s">
        <v>3</v>
      </c>
      <c r="O161" s="115" t="s">
        <v>464</v>
      </c>
      <c r="P161" s="116" t="s">
        <v>470</v>
      </c>
      <c r="Q161" s="115"/>
      <c r="R161" s="116" t="s">
        <v>471</v>
      </c>
    </row>
    <row r="162" spans="2:18" hidden="1">
      <c r="B162" s="165">
        <v>47</v>
      </c>
      <c r="C162" s="165" t="s">
        <v>1021</v>
      </c>
      <c r="D162" s="115">
        <v>155</v>
      </c>
      <c r="E162" s="116" t="s">
        <v>1022</v>
      </c>
      <c r="F162" s="115" t="s">
        <v>6</v>
      </c>
      <c r="G162" s="115" t="s">
        <v>1026</v>
      </c>
      <c r="H162" s="115" t="s">
        <v>7</v>
      </c>
      <c r="I162" s="115" t="s">
        <v>2</v>
      </c>
      <c r="J162" s="116" t="s">
        <v>1020</v>
      </c>
      <c r="K162" s="117">
        <v>31361</v>
      </c>
      <c r="L162" s="118">
        <v>1985</v>
      </c>
      <c r="M162" s="118">
        <f t="shared" si="8"/>
        <v>34</v>
      </c>
      <c r="N162" s="115" t="s">
        <v>3</v>
      </c>
      <c r="O162" s="115" t="s">
        <v>464</v>
      </c>
      <c r="P162" s="116" t="s">
        <v>474</v>
      </c>
      <c r="Q162" s="115"/>
      <c r="R162" s="116" t="s">
        <v>24</v>
      </c>
    </row>
    <row r="163" spans="2:18" ht="25.5" hidden="1">
      <c r="B163" s="166"/>
      <c r="C163" s="166"/>
      <c r="D163" s="115">
        <v>156</v>
      </c>
      <c r="E163" s="116" t="s">
        <v>1023</v>
      </c>
      <c r="F163" s="115" t="s">
        <v>8</v>
      </c>
      <c r="G163" s="115" t="s">
        <v>1027</v>
      </c>
      <c r="H163" s="115" t="s">
        <v>7</v>
      </c>
      <c r="I163" s="115" t="s">
        <v>2</v>
      </c>
      <c r="J163" s="116" t="s">
        <v>1020</v>
      </c>
      <c r="K163" s="117">
        <v>31966</v>
      </c>
      <c r="L163" s="118">
        <v>1987</v>
      </c>
      <c r="M163" s="118">
        <f t="shared" si="8"/>
        <v>32</v>
      </c>
      <c r="N163" s="115" t="s">
        <v>3</v>
      </c>
      <c r="O163" s="115" t="s">
        <v>464</v>
      </c>
      <c r="P163" s="116" t="s">
        <v>465</v>
      </c>
      <c r="Q163" s="115"/>
      <c r="R163" s="116" t="s">
        <v>480</v>
      </c>
    </row>
    <row r="164" spans="2:18" ht="25.5" hidden="1">
      <c r="B164" s="166"/>
      <c r="C164" s="166"/>
      <c r="D164" s="115">
        <v>157</v>
      </c>
      <c r="E164" s="116" t="s">
        <v>1024</v>
      </c>
      <c r="F164" s="115" t="s">
        <v>11</v>
      </c>
      <c r="G164" s="115" t="s">
        <v>1028</v>
      </c>
      <c r="H164" s="115" t="s">
        <v>1</v>
      </c>
      <c r="I164" s="115" t="s">
        <v>27</v>
      </c>
      <c r="J164" s="116" t="s">
        <v>1029</v>
      </c>
      <c r="K164" s="117">
        <v>40118</v>
      </c>
      <c r="L164" s="118">
        <v>2007</v>
      </c>
      <c r="M164" s="118">
        <f t="shared" ref="M164:M190" si="9">2019-L164</f>
        <v>12</v>
      </c>
      <c r="N164" s="115" t="s">
        <v>3</v>
      </c>
      <c r="O164" s="115" t="s">
        <v>464</v>
      </c>
      <c r="P164" s="116" t="s">
        <v>468</v>
      </c>
      <c r="Q164" s="115"/>
      <c r="R164" s="116" t="s">
        <v>469</v>
      </c>
    </row>
    <row r="165" spans="2:18" hidden="1">
      <c r="B165" s="167"/>
      <c r="C165" s="167"/>
      <c r="D165" s="115">
        <v>158</v>
      </c>
      <c r="E165" s="116" t="s">
        <v>1025</v>
      </c>
      <c r="F165" s="115" t="s">
        <v>11</v>
      </c>
      <c r="G165" s="115"/>
      <c r="H165" s="115" t="s">
        <v>1</v>
      </c>
      <c r="I165" s="115"/>
      <c r="J165" s="116" t="s">
        <v>1029</v>
      </c>
      <c r="K165" s="117"/>
      <c r="L165" s="118">
        <v>2017</v>
      </c>
      <c r="M165" s="118">
        <f t="shared" si="9"/>
        <v>2</v>
      </c>
      <c r="N165" s="115" t="s">
        <v>3</v>
      </c>
      <c r="O165" s="115" t="s">
        <v>464</v>
      </c>
      <c r="P165" s="116"/>
      <c r="Q165" s="115"/>
      <c r="R165" s="116"/>
    </row>
    <row r="166" spans="2:18" ht="25.5" hidden="1">
      <c r="B166" s="165">
        <v>48</v>
      </c>
      <c r="C166" s="165" t="s">
        <v>1030</v>
      </c>
      <c r="D166" s="115">
        <v>159</v>
      </c>
      <c r="E166" s="116" t="s">
        <v>1031</v>
      </c>
      <c r="F166" s="115" t="s">
        <v>6</v>
      </c>
      <c r="G166" s="115" t="s">
        <v>1033</v>
      </c>
      <c r="H166" s="115" t="s">
        <v>1</v>
      </c>
      <c r="I166" s="115" t="s">
        <v>2</v>
      </c>
      <c r="J166" s="116" t="s">
        <v>1020</v>
      </c>
      <c r="K166" s="117">
        <v>25185</v>
      </c>
      <c r="L166" s="118">
        <v>1968</v>
      </c>
      <c r="M166" s="118">
        <f t="shared" si="9"/>
        <v>51</v>
      </c>
      <c r="N166" s="115" t="s">
        <v>3</v>
      </c>
      <c r="O166" s="115" t="s">
        <v>464</v>
      </c>
      <c r="P166" s="116" t="s">
        <v>465</v>
      </c>
      <c r="Q166" s="115"/>
      <c r="R166" s="116" t="s">
        <v>508</v>
      </c>
    </row>
    <row r="167" spans="2:18" ht="25.5" hidden="1">
      <c r="B167" s="167"/>
      <c r="C167" s="167"/>
      <c r="D167" s="115">
        <v>160</v>
      </c>
      <c r="E167" s="116" t="s">
        <v>1032</v>
      </c>
      <c r="F167" s="115" t="s">
        <v>8</v>
      </c>
      <c r="G167" s="115" t="s">
        <v>1034</v>
      </c>
      <c r="H167" s="115" t="s">
        <v>7</v>
      </c>
      <c r="I167" s="115" t="s">
        <v>2</v>
      </c>
      <c r="J167" s="116" t="s">
        <v>1035</v>
      </c>
      <c r="K167" s="117">
        <v>22101</v>
      </c>
      <c r="L167" s="118">
        <v>1960</v>
      </c>
      <c r="M167" s="118">
        <f t="shared" si="9"/>
        <v>59</v>
      </c>
      <c r="N167" s="115" t="s">
        <v>3</v>
      </c>
      <c r="O167" s="115" t="s">
        <v>464</v>
      </c>
      <c r="P167" s="116" t="s">
        <v>470</v>
      </c>
      <c r="Q167" s="115"/>
      <c r="R167" s="116" t="s">
        <v>480</v>
      </c>
    </row>
    <row r="168" spans="2:18" ht="38.25" hidden="1">
      <c r="B168" s="165">
        <v>49</v>
      </c>
      <c r="C168" s="165" t="s">
        <v>1036</v>
      </c>
      <c r="D168" s="115">
        <v>161</v>
      </c>
      <c r="E168" s="116" t="s">
        <v>73</v>
      </c>
      <c r="F168" s="115" t="s">
        <v>6</v>
      </c>
      <c r="G168" s="115" t="s">
        <v>1040</v>
      </c>
      <c r="H168" s="115" t="s">
        <v>7</v>
      </c>
      <c r="I168" s="115" t="s">
        <v>2</v>
      </c>
      <c r="J168" s="116" t="s">
        <v>1020</v>
      </c>
      <c r="K168" s="117">
        <v>31726</v>
      </c>
      <c r="L168" s="118">
        <v>1986</v>
      </c>
      <c r="M168" s="118">
        <f t="shared" si="9"/>
        <v>33</v>
      </c>
      <c r="N168" s="115" t="s">
        <v>3</v>
      </c>
      <c r="O168" s="115" t="s">
        <v>464</v>
      </c>
      <c r="P168" s="116" t="s">
        <v>470</v>
      </c>
      <c r="Q168" s="115"/>
      <c r="R168" s="116" t="s">
        <v>467</v>
      </c>
    </row>
    <row r="169" spans="2:18" ht="25.5" hidden="1">
      <c r="B169" s="166"/>
      <c r="C169" s="166"/>
      <c r="D169" s="115">
        <v>162</v>
      </c>
      <c r="E169" s="116" t="s">
        <v>81</v>
      </c>
      <c r="F169" s="115" t="s">
        <v>11</v>
      </c>
      <c r="G169" s="115" t="s">
        <v>1043</v>
      </c>
      <c r="H169" s="115" t="s">
        <v>1</v>
      </c>
      <c r="I169" s="115" t="s">
        <v>9</v>
      </c>
      <c r="J169" s="116" t="s">
        <v>1020</v>
      </c>
      <c r="K169" s="117">
        <v>37448</v>
      </c>
      <c r="L169" s="118">
        <v>2002</v>
      </c>
      <c r="M169" s="118">
        <f t="shared" si="9"/>
        <v>17</v>
      </c>
      <c r="N169" s="115" t="s">
        <v>3</v>
      </c>
      <c r="O169" s="115" t="s">
        <v>464</v>
      </c>
      <c r="P169" s="116" t="s">
        <v>468</v>
      </c>
      <c r="Q169" s="115"/>
      <c r="R169" s="116" t="s">
        <v>469</v>
      </c>
    </row>
    <row r="170" spans="2:18" ht="25.5" hidden="1">
      <c r="B170" s="166"/>
      <c r="C170" s="166"/>
      <c r="D170" s="115">
        <v>163</v>
      </c>
      <c r="E170" s="116" t="s">
        <v>1038</v>
      </c>
      <c r="F170" s="115" t="s">
        <v>11</v>
      </c>
      <c r="G170" s="115" t="s">
        <v>1044</v>
      </c>
      <c r="H170" s="115" t="s">
        <v>7</v>
      </c>
      <c r="I170" s="115" t="s">
        <v>9</v>
      </c>
      <c r="J170" s="116" t="s">
        <v>1020</v>
      </c>
      <c r="K170" s="117">
        <v>39296</v>
      </c>
      <c r="L170" s="118">
        <v>2007</v>
      </c>
      <c r="M170" s="118">
        <f t="shared" si="9"/>
        <v>12</v>
      </c>
      <c r="N170" s="115" t="s">
        <v>3</v>
      </c>
      <c r="O170" s="115" t="s">
        <v>464</v>
      </c>
      <c r="P170" s="116" t="s">
        <v>470</v>
      </c>
      <c r="Q170" s="115"/>
      <c r="R170" s="116" t="s">
        <v>471</v>
      </c>
    </row>
    <row r="171" spans="2:18" ht="25.5" hidden="1">
      <c r="B171" s="167"/>
      <c r="C171" s="167"/>
      <c r="D171" s="115">
        <v>164</v>
      </c>
      <c r="E171" s="116" t="s">
        <v>1039</v>
      </c>
      <c r="F171" s="115" t="s">
        <v>11</v>
      </c>
      <c r="G171" s="115" t="s">
        <v>1045</v>
      </c>
      <c r="H171" s="115" t="s">
        <v>1</v>
      </c>
      <c r="I171" s="115" t="s">
        <v>9</v>
      </c>
      <c r="J171" s="116" t="s">
        <v>1020</v>
      </c>
      <c r="K171" s="117">
        <v>40887</v>
      </c>
      <c r="L171" s="118">
        <v>2011</v>
      </c>
      <c r="M171" s="118">
        <f t="shared" si="9"/>
        <v>8</v>
      </c>
      <c r="N171" s="115" t="s">
        <v>3</v>
      </c>
      <c r="O171" s="115" t="s">
        <v>464</v>
      </c>
      <c r="P171" s="116" t="s">
        <v>470</v>
      </c>
      <c r="Q171" s="115"/>
      <c r="R171" s="116" t="s">
        <v>471</v>
      </c>
    </row>
    <row r="172" spans="2:18" hidden="1">
      <c r="B172" s="165">
        <v>50</v>
      </c>
      <c r="C172" s="165" t="s">
        <v>1050</v>
      </c>
      <c r="D172" s="115">
        <v>165</v>
      </c>
      <c r="E172" s="116" t="s">
        <v>1051</v>
      </c>
      <c r="F172" s="115" t="s">
        <v>6</v>
      </c>
      <c r="G172" s="115" t="s">
        <v>1054</v>
      </c>
      <c r="H172" s="115" t="s">
        <v>1</v>
      </c>
      <c r="I172" s="115" t="s">
        <v>2</v>
      </c>
      <c r="J172" s="116" t="s">
        <v>1020</v>
      </c>
      <c r="K172" s="117">
        <v>33331</v>
      </c>
      <c r="L172" s="118">
        <v>1991</v>
      </c>
      <c r="M172" s="118">
        <f t="shared" si="9"/>
        <v>28</v>
      </c>
      <c r="N172" s="115" t="s">
        <v>3</v>
      </c>
      <c r="O172" s="115" t="s">
        <v>464</v>
      </c>
      <c r="P172" s="116" t="s">
        <v>474</v>
      </c>
      <c r="Q172" s="115"/>
      <c r="R172" s="116" t="s">
        <v>466</v>
      </c>
    </row>
    <row r="173" spans="2:18" ht="38.25" hidden="1">
      <c r="B173" s="166"/>
      <c r="C173" s="166"/>
      <c r="D173" s="115">
        <v>166</v>
      </c>
      <c r="E173" s="116" t="s">
        <v>90</v>
      </c>
      <c r="F173" s="115" t="s">
        <v>8</v>
      </c>
      <c r="G173" s="115" t="s">
        <v>1055</v>
      </c>
      <c r="H173" s="115" t="s">
        <v>7</v>
      </c>
      <c r="I173" s="115" t="s">
        <v>2</v>
      </c>
      <c r="J173" s="116" t="s">
        <v>1020</v>
      </c>
      <c r="K173" s="117">
        <v>35118</v>
      </c>
      <c r="L173" s="118">
        <v>1996</v>
      </c>
      <c r="M173" s="118">
        <f t="shared" si="9"/>
        <v>23</v>
      </c>
      <c r="N173" s="115" t="s">
        <v>3</v>
      </c>
      <c r="O173" s="115" t="s">
        <v>464</v>
      </c>
      <c r="P173" s="116" t="s">
        <v>474</v>
      </c>
      <c r="Q173" s="115"/>
      <c r="R173" s="116" t="s">
        <v>467</v>
      </c>
    </row>
    <row r="174" spans="2:18" ht="25.5" hidden="1">
      <c r="B174" s="166"/>
      <c r="C174" s="166"/>
      <c r="D174" s="115">
        <v>167</v>
      </c>
      <c r="E174" s="116" t="s">
        <v>1052</v>
      </c>
      <c r="F174" s="115" t="s">
        <v>11</v>
      </c>
      <c r="G174" s="115" t="s">
        <v>1056</v>
      </c>
      <c r="H174" s="115" t="s">
        <v>1</v>
      </c>
      <c r="I174" s="115" t="s">
        <v>9</v>
      </c>
      <c r="J174" s="116" t="s">
        <v>1020</v>
      </c>
      <c r="K174" s="117">
        <v>42577</v>
      </c>
      <c r="L174" s="118">
        <v>2016</v>
      </c>
      <c r="M174" s="118">
        <f t="shared" si="9"/>
        <v>3</v>
      </c>
      <c r="N174" s="115" t="s">
        <v>3</v>
      </c>
      <c r="O174" s="115" t="s">
        <v>464</v>
      </c>
      <c r="P174" s="116" t="s">
        <v>470</v>
      </c>
      <c r="Q174" s="115"/>
      <c r="R174" s="116" t="s">
        <v>471</v>
      </c>
    </row>
    <row r="175" spans="2:18" ht="25.5" hidden="1">
      <c r="B175" s="167"/>
      <c r="C175" s="167"/>
      <c r="D175" s="115">
        <v>168</v>
      </c>
      <c r="E175" s="116" t="s">
        <v>1053</v>
      </c>
      <c r="F175" s="115" t="s">
        <v>11</v>
      </c>
      <c r="G175" s="115" t="s">
        <v>1057</v>
      </c>
      <c r="H175" s="115" t="s">
        <v>1</v>
      </c>
      <c r="I175" s="115" t="s">
        <v>9</v>
      </c>
      <c r="J175" s="116" t="s">
        <v>1020</v>
      </c>
      <c r="K175" s="117">
        <v>42577</v>
      </c>
      <c r="L175" s="118">
        <v>2016</v>
      </c>
      <c r="M175" s="118">
        <f t="shared" si="9"/>
        <v>3</v>
      </c>
      <c r="N175" s="115" t="s">
        <v>3</v>
      </c>
      <c r="O175" s="115" t="s">
        <v>464</v>
      </c>
      <c r="P175" s="116" t="s">
        <v>470</v>
      </c>
      <c r="Q175" s="115"/>
      <c r="R175" s="116" t="s">
        <v>471</v>
      </c>
    </row>
    <row r="176" spans="2:18" ht="38.25" hidden="1">
      <c r="B176" s="165">
        <v>51</v>
      </c>
      <c r="C176" s="165" t="s">
        <v>1059</v>
      </c>
      <c r="D176" s="115">
        <v>169</v>
      </c>
      <c r="E176" s="116" t="s">
        <v>430</v>
      </c>
      <c r="F176" s="115" t="s">
        <v>6</v>
      </c>
      <c r="G176" s="115" t="s">
        <v>1061</v>
      </c>
      <c r="H176" s="115" t="s">
        <v>1</v>
      </c>
      <c r="I176" s="115" t="s">
        <v>2</v>
      </c>
      <c r="J176" s="116" t="s">
        <v>963</v>
      </c>
      <c r="K176" s="117">
        <v>22667</v>
      </c>
      <c r="L176" s="118">
        <v>1962</v>
      </c>
      <c r="M176" s="118">
        <f t="shared" si="9"/>
        <v>57</v>
      </c>
      <c r="N176" s="115" t="s">
        <v>3</v>
      </c>
      <c r="O176" s="115" t="s">
        <v>464</v>
      </c>
      <c r="P176" s="116" t="s">
        <v>470</v>
      </c>
      <c r="Q176" s="115"/>
      <c r="R176" s="116" t="s">
        <v>479</v>
      </c>
    </row>
    <row r="177" spans="2:18" ht="38.25" hidden="1">
      <c r="B177" s="166"/>
      <c r="C177" s="166"/>
      <c r="D177" s="115">
        <v>170</v>
      </c>
      <c r="E177" s="116" t="s">
        <v>1060</v>
      </c>
      <c r="F177" s="115" t="s">
        <v>8</v>
      </c>
      <c r="G177" s="115" t="s">
        <v>1062</v>
      </c>
      <c r="H177" s="115" t="s">
        <v>7</v>
      </c>
      <c r="I177" s="115" t="s">
        <v>2</v>
      </c>
      <c r="J177" s="115" t="s">
        <v>526</v>
      </c>
      <c r="K177" s="117">
        <v>22811</v>
      </c>
      <c r="L177" s="118">
        <v>1962</v>
      </c>
      <c r="M177" s="118">
        <f t="shared" si="9"/>
        <v>57</v>
      </c>
      <c r="N177" s="115" t="s">
        <v>3</v>
      </c>
      <c r="O177" s="115" t="s">
        <v>464</v>
      </c>
      <c r="P177" s="116" t="s">
        <v>470</v>
      </c>
      <c r="Q177" s="115"/>
      <c r="R177" s="116" t="s">
        <v>479</v>
      </c>
    </row>
    <row r="178" spans="2:18" ht="25.5" hidden="1">
      <c r="B178" s="167"/>
      <c r="C178" s="167"/>
      <c r="D178" s="115">
        <v>171</v>
      </c>
      <c r="E178" s="116" t="s">
        <v>434</v>
      </c>
      <c r="F178" s="115" t="s">
        <v>11</v>
      </c>
      <c r="G178" s="115" t="s">
        <v>1063</v>
      </c>
      <c r="H178" s="115" t="s">
        <v>7</v>
      </c>
      <c r="I178" s="115" t="s">
        <v>9</v>
      </c>
      <c r="J178" s="116" t="s">
        <v>963</v>
      </c>
      <c r="K178" s="117">
        <v>33095</v>
      </c>
      <c r="L178" s="118">
        <v>1990</v>
      </c>
      <c r="M178" s="118">
        <f t="shared" si="9"/>
        <v>29</v>
      </c>
      <c r="N178" s="115" t="s">
        <v>3</v>
      </c>
      <c r="O178" s="115" t="s">
        <v>464</v>
      </c>
      <c r="P178" s="116" t="s">
        <v>474</v>
      </c>
      <c r="Q178" s="115"/>
      <c r="R178" s="116" t="s">
        <v>471</v>
      </c>
    </row>
    <row r="179" spans="2:18" ht="25.5">
      <c r="B179" s="165">
        <v>52</v>
      </c>
      <c r="C179" s="165" t="s">
        <v>1069</v>
      </c>
      <c r="D179" s="115">
        <v>172</v>
      </c>
      <c r="E179" s="116" t="s">
        <v>0</v>
      </c>
      <c r="F179" s="115" t="s">
        <v>6</v>
      </c>
      <c r="G179" s="115" t="s">
        <v>1070</v>
      </c>
      <c r="H179" s="115" t="s">
        <v>1</v>
      </c>
      <c r="I179" s="115" t="s">
        <v>2</v>
      </c>
      <c r="J179" s="116" t="s">
        <v>558</v>
      </c>
      <c r="K179" s="117">
        <v>21458</v>
      </c>
      <c r="L179" s="118">
        <v>1958</v>
      </c>
      <c r="M179" s="118">
        <f t="shared" si="9"/>
        <v>61</v>
      </c>
      <c r="N179" s="115" t="s">
        <v>3</v>
      </c>
      <c r="O179" s="115" t="s">
        <v>464</v>
      </c>
      <c r="P179" s="116" t="s">
        <v>470</v>
      </c>
      <c r="Q179" s="115"/>
      <c r="R179" s="116" t="s">
        <v>508</v>
      </c>
    </row>
    <row r="180" spans="2:18" ht="25.5" hidden="1">
      <c r="B180" s="166"/>
      <c r="C180" s="166"/>
      <c r="D180" s="115">
        <v>173</v>
      </c>
      <c r="E180" s="116" t="s">
        <v>1065</v>
      </c>
      <c r="F180" s="115" t="s">
        <v>8</v>
      </c>
      <c r="G180" s="115" t="s">
        <v>1071</v>
      </c>
      <c r="H180" s="115" t="s">
        <v>7</v>
      </c>
      <c r="I180" s="115" t="s">
        <v>2</v>
      </c>
      <c r="J180" s="116" t="s">
        <v>558</v>
      </c>
      <c r="K180" s="117">
        <v>23143</v>
      </c>
      <c r="L180" s="118">
        <v>1983</v>
      </c>
      <c r="M180" s="118">
        <f t="shared" si="9"/>
        <v>36</v>
      </c>
      <c r="N180" s="115" t="s">
        <v>3</v>
      </c>
      <c r="O180" s="115" t="s">
        <v>464</v>
      </c>
      <c r="P180" s="116" t="s">
        <v>465</v>
      </c>
      <c r="Q180" s="115"/>
      <c r="R180" s="116" t="s">
        <v>508</v>
      </c>
    </row>
    <row r="181" spans="2:18" ht="25.5" hidden="1">
      <c r="B181" s="166"/>
      <c r="C181" s="166"/>
      <c r="D181" s="115">
        <v>174</v>
      </c>
      <c r="E181" s="116" t="s">
        <v>1066</v>
      </c>
      <c r="F181" s="115" t="s">
        <v>11</v>
      </c>
      <c r="G181" s="115" t="s">
        <v>1072</v>
      </c>
      <c r="H181" s="115" t="s">
        <v>1</v>
      </c>
      <c r="I181" s="115" t="s">
        <v>9</v>
      </c>
      <c r="J181" s="116" t="s">
        <v>558</v>
      </c>
      <c r="K181" s="117">
        <v>31603</v>
      </c>
      <c r="L181" s="118">
        <v>1986</v>
      </c>
      <c r="M181" s="118">
        <f t="shared" si="9"/>
        <v>33</v>
      </c>
      <c r="N181" s="115" t="s">
        <v>3</v>
      </c>
      <c r="O181" s="115" t="s">
        <v>464</v>
      </c>
      <c r="P181" s="116" t="s">
        <v>516</v>
      </c>
      <c r="Q181" s="115"/>
      <c r="R181" s="116" t="s">
        <v>508</v>
      </c>
    </row>
    <row r="182" spans="2:18" ht="25.5" hidden="1">
      <c r="B182" s="166"/>
      <c r="C182" s="166"/>
      <c r="D182" s="115">
        <v>175</v>
      </c>
      <c r="E182" s="116" t="s">
        <v>1067</v>
      </c>
      <c r="F182" s="115" t="s">
        <v>11</v>
      </c>
      <c r="G182" s="115" t="s">
        <v>1073</v>
      </c>
      <c r="H182" s="115" t="s">
        <v>7</v>
      </c>
      <c r="I182" s="115" t="s">
        <v>9</v>
      </c>
      <c r="J182" s="116" t="s">
        <v>558</v>
      </c>
      <c r="K182" s="117">
        <v>36182</v>
      </c>
      <c r="L182" s="118">
        <v>1999</v>
      </c>
      <c r="M182" s="118">
        <f t="shared" si="9"/>
        <v>20</v>
      </c>
      <c r="N182" s="115" t="s">
        <v>3</v>
      </c>
      <c r="O182" s="115" t="s">
        <v>464</v>
      </c>
      <c r="P182" s="116" t="s">
        <v>516</v>
      </c>
      <c r="Q182" s="115"/>
      <c r="R182" s="116" t="s">
        <v>469</v>
      </c>
    </row>
    <row r="183" spans="2:18" ht="25.5" hidden="1">
      <c r="B183" s="167"/>
      <c r="C183" s="167"/>
      <c r="D183" s="115">
        <v>176</v>
      </c>
      <c r="E183" s="116" t="s">
        <v>1068</v>
      </c>
      <c r="F183" s="115" t="s">
        <v>11</v>
      </c>
      <c r="G183" s="115" t="s">
        <v>1074</v>
      </c>
      <c r="H183" s="115" t="s">
        <v>1</v>
      </c>
      <c r="I183" s="115" t="s">
        <v>9</v>
      </c>
      <c r="J183" s="116" t="s">
        <v>558</v>
      </c>
      <c r="K183" s="117">
        <v>37286</v>
      </c>
      <c r="L183" s="118">
        <v>2002</v>
      </c>
      <c r="M183" s="118">
        <f t="shared" si="9"/>
        <v>17</v>
      </c>
      <c r="N183" s="115" t="s">
        <v>3</v>
      </c>
      <c r="O183" s="115" t="s">
        <v>464</v>
      </c>
      <c r="P183" s="116" t="s">
        <v>474</v>
      </c>
      <c r="Q183" s="115"/>
      <c r="R183" s="116" t="s">
        <v>469</v>
      </c>
    </row>
    <row r="184" spans="2:18" ht="25.5" hidden="1">
      <c r="B184" s="165">
        <v>53</v>
      </c>
      <c r="C184" s="165" t="s">
        <v>1075</v>
      </c>
      <c r="D184" s="115">
        <v>177</v>
      </c>
      <c r="E184" s="116" t="s">
        <v>940</v>
      </c>
      <c r="F184" s="115" t="s">
        <v>6</v>
      </c>
      <c r="G184" s="115" t="s">
        <v>1078</v>
      </c>
      <c r="H184" s="115" t="s">
        <v>1</v>
      </c>
      <c r="I184" s="115" t="s">
        <v>2</v>
      </c>
      <c r="J184" s="116" t="s">
        <v>1020</v>
      </c>
      <c r="K184" s="117">
        <v>22281</v>
      </c>
      <c r="L184" s="118">
        <v>1960</v>
      </c>
      <c r="M184" s="118">
        <f t="shared" si="9"/>
        <v>59</v>
      </c>
      <c r="N184" s="115" t="s">
        <v>3</v>
      </c>
      <c r="O184" s="115" t="s">
        <v>464</v>
      </c>
      <c r="P184" s="116" t="s">
        <v>470</v>
      </c>
      <c r="Q184" s="115"/>
      <c r="R184" s="116" t="s">
        <v>466</v>
      </c>
    </row>
    <row r="185" spans="2:18" ht="25.5" hidden="1">
      <c r="B185" s="166"/>
      <c r="C185" s="166"/>
      <c r="D185" s="115">
        <v>178</v>
      </c>
      <c r="E185" s="116" t="s">
        <v>77</v>
      </c>
      <c r="F185" s="115" t="s">
        <v>8</v>
      </c>
      <c r="G185" s="115" t="s">
        <v>1079</v>
      </c>
      <c r="H185" s="115" t="s">
        <v>7</v>
      </c>
      <c r="I185" s="115" t="s">
        <v>2</v>
      </c>
      <c r="J185" s="116" t="s">
        <v>1020</v>
      </c>
      <c r="K185" s="117">
        <v>31412</v>
      </c>
      <c r="L185" s="118">
        <v>1985</v>
      </c>
      <c r="M185" s="118">
        <f t="shared" si="9"/>
        <v>34</v>
      </c>
      <c r="N185" s="115" t="s">
        <v>3</v>
      </c>
      <c r="O185" s="115" t="s">
        <v>464</v>
      </c>
      <c r="P185" s="116" t="s">
        <v>465</v>
      </c>
      <c r="Q185" s="115"/>
      <c r="R185" s="116" t="s">
        <v>466</v>
      </c>
    </row>
    <row r="186" spans="2:18" hidden="1">
      <c r="B186" s="166"/>
      <c r="C186" s="166"/>
      <c r="D186" s="115">
        <v>179</v>
      </c>
      <c r="E186" s="116" t="s">
        <v>1051</v>
      </c>
      <c r="F186" s="115" t="s">
        <v>11</v>
      </c>
      <c r="G186" s="115" t="s">
        <v>1080</v>
      </c>
      <c r="H186" s="115" t="s">
        <v>1</v>
      </c>
      <c r="I186" s="115" t="s">
        <v>9</v>
      </c>
      <c r="J186" s="116" t="s">
        <v>1020</v>
      </c>
      <c r="K186" s="117">
        <v>33331</v>
      </c>
      <c r="L186" s="118">
        <v>1991</v>
      </c>
      <c r="M186" s="118">
        <f t="shared" si="9"/>
        <v>28</v>
      </c>
      <c r="N186" s="115" t="s">
        <v>3</v>
      </c>
      <c r="O186" s="115" t="s">
        <v>464</v>
      </c>
      <c r="P186" s="116" t="s">
        <v>474</v>
      </c>
      <c r="Q186" s="115"/>
      <c r="R186" s="116" t="s">
        <v>466</v>
      </c>
    </row>
    <row r="187" spans="2:18" ht="25.5" hidden="1">
      <c r="B187" s="166"/>
      <c r="C187" s="166"/>
      <c r="D187" s="115">
        <v>180</v>
      </c>
      <c r="E187" s="116" t="s">
        <v>1076</v>
      </c>
      <c r="F187" s="115" t="s">
        <v>11</v>
      </c>
      <c r="G187" s="115" t="s">
        <v>1081</v>
      </c>
      <c r="H187" s="115" t="s">
        <v>7</v>
      </c>
      <c r="I187" s="115" t="s">
        <v>9</v>
      </c>
      <c r="J187" s="116" t="s">
        <v>1020</v>
      </c>
      <c r="K187" s="117">
        <v>35380</v>
      </c>
      <c r="L187" s="118">
        <v>1996</v>
      </c>
      <c r="M187" s="118">
        <f t="shared" si="9"/>
        <v>23</v>
      </c>
      <c r="N187" s="115" t="s">
        <v>3</v>
      </c>
      <c r="O187" s="115" t="s">
        <v>464</v>
      </c>
      <c r="P187" s="116" t="s">
        <v>465</v>
      </c>
      <c r="Q187" s="115"/>
      <c r="R187" s="116" t="s">
        <v>469</v>
      </c>
    </row>
    <row r="188" spans="2:18" ht="25.5" hidden="1">
      <c r="B188" s="167"/>
      <c r="C188" s="167"/>
      <c r="D188" s="115">
        <v>181</v>
      </c>
      <c r="E188" s="116" t="s">
        <v>1077</v>
      </c>
      <c r="F188" s="115" t="s">
        <v>11</v>
      </c>
      <c r="G188" s="115" t="s">
        <v>1082</v>
      </c>
      <c r="H188" s="115" t="s">
        <v>7</v>
      </c>
      <c r="I188" s="115" t="s">
        <v>9</v>
      </c>
      <c r="J188" s="116" t="s">
        <v>1020</v>
      </c>
      <c r="K188" s="117">
        <v>37728</v>
      </c>
      <c r="L188" s="118">
        <v>2003</v>
      </c>
      <c r="M188" s="118">
        <f t="shared" si="9"/>
        <v>16</v>
      </c>
      <c r="N188" s="115" t="s">
        <v>3</v>
      </c>
      <c r="O188" s="115" t="s">
        <v>464</v>
      </c>
      <c r="P188" s="116" t="s">
        <v>470</v>
      </c>
      <c r="Q188" s="115"/>
      <c r="R188" s="116" t="s">
        <v>471</v>
      </c>
    </row>
    <row r="189" spans="2:18" ht="38.25" hidden="1">
      <c r="B189" s="165">
        <v>54</v>
      </c>
      <c r="C189" s="165" t="s">
        <v>1083</v>
      </c>
      <c r="D189" s="115">
        <v>182</v>
      </c>
      <c r="E189" s="116" t="s">
        <v>1084</v>
      </c>
      <c r="F189" s="115" t="s">
        <v>6</v>
      </c>
      <c r="G189" s="115" t="s">
        <v>1087</v>
      </c>
      <c r="H189" s="115" t="s">
        <v>7</v>
      </c>
      <c r="I189" s="115" t="s">
        <v>500</v>
      </c>
      <c r="J189" s="116" t="s">
        <v>1020</v>
      </c>
      <c r="K189" s="117">
        <v>23924</v>
      </c>
      <c r="L189" s="118">
        <v>1965</v>
      </c>
      <c r="M189" s="118">
        <f t="shared" si="9"/>
        <v>54</v>
      </c>
      <c r="N189" s="115" t="s">
        <v>3</v>
      </c>
      <c r="O189" s="115" t="s">
        <v>464</v>
      </c>
      <c r="P189" s="116" t="s">
        <v>468</v>
      </c>
      <c r="Q189" s="115"/>
      <c r="R189" s="116" t="s">
        <v>467</v>
      </c>
    </row>
    <row r="190" spans="2:18" ht="25.5" hidden="1">
      <c r="B190" s="167"/>
      <c r="C190" s="167"/>
      <c r="D190" s="115">
        <v>183</v>
      </c>
      <c r="E190" s="116" t="s">
        <v>1085</v>
      </c>
      <c r="F190" s="115" t="s">
        <v>1086</v>
      </c>
      <c r="G190" s="115" t="s">
        <v>1089</v>
      </c>
      <c r="H190" s="115" t="s">
        <v>7</v>
      </c>
      <c r="I190" s="115" t="s">
        <v>9</v>
      </c>
      <c r="J190" s="116" t="s">
        <v>495</v>
      </c>
      <c r="K190" s="117">
        <v>40576</v>
      </c>
      <c r="L190" s="118">
        <v>2011</v>
      </c>
      <c r="M190" s="118">
        <f t="shared" si="9"/>
        <v>8</v>
      </c>
      <c r="N190" s="115" t="s">
        <v>3</v>
      </c>
      <c r="O190" s="115" t="s">
        <v>464</v>
      </c>
      <c r="P190" s="116" t="s">
        <v>470</v>
      </c>
      <c r="Q190" s="115"/>
      <c r="R190" s="116" t="s">
        <v>471</v>
      </c>
    </row>
    <row r="194" spans="4:18" s="136" customFormat="1" ht="15">
      <c r="D194" s="157" t="s">
        <v>1098</v>
      </c>
      <c r="E194" s="157"/>
      <c r="F194" s="157"/>
      <c r="L194" s="39"/>
      <c r="P194" s="41"/>
      <c r="R194" s="41"/>
    </row>
    <row r="195" spans="4:18" s="136" customFormat="1" ht="15">
      <c r="D195" s="157" t="s">
        <v>1099</v>
      </c>
      <c r="E195" s="157"/>
      <c r="F195" s="157"/>
      <c r="L195" s="39"/>
      <c r="P195" s="139" t="s">
        <v>1100</v>
      </c>
      <c r="Q195" s="139"/>
      <c r="R195" s="41"/>
    </row>
    <row r="196" spans="4:18" s="136" customFormat="1" ht="15">
      <c r="D196" s="137"/>
      <c r="E196" s="138"/>
      <c r="F196" s="137"/>
      <c r="L196" s="39"/>
      <c r="P196" s="94"/>
      <c r="Q196" s="93"/>
      <c r="R196" s="41"/>
    </row>
    <row r="197" spans="4:18" s="136" customFormat="1" ht="15">
      <c r="D197" s="137"/>
      <c r="E197" s="138"/>
      <c r="F197" s="137"/>
      <c r="L197" s="39"/>
      <c r="P197" s="94"/>
      <c r="Q197" s="93"/>
      <c r="R197" s="41"/>
    </row>
    <row r="198" spans="4:18" s="136" customFormat="1" ht="15">
      <c r="D198" s="137"/>
      <c r="E198" s="138"/>
      <c r="F198" s="137"/>
      <c r="L198" s="39"/>
      <c r="P198" s="94"/>
      <c r="Q198" s="93"/>
      <c r="R198" s="41"/>
    </row>
    <row r="199" spans="4:18" s="136" customFormat="1" ht="14.25">
      <c r="D199" s="158" t="s">
        <v>1101</v>
      </c>
      <c r="E199" s="158"/>
      <c r="F199" s="158"/>
      <c r="L199" s="39"/>
      <c r="P199" s="140" t="s">
        <v>1103</v>
      </c>
      <c r="Q199" s="140"/>
      <c r="R199" s="41"/>
    </row>
    <row r="200" spans="4:18" s="136" customFormat="1" ht="14.25">
      <c r="D200" s="158" t="s">
        <v>1102</v>
      </c>
      <c r="E200" s="158"/>
      <c r="F200" s="158"/>
      <c r="L200" s="39"/>
      <c r="P200" s="41"/>
      <c r="R200" s="41"/>
    </row>
  </sheetData>
  <autoFilter ref="B7:R190">
    <filterColumn colId="11">
      <filters>
        <filter val="60"/>
        <filter val="61"/>
        <filter val="62"/>
        <filter val="64"/>
        <filter val="66"/>
        <filter val="69"/>
        <filter val="70"/>
        <filter val="73"/>
      </filters>
    </filterColumn>
  </autoFilter>
  <mergeCells count="127">
    <mergeCell ref="B1:R1"/>
    <mergeCell ref="B2:R2"/>
    <mergeCell ref="B84:B87"/>
    <mergeCell ref="C84:C87"/>
    <mergeCell ref="C82:C83"/>
    <mergeCell ref="B54:B58"/>
    <mergeCell ref="E5:E6"/>
    <mergeCell ref="B19:B21"/>
    <mergeCell ref="B13:B15"/>
    <mergeCell ref="B16:B18"/>
    <mergeCell ref="B8:B12"/>
    <mergeCell ref="C16:C18"/>
    <mergeCell ref="C5:C6"/>
    <mergeCell ref="C8:C12"/>
    <mergeCell ref="B5:B6"/>
    <mergeCell ref="D5:D6"/>
    <mergeCell ref="C13:C15"/>
    <mergeCell ref="C19:C21"/>
    <mergeCell ref="B22:B26"/>
    <mergeCell ref="C22:C26"/>
    <mergeCell ref="C27:C31"/>
    <mergeCell ref="B82:B83"/>
    <mergeCell ref="B59:B62"/>
    <mergeCell ref="B32:B35"/>
    <mergeCell ref="F5:F6"/>
    <mergeCell ref="G5:G6"/>
    <mergeCell ref="N5:N6"/>
    <mergeCell ref="P5:P6"/>
    <mergeCell ref="R5:R6"/>
    <mergeCell ref="J5:L5"/>
    <mergeCell ref="M5:M6"/>
    <mergeCell ref="O5:O6"/>
    <mergeCell ref="Q5:Q6"/>
    <mergeCell ref="I5:I6"/>
    <mergeCell ref="H5:H6"/>
    <mergeCell ref="B45:B46"/>
    <mergeCell ref="B51:B52"/>
    <mergeCell ref="B27:B31"/>
    <mergeCell ref="B47:B50"/>
    <mergeCell ref="C47:C50"/>
    <mergeCell ref="C59:C62"/>
    <mergeCell ref="C32:C35"/>
    <mergeCell ref="C76:C81"/>
    <mergeCell ref="B73:B75"/>
    <mergeCell ref="C73:C75"/>
    <mergeCell ref="B63:B64"/>
    <mergeCell ref="B70:B72"/>
    <mergeCell ref="C63:C64"/>
    <mergeCell ref="B65:B69"/>
    <mergeCell ref="B36:B38"/>
    <mergeCell ref="B39:B41"/>
    <mergeCell ref="B112:B115"/>
    <mergeCell ref="C112:C115"/>
    <mergeCell ref="C36:C38"/>
    <mergeCell ref="C39:C41"/>
    <mergeCell ref="C42:C44"/>
    <mergeCell ref="C45:C46"/>
    <mergeCell ref="C51:C52"/>
    <mergeCell ref="C109:C111"/>
    <mergeCell ref="C105:C108"/>
    <mergeCell ref="B100:B104"/>
    <mergeCell ref="C100:C104"/>
    <mergeCell ref="B105:B108"/>
    <mergeCell ref="B109:B111"/>
    <mergeCell ref="C54:C58"/>
    <mergeCell ref="B91:B95"/>
    <mergeCell ref="C91:C95"/>
    <mergeCell ref="B97:B99"/>
    <mergeCell ref="C97:C99"/>
    <mergeCell ref="B76:B81"/>
    <mergeCell ref="C88:C90"/>
    <mergeCell ref="C65:C69"/>
    <mergeCell ref="C70:C72"/>
    <mergeCell ref="B88:B90"/>
    <mergeCell ref="B42:B44"/>
    <mergeCell ref="C125:C127"/>
    <mergeCell ref="B125:B127"/>
    <mergeCell ref="C128:C130"/>
    <mergeCell ref="B128:B130"/>
    <mergeCell ref="C131:C133"/>
    <mergeCell ref="B131:B133"/>
    <mergeCell ref="B116:B117"/>
    <mergeCell ref="C116:C117"/>
    <mergeCell ref="C118:C122"/>
    <mergeCell ref="B118:B122"/>
    <mergeCell ref="B123:B124"/>
    <mergeCell ref="C123:C124"/>
    <mergeCell ref="C145:C148"/>
    <mergeCell ref="B145:B148"/>
    <mergeCell ref="C149:C150"/>
    <mergeCell ref="B149:B150"/>
    <mergeCell ref="C151:C152"/>
    <mergeCell ref="B151:B152"/>
    <mergeCell ref="C134:C137"/>
    <mergeCell ref="B134:B137"/>
    <mergeCell ref="C138:C141"/>
    <mergeCell ref="B138:B141"/>
    <mergeCell ref="C142:C144"/>
    <mergeCell ref="B142:B144"/>
    <mergeCell ref="B153:B154"/>
    <mergeCell ref="C153:C154"/>
    <mergeCell ref="C155:C157"/>
    <mergeCell ref="B155:B157"/>
    <mergeCell ref="C158:C161"/>
    <mergeCell ref="B158:B161"/>
    <mergeCell ref="C184:C188"/>
    <mergeCell ref="B184:B188"/>
    <mergeCell ref="C189:C190"/>
    <mergeCell ref="B189:B190"/>
    <mergeCell ref="C172:C175"/>
    <mergeCell ref="B172:B175"/>
    <mergeCell ref="C176:C178"/>
    <mergeCell ref="B176:B178"/>
    <mergeCell ref="C179:C183"/>
    <mergeCell ref="B179:B183"/>
    <mergeCell ref="D194:F194"/>
    <mergeCell ref="D195:F195"/>
    <mergeCell ref="P195:Q195"/>
    <mergeCell ref="D199:F199"/>
    <mergeCell ref="P199:Q199"/>
    <mergeCell ref="D200:F200"/>
    <mergeCell ref="C162:C165"/>
    <mergeCell ref="B162:B165"/>
    <mergeCell ref="C166:C167"/>
    <mergeCell ref="B166:B167"/>
    <mergeCell ref="C168:C171"/>
    <mergeCell ref="B168:B171"/>
  </mergeCells>
  <pageMargins left="1.37795275590551" right="0.196850393700787" top="0.39370078740157499" bottom="0.643700787" header="0.31496062992126" footer="0.31496062992126"/>
  <pageSetup paperSize="10000" scale="82" orientation="landscape" r:id="rId1"/>
  <headerFooter>
    <oddFooter>&amp;C&amp;"-,Bold"&amp;12&amp;P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7" sqref="C7"/>
    </sheetView>
  </sheetViews>
  <sheetFormatPr defaultRowHeight="15"/>
  <sheetData>
    <row r="1" spans="1:3">
      <c r="A1">
        <v>97</v>
      </c>
      <c r="C1">
        <v>263</v>
      </c>
    </row>
    <row r="2" spans="1:3">
      <c r="A2">
        <v>87</v>
      </c>
      <c r="C2">
        <v>274</v>
      </c>
    </row>
    <row r="3" spans="1:3">
      <c r="A3">
        <v>70</v>
      </c>
      <c r="C3">
        <v>232</v>
      </c>
    </row>
    <row r="4" spans="1:3">
      <c r="A4">
        <v>63</v>
      </c>
      <c r="C4">
        <v>193</v>
      </c>
    </row>
    <row r="5" spans="1:3">
      <c r="A5">
        <v>24</v>
      </c>
      <c r="C5">
        <v>70</v>
      </c>
    </row>
    <row r="6" spans="1:3">
      <c r="A6">
        <f>SUM(A1:A5)</f>
        <v>341</v>
      </c>
      <c r="C6">
        <f>SUM(C1:C5)</f>
        <v>1032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AZ13"/>
  <sheetViews>
    <sheetView workbookViewId="0">
      <pane ySplit="4" topLeftCell="A5" activePane="bottomLeft" state="frozen"/>
      <selection pane="bottomLeft" activeCell="C13" sqref="C13"/>
    </sheetView>
  </sheetViews>
  <sheetFormatPr defaultRowHeight="15"/>
  <cols>
    <col min="2" max="2" width="19.28515625" customWidth="1"/>
    <col min="6" max="6" width="19.28515625" customWidth="1"/>
    <col min="10" max="10" width="16" customWidth="1"/>
    <col min="11" max="11" width="10.7109375" bestFit="1" customWidth="1"/>
  </cols>
  <sheetData>
    <row r="3" spans="1:52">
      <c r="A3" s="173" t="s">
        <v>50</v>
      </c>
      <c r="B3" s="176" t="s">
        <v>447</v>
      </c>
      <c r="C3" s="5" t="s">
        <v>445</v>
      </c>
      <c r="D3" s="173" t="s">
        <v>51</v>
      </c>
      <c r="E3" s="173" t="s">
        <v>57</v>
      </c>
      <c r="F3" s="178" t="s">
        <v>58</v>
      </c>
      <c r="G3" s="173" t="s">
        <v>52</v>
      </c>
      <c r="H3" s="173" t="s">
        <v>53</v>
      </c>
      <c r="I3" s="170" t="s">
        <v>448</v>
      </c>
      <c r="J3" s="172"/>
      <c r="K3" s="171"/>
      <c r="L3" s="174" t="s">
        <v>452</v>
      </c>
      <c r="M3" s="173" t="s">
        <v>54</v>
      </c>
      <c r="N3" s="5"/>
      <c r="O3" s="173" t="s">
        <v>55</v>
      </c>
      <c r="P3" s="5"/>
      <c r="Q3" s="173" t="s">
        <v>56</v>
      </c>
      <c r="R3" s="170" t="s">
        <v>453</v>
      </c>
      <c r="S3" s="171"/>
      <c r="T3" s="170" t="s">
        <v>459</v>
      </c>
      <c r="U3" s="172"/>
      <c r="V3" s="172"/>
      <c r="W3" s="171"/>
    </row>
    <row r="4" spans="1:52" ht="26.25" thickBot="1">
      <c r="A4" s="173"/>
      <c r="B4" s="177"/>
      <c r="C4" s="5" t="s">
        <v>446</v>
      </c>
      <c r="D4" s="173"/>
      <c r="E4" s="173"/>
      <c r="F4" s="178"/>
      <c r="G4" s="173"/>
      <c r="H4" s="173"/>
      <c r="I4" s="5" t="s">
        <v>449</v>
      </c>
      <c r="J4" s="20" t="s">
        <v>450</v>
      </c>
      <c r="K4" s="6" t="s">
        <v>451</v>
      </c>
      <c r="L4" s="175"/>
      <c r="M4" s="173"/>
      <c r="N4" s="5"/>
      <c r="O4" s="173"/>
      <c r="P4" s="5"/>
      <c r="Q4" s="173"/>
      <c r="R4" s="10" t="s">
        <v>454</v>
      </c>
      <c r="S4" s="10" t="s">
        <v>455</v>
      </c>
      <c r="T4" s="10" t="s">
        <v>6</v>
      </c>
      <c r="U4" s="10" t="s">
        <v>456</v>
      </c>
      <c r="V4" s="10" t="s">
        <v>457</v>
      </c>
      <c r="W4" s="10" t="s">
        <v>458</v>
      </c>
    </row>
    <row r="5" spans="1:52" ht="15.75" thickBot="1">
      <c r="A5" s="11"/>
      <c r="B5" s="11"/>
      <c r="C5" s="11"/>
      <c r="D5" s="16"/>
      <c r="E5" s="16"/>
      <c r="F5" s="12"/>
      <c r="G5" s="16"/>
      <c r="H5" s="16"/>
      <c r="I5" s="16"/>
      <c r="J5" s="18"/>
      <c r="K5" s="17"/>
      <c r="L5" s="13"/>
      <c r="M5" s="16"/>
      <c r="N5" s="16"/>
      <c r="O5" s="16"/>
      <c r="P5" s="16"/>
      <c r="Q5" s="16"/>
      <c r="R5" s="11"/>
      <c r="S5" s="11"/>
      <c r="T5" s="11"/>
      <c r="U5" s="11"/>
      <c r="V5" s="11"/>
      <c r="W5" s="11"/>
    </row>
    <row r="6" spans="1:52" ht="64.5" thickBot="1">
      <c r="A6" s="27"/>
      <c r="B6" s="4" t="s">
        <v>538</v>
      </c>
      <c r="C6" s="3"/>
      <c r="D6" s="1" t="s">
        <v>100</v>
      </c>
      <c r="E6" s="2" t="s">
        <v>6</v>
      </c>
      <c r="F6" s="2" t="s">
        <v>539</v>
      </c>
      <c r="G6" s="1" t="s">
        <v>1</v>
      </c>
      <c r="H6" s="1" t="s">
        <v>2</v>
      </c>
      <c r="I6" s="1" t="s">
        <v>463</v>
      </c>
      <c r="J6" s="21">
        <v>23477</v>
      </c>
      <c r="K6" s="9">
        <v>1964</v>
      </c>
      <c r="L6" s="7">
        <f>2019-K6</f>
        <v>55</v>
      </c>
      <c r="M6" s="1" t="s">
        <v>3</v>
      </c>
      <c r="N6" s="1"/>
      <c r="O6" s="1" t="s">
        <v>540</v>
      </c>
      <c r="P6" s="1"/>
      <c r="Q6" s="1" t="s">
        <v>479</v>
      </c>
      <c r="R6" s="1"/>
      <c r="S6" s="2"/>
      <c r="T6" s="1"/>
      <c r="U6" s="2"/>
      <c r="V6" s="1"/>
      <c r="W6" s="2"/>
    </row>
    <row r="7" spans="1:52" ht="39" thickBot="1">
      <c r="A7" s="28"/>
      <c r="B7" s="4" t="s">
        <v>584</v>
      </c>
      <c r="C7" s="4"/>
      <c r="D7" s="2" t="s">
        <v>207</v>
      </c>
      <c r="E7" s="2" t="s">
        <v>8</v>
      </c>
      <c r="F7" s="2" t="s">
        <v>585</v>
      </c>
      <c r="G7" s="2" t="s">
        <v>7</v>
      </c>
      <c r="H7" s="2" t="s">
        <v>2</v>
      </c>
      <c r="I7" s="2" t="s">
        <v>463</v>
      </c>
      <c r="J7" s="19">
        <v>25933</v>
      </c>
      <c r="K7" s="14">
        <v>1970</v>
      </c>
      <c r="L7" s="15">
        <f>2019-K7</f>
        <v>49</v>
      </c>
      <c r="M7" s="2" t="s">
        <v>3</v>
      </c>
      <c r="N7" s="2"/>
      <c r="O7" s="2" t="s">
        <v>465</v>
      </c>
      <c r="P7" s="2"/>
      <c r="Q7" s="2" t="s">
        <v>480</v>
      </c>
      <c r="R7" s="2"/>
      <c r="S7" s="2"/>
      <c r="T7" s="2"/>
      <c r="U7" s="2"/>
      <c r="V7" s="2"/>
      <c r="W7" s="2"/>
    </row>
    <row r="8" spans="1:52" s="22" customFormat="1" ht="51">
      <c r="B8" s="22">
        <v>65</v>
      </c>
      <c r="C8" s="22" t="s">
        <v>719</v>
      </c>
      <c r="E8" s="33" t="s">
        <v>720</v>
      </c>
      <c r="F8" s="30" t="s">
        <v>6</v>
      </c>
      <c r="G8" s="22" t="s">
        <v>92</v>
      </c>
      <c r="H8" s="30" t="s">
        <v>1</v>
      </c>
      <c r="I8" s="30" t="s">
        <v>2</v>
      </c>
      <c r="J8" s="30" t="s">
        <v>463</v>
      </c>
      <c r="K8" s="31">
        <v>22894</v>
      </c>
      <c r="L8" s="34">
        <v>1962</v>
      </c>
      <c r="M8" s="32">
        <f>2019-L8</f>
        <v>57</v>
      </c>
      <c r="N8" s="30" t="s">
        <v>3</v>
      </c>
      <c r="O8" s="30" t="s">
        <v>464</v>
      </c>
      <c r="P8" s="29" t="s">
        <v>470</v>
      </c>
      <c r="R8" s="29" t="s">
        <v>684</v>
      </c>
    </row>
    <row r="9" spans="1:52" s="36" customFormat="1" ht="51">
      <c r="C9" s="36" t="s">
        <v>784</v>
      </c>
      <c r="E9" s="37" t="s">
        <v>785</v>
      </c>
      <c r="F9" s="37" t="s">
        <v>6</v>
      </c>
      <c r="G9" s="36" t="s">
        <v>788</v>
      </c>
      <c r="H9" s="37" t="s">
        <v>1</v>
      </c>
      <c r="I9" s="37" t="s">
        <v>2</v>
      </c>
      <c r="J9" s="37" t="s">
        <v>558</v>
      </c>
      <c r="K9" s="38">
        <v>18628</v>
      </c>
      <c r="L9" s="39">
        <v>1950</v>
      </c>
      <c r="M9" s="40">
        <f t="shared" ref="M9" si="0">2019-L9</f>
        <v>69</v>
      </c>
      <c r="N9" s="37" t="s">
        <v>3</v>
      </c>
      <c r="O9" s="37" t="s">
        <v>464</v>
      </c>
      <c r="P9" s="41" t="s">
        <v>670</v>
      </c>
      <c r="R9" s="41" t="s">
        <v>793</v>
      </c>
    </row>
    <row r="10" spans="1:52" s="67" customFormat="1" ht="12.75">
      <c r="A10" s="70" t="s">
        <v>853</v>
      </c>
      <c r="B10" s="75">
        <v>42</v>
      </c>
      <c r="C10" s="75"/>
      <c r="D10" s="83">
        <v>149</v>
      </c>
      <c r="E10" s="75" t="s">
        <v>48</v>
      </c>
      <c r="F10" s="75" t="s">
        <v>6</v>
      </c>
      <c r="G10" s="75" t="s">
        <v>352</v>
      </c>
      <c r="H10" s="75" t="s">
        <v>7</v>
      </c>
      <c r="I10" s="75" t="s">
        <v>16</v>
      </c>
      <c r="J10" s="75"/>
      <c r="K10" s="76">
        <v>23193</v>
      </c>
      <c r="L10" s="77"/>
      <c r="M10" s="77">
        <f>2019-L10</f>
        <v>2019</v>
      </c>
      <c r="N10" s="75" t="s">
        <v>3</v>
      </c>
      <c r="O10" s="75"/>
      <c r="P10" s="75" t="s">
        <v>4</v>
      </c>
      <c r="Q10" s="75"/>
      <c r="R10" s="75" t="s">
        <v>5</v>
      </c>
      <c r="S10" s="75"/>
      <c r="T10" s="75"/>
      <c r="U10" s="75"/>
      <c r="V10" s="75"/>
      <c r="W10" s="75"/>
      <c r="X10" s="75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</row>
    <row r="11" spans="1:52">
      <c r="D11" t="s">
        <v>1048</v>
      </c>
      <c r="E11" t="s">
        <v>1047</v>
      </c>
      <c r="F11" t="s">
        <v>6</v>
      </c>
      <c r="G11" t="s">
        <v>1046</v>
      </c>
      <c r="H11" t="s">
        <v>1</v>
      </c>
      <c r="I11" t="s">
        <v>2</v>
      </c>
      <c r="J11" t="s">
        <v>463</v>
      </c>
      <c r="K11" s="89">
        <v>21550</v>
      </c>
      <c r="L11">
        <v>1958</v>
      </c>
      <c r="M11" t="s">
        <v>3</v>
      </c>
      <c r="N11" t="s">
        <v>464</v>
      </c>
      <c r="O11" t="s">
        <v>465</v>
      </c>
      <c r="Q11" t="s">
        <v>1049</v>
      </c>
    </row>
    <row r="12" spans="1:52" s="67" customFormat="1" ht="12.75">
      <c r="A12" s="70"/>
      <c r="B12" s="91"/>
      <c r="C12" s="91"/>
      <c r="D12" s="25">
        <v>72</v>
      </c>
      <c r="E12" s="25" t="s">
        <v>207</v>
      </c>
      <c r="F12" s="25" t="s">
        <v>8</v>
      </c>
      <c r="G12" s="25" t="s">
        <v>639</v>
      </c>
      <c r="H12" s="25" t="s">
        <v>7</v>
      </c>
      <c r="I12" s="25" t="s">
        <v>2</v>
      </c>
      <c r="J12" s="25" t="s">
        <v>463</v>
      </c>
      <c r="K12" s="26">
        <v>25933</v>
      </c>
      <c r="L12" s="24">
        <v>1970</v>
      </c>
      <c r="M12" s="24">
        <f>2019-L12</f>
        <v>49</v>
      </c>
      <c r="N12" s="25" t="s">
        <v>3</v>
      </c>
      <c r="O12" s="25" t="s">
        <v>464</v>
      </c>
      <c r="P12" s="25" t="s">
        <v>465</v>
      </c>
      <c r="Q12" s="25"/>
      <c r="R12" s="25" t="s">
        <v>480</v>
      </c>
      <c r="S12" s="25"/>
      <c r="T12" s="25"/>
      <c r="U12" s="25"/>
      <c r="V12" s="25"/>
      <c r="W12" s="25"/>
      <c r="X12" s="25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</row>
    <row r="13" spans="1:52" s="25" customFormat="1" ht="12.75">
      <c r="A13" s="37"/>
      <c r="B13" s="90">
        <v>33</v>
      </c>
      <c r="C13" s="90" t="s">
        <v>784</v>
      </c>
      <c r="D13" s="83">
        <v>113</v>
      </c>
      <c r="E13" s="25" t="s">
        <v>785</v>
      </c>
      <c r="F13" s="25" t="s">
        <v>6</v>
      </c>
      <c r="G13" s="25" t="s">
        <v>860</v>
      </c>
      <c r="H13" s="25" t="s">
        <v>1</v>
      </c>
      <c r="I13" s="25" t="s">
        <v>2</v>
      </c>
      <c r="J13" s="25" t="s">
        <v>558</v>
      </c>
      <c r="K13" s="26">
        <v>18628</v>
      </c>
      <c r="L13" s="24">
        <v>1950</v>
      </c>
      <c r="M13" s="24">
        <f>2019-L13</f>
        <v>69</v>
      </c>
      <c r="N13" s="25" t="s">
        <v>3</v>
      </c>
      <c r="O13" s="25" t="s">
        <v>464</v>
      </c>
      <c r="P13" s="25" t="s">
        <v>670</v>
      </c>
      <c r="R13" s="25" t="s">
        <v>793</v>
      </c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</row>
  </sheetData>
  <autoFilter ref="A5:W5"/>
  <mergeCells count="14">
    <mergeCell ref="G3:G4"/>
    <mergeCell ref="A3:A4"/>
    <mergeCell ref="B3:B4"/>
    <mergeCell ref="D3:D4"/>
    <mergeCell ref="E3:E4"/>
    <mergeCell ref="F3:F4"/>
    <mergeCell ref="R3:S3"/>
    <mergeCell ref="T3:W3"/>
    <mergeCell ref="H3:H4"/>
    <mergeCell ref="I3:K3"/>
    <mergeCell ref="L3:L4"/>
    <mergeCell ref="M3:M4"/>
    <mergeCell ref="O3:O4"/>
    <mergeCell ref="Q3:Q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AZ27"/>
  <sheetViews>
    <sheetView workbookViewId="0">
      <pane ySplit="4" topLeftCell="A15" activePane="bottomLeft" state="frozen"/>
      <selection pane="bottomLeft" activeCell="D24" sqref="D24"/>
    </sheetView>
  </sheetViews>
  <sheetFormatPr defaultRowHeight="15"/>
  <cols>
    <col min="4" max="4" width="9.28515625" bestFit="1" customWidth="1"/>
    <col min="6" max="6" width="17" customWidth="1"/>
    <col min="9" max="9" width="15.85546875" customWidth="1"/>
    <col min="10" max="10" width="17.28515625" customWidth="1"/>
    <col min="11" max="11" width="10.85546875" bestFit="1" customWidth="1"/>
    <col min="12" max="13" width="9.28515625" bestFit="1" customWidth="1"/>
    <col min="15" max="15" width="20" customWidth="1"/>
  </cols>
  <sheetData>
    <row r="3" spans="1:23" s="55" customFormat="1">
      <c r="A3" s="173" t="s">
        <v>50</v>
      </c>
      <c r="B3" s="173" t="s">
        <v>447</v>
      </c>
      <c r="C3" s="35" t="s">
        <v>445</v>
      </c>
      <c r="D3" s="173" t="s">
        <v>51</v>
      </c>
      <c r="E3" s="173" t="s">
        <v>57</v>
      </c>
      <c r="F3" s="178" t="s">
        <v>58</v>
      </c>
      <c r="G3" s="173" t="s">
        <v>52</v>
      </c>
      <c r="H3" s="173" t="s">
        <v>53</v>
      </c>
      <c r="I3" s="173" t="s">
        <v>448</v>
      </c>
      <c r="J3" s="173"/>
      <c r="K3" s="173"/>
      <c r="L3" s="179" t="s">
        <v>452</v>
      </c>
      <c r="M3" s="173" t="s">
        <v>54</v>
      </c>
      <c r="N3" s="35"/>
      <c r="O3" s="173" t="s">
        <v>55</v>
      </c>
      <c r="P3" s="35"/>
      <c r="Q3" s="173" t="s">
        <v>56</v>
      </c>
      <c r="R3" s="173" t="s">
        <v>453</v>
      </c>
      <c r="S3" s="173"/>
      <c r="T3" s="173" t="s">
        <v>459</v>
      </c>
      <c r="U3" s="173"/>
      <c r="V3" s="173"/>
      <c r="W3" s="173"/>
    </row>
    <row r="4" spans="1:23" s="55" customFormat="1" ht="25.5">
      <c r="A4" s="173"/>
      <c r="B4" s="173"/>
      <c r="C4" s="35" t="s">
        <v>446</v>
      </c>
      <c r="D4" s="173"/>
      <c r="E4" s="173"/>
      <c r="F4" s="178"/>
      <c r="G4" s="173"/>
      <c r="H4" s="173"/>
      <c r="I4" s="35" t="s">
        <v>449</v>
      </c>
      <c r="J4" s="56" t="s">
        <v>450</v>
      </c>
      <c r="K4" s="6" t="s">
        <v>451</v>
      </c>
      <c r="L4" s="179"/>
      <c r="M4" s="173"/>
      <c r="N4" s="35"/>
      <c r="O4" s="173"/>
      <c r="P4" s="35"/>
      <c r="Q4" s="173"/>
      <c r="R4" s="35" t="s">
        <v>454</v>
      </c>
      <c r="S4" s="35" t="s">
        <v>455</v>
      </c>
      <c r="T4" s="35" t="s">
        <v>6</v>
      </c>
      <c r="U4" s="35" t="s">
        <v>456</v>
      </c>
      <c r="V4" s="35" t="s">
        <v>457</v>
      </c>
      <c r="W4" s="35" t="s">
        <v>458</v>
      </c>
    </row>
    <row r="5" spans="1:23" ht="15.75" thickBot="1">
      <c r="A5" s="11"/>
      <c r="B5" s="11"/>
      <c r="C5" s="11"/>
      <c r="D5" s="16"/>
      <c r="E5" s="16"/>
      <c r="F5" s="12"/>
      <c r="G5" s="16"/>
      <c r="H5" s="16"/>
      <c r="I5" s="16"/>
      <c r="J5" s="18"/>
      <c r="K5" s="17"/>
      <c r="L5" s="13"/>
      <c r="M5" s="16"/>
      <c r="N5" s="16"/>
      <c r="O5" s="16"/>
      <c r="P5" s="16"/>
      <c r="Q5" s="16"/>
      <c r="R5" s="11"/>
      <c r="S5" s="11"/>
      <c r="T5" s="11"/>
      <c r="U5" s="11"/>
      <c r="V5" s="11"/>
      <c r="W5" s="11"/>
    </row>
    <row r="6" spans="1:23" ht="25.5">
      <c r="C6" s="4"/>
      <c r="D6" s="4" t="s">
        <v>12</v>
      </c>
      <c r="E6" s="4" t="s">
        <v>11</v>
      </c>
      <c r="F6" s="4" t="s">
        <v>13</v>
      </c>
      <c r="G6" s="4" t="s">
        <v>7</v>
      </c>
      <c r="H6" s="4" t="s">
        <v>9</v>
      </c>
      <c r="I6" s="4" t="s">
        <v>484</v>
      </c>
      <c r="J6" s="23">
        <v>33969</v>
      </c>
      <c r="K6" s="8"/>
      <c r="L6" s="49">
        <f t="shared" ref="L6" si="0">2019-K6</f>
        <v>2019</v>
      </c>
      <c r="M6" s="4" t="s">
        <v>3</v>
      </c>
      <c r="N6" s="4"/>
      <c r="O6" s="4" t="s">
        <v>10</v>
      </c>
      <c r="P6" s="4"/>
      <c r="Q6" s="4" t="s">
        <v>5</v>
      </c>
      <c r="R6" s="4"/>
      <c r="S6" s="4"/>
      <c r="T6" s="4"/>
      <c r="U6" s="4"/>
      <c r="V6" s="4"/>
      <c r="W6" s="4"/>
    </row>
    <row r="7" spans="1:23" s="57" customFormat="1" ht="25.5">
      <c r="A7" s="42"/>
      <c r="B7" s="42"/>
      <c r="C7" s="42">
        <v>77</v>
      </c>
      <c r="D7" s="42" t="s">
        <v>210</v>
      </c>
      <c r="E7" s="42" t="s">
        <v>11</v>
      </c>
      <c r="F7" s="42" t="s">
        <v>211</v>
      </c>
      <c r="G7" s="42" t="s">
        <v>1</v>
      </c>
      <c r="H7" s="42" t="s">
        <v>9</v>
      </c>
      <c r="I7" s="42"/>
      <c r="J7" s="43">
        <v>35103</v>
      </c>
      <c r="K7" s="44"/>
      <c r="L7" s="44">
        <f t="shared" ref="L7:L15" si="1">2019-K7</f>
        <v>2019</v>
      </c>
      <c r="M7" s="42" t="s">
        <v>3</v>
      </c>
      <c r="N7" s="42"/>
      <c r="O7" s="42" t="s">
        <v>10</v>
      </c>
      <c r="P7" s="42"/>
      <c r="Q7" s="42" t="s">
        <v>4</v>
      </c>
      <c r="R7" s="42"/>
      <c r="S7" s="42"/>
      <c r="T7" s="42"/>
      <c r="U7" s="42"/>
      <c r="V7" s="42"/>
      <c r="W7" s="42"/>
    </row>
    <row r="8" spans="1:23" s="57" customFormat="1" ht="25.5">
      <c r="A8" s="42"/>
      <c r="B8" s="42"/>
      <c r="C8" s="42">
        <v>50</v>
      </c>
      <c r="D8" s="42" t="s">
        <v>172</v>
      </c>
      <c r="E8" s="42" t="s">
        <v>11</v>
      </c>
      <c r="F8" s="42" t="s">
        <v>173</v>
      </c>
      <c r="G8" s="42" t="s">
        <v>1</v>
      </c>
      <c r="H8" s="42" t="s">
        <v>9</v>
      </c>
      <c r="I8" s="42"/>
      <c r="J8" s="43">
        <v>33726</v>
      </c>
      <c r="K8" s="44"/>
      <c r="L8" s="44">
        <f t="shared" si="1"/>
        <v>2019</v>
      </c>
      <c r="M8" s="42" t="s">
        <v>3</v>
      </c>
      <c r="N8" s="42"/>
      <c r="O8" s="42" t="s">
        <v>14</v>
      </c>
      <c r="P8" s="42"/>
      <c r="Q8" s="42" t="s">
        <v>5</v>
      </c>
      <c r="R8" s="42"/>
      <c r="S8" s="42"/>
      <c r="T8" s="42"/>
      <c r="U8" s="42"/>
      <c r="V8" s="42"/>
      <c r="W8" s="42"/>
    </row>
    <row r="9" spans="1:23" s="57" customFormat="1" ht="25.5">
      <c r="A9" s="42"/>
      <c r="B9" s="42"/>
      <c r="C9" s="42">
        <v>168</v>
      </c>
      <c r="D9" s="42" t="s">
        <v>350</v>
      </c>
      <c r="E9" s="42" t="s">
        <v>11</v>
      </c>
      <c r="F9" s="42" t="s">
        <v>351</v>
      </c>
      <c r="G9" s="42" t="s">
        <v>7</v>
      </c>
      <c r="H9" s="42" t="s">
        <v>9</v>
      </c>
      <c r="I9" s="42"/>
      <c r="J9" s="43">
        <v>34283</v>
      </c>
      <c r="K9" s="44"/>
      <c r="L9" s="44">
        <f t="shared" si="1"/>
        <v>2019</v>
      </c>
      <c r="M9" s="42" t="s">
        <v>3</v>
      </c>
      <c r="N9" s="42"/>
      <c r="O9" s="42" t="s">
        <v>18</v>
      </c>
      <c r="P9" s="42"/>
      <c r="Q9" s="42" t="s">
        <v>5</v>
      </c>
      <c r="R9" s="42"/>
      <c r="S9" s="42"/>
      <c r="T9" s="42"/>
      <c r="U9" s="42"/>
      <c r="V9" s="42"/>
      <c r="W9" s="42"/>
    </row>
    <row r="10" spans="1:23" s="57" customFormat="1" ht="25.5">
      <c r="A10" s="42"/>
      <c r="B10" s="42"/>
      <c r="C10" s="42">
        <v>81</v>
      </c>
      <c r="D10" s="42" t="s">
        <v>158</v>
      </c>
      <c r="E10" s="42" t="s">
        <v>11</v>
      </c>
      <c r="F10" s="42" t="s">
        <v>216</v>
      </c>
      <c r="G10" s="42" t="s">
        <v>1</v>
      </c>
      <c r="H10" s="42" t="s">
        <v>9</v>
      </c>
      <c r="I10" s="42"/>
      <c r="J10" s="43">
        <v>34890</v>
      </c>
      <c r="K10" s="44"/>
      <c r="L10" s="44">
        <f t="shared" si="1"/>
        <v>2019</v>
      </c>
      <c r="M10" s="42" t="s">
        <v>3</v>
      </c>
      <c r="N10" s="42"/>
      <c r="O10" s="42" t="s">
        <v>10</v>
      </c>
      <c r="P10" s="42"/>
      <c r="Q10" s="42" t="s">
        <v>4</v>
      </c>
      <c r="R10" s="42"/>
      <c r="S10" s="42"/>
      <c r="T10" s="42"/>
      <c r="U10" s="42"/>
      <c r="V10" s="42"/>
      <c r="W10" s="42"/>
    </row>
    <row r="11" spans="1:23" s="60" customFormat="1" ht="25.5">
      <c r="D11" s="50" t="s">
        <v>721</v>
      </c>
      <c r="E11" s="50" t="s">
        <v>11</v>
      </c>
      <c r="F11" s="60" t="s">
        <v>722</v>
      </c>
      <c r="G11" s="50" t="s">
        <v>7</v>
      </c>
      <c r="H11" s="50" t="s">
        <v>9</v>
      </c>
      <c r="I11" s="50" t="s">
        <v>463</v>
      </c>
      <c r="J11" s="61">
        <v>31777</v>
      </c>
      <c r="K11" s="51">
        <v>1986</v>
      </c>
      <c r="L11" s="52">
        <f t="shared" si="1"/>
        <v>33</v>
      </c>
      <c r="M11" s="50" t="s">
        <v>3</v>
      </c>
      <c r="N11" s="50" t="s">
        <v>464</v>
      </c>
      <c r="O11" s="53" t="s">
        <v>465</v>
      </c>
      <c r="Q11" s="53" t="s">
        <v>466</v>
      </c>
    </row>
    <row r="12" spans="1:23" s="60" customFormat="1" ht="38.25">
      <c r="A12" s="53" t="s">
        <v>885</v>
      </c>
      <c r="B12" s="181" t="s">
        <v>852</v>
      </c>
      <c r="C12" s="53">
        <v>24</v>
      </c>
      <c r="D12" s="53" t="s">
        <v>131</v>
      </c>
      <c r="E12" s="53" t="s">
        <v>6</v>
      </c>
      <c r="F12" s="53" t="s">
        <v>132</v>
      </c>
      <c r="G12" s="53" t="s">
        <v>1</v>
      </c>
      <c r="H12" s="53" t="s">
        <v>2</v>
      </c>
      <c r="I12" s="53" t="s">
        <v>850</v>
      </c>
      <c r="J12" s="54">
        <v>35118</v>
      </c>
      <c r="K12" s="52">
        <v>1996</v>
      </c>
      <c r="L12" s="52">
        <f t="shared" si="1"/>
        <v>23</v>
      </c>
      <c r="M12" s="53" t="s">
        <v>3</v>
      </c>
      <c r="N12" s="53" t="s">
        <v>464</v>
      </c>
      <c r="O12" s="53" t="s">
        <v>474</v>
      </c>
      <c r="P12" s="53"/>
      <c r="Q12" s="53" t="s">
        <v>466</v>
      </c>
      <c r="R12" s="53"/>
      <c r="S12" s="53"/>
      <c r="T12" s="53"/>
      <c r="U12" s="53"/>
      <c r="V12" s="53"/>
      <c r="W12" s="53"/>
    </row>
    <row r="13" spans="1:23" s="57" customFormat="1" ht="15.75" thickBot="1">
      <c r="B13" s="182"/>
      <c r="C13" s="65"/>
      <c r="D13" s="57" t="s">
        <v>848</v>
      </c>
      <c r="E13" s="57" t="s">
        <v>8</v>
      </c>
      <c r="F13" s="57" t="s">
        <v>849</v>
      </c>
      <c r="G13" s="57" t="s">
        <v>7</v>
      </c>
      <c r="H13" s="57" t="s">
        <v>2</v>
      </c>
      <c r="I13" s="57" t="s">
        <v>851</v>
      </c>
      <c r="J13" s="62">
        <v>36998</v>
      </c>
      <c r="K13" s="57">
        <v>2001</v>
      </c>
      <c r="L13" s="52">
        <f t="shared" si="1"/>
        <v>18</v>
      </c>
      <c r="M13" s="57" t="s">
        <v>3</v>
      </c>
      <c r="N13" s="57" t="s">
        <v>464</v>
      </c>
      <c r="O13" s="57" t="s">
        <v>465</v>
      </c>
      <c r="Q13" s="57" t="s">
        <v>467</v>
      </c>
    </row>
    <row r="14" spans="1:23" s="64" customFormat="1" ht="39" customHeight="1" thickBot="1">
      <c r="A14" s="63" t="s">
        <v>853</v>
      </c>
      <c r="B14" s="183" t="s">
        <v>854</v>
      </c>
      <c r="C14" s="53"/>
      <c r="D14" s="45" t="s">
        <v>715</v>
      </c>
      <c r="E14" s="45" t="s">
        <v>6</v>
      </c>
      <c r="F14" s="45" t="s">
        <v>717</v>
      </c>
      <c r="G14" s="45" t="s">
        <v>1</v>
      </c>
      <c r="H14" s="45" t="s">
        <v>2</v>
      </c>
      <c r="I14" s="45" t="s">
        <v>463</v>
      </c>
      <c r="J14" s="46">
        <v>33800</v>
      </c>
      <c r="K14" s="47">
        <v>1992</v>
      </c>
      <c r="L14" s="48">
        <f t="shared" si="1"/>
        <v>27</v>
      </c>
      <c r="M14" s="45" t="s">
        <v>3</v>
      </c>
      <c r="N14" s="45" t="s">
        <v>464</v>
      </c>
      <c r="O14" s="45" t="s">
        <v>474</v>
      </c>
      <c r="P14" s="45"/>
      <c r="Q14" s="45" t="s">
        <v>466</v>
      </c>
      <c r="R14" s="45"/>
      <c r="S14" s="45"/>
      <c r="T14" s="45"/>
      <c r="U14" s="45"/>
      <c r="V14" s="45"/>
      <c r="W14" s="45"/>
    </row>
    <row r="15" spans="1:23" s="58" customFormat="1" ht="51.75" thickBot="1">
      <c r="B15" s="184"/>
      <c r="D15" s="50" t="s">
        <v>96</v>
      </c>
      <c r="E15" s="50" t="s">
        <v>8</v>
      </c>
      <c r="F15" s="58" t="s">
        <v>95</v>
      </c>
      <c r="G15" s="50" t="s">
        <v>7</v>
      </c>
      <c r="H15" s="50" t="s">
        <v>2</v>
      </c>
      <c r="I15" s="50" t="s">
        <v>463</v>
      </c>
      <c r="J15" s="59">
        <v>34185</v>
      </c>
      <c r="K15" s="51">
        <v>1993</v>
      </c>
      <c r="L15" s="52">
        <f t="shared" si="1"/>
        <v>26</v>
      </c>
      <c r="M15" s="50" t="s">
        <v>3</v>
      </c>
      <c r="N15" s="50" t="s">
        <v>464</v>
      </c>
      <c r="O15" s="53" t="s">
        <v>474</v>
      </c>
      <c r="Q15" s="53" t="s">
        <v>467</v>
      </c>
    </row>
    <row r="16" spans="1:23" ht="26.25" thickBot="1">
      <c r="A16" s="66"/>
      <c r="B16" s="4"/>
      <c r="C16" s="3">
        <v>160</v>
      </c>
      <c r="D16" s="2" t="s">
        <v>0</v>
      </c>
      <c r="E16" s="2" t="s">
        <v>11</v>
      </c>
      <c r="F16" s="2" t="s">
        <v>342</v>
      </c>
      <c r="G16" s="2" t="s">
        <v>1</v>
      </c>
      <c r="H16" s="2" t="s">
        <v>9</v>
      </c>
      <c r="I16" s="2"/>
      <c r="J16" s="19">
        <v>32245</v>
      </c>
      <c r="K16" s="14"/>
      <c r="L16" s="15">
        <f>2019-K16</f>
        <v>2019</v>
      </c>
      <c r="M16" s="2" t="s">
        <v>3</v>
      </c>
      <c r="N16" s="2"/>
      <c r="O16" s="2" t="s">
        <v>14</v>
      </c>
      <c r="P16" s="2"/>
      <c r="Q16" s="2" t="s">
        <v>5</v>
      </c>
      <c r="R16" s="2"/>
      <c r="S16" s="2"/>
      <c r="T16" s="2"/>
      <c r="U16" s="2"/>
      <c r="V16" s="2"/>
      <c r="W16" s="2"/>
    </row>
    <row r="17" spans="1:52" ht="26.25" thickBot="1">
      <c r="A17" s="66"/>
      <c r="B17" s="4"/>
      <c r="C17" s="3">
        <v>162</v>
      </c>
      <c r="D17" s="2" t="s">
        <v>344</v>
      </c>
      <c r="E17" s="2" t="s">
        <v>11</v>
      </c>
      <c r="F17" s="2" t="s">
        <v>345</v>
      </c>
      <c r="G17" s="2" t="s">
        <v>1</v>
      </c>
      <c r="H17" s="2" t="s">
        <v>9</v>
      </c>
      <c r="I17" s="2"/>
      <c r="J17" s="19">
        <v>33552</v>
      </c>
      <c r="K17" s="14"/>
      <c r="L17" s="15">
        <f>2019-K17</f>
        <v>2019</v>
      </c>
      <c r="M17" s="2" t="s">
        <v>3</v>
      </c>
      <c r="N17" s="2"/>
      <c r="O17" s="2" t="s">
        <v>14</v>
      </c>
      <c r="P17" s="2"/>
      <c r="Q17" s="2" t="s">
        <v>4</v>
      </c>
      <c r="R17" s="2"/>
      <c r="S17" s="2"/>
      <c r="T17" s="2"/>
      <c r="U17" s="2"/>
      <c r="V17" s="2"/>
      <c r="W17" s="2"/>
    </row>
    <row r="18" spans="1:52" s="67" customFormat="1">
      <c r="A18" s="180" t="s">
        <v>885</v>
      </c>
      <c r="B18"/>
      <c r="C18" s="84"/>
      <c r="D18" s="83">
        <v>41</v>
      </c>
      <c r="E18" s="84" t="s">
        <v>434</v>
      </c>
      <c r="F18" s="84" t="s">
        <v>11</v>
      </c>
      <c r="G18" s="84" t="s">
        <v>435</v>
      </c>
      <c r="H18" s="84" t="s">
        <v>7</v>
      </c>
      <c r="I18" s="84" t="s">
        <v>9</v>
      </c>
      <c r="J18" s="84"/>
      <c r="K18" s="76">
        <v>33095</v>
      </c>
      <c r="L18" s="77"/>
      <c r="M18" s="77">
        <f t="shared" ref="M18:M23" si="2">2019-L18</f>
        <v>2019</v>
      </c>
      <c r="N18" s="84" t="s">
        <v>3</v>
      </c>
      <c r="O18" s="84"/>
      <c r="P18" s="84" t="s">
        <v>10</v>
      </c>
      <c r="Q18" s="84"/>
      <c r="R18" s="84" t="s">
        <v>5</v>
      </c>
      <c r="S18" s="84"/>
      <c r="T18" s="84"/>
      <c r="U18" s="84"/>
      <c r="V18" s="84"/>
      <c r="W18" s="84"/>
      <c r="X18" s="84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</row>
    <row r="19" spans="1:52" s="67" customFormat="1">
      <c r="A19" s="180"/>
      <c r="B19"/>
      <c r="C19" s="84"/>
      <c r="D19" s="83">
        <v>42</v>
      </c>
      <c r="E19" s="84" t="s">
        <v>436</v>
      </c>
      <c r="F19" s="84" t="s">
        <v>11</v>
      </c>
      <c r="G19" s="84" t="s">
        <v>437</v>
      </c>
      <c r="H19" s="84" t="s">
        <v>7</v>
      </c>
      <c r="I19" s="84" t="s">
        <v>9</v>
      </c>
      <c r="J19" s="84"/>
      <c r="K19" s="76">
        <v>33467</v>
      </c>
      <c r="L19" s="77"/>
      <c r="M19" s="77">
        <f t="shared" si="2"/>
        <v>2019</v>
      </c>
      <c r="N19" s="84" t="s">
        <v>3</v>
      </c>
      <c r="O19" s="84"/>
      <c r="P19" s="84" t="s">
        <v>14</v>
      </c>
      <c r="Q19" s="84"/>
      <c r="R19" s="84" t="s">
        <v>5</v>
      </c>
      <c r="S19" s="84"/>
      <c r="T19" s="84"/>
      <c r="U19" s="84"/>
      <c r="V19" s="84"/>
      <c r="W19" s="84"/>
      <c r="X19" s="84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</row>
    <row r="20" spans="1:52" s="67" customFormat="1">
      <c r="A20" s="180"/>
      <c r="B20"/>
      <c r="C20" s="84"/>
      <c r="D20" s="83">
        <v>43</v>
      </c>
      <c r="E20" s="84" t="s">
        <v>91</v>
      </c>
      <c r="F20" s="84" t="s">
        <v>11</v>
      </c>
      <c r="G20" s="84" t="s">
        <v>438</v>
      </c>
      <c r="H20" s="84" t="s">
        <v>7</v>
      </c>
      <c r="I20" s="84" t="s">
        <v>9</v>
      </c>
      <c r="J20" s="84"/>
      <c r="K20" s="76">
        <v>34026</v>
      </c>
      <c r="L20" s="77"/>
      <c r="M20" s="77">
        <f t="shared" si="2"/>
        <v>2019</v>
      </c>
      <c r="N20" s="84" t="s">
        <v>3</v>
      </c>
      <c r="O20" s="84"/>
      <c r="P20" s="84" t="s">
        <v>18</v>
      </c>
      <c r="Q20" s="84"/>
      <c r="R20" s="84" t="s">
        <v>4</v>
      </c>
      <c r="S20" s="84"/>
      <c r="T20" s="84"/>
      <c r="U20" s="84"/>
      <c r="V20" s="84"/>
      <c r="W20" s="84"/>
      <c r="X20" s="84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</row>
    <row r="21" spans="1:52" s="67" customFormat="1">
      <c r="A21" s="81" t="s">
        <v>885</v>
      </c>
      <c r="B21"/>
      <c r="C21" s="84"/>
      <c r="D21" s="83">
        <v>7</v>
      </c>
      <c r="E21" s="84" t="s">
        <v>391</v>
      </c>
      <c r="F21" s="84" t="s">
        <v>8</v>
      </c>
      <c r="G21" s="84" t="s">
        <v>392</v>
      </c>
      <c r="H21" s="84" t="s">
        <v>7</v>
      </c>
      <c r="I21" s="84" t="s">
        <v>2</v>
      </c>
      <c r="J21" s="84"/>
      <c r="K21" s="76">
        <v>26846</v>
      </c>
      <c r="L21" s="77"/>
      <c r="M21" s="77">
        <f t="shared" si="2"/>
        <v>2019</v>
      </c>
      <c r="N21" s="84" t="s">
        <v>3</v>
      </c>
      <c r="O21" s="84"/>
      <c r="P21" s="84" t="s">
        <v>4</v>
      </c>
      <c r="Q21" s="84"/>
      <c r="R21" s="84" t="s">
        <v>5</v>
      </c>
      <c r="S21" s="84"/>
      <c r="T21" s="84"/>
      <c r="U21" s="84"/>
      <c r="V21" s="84"/>
      <c r="W21" s="84"/>
      <c r="X21" s="84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</row>
    <row r="22" spans="1:52" s="67" customFormat="1">
      <c r="A22" s="70" t="s">
        <v>853</v>
      </c>
      <c r="B22"/>
      <c r="C22" s="84"/>
      <c r="D22" s="83">
        <v>122</v>
      </c>
      <c r="E22" s="84" t="s">
        <v>17</v>
      </c>
      <c r="F22" s="84" t="s">
        <v>11</v>
      </c>
      <c r="G22" s="84" t="s">
        <v>302</v>
      </c>
      <c r="H22" s="84" t="s">
        <v>7</v>
      </c>
      <c r="I22" s="84" t="s">
        <v>16</v>
      </c>
      <c r="J22" s="84"/>
      <c r="K22" s="76">
        <v>30133</v>
      </c>
      <c r="L22" s="77"/>
      <c r="M22" s="77">
        <f t="shared" si="2"/>
        <v>2019</v>
      </c>
      <c r="N22" s="84" t="s">
        <v>3</v>
      </c>
      <c r="O22" s="84"/>
      <c r="P22" s="84" t="s">
        <v>4</v>
      </c>
      <c r="Q22" s="84"/>
      <c r="R22" s="84" t="s">
        <v>5</v>
      </c>
      <c r="S22" s="84"/>
      <c r="T22" s="84"/>
      <c r="U22" s="84"/>
      <c r="V22" s="84"/>
      <c r="W22" s="84"/>
      <c r="X22" s="84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</row>
    <row r="23" spans="1:52" s="67" customFormat="1">
      <c r="A23" s="70" t="s">
        <v>853</v>
      </c>
      <c r="B23"/>
      <c r="C23" s="84"/>
      <c r="D23" s="83">
        <v>154</v>
      </c>
      <c r="E23" s="84" t="s">
        <v>158</v>
      </c>
      <c r="F23" s="84" t="s">
        <v>11</v>
      </c>
      <c r="G23" s="84" t="s">
        <v>362</v>
      </c>
      <c r="H23" s="84" t="s">
        <v>7</v>
      </c>
      <c r="I23" s="84" t="s">
        <v>9</v>
      </c>
      <c r="J23" s="84"/>
      <c r="K23" s="76">
        <v>31938</v>
      </c>
      <c r="L23" s="77"/>
      <c r="M23" s="77">
        <f t="shared" si="2"/>
        <v>2019</v>
      </c>
      <c r="N23" s="84" t="s">
        <v>3</v>
      </c>
      <c r="O23" s="84"/>
      <c r="P23" s="84" t="s">
        <v>10</v>
      </c>
      <c r="Q23" s="84"/>
      <c r="R23" s="84" t="s">
        <v>4</v>
      </c>
      <c r="S23" s="84"/>
      <c r="T23" s="84"/>
      <c r="U23" s="84"/>
      <c r="V23" s="84"/>
      <c r="W23" s="84"/>
      <c r="X23" s="84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</row>
    <row r="24" spans="1:52" s="67" customFormat="1" ht="25.5">
      <c r="A24" s="81"/>
      <c r="C24" s="80"/>
      <c r="E24" s="67" t="s">
        <v>688</v>
      </c>
      <c r="F24" s="67" t="s">
        <v>11</v>
      </c>
      <c r="G24" s="80" t="s">
        <v>1041</v>
      </c>
      <c r="H24" s="67" t="s">
        <v>1</v>
      </c>
      <c r="I24" s="67" t="s">
        <v>9</v>
      </c>
      <c r="J24" s="67" t="s">
        <v>1020</v>
      </c>
      <c r="K24" s="68">
        <v>33263</v>
      </c>
      <c r="L24" s="69">
        <v>1991</v>
      </c>
      <c r="M24" s="69">
        <f>2019-L24</f>
        <v>28</v>
      </c>
      <c r="N24" s="67" t="s">
        <v>3</v>
      </c>
      <c r="O24" s="67" t="s">
        <v>464</v>
      </c>
      <c r="P24" s="78" t="s">
        <v>474</v>
      </c>
      <c r="R24" s="78" t="s">
        <v>507</v>
      </c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</row>
    <row r="25" spans="1:52" s="67" customFormat="1" ht="25.5">
      <c r="A25" s="81"/>
      <c r="C25" s="80"/>
      <c r="E25" s="67" t="s">
        <v>1037</v>
      </c>
      <c r="F25" s="67" t="s">
        <v>11</v>
      </c>
      <c r="G25" s="80" t="s">
        <v>1042</v>
      </c>
      <c r="H25" s="67" t="s">
        <v>1</v>
      </c>
      <c r="I25" s="67" t="s">
        <v>9</v>
      </c>
      <c r="J25" s="67" t="s">
        <v>1020</v>
      </c>
      <c r="K25" s="68">
        <v>33979</v>
      </c>
      <c r="L25" s="69">
        <v>1993</v>
      </c>
      <c r="M25" s="69">
        <f>2019-L25</f>
        <v>26</v>
      </c>
      <c r="N25" s="67" t="s">
        <v>3</v>
      </c>
      <c r="O25" s="67" t="s">
        <v>464</v>
      </c>
      <c r="P25" s="78" t="s">
        <v>474</v>
      </c>
      <c r="R25" s="78" t="s">
        <v>507</v>
      </c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</row>
    <row r="26" spans="1:52" s="25" customFormat="1" ht="12.75">
      <c r="A26" s="88" t="s">
        <v>885</v>
      </c>
      <c r="B26" s="92"/>
      <c r="C26" s="92"/>
      <c r="D26" s="83">
        <v>115</v>
      </c>
      <c r="E26" s="87" t="s">
        <v>859</v>
      </c>
      <c r="F26" s="25" t="s">
        <v>11</v>
      </c>
      <c r="G26" s="25" t="s">
        <v>862</v>
      </c>
      <c r="H26" s="25" t="s">
        <v>7</v>
      </c>
      <c r="I26" s="25" t="s">
        <v>27</v>
      </c>
      <c r="J26" s="25" t="s">
        <v>791</v>
      </c>
      <c r="K26" s="26">
        <v>33346</v>
      </c>
      <c r="L26" s="24">
        <v>1991</v>
      </c>
      <c r="M26" s="24">
        <f>2019-L26</f>
        <v>28</v>
      </c>
      <c r="N26" s="25" t="s">
        <v>3</v>
      </c>
      <c r="O26" s="25" t="s">
        <v>464</v>
      </c>
      <c r="P26" s="25" t="s">
        <v>670</v>
      </c>
      <c r="R26" s="25" t="s">
        <v>471</v>
      </c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</row>
    <row r="27" spans="1:52" s="67" customFormat="1" ht="38.25">
      <c r="A27" s="81" t="s">
        <v>885</v>
      </c>
      <c r="C27" s="80"/>
      <c r="E27" s="67" t="s">
        <v>405</v>
      </c>
      <c r="F27" s="67" t="s">
        <v>11</v>
      </c>
      <c r="G27" s="80" t="s">
        <v>1088</v>
      </c>
      <c r="H27" s="67" t="s">
        <v>7</v>
      </c>
      <c r="I27" s="67" t="s">
        <v>500</v>
      </c>
      <c r="J27" s="67" t="s">
        <v>997</v>
      </c>
      <c r="K27" s="68">
        <v>33063</v>
      </c>
      <c r="L27" s="69">
        <v>1990</v>
      </c>
      <c r="M27" s="69">
        <f>2019-L27</f>
        <v>29</v>
      </c>
      <c r="N27" s="67" t="s">
        <v>3</v>
      </c>
      <c r="O27" s="67" t="s">
        <v>464</v>
      </c>
      <c r="P27" s="78" t="s">
        <v>474</v>
      </c>
      <c r="R27" s="78" t="s">
        <v>480</v>
      </c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</row>
  </sheetData>
  <autoFilter ref="A5:W5"/>
  <mergeCells count="17">
    <mergeCell ref="A18:A20"/>
    <mergeCell ref="B12:B13"/>
    <mergeCell ref="B14:B15"/>
    <mergeCell ref="G3:G4"/>
    <mergeCell ref="A3:A4"/>
    <mergeCell ref="B3:B4"/>
    <mergeCell ref="D3:D4"/>
    <mergeCell ref="E3:E4"/>
    <mergeCell ref="F3:F4"/>
    <mergeCell ref="R3:S3"/>
    <mergeCell ref="T3:W3"/>
    <mergeCell ref="H3:H4"/>
    <mergeCell ref="I3:K3"/>
    <mergeCell ref="L3:L4"/>
    <mergeCell ref="M3:M4"/>
    <mergeCell ref="O3:O4"/>
    <mergeCell ref="Q3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Rekap</vt:lpstr>
      <vt:lpstr>RT 04</vt:lpstr>
      <vt:lpstr>RT05</vt:lpstr>
      <vt:lpstr>Sheet2</vt:lpstr>
      <vt:lpstr>Meninggal</vt:lpstr>
      <vt:lpstr>Pindah Keluar</vt:lpstr>
      <vt:lpstr>Rekap!Print_Area</vt:lpstr>
      <vt:lpstr>'RT 04'!Print_Area</vt:lpstr>
      <vt:lpstr>'RT05'!Print_Area</vt:lpstr>
      <vt:lpstr>'RT 04'!Print_Titles</vt:lpstr>
      <vt:lpstr>'RT05'!Print_Titles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2019-08-30T22:46:29Z</cp:lastPrinted>
  <dcterms:created xsi:type="dcterms:W3CDTF">2015-10-08T02:25:26Z</dcterms:created>
  <dcterms:modified xsi:type="dcterms:W3CDTF">2020-05-21T05:33:33Z</dcterms:modified>
</cp:coreProperties>
</file>