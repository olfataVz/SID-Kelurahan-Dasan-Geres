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enduduk exsel\"/>
    </mc:Choice>
  </mc:AlternateContent>
  <bookViews>
    <workbookView xWindow="240" yWindow="105" windowWidth="19440" windowHeight="8055" activeTab="2"/>
  </bookViews>
  <sheets>
    <sheet name="Rekap" sheetId="7" r:id="rId1"/>
    <sheet name="RT 01" sheetId="1" r:id="rId2"/>
    <sheet name="RT 02" sheetId="2" r:id="rId3"/>
    <sheet name="RT 03" sheetId="3" r:id="rId4"/>
    <sheet name="Sheet1" sheetId="4" r:id="rId5"/>
    <sheet name="pindah keluar" sheetId="5" r:id="rId6"/>
    <sheet name="meninggal" sheetId="6" r:id="rId7"/>
  </sheets>
  <definedNames>
    <definedName name="_xlnm._FilterDatabase" localSheetId="1" hidden="1">'RT 01'!$B$7:$R$106</definedName>
    <definedName name="_xlnm._FilterDatabase" localSheetId="2" hidden="1">'RT 02'!$A$7:$R$76</definedName>
    <definedName name="_xlnm._FilterDatabase" localSheetId="3" hidden="1">'RT 03'!$A$7:$R$94</definedName>
    <definedName name="_GoBack" localSheetId="1">'RT 01'!$F$8</definedName>
    <definedName name="_xlnm.Print_Area" localSheetId="0">Rekap!$B$2:$N$19</definedName>
    <definedName name="_xlnm.Print_Area" localSheetId="1">'RT 01'!$B$1:$R$114</definedName>
    <definedName name="_xlnm.Print_Area" localSheetId="2">'RT 02'!$B$1:$R$86</definedName>
    <definedName name="_xlnm.Print_Area" localSheetId="3">'RT 03'!$B$1:$R$104</definedName>
    <definedName name="_xlnm.Print_Titles" localSheetId="1">'RT 01'!$1:$7</definedName>
    <definedName name="_xlnm.Print_Titles" localSheetId="2">'RT 02'!$1:$7</definedName>
    <definedName name="_xlnm.Print_Titles" localSheetId="3">'RT 03'!$1:$7</definedName>
  </definedNames>
  <calcPr calcId="162913"/>
</workbook>
</file>

<file path=xl/calcChain.xml><?xml version="1.0" encoding="utf-8"?>
<calcChain xmlns="http://schemas.openxmlformats.org/spreadsheetml/2006/main">
  <c r="J7" i="7" l="1"/>
  <c r="J6" i="7"/>
  <c r="I7" i="7"/>
  <c r="I6" i="7"/>
  <c r="J8" i="7"/>
  <c r="I8" i="7"/>
  <c r="M44" i="3" l="1"/>
  <c r="G8" i="7"/>
  <c r="G7" i="7"/>
  <c r="G6" i="7"/>
  <c r="F8" i="7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8" i="2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8" i="1"/>
  <c r="L9" i="7" l="1"/>
  <c r="M9" i="7"/>
  <c r="F7" i="7"/>
  <c r="F6" i="7"/>
  <c r="D8" i="7"/>
  <c r="D7" i="7"/>
  <c r="D6" i="7"/>
  <c r="C8" i="7"/>
  <c r="C7" i="7"/>
  <c r="C6" i="7"/>
  <c r="N8" i="7"/>
  <c r="N7" i="7"/>
  <c r="N6" i="7"/>
  <c r="G9" i="7"/>
  <c r="M86" i="3"/>
  <c r="M87" i="3"/>
  <c r="M88" i="3"/>
  <c r="M89" i="3"/>
  <c r="M90" i="3"/>
  <c r="M91" i="3"/>
  <c r="M92" i="3"/>
  <c r="M93" i="3"/>
  <c r="M94" i="3"/>
  <c r="M74" i="3"/>
  <c r="M75" i="3"/>
  <c r="M76" i="3"/>
  <c r="M77" i="3"/>
  <c r="M78" i="3"/>
  <c r="M79" i="3"/>
  <c r="M80" i="3"/>
  <c r="M81" i="3"/>
  <c r="M82" i="3"/>
  <c r="M83" i="3"/>
  <c r="M84" i="3"/>
  <c r="M85" i="3"/>
  <c r="M54" i="3"/>
  <c r="M55" i="3"/>
  <c r="M56" i="3"/>
  <c r="M57" i="3"/>
  <c r="M41" i="3"/>
  <c r="M42" i="3"/>
  <c r="M43" i="3"/>
  <c r="M45" i="3"/>
  <c r="M46" i="3"/>
  <c r="M47" i="3"/>
  <c r="M48" i="3"/>
  <c r="M49" i="3"/>
  <c r="M50" i="3"/>
  <c r="M51" i="3"/>
  <c r="M52" i="3"/>
  <c r="M53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17" i="3"/>
  <c r="M18" i="3"/>
  <c r="M19" i="3"/>
  <c r="M20" i="3"/>
  <c r="M21" i="3"/>
  <c r="M22" i="3"/>
  <c r="M23" i="3"/>
  <c r="M24" i="3"/>
  <c r="M25" i="3"/>
  <c r="M9" i="3"/>
  <c r="M10" i="3"/>
  <c r="M11" i="3"/>
  <c r="M12" i="3"/>
  <c r="M13" i="3"/>
  <c r="M14" i="3"/>
  <c r="M15" i="3"/>
  <c r="M16" i="3"/>
  <c r="M8" i="3"/>
  <c r="M63" i="3"/>
  <c r="M64" i="3"/>
  <c r="M65" i="3"/>
  <c r="M72" i="3"/>
  <c r="M73" i="3"/>
  <c r="M59" i="3"/>
  <c r="M60" i="3"/>
  <c r="M61" i="3"/>
  <c r="M62" i="3"/>
  <c r="M58" i="3"/>
  <c r="M67" i="3"/>
  <c r="M68" i="3"/>
  <c r="M69" i="3"/>
  <c r="M70" i="3"/>
  <c r="M71" i="3"/>
  <c r="M66" i="3"/>
  <c r="C4" i="4"/>
  <c r="A4" i="4"/>
  <c r="N9" i="7" l="1"/>
  <c r="D9" i="7"/>
  <c r="I9" i="7"/>
  <c r="J9" i="7"/>
  <c r="F9" i="7"/>
  <c r="C9" i="7"/>
  <c r="H6" i="7"/>
  <c r="H7" i="7"/>
  <c r="K7" i="7"/>
  <c r="K6" i="7"/>
  <c r="E6" i="7"/>
  <c r="E7" i="7"/>
  <c r="E8" i="7"/>
  <c r="H8" i="7"/>
  <c r="K8" i="7"/>
  <c r="H9" i="7" l="1"/>
  <c r="K9" i="7"/>
  <c r="E9" i="7"/>
</calcChain>
</file>

<file path=xl/sharedStrings.xml><?xml version="1.0" encoding="utf-8"?>
<sst xmlns="http://schemas.openxmlformats.org/spreadsheetml/2006/main" count="3043" uniqueCount="845">
  <si>
    <t>Khaerul Ansori</t>
  </si>
  <si>
    <t>L</t>
  </si>
  <si>
    <t>Kawin</t>
  </si>
  <si>
    <t>Islam</t>
  </si>
  <si>
    <t>SLTA/MA</t>
  </si>
  <si>
    <t>KK</t>
  </si>
  <si>
    <t>Siti Aisyah</t>
  </si>
  <si>
    <t>P</t>
  </si>
  <si>
    <t>Lainnya</t>
  </si>
  <si>
    <t>Istri</t>
  </si>
  <si>
    <t>Ahmad Danyal Ansori</t>
  </si>
  <si>
    <t>Belum kawin</t>
  </si>
  <si>
    <t>-</t>
  </si>
  <si>
    <t>Anak</t>
  </si>
  <si>
    <t>Haji Muhsinin</t>
  </si>
  <si>
    <t>Wiraswasta</t>
  </si>
  <si>
    <t>Rohimah</t>
  </si>
  <si>
    <t>SD/MI</t>
  </si>
  <si>
    <t>Pedagang</t>
  </si>
  <si>
    <t>Ahyar Rosidi</t>
  </si>
  <si>
    <t>SLTP/MTSN</t>
  </si>
  <si>
    <t>Pekerja lepas</t>
  </si>
  <si>
    <t>Rosida Nursanti</t>
  </si>
  <si>
    <t>Halwatun Nisa</t>
  </si>
  <si>
    <t>Saipulah</t>
  </si>
  <si>
    <t>Buniari</t>
  </si>
  <si>
    <t>Husnul Khatimah</t>
  </si>
  <si>
    <t>Nurul Hidayah</t>
  </si>
  <si>
    <t>Haji Zainap</t>
  </si>
  <si>
    <t>Janda</t>
  </si>
  <si>
    <t>Lain-lain</t>
  </si>
  <si>
    <t>Salihin</t>
  </si>
  <si>
    <t>Petani</t>
  </si>
  <si>
    <t>Halimah</t>
  </si>
  <si>
    <t>Zulkaraen</t>
  </si>
  <si>
    <t>Zulaimi</t>
  </si>
  <si>
    <t>Makyah</t>
  </si>
  <si>
    <t>Yasmita Zahira</t>
  </si>
  <si>
    <t>anak</t>
  </si>
  <si>
    <t>Arbain</t>
  </si>
  <si>
    <t>Sahni</t>
  </si>
  <si>
    <t>Nurhaini</t>
  </si>
  <si>
    <t>Ratiah</t>
  </si>
  <si>
    <t>Najwatul Husna</t>
  </si>
  <si>
    <t>Jumadil</t>
  </si>
  <si>
    <t>Juliawan</t>
  </si>
  <si>
    <t>Riadatul Janah</t>
  </si>
  <si>
    <t>Irmawati</t>
  </si>
  <si>
    <t>Hajjah Pertiwi</t>
  </si>
  <si>
    <t>Ruslan</t>
  </si>
  <si>
    <t>Maharani</t>
  </si>
  <si>
    <t>Muhamad Ilham</t>
  </si>
  <si>
    <t>Amaq Noar</t>
  </si>
  <si>
    <t>Ridwan</t>
  </si>
  <si>
    <t>Darwan</t>
  </si>
  <si>
    <t>Nuraini</t>
  </si>
  <si>
    <t>Jamaludin</t>
  </si>
  <si>
    <t>Reni Febriani</t>
  </si>
  <si>
    <t>Arinah</t>
  </si>
  <si>
    <t>Mansur</t>
  </si>
  <si>
    <t>Sumarni</t>
  </si>
  <si>
    <t>M Hendriyan Al-Farizi</t>
  </si>
  <si>
    <t>Aldiyan Hidayatullah</t>
  </si>
  <si>
    <t>Lukman</t>
  </si>
  <si>
    <t>Muniah</t>
  </si>
  <si>
    <t>Sapardi</t>
  </si>
  <si>
    <t>Safira Junia</t>
  </si>
  <si>
    <t>Sakmah</t>
  </si>
  <si>
    <t>istri</t>
  </si>
  <si>
    <t>Rabiah</t>
  </si>
  <si>
    <t>Basri</t>
  </si>
  <si>
    <t>Adi Putra</t>
  </si>
  <si>
    <t>Diana</t>
  </si>
  <si>
    <t>Muhir</t>
  </si>
  <si>
    <t>Padelah</t>
  </si>
  <si>
    <t>Sulaiman</t>
  </si>
  <si>
    <t>Salmiah</t>
  </si>
  <si>
    <t>Putri Ema Maulida</t>
  </si>
  <si>
    <t>Rakmah</t>
  </si>
  <si>
    <t>Mahsun</t>
  </si>
  <si>
    <t>Marni</t>
  </si>
  <si>
    <t>Demah</t>
  </si>
  <si>
    <t>Mahli</t>
  </si>
  <si>
    <t>Sriani</t>
  </si>
  <si>
    <t>Serlina</t>
  </si>
  <si>
    <t>Abdul Aziz</t>
  </si>
  <si>
    <t>Sarmah</t>
  </si>
  <si>
    <t>Bohari</t>
  </si>
  <si>
    <t>Satar</t>
  </si>
  <si>
    <t>Tahmin</t>
  </si>
  <si>
    <t>Lesah</t>
  </si>
  <si>
    <t>M Rizal</t>
  </si>
  <si>
    <t>Lalu Herman Sugandi</t>
  </si>
  <si>
    <t>Sartini</t>
  </si>
  <si>
    <t>Baiq Dwi Astina fitri</t>
  </si>
  <si>
    <t>Lalu Ramdani Putra</t>
  </si>
  <si>
    <t>Baiq Yunita Sartika dewi</t>
  </si>
  <si>
    <t>Zaenudin</t>
  </si>
  <si>
    <t>Muriah</t>
  </si>
  <si>
    <t>Naela Aisyah</t>
  </si>
  <si>
    <t>No</t>
  </si>
  <si>
    <t>Jenis Kelamin (L/P)</t>
  </si>
  <si>
    <t>Status Perkawinan</t>
  </si>
  <si>
    <t>Agama</t>
  </si>
  <si>
    <t>Pendidikan Terakhir</t>
  </si>
  <si>
    <t>Pekerjaan</t>
  </si>
  <si>
    <t>Kedudukan dalam Keluarga</t>
  </si>
  <si>
    <t>NIK</t>
  </si>
  <si>
    <t>Dafin Ali</t>
  </si>
  <si>
    <t>Kamarudin</t>
  </si>
  <si>
    <t>Ehsan</t>
  </si>
  <si>
    <t>Nama Lengkap/panggilan</t>
  </si>
  <si>
    <t>Redwan</t>
  </si>
  <si>
    <t>Horiah</t>
  </si>
  <si>
    <t>Siti Raehanun</t>
  </si>
  <si>
    <t>Kadir</t>
  </si>
  <si>
    <t>Selemah</t>
  </si>
  <si>
    <t>Nasarudin</t>
  </si>
  <si>
    <t>Suarni</t>
  </si>
  <si>
    <t>Hairul Azmi</t>
  </si>
  <si>
    <t>Murad</t>
  </si>
  <si>
    <t>Rumini</t>
  </si>
  <si>
    <t>Ruminah</t>
  </si>
  <si>
    <t>M Hardi</t>
  </si>
  <si>
    <t>Hajjah Nurul Hidayah</t>
  </si>
  <si>
    <t>Musahar</t>
  </si>
  <si>
    <t>Haji M Kamil</t>
  </si>
  <si>
    <t>Nurjanah</t>
  </si>
  <si>
    <t>Putri Nabila</t>
  </si>
  <si>
    <t>Haji Mahmud</t>
  </si>
  <si>
    <t>Markisah</t>
  </si>
  <si>
    <t>M Nanang Sastro Wiguna</t>
  </si>
  <si>
    <t>Haji Rusni</t>
  </si>
  <si>
    <t>Sukini</t>
  </si>
  <si>
    <t>Mustiani</t>
  </si>
  <si>
    <t>Rohadi</t>
  </si>
  <si>
    <t>Samsiah</t>
  </si>
  <si>
    <t>Ayuni</t>
  </si>
  <si>
    <t>Saruni</t>
  </si>
  <si>
    <t>Sahrip</t>
  </si>
  <si>
    <t>Selamet</t>
  </si>
  <si>
    <t>Suryatun Hadawiyah</t>
  </si>
  <si>
    <t>Nurmaya Sari</t>
  </si>
  <si>
    <t>Beni Irawan</t>
  </si>
  <si>
    <t>Sidik</t>
  </si>
  <si>
    <t>M Ali</t>
  </si>
  <si>
    <t>Inaq Ayah</t>
  </si>
  <si>
    <t>Nasip</t>
  </si>
  <si>
    <t>Hj Siti Maryati</t>
  </si>
  <si>
    <t>Musleh Udin</t>
  </si>
  <si>
    <t>Diana Sari</t>
  </si>
  <si>
    <t>Natasya Aulia</t>
  </si>
  <si>
    <t>Sahabudin</t>
  </si>
  <si>
    <t>Muhimah</t>
  </si>
  <si>
    <t>Nining Sri Wahyuni</t>
  </si>
  <si>
    <t>Akmaludin</t>
  </si>
  <si>
    <t>Dea Anisa Afrilia</t>
  </si>
  <si>
    <t>Haji Syafi’i</t>
  </si>
  <si>
    <t>Muhamadun</t>
  </si>
  <si>
    <t>Atik</t>
  </si>
  <si>
    <t>Sadiah</t>
  </si>
  <si>
    <t>Riska Amelia</t>
  </si>
  <si>
    <t>Pahmi</t>
  </si>
  <si>
    <t>Muliati</t>
  </si>
  <si>
    <t>Miftahul Janah</t>
  </si>
  <si>
    <t>Syafi’in</t>
  </si>
  <si>
    <t>Imran</t>
  </si>
  <si>
    <t>Rohanah</t>
  </si>
  <si>
    <t>Sumiatin</t>
  </si>
  <si>
    <t>M Aditya</t>
  </si>
  <si>
    <t>Raodah</t>
  </si>
  <si>
    <t>Nurgina Hidayati</t>
  </si>
  <si>
    <t>Alya Fitria Agustina</t>
  </si>
  <si>
    <t>Yusup</t>
  </si>
  <si>
    <t>Haeratun Nisa</t>
  </si>
  <si>
    <t>Saipul Bahri</t>
  </si>
  <si>
    <t>Markinun</t>
  </si>
  <si>
    <t>Saefudin</t>
  </si>
  <si>
    <t>Linda Wati</t>
  </si>
  <si>
    <t>520101 0803880002</t>
  </si>
  <si>
    <t>520101 6811910005</t>
  </si>
  <si>
    <t>520101 3101131001</t>
  </si>
  <si>
    <t>520101 4107700236</t>
  </si>
  <si>
    <t>520101 4403080003</t>
  </si>
  <si>
    <t>520101 0309620001</t>
  </si>
  <si>
    <t>520101 4107900463</t>
  </si>
  <si>
    <t>520101 6307980001</t>
  </si>
  <si>
    <t>520101 4107580076</t>
  </si>
  <si>
    <t>520101 0106670003</t>
  </si>
  <si>
    <t>520101 4507720002</t>
  </si>
  <si>
    <t>520101 0310970001</t>
  </si>
  <si>
    <t>520101 1511790002</t>
  </si>
  <si>
    <t>520101 1207970007</t>
  </si>
  <si>
    <t>520101 5305130001</t>
  </si>
  <si>
    <t>520101 6008900001</t>
  </si>
  <si>
    <t>520101 1010870009</t>
  </si>
  <si>
    <t>520101 0107720173</t>
  </si>
  <si>
    <t>520101 4107770510</t>
  </si>
  <si>
    <t>520101 0107950316</t>
  </si>
  <si>
    <t>520101 4107040255</t>
  </si>
  <si>
    <t>520101 1803780001</t>
  </si>
  <si>
    <t>520101 1503040001</t>
  </si>
  <si>
    <t>520101 7112700262</t>
  </si>
  <si>
    <t>520101 0209790001</t>
  </si>
  <si>
    <t>520101 4301670002</t>
  </si>
  <si>
    <t>520101 0107820556</t>
  </si>
  <si>
    <t>520101 7112840158</t>
  </si>
  <si>
    <t>520101 1812120002</t>
  </si>
  <si>
    <t>520101 4812900002</t>
  </si>
  <si>
    <t>520101 3112750284</t>
  </si>
  <si>
    <t>520101 7112800273</t>
  </si>
  <si>
    <t>520101 0809040001</t>
  </si>
  <si>
    <t>520101 3112621007</t>
  </si>
  <si>
    <t>520101 4107920334</t>
  </si>
  <si>
    <t>520101 1201991001</t>
  </si>
  <si>
    <t>520101 4706071001</t>
  </si>
  <si>
    <t>520101 2003830001</t>
  </si>
  <si>
    <t>520101 4701870002</t>
  </si>
  <si>
    <t>520101 2201100001</t>
  </si>
  <si>
    <t>520101 3112880099</t>
  </si>
  <si>
    <t>520101 5011920007</t>
  </si>
  <si>
    <t>520101 5302090001</t>
  </si>
  <si>
    <t>520101 0207830001</t>
  </si>
  <si>
    <t>520101 6704910001</t>
  </si>
  <si>
    <t>520101 2703070003</t>
  </si>
  <si>
    <t>520101 0905700001</t>
  </si>
  <si>
    <t>520101 4302700001</t>
  </si>
  <si>
    <t>520101 6606011001</t>
  </si>
  <si>
    <t>520101 4805600001</t>
  </si>
  <si>
    <t>PNS/TNI/ POLRI</t>
  </si>
  <si>
    <t>520101 1010790004</t>
  </si>
  <si>
    <t>520101 4810850002</t>
  </si>
  <si>
    <t>520101 1012040001</t>
  </si>
  <si>
    <t>520101 0102900006</t>
  </si>
  <si>
    <t>520101 5704890005</t>
  </si>
  <si>
    <t>520101 5202090001</t>
  </si>
  <si>
    <t>520101 1808090001</t>
  </si>
  <si>
    <t>520101 0211800001</t>
  </si>
  <si>
    <t>520101 7112801021</t>
  </si>
  <si>
    <t>520101 4910920004</t>
  </si>
  <si>
    <t>520101 1503820003</t>
  </si>
  <si>
    <t>520101 1907700001</t>
  </si>
  <si>
    <t>520101 5102730001</t>
  </si>
  <si>
    <t>520101 4101980007</t>
  </si>
  <si>
    <t>520101 3112880095</t>
  </si>
  <si>
    <t>520101 7112840132</t>
  </si>
  <si>
    <t xml:space="preserve"> Lahir</t>
  </si>
  <si>
    <t>Tanggal</t>
  </si>
  <si>
    <t>Tahun</t>
  </si>
  <si>
    <t>Usia</t>
  </si>
  <si>
    <t>Etnis</t>
  </si>
  <si>
    <t>Nomor  KK</t>
  </si>
  <si>
    <t>Cacat</t>
  </si>
  <si>
    <t>Mental</t>
  </si>
  <si>
    <t>Fisik</t>
  </si>
  <si>
    <t>Buku Nikah</t>
  </si>
  <si>
    <t>ada/tidak</t>
  </si>
  <si>
    <t>5201011309120030</t>
  </si>
  <si>
    <t>sasak</t>
  </si>
  <si>
    <t>Pegawai Pemerintah Non PNS</t>
  </si>
  <si>
    <t>TK</t>
  </si>
  <si>
    <t>Pelajar</t>
  </si>
  <si>
    <t>KTP/KIA</t>
  </si>
  <si>
    <t>5201010503086886</t>
  </si>
  <si>
    <t>520101 0107650206</t>
  </si>
  <si>
    <t>520101 5006990002</t>
  </si>
  <si>
    <t>BLM TMT  SD</t>
  </si>
  <si>
    <t>pelajar</t>
  </si>
  <si>
    <t>Mahasiswa</t>
  </si>
  <si>
    <t>8 maret</t>
  </si>
  <si>
    <t>28 November</t>
  </si>
  <si>
    <t xml:space="preserve">31 Januari </t>
  </si>
  <si>
    <t>1 juli</t>
  </si>
  <si>
    <t>1 Juli</t>
  </si>
  <si>
    <t>10 Juni</t>
  </si>
  <si>
    <t>4 Maret</t>
  </si>
  <si>
    <t>5201010109160013</t>
  </si>
  <si>
    <t>5201011101920001</t>
  </si>
  <si>
    <t>11 Januari</t>
  </si>
  <si>
    <t>Indrayani</t>
  </si>
  <si>
    <t>5201070107900017</t>
  </si>
  <si>
    <t>p</t>
  </si>
  <si>
    <t>kawin</t>
  </si>
  <si>
    <t>Rumah Tangga</t>
  </si>
  <si>
    <t>Naura Farida Ahyar</t>
  </si>
  <si>
    <t>5201017101180001</t>
  </si>
  <si>
    <t>tempat</t>
  </si>
  <si>
    <t>menang timur</t>
  </si>
  <si>
    <t>sekotong</t>
  </si>
  <si>
    <t>gerung</t>
  </si>
  <si>
    <t>31 januari</t>
  </si>
  <si>
    <t>kediri</t>
  </si>
  <si>
    <t>5201010503086856</t>
  </si>
  <si>
    <t>520101 4107650248</t>
  </si>
  <si>
    <t>3 september</t>
  </si>
  <si>
    <t>23 Juli</t>
  </si>
  <si>
    <t>SLTa/MTSN</t>
  </si>
  <si>
    <t>mahasiswa</t>
  </si>
  <si>
    <t>jurusan</t>
  </si>
  <si>
    <t>ilmu politik</t>
  </si>
  <si>
    <t>administrasi</t>
  </si>
  <si>
    <t>P A I</t>
  </si>
  <si>
    <t>5201013112450052</t>
  </si>
  <si>
    <t>cerai mati</t>
  </si>
  <si>
    <t>5201012610160010</t>
  </si>
  <si>
    <t>31 Desember</t>
  </si>
  <si>
    <t>5201015910850002</t>
  </si>
  <si>
    <t>31 desember</t>
  </si>
  <si>
    <t>5201010111160021</t>
  </si>
  <si>
    <t>saidah</t>
  </si>
  <si>
    <t>5201017112700261</t>
  </si>
  <si>
    <t>Fendi irawan</t>
  </si>
  <si>
    <t>cucu</t>
  </si>
  <si>
    <t>5201010509130002</t>
  </si>
  <si>
    <t xml:space="preserve">5 september </t>
  </si>
  <si>
    <t>5201011502160000</t>
  </si>
  <si>
    <t>dasan tapen</t>
  </si>
  <si>
    <t>15 Februari</t>
  </si>
  <si>
    <t>islam</t>
  </si>
  <si>
    <t>5201010503086816</t>
  </si>
  <si>
    <t>masoan</t>
  </si>
  <si>
    <t>5201010107690077</t>
  </si>
  <si>
    <t>5201017112850239</t>
  </si>
  <si>
    <t>bermi</t>
  </si>
  <si>
    <t>ibu rumah tangga</t>
  </si>
  <si>
    <t>Zahratul maula</t>
  </si>
  <si>
    <t>5201012309100003</t>
  </si>
  <si>
    <t>5201010503086873</t>
  </si>
  <si>
    <t>5201010107770238</t>
  </si>
  <si>
    <t>Buruh Tani</t>
  </si>
  <si>
    <t>5201014107800327</t>
  </si>
  <si>
    <t>5201014107980334</t>
  </si>
  <si>
    <t>;3 juni</t>
  </si>
  <si>
    <t>SLTA</t>
  </si>
  <si>
    <t>5201010303110061</t>
  </si>
  <si>
    <t>Dakwah Mu'amalah</t>
  </si>
  <si>
    <t>Mahasiswi</t>
  </si>
  <si>
    <t>20 maret</t>
  </si>
  <si>
    <t>TKI ( Malaysia)</t>
  </si>
  <si>
    <t>7 januari</t>
  </si>
  <si>
    <t>22 april</t>
  </si>
  <si>
    <t>M. Heralan</t>
  </si>
  <si>
    <t>5201010104160003</t>
  </si>
  <si>
    <t>1 April</t>
  </si>
  <si>
    <t>5201012009120063</t>
  </si>
  <si>
    <t>cerai hidup</t>
  </si>
  <si>
    <t>5201013012970002</t>
  </si>
  <si>
    <t>30 desember</t>
  </si>
  <si>
    <t>5201010904150001</t>
  </si>
  <si>
    <t>5201010312820002</t>
  </si>
  <si>
    <t>5201014506920003</t>
  </si>
  <si>
    <t>2 juni</t>
  </si>
  <si>
    <t>5 juni</t>
  </si>
  <si>
    <t>5201014311100002</t>
  </si>
  <si>
    <t>3 januari</t>
  </si>
  <si>
    <t>5201010503086779</t>
  </si>
  <si>
    <t>15 november</t>
  </si>
  <si>
    <t>Mukiah</t>
  </si>
  <si>
    <t xml:space="preserve">1 februari </t>
  </si>
  <si>
    <t>12 juli</t>
  </si>
  <si>
    <t>dasan geres</t>
  </si>
  <si>
    <t>23 Mei</t>
  </si>
  <si>
    <t>520101 4102820005</t>
  </si>
  <si>
    <t>5201011409120008</t>
  </si>
  <si>
    <t xml:space="preserve"> 28 September</t>
  </si>
  <si>
    <t>520101 2405100006</t>
  </si>
  <si>
    <t xml:space="preserve">24 Mei </t>
  </si>
  <si>
    <t>Rademah</t>
  </si>
  <si>
    <t>Orang Tua</t>
  </si>
  <si>
    <t>5201017105750001</t>
  </si>
  <si>
    <t>31 Mei</t>
  </si>
  <si>
    <t>5201010503086890</t>
  </si>
  <si>
    <t>Sahrun</t>
  </si>
  <si>
    <t>5201011311640001</t>
  </si>
  <si>
    <t>5201015001650001</t>
  </si>
  <si>
    <t>10 Januari</t>
  </si>
  <si>
    <t>31/12/1962</t>
  </si>
  <si>
    <t>5201012710160002</t>
  </si>
  <si>
    <t>5201014505791001</t>
  </si>
  <si>
    <t>Cerai Mati</t>
  </si>
  <si>
    <t>5 Mei</t>
  </si>
  <si>
    <t>Pekerja Lepas</t>
  </si>
  <si>
    <t>menang</t>
  </si>
  <si>
    <t>22 Januari</t>
  </si>
  <si>
    <t>7 Juni</t>
  </si>
  <si>
    <t>5201012009120062</t>
  </si>
  <si>
    <t>10 Oktober</t>
  </si>
  <si>
    <t>5201017112890123</t>
  </si>
  <si>
    <t>aik ampat</t>
  </si>
  <si>
    <t>5201011002100001</t>
  </si>
  <si>
    <t xml:space="preserve">16 November </t>
  </si>
  <si>
    <t>Muhamad Ipan Rijlan</t>
  </si>
  <si>
    <t>5201010603160002</t>
  </si>
  <si>
    <t>6 Maret</t>
  </si>
  <si>
    <t>5201010503086799</t>
  </si>
  <si>
    <t>2 September</t>
  </si>
  <si>
    <t>3 Januiari</t>
  </si>
  <si>
    <t>5201012009120056</t>
  </si>
  <si>
    <t>Safiah</t>
  </si>
  <si>
    <t>5201017112500093</t>
  </si>
  <si>
    <t>5201015503700001</t>
  </si>
  <si>
    <t>15 Maret</t>
  </si>
  <si>
    <t>5201012805150006</t>
  </si>
  <si>
    <t>18 Maret</t>
  </si>
  <si>
    <t>5201014603810004</t>
  </si>
  <si>
    <t>5201019111000002</t>
  </si>
  <si>
    <t>9 November</t>
  </si>
  <si>
    <t>5201010503086839</t>
  </si>
  <si>
    <t>5201011902820002</t>
  </si>
  <si>
    <t>Samiah</t>
  </si>
  <si>
    <t>5201017107860353</t>
  </si>
  <si>
    <t>5201016011100001</t>
  </si>
  <si>
    <t>3 Desember</t>
  </si>
  <si>
    <t>5201011612150018</t>
  </si>
  <si>
    <t>5201011901890001</t>
  </si>
  <si>
    <t>Halimatul Zahra</t>
  </si>
  <si>
    <t>5201135304930001</t>
  </si>
  <si>
    <t>Serumbung</t>
  </si>
  <si>
    <t xml:space="preserve">13 April </t>
  </si>
  <si>
    <t>5201014706130003</t>
  </si>
  <si>
    <t>5201010503086714</t>
  </si>
  <si>
    <t>21 Agustus</t>
  </si>
  <si>
    <t>Dasan Geres</t>
  </si>
  <si>
    <t>Bermi</t>
  </si>
  <si>
    <t>18 Februari</t>
  </si>
  <si>
    <t>5201015011620001</t>
  </si>
  <si>
    <t>10 November</t>
  </si>
  <si>
    <t>5201010107920151</t>
  </si>
  <si>
    <t>Muhamad Yusuf</t>
  </si>
  <si>
    <t>5201012710160001</t>
  </si>
  <si>
    <t>Supriani</t>
  </si>
  <si>
    <t>5201014512840001</t>
  </si>
  <si>
    <t>5 Desember</t>
  </si>
  <si>
    <t>Fitri Amelia</t>
  </si>
  <si>
    <t>5201015407120002</t>
  </si>
  <si>
    <t>14 Juli</t>
  </si>
  <si>
    <t>5201010503086818</t>
  </si>
  <si>
    <t>pajar</t>
  </si>
  <si>
    <t>5201010107610117</t>
  </si>
  <si>
    <t>5201014107740190</t>
  </si>
  <si>
    <t>5201010107800102</t>
  </si>
  <si>
    <t>5201012303150009</t>
  </si>
  <si>
    <t>5201012703850101</t>
  </si>
  <si>
    <t>27 Maret</t>
  </si>
  <si>
    <t xml:space="preserve">8 Desember </t>
  </si>
  <si>
    <t>5201010503086833</t>
  </si>
  <si>
    <t>1 jili</t>
  </si>
  <si>
    <t xml:space="preserve">12 desember </t>
  </si>
  <si>
    <t>16 februari</t>
  </si>
  <si>
    <t/>
  </si>
  <si>
    <t>5201011506150009</t>
  </si>
  <si>
    <t>Sofiana anggraini</t>
  </si>
  <si>
    <t>5201013112850232</t>
  </si>
  <si>
    <t>5201015209960001</t>
  </si>
  <si>
    <t>5201017110150002</t>
  </si>
  <si>
    <t>dsn grs tengah</t>
  </si>
  <si>
    <t>12 september</t>
  </si>
  <si>
    <t>31 oktober</t>
  </si>
  <si>
    <t>slta</t>
  </si>
  <si>
    <t>5201010503086793</t>
  </si>
  <si>
    <t>sinarah</t>
  </si>
  <si>
    <t>52010125102720001</t>
  </si>
  <si>
    <t>5201014506920001</t>
  </si>
  <si>
    <t>11 februari</t>
  </si>
  <si>
    <t>5201011112170004</t>
  </si>
  <si>
    <t>kk</t>
  </si>
  <si>
    <t>5201011109940001</t>
  </si>
  <si>
    <t>15 januari</t>
  </si>
  <si>
    <t>S1</t>
  </si>
  <si>
    <t>Jaka Peratama,a.DM</t>
  </si>
  <si>
    <t>SUHAENIAH, A.Md.Kep</t>
  </si>
  <si>
    <t>5201014107950053</t>
  </si>
  <si>
    <t>5 MEI</t>
  </si>
  <si>
    <t>MUH. ELKA ADZI NUGRAHA</t>
  </si>
  <si>
    <t>5201011104180002</t>
  </si>
  <si>
    <t>11 April</t>
  </si>
  <si>
    <t>blm sekolah</t>
  </si>
  <si>
    <t>5201012009120057</t>
  </si>
  <si>
    <t>5201013112500131</t>
  </si>
  <si>
    <t>5201017112540041</t>
  </si>
  <si>
    <t>inaq noar</t>
  </si>
  <si>
    <t>31 desember 1950</t>
  </si>
  <si>
    <t>5201010503086842</t>
  </si>
  <si>
    <t>5201010103640001</t>
  </si>
  <si>
    <t>5201015307650001</t>
  </si>
  <si>
    <t>1 maret</t>
  </si>
  <si>
    <t>5201010503086864</t>
  </si>
  <si>
    <t>9 juli</t>
  </si>
  <si>
    <t>5201010503086825</t>
  </si>
  <si>
    <t>5201010107670677</t>
  </si>
  <si>
    <t>5201010107060208</t>
  </si>
  <si>
    <t>28 oktober</t>
  </si>
  <si>
    <t>5201011511160003</t>
  </si>
  <si>
    <t>kamarudin</t>
  </si>
  <si>
    <t>riki wahyudi</t>
  </si>
  <si>
    <t>5201010503086673</t>
  </si>
  <si>
    <t>Serianto</t>
  </si>
  <si>
    <t>Aeriah</t>
  </si>
  <si>
    <t>Misaah</t>
  </si>
  <si>
    <t>5201013007750002</t>
  </si>
  <si>
    <t>5201015205770001</t>
  </si>
  <si>
    <t>5201011012920001</t>
  </si>
  <si>
    <t>5201016110940002</t>
  </si>
  <si>
    <t>Aik Ampat</t>
  </si>
  <si>
    <t>1968</t>
  </si>
  <si>
    <t>1977</t>
  </si>
  <si>
    <t>1992</t>
  </si>
  <si>
    <t>1994</t>
  </si>
  <si>
    <t>Tidak Sekolah</t>
  </si>
  <si>
    <t>Buruh harian Lepas</t>
  </si>
  <si>
    <t>Pembantu RT</t>
  </si>
  <si>
    <t>Abdul Azis</t>
  </si>
  <si>
    <t>5201013112750284</t>
  </si>
  <si>
    <t>5201017112800273</t>
  </si>
  <si>
    <t>5201016809040001</t>
  </si>
  <si>
    <t>5201012405100006</t>
  </si>
  <si>
    <t>5201017101750001</t>
  </si>
  <si>
    <t>Menang Timur</t>
  </si>
  <si>
    <t>1954</t>
  </si>
  <si>
    <t>1980</t>
  </si>
  <si>
    <t>2004</t>
  </si>
  <si>
    <t>2010</t>
  </si>
  <si>
    <t>1965</t>
  </si>
  <si>
    <t>5201010503086964</t>
  </si>
  <si>
    <t>Ahmad</t>
  </si>
  <si>
    <t>Alimah</t>
  </si>
  <si>
    <t>Hambali</t>
  </si>
  <si>
    <t>5201012011630001</t>
  </si>
  <si>
    <t>5201015005680002</t>
  </si>
  <si>
    <t>52010111203970004</t>
  </si>
  <si>
    <t>1963</t>
  </si>
  <si>
    <t>1997</t>
  </si>
  <si>
    <t>5201013108160003</t>
  </si>
  <si>
    <t>Saimah</t>
  </si>
  <si>
    <t>5201017112680038</t>
  </si>
  <si>
    <t>5201011109140181</t>
  </si>
  <si>
    <t>Mahnim</t>
  </si>
  <si>
    <t>Maksum Abuandi</t>
  </si>
  <si>
    <t>5201017112560005</t>
  </si>
  <si>
    <t>5201013112910025</t>
  </si>
  <si>
    <t>1956</t>
  </si>
  <si>
    <t>1991</t>
  </si>
  <si>
    <t>5201010308100015</t>
  </si>
  <si>
    <t>Suhaimi</t>
  </si>
  <si>
    <t>Rohani</t>
  </si>
  <si>
    <t>Erni Johan</t>
  </si>
  <si>
    <t>Multazam</t>
  </si>
  <si>
    <t>Kk</t>
  </si>
  <si>
    <t>5201013112750146</t>
  </si>
  <si>
    <t>5201015011800006</t>
  </si>
  <si>
    <t>5201016008000001</t>
  </si>
  <si>
    <t>5201011010050002</t>
  </si>
  <si>
    <t>1975</t>
  </si>
  <si>
    <t>2000</t>
  </si>
  <si>
    <t>2008</t>
  </si>
  <si>
    <t>Tidak Bekerja</t>
  </si>
  <si>
    <t>5201011003090011</t>
  </si>
  <si>
    <t>Jeun</t>
  </si>
  <si>
    <t>Muhadisin</t>
  </si>
  <si>
    <t>Muhamad Rizki</t>
  </si>
  <si>
    <t>5201017112730067</t>
  </si>
  <si>
    <t>5201010505940002</t>
  </si>
  <si>
    <t>5201010706030001</t>
  </si>
  <si>
    <t>1973</t>
  </si>
  <si>
    <t>2003</t>
  </si>
  <si>
    <t>5201011705720001</t>
  </si>
  <si>
    <t>5201010503086912</t>
  </si>
  <si>
    <t>Tahar</t>
  </si>
  <si>
    <t>Anisah</t>
  </si>
  <si>
    <t>5201010107390041</t>
  </si>
  <si>
    <t>5201014107640108</t>
  </si>
  <si>
    <t>1939</t>
  </si>
  <si>
    <t>1949</t>
  </si>
  <si>
    <t>5201010303110063</t>
  </si>
  <si>
    <t>Sahdi</t>
  </si>
  <si>
    <t>Sahratun</t>
  </si>
  <si>
    <t>Muhammad dapin Ali</t>
  </si>
  <si>
    <t>Baserah</t>
  </si>
  <si>
    <t>5201013112910053</t>
  </si>
  <si>
    <t>5201015301900003</t>
  </si>
  <si>
    <t>5201011702110001</t>
  </si>
  <si>
    <t>5201011501650001</t>
  </si>
  <si>
    <t>Menang</t>
  </si>
  <si>
    <t>1981</t>
  </si>
  <si>
    <t>1990</t>
  </si>
  <si>
    <t>2011</t>
  </si>
  <si>
    <t>1945</t>
  </si>
  <si>
    <t>5201010803881116</t>
  </si>
  <si>
    <t>5201012708140005</t>
  </si>
  <si>
    <t>Munaah</t>
  </si>
  <si>
    <t>Wahid</t>
  </si>
  <si>
    <t>5201017112730018</t>
  </si>
  <si>
    <t>5201014410990001</t>
  </si>
  <si>
    <t>5201011005050003</t>
  </si>
  <si>
    <t>31-des</t>
  </si>
  <si>
    <t>10-mei</t>
  </si>
  <si>
    <t>1999</t>
  </si>
  <si>
    <t>2005</t>
  </si>
  <si>
    <t>Belum/tidak bekerja</t>
  </si>
  <si>
    <t>pelajar/mahasiswa</t>
  </si>
  <si>
    <t>5201012705111213</t>
  </si>
  <si>
    <t>Munawir</t>
  </si>
  <si>
    <t>Masni</t>
  </si>
  <si>
    <t>Muhamad akmaludin</t>
  </si>
  <si>
    <t>Muhamad haikal ramdani</t>
  </si>
  <si>
    <t>5201010501770001</t>
  </si>
  <si>
    <t>5201015503790002</t>
  </si>
  <si>
    <t>5201010310030003</t>
  </si>
  <si>
    <t>5201011407120007</t>
  </si>
  <si>
    <t>Dasan geres</t>
  </si>
  <si>
    <t>09-juni</t>
  </si>
  <si>
    <t>14-juli</t>
  </si>
  <si>
    <t>5201012309120007</t>
  </si>
  <si>
    <t>Muhammad adnan</t>
  </si>
  <si>
    <t>salmin</t>
  </si>
  <si>
    <t>Siti fitriani medina</t>
  </si>
  <si>
    <t>5201011512920002</t>
  </si>
  <si>
    <t>5201014107940085</t>
  </si>
  <si>
    <t>5201016007140001</t>
  </si>
  <si>
    <t>Karang tengak</t>
  </si>
  <si>
    <t>Dasan tapen</t>
  </si>
  <si>
    <t>15-Des</t>
  </si>
  <si>
    <t>01-juli</t>
  </si>
  <si>
    <t>20-juli</t>
  </si>
  <si>
    <t>5201010503086970</t>
  </si>
  <si>
    <t>Saleh</t>
  </si>
  <si>
    <t>Mukyah</t>
  </si>
  <si>
    <t>Muhtar</t>
  </si>
  <si>
    <t>Musahab</t>
  </si>
  <si>
    <t>5201011001750001</t>
  </si>
  <si>
    <t>5201015103790001</t>
  </si>
  <si>
    <t>5201010107940275</t>
  </si>
  <si>
    <t>5201011111060001</t>
  </si>
  <si>
    <t>10-Jan</t>
  </si>
  <si>
    <t>05-Jan</t>
  </si>
  <si>
    <t>15-Mar</t>
  </si>
  <si>
    <t>11-Mar</t>
  </si>
  <si>
    <t>01-Feb</t>
  </si>
  <si>
    <t>03-Jan</t>
  </si>
  <si>
    <t>5201011201150008</t>
  </si>
  <si>
    <t>Muhajirin</t>
  </si>
  <si>
    <t>Ida royani</t>
  </si>
  <si>
    <t>Muhamad bilal al kahfi</t>
  </si>
  <si>
    <t>5201010803890002</t>
  </si>
  <si>
    <t>5201025406980003</t>
  </si>
  <si>
    <t>5201010805160001</t>
  </si>
  <si>
    <t>Lelede</t>
  </si>
  <si>
    <t>08-Mar</t>
  </si>
  <si>
    <t>14-Juni</t>
  </si>
  <si>
    <t>08-Mei</t>
  </si>
  <si>
    <t>5201010503086743</t>
  </si>
  <si>
    <t>Yasau</t>
  </si>
  <si>
    <t>Fatimah</t>
  </si>
  <si>
    <t>Muhamad muzamil</t>
  </si>
  <si>
    <t>Muhamad mukarram</t>
  </si>
  <si>
    <t>5201011203750002</t>
  </si>
  <si>
    <t>5201016708750001</t>
  </si>
  <si>
    <t>5201010301980001</t>
  </si>
  <si>
    <t>5201011208100003</t>
  </si>
  <si>
    <t>27-Mei</t>
  </si>
  <si>
    <t>5201012505150006</t>
  </si>
  <si>
    <t>Azhari</t>
  </si>
  <si>
    <t>Susmita Dewi</t>
  </si>
  <si>
    <t>Gilang arya pratama</t>
  </si>
  <si>
    <t>5201010107880302</t>
  </si>
  <si>
    <t>5201014410981001</t>
  </si>
  <si>
    <t>5201010411150001</t>
  </si>
  <si>
    <t>Gerung</t>
  </si>
  <si>
    <t>31-Des</t>
  </si>
  <si>
    <t>Lahir</t>
  </si>
  <si>
    <t>Tempat</t>
  </si>
  <si>
    <t>Umur</t>
  </si>
  <si>
    <t>Jurusan</t>
  </si>
  <si>
    <t>5201010503086651</t>
  </si>
  <si>
    <t>Haji Muslehudin</t>
  </si>
  <si>
    <t>Tiara Ayu  Hidayani</t>
  </si>
  <si>
    <t>5201015208050001</t>
  </si>
  <si>
    <t>5201016907150003</t>
  </si>
  <si>
    <t>1972</t>
  </si>
  <si>
    <t>2015</t>
  </si>
  <si>
    <t>Belum Sekolah</t>
  </si>
  <si>
    <t>Ibu Rumah Tangga</t>
  </si>
  <si>
    <t>Belum Bekerja</t>
  </si>
  <si>
    <t>5201010503086614</t>
  </si>
  <si>
    <t>Siti Nurhadijah</t>
  </si>
  <si>
    <t>Siti Melina</t>
  </si>
  <si>
    <t>Medina Ilivia</t>
  </si>
  <si>
    <t>Siti Aminah</t>
  </si>
  <si>
    <t>5201010311750001</t>
  </si>
  <si>
    <t>5201014310780001</t>
  </si>
  <si>
    <t>5201016304010001</t>
  </si>
  <si>
    <t>5201014403080005</t>
  </si>
  <si>
    <t>5201016003160002</t>
  </si>
  <si>
    <t>5201015403520001</t>
  </si>
  <si>
    <t>1979</t>
  </si>
  <si>
    <t>2001</t>
  </si>
  <si>
    <t>2016</t>
  </si>
  <si>
    <t>1941</t>
  </si>
  <si>
    <t>Buruh Harian Lepas</t>
  </si>
  <si>
    <t>5201012910120002</t>
  </si>
  <si>
    <t>5201013112800104</t>
  </si>
  <si>
    <t>5201017112840060</t>
  </si>
  <si>
    <t>5201017005980001</t>
  </si>
  <si>
    <t>5201012511040002</t>
  </si>
  <si>
    <t>5201015704100004</t>
  </si>
  <si>
    <t>1984</t>
  </si>
  <si>
    <t>1998</t>
  </si>
  <si>
    <t>5201012405120017</t>
  </si>
  <si>
    <t>1983</t>
  </si>
  <si>
    <t>2007</t>
  </si>
  <si>
    <t>5201010110120049</t>
  </si>
  <si>
    <t>5201014107500271</t>
  </si>
  <si>
    <t>5201016012050003</t>
  </si>
  <si>
    <t>1950</t>
  </si>
  <si>
    <t>5201012706120007</t>
  </si>
  <si>
    <t>1988</t>
  </si>
  <si>
    <t>2009</t>
  </si>
  <si>
    <t>Sasak</t>
  </si>
  <si>
    <t>5201010610140008</t>
  </si>
  <si>
    <t>M. Abdurosyid</t>
  </si>
  <si>
    <t>Zahratul Aulia</t>
  </si>
  <si>
    <t>5201013107160001</t>
  </si>
  <si>
    <t>5201016401180006</t>
  </si>
  <si>
    <t>Bawak Gunung</t>
  </si>
  <si>
    <t>2018</t>
  </si>
  <si>
    <t>5201012405120018</t>
  </si>
  <si>
    <t>Rifqi Maulana Yusup</t>
  </si>
  <si>
    <t>5201016812060001</t>
  </si>
  <si>
    <t>5201010605180001</t>
  </si>
  <si>
    <t>2006</t>
  </si>
  <si>
    <t>5201012709160023</t>
  </si>
  <si>
    <t>Horidatun</t>
  </si>
  <si>
    <t>Wahyu Rizky Pratama</t>
  </si>
  <si>
    <t>5201011011830005</t>
  </si>
  <si>
    <t>5201014910911001</t>
  </si>
  <si>
    <t>5201012410160002</t>
  </si>
  <si>
    <t>5201013108160002</t>
  </si>
  <si>
    <t>Munisah</t>
  </si>
  <si>
    <t>5201010112490002</t>
  </si>
  <si>
    <t>5201015912570001</t>
  </si>
  <si>
    <t>5201014202991001</t>
  </si>
  <si>
    <t>1957</t>
  </si>
  <si>
    <t>5201010503086579</t>
  </si>
  <si>
    <t>Nikmah</t>
  </si>
  <si>
    <t>5201011112650001</t>
  </si>
  <si>
    <t>5201014403670001</t>
  </si>
  <si>
    <t>5201011005900001</t>
  </si>
  <si>
    <t>1959</t>
  </si>
  <si>
    <t>1967</t>
  </si>
  <si>
    <t>5201010503089385</t>
  </si>
  <si>
    <t>5201011902850001</t>
  </si>
  <si>
    <t>5201017105880001</t>
  </si>
  <si>
    <t>5201014907080002</t>
  </si>
  <si>
    <t>Lombok barat</t>
  </si>
  <si>
    <t>1974</t>
  </si>
  <si>
    <t>1985</t>
  </si>
  <si>
    <t>Sopir</t>
  </si>
  <si>
    <t>Jumlah Penduduk</t>
  </si>
  <si>
    <t>Total</t>
  </si>
  <si>
    <t>Jumlah KK</t>
  </si>
  <si>
    <t>Jumlah Duda / Janda</t>
  </si>
  <si>
    <t>Jumlah Lansia ( =&gt;60 )</t>
  </si>
  <si>
    <t>RT 1</t>
  </si>
  <si>
    <t>RT 2</t>
  </si>
  <si>
    <t>RT 3</t>
  </si>
  <si>
    <t>JUMLAH TOTAL</t>
  </si>
  <si>
    <t>Jumlah Jiwa</t>
  </si>
  <si>
    <t>Nama Lengkap/ Panggilan</t>
  </si>
  <si>
    <t>DATA INDUK PENDUDUK KELURAHAN DASAN GERES</t>
  </si>
  <si>
    <t>TAHUN 2019</t>
  </si>
  <si>
    <t>RT : 01</t>
  </si>
  <si>
    <t>Nama Lengkap/ panggilan</t>
  </si>
  <si>
    <t>RT : 03</t>
  </si>
  <si>
    <t>520101 1304120026</t>
  </si>
  <si>
    <t>520101 1906850001</t>
  </si>
  <si>
    <t>520101 6403120002</t>
  </si>
  <si>
    <t>Karang Tengak Cemare</t>
  </si>
  <si>
    <t>2012</t>
  </si>
  <si>
    <t>SLTA/SEDERAJAT</t>
  </si>
  <si>
    <t>TIDAK/BELUM SEKOLAH</t>
  </si>
  <si>
    <t>520101 0503086638</t>
  </si>
  <si>
    <t>Benar</t>
  </si>
  <si>
    <t>520101 1112520001</t>
  </si>
  <si>
    <t>520101 1302880007</t>
  </si>
  <si>
    <t>1978</t>
  </si>
  <si>
    <t>1952</t>
  </si>
  <si>
    <t>BELUM TAMAT SD/SEDERAJAT</t>
  </si>
  <si>
    <t>520101 2312140006</t>
  </si>
  <si>
    <t>520101 1503920001</t>
  </si>
  <si>
    <t>Cerai Hidup</t>
  </si>
  <si>
    <t>TAMAT SD/SEDERAJAT</t>
  </si>
  <si>
    <t>520101 0503086683</t>
  </si>
  <si>
    <t>Muhammad Gusni</t>
  </si>
  <si>
    <t>Cucu</t>
  </si>
  <si>
    <t>520101 0103970001</t>
  </si>
  <si>
    <t>520101 5112630001</t>
  </si>
  <si>
    <t>520101 4105720001</t>
  </si>
  <si>
    <t>520101 1502600004</t>
  </si>
  <si>
    <t>1996</t>
  </si>
  <si>
    <t>1935</t>
  </si>
  <si>
    <t>Mengurus Rumah Tangga</t>
  </si>
  <si>
    <t>520101 0503086709</t>
  </si>
  <si>
    <t>Dasan Belo</t>
  </si>
  <si>
    <t>520101 0507110003</t>
  </si>
  <si>
    <t>520101 0107750044</t>
  </si>
  <si>
    <t>520101 4107800184</t>
  </si>
  <si>
    <t>520101 1409010001</t>
  </si>
  <si>
    <t>520101 1405100001</t>
  </si>
  <si>
    <t>SLTP/SEDERAJAT</t>
  </si>
  <si>
    <t>520101 2910120066</t>
  </si>
  <si>
    <t>Muhammad Khairul Azam</t>
  </si>
  <si>
    <t>520101 1311180001</t>
  </si>
  <si>
    <t>1989</t>
  </si>
  <si>
    <t>520101 0503086601</t>
  </si>
  <si>
    <t>520101 0503086739</t>
  </si>
  <si>
    <t>Cilok</t>
  </si>
  <si>
    <t>520101 1312640002</t>
  </si>
  <si>
    <t>520101 6503660001</t>
  </si>
  <si>
    <t>520101 6901010003</t>
  </si>
  <si>
    <t>520101 6010690001</t>
  </si>
  <si>
    <t>1964</t>
  </si>
  <si>
    <t>1966</t>
  </si>
  <si>
    <t>520101 0503086626</t>
  </si>
  <si>
    <t>520101 0701090003</t>
  </si>
  <si>
    <t>1970</t>
  </si>
  <si>
    <t>520101 1907170016</t>
  </si>
  <si>
    <t>Nurhayati</t>
  </si>
  <si>
    <t>520101 3112470024</t>
  </si>
  <si>
    <t>520101 5808110005</t>
  </si>
  <si>
    <t>520101 4101010005</t>
  </si>
  <si>
    <t>520101 2607800004</t>
  </si>
  <si>
    <t>1947</t>
  </si>
  <si>
    <t>LINGKUNGAN MENANG TIMUR</t>
  </si>
  <si>
    <t>RT 02</t>
  </si>
  <si>
    <t>REKAP DATA PENDUDUK</t>
  </si>
  <si>
    <t>Mengetahui</t>
  </si>
  <si>
    <t>Lurah Dasan Geres</t>
  </si>
  <si>
    <t>Hulaifi, S.H.</t>
  </si>
  <si>
    <t>NIP. 19841231 201101 1 023</t>
  </si>
  <si>
    <t>Kepala Lingkungan</t>
  </si>
  <si>
    <t>Khairul Ansori</t>
  </si>
  <si>
    <t>13/11/2018</t>
  </si>
  <si>
    <t>1960</t>
  </si>
  <si>
    <t>1955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</si>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</sst>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;@"/>
  </numFmts>
  <fonts count="13" x14ac:knownFonts="1"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charset val="1"/>
      <scheme val="minor"/>
    </font>
    <font>
      <sz val="10"/>
      <color rgb="FFFF0000"/>
      <name val="Times New Roman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2" borderId="9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5" fillId="0" borderId="1" xfId="0" applyFont="1" applyFill="1" applyBorder="1" applyAlignment="1">
      <alignment vertical="center"/>
    </xf>
    <xf numFmtId="0" fontId="5" fillId="0" borderId="15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4" fontId="1" fillId="4" borderId="5" xfId="0" applyNumberFormat="1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3" fontId="8" fillId="0" borderId="0" xfId="0" applyNumberFormat="1" applyFont="1"/>
    <xf numFmtId="0" fontId="8" fillId="0" borderId="0" xfId="0" applyFont="1"/>
    <xf numFmtId="3" fontId="9" fillId="0" borderId="23" xfId="0" applyNumberFormat="1" applyFont="1" applyBorder="1" applyAlignment="1">
      <alignment horizontal="center" vertical="center"/>
    </xf>
    <xf numFmtId="3" fontId="8" fillId="0" borderId="25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 vertical="center"/>
    </xf>
    <xf numFmtId="3" fontId="8" fillId="0" borderId="28" xfId="0" applyNumberFormat="1" applyFont="1" applyBorder="1" applyAlignment="1">
      <alignment horizontal="center" vertical="center"/>
    </xf>
    <xf numFmtId="3" fontId="8" fillId="0" borderId="20" xfId="0" applyNumberFormat="1" applyFont="1" applyBorder="1" applyAlignment="1">
      <alignment horizontal="center" vertical="center"/>
    </xf>
    <xf numFmtId="3" fontId="8" fillId="0" borderId="24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3" fontId="8" fillId="0" borderId="34" xfId="0" applyNumberFormat="1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center" vertical="center"/>
    </xf>
    <xf numFmtId="3" fontId="9" fillId="0" borderId="21" xfId="0" applyNumberFormat="1" applyFont="1" applyBorder="1" applyAlignment="1">
      <alignment horizontal="center" vertical="center"/>
    </xf>
    <xf numFmtId="3" fontId="8" fillId="0" borderId="14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3" fontId="8" fillId="0" borderId="36" xfId="0" applyNumberFormat="1" applyFont="1" applyBorder="1" applyAlignment="1">
      <alignment horizontal="center" vertical="center"/>
    </xf>
    <xf numFmtId="3" fontId="8" fillId="0" borderId="37" xfId="0" applyNumberFormat="1" applyFont="1" applyBorder="1" applyAlignment="1">
      <alignment horizontal="center" vertical="center"/>
    </xf>
    <xf numFmtId="3" fontId="10" fillId="0" borderId="38" xfId="0" applyNumberFormat="1" applyFont="1" applyBorder="1" applyAlignment="1">
      <alignment horizontal="center" vertical="center"/>
    </xf>
    <xf numFmtId="3" fontId="8" fillId="0" borderId="39" xfId="0" applyNumberFormat="1" applyFont="1" applyBorder="1" applyAlignment="1">
      <alignment horizontal="center" vertical="center"/>
    </xf>
    <xf numFmtId="3" fontId="10" fillId="0" borderId="40" xfId="0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3" fontId="8" fillId="0" borderId="42" xfId="0" applyNumberFormat="1" applyFont="1" applyBorder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3" fontId="9" fillId="0" borderId="22" xfId="0" applyNumberFormat="1" applyFont="1" applyBorder="1" applyAlignment="1">
      <alignment horizontal="center" vertical="center"/>
    </xf>
    <xf numFmtId="3" fontId="8" fillId="0" borderId="43" xfId="0" applyNumberFormat="1" applyFont="1" applyBorder="1" applyAlignment="1">
      <alignment horizontal="center" vertical="center"/>
    </xf>
    <xf numFmtId="3" fontId="9" fillId="0" borderId="32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" fontId="7" fillId="0" borderId="1" xfId="0" quotePrefix="1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14" fontId="7" fillId="0" borderId="1" xfId="0" quotePrefix="1" applyNumberFormat="1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1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14" fontId="1" fillId="0" borderId="1" xfId="0" quotePrefix="1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vertical="center"/>
    </xf>
    <xf numFmtId="16" fontId="1" fillId="0" borderId="1" xfId="0" applyNumberFormat="1" applyFont="1" applyFill="1" applyBorder="1" applyAlignment="1">
      <alignment horizontal="center" vertical="center"/>
    </xf>
    <xf numFmtId="164" fontId="1" fillId="0" borderId="1" xfId="0" quotePrefix="1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3" fontId="8" fillId="0" borderId="0" xfId="0" applyNumberFormat="1" applyFont="1" applyBorder="1"/>
    <xf numFmtId="0" fontId="8" fillId="0" borderId="0" xfId="0" applyFont="1" applyBorder="1"/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3" fontId="9" fillId="0" borderId="31" xfId="0" applyNumberFormat="1" applyFont="1" applyBorder="1" applyAlignment="1">
      <alignment horizontal="center" vertical="center"/>
    </xf>
    <xf numFmtId="3" fontId="9" fillId="0" borderId="47" xfId="0" applyNumberFormat="1" applyFont="1" applyBorder="1" applyAlignment="1">
      <alignment horizontal="center" vertical="center"/>
    </xf>
    <xf numFmtId="3" fontId="9" fillId="0" borderId="45" xfId="0" applyNumberFormat="1" applyFont="1" applyBorder="1" applyAlignment="1">
      <alignment horizontal="center" vertical="center"/>
    </xf>
    <xf numFmtId="3" fontId="9" fillId="0" borderId="30" xfId="0" applyNumberFormat="1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3" fontId="9" fillId="0" borderId="29" xfId="0" applyNumberFormat="1" applyFont="1" applyBorder="1" applyAlignment="1">
      <alignment horizontal="center" vertical="center"/>
    </xf>
    <xf numFmtId="3" fontId="9" fillId="0" borderId="46" xfId="0" applyNumberFormat="1" applyFont="1" applyBorder="1" applyAlignment="1">
      <alignment horizontal="center" vertical="center"/>
    </xf>
    <xf numFmtId="3" fontId="9" fillId="0" borderId="48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9"/>
  <sheetViews>
    <sheetView workbookViewId="0">
      <selection activeCell="I12" sqref="I12"/>
    </sheetView>
  </sheetViews>
  <sheetFormatPr defaultRowHeight="15" x14ac:dyDescent="0.25"/>
  <cols>
    <col min="1" max="1" width="9.140625" style="53"/>
    <col min="2" max="2" width="19.140625" style="53" bestFit="1" customWidth="1"/>
    <col min="3" max="8" width="9.140625" style="52"/>
    <col min="9" max="10" width="10.7109375" style="52" customWidth="1"/>
    <col min="11" max="11" width="9.140625" style="52"/>
    <col min="12" max="13" width="11.7109375" style="52" customWidth="1"/>
    <col min="14" max="14" width="9.140625" style="52"/>
    <col min="15" max="16384" width="9.140625" style="53"/>
  </cols>
  <sheetData>
    <row r="1" spans="2:15" ht="15.75" thickBot="1" x14ac:dyDescent="0.3"/>
    <row r="2" spans="2:15" ht="15.75" thickBot="1" x14ac:dyDescent="0.3">
      <c r="B2" s="128" t="s">
        <v>834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30"/>
      <c r="O2" s="52"/>
    </row>
    <row r="3" spans="2:15" ht="15.75" thickBot="1" x14ac:dyDescent="0.3">
      <c r="B3" s="125" t="s">
        <v>832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7"/>
      <c r="O3" s="52"/>
    </row>
    <row r="4" spans="2:15" ht="15.75" x14ac:dyDescent="0.25">
      <c r="B4" s="135" t="s">
        <v>844</v>
      </c>
      <c r="C4" s="137" t="s">
        <v>757</v>
      </c>
      <c r="D4" s="134"/>
      <c r="E4" s="131" t="s">
        <v>758</v>
      </c>
      <c r="F4" s="133" t="s">
        <v>759</v>
      </c>
      <c r="G4" s="134"/>
      <c r="H4" s="138" t="s">
        <v>758</v>
      </c>
      <c r="I4" s="137" t="s">
        <v>760</v>
      </c>
      <c r="J4" s="134"/>
      <c r="K4" s="131" t="s">
        <v>758</v>
      </c>
      <c r="L4" s="133" t="s">
        <v>761</v>
      </c>
      <c r="M4" s="134"/>
      <c r="N4" s="131" t="s">
        <v>758</v>
      </c>
    </row>
    <row r="5" spans="2:15" ht="15.75" thickBot="1" x14ac:dyDescent="0.3">
      <c r="B5" s="136"/>
      <c r="C5" s="60" t="s">
        <v>1</v>
      </c>
      <c r="D5" s="55" t="s">
        <v>7</v>
      </c>
      <c r="E5" s="132"/>
      <c r="F5" s="58" t="s">
        <v>1</v>
      </c>
      <c r="G5" s="55" t="s">
        <v>7</v>
      </c>
      <c r="H5" s="139"/>
      <c r="I5" s="60" t="s">
        <v>1</v>
      </c>
      <c r="J5" s="55" t="s">
        <v>7</v>
      </c>
      <c r="K5" s="132"/>
      <c r="L5" s="58" t="s">
        <v>1</v>
      </c>
      <c r="M5" s="55" t="s">
        <v>7</v>
      </c>
      <c r="N5" s="132"/>
    </row>
    <row r="6" spans="2:15" ht="15.75" x14ac:dyDescent="0.25">
      <c r="B6" s="74" t="s">
        <v>762</v>
      </c>
      <c r="C6" s="75">
        <f>COUNTIF('RT 01'!$H$8:$H$106,"L")</f>
        <v>46</v>
      </c>
      <c r="D6" s="76">
        <f>COUNTIF('RT 01'!$H$8:$H$106,"P")</f>
        <v>53</v>
      </c>
      <c r="E6" s="77">
        <f>SUM(C6:D6)</f>
        <v>99</v>
      </c>
      <c r="F6" s="78">
        <f>COUNTIFS('RT 01'!$F$8:$F$106,"KK",'RT 01'!$H$8:$H$106,"L")</f>
        <v>28</v>
      </c>
      <c r="G6" s="76">
        <f>COUNTIFS('RT 01'!$F$8:$F$106,"KK",'RT 01'!$H$8:$H$106,"P")</f>
        <v>6</v>
      </c>
      <c r="H6" s="79">
        <f>SUM(F6:G6)</f>
        <v>34</v>
      </c>
      <c r="I6" s="75">
        <f>COUNTIFS('RT 01'!$I$8:$I$106,"Cerai Mati",'RT 01'!$H$8:$H$106,"L")+COUNTIFS('RT 01'!$I$8:$I$106,"Cerai Hidup",'RT 01'!$H$8:$H$106,"L")+COUNTIFS('RT 01'!$I$8:$I$106,"Duda",'RT 01'!$H$8:$H$106,"L")</f>
        <v>1</v>
      </c>
      <c r="J6" s="76">
        <f>COUNTIFS('RT 01'!$I$8:$I$106,"Cerai Mati",'RT 01'!$H$8:$H$106,"P")+COUNTIFS('RT 01'!$I$8:$I$106,"Cerai Hidup",'RT 01'!$H$8:$H$106,"P")+COUNTIFS('RT 01'!$I$8:$I$106,"Janda",'RT 01'!$H$8:$H$106,"P")</f>
        <v>9</v>
      </c>
      <c r="K6" s="77">
        <f>SUM(I6:J6)</f>
        <v>10</v>
      </c>
      <c r="L6" s="78">
        <v>6</v>
      </c>
      <c r="M6" s="76">
        <v>6</v>
      </c>
      <c r="N6" s="77">
        <f>SUM(L6:M6)</f>
        <v>12</v>
      </c>
    </row>
    <row r="7" spans="2:15" ht="15.75" x14ac:dyDescent="0.25">
      <c r="B7" s="56" t="s">
        <v>763</v>
      </c>
      <c r="C7" s="59">
        <f>COUNTIF('RT 02'!$H$8:$H$76,"L")</f>
        <v>39</v>
      </c>
      <c r="D7" s="48">
        <f>COUNTIF('RT 02'!$H$8:$H$76,"P")</f>
        <v>30</v>
      </c>
      <c r="E7" s="54">
        <f t="shared" ref="E7:E8" si="0">SUM(C7:D7)</f>
        <v>69</v>
      </c>
      <c r="F7" s="57">
        <f>COUNTIFS('RT 02'!$F$8:$F$76,"KK",'RT 02'!$H$8:$H$76,"L")</f>
        <v>19</v>
      </c>
      <c r="G7" s="48">
        <f>COUNTIFS('RT 02'!$F$8:$F$76,"KK",'RT 02'!$H$8:$H$76,"P")</f>
        <v>2</v>
      </c>
      <c r="H7" s="61">
        <f t="shared" ref="H7:H8" si="1">SUM(F7:G7)</f>
        <v>21</v>
      </c>
      <c r="I7" s="59">
        <f>COUNTIFS('RT 02'!$I$8:$I$76,"Cerai Mati",'RT 02'!$H$8:$H$76,"L")+COUNTIFS('RT 02'!$I$8:$I$76,"Cerai Hidup",'RT 02'!$H$8:$H$76,"L")+COUNTIFS('RT 02'!$I$8:$I$76,"Duda",'RT 02'!$H$8:$H$76,"L")</f>
        <v>1</v>
      </c>
      <c r="J7" s="48">
        <f>COUNTIFS('RT 02'!$I$8:$I$76,"Cerai Mati",'RT 02'!$H$8:$H$76,"P")+COUNTIFS('RT 02'!$I$8:$I$76,"Cerai Hidup",'RT 02'!$H$8:$H$76,"P")+COUNTIFS('RT 02'!$I$8:$I$76,"Janda",'RT 02'!$H$8:$H$76,"P")</f>
        <v>1</v>
      </c>
      <c r="K7" s="54">
        <f t="shared" ref="K7:K8" si="2">SUM(I7:J7)</f>
        <v>2</v>
      </c>
      <c r="L7" s="57">
        <v>6</v>
      </c>
      <c r="M7" s="48">
        <v>2</v>
      </c>
      <c r="N7" s="54">
        <f t="shared" ref="N7:N8" si="3">SUM(L7:M7)</f>
        <v>8</v>
      </c>
    </row>
    <row r="8" spans="2:15" ht="16.5" thickBot="1" x14ac:dyDescent="0.3">
      <c r="B8" s="62" t="s">
        <v>764</v>
      </c>
      <c r="C8" s="63">
        <f>COUNTIF('RT 03'!$H$8:$H$94,"L")</f>
        <v>39</v>
      </c>
      <c r="D8" s="64">
        <f>COUNTIF('RT 03'!$H$8:$H$94,"P")</f>
        <v>48</v>
      </c>
      <c r="E8" s="65">
        <f t="shared" si="0"/>
        <v>87</v>
      </c>
      <c r="F8" s="66">
        <f>COUNTIFS('RT 03'!$F$8:$F$94,"KK",'RT 03'!$H$8:$H$94,"L")</f>
        <v>23</v>
      </c>
      <c r="G8" s="64">
        <f>COUNTIFS('RT 03'!$F$8:$F$94,"KK",'RT 03'!$H$8:$H$94,"P")</f>
        <v>3</v>
      </c>
      <c r="H8" s="67">
        <f t="shared" si="1"/>
        <v>26</v>
      </c>
      <c r="I8" s="63">
        <f>COUNTIFS('RT 03'!$I$8:$I$94,"Cerai Mati",'RT 03'!$H$8:$H$94,"L")+COUNTIFS('RT 03'!$I$8:$I$94,"Cerai Hidup",'RT 03'!$H$8:$H$94,"L")+COUNTIFS('RT 03'!$I$8:$I$94,"Duda",'RT 03'!$H$8:$H$94,"L")</f>
        <v>3</v>
      </c>
      <c r="J8" s="64">
        <f>COUNTIFS('RT 03'!$I$8:$I$94,"Cerai Mati",'RT 03'!$H$8:$H$94,"P")+COUNTIFS('RT 03'!$I$8:$I$94,"Cerai Hidup",'RT 03'!$H$8:$H$94,"P")+COUNTIFS('RT 03'!$I$8:$I$94,"Janda",'RT 03'!$H$8:$H$94,"P")</f>
        <v>4</v>
      </c>
      <c r="K8" s="65">
        <f t="shared" si="2"/>
        <v>7</v>
      </c>
      <c r="L8" s="66">
        <v>2</v>
      </c>
      <c r="M8" s="64">
        <v>3</v>
      </c>
      <c r="N8" s="65">
        <f t="shared" si="3"/>
        <v>5</v>
      </c>
    </row>
    <row r="9" spans="2:15" ht="16.5" thickBot="1" x14ac:dyDescent="0.3">
      <c r="B9" s="68" t="s">
        <v>765</v>
      </c>
      <c r="C9" s="69">
        <f>SUM(C6:C8)</f>
        <v>124</v>
      </c>
      <c r="D9" s="70">
        <f t="shared" ref="D9:N9" si="4">SUM(D6:D8)</f>
        <v>131</v>
      </c>
      <c r="E9" s="71">
        <f t="shared" si="4"/>
        <v>255</v>
      </c>
      <c r="F9" s="72">
        <f t="shared" si="4"/>
        <v>70</v>
      </c>
      <c r="G9" s="70">
        <f t="shared" si="4"/>
        <v>11</v>
      </c>
      <c r="H9" s="73">
        <f t="shared" si="4"/>
        <v>81</v>
      </c>
      <c r="I9" s="69">
        <f t="shared" si="4"/>
        <v>5</v>
      </c>
      <c r="J9" s="70">
        <f t="shared" si="4"/>
        <v>14</v>
      </c>
      <c r="K9" s="71">
        <f t="shared" si="4"/>
        <v>19</v>
      </c>
      <c r="L9" s="72">
        <f t="shared" si="4"/>
        <v>14</v>
      </c>
      <c r="M9" s="70">
        <f t="shared" si="4"/>
        <v>11</v>
      </c>
      <c r="N9" s="71">
        <f t="shared" si="4"/>
        <v>25</v>
      </c>
    </row>
    <row r="13" spans="2:15" x14ac:dyDescent="0.25">
      <c r="C13" s="140" t="s">
        <v>835</v>
      </c>
      <c r="D13" s="140"/>
      <c r="E13" s="140"/>
      <c r="K13" s="140"/>
      <c r="L13" s="140"/>
    </row>
    <row r="14" spans="2:15" x14ac:dyDescent="0.25">
      <c r="C14" s="140" t="s">
        <v>836</v>
      </c>
      <c r="D14" s="140"/>
      <c r="E14" s="140"/>
      <c r="K14" s="140" t="s">
        <v>839</v>
      </c>
      <c r="L14" s="140"/>
    </row>
    <row r="15" spans="2:15" x14ac:dyDescent="0.25">
      <c r="D15" s="53"/>
      <c r="K15" s="53"/>
    </row>
    <row r="16" spans="2:15" x14ac:dyDescent="0.25">
      <c r="D16" s="53"/>
      <c r="K16" s="53"/>
    </row>
    <row r="17" spans="3:12" x14ac:dyDescent="0.25">
      <c r="D17" s="53"/>
      <c r="K17" s="53"/>
    </row>
    <row r="18" spans="3:12" x14ac:dyDescent="0.25">
      <c r="C18" s="141" t="s">
        <v>837</v>
      </c>
      <c r="D18" s="141"/>
      <c r="E18" s="141"/>
      <c r="K18" s="141" t="s">
        <v>840</v>
      </c>
      <c r="L18" s="141"/>
    </row>
    <row r="19" spans="3:12" x14ac:dyDescent="0.25">
      <c r="C19" s="141" t="s">
        <v>838</v>
      </c>
      <c r="D19" s="141"/>
      <c r="E19" s="141"/>
      <c r="K19" s="141"/>
      <c r="L19" s="141"/>
    </row>
  </sheetData>
  <mergeCells count="19">
    <mergeCell ref="K13:L13"/>
    <mergeCell ref="K14:L14"/>
    <mergeCell ref="K18:L18"/>
    <mergeCell ref="K19:L19"/>
    <mergeCell ref="C13:E13"/>
    <mergeCell ref="C14:E14"/>
    <mergeCell ref="C18:E18"/>
    <mergeCell ref="C19:E19"/>
    <mergeCell ref="B3:N3"/>
    <mergeCell ref="B2:N2"/>
    <mergeCell ref="K4:K5"/>
    <mergeCell ref="L4:M4"/>
    <mergeCell ref="N4:N5"/>
    <mergeCell ref="B4:B5"/>
    <mergeCell ref="C4:D4"/>
    <mergeCell ref="E4:E5"/>
    <mergeCell ref="F4:G4"/>
    <mergeCell ref="H4:H5"/>
    <mergeCell ref="I4:J4"/>
  </mergeCells>
  <printOptions horizontalCentered="1" verticalCentered="1"/>
  <pageMargins left="1.37795275590551" right="0.78740157480314998" top="0.78740157480314998" bottom="0.78740157480314998" header="0.31496062992126" footer="0.31496062992126"/>
  <pageSetup paperSize="1000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23"/>
  <sheetViews>
    <sheetView topLeftCell="A7" zoomScaleNormal="100" workbookViewId="0">
      <selection activeCell="H18" sqref="H18"/>
    </sheetView>
  </sheetViews>
  <sheetFormatPr defaultColWidth="13.5703125" defaultRowHeight="12.75" x14ac:dyDescent="0.25"/>
  <cols>
    <col min="1" max="1" width="13.5703125" style="118"/>
    <col min="2" max="2" width="3.140625" style="118" customWidth="1"/>
    <col min="3" max="3" width="15.7109375" style="118" customWidth="1"/>
    <col min="4" max="4" width="6.7109375" style="118" customWidth="1"/>
    <col min="5" max="5" width="12.7109375" style="85" customWidth="1"/>
    <col min="6" max="6" width="9.7109375" style="118" customWidth="1"/>
    <col min="7" max="7" width="16.7109375" style="118" customWidth="1"/>
    <col min="8" max="8" width="7.7109375" style="118" customWidth="1"/>
    <col min="9" max="9" width="10.7109375" style="118" customWidth="1"/>
    <col min="10" max="10" width="12.42578125" style="118" customWidth="1"/>
    <col min="11" max="11" width="14.42578125" style="118" bestFit="1" customWidth="1"/>
    <col min="12" max="12" width="6" style="119" bestFit="1" customWidth="1"/>
    <col min="13" max="13" width="4.42578125" style="118" bestFit="1" customWidth="1"/>
    <col min="14" max="14" width="6.42578125" style="118" bestFit="1" customWidth="1"/>
    <col min="15" max="15" width="5" style="118" customWidth="1"/>
    <col min="16" max="16" width="16.7109375" style="85" customWidth="1"/>
    <col min="17" max="17" width="7.5703125" style="118" customWidth="1"/>
    <col min="18" max="18" width="15.7109375" style="85" customWidth="1"/>
    <col min="19" max="16384" width="13.5703125" style="118"/>
  </cols>
  <sheetData>
    <row r="1" spans="2:18" s="116" customFormat="1" ht="15.75" x14ac:dyDescent="0.25">
      <c r="B1" s="145" t="s">
        <v>768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</row>
    <row r="2" spans="2:18" s="116" customFormat="1" ht="15.75" x14ac:dyDescent="0.25">
      <c r="B2" s="145" t="s">
        <v>769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</row>
    <row r="3" spans="2:18" s="116" customFormat="1" ht="15.75" x14ac:dyDescent="0.25">
      <c r="B3" s="82" t="s">
        <v>832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2:18" x14ac:dyDescent="0.25">
      <c r="B4" s="117" t="s">
        <v>770</v>
      </c>
    </row>
    <row r="5" spans="2:18" s="120" customFormat="1" ht="20.100000000000001" customHeight="1" x14ac:dyDescent="0.25">
      <c r="B5" s="144" t="s">
        <v>100</v>
      </c>
      <c r="C5" s="144" t="s">
        <v>251</v>
      </c>
      <c r="D5" s="144" t="s">
        <v>766</v>
      </c>
      <c r="E5" s="144" t="s">
        <v>767</v>
      </c>
      <c r="F5" s="144" t="s">
        <v>106</v>
      </c>
      <c r="G5" s="144" t="s">
        <v>107</v>
      </c>
      <c r="H5" s="144" t="s">
        <v>101</v>
      </c>
      <c r="I5" s="144" t="s">
        <v>102</v>
      </c>
      <c r="J5" s="144" t="s">
        <v>246</v>
      </c>
      <c r="K5" s="144"/>
      <c r="L5" s="144"/>
      <c r="M5" s="144" t="s">
        <v>249</v>
      </c>
      <c r="N5" s="144" t="s">
        <v>103</v>
      </c>
      <c r="O5" s="144" t="s">
        <v>250</v>
      </c>
      <c r="P5" s="144" t="s">
        <v>104</v>
      </c>
      <c r="Q5" s="144" t="s">
        <v>672</v>
      </c>
      <c r="R5" s="144" t="s">
        <v>105</v>
      </c>
    </row>
    <row r="6" spans="2:18" s="120" customFormat="1" ht="20.100000000000001" customHeight="1" x14ac:dyDescent="0.25">
      <c r="B6" s="144"/>
      <c r="C6" s="144"/>
      <c r="D6" s="144"/>
      <c r="E6" s="144"/>
      <c r="F6" s="144"/>
      <c r="G6" s="144"/>
      <c r="H6" s="144"/>
      <c r="I6" s="144"/>
      <c r="J6" s="98" t="s">
        <v>670</v>
      </c>
      <c r="K6" s="98" t="s">
        <v>247</v>
      </c>
      <c r="L6" s="99" t="s">
        <v>248</v>
      </c>
      <c r="M6" s="144"/>
      <c r="N6" s="144"/>
      <c r="O6" s="144"/>
      <c r="P6" s="144"/>
      <c r="Q6" s="144"/>
      <c r="R6" s="144"/>
    </row>
    <row r="7" spans="2:18" s="120" customFormat="1" x14ac:dyDescent="0.25">
      <c r="B7" s="98"/>
      <c r="C7" s="98"/>
      <c r="D7" s="98"/>
      <c r="E7" s="98"/>
      <c r="F7" s="98"/>
      <c r="G7" s="98"/>
      <c r="H7" s="98"/>
      <c r="I7" s="98"/>
      <c r="J7" s="98"/>
      <c r="K7" s="98"/>
      <c r="L7" s="99"/>
      <c r="M7" s="98"/>
      <c r="N7" s="98"/>
      <c r="O7" s="98"/>
      <c r="P7" s="98"/>
      <c r="Q7" s="98"/>
      <c r="R7" s="98"/>
    </row>
    <row r="8" spans="2:18" ht="38.25" x14ac:dyDescent="0.25">
      <c r="B8" s="143">
        <v>1</v>
      </c>
      <c r="C8" s="143" t="s">
        <v>257</v>
      </c>
      <c r="D8" s="88">
        <v>1</v>
      </c>
      <c r="E8" s="88" t="s">
        <v>0</v>
      </c>
      <c r="F8" s="88" t="s">
        <v>5</v>
      </c>
      <c r="G8" s="88" t="s">
        <v>179</v>
      </c>
      <c r="H8" s="88" t="s">
        <v>1</v>
      </c>
      <c r="I8" s="88" t="s">
        <v>2</v>
      </c>
      <c r="J8" s="88" t="s">
        <v>287</v>
      </c>
      <c r="K8" s="89" t="s">
        <v>269</v>
      </c>
      <c r="L8" s="90">
        <v>1988</v>
      </c>
      <c r="M8" s="90">
        <f>2019-L8</f>
        <v>31</v>
      </c>
      <c r="N8" s="88" t="s">
        <v>3</v>
      </c>
      <c r="O8" s="88" t="s">
        <v>258</v>
      </c>
      <c r="P8" s="88" t="s">
        <v>4</v>
      </c>
      <c r="Q8" s="88" t="s">
        <v>301</v>
      </c>
      <c r="R8" s="88" t="s">
        <v>259</v>
      </c>
    </row>
    <row r="9" spans="2:18" ht="25.5" x14ac:dyDescent="0.25">
      <c r="B9" s="143"/>
      <c r="C9" s="143"/>
      <c r="D9" s="88">
        <v>2</v>
      </c>
      <c r="E9" s="88" t="s">
        <v>6</v>
      </c>
      <c r="F9" s="88" t="s">
        <v>9</v>
      </c>
      <c r="G9" s="88" t="s">
        <v>180</v>
      </c>
      <c r="H9" s="88" t="s">
        <v>7</v>
      </c>
      <c r="I9" s="88" t="s">
        <v>2</v>
      </c>
      <c r="J9" s="88" t="s">
        <v>291</v>
      </c>
      <c r="K9" s="91" t="s">
        <v>270</v>
      </c>
      <c r="L9" s="90">
        <v>1991</v>
      </c>
      <c r="M9" s="90">
        <f t="shared" ref="M9:M72" si="0">2019-L9</f>
        <v>28</v>
      </c>
      <c r="N9" s="88" t="s">
        <v>3</v>
      </c>
      <c r="O9" s="88" t="s">
        <v>258</v>
      </c>
      <c r="P9" s="88" t="s">
        <v>4</v>
      </c>
      <c r="Q9" s="88" t="s">
        <v>301</v>
      </c>
      <c r="R9" s="88" t="s">
        <v>8</v>
      </c>
    </row>
    <row r="10" spans="2:18" ht="25.5" x14ac:dyDescent="0.25">
      <c r="B10" s="143"/>
      <c r="C10" s="143"/>
      <c r="D10" s="88">
        <v>3</v>
      </c>
      <c r="E10" s="88" t="s">
        <v>10</v>
      </c>
      <c r="F10" s="88" t="s">
        <v>13</v>
      </c>
      <c r="G10" s="88" t="s">
        <v>181</v>
      </c>
      <c r="H10" s="88" t="s">
        <v>1</v>
      </c>
      <c r="I10" s="88" t="s">
        <v>11</v>
      </c>
      <c r="J10" s="88" t="s">
        <v>287</v>
      </c>
      <c r="K10" s="91" t="s">
        <v>271</v>
      </c>
      <c r="L10" s="90">
        <v>2013</v>
      </c>
      <c r="M10" s="90">
        <f t="shared" si="0"/>
        <v>6</v>
      </c>
      <c r="N10" s="88" t="s">
        <v>3</v>
      </c>
      <c r="O10" s="88" t="s">
        <v>258</v>
      </c>
      <c r="P10" s="88" t="s">
        <v>260</v>
      </c>
      <c r="Q10" s="92" t="s">
        <v>12</v>
      </c>
      <c r="R10" s="88" t="s">
        <v>261</v>
      </c>
    </row>
    <row r="11" spans="2:18" ht="25.5" x14ac:dyDescent="0.25">
      <c r="B11" s="143">
        <v>2</v>
      </c>
      <c r="C11" s="143" t="s">
        <v>263</v>
      </c>
      <c r="D11" s="88">
        <v>4</v>
      </c>
      <c r="E11" s="88" t="s">
        <v>14</v>
      </c>
      <c r="F11" s="88" t="s">
        <v>5</v>
      </c>
      <c r="G11" s="88" t="s">
        <v>264</v>
      </c>
      <c r="H11" s="88" t="s">
        <v>1</v>
      </c>
      <c r="I11" s="88" t="s">
        <v>2</v>
      </c>
      <c r="J11" s="88" t="s">
        <v>287</v>
      </c>
      <c r="K11" s="91" t="s">
        <v>272</v>
      </c>
      <c r="L11" s="90">
        <v>1965</v>
      </c>
      <c r="M11" s="90">
        <f t="shared" si="0"/>
        <v>54</v>
      </c>
      <c r="N11" s="88" t="s">
        <v>3</v>
      </c>
      <c r="O11" s="88" t="s">
        <v>258</v>
      </c>
      <c r="P11" s="88" t="s">
        <v>20</v>
      </c>
      <c r="Q11" s="88"/>
      <c r="R11" s="88" t="s">
        <v>15</v>
      </c>
    </row>
    <row r="12" spans="2:18" ht="25.5" x14ac:dyDescent="0.25">
      <c r="B12" s="143"/>
      <c r="C12" s="143"/>
      <c r="D12" s="88">
        <v>5</v>
      </c>
      <c r="E12" s="88" t="s">
        <v>16</v>
      </c>
      <c r="F12" s="88" t="s">
        <v>9</v>
      </c>
      <c r="G12" s="88" t="s">
        <v>182</v>
      </c>
      <c r="H12" s="88" t="s">
        <v>7</v>
      </c>
      <c r="I12" s="88" t="s">
        <v>2</v>
      </c>
      <c r="J12" s="88" t="s">
        <v>287</v>
      </c>
      <c r="K12" s="91" t="s">
        <v>273</v>
      </c>
      <c r="L12" s="90">
        <v>1970</v>
      </c>
      <c r="M12" s="90">
        <f t="shared" si="0"/>
        <v>49</v>
      </c>
      <c r="N12" s="88" t="s">
        <v>3</v>
      </c>
      <c r="O12" s="88" t="s">
        <v>258</v>
      </c>
      <c r="P12" s="88" t="s">
        <v>17</v>
      </c>
      <c r="Q12" s="88"/>
      <c r="R12" s="88" t="s">
        <v>18</v>
      </c>
    </row>
    <row r="13" spans="2:18" ht="25.5" x14ac:dyDescent="0.25">
      <c r="B13" s="143"/>
      <c r="C13" s="143"/>
      <c r="D13" s="88">
        <v>6</v>
      </c>
      <c r="E13" s="88" t="s">
        <v>22</v>
      </c>
      <c r="F13" s="88" t="s">
        <v>13</v>
      </c>
      <c r="G13" s="88" t="s">
        <v>265</v>
      </c>
      <c r="H13" s="88" t="s">
        <v>7</v>
      </c>
      <c r="I13" s="88" t="s">
        <v>11</v>
      </c>
      <c r="J13" s="88" t="s">
        <v>287</v>
      </c>
      <c r="K13" s="91" t="s">
        <v>274</v>
      </c>
      <c r="L13" s="90">
        <v>1999</v>
      </c>
      <c r="M13" s="90">
        <f t="shared" si="0"/>
        <v>20</v>
      </c>
      <c r="N13" s="88" t="s">
        <v>3</v>
      </c>
      <c r="O13" s="88" t="s">
        <v>258</v>
      </c>
      <c r="P13" s="88" t="s">
        <v>4</v>
      </c>
      <c r="Q13" s="88" t="s">
        <v>299</v>
      </c>
      <c r="R13" s="88" t="s">
        <v>268</v>
      </c>
    </row>
    <row r="14" spans="2:18" ht="25.5" x14ac:dyDescent="0.25">
      <c r="B14" s="143"/>
      <c r="C14" s="143"/>
      <c r="D14" s="88">
        <v>7</v>
      </c>
      <c r="E14" s="88" t="s">
        <v>23</v>
      </c>
      <c r="F14" s="88" t="s">
        <v>13</v>
      </c>
      <c r="G14" s="88" t="s">
        <v>183</v>
      </c>
      <c r="H14" s="88" t="s">
        <v>7</v>
      </c>
      <c r="I14" s="88" t="s">
        <v>11</v>
      </c>
      <c r="J14" s="88" t="s">
        <v>287</v>
      </c>
      <c r="K14" s="91" t="s">
        <v>275</v>
      </c>
      <c r="L14" s="90">
        <v>2008</v>
      </c>
      <c r="M14" s="90">
        <f t="shared" si="0"/>
        <v>11</v>
      </c>
      <c r="N14" s="88" t="s">
        <v>3</v>
      </c>
      <c r="O14" s="88" t="s">
        <v>258</v>
      </c>
      <c r="P14" s="88" t="s">
        <v>266</v>
      </c>
      <c r="Q14" s="88"/>
      <c r="R14" s="88" t="s">
        <v>267</v>
      </c>
    </row>
    <row r="15" spans="2:18" ht="25.5" x14ac:dyDescent="0.25">
      <c r="B15" s="143">
        <v>3</v>
      </c>
      <c r="C15" s="143" t="s">
        <v>292</v>
      </c>
      <c r="D15" s="88">
        <v>8</v>
      </c>
      <c r="E15" s="88" t="s">
        <v>24</v>
      </c>
      <c r="F15" s="88" t="s">
        <v>5</v>
      </c>
      <c r="G15" s="92" t="s">
        <v>184</v>
      </c>
      <c r="H15" s="88" t="s">
        <v>1</v>
      </c>
      <c r="I15" s="88" t="s">
        <v>2</v>
      </c>
      <c r="J15" s="88" t="s">
        <v>287</v>
      </c>
      <c r="K15" s="91" t="s">
        <v>294</v>
      </c>
      <c r="L15" s="90">
        <v>1962</v>
      </c>
      <c r="M15" s="90">
        <f t="shared" si="0"/>
        <v>57</v>
      </c>
      <c r="N15" s="88" t="s">
        <v>3</v>
      </c>
      <c r="O15" s="88" t="s">
        <v>258</v>
      </c>
      <c r="P15" s="88" t="s">
        <v>17</v>
      </c>
      <c r="Q15" s="92" t="s">
        <v>12</v>
      </c>
      <c r="R15" s="88" t="s">
        <v>21</v>
      </c>
    </row>
    <row r="16" spans="2:18" ht="25.5" x14ac:dyDescent="0.25">
      <c r="B16" s="143"/>
      <c r="C16" s="143"/>
      <c r="D16" s="88">
        <v>9</v>
      </c>
      <c r="E16" s="88" t="s">
        <v>25</v>
      </c>
      <c r="F16" s="88" t="s">
        <v>9</v>
      </c>
      <c r="G16" s="88" t="s">
        <v>293</v>
      </c>
      <c r="H16" s="88" t="s">
        <v>7</v>
      </c>
      <c r="I16" s="88" t="s">
        <v>2</v>
      </c>
      <c r="J16" s="88" t="s">
        <v>287</v>
      </c>
      <c r="K16" s="91" t="s">
        <v>272</v>
      </c>
      <c r="L16" s="90">
        <v>1965</v>
      </c>
      <c r="M16" s="90">
        <f t="shared" si="0"/>
        <v>54</v>
      </c>
      <c r="N16" s="88" t="s">
        <v>3</v>
      </c>
      <c r="O16" s="88" t="s">
        <v>258</v>
      </c>
      <c r="P16" s="88" t="s">
        <v>17</v>
      </c>
      <c r="Q16" s="92" t="s">
        <v>12</v>
      </c>
      <c r="R16" s="88" t="s">
        <v>21</v>
      </c>
    </row>
    <row r="17" spans="2:18" ht="25.5" x14ac:dyDescent="0.25">
      <c r="B17" s="143"/>
      <c r="C17" s="143"/>
      <c r="D17" s="88">
        <v>10</v>
      </c>
      <c r="E17" s="88" t="s">
        <v>27</v>
      </c>
      <c r="F17" s="88" t="s">
        <v>13</v>
      </c>
      <c r="G17" s="88" t="s">
        <v>186</v>
      </c>
      <c r="H17" s="88" t="s">
        <v>7</v>
      </c>
      <c r="I17" s="88" t="s">
        <v>11</v>
      </c>
      <c r="J17" s="88" t="s">
        <v>287</v>
      </c>
      <c r="K17" s="91" t="s">
        <v>295</v>
      </c>
      <c r="L17" s="90">
        <v>1998</v>
      </c>
      <c r="M17" s="90">
        <f t="shared" si="0"/>
        <v>21</v>
      </c>
      <c r="N17" s="88" t="s">
        <v>3</v>
      </c>
      <c r="O17" s="88" t="s">
        <v>258</v>
      </c>
      <c r="P17" s="88" t="s">
        <v>296</v>
      </c>
      <c r="Q17" s="88" t="s">
        <v>300</v>
      </c>
      <c r="R17" s="88" t="s">
        <v>297</v>
      </c>
    </row>
    <row r="18" spans="2:18" ht="25.5" x14ac:dyDescent="0.25">
      <c r="B18" s="143">
        <v>4</v>
      </c>
      <c r="C18" s="143" t="s">
        <v>486</v>
      </c>
      <c r="D18" s="88">
        <v>11</v>
      </c>
      <c r="E18" s="88" t="s">
        <v>31</v>
      </c>
      <c r="F18" s="88" t="s">
        <v>5</v>
      </c>
      <c r="G18" s="88" t="s">
        <v>188</v>
      </c>
      <c r="H18" s="88" t="s">
        <v>1</v>
      </c>
      <c r="I18" s="88" t="s">
        <v>2</v>
      </c>
      <c r="J18" s="88" t="s">
        <v>287</v>
      </c>
      <c r="K18" s="93" t="s">
        <v>307</v>
      </c>
      <c r="L18" s="90">
        <v>1955</v>
      </c>
      <c r="M18" s="90">
        <f t="shared" si="0"/>
        <v>64</v>
      </c>
      <c r="N18" s="88" t="s">
        <v>3</v>
      </c>
      <c r="O18" s="88" t="s">
        <v>258</v>
      </c>
      <c r="P18" s="88" t="s">
        <v>12</v>
      </c>
      <c r="Q18" s="88"/>
      <c r="R18" s="88" t="s">
        <v>32</v>
      </c>
    </row>
    <row r="19" spans="2:18" ht="25.5" x14ac:dyDescent="0.25">
      <c r="B19" s="143"/>
      <c r="C19" s="143"/>
      <c r="D19" s="88">
        <v>12</v>
      </c>
      <c r="E19" s="88" t="s">
        <v>33</v>
      </c>
      <c r="F19" s="88" t="s">
        <v>9</v>
      </c>
      <c r="G19" s="88" t="s">
        <v>189</v>
      </c>
      <c r="H19" s="88" t="s">
        <v>7</v>
      </c>
      <c r="I19" s="88" t="s">
        <v>2</v>
      </c>
      <c r="J19" s="88" t="s">
        <v>287</v>
      </c>
      <c r="K19" s="93" t="s">
        <v>307</v>
      </c>
      <c r="L19" s="90">
        <v>1957</v>
      </c>
      <c r="M19" s="90">
        <f t="shared" si="0"/>
        <v>62</v>
      </c>
      <c r="N19" s="88" t="s">
        <v>3</v>
      </c>
      <c r="O19" s="88" t="s">
        <v>258</v>
      </c>
      <c r="P19" s="88" t="s">
        <v>12</v>
      </c>
      <c r="Q19" s="88"/>
      <c r="R19" s="88" t="s">
        <v>32</v>
      </c>
    </row>
    <row r="20" spans="2:18" ht="25.5" x14ac:dyDescent="0.25">
      <c r="B20" s="143"/>
      <c r="C20" s="143"/>
      <c r="D20" s="88">
        <v>13</v>
      </c>
      <c r="E20" s="88" t="s">
        <v>34</v>
      </c>
      <c r="F20" s="88" t="s">
        <v>13</v>
      </c>
      <c r="G20" s="88" t="s">
        <v>190</v>
      </c>
      <c r="H20" s="88" t="s">
        <v>1</v>
      </c>
      <c r="I20" s="88" t="s">
        <v>11</v>
      </c>
      <c r="J20" s="88" t="s">
        <v>382</v>
      </c>
      <c r="K20" s="91" t="s">
        <v>487</v>
      </c>
      <c r="L20" s="90">
        <v>1995</v>
      </c>
      <c r="M20" s="90">
        <f t="shared" si="0"/>
        <v>24</v>
      </c>
      <c r="N20" s="88" t="s">
        <v>3</v>
      </c>
      <c r="O20" s="88" t="s">
        <v>258</v>
      </c>
      <c r="P20" s="88" t="s">
        <v>4</v>
      </c>
      <c r="Q20" s="88"/>
      <c r="R20" s="88" t="s">
        <v>338</v>
      </c>
    </row>
    <row r="21" spans="2:18" ht="25.5" x14ac:dyDescent="0.25">
      <c r="B21" s="143">
        <v>5</v>
      </c>
      <c r="C21" s="143" t="s">
        <v>348</v>
      </c>
      <c r="D21" s="88">
        <v>14</v>
      </c>
      <c r="E21" s="88" t="s">
        <v>35</v>
      </c>
      <c r="F21" s="88" t="s">
        <v>5</v>
      </c>
      <c r="G21" s="92" t="s">
        <v>349</v>
      </c>
      <c r="H21" s="88" t="s">
        <v>1</v>
      </c>
      <c r="I21" s="88" t="s">
        <v>2</v>
      </c>
      <c r="J21" s="88" t="s">
        <v>287</v>
      </c>
      <c r="K21" s="91" t="s">
        <v>351</v>
      </c>
      <c r="L21" s="90">
        <v>1985</v>
      </c>
      <c r="M21" s="90">
        <f t="shared" si="0"/>
        <v>34</v>
      </c>
      <c r="N21" s="88" t="s">
        <v>3</v>
      </c>
      <c r="O21" s="88" t="s">
        <v>258</v>
      </c>
      <c r="P21" s="88" t="s">
        <v>17</v>
      </c>
      <c r="Q21" s="88"/>
      <c r="R21" s="88" t="s">
        <v>329</v>
      </c>
    </row>
    <row r="22" spans="2:18" ht="25.5" x14ac:dyDescent="0.25">
      <c r="B22" s="143"/>
      <c r="C22" s="143"/>
      <c r="D22" s="88">
        <v>15</v>
      </c>
      <c r="E22" s="88" t="s">
        <v>36</v>
      </c>
      <c r="F22" s="88" t="s">
        <v>9</v>
      </c>
      <c r="G22" s="92" t="s">
        <v>350</v>
      </c>
      <c r="H22" s="88" t="s">
        <v>7</v>
      </c>
      <c r="I22" s="88" t="s">
        <v>2</v>
      </c>
      <c r="J22" s="88" t="s">
        <v>287</v>
      </c>
      <c r="K22" s="91" t="s">
        <v>352</v>
      </c>
      <c r="L22" s="90">
        <v>1992</v>
      </c>
      <c r="M22" s="90">
        <f t="shared" si="0"/>
        <v>27</v>
      </c>
      <c r="N22" s="88" t="s">
        <v>3</v>
      </c>
      <c r="O22" s="88" t="s">
        <v>258</v>
      </c>
      <c r="P22" s="88" t="s">
        <v>17</v>
      </c>
      <c r="Q22" s="88"/>
      <c r="R22" s="88" t="s">
        <v>324</v>
      </c>
    </row>
    <row r="23" spans="2:18" ht="25.5" x14ac:dyDescent="0.25">
      <c r="B23" s="143"/>
      <c r="C23" s="143"/>
      <c r="D23" s="88">
        <v>16</v>
      </c>
      <c r="E23" s="88" t="s">
        <v>37</v>
      </c>
      <c r="F23" s="88" t="s">
        <v>38</v>
      </c>
      <c r="G23" s="92" t="s">
        <v>353</v>
      </c>
      <c r="H23" s="88" t="s">
        <v>7</v>
      </c>
      <c r="I23" s="88" t="s">
        <v>11</v>
      </c>
      <c r="J23" s="88" t="s">
        <v>287</v>
      </c>
      <c r="K23" s="91" t="s">
        <v>354</v>
      </c>
      <c r="L23" s="90">
        <v>2011</v>
      </c>
      <c r="M23" s="90">
        <f t="shared" si="0"/>
        <v>8</v>
      </c>
      <c r="N23" s="88" t="s">
        <v>3</v>
      </c>
      <c r="O23" s="88" t="s">
        <v>258</v>
      </c>
      <c r="P23" s="88" t="s">
        <v>12</v>
      </c>
      <c r="Q23" s="88"/>
      <c r="R23" s="88" t="s">
        <v>12</v>
      </c>
    </row>
    <row r="24" spans="2:18" ht="25.5" x14ac:dyDescent="0.25">
      <c r="B24" s="143">
        <v>6</v>
      </c>
      <c r="C24" s="143" t="s">
        <v>327</v>
      </c>
      <c r="D24" s="88">
        <v>17</v>
      </c>
      <c r="E24" s="88" t="s">
        <v>39</v>
      </c>
      <c r="F24" s="88" t="s">
        <v>5</v>
      </c>
      <c r="G24" s="92" t="s">
        <v>328</v>
      </c>
      <c r="H24" s="88" t="s">
        <v>1</v>
      </c>
      <c r="I24" s="88" t="s">
        <v>2</v>
      </c>
      <c r="J24" s="88" t="s">
        <v>287</v>
      </c>
      <c r="K24" s="91" t="s">
        <v>272</v>
      </c>
      <c r="L24" s="90">
        <v>1977</v>
      </c>
      <c r="M24" s="90">
        <f t="shared" si="0"/>
        <v>42</v>
      </c>
      <c r="N24" s="88" t="s">
        <v>3</v>
      </c>
      <c r="O24" s="88" t="s">
        <v>258</v>
      </c>
      <c r="P24" s="88" t="s">
        <v>17</v>
      </c>
      <c r="Q24" s="88"/>
      <c r="R24" s="88" t="s">
        <v>329</v>
      </c>
    </row>
    <row r="25" spans="2:18" ht="25.5" x14ac:dyDescent="0.25">
      <c r="B25" s="143"/>
      <c r="C25" s="143"/>
      <c r="D25" s="88">
        <v>18</v>
      </c>
      <c r="E25" s="88" t="s">
        <v>40</v>
      </c>
      <c r="F25" s="88" t="s">
        <v>9</v>
      </c>
      <c r="G25" s="92" t="s">
        <v>330</v>
      </c>
      <c r="H25" s="88" t="s">
        <v>7</v>
      </c>
      <c r="I25" s="88" t="s">
        <v>2</v>
      </c>
      <c r="J25" s="88" t="s">
        <v>287</v>
      </c>
      <c r="K25" s="91" t="s">
        <v>272</v>
      </c>
      <c r="L25" s="90">
        <v>1980</v>
      </c>
      <c r="M25" s="90">
        <f t="shared" si="0"/>
        <v>39</v>
      </c>
      <c r="N25" s="88" t="s">
        <v>3</v>
      </c>
      <c r="O25" s="88" t="s">
        <v>258</v>
      </c>
      <c r="P25" s="88" t="s">
        <v>17</v>
      </c>
      <c r="Q25" s="88"/>
      <c r="R25" s="88" t="s">
        <v>324</v>
      </c>
    </row>
    <row r="26" spans="2:18" ht="38.25" x14ac:dyDescent="0.25">
      <c r="B26" s="143"/>
      <c r="C26" s="143"/>
      <c r="D26" s="88">
        <v>19</v>
      </c>
      <c r="E26" s="88" t="s">
        <v>41</v>
      </c>
      <c r="F26" s="88" t="s">
        <v>13</v>
      </c>
      <c r="G26" s="92" t="s">
        <v>331</v>
      </c>
      <c r="H26" s="88" t="s">
        <v>7</v>
      </c>
      <c r="I26" s="88" t="s">
        <v>11</v>
      </c>
      <c r="J26" s="88" t="s">
        <v>287</v>
      </c>
      <c r="K26" s="93" t="s">
        <v>332</v>
      </c>
      <c r="L26" s="90">
        <v>1999</v>
      </c>
      <c r="M26" s="90">
        <f t="shared" si="0"/>
        <v>20</v>
      </c>
      <c r="N26" s="88" t="s">
        <v>3</v>
      </c>
      <c r="O26" s="88" t="s">
        <v>258</v>
      </c>
      <c r="P26" s="88" t="s">
        <v>333</v>
      </c>
      <c r="Q26" s="88" t="s">
        <v>335</v>
      </c>
      <c r="R26" s="88" t="s">
        <v>336</v>
      </c>
    </row>
    <row r="27" spans="2:18" ht="25.5" x14ac:dyDescent="0.25">
      <c r="B27" s="143">
        <v>7</v>
      </c>
      <c r="C27" s="143" t="s">
        <v>407</v>
      </c>
      <c r="D27" s="88">
        <v>20</v>
      </c>
      <c r="E27" s="88" t="s">
        <v>42</v>
      </c>
      <c r="F27" s="88" t="s">
        <v>5</v>
      </c>
      <c r="G27" s="92" t="s">
        <v>408</v>
      </c>
      <c r="H27" s="88" t="s">
        <v>1</v>
      </c>
      <c r="I27" s="88" t="s">
        <v>2</v>
      </c>
      <c r="J27" s="88" t="s">
        <v>287</v>
      </c>
      <c r="K27" s="93" t="s">
        <v>307</v>
      </c>
      <c r="L27" s="90">
        <v>1978</v>
      </c>
      <c r="M27" s="90">
        <f t="shared" si="0"/>
        <v>41</v>
      </c>
      <c r="N27" s="88" t="s">
        <v>3</v>
      </c>
      <c r="O27" s="88" t="s">
        <v>258</v>
      </c>
      <c r="P27" s="92" t="s">
        <v>12</v>
      </c>
      <c r="Q27" s="88"/>
      <c r="R27" s="88" t="s">
        <v>21</v>
      </c>
    </row>
    <row r="28" spans="2:18" ht="25.5" x14ac:dyDescent="0.25">
      <c r="B28" s="143"/>
      <c r="C28" s="143"/>
      <c r="D28" s="88">
        <v>21</v>
      </c>
      <c r="E28" s="88" t="s">
        <v>409</v>
      </c>
      <c r="F28" s="88" t="s">
        <v>9</v>
      </c>
      <c r="G28" s="92" t="s">
        <v>410</v>
      </c>
      <c r="H28" s="88" t="s">
        <v>7</v>
      </c>
      <c r="I28" s="88" t="s">
        <v>2</v>
      </c>
      <c r="J28" s="88" t="s">
        <v>287</v>
      </c>
      <c r="K28" s="93" t="s">
        <v>307</v>
      </c>
      <c r="L28" s="90">
        <v>1980</v>
      </c>
      <c r="M28" s="90">
        <f t="shared" si="0"/>
        <v>39</v>
      </c>
      <c r="N28" s="88" t="s">
        <v>3</v>
      </c>
      <c r="O28" s="88" t="s">
        <v>258</v>
      </c>
      <c r="P28" s="92" t="s">
        <v>12</v>
      </c>
      <c r="Q28" s="88"/>
      <c r="R28" s="88" t="s">
        <v>21</v>
      </c>
    </row>
    <row r="29" spans="2:18" ht="25.5" x14ac:dyDescent="0.25">
      <c r="B29" s="143"/>
      <c r="C29" s="143"/>
      <c r="D29" s="88">
        <v>22</v>
      </c>
      <c r="E29" s="88" t="s">
        <v>43</v>
      </c>
      <c r="F29" s="88" t="s">
        <v>13</v>
      </c>
      <c r="G29" s="92" t="s">
        <v>411</v>
      </c>
      <c r="H29" s="88" t="s">
        <v>7</v>
      </c>
      <c r="I29" s="88" t="s">
        <v>11</v>
      </c>
      <c r="J29" s="88" t="s">
        <v>287</v>
      </c>
      <c r="K29" s="93" t="s">
        <v>412</v>
      </c>
      <c r="L29" s="90">
        <v>2009</v>
      </c>
      <c r="M29" s="90">
        <f t="shared" si="0"/>
        <v>10</v>
      </c>
      <c r="N29" s="88" t="s">
        <v>3</v>
      </c>
      <c r="O29" s="88" t="s">
        <v>258</v>
      </c>
      <c r="P29" s="88" t="s">
        <v>12</v>
      </c>
      <c r="Q29" s="88"/>
      <c r="R29" s="88" t="s">
        <v>12</v>
      </c>
    </row>
    <row r="30" spans="2:18" ht="25.5" x14ac:dyDescent="0.25">
      <c r="B30" s="143">
        <v>8</v>
      </c>
      <c r="C30" s="143" t="s">
        <v>355</v>
      </c>
      <c r="D30" s="88">
        <v>23</v>
      </c>
      <c r="E30" s="88" t="s">
        <v>44</v>
      </c>
      <c r="F30" s="88" t="s">
        <v>5</v>
      </c>
      <c r="G30" s="88" t="s">
        <v>191</v>
      </c>
      <c r="H30" s="88" t="s">
        <v>1</v>
      </c>
      <c r="I30" s="88" t="s">
        <v>2</v>
      </c>
      <c r="J30" s="88" t="s">
        <v>287</v>
      </c>
      <c r="K30" s="91" t="s">
        <v>356</v>
      </c>
      <c r="L30" s="90">
        <v>1997</v>
      </c>
      <c r="M30" s="90">
        <f t="shared" si="0"/>
        <v>22</v>
      </c>
      <c r="N30" s="88" t="s">
        <v>3</v>
      </c>
      <c r="O30" s="88" t="s">
        <v>258</v>
      </c>
      <c r="P30" s="88" t="s">
        <v>17</v>
      </c>
      <c r="Q30" s="88"/>
      <c r="R30" s="88" t="s">
        <v>338</v>
      </c>
    </row>
    <row r="31" spans="2:18" ht="25.5" x14ac:dyDescent="0.25">
      <c r="B31" s="143"/>
      <c r="C31" s="143"/>
      <c r="D31" s="88">
        <v>24</v>
      </c>
      <c r="E31" s="88" t="s">
        <v>357</v>
      </c>
      <c r="F31" s="88" t="s">
        <v>9</v>
      </c>
      <c r="G31" s="88" t="s">
        <v>362</v>
      </c>
      <c r="H31" s="88" t="s">
        <v>7</v>
      </c>
      <c r="I31" s="88" t="s">
        <v>2</v>
      </c>
      <c r="J31" s="88" t="s">
        <v>287</v>
      </c>
      <c r="K31" s="91" t="s">
        <v>358</v>
      </c>
      <c r="L31" s="90">
        <v>1982</v>
      </c>
      <c r="M31" s="90">
        <f t="shared" si="0"/>
        <v>37</v>
      </c>
      <c r="N31" s="88" t="s">
        <v>3</v>
      </c>
      <c r="O31" s="88" t="s">
        <v>258</v>
      </c>
      <c r="P31" s="88" t="s">
        <v>12</v>
      </c>
      <c r="Q31" s="88"/>
      <c r="R31" s="88" t="s">
        <v>21</v>
      </c>
    </row>
    <row r="32" spans="2:18" ht="25.5" x14ac:dyDescent="0.25">
      <c r="B32" s="143"/>
      <c r="C32" s="143"/>
      <c r="D32" s="88">
        <v>25</v>
      </c>
      <c r="E32" s="88" t="s">
        <v>45</v>
      </c>
      <c r="F32" s="88" t="s">
        <v>13</v>
      </c>
      <c r="G32" s="88" t="s">
        <v>192</v>
      </c>
      <c r="H32" s="88" t="s">
        <v>1</v>
      </c>
      <c r="I32" s="88" t="s">
        <v>11</v>
      </c>
      <c r="J32" s="88" t="s">
        <v>287</v>
      </c>
      <c r="K32" s="93" t="s">
        <v>359</v>
      </c>
      <c r="L32" s="90">
        <v>1997</v>
      </c>
      <c r="M32" s="90">
        <f t="shared" si="0"/>
        <v>22</v>
      </c>
      <c r="N32" s="88" t="s">
        <v>3</v>
      </c>
      <c r="O32" s="88" t="s">
        <v>258</v>
      </c>
      <c r="P32" s="88" t="s">
        <v>17</v>
      </c>
      <c r="Q32" s="88"/>
      <c r="R32" s="88" t="s">
        <v>338</v>
      </c>
    </row>
    <row r="33" spans="2:18" ht="25.5" x14ac:dyDescent="0.25">
      <c r="B33" s="143"/>
      <c r="C33" s="143"/>
      <c r="D33" s="88">
        <v>26</v>
      </c>
      <c r="E33" s="88" t="s">
        <v>46</v>
      </c>
      <c r="F33" s="88" t="s">
        <v>13</v>
      </c>
      <c r="G33" s="88" t="s">
        <v>193</v>
      </c>
      <c r="H33" s="88" t="s">
        <v>7</v>
      </c>
      <c r="I33" s="88" t="s">
        <v>11</v>
      </c>
      <c r="J33" s="88" t="s">
        <v>360</v>
      </c>
      <c r="K33" s="93" t="s">
        <v>361</v>
      </c>
      <c r="L33" s="90">
        <v>2013</v>
      </c>
      <c r="M33" s="90">
        <f t="shared" si="0"/>
        <v>6</v>
      </c>
      <c r="N33" s="88" t="s">
        <v>3</v>
      </c>
      <c r="O33" s="88" t="s">
        <v>258</v>
      </c>
      <c r="P33" s="88" t="s">
        <v>17</v>
      </c>
      <c r="Q33" s="88"/>
      <c r="R33" s="88" t="s">
        <v>261</v>
      </c>
    </row>
    <row r="34" spans="2:18" ht="25.5" x14ac:dyDescent="0.25">
      <c r="B34" s="143">
        <v>9</v>
      </c>
      <c r="C34" s="143" t="s">
        <v>397</v>
      </c>
      <c r="D34" s="88">
        <v>27</v>
      </c>
      <c r="E34" s="88" t="s">
        <v>398</v>
      </c>
      <c r="F34" s="88" t="s">
        <v>5</v>
      </c>
      <c r="G34" s="92" t="s">
        <v>399</v>
      </c>
      <c r="H34" s="88" t="s">
        <v>7</v>
      </c>
      <c r="I34" s="88" t="s">
        <v>379</v>
      </c>
      <c r="J34" s="88" t="s">
        <v>287</v>
      </c>
      <c r="K34" s="93" t="s">
        <v>307</v>
      </c>
      <c r="L34" s="90">
        <v>1950</v>
      </c>
      <c r="M34" s="90">
        <f t="shared" si="0"/>
        <v>69</v>
      </c>
      <c r="N34" s="88" t="s">
        <v>3</v>
      </c>
      <c r="O34" s="88" t="s">
        <v>258</v>
      </c>
      <c r="P34" s="88" t="s">
        <v>12</v>
      </c>
      <c r="Q34" s="88"/>
      <c r="R34" s="88" t="s">
        <v>21</v>
      </c>
    </row>
    <row r="35" spans="2:18" ht="25.5" x14ac:dyDescent="0.25">
      <c r="B35" s="143"/>
      <c r="C35" s="143"/>
      <c r="D35" s="88">
        <v>28</v>
      </c>
      <c r="E35" s="88" t="s">
        <v>36</v>
      </c>
      <c r="F35" s="88" t="s">
        <v>13</v>
      </c>
      <c r="G35" s="92" t="s">
        <v>400</v>
      </c>
      <c r="H35" s="88" t="s">
        <v>7</v>
      </c>
      <c r="I35" s="88" t="s">
        <v>379</v>
      </c>
      <c r="J35" s="88" t="s">
        <v>287</v>
      </c>
      <c r="K35" s="93" t="s">
        <v>401</v>
      </c>
      <c r="L35" s="90">
        <v>1970</v>
      </c>
      <c r="M35" s="90">
        <f t="shared" si="0"/>
        <v>49</v>
      </c>
      <c r="N35" s="88" t="s">
        <v>3</v>
      </c>
      <c r="O35" s="88" t="s">
        <v>258</v>
      </c>
      <c r="P35" s="88" t="s">
        <v>12</v>
      </c>
      <c r="Q35" s="88"/>
      <c r="R35" s="88" t="s">
        <v>21</v>
      </c>
    </row>
    <row r="36" spans="2:18" x14ac:dyDescent="0.25">
      <c r="B36" s="88">
        <v>10</v>
      </c>
      <c r="C36" s="88"/>
      <c r="D36" s="88">
        <v>29</v>
      </c>
      <c r="E36" s="88" t="s">
        <v>48</v>
      </c>
      <c r="F36" s="88" t="s">
        <v>5</v>
      </c>
      <c r="G36" s="88">
        <v>0</v>
      </c>
      <c r="H36" s="88" t="s">
        <v>7</v>
      </c>
      <c r="I36" s="88" t="s">
        <v>379</v>
      </c>
      <c r="J36" s="88" t="s">
        <v>287</v>
      </c>
      <c r="K36" s="93" t="s">
        <v>307</v>
      </c>
      <c r="L36" s="90">
        <v>1975</v>
      </c>
      <c r="M36" s="90">
        <f t="shared" si="0"/>
        <v>44</v>
      </c>
      <c r="N36" s="88" t="s">
        <v>3</v>
      </c>
      <c r="O36" s="88"/>
      <c r="P36" s="88" t="s">
        <v>17</v>
      </c>
      <c r="Q36" s="88"/>
      <c r="R36" s="88" t="s">
        <v>18</v>
      </c>
    </row>
    <row r="37" spans="2:18" ht="25.5" x14ac:dyDescent="0.25">
      <c r="B37" s="143">
        <v>11</v>
      </c>
      <c r="C37" s="143" t="s">
        <v>385</v>
      </c>
      <c r="D37" s="88">
        <v>30</v>
      </c>
      <c r="E37" s="88" t="s">
        <v>49</v>
      </c>
      <c r="F37" s="88" t="s">
        <v>5</v>
      </c>
      <c r="G37" s="88" t="s">
        <v>195</v>
      </c>
      <c r="H37" s="88" t="s">
        <v>1</v>
      </c>
      <c r="I37" s="88" t="s">
        <v>2</v>
      </c>
      <c r="J37" s="88" t="s">
        <v>287</v>
      </c>
      <c r="K37" s="93" t="s">
        <v>386</v>
      </c>
      <c r="L37" s="90">
        <v>1987</v>
      </c>
      <c r="M37" s="90">
        <f t="shared" si="0"/>
        <v>32</v>
      </c>
      <c r="N37" s="88" t="s">
        <v>3</v>
      </c>
      <c r="O37" s="88" t="s">
        <v>258</v>
      </c>
      <c r="P37" s="88" t="s">
        <v>17</v>
      </c>
      <c r="Q37" s="88"/>
      <c r="R37" s="88" t="s">
        <v>21</v>
      </c>
    </row>
    <row r="38" spans="2:18" ht="25.5" x14ac:dyDescent="0.25">
      <c r="B38" s="143"/>
      <c r="C38" s="143"/>
      <c r="D38" s="88">
        <v>31</v>
      </c>
      <c r="E38" s="88" t="s">
        <v>50</v>
      </c>
      <c r="F38" s="88" t="s">
        <v>9</v>
      </c>
      <c r="G38" s="92" t="s">
        <v>387</v>
      </c>
      <c r="H38" s="88" t="s">
        <v>7</v>
      </c>
      <c r="I38" s="88" t="s">
        <v>2</v>
      </c>
      <c r="J38" s="88" t="s">
        <v>388</v>
      </c>
      <c r="K38" s="93" t="s">
        <v>307</v>
      </c>
      <c r="L38" s="90">
        <v>1989</v>
      </c>
      <c r="M38" s="90">
        <f t="shared" si="0"/>
        <v>30</v>
      </c>
      <c r="N38" s="88" t="s">
        <v>3</v>
      </c>
      <c r="O38" s="88" t="s">
        <v>258</v>
      </c>
      <c r="P38" s="88" t="s">
        <v>17</v>
      </c>
      <c r="Q38" s="88"/>
      <c r="R38" s="88" t="s">
        <v>18</v>
      </c>
    </row>
    <row r="39" spans="2:18" ht="25.5" x14ac:dyDescent="0.25">
      <c r="B39" s="143"/>
      <c r="C39" s="143"/>
      <c r="D39" s="88">
        <v>32</v>
      </c>
      <c r="E39" s="88" t="s">
        <v>51</v>
      </c>
      <c r="F39" s="88" t="s">
        <v>13</v>
      </c>
      <c r="G39" s="92" t="s">
        <v>389</v>
      </c>
      <c r="H39" s="88" t="s">
        <v>1</v>
      </c>
      <c r="I39" s="88" t="s">
        <v>11</v>
      </c>
      <c r="J39" s="88" t="s">
        <v>287</v>
      </c>
      <c r="K39" s="91" t="s">
        <v>390</v>
      </c>
      <c r="L39" s="90">
        <v>2008</v>
      </c>
      <c r="M39" s="90">
        <f t="shared" si="0"/>
        <v>11</v>
      </c>
      <c r="N39" s="88" t="s">
        <v>3</v>
      </c>
      <c r="O39" s="88" t="s">
        <v>258</v>
      </c>
      <c r="P39" s="88" t="s">
        <v>17</v>
      </c>
      <c r="Q39" s="88"/>
      <c r="R39" s="88" t="s">
        <v>267</v>
      </c>
    </row>
    <row r="40" spans="2:18" ht="25.5" x14ac:dyDescent="0.25">
      <c r="B40" s="143"/>
      <c r="C40" s="143"/>
      <c r="D40" s="88">
        <v>33</v>
      </c>
      <c r="E40" s="88" t="s">
        <v>391</v>
      </c>
      <c r="F40" s="88" t="s">
        <v>13</v>
      </c>
      <c r="G40" s="92" t="s">
        <v>392</v>
      </c>
      <c r="H40" s="88" t="s">
        <v>1</v>
      </c>
      <c r="I40" s="88" t="s">
        <v>11</v>
      </c>
      <c r="J40" s="88" t="s">
        <v>287</v>
      </c>
      <c r="K40" s="93" t="s">
        <v>393</v>
      </c>
      <c r="L40" s="90">
        <v>2016</v>
      </c>
      <c r="M40" s="90">
        <f t="shared" si="0"/>
        <v>3</v>
      </c>
      <c r="N40" s="88" t="s">
        <v>3</v>
      </c>
      <c r="O40" s="88" t="s">
        <v>258</v>
      </c>
      <c r="P40" s="92" t="s">
        <v>12</v>
      </c>
      <c r="Q40" s="88"/>
      <c r="R40" s="92" t="s">
        <v>12</v>
      </c>
    </row>
    <row r="41" spans="2:18" ht="25.5" x14ac:dyDescent="0.25">
      <c r="B41" s="143">
        <v>12</v>
      </c>
      <c r="C41" s="143" t="s">
        <v>477</v>
      </c>
      <c r="D41" s="88">
        <v>34</v>
      </c>
      <c r="E41" s="88" t="s">
        <v>52</v>
      </c>
      <c r="F41" s="88" t="s">
        <v>5</v>
      </c>
      <c r="G41" s="92" t="s">
        <v>478</v>
      </c>
      <c r="H41" s="88" t="s">
        <v>1</v>
      </c>
      <c r="I41" s="88" t="s">
        <v>2</v>
      </c>
      <c r="J41" s="88" t="s">
        <v>287</v>
      </c>
      <c r="K41" s="93" t="s">
        <v>481</v>
      </c>
      <c r="L41" s="90">
        <v>1950</v>
      </c>
      <c r="M41" s="90">
        <f t="shared" si="0"/>
        <v>69</v>
      </c>
      <c r="N41" s="88" t="s">
        <v>3</v>
      </c>
      <c r="O41" s="88" t="s">
        <v>258</v>
      </c>
      <c r="P41" s="88" t="s">
        <v>12</v>
      </c>
      <c r="Q41" s="88"/>
      <c r="R41" s="88" t="s">
        <v>21</v>
      </c>
    </row>
    <row r="42" spans="2:18" ht="25.5" x14ac:dyDescent="0.25">
      <c r="B42" s="143"/>
      <c r="C42" s="143"/>
      <c r="D42" s="88">
        <v>35</v>
      </c>
      <c r="E42" s="88" t="s">
        <v>480</v>
      </c>
      <c r="F42" s="88" t="s">
        <v>9</v>
      </c>
      <c r="G42" s="92" t="s">
        <v>479</v>
      </c>
      <c r="H42" s="88" t="s">
        <v>7</v>
      </c>
      <c r="I42" s="88" t="s">
        <v>2</v>
      </c>
      <c r="J42" s="88" t="s">
        <v>287</v>
      </c>
      <c r="K42" s="93" t="s">
        <v>307</v>
      </c>
      <c r="L42" s="90">
        <v>1954</v>
      </c>
      <c r="M42" s="90">
        <f t="shared" si="0"/>
        <v>65</v>
      </c>
      <c r="N42" s="88" t="s">
        <v>3</v>
      </c>
      <c r="O42" s="88" t="s">
        <v>258</v>
      </c>
      <c r="P42" s="88" t="s">
        <v>12</v>
      </c>
      <c r="Q42" s="88"/>
      <c r="R42" s="88" t="s">
        <v>21</v>
      </c>
    </row>
    <row r="43" spans="2:18" ht="25.5" x14ac:dyDescent="0.25">
      <c r="B43" s="143">
        <v>13</v>
      </c>
      <c r="C43" s="143" t="s">
        <v>459</v>
      </c>
      <c r="D43" s="88">
        <v>36</v>
      </c>
      <c r="E43" s="88" t="s">
        <v>460</v>
      </c>
      <c r="F43" s="88" t="s">
        <v>5</v>
      </c>
      <c r="G43" s="92" t="s">
        <v>461</v>
      </c>
      <c r="H43" s="88" t="s">
        <v>7</v>
      </c>
      <c r="I43" s="88" t="s">
        <v>379</v>
      </c>
      <c r="J43" s="88" t="s">
        <v>287</v>
      </c>
      <c r="K43" s="93" t="s">
        <v>463</v>
      </c>
      <c r="L43" s="90">
        <v>1972</v>
      </c>
      <c r="M43" s="90">
        <f t="shared" si="0"/>
        <v>47</v>
      </c>
      <c r="N43" s="88" t="s">
        <v>3</v>
      </c>
      <c r="O43" s="88" t="s">
        <v>258</v>
      </c>
      <c r="P43" s="88" t="s">
        <v>17</v>
      </c>
      <c r="Q43" s="88"/>
      <c r="R43" s="88" t="s">
        <v>21</v>
      </c>
    </row>
    <row r="44" spans="2:18" ht="25.5" x14ac:dyDescent="0.25">
      <c r="B44" s="143"/>
      <c r="C44" s="143"/>
      <c r="D44" s="88">
        <v>37</v>
      </c>
      <c r="E44" s="88" t="s">
        <v>53</v>
      </c>
      <c r="F44" s="88" t="s">
        <v>13</v>
      </c>
      <c r="G44" s="92" t="s">
        <v>462</v>
      </c>
      <c r="H44" s="88" t="s">
        <v>1</v>
      </c>
      <c r="I44" s="88" t="s">
        <v>11</v>
      </c>
      <c r="J44" s="88" t="s">
        <v>382</v>
      </c>
      <c r="K44" s="93" t="s">
        <v>347</v>
      </c>
      <c r="L44" s="90">
        <v>1994</v>
      </c>
      <c r="M44" s="90">
        <f t="shared" si="0"/>
        <v>25</v>
      </c>
      <c r="N44" s="88" t="s">
        <v>3</v>
      </c>
      <c r="O44" s="88" t="s">
        <v>258</v>
      </c>
      <c r="P44" s="88" t="s">
        <v>17</v>
      </c>
      <c r="Q44" s="88"/>
      <c r="R44" s="88" t="s">
        <v>21</v>
      </c>
    </row>
    <row r="45" spans="2:18" ht="25.5" x14ac:dyDescent="0.25">
      <c r="B45" s="143">
        <v>14</v>
      </c>
      <c r="C45" s="143" t="s">
        <v>445</v>
      </c>
      <c r="D45" s="88">
        <v>38</v>
      </c>
      <c r="E45" s="88" t="s">
        <v>54</v>
      </c>
      <c r="F45" s="88" t="s">
        <v>5</v>
      </c>
      <c r="G45" s="88" t="s">
        <v>196</v>
      </c>
      <c r="H45" s="88" t="s">
        <v>1</v>
      </c>
      <c r="I45" s="88" t="s">
        <v>2</v>
      </c>
      <c r="J45" s="88" t="s">
        <v>287</v>
      </c>
      <c r="K45" s="91" t="s">
        <v>272</v>
      </c>
      <c r="L45" s="90">
        <v>1972</v>
      </c>
      <c r="M45" s="90">
        <f t="shared" si="0"/>
        <v>47</v>
      </c>
      <c r="N45" s="88" t="s">
        <v>3</v>
      </c>
      <c r="O45" s="88" t="s">
        <v>258</v>
      </c>
      <c r="P45" s="88" t="s">
        <v>17</v>
      </c>
      <c r="Q45" s="88"/>
      <c r="R45" s="88" t="s">
        <v>21</v>
      </c>
    </row>
    <row r="46" spans="2:18" ht="25.5" x14ac:dyDescent="0.25">
      <c r="B46" s="143"/>
      <c r="C46" s="143"/>
      <c r="D46" s="88">
        <v>39</v>
      </c>
      <c r="E46" s="88" t="s">
        <v>55</v>
      </c>
      <c r="F46" s="88" t="s">
        <v>9</v>
      </c>
      <c r="G46" s="88" t="s">
        <v>197</v>
      </c>
      <c r="H46" s="88" t="s">
        <v>7</v>
      </c>
      <c r="I46" s="88" t="s">
        <v>2</v>
      </c>
      <c r="J46" s="88" t="s">
        <v>287</v>
      </c>
      <c r="K46" s="91" t="s">
        <v>446</v>
      </c>
      <c r="L46" s="90">
        <v>1977</v>
      </c>
      <c r="M46" s="90">
        <f t="shared" si="0"/>
        <v>42</v>
      </c>
      <c r="N46" s="88" t="s">
        <v>3</v>
      </c>
      <c r="O46" s="88" t="s">
        <v>258</v>
      </c>
      <c r="P46" s="88" t="s">
        <v>17</v>
      </c>
      <c r="Q46" s="88"/>
      <c r="R46" s="88" t="s">
        <v>21</v>
      </c>
    </row>
    <row r="47" spans="2:18" ht="25.5" x14ac:dyDescent="0.25">
      <c r="B47" s="143"/>
      <c r="C47" s="143"/>
      <c r="D47" s="88">
        <v>40</v>
      </c>
      <c r="E47" s="88" t="s">
        <v>56</v>
      </c>
      <c r="F47" s="88" t="s">
        <v>13</v>
      </c>
      <c r="G47" s="88" t="s">
        <v>198</v>
      </c>
      <c r="H47" s="88" t="s">
        <v>1</v>
      </c>
      <c r="I47" s="88" t="s">
        <v>11</v>
      </c>
      <c r="J47" s="88" t="s">
        <v>287</v>
      </c>
      <c r="K47" s="93" t="s">
        <v>447</v>
      </c>
      <c r="L47" s="90">
        <v>1996</v>
      </c>
      <c r="M47" s="90">
        <f t="shared" si="0"/>
        <v>23</v>
      </c>
      <c r="N47" s="88" t="s">
        <v>3</v>
      </c>
      <c r="O47" s="88" t="s">
        <v>258</v>
      </c>
      <c r="P47" s="88" t="s">
        <v>20</v>
      </c>
      <c r="Q47" s="88"/>
      <c r="R47" s="88" t="s">
        <v>12</v>
      </c>
    </row>
    <row r="48" spans="2:18" ht="25.5" x14ac:dyDescent="0.25">
      <c r="B48" s="143"/>
      <c r="C48" s="143"/>
      <c r="D48" s="88">
        <v>41</v>
      </c>
      <c r="E48" s="88" t="s">
        <v>57</v>
      </c>
      <c r="F48" s="88" t="s">
        <v>13</v>
      </c>
      <c r="G48" s="88" t="s">
        <v>199</v>
      </c>
      <c r="H48" s="88" t="s">
        <v>7</v>
      </c>
      <c r="I48" s="88" t="s">
        <v>11</v>
      </c>
      <c r="J48" s="88" t="s">
        <v>287</v>
      </c>
      <c r="K48" s="93" t="s">
        <v>448</v>
      </c>
      <c r="L48" s="90">
        <v>2005</v>
      </c>
      <c r="M48" s="90">
        <f t="shared" si="0"/>
        <v>14</v>
      </c>
      <c r="N48" s="88" t="s">
        <v>3</v>
      </c>
      <c r="O48" s="88" t="s">
        <v>258</v>
      </c>
      <c r="P48" s="92" t="s">
        <v>449</v>
      </c>
      <c r="Q48" s="88"/>
      <c r="R48" s="88" t="s">
        <v>12</v>
      </c>
    </row>
    <row r="49" spans="2:18" ht="25.5" x14ac:dyDescent="0.25">
      <c r="B49" s="143">
        <v>15</v>
      </c>
      <c r="C49" s="143" t="s">
        <v>319</v>
      </c>
      <c r="D49" s="88">
        <v>42</v>
      </c>
      <c r="E49" s="88" t="s">
        <v>320</v>
      </c>
      <c r="F49" s="88" t="s">
        <v>5</v>
      </c>
      <c r="G49" s="92" t="s">
        <v>321</v>
      </c>
      <c r="H49" s="88" t="s">
        <v>1</v>
      </c>
      <c r="I49" s="88" t="s">
        <v>2</v>
      </c>
      <c r="J49" s="88" t="s">
        <v>287</v>
      </c>
      <c r="K49" s="93" t="s">
        <v>307</v>
      </c>
      <c r="L49" s="90">
        <v>1977</v>
      </c>
      <c r="M49" s="90">
        <f t="shared" si="0"/>
        <v>42</v>
      </c>
      <c r="N49" s="88" t="s">
        <v>3</v>
      </c>
      <c r="O49" s="88" t="s">
        <v>258</v>
      </c>
      <c r="P49" s="88" t="s">
        <v>17</v>
      </c>
      <c r="Q49" s="88"/>
      <c r="R49" s="88" t="s">
        <v>21</v>
      </c>
    </row>
    <row r="50" spans="2:18" ht="25.5" x14ac:dyDescent="0.25">
      <c r="B50" s="143"/>
      <c r="C50" s="143"/>
      <c r="D50" s="88">
        <v>43</v>
      </c>
      <c r="E50" s="88" t="s">
        <v>58</v>
      </c>
      <c r="F50" s="88" t="s">
        <v>9</v>
      </c>
      <c r="G50" s="92" t="s">
        <v>322</v>
      </c>
      <c r="H50" s="88" t="s">
        <v>7</v>
      </c>
      <c r="I50" s="88" t="s">
        <v>2</v>
      </c>
      <c r="J50" s="88" t="s">
        <v>323</v>
      </c>
      <c r="K50" s="93" t="s">
        <v>307</v>
      </c>
      <c r="L50" s="90">
        <v>1985</v>
      </c>
      <c r="M50" s="90">
        <f t="shared" si="0"/>
        <v>34</v>
      </c>
      <c r="N50" s="88" t="s">
        <v>3</v>
      </c>
      <c r="O50" s="88" t="s">
        <v>258</v>
      </c>
      <c r="P50" s="88" t="s">
        <v>12</v>
      </c>
      <c r="Q50" s="88"/>
      <c r="R50" s="88" t="s">
        <v>324</v>
      </c>
    </row>
    <row r="51" spans="2:18" ht="25.5" x14ac:dyDescent="0.25">
      <c r="B51" s="143"/>
      <c r="C51" s="143"/>
      <c r="D51" s="88">
        <v>44</v>
      </c>
      <c r="E51" s="88" t="s">
        <v>325</v>
      </c>
      <c r="F51" s="88" t="s">
        <v>13</v>
      </c>
      <c r="G51" s="92" t="s">
        <v>326</v>
      </c>
      <c r="H51" s="88" t="s">
        <v>7</v>
      </c>
      <c r="I51" s="88" t="s">
        <v>11</v>
      </c>
      <c r="J51" s="88" t="s">
        <v>287</v>
      </c>
      <c r="K51" s="93">
        <v>43429</v>
      </c>
      <c r="L51" s="90">
        <v>2013</v>
      </c>
      <c r="M51" s="90">
        <f t="shared" si="0"/>
        <v>6</v>
      </c>
      <c r="N51" s="88" t="s">
        <v>3</v>
      </c>
      <c r="O51" s="88" t="s">
        <v>258</v>
      </c>
      <c r="P51" s="88" t="s">
        <v>12</v>
      </c>
      <c r="Q51" s="88"/>
      <c r="R51" s="88" t="s">
        <v>12</v>
      </c>
    </row>
    <row r="52" spans="2:18" ht="25.5" x14ac:dyDescent="0.25">
      <c r="B52" s="143">
        <v>16</v>
      </c>
      <c r="C52" s="143" t="s">
        <v>402</v>
      </c>
      <c r="D52" s="88">
        <v>45</v>
      </c>
      <c r="E52" s="88" t="s">
        <v>59</v>
      </c>
      <c r="F52" s="88" t="s">
        <v>5</v>
      </c>
      <c r="G52" s="88" t="s">
        <v>200</v>
      </c>
      <c r="H52" s="88" t="s">
        <v>1</v>
      </c>
      <c r="I52" s="88" t="s">
        <v>2</v>
      </c>
      <c r="J52" s="88" t="s">
        <v>287</v>
      </c>
      <c r="K52" s="93" t="s">
        <v>403</v>
      </c>
      <c r="L52" s="90">
        <v>1978</v>
      </c>
      <c r="M52" s="90">
        <f t="shared" si="0"/>
        <v>41</v>
      </c>
      <c r="N52" s="88" t="s">
        <v>3</v>
      </c>
      <c r="O52" s="88" t="s">
        <v>258</v>
      </c>
      <c r="P52" s="88" t="s">
        <v>17</v>
      </c>
      <c r="Q52" s="88"/>
      <c r="R52" s="88" t="s">
        <v>15</v>
      </c>
    </row>
    <row r="53" spans="2:18" ht="25.5" x14ac:dyDescent="0.25">
      <c r="B53" s="143"/>
      <c r="C53" s="143"/>
      <c r="D53" s="88">
        <v>46</v>
      </c>
      <c r="E53" s="88" t="s">
        <v>60</v>
      </c>
      <c r="F53" s="88" t="s">
        <v>9</v>
      </c>
      <c r="G53" s="92" t="s">
        <v>404</v>
      </c>
      <c r="H53" s="88" t="s">
        <v>7</v>
      </c>
      <c r="I53" s="88" t="s">
        <v>2</v>
      </c>
      <c r="J53" s="88" t="s">
        <v>287</v>
      </c>
      <c r="K53" s="93" t="s">
        <v>393</v>
      </c>
      <c r="L53" s="90">
        <v>1981</v>
      </c>
      <c r="M53" s="90">
        <f t="shared" si="0"/>
        <v>38</v>
      </c>
      <c r="N53" s="88" t="s">
        <v>3</v>
      </c>
      <c r="O53" s="88" t="s">
        <v>258</v>
      </c>
      <c r="P53" s="88" t="s">
        <v>17</v>
      </c>
      <c r="Q53" s="88"/>
      <c r="R53" s="88" t="s">
        <v>324</v>
      </c>
    </row>
    <row r="54" spans="2:18" ht="25.5" x14ac:dyDescent="0.25">
      <c r="B54" s="143"/>
      <c r="C54" s="143"/>
      <c r="D54" s="88">
        <v>47</v>
      </c>
      <c r="E54" s="88" t="s">
        <v>61</v>
      </c>
      <c r="F54" s="88" t="s">
        <v>13</v>
      </c>
      <c r="G54" s="88" t="s">
        <v>201</v>
      </c>
      <c r="H54" s="88" t="s">
        <v>1</v>
      </c>
      <c r="I54" s="88" t="s">
        <v>11</v>
      </c>
      <c r="J54" s="88" t="s">
        <v>287</v>
      </c>
      <c r="K54" s="93" t="s">
        <v>401</v>
      </c>
      <c r="L54" s="90">
        <v>2004</v>
      </c>
      <c r="M54" s="90">
        <f t="shared" si="0"/>
        <v>15</v>
      </c>
      <c r="N54" s="88" t="s">
        <v>3</v>
      </c>
      <c r="O54" s="88" t="s">
        <v>258</v>
      </c>
      <c r="P54" s="88" t="s">
        <v>17</v>
      </c>
      <c r="Q54" s="88"/>
      <c r="R54" s="88" t="s">
        <v>261</v>
      </c>
    </row>
    <row r="55" spans="2:18" ht="25.5" x14ac:dyDescent="0.25">
      <c r="B55" s="143"/>
      <c r="C55" s="143"/>
      <c r="D55" s="88">
        <v>48</v>
      </c>
      <c r="E55" s="88" t="s">
        <v>62</v>
      </c>
      <c r="F55" s="88" t="s">
        <v>13</v>
      </c>
      <c r="G55" s="92" t="s">
        <v>405</v>
      </c>
      <c r="H55" s="88" t="s">
        <v>1</v>
      </c>
      <c r="I55" s="88" t="s">
        <v>11</v>
      </c>
      <c r="J55" s="88" t="s">
        <v>287</v>
      </c>
      <c r="K55" s="91" t="s">
        <v>406</v>
      </c>
      <c r="L55" s="90">
        <v>2010</v>
      </c>
      <c r="M55" s="90">
        <f t="shared" si="0"/>
        <v>9</v>
      </c>
      <c r="N55" s="88" t="s">
        <v>3</v>
      </c>
      <c r="O55" s="88" t="s">
        <v>258</v>
      </c>
      <c r="P55" s="88" t="s">
        <v>12</v>
      </c>
      <c r="Q55" s="88"/>
      <c r="R55" s="88" t="s">
        <v>12</v>
      </c>
    </row>
    <row r="56" spans="2:18" ht="25.5" x14ac:dyDescent="0.25">
      <c r="B56" s="143">
        <v>17</v>
      </c>
      <c r="C56" s="143" t="s">
        <v>482</v>
      </c>
      <c r="D56" s="88">
        <v>49</v>
      </c>
      <c r="E56" s="88" t="s">
        <v>63</v>
      </c>
      <c r="F56" s="88" t="s">
        <v>5</v>
      </c>
      <c r="G56" s="92" t="s">
        <v>483</v>
      </c>
      <c r="H56" s="88" t="s">
        <v>1</v>
      </c>
      <c r="I56" s="88" t="s">
        <v>2</v>
      </c>
      <c r="J56" s="88" t="s">
        <v>287</v>
      </c>
      <c r="K56" s="91" t="s">
        <v>485</v>
      </c>
      <c r="L56" s="90">
        <v>1964</v>
      </c>
      <c r="M56" s="90">
        <f t="shared" si="0"/>
        <v>55</v>
      </c>
      <c r="N56" s="88" t="s">
        <v>3</v>
      </c>
      <c r="O56" s="88" t="s">
        <v>258</v>
      </c>
      <c r="P56" s="88" t="s">
        <v>12</v>
      </c>
      <c r="Q56" s="88"/>
      <c r="R56" s="88" t="s">
        <v>15</v>
      </c>
    </row>
    <row r="57" spans="2:18" ht="25.5" x14ac:dyDescent="0.25">
      <c r="B57" s="143"/>
      <c r="C57" s="143"/>
      <c r="D57" s="88">
        <v>50</v>
      </c>
      <c r="E57" s="88" t="s">
        <v>64</v>
      </c>
      <c r="F57" s="88" t="s">
        <v>9</v>
      </c>
      <c r="G57" s="92" t="s">
        <v>484</v>
      </c>
      <c r="H57" s="88" t="s">
        <v>7</v>
      </c>
      <c r="I57" s="88" t="s">
        <v>2</v>
      </c>
      <c r="J57" s="88" t="s">
        <v>287</v>
      </c>
      <c r="K57" s="93" t="s">
        <v>307</v>
      </c>
      <c r="L57" s="90">
        <v>1969</v>
      </c>
      <c r="M57" s="90">
        <f t="shared" si="0"/>
        <v>50</v>
      </c>
      <c r="N57" s="88" t="s">
        <v>3</v>
      </c>
      <c r="O57" s="88" t="s">
        <v>258</v>
      </c>
      <c r="P57" s="88" t="s">
        <v>12</v>
      </c>
      <c r="Q57" s="88"/>
      <c r="R57" s="88" t="s">
        <v>15</v>
      </c>
    </row>
    <row r="58" spans="2:18" ht="25.5" x14ac:dyDescent="0.25">
      <c r="B58" s="143">
        <v>18</v>
      </c>
      <c r="C58" s="143" t="s">
        <v>413</v>
      </c>
      <c r="D58" s="88">
        <v>51</v>
      </c>
      <c r="E58" s="88" t="s">
        <v>65</v>
      </c>
      <c r="F58" s="88" t="s">
        <v>5</v>
      </c>
      <c r="G58" s="92" t="s">
        <v>414</v>
      </c>
      <c r="H58" s="88" t="s">
        <v>1</v>
      </c>
      <c r="I58" s="88" t="s">
        <v>2</v>
      </c>
      <c r="J58" s="88" t="s">
        <v>382</v>
      </c>
      <c r="K58" s="93" t="s">
        <v>307</v>
      </c>
      <c r="L58" s="90">
        <v>1987</v>
      </c>
      <c r="M58" s="90">
        <f t="shared" si="0"/>
        <v>32</v>
      </c>
      <c r="N58" s="88" t="s">
        <v>3</v>
      </c>
      <c r="O58" s="88" t="s">
        <v>258</v>
      </c>
      <c r="P58" s="88" t="s">
        <v>333</v>
      </c>
      <c r="Q58" s="88"/>
      <c r="R58" s="88" t="s">
        <v>15</v>
      </c>
    </row>
    <row r="59" spans="2:18" ht="25.5" x14ac:dyDescent="0.25">
      <c r="B59" s="143"/>
      <c r="C59" s="143"/>
      <c r="D59" s="88">
        <v>52</v>
      </c>
      <c r="E59" s="88" t="s">
        <v>415</v>
      </c>
      <c r="F59" s="88" t="s">
        <v>9</v>
      </c>
      <c r="G59" s="92" t="s">
        <v>416</v>
      </c>
      <c r="H59" s="88" t="s">
        <v>7</v>
      </c>
      <c r="I59" s="88" t="s">
        <v>2</v>
      </c>
      <c r="J59" s="88" t="s">
        <v>417</v>
      </c>
      <c r="K59" s="91" t="s">
        <v>418</v>
      </c>
      <c r="L59" s="90">
        <v>1993</v>
      </c>
      <c r="M59" s="90">
        <f t="shared" si="0"/>
        <v>26</v>
      </c>
      <c r="N59" s="88" t="s">
        <v>3</v>
      </c>
      <c r="O59" s="88" t="s">
        <v>258</v>
      </c>
      <c r="P59" s="88" t="s">
        <v>333</v>
      </c>
      <c r="Q59" s="88"/>
      <c r="R59" s="88" t="s">
        <v>324</v>
      </c>
    </row>
    <row r="60" spans="2:18" ht="25.5" x14ac:dyDescent="0.25">
      <c r="B60" s="143"/>
      <c r="C60" s="143"/>
      <c r="D60" s="88">
        <v>53</v>
      </c>
      <c r="E60" s="88" t="s">
        <v>66</v>
      </c>
      <c r="F60" s="88" t="s">
        <v>13</v>
      </c>
      <c r="G60" s="92" t="s">
        <v>419</v>
      </c>
      <c r="H60" s="88" t="s">
        <v>7</v>
      </c>
      <c r="I60" s="88" t="s">
        <v>11</v>
      </c>
      <c r="J60" s="88" t="s">
        <v>287</v>
      </c>
      <c r="K60" s="91" t="s">
        <v>384</v>
      </c>
      <c r="L60" s="90">
        <v>2013</v>
      </c>
      <c r="M60" s="90">
        <f t="shared" si="0"/>
        <v>6</v>
      </c>
      <c r="N60" s="88" t="s">
        <v>3</v>
      </c>
      <c r="O60" s="88" t="s">
        <v>258</v>
      </c>
      <c r="P60" s="88" t="s">
        <v>12</v>
      </c>
      <c r="Q60" s="88"/>
      <c r="R60" s="88" t="s">
        <v>12</v>
      </c>
    </row>
    <row r="61" spans="2:18" ht="25.5" x14ac:dyDescent="0.25">
      <c r="B61" s="143">
        <v>19</v>
      </c>
      <c r="C61" s="143" t="s">
        <v>371</v>
      </c>
      <c r="D61" s="88">
        <v>54</v>
      </c>
      <c r="E61" s="88" t="s">
        <v>372</v>
      </c>
      <c r="F61" s="88" t="s">
        <v>5</v>
      </c>
      <c r="G61" s="92" t="s">
        <v>373</v>
      </c>
      <c r="H61" s="88" t="s">
        <v>1</v>
      </c>
      <c r="I61" s="88" t="s">
        <v>2</v>
      </c>
      <c r="J61" s="88" t="s">
        <v>287</v>
      </c>
      <c r="K61" s="93" t="s">
        <v>841</v>
      </c>
      <c r="L61" s="90">
        <v>1954</v>
      </c>
      <c r="M61" s="90">
        <f t="shared" si="0"/>
        <v>65</v>
      </c>
      <c r="N61" s="88" t="s">
        <v>3</v>
      </c>
      <c r="O61" s="88" t="s">
        <v>258</v>
      </c>
      <c r="P61" s="92" t="s">
        <v>12</v>
      </c>
      <c r="Q61" s="88"/>
      <c r="R61" s="88" t="s">
        <v>21</v>
      </c>
    </row>
    <row r="62" spans="2:18" ht="25.5" x14ac:dyDescent="0.25">
      <c r="B62" s="143"/>
      <c r="C62" s="143"/>
      <c r="D62" s="88">
        <v>55</v>
      </c>
      <c r="E62" s="88" t="s">
        <v>67</v>
      </c>
      <c r="F62" s="88" t="s">
        <v>68</v>
      </c>
      <c r="G62" s="92" t="s">
        <v>374</v>
      </c>
      <c r="H62" s="88" t="s">
        <v>7</v>
      </c>
      <c r="I62" s="88" t="s">
        <v>2</v>
      </c>
      <c r="J62" s="88" t="s">
        <v>287</v>
      </c>
      <c r="K62" s="93" t="s">
        <v>375</v>
      </c>
      <c r="L62" s="90">
        <v>1965</v>
      </c>
      <c r="M62" s="90">
        <f t="shared" si="0"/>
        <v>54</v>
      </c>
      <c r="N62" s="88" t="s">
        <v>3</v>
      </c>
      <c r="O62" s="88" t="s">
        <v>258</v>
      </c>
      <c r="P62" s="88" t="s">
        <v>12</v>
      </c>
      <c r="Q62" s="88"/>
      <c r="R62" s="88" t="s">
        <v>21</v>
      </c>
    </row>
    <row r="63" spans="2:18" ht="25.5" x14ac:dyDescent="0.25">
      <c r="B63" s="143">
        <v>20</v>
      </c>
      <c r="C63" s="143" t="s">
        <v>344</v>
      </c>
      <c r="D63" s="88">
        <v>56</v>
      </c>
      <c r="E63" s="88" t="s">
        <v>69</v>
      </c>
      <c r="F63" s="88" t="s">
        <v>5</v>
      </c>
      <c r="G63" s="88" t="s">
        <v>202</v>
      </c>
      <c r="H63" s="88" t="s">
        <v>7</v>
      </c>
      <c r="I63" s="88" t="s">
        <v>345</v>
      </c>
      <c r="J63" s="88" t="s">
        <v>287</v>
      </c>
      <c r="K63" s="93" t="s">
        <v>307</v>
      </c>
      <c r="L63" s="90">
        <v>1970</v>
      </c>
      <c r="M63" s="90">
        <f t="shared" si="0"/>
        <v>49</v>
      </c>
      <c r="N63" s="88" t="s">
        <v>3</v>
      </c>
      <c r="O63" s="88" t="s">
        <v>258</v>
      </c>
      <c r="P63" s="88" t="s">
        <v>17</v>
      </c>
      <c r="Q63" s="88"/>
      <c r="R63" s="88" t="s">
        <v>21</v>
      </c>
    </row>
    <row r="64" spans="2:18" ht="25.5" x14ac:dyDescent="0.25">
      <c r="B64" s="143"/>
      <c r="C64" s="143"/>
      <c r="D64" s="88">
        <v>57</v>
      </c>
      <c r="E64" s="88" t="s">
        <v>70</v>
      </c>
      <c r="F64" s="88" t="s">
        <v>13</v>
      </c>
      <c r="G64" s="92" t="s">
        <v>346</v>
      </c>
      <c r="H64" s="88" t="s">
        <v>1</v>
      </c>
      <c r="I64" s="88" t="s">
        <v>11</v>
      </c>
      <c r="J64" s="88" t="s">
        <v>287</v>
      </c>
      <c r="K64" s="93" t="s">
        <v>347</v>
      </c>
      <c r="L64" s="90">
        <v>1997</v>
      </c>
      <c r="M64" s="90">
        <f t="shared" si="0"/>
        <v>22</v>
      </c>
      <c r="N64" s="88" t="s">
        <v>3</v>
      </c>
      <c r="O64" s="88" t="s">
        <v>258</v>
      </c>
      <c r="P64" s="88" t="s">
        <v>20</v>
      </c>
      <c r="Q64" s="88"/>
      <c r="R64" s="88" t="s">
        <v>267</v>
      </c>
    </row>
    <row r="65" spans="2:18" ht="25.5" x14ac:dyDescent="0.25">
      <c r="B65" s="143">
        <v>21</v>
      </c>
      <c r="C65" s="143" t="s">
        <v>450</v>
      </c>
      <c r="D65" s="88">
        <v>58</v>
      </c>
      <c r="E65" s="88" t="s">
        <v>71</v>
      </c>
      <c r="F65" s="88" t="s">
        <v>5</v>
      </c>
      <c r="G65" s="92" t="s">
        <v>452</v>
      </c>
      <c r="H65" s="88" t="s">
        <v>1</v>
      </c>
      <c r="I65" s="88" t="s">
        <v>2</v>
      </c>
      <c r="J65" s="88" t="s">
        <v>287</v>
      </c>
      <c r="K65" s="93" t="s">
        <v>307</v>
      </c>
      <c r="L65" s="90">
        <v>1995</v>
      </c>
      <c r="M65" s="90">
        <f t="shared" si="0"/>
        <v>24</v>
      </c>
      <c r="N65" s="88" t="s">
        <v>3</v>
      </c>
      <c r="O65" s="88" t="s">
        <v>258</v>
      </c>
      <c r="P65" s="88" t="s">
        <v>17</v>
      </c>
      <c r="Q65" s="88"/>
      <c r="R65" s="88" t="s">
        <v>21</v>
      </c>
    </row>
    <row r="66" spans="2:18" ht="25.5" x14ac:dyDescent="0.25">
      <c r="B66" s="143"/>
      <c r="C66" s="143"/>
      <c r="D66" s="88">
        <v>59</v>
      </c>
      <c r="E66" s="88" t="s">
        <v>72</v>
      </c>
      <c r="F66" s="88" t="s">
        <v>9</v>
      </c>
      <c r="G66" s="92" t="s">
        <v>453</v>
      </c>
      <c r="H66" s="88" t="s">
        <v>7</v>
      </c>
      <c r="I66" s="88" t="s">
        <v>2</v>
      </c>
      <c r="J66" s="88" t="s">
        <v>455</v>
      </c>
      <c r="K66" s="91" t="s">
        <v>456</v>
      </c>
      <c r="L66" s="90">
        <v>1996</v>
      </c>
      <c r="M66" s="90">
        <f t="shared" si="0"/>
        <v>23</v>
      </c>
      <c r="N66" s="88" t="s">
        <v>3</v>
      </c>
      <c r="O66" s="88" t="s">
        <v>258</v>
      </c>
      <c r="P66" s="88" t="s">
        <v>458</v>
      </c>
      <c r="Q66" s="88"/>
      <c r="R66" s="88" t="s">
        <v>21</v>
      </c>
    </row>
    <row r="67" spans="2:18" ht="25.5" x14ac:dyDescent="0.25">
      <c r="B67" s="143"/>
      <c r="C67" s="143"/>
      <c r="D67" s="88">
        <v>60</v>
      </c>
      <c r="E67" s="88" t="s">
        <v>451</v>
      </c>
      <c r="F67" s="88" t="s">
        <v>13</v>
      </c>
      <c r="G67" s="92" t="s">
        <v>454</v>
      </c>
      <c r="H67" s="88" t="s">
        <v>281</v>
      </c>
      <c r="I67" s="88" t="s">
        <v>11</v>
      </c>
      <c r="J67" s="88" t="s">
        <v>360</v>
      </c>
      <c r="K67" s="91" t="s">
        <v>457</v>
      </c>
      <c r="L67" s="90">
        <v>2015</v>
      </c>
      <c r="M67" s="90">
        <f t="shared" si="0"/>
        <v>4</v>
      </c>
      <c r="N67" s="88" t="s">
        <v>3</v>
      </c>
      <c r="O67" s="88" t="s">
        <v>258</v>
      </c>
      <c r="P67" s="88"/>
      <c r="Q67" s="88"/>
      <c r="R67" s="88"/>
    </row>
    <row r="68" spans="2:18" ht="25.5" x14ac:dyDescent="0.25">
      <c r="B68" s="143">
        <v>22</v>
      </c>
      <c r="C68" s="143" t="s">
        <v>308</v>
      </c>
      <c r="D68" s="88">
        <v>61</v>
      </c>
      <c r="E68" s="88" t="s">
        <v>309</v>
      </c>
      <c r="F68" s="88" t="s">
        <v>5</v>
      </c>
      <c r="G68" s="92" t="s">
        <v>310</v>
      </c>
      <c r="H68" s="88" t="s">
        <v>7</v>
      </c>
      <c r="I68" s="88" t="s">
        <v>303</v>
      </c>
      <c r="J68" s="88" t="s">
        <v>287</v>
      </c>
      <c r="K68" s="93" t="s">
        <v>305</v>
      </c>
      <c r="L68" s="90">
        <v>1970</v>
      </c>
      <c r="M68" s="90">
        <f t="shared" si="0"/>
        <v>49</v>
      </c>
      <c r="N68" s="88" t="s">
        <v>3</v>
      </c>
      <c r="O68" s="88" t="s">
        <v>258</v>
      </c>
      <c r="P68" s="88" t="s">
        <v>17</v>
      </c>
      <c r="Q68" s="88"/>
      <c r="R68" s="88" t="s">
        <v>21</v>
      </c>
    </row>
    <row r="69" spans="2:18" ht="25.5" x14ac:dyDescent="0.25">
      <c r="B69" s="143"/>
      <c r="C69" s="143"/>
      <c r="D69" s="88">
        <v>62</v>
      </c>
      <c r="E69" s="88" t="s">
        <v>311</v>
      </c>
      <c r="F69" s="88" t="s">
        <v>312</v>
      </c>
      <c r="G69" s="92" t="s">
        <v>313</v>
      </c>
      <c r="H69" s="88" t="s">
        <v>1</v>
      </c>
      <c r="I69" s="88" t="s">
        <v>11</v>
      </c>
      <c r="J69" s="88" t="s">
        <v>287</v>
      </c>
      <c r="K69" s="91" t="s">
        <v>314</v>
      </c>
      <c r="L69" s="90">
        <v>2013</v>
      </c>
      <c r="M69" s="90">
        <f t="shared" si="0"/>
        <v>6</v>
      </c>
      <c r="N69" s="88" t="s">
        <v>3</v>
      </c>
      <c r="O69" s="88" t="s">
        <v>258</v>
      </c>
      <c r="P69" s="88" t="s">
        <v>12</v>
      </c>
      <c r="Q69" s="88"/>
      <c r="R69" s="88" t="s">
        <v>12</v>
      </c>
    </row>
    <row r="70" spans="2:18" s="121" customFormat="1" ht="25.5" x14ac:dyDescent="0.25">
      <c r="B70" s="143"/>
      <c r="C70" s="143"/>
      <c r="D70" s="88">
        <v>63</v>
      </c>
      <c r="E70" s="88" t="s">
        <v>108</v>
      </c>
      <c r="F70" s="97" t="s">
        <v>312</v>
      </c>
      <c r="G70" s="94" t="s">
        <v>315</v>
      </c>
      <c r="H70" s="97" t="s">
        <v>1</v>
      </c>
      <c r="I70" s="97" t="s">
        <v>11</v>
      </c>
      <c r="J70" s="97" t="s">
        <v>316</v>
      </c>
      <c r="K70" s="97" t="s">
        <v>317</v>
      </c>
      <c r="L70" s="95">
        <v>2016</v>
      </c>
      <c r="M70" s="90">
        <f t="shared" si="0"/>
        <v>3</v>
      </c>
      <c r="N70" s="97" t="s">
        <v>318</v>
      </c>
      <c r="O70" s="88" t="s">
        <v>258</v>
      </c>
      <c r="P70" s="92" t="s">
        <v>12</v>
      </c>
      <c r="Q70" s="97"/>
      <c r="R70" s="92" t="s">
        <v>12</v>
      </c>
    </row>
    <row r="71" spans="2:18" ht="25.5" x14ac:dyDescent="0.25">
      <c r="B71" s="143">
        <v>23</v>
      </c>
      <c r="C71" s="143" t="s">
        <v>394</v>
      </c>
      <c r="D71" s="88">
        <v>64</v>
      </c>
      <c r="E71" s="88" t="s">
        <v>73</v>
      </c>
      <c r="F71" s="88" t="s">
        <v>5</v>
      </c>
      <c r="G71" s="88" t="s">
        <v>203</v>
      </c>
      <c r="H71" s="88" t="s">
        <v>1</v>
      </c>
      <c r="I71" s="88" t="s">
        <v>2</v>
      </c>
      <c r="J71" s="88" t="s">
        <v>287</v>
      </c>
      <c r="K71" s="91" t="s">
        <v>395</v>
      </c>
      <c r="L71" s="90">
        <v>1939</v>
      </c>
      <c r="M71" s="90">
        <f t="shared" si="0"/>
        <v>80</v>
      </c>
      <c r="N71" s="88" t="s">
        <v>3</v>
      </c>
      <c r="O71" s="88" t="s">
        <v>258</v>
      </c>
      <c r="P71" s="88" t="s">
        <v>12</v>
      </c>
      <c r="Q71" s="88"/>
      <c r="R71" s="88" t="s">
        <v>21</v>
      </c>
    </row>
    <row r="72" spans="2:18" ht="25.5" x14ac:dyDescent="0.25">
      <c r="B72" s="143"/>
      <c r="C72" s="143"/>
      <c r="D72" s="88">
        <v>65</v>
      </c>
      <c r="E72" s="88" t="s">
        <v>74</v>
      </c>
      <c r="F72" s="88" t="s">
        <v>9</v>
      </c>
      <c r="G72" s="88" t="s">
        <v>204</v>
      </c>
      <c r="H72" s="88" t="s">
        <v>7</v>
      </c>
      <c r="I72" s="88" t="s">
        <v>2</v>
      </c>
      <c r="J72" s="88" t="s">
        <v>287</v>
      </c>
      <c r="K72" s="91" t="s">
        <v>396</v>
      </c>
      <c r="L72" s="90">
        <v>1939</v>
      </c>
      <c r="M72" s="90">
        <f t="shared" si="0"/>
        <v>80</v>
      </c>
      <c r="N72" s="88" t="s">
        <v>3</v>
      </c>
      <c r="O72" s="88" t="s">
        <v>258</v>
      </c>
      <c r="P72" s="88" t="s">
        <v>12</v>
      </c>
      <c r="Q72" s="88"/>
      <c r="R72" s="88" t="s">
        <v>21</v>
      </c>
    </row>
    <row r="73" spans="2:18" ht="25.5" x14ac:dyDescent="0.25">
      <c r="B73" s="143">
        <v>24</v>
      </c>
      <c r="C73" s="143" t="s">
        <v>420</v>
      </c>
      <c r="D73" s="88">
        <v>66</v>
      </c>
      <c r="E73" s="88" t="s">
        <v>75</v>
      </c>
      <c r="F73" s="88" t="s">
        <v>5</v>
      </c>
      <c r="G73" s="88" t="s">
        <v>205</v>
      </c>
      <c r="H73" s="88" t="s">
        <v>1</v>
      </c>
      <c r="I73" s="88" t="s">
        <v>2</v>
      </c>
      <c r="J73" s="88" t="s">
        <v>287</v>
      </c>
      <c r="K73" s="93" t="s">
        <v>421</v>
      </c>
      <c r="L73" s="90">
        <v>1979</v>
      </c>
      <c r="M73" s="90">
        <f t="shared" ref="M73:M106" si="1">2019-L73</f>
        <v>40</v>
      </c>
      <c r="N73" s="88" t="s">
        <v>3</v>
      </c>
      <c r="O73" s="88" t="s">
        <v>258</v>
      </c>
      <c r="P73" s="88" t="s">
        <v>17</v>
      </c>
      <c r="Q73" s="88"/>
      <c r="R73" s="88" t="s">
        <v>21</v>
      </c>
    </row>
    <row r="74" spans="2:18" ht="25.5" x14ac:dyDescent="0.25">
      <c r="B74" s="143"/>
      <c r="C74" s="143"/>
      <c r="D74" s="88">
        <v>67</v>
      </c>
      <c r="E74" s="88" t="s">
        <v>76</v>
      </c>
      <c r="F74" s="88" t="s">
        <v>9</v>
      </c>
      <c r="G74" s="88" t="s">
        <v>206</v>
      </c>
      <c r="H74" s="88" t="s">
        <v>7</v>
      </c>
      <c r="I74" s="88" t="s">
        <v>2</v>
      </c>
      <c r="J74" s="88" t="s">
        <v>422</v>
      </c>
      <c r="K74" s="93" t="s">
        <v>307</v>
      </c>
      <c r="L74" s="90">
        <v>1984</v>
      </c>
      <c r="M74" s="90">
        <f t="shared" si="1"/>
        <v>35</v>
      </c>
      <c r="N74" s="88" t="s">
        <v>3</v>
      </c>
      <c r="O74" s="88" t="s">
        <v>258</v>
      </c>
      <c r="P74" s="88" t="s">
        <v>17</v>
      </c>
      <c r="Q74" s="88"/>
      <c r="R74" s="88" t="s">
        <v>324</v>
      </c>
    </row>
    <row r="75" spans="2:18" ht="25.5" x14ac:dyDescent="0.25">
      <c r="B75" s="143"/>
      <c r="C75" s="143"/>
      <c r="D75" s="88">
        <v>68</v>
      </c>
      <c r="E75" s="88" t="s">
        <v>77</v>
      </c>
      <c r="F75" s="88" t="s">
        <v>13</v>
      </c>
      <c r="G75" s="88" t="s">
        <v>207</v>
      </c>
      <c r="H75" s="88" t="s">
        <v>7</v>
      </c>
      <c r="I75" s="88" t="s">
        <v>11</v>
      </c>
      <c r="J75" s="88" t="s">
        <v>423</v>
      </c>
      <c r="K75" s="93" t="s">
        <v>424</v>
      </c>
      <c r="L75" s="90">
        <v>2012</v>
      </c>
      <c r="M75" s="90">
        <f t="shared" si="1"/>
        <v>7</v>
      </c>
      <c r="N75" s="88" t="s">
        <v>3</v>
      </c>
      <c r="O75" s="88" t="s">
        <v>258</v>
      </c>
      <c r="P75" s="88" t="s">
        <v>17</v>
      </c>
      <c r="Q75" s="88"/>
      <c r="R75" s="88" t="s">
        <v>261</v>
      </c>
    </row>
    <row r="76" spans="2:18" ht="25.5" x14ac:dyDescent="0.25">
      <c r="B76" s="143"/>
      <c r="C76" s="143"/>
      <c r="D76" s="88">
        <v>69</v>
      </c>
      <c r="E76" s="88" t="s">
        <v>78</v>
      </c>
      <c r="F76" s="88" t="s">
        <v>368</v>
      </c>
      <c r="G76" s="92" t="s">
        <v>425</v>
      </c>
      <c r="H76" s="88" t="s">
        <v>7</v>
      </c>
      <c r="I76" s="88" t="s">
        <v>379</v>
      </c>
      <c r="J76" s="88" t="s">
        <v>422</v>
      </c>
      <c r="K76" s="91" t="s">
        <v>426</v>
      </c>
      <c r="L76" s="90">
        <v>1953</v>
      </c>
      <c r="M76" s="90">
        <f t="shared" si="1"/>
        <v>66</v>
      </c>
      <c r="N76" s="88" t="s">
        <v>3</v>
      </c>
      <c r="O76" s="88" t="s">
        <v>258</v>
      </c>
      <c r="P76" s="88" t="s">
        <v>12</v>
      </c>
      <c r="Q76" s="88"/>
      <c r="R76" s="88" t="s">
        <v>21</v>
      </c>
    </row>
    <row r="77" spans="2:18" ht="25.5" x14ac:dyDescent="0.25">
      <c r="B77" s="143">
        <v>25</v>
      </c>
      <c r="C77" s="143" t="s">
        <v>441</v>
      </c>
      <c r="D77" s="88">
        <v>70</v>
      </c>
      <c r="E77" s="88" t="s">
        <v>79</v>
      </c>
      <c r="F77" s="88" t="s">
        <v>5</v>
      </c>
      <c r="G77" s="92" t="s">
        <v>442</v>
      </c>
      <c r="H77" s="88" t="s">
        <v>1</v>
      </c>
      <c r="I77" s="88" t="s">
        <v>2</v>
      </c>
      <c r="J77" s="88" t="s">
        <v>287</v>
      </c>
      <c r="K77" s="93" t="s">
        <v>443</v>
      </c>
      <c r="L77" s="90">
        <v>1985</v>
      </c>
      <c r="M77" s="90">
        <f t="shared" si="1"/>
        <v>34</v>
      </c>
      <c r="N77" s="88" t="s">
        <v>3</v>
      </c>
      <c r="O77" s="88" t="s">
        <v>258</v>
      </c>
      <c r="P77" s="88" t="s">
        <v>20</v>
      </c>
      <c r="Q77" s="88"/>
      <c r="R77" s="88" t="s">
        <v>15</v>
      </c>
    </row>
    <row r="78" spans="2:18" ht="25.5" x14ac:dyDescent="0.25">
      <c r="B78" s="143"/>
      <c r="C78" s="143"/>
      <c r="D78" s="88">
        <v>71</v>
      </c>
      <c r="E78" s="88" t="s">
        <v>80</v>
      </c>
      <c r="F78" s="88" t="s">
        <v>9</v>
      </c>
      <c r="G78" s="88" t="s">
        <v>208</v>
      </c>
      <c r="H78" s="88" t="s">
        <v>7</v>
      </c>
      <c r="I78" s="88" t="s">
        <v>2</v>
      </c>
      <c r="J78" s="88" t="s">
        <v>287</v>
      </c>
      <c r="K78" s="93" t="s">
        <v>444</v>
      </c>
      <c r="L78" s="90">
        <v>1990</v>
      </c>
      <c r="M78" s="90">
        <f t="shared" si="1"/>
        <v>29</v>
      </c>
      <c r="N78" s="88" t="s">
        <v>3</v>
      </c>
      <c r="O78" s="88" t="s">
        <v>258</v>
      </c>
      <c r="P78" s="88" t="s">
        <v>20</v>
      </c>
      <c r="Q78" s="88"/>
      <c r="R78" s="88" t="s">
        <v>324</v>
      </c>
    </row>
    <row r="79" spans="2:18" ht="25.5" x14ac:dyDescent="0.25">
      <c r="B79" s="143">
        <v>26</v>
      </c>
      <c r="C79" s="143" t="s">
        <v>363</v>
      </c>
      <c r="D79" s="88">
        <v>72</v>
      </c>
      <c r="E79" s="88" t="s">
        <v>82</v>
      </c>
      <c r="F79" s="88" t="s">
        <v>5</v>
      </c>
      <c r="G79" s="88" t="s">
        <v>209</v>
      </c>
      <c r="H79" s="88" t="s">
        <v>1</v>
      </c>
      <c r="I79" s="88" t="s">
        <v>2</v>
      </c>
      <c r="J79" s="88" t="s">
        <v>287</v>
      </c>
      <c r="K79" s="93" t="s">
        <v>307</v>
      </c>
      <c r="L79" s="90">
        <v>1975</v>
      </c>
      <c r="M79" s="90">
        <f t="shared" si="1"/>
        <v>44</v>
      </c>
      <c r="N79" s="88" t="s">
        <v>3</v>
      </c>
      <c r="O79" s="88" t="s">
        <v>258</v>
      </c>
      <c r="P79" s="88" t="s">
        <v>17</v>
      </c>
      <c r="Q79" s="88"/>
      <c r="R79" s="88" t="s">
        <v>15</v>
      </c>
    </row>
    <row r="80" spans="2:18" ht="25.5" x14ac:dyDescent="0.25">
      <c r="B80" s="143"/>
      <c r="C80" s="143"/>
      <c r="D80" s="88">
        <v>73</v>
      </c>
      <c r="E80" s="88" t="s">
        <v>83</v>
      </c>
      <c r="F80" s="88" t="s">
        <v>9</v>
      </c>
      <c r="G80" s="88" t="s">
        <v>210</v>
      </c>
      <c r="H80" s="88" t="s">
        <v>7</v>
      </c>
      <c r="I80" s="88" t="s">
        <v>2</v>
      </c>
      <c r="J80" s="88" t="s">
        <v>287</v>
      </c>
      <c r="K80" s="93" t="s">
        <v>307</v>
      </c>
      <c r="L80" s="90">
        <v>1980</v>
      </c>
      <c r="M80" s="90">
        <f t="shared" si="1"/>
        <v>39</v>
      </c>
      <c r="N80" s="88" t="s">
        <v>3</v>
      </c>
      <c r="O80" s="88" t="s">
        <v>258</v>
      </c>
      <c r="P80" s="88" t="s">
        <v>17</v>
      </c>
      <c r="Q80" s="88"/>
      <c r="R80" s="88" t="s">
        <v>324</v>
      </c>
    </row>
    <row r="81" spans="2:18" ht="25.5" x14ac:dyDescent="0.25">
      <c r="B81" s="143"/>
      <c r="C81" s="143"/>
      <c r="D81" s="88">
        <v>74</v>
      </c>
      <c r="E81" s="88" t="s">
        <v>84</v>
      </c>
      <c r="F81" s="88" t="s">
        <v>13</v>
      </c>
      <c r="G81" s="88" t="s">
        <v>211</v>
      </c>
      <c r="H81" s="88" t="s">
        <v>7</v>
      </c>
      <c r="I81" s="88" t="s">
        <v>11</v>
      </c>
      <c r="J81" s="88" t="s">
        <v>287</v>
      </c>
      <c r="K81" s="91" t="s">
        <v>364</v>
      </c>
      <c r="L81" s="90">
        <v>2004</v>
      </c>
      <c r="M81" s="90">
        <f t="shared" si="1"/>
        <v>15</v>
      </c>
      <c r="N81" s="88" t="s">
        <v>3</v>
      </c>
      <c r="O81" s="88" t="s">
        <v>258</v>
      </c>
      <c r="P81" s="88" t="s">
        <v>20</v>
      </c>
      <c r="Q81" s="88"/>
      <c r="R81" s="88" t="s">
        <v>261</v>
      </c>
    </row>
    <row r="82" spans="2:18" ht="25.5" x14ac:dyDescent="0.25">
      <c r="B82" s="143"/>
      <c r="C82" s="143"/>
      <c r="D82" s="88">
        <v>75</v>
      </c>
      <c r="E82" s="88" t="s">
        <v>85</v>
      </c>
      <c r="F82" s="88" t="s">
        <v>13</v>
      </c>
      <c r="G82" s="88" t="s">
        <v>365</v>
      </c>
      <c r="H82" s="88" t="s">
        <v>1</v>
      </c>
      <c r="I82" s="88" t="s">
        <v>11</v>
      </c>
      <c r="J82" s="88" t="s">
        <v>287</v>
      </c>
      <c r="K82" s="91" t="s">
        <v>366</v>
      </c>
      <c r="L82" s="90">
        <v>2010</v>
      </c>
      <c r="M82" s="90">
        <f t="shared" si="1"/>
        <v>9</v>
      </c>
      <c r="N82" s="88" t="s">
        <v>3</v>
      </c>
      <c r="O82" s="88" t="s">
        <v>258</v>
      </c>
      <c r="P82" s="88" t="s">
        <v>17</v>
      </c>
      <c r="Q82" s="88"/>
      <c r="R82" s="88" t="s">
        <v>261</v>
      </c>
    </row>
    <row r="83" spans="2:18" ht="25.5" x14ac:dyDescent="0.25">
      <c r="B83" s="143"/>
      <c r="C83" s="143"/>
      <c r="D83" s="88">
        <v>76</v>
      </c>
      <c r="E83" s="88" t="s">
        <v>367</v>
      </c>
      <c r="F83" s="88" t="s">
        <v>368</v>
      </c>
      <c r="G83" s="92" t="s">
        <v>369</v>
      </c>
      <c r="H83" s="88" t="s">
        <v>7</v>
      </c>
      <c r="I83" s="88" t="s">
        <v>303</v>
      </c>
      <c r="J83" s="88" t="s">
        <v>287</v>
      </c>
      <c r="K83" s="93" t="s">
        <v>370</v>
      </c>
      <c r="L83" s="90">
        <v>1965</v>
      </c>
      <c r="M83" s="90">
        <f t="shared" si="1"/>
        <v>54</v>
      </c>
      <c r="N83" s="88" t="s">
        <v>3</v>
      </c>
      <c r="O83" s="88" t="s">
        <v>258</v>
      </c>
      <c r="P83" s="92" t="s">
        <v>12</v>
      </c>
      <c r="Q83" s="88"/>
      <c r="R83" s="92" t="s">
        <v>12</v>
      </c>
    </row>
    <row r="84" spans="2:18" ht="25.5" x14ac:dyDescent="0.25">
      <c r="B84" s="143">
        <v>27</v>
      </c>
      <c r="C84" s="143" t="s">
        <v>436</v>
      </c>
      <c r="D84" s="88">
        <v>77</v>
      </c>
      <c r="E84" s="88" t="s">
        <v>437</v>
      </c>
      <c r="F84" s="88" t="s">
        <v>5</v>
      </c>
      <c r="G84" s="92" t="s">
        <v>438</v>
      </c>
      <c r="H84" s="88" t="s">
        <v>1</v>
      </c>
      <c r="I84" s="88" t="s">
        <v>2</v>
      </c>
      <c r="J84" s="88" t="s">
        <v>287</v>
      </c>
      <c r="K84" s="93" t="s">
        <v>273</v>
      </c>
      <c r="L84" s="90">
        <v>1941</v>
      </c>
      <c r="M84" s="90">
        <f t="shared" si="1"/>
        <v>78</v>
      </c>
      <c r="N84" s="88" t="s">
        <v>3</v>
      </c>
      <c r="O84" s="88" t="s">
        <v>258</v>
      </c>
      <c r="P84" s="88" t="s">
        <v>17</v>
      </c>
      <c r="Q84" s="88"/>
      <c r="R84" s="88" t="s">
        <v>21</v>
      </c>
    </row>
    <row r="85" spans="2:18" ht="25.5" x14ac:dyDescent="0.25">
      <c r="B85" s="143"/>
      <c r="C85" s="143"/>
      <c r="D85" s="88">
        <v>78</v>
      </c>
      <c r="E85" s="88" t="s">
        <v>86</v>
      </c>
      <c r="F85" s="88" t="s">
        <v>9</v>
      </c>
      <c r="G85" s="92" t="s">
        <v>439</v>
      </c>
      <c r="H85" s="88" t="s">
        <v>7</v>
      </c>
      <c r="I85" s="88" t="s">
        <v>2</v>
      </c>
      <c r="J85" s="88" t="s">
        <v>287</v>
      </c>
      <c r="K85" s="93" t="s">
        <v>273</v>
      </c>
      <c r="L85" s="90">
        <v>1954</v>
      </c>
      <c r="M85" s="90">
        <f t="shared" si="1"/>
        <v>65</v>
      </c>
      <c r="N85" s="88" t="s">
        <v>3</v>
      </c>
      <c r="O85" s="88" t="s">
        <v>258</v>
      </c>
      <c r="P85" s="88" t="s">
        <v>12</v>
      </c>
      <c r="Q85" s="88"/>
      <c r="R85" s="88" t="s">
        <v>21</v>
      </c>
    </row>
    <row r="86" spans="2:18" ht="25.5" x14ac:dyDescent="0.25">
      <c r="B86" s="143"/>
      <c r="C86" s="143"/>
      <c r="D86" s="88">
        <v>79</v>
      </c>
      <c r="E86" s="88" t="s">
        <v>87</v>
      </c>
      <c r="F86" s="88" t="s">
        <v>13</v>
      </c>
      <c r="G86" s="92" t="s">
        <v>440</v>
      </c>
      <c r="H86" s="88" t="s">
        <v>1</v>
      </c>
      <c r="I86" s="88" t="s">
        <v>11</v>
      </c>
      <c r="J86" s="88" t="s">
        <v>287</v>
      </c>
      <c r="K86" s="93" t="s">
        <v>272</v>
      </c>
      <c r="L86" s="90">
        <v>1980</v>
      </c>
      <c r="M86" s="90">
        <f t="shared" si="1"/>
        <v>39</v>
      </c>
      <c r="N86" s="88" t="s">
        <v>3</v>
      </c>
      <c r="O86" s="88" t="s">
        <v>258</v>
      </c>
      <c r="P86" s="88" t="s">
        <v>12</v>
      </c>
      <c r="Q86" s="88"/>
      <c r="R86" s="88" t="s">
        <v>21</v>
      </c>
    </row>
    <row r="87" spans="2:18" ht="25.5" x14ac:dyDescent="0.25">
      <c r="B87" s="143">
        <v>28</v>
      </c>
      <c r="C87" s="143" t="s">
        <v>304</v>
      </c>
      <c r="D87" s="88">
        <v>80</v>
      </c>
      <c r="E87" s="88" t="s">
        <v>88</v>
      </c>
      <c r="F87" s="88" t="s">
        <v>5</v>
      </c>
      <c r="G87" s="92" t="s">
        <v>302</v>
      </c>
      <c r="H87" s="88" t="s">
        <v>1</v>
      </c>
      <c r="I87" s="88" t="s">
        <v>303</v>
      </c>
      <c r="J87" s="88" t="s">
        <v>287</v>
      </c>
      <c r="K87" s="91" t="s">
        <v>305</v>
      </c>
      <c r="L87" s="90">
        <v>1945</v>
      </c>
      <c r="M87" s="90">
        <f t="shared" si="1"/>
        <v>74</v>
      </c>
      <c r="N87" s="88" t="s">
        <v>3</v>
      </c>
      <c r="O87" s="88" t="s">
        <v>258</v>
      </c>
      <c r="P87" s="88" t="s">
        <v>12</v>
      </c>
      <c r="Q87" s="88"/>
      <c r="R87" s="88" t="s">
        <v>21</v>
      </c>
    </row>
    <row r="88" spans="2:18" ht="25.5" x14ac:dyDescent="0.25">
      <c r="B88" s="143"/>
      <c r="C88" s="143"/>
      <c r="D88" s="88">
        <v>81</v>
      </c>
      <c r="E88" s="88" t="s">
        <v>76</v>
      </c>
      <c r="F88" s="88" t="s">
        <v>13</v>
      </c>
      <c r="G88" s="92" t="s">
        <v>306</v>
      </c>
      <c r="H88" s="88" t="s">
        <v>7</v>
      </c>
      <c r="I88" s="88" t="s">
        <v>11</v>
      </c>
      <c r="J88" s="88" t="s">
        <v>287</v>
      </c>
      <c r="K88" s="93" t="s">
        <v>307</v>
      </c>
      <c r="L88" s="90">
        <v>1976</v>
      </c>
      <c r="M88" s="90">
        <f t="shared" si="1"/>
        <v>43</v>
      </c>
      <c r="N88" s="88" t="s">
        <v>3</v>
      </c>
      <c r="O88" s="88" t="s">
        <v>258</v>
      </c>
      <c r="P88" s="88" t="s">
        <v>12</v>
      </c>
      <c r="Q88" s="88"/>
      <c r="R88" s="88" t="s">
        <v>21</v>
      </c>
    </row>
    <row r="89" spans="2:18" ht="25.5" x14ac:dyDescent="0.25">
      <c r="B89" s="143">
        <v>29</v>
      </c>
      <c r="C89" s="143" t="s">
        <v>488</v>
      </c>
      <c r="D89" s="88">
        <v>82</v>
      </c>
      <c r="E89" s="88" t="s">
        <v>89</v>
      </c>
      <c r="F89" s="88" t="s">
        <v>5</v>
      </c>
      <c r="G89" s="92" t="s">
        <v>489</v>
      </c>
      <c r="H89" s="88" t="s">
        <v>1</v>
      </c>
      <c r="I89" s="88" t="s">
        <v>2</v>
      </c>
      <c r="J89" s="88" t="s">
        <v>287</v>
      </c>
      <c r="K89" s="93" t="s">
        <v>272</v>
      </c>
      <c r="L89" s="90">
        <v>1967</v>
      </c>
      <c r="M89" s="90">
        <f t="shared" si="1"/>
        <v>52</v>
      </c>
      <c r="N89" s="88" t="s">
        <v>3</v>
      </c>
      <c r="O89" s="88" t="s">
        <v>258</v>
      </c>
      <c r="P89" s="88" t="s">
        <v>12</v>
      </c>
      <c r="Q89" s="88"/>
      <c r="R89" s="88" t="s">
        <v>21</v>
      </c>
    </row>
    <row r="90" spans="2:18" ht="25.5" x14ac:dyDescent="0.25">
      <c r="B90" s="143"/>
      <c r="C90" s="143"/>
      <c r="D90" s="88">
        <v>83</v>
      </c>
      <c r="E90" s="88" t="s">
        <v>91</v>
      </c>
      <c r="F90" s="88" t="s">
        <v>13</v>
      </c>
      <c r="G90" s="92" t="s">
        <v>490</v>
      </c>
      <c r="H90" s="88" t="s">
        <v>1</v>
      </c>
      <c r="I90" s="88" t="s">
        <v>11</v>
      </c>
      <c r="J90" s="88" t="s">
        <v>287</v>
      </c>
      <c r="K90" s="91" t="s">
        <v>491</v>
      </c>
      <c r="L90" s="90">
        <v>2006</v>
      </c>
      <c r="M90" s="90">
        <f t="shared" si="1"/>
        <v>13</v>
      </c>
      <c r="N90" s="88" t="s">
        <v>3</v>
      </c>
      <c r="O90" s="88" t="s">
        <v>258</v>
      </c>
      <c r="P90" s="88" t="s">
        <v>12</v>
      </c>
      <c r="Q90" s="88"/>
      <c r="R90" s="88" t="s">
        <v>12</v>
      </c>
    </row>
    <row r="91" spans="2:18" ht="25.5" x14ac:dyDescent="0.25">
      <c r="B91" s="143">
        <v>30</v>
      </c>
      <c r="C91" s="143" t="s">
        <v>377</v>
      </c>
      <c r="D91" s="88">
        <v>84</v>
      </c>
      <c r="E91" s="88" t="s">
        <v>93</v>
      </c>
      <c r="F91" s="88" t="s">
        <v>5</v>
      </c>
      <c r="G91" s="92" t="s">
        <v>378</v>
      </c>
      <c r="H91" s="88" t="s">
        <v>7</v>
      </c>
      <c r="I91" s="88" t="s">
        <v>379</v>
      </c>
      <c r="J91" s="88" t="s">
        <v>287</v>
      </c>
      <c r="K91" s="91" t="s">
        <v>380</v>
      </c>
      <c r="L91" s="90">
        <v>1979</v>
      </c>
      <c r="M91" s="90">
        <f t="shared" si="1"/>
        <v>40</v>
      </c>
      <c r="N91" s="88" t="s">
        <v>3</v>
      </c>
      <c r="O91" s="88" t="s">
        <v>258</v>
      </c>
      <c r="P91" s="88" t="s">
        <v>17</v>
      </c>
      <c r="Q91" s="88"/>
      <c r="R91" s="88" t="s">
        <v>381</v>
      </c>
    </row>
    <row r="92" spans="2:18" ht="25.5" x14ac:dyDescent="0.25">
      <c r="B92" s="143"/>
      <c r="C92" s="143"/>
      <c r="D92" s="88">
        <v>85</v>
      </c>
      <c r="E92" s="88" t="s">
        <v>95</v>
      </c>
      <c r="F92" s="88" t="s">
        <v>13</v>
      </c>
      <c r="G92" s="88" t="s">
        <v>214</v>
      </c>
      <c r="H92" s="88" t="s">
        <v>1</v>
      </c>
      <c r="I92" s="88" t="s">
        <v>11</v>
      </c>
      <c r="J92" s="88" t="s">
        <v>382</v>
      </c>
      <c r="K92" s="93" t="s">
        <v>383</v>
      </c>
      <c r="L92" s="90">
        <v>1999</v>
      </c>
      <c r="M92" s="90">
        <f t="shared" si="1"/>
        <v>20</v>
      </c>
      <c r="N92" s="88" t="s">
        <v>3</v>
      </c>
      <c r="O92" s="88" t="s">
        <v>258</v>
      </c>
      <c r="P92" s="88" t="s">
        <v>333</v>
      </c>
      <c r="Q92" s="88"/>
      <c r="R92" s="88" t="s">
        <v>12</v>
      </c>
    </row>
    <row r="93" spans="2:18" ht="25.5" x14ac:dyDescent="0.25">
      <c r="B93" s="143"/>
      <c r="C93" s="143"/>
      <c r="D93" s="88">
        <v>86</v>
      </c>
      <c r="E93" s="88" t="s">
        <v>96</v>
      </c>
      <c r="F93" s="88" t="s">
        <v>13</v>
      </c>
      <c r="G93" s="88" t="s">
        <v>215</v>
      </c>
      <c r="H93" s="88" t="s">
        <v>7</v>
      </c>
      <c r="I93" s="88" t="s">
        <v>11</v>
      </c>
      <c r="J93" s="88" t="s">
        <v>382</v>
      </c>
      <c r="K93" s="91" t="s">
        <v>384</v>
      </c>
      <c r="L93" s="90">
        <v>2007</v>
      </c>
      <c r="M93" s="90">
        <f t="shared" si="1"/>
        <v>12</v>
      </c>
      <c r="N93" s="88" t="s">
        <v>3</v>
      </c>
      <c r="O93" s="88" t="s">
        <v>258</v>
      </c>
      <c r="P93" s="88" t="s">
        <v>17</v>
      </c>
      <c r="Q93" s="88"/>
      <c r="R93" s="88" t="s">
        <v>261</v>
      </c>
    </row>
    <row r="94" spans="2:18" ht="25.5" x14ac:dyDescent="0.25">
      <c r="B94" s="143">
        <v>31</v>
      </c>
      <c r="C94" s="143" t="s">
        <v>334</v>
      </c>
      <c r="D94" s="88">
        <v>87</v>
      </c>
      <c r="E94" s="88" t="s">
        <v>97</v>
      </c>
      <c r="F94" s="88" t="s">
        <v>5</v>
      </c>
      <c r="G94" s="88" t="s">
        <v>216</v>
      </c>
      <c r="H94" s="88" t="s">
        <v>1</v>
      </c>
      <c r="I94" s="88" t="s">
        <v>2</v>
      </c>
      <c r="J94" s="88" t="s">
        <v>287</v>
      </c>
      <c r="K94" s="93" t="s">
        <v>337</v>
      </c>
      <c r="L94" s="90">
        <v>1983</v>
      </c>
      <c r="M94" s="90">
        <f t="shared" si="1"/>
        <v>36</v>
      </c>
      <c r="N94" s="88" t="s">
        <v>3</v>
      </c>
      <c r="O94" s="88" t="s">
        <v>258</v>
      </c>
      <c r="P94" s="88" t="s">
        <v>17</v>
      </c>
      <c r="Q94" s="88"/>
      <c r="R94" s="88" t="s">
        <v>338</v>
      </c>
    </row>
    <row r="95" spans="2:18" ht="25.5" x14ac:dyDescent="0.25">
      <c r="B95" s="143"/>
      <c r="C95" s="143"/>
      <c r="D95" s="88">
        <v>88</v>
      </c>
      <c r="E95" s="88" t="s">
        <v>98</v>
      </c>
      <c r="F95" s="88" t="s">
        <v>9</v>
      </c>
      <c r="G95" s="88" t="s">
        <v>217</v>
      </c>
      <c r="H95" s="88" t="s">
        <v>7</v>
      </c>
      <c r="I95" s="88" t="s">
        <v>2</v>
      </c>
      <c r="J95" s="88" t="s">
        <v>287</v>
      </c>
      <c r="K95" s="91" t="s">
        <v>339</v>
      </c>
      <c r="L95" s="90">
        <v>1987</v>
      </c>
      <c r="M95" s="90">
        <f t="shared" si="1"/>
        <v>32</v>
      </c>
      <c r="N95" s="88" t="s">
        <v>3</v>
      </c>
      <c r="O95" s="88" t="s">
        <v>258</v>
      </c>
      <c r="P95" s="88" t="s">
        <v>20</v>
      </c>
      <c r="Q95" s="88"/>
      <c r="R95" s="88" t="s">
        <v>15</v>
      </c>
    </row>
    <row r="96" spans="2:18" ht="25.5" x14ac:dyDescent="0.25">
      <c r="B96" s="143"/>
      <c r="C96" s="143"/>
      <c r="D96" s="88">
        <v>89</v>
      </c>
      <c r="E96" s="88" t="s">
        <v>99</v>
      </c>
      <c r="F96" s="88" t="s">
        <v>13</v>
      </c>
      <c r="G96" s="88" t="s">
        <v>218</v>
      </c>
      <c r="H96" s="88" t="s">
        <v>7</v>
      </c>
      <c r="I96" s="88" t="s">
        <v>11</v>
      </c>
      <c r="J96" s="88" t="s">
        <v>287</v>
      </c>
      <c r="K96" s="91" t="s">
        <v>340</v>
      </c>
      <c r="L96" s="90">
        <v>2010</v>
      </c>
      <c r="M96" s="90">
        <f t="shared" si="1"/>
        <v>9</v>
      </c>
      <c r="N96" s="88" t="s">
        <v>3</v>
      </c>
      <c r="O96" s="88" t="s">
        <v>258</v>
      </c>
      <c r="P96" s="88" t="s">
        <v>17</v>
      </c>
      <c r="Q96" s="88"/>
      <c r="R96" s="88" t="s">
        <v>261</v>
      </c>
    </row>
    <row r="97" spans="2:18" ht="25.5" x14ac:dyDescent="0.25">
      <c r="B97" s="143"/>
      <c r="C97" s="143"/>
      <c r="D97" s="88">
        <v>90</v>
      </c>
      <c r="E97" s="88" t="s">
        <v>341</v>
      </c>
      <c r="F97" s="88" t="s">
        <v>13</v>
      </c>
      <c r="G97" s="92" t="s">
        <v>342</v>
      </c>
      <c r="H97" s="88" t="s">
        <v>1</v>
      </c>
      <c r="I97" s="88" t="s">
        <v>11</v>
      </c>
      <c r="J97" s="88" t="s">
        <v>287</v>
      </c>
      <c r="K97" s="91" t="s">
        <v>343</v>
      </c>
      <c r="L97" s="90">
        <v>2016</v>
      </c>
      <c r="M97" s="90">
        <f t="shared" si="1"/>
        <v>3</v>
      </c>
      <c r="N97" s="88" t="s">
        <v>3</v>
      </c>
      <c r="O97" s="88" t="s">
        <v>258</v>
      </c>
      <c r="P97" s="92" t="s">
        <v>12</v>
      </c>
      <c r="Q97" s="88"/>
      <c r="R97" s="92" t="s">
        <v>12</v>
      </c>
    </row>
    <row r="98" spans="2:18" s="122" customFormat="1" ht="25.5" x14ac:dyDescent="0.25">
      <c r="B98" s="143">
        <v>32</v>
      </c>
      <c r="C98" s="143" t="s">
        <v>276</v>
      </c>
      <c r="D98" s="88">
        <v>91</v>
      </c>
      <c r="E98" s="88" t="s">
        <v>19</v>
      </c>
      <c r="F98" s="88" t="s">
        <v>5</v>
      </c>
      <c r="G98" s="92" t="s">
        <v>277</v>
      </c>
      <c r="H98" s="88" t="s">
        <v>1</v>
      </c>
      <c r="I98" s="88" t="s">
        <v>2</v>
      </c>
      <c r="J98" s="88" t="s">
        <v>287</v>
      </c>
      <c r="K98" s="91" t="s">
        <v>278</v>
      </c>
      <c r="L98" s="90">
        <v>1992</v>
      </c>
      <c r="M98" s="90">
        <f t="shared" si="1"/>
        <v>27</v>
      </c>
      <c r="N98" s="88" t="s">
        <v>3</v>
      </c>
      <c r="O98" s="88" t="s">
        <v>258</v>
      </c>
      <c r="P98" s="88" t="s">
        <v>20</v>
      </c>
      <c r="Q98" s="88"/>
      <c r="R98" s="88" t="s">
        <v>15</v>
      </c>
    </row>
    <row r="99" spans="2:18" ht="25.5" x14ac:dyDescent="0.25">
      <c r="B99" s="143"/>
      <c r="C99" s="143"/>
      <c r="D99" s="88">
        <v>92</v>
      </c>
      <c r="E99" s="88" t="s">
        <v>279</v>
      </c>
      <c r="F99" s="97" t="s">
        <v>68</v>
      </c>
      <c r="G99" s="94" t="s">
        <v>280</v>
      </c>
      <c r="H99" s="97" t="s">
        <v>281</v>
      </c>
      <c r="I99" s="97" t="s">
        <v>282</v>
      </c>
      <c r="J99" s="97" t="s">
        <v>288</v>
      </c>
      <c r="K99" s="96">
        <v>43391</v>
      </c>
      <c r="L99" s="95">
        <v>1988</v>
      </c>
      <c r="M99" s="90">
        <f t="shared" si="1"/>
        <v>31</v>
      </c>
      <c r="N99" s="97" t="s">
        <v>3</v>
      </c>
      <c r="O99" s="88" t="s">
        <v>258</v>
      </c>
      <c r="P99" s="88" t="s">
        <v>4</v>
      </c>
      <c r="Q99" s="97"/>
      <c r="R99" s="88" t="s">
        <v>283</v>
      </c>
    </row>
    <row r="100" spans="2:18" ht="25.5" x14ac:dyDescent="0.25">
      <c r="B100" s="143"/>
      <c r="C100" s="143"/>
      <c r="D100" s="88">
        <v>93</v>
      </c>
      <c r="E100" s="88" t="s">
        <v>284</v>
      </c>
      <c r="F100" s="97" t="s">
        <v>38</v>
      </c>
      <c r="G100" s="94" t="s">
        <v>285</v>
      </c>
      <c r="H100" s="97" t="s">
        <v>281</v>
      </c>
      <c r="I100" s="97" t="s">
        <v>11</v>
      </c>
      <c r="J100" s="97" t="s">
        <v>289</v>
      </c>
      <c r="K100" s="94" t="s">
        <v>290</v>
      </c>
      <c r="L100" s="95">
        <v>2018</v>
      </c>
      <c r="M100" s="90">
        <f t="shared" si="1"/>
        <v>1</v>
      </c>
      <c r="N100" s="97" t="s">
        <v>3</v>
      </c>
      <c r="O100" s="88" t="s">
        <v>258</v>
      </c>
      <c r="P100" s="88" t="s">
        <v>476</v>
      </c>
      <c r="Q100" s="97"/>
      <c r="R100" s="92" t="s">
        <v>12</v>
      </c>
    </row>
    <row r="101" spans="2:18" s="122" customFormat="1" ht="25.5" x14ac:dyDescent="0.25">
      <c r="B101" s="142">
        <v>33</v>
      </c>
      <c r="C101" s="142" t="s">
        <v>429</v>
      </c>
      <c r="D101" s="88">
        <v>94</v>
      </c>
      <c r="E101" s="88" t="s">
        <v>428</v>
      </c>
      <c r="F101" s="88" t="s">
        <v>5</v>
      </c>
      <c r="G101" s="92" t="s">
        <v>427</v>
      </c>
      <c r="H101" s="88" t="s">
        <v>1</v>
      </c>
      <c r="I101" s="88" t="s">
        <v>2</v>
      </c>
      <c r="J101" s="88" t="s">
        <v>287</v>
      </c>
      <c r="K101" s="93" t="s">
        <v>307</v>
      </c>
      <c r="L101" s="90">
        <v>1988</v>
      </c>
      <c r="M101" s="90">
        <f t="shared" si="1"/>
        <v>31</v>
      </c>
      <c r="N101" s="88" t="s">
        <v>3</v>
      </c>
      <c r="O101" s="88" t="s">
        <v>258</v>
      </c>
      <c r="P101" s="88" t="s">
        <v>20</v>
      </c>
      <c r="Q101" s="88"/>
      <c r="R101" s="88" t="s">
        <v>15</v>
      </c>
    </row>
    <row r="102" spans="2:18" ht="25.5" x14ac:dyDescent="0.25">
      <c r="B102" s="142"/>
      <c r="C102" s="142"/>
      <c r="D102" s="88">
        <v>95</v>
      </c>
      <c r="E102" s="88" t="s">
        <v>430</v>
      </c>
      <c r="F102" s="97" t="s">
        <v>9</v>
      </c>
      <c r="G102" s="94" t="s">
        <v>431</v>
      </c>
      <c r="H102" s="97" t="s">
        <v>7</v>
      </c>
      <c r="I102" s="97" t="s">
        <v>2</v>
      </c>
      <c r="J102" s="97" t="s">
        <v>287</v>
      </c>
      <c r="K102" s="97" t="s">
        <v>432</v>
      </c>
      <c r="L102" s="95">
        <v>1984</v>
      </c>
      <c r="M102" s="90">
        <f t="shared" si="1"/>
        <v>35</v>
      </c>
      <c r="N102" s="97" t="s">
        <v>3</v>
      </c>
      <c r="O102" s="88" t="s">
        <v>258</v>
      </c>
      <c r="P102" s="88" t="s">
        <v>17</v>
      </c>
      <c r="Q102" s="97"/>
      <c r="R102" s="88" t="s">
        <v>324</v>
      </c>
    </row>
    <row r="103" spans="2:18" ht="25.5" x14ac:dyDescent="0.25">
      <c r="B103" s="142"/>
      <c r="C103" s="142"/>
      <c r="D103" s="88">
        <v>96</v>
      </c>
      <c r="E103" s="88" t="s">
        <v>433</v>
      </c>
      <c r="F103" s="97" t="s">
        <v>13</v>
      </c>
      <c r="G103" s="94" t="s">
        <v>434</v>
      </c>
      <c r="H103" s="97" t="s">
        <v>7</v>
      </c>
      <c r="I103" s="97" t="s">
        <v>11</v>
      </c>
      <c r="J103" s="97" t="s">
        <v>287</v>
      </c>
      <c r="K103" s="97" t="s">
        <v>435</v>
      </c>
      <c r="L103" s="95">
        <v>2012</v>
      </c>
      <c r="M103" s="90">
        <f t="shared" si="1"/>
        <v>7</v>
      </c>
      <c r="N103" s="97" t="s">
        <v>3</v>
      </c>
      <c r="O103" s="88" t="s">
        <v>258</v>
      </c>
      <c r="P103" s="92" t="s">
        <v>12</v>
      </c>
      <c r="Q103" s="97"/>
      <c r="R103" s="92" t="s">
        <v>12</v>
      </c>
    </row>
    <row r="104" spans="2:18" s="122" customFormat="1" ht="25.5" x14ac:dyDescent="0.25">
      <c r="B104" s="142">
        <v>34</v>
      </c>
      <c r="C104" s="142" t="s">
        <v>464</v>
      </c>
      <c r="D104" s="88">
        <v>97</v>
      </c>
      <c r="E104" s="88" t="s">
        <v>469</v>
      </c>
      <c r="F104" s="88" t="s">
        <v>465</v>
      </c>
      <c r="G104" s="92" t="s">
        <v>466</v>
      </c>
      <c r="H104" s="88" t="s">
        <v>1</v>
      </c>
      <c r="I104" s="88" t="s">
        <v>2</v>
      </c>
      <c r="J104" s="88" t="s">
        <v>287</v>
      </c>
      <c r="K104" s="93" t="s">
        <v>467</v>
      </c>
      <c r="L104" s="90">
        <v>1991</v>
      </c>
      <c r="M104" s="90">
        <f t="shared" si="1"/>
        <v>28</v>
      </c>
      <c r="N104" s="88" t="s">
        <v>3</v>
      </c>
      <c r="O104" s="88" t="s">
        <v>258</v>
      </c>
      <c r="P104" s="88" t="s">
        <v>468</v>
      </c>
      <c r="Q104" s="88"/>
      <c r="R104" s="88" t="s">
        <v>15</v>
      </c>
    </row>
    <row r="105" spans="2:18" ht="25.5" x14ac:dyDescent="0.25">
      <c r="B105" s="142"/>
      <c r="C105" s="142"/>
      <c r="D105" s="88">
        <v>98</v>
      </c>
      <c r="E105" s="88" t="s">
        <v>470</v>
      </c>
      <c r="F105" s="88" t="s">
        <v>9</v>
      </c>
      <c r="G105" s="92" t="s">
        <v>471</v>
      </c>
      <c r="H105" s="88" t="s">
        <v>7</v>
      </c>
      <c r="I105" s="88" t="s">
        <v>2</v>
      </c>
      <c r="J105" s="88" t="s">
        <v>388</v>
      </c>
      <c r="K105" s="93" t="s">
        <v>472</v>
      </c>
      <c r="L105" s="90">
        <v>1995</v>
      </c>
      <c r="M105" s="90">
        <f t="shared" si="1"/>
        <v>24</v>
      </c>
      <c r="N105" s="88" t="s">
        <v>3</v>
      </c>
      <c r="O105" s="88" t="s">
        <v>258</v>
      </c>
      <c r="P105" s="88" t="s">
        <v>468</v>
      </c>
      <c r="Q105" s="88"/>
      <c r="R105" s="88" t="s">
        <v>15</v>
      </c>
    </row>
    <row r="106" spans="2:18" ht="38.25" x14ac:dyDescent="0.25">
      <c r="B106" s="142"/>
      <c r="C106" s="142"/>
      <c r="D106" s="88">
        <v>99</v>
      </c>
      <c r="E106" s="88" t="s">
        <v>473</v>
      </c>
      <c r="F106" s="88" t="s">
        <v>13</v>
      </c>
      <c r="G106" s="92" t="s">
        <v>474</v>
      </c>
      <c r="H106" s="88" t="s">
        <v>1</v>
      </c>
      <c r="I106" s="88" t="s">
        <v>11</v>
      </c>
      <c r="J106" s="88" t="s">
        <v>289</v>
      </c>
      <c r="K106" s="91" t="s">
        <v>475</v>
      </c>
      <c r="L106" s="90">
        <v>2018</v>
      </c>
      <c r="M106" s="90">
        <f t="shared" si="1"/>
        <v>1</v>
      </c>
      <c r="N106" s="88" t="s">
        <v>3</v>
      </c>
      <c r="O106" s="88" t="s">
        <v>258</v>
      </c>
      <c r="P106" s="92" t="s">
        <v>12</v>
      </c>
      <c r="Q106" s="88"/>
      <c r="R106" s="92" t="s">
        <v>12</v>
      </c>
    </row>
    <row r="108" spans="2:18" ht="15" x14ac:dyDescent="0.25">
      <c r="D108" s="146" t="s">
        <v>835</v>
      </c>
      <c r="E108" s="146"/>
      <c r="F108" s="146"/>
    </row>
    <row r="109" spans="2:18" ht="15" x14ac:dyDescent="0.25">
      <c r="D109" s="146" t="s">
        <v>836</v>
      </c>
      <c r="E109" s="146"/>
      <c r="F109" s="146"/>
      <c r="P109" s="140" t="s">
        <v>839</v>
      </c>
      <c r="Q109" s="140"/>
    </row>
    <row r="110" spans="2:18" ht="15" x14ac:dyDescent="0.25">
      <c r="D110" s="123"/>
      <c r="E110" s="124"/>
      <c r="F110" s="123"/>
      <c r="P110" s="53"/>
      <c r="Q110" s="52"/>
    </row>
    <row r="111" spans="2:18" ht="15" x14ac:dyDescent="0.25">
      <c r="D111" s="123"/>
      <c r="E111" s="124"/>
      <c r="F111" s="123"/>
      <c r="P111" s="53"/>
      <c r="Q111" s="52"/>
    </row>
    <row r="112" spans="2:18" ht="15" x14ac:dyDescent="0.25">
      <c r="D112" s="123"/>
      <c r="E112" s="124"/>
      <c r="F112" s="123"/>
      <c r="P112" s="53"/>
      <c r="Q112" s="52"/>
    </row>
    <row r="113" spans="4:17" ht="14.25" x14ac:dyDescent="0.2">
      <c r="D113" s="147" t="s">
        <v>837</v>
      </c>
      <c r="E113" s="147"/>
      <c r="F113" s="147"/>
      <c r="P113" s="141" t="s">
        <v>840</v>
      </c>
      <c r="Q113" s="141"/>
    </row>
    <row r="114" spans="4:17" ht="14.25" x14ac:dyDescent="0.2">
      <c r="D114" s="147" t="s">
        <v>838</v>
      </c>
      <c r="E114" s="147"/>
      <c r="F114" s="147"/>
    </row>
    <row r="119" spans="4:17" ht="15" x14ac:dyDescent="0.25">
      <c r="K119" s="140" t="s">
        <v>839</v>
      </c>
      <c r="L119" s="140"/>
    </row>
    <row r="120" spans="4:17" ht="15" x14ac:dyDescent="0.25">
      <c r="K120" s="53"/>
      <c r="L120" s="52"/>
    </row>
    <row r="121" spans="4:17" ht="15" x14ac:dyDescent="0.25">
      <c r="K121" s="53"/>
      <c r="L121" s="52"/>
    </row>
    <row r="122" spans="4:17" ht="15" x14ac:dyDescent="0.25">
      <c r="K122" s="53"/>
      <c r="L122" s="52"/>
    </row>
    <row r="123" spans="4:17" ht="14.25" x14ac:dyDescent="0.2">
      <c r="K123" s="141" t="s">
        <v>840</v>
      </c>
      <c r="L123" s="141"/>
    </row>
  </sheetData>
  <autoFilter ref="B7:R106"/>
  <mergeCells count="91">
    <mergeCell ref="P113:Q113"/>
    <mergeCell ref="D108:F108"/>
    <mergeCell ref="D109:F109"/>
    <mergeCell ref="D113:F113"/>
    <mergeCell ref="D114:F114"/>
    <mergeCell ref="P109:Q109"/>
    <mergeCell ref="B1:R1"/>
    <mergeCell ref="B58:B60"/>
    <mergeCell ref="B61:B62"/>
    <mergeCell ref="B63:B64"/>
    <mergeCell ref="B77:B78"/>
    <mergeCell ref="B71:B72"/>
    <mergeCell ref="B73:B76"/>
    <mergeCell ref="B49:B51"/>
    <mergeCell ref="B52:B55"/>
    <mergeCell ref="B56:B57"/>
    <mergeCell ref="R5:R6"/>
    <mergeCell ref="B43:B44"/>
    <mergeCell ref="B45:B48"/>
    <mergeCell ref="B27:B29"/>
    <mergeCell ref="B30:B33"/>
    <mergeCell ref="B34:B35"/>
    <mergeCell ref="K119:L119"/>
    <mergeCell ref="K123:L123"/>
    <mergeCell ref="B41:B42"/>
    <mergeCell ref="B37:B40"/>
    <mergeCell ref="B2:R2"/>
    <mergeCell ref="Q5:Q6"/>
    <mergeCell ref="I5:I6"/>
    <mergeCell ref="N5:N6"/>
    <mergeCell ref="P5:P6"/>
    <mergeCell ref="M5:M6"/>
    <mergeCell ref="O5:O6"/>
    <mergeCell ref="J5:L5"/>
    <mergeCell ref="B8:B10"/>
    <mergeCell ref="C8:C10"/>
    <mergeCell ref="G5:G6"/>
    <mergeCell ref="B5:B6"/>
    <mergeCell ref="H5:H6"/>
    <mergeCell ref="B21:B23"/>
    <mergeCell ref="E5:E6"/>
    <mergeCell ref="D5:D6"/>
    <mergeCell ref="C5:C6"/>
    <mergeCell ref="F5:F6"/>
    <mergeCell ref="B11:B14"/>
    <mergeCell ref="C11:C14"/>
    <mergeCell ref="B15:B17"/>
    <mergeCell ref="C15:C17"/>
    <mergeCell ref="C18:C20"/>
    <mergeCell ref="C21:C23"/>
    <mergeCell ref="C24:C26"/>
    <mergeCell ref="B18:B20"/>
    <mergeCell ref="B24:B26"/>
    <mergeCell ref="C27:C29"/>
    <mergeCell ref="C30:C33"/>
    <mergeCell ref="C34:C35"/>
    <mergeCell ref="C37:C40"/>
    <mergeCell ref="C41:C42"/>
    <mergeCell ref="C43:C44"/>
    <mergeCell ref="C45:C48"/>
    <mergeCell ref="C49:C51"/>
    <mergeCell ref="C52:C55"/>
    <mergeCell ref="C56:C57"/>
    <mergeCell ref="C58:C60"/>
    <mergeCell ref="C61:C62"/>
    <mergeCell ref="C63:C64"/>
    <mergeCell ref="B65:B67"/>
    <mergeCell ref="C65:C67"/>
    <mergeCell ref="B68:B70"/>
    <mergeCell ref="C68:C70"/>
    <mergeCell ref="C71:C72"/>
    <mergeCell ref="C73:C76"/>
    <mergeCell ref="C77:C78"/>
    <mergeCell ref="B79:B83"/>
    <mergeCell ref="C79:C83"/>
    <mergeCell ref="C84:C86"/>
    <mergeCell ref="C87:C88"/>
    <mergeCell ref="C89:C90"/>
    <mergeCell ref="B91:B93"/>
    <mergeCell ref="C91:C93"/>
    <mergeCell ref="B84:B86"/>
    <mergeCell ref="B87:B88"/>
    <mergeCell ref="B89:B90"/>
    <mergeCell ref="B104:B106"/>
    <mergeCell ref="C104:C106"/>
    <mergeCell ref="C94:C97"/>
    <mergeCell ref="B98:B100"/>
    <mergeCell ref="C98:C100"/>
    <mergeCell ref="B101:B103"/>
    <mergeCell ref="C101:C103"/>
    <mergeCell ref="B94:B97"/>
  </mergeCells>
  <pageMargins left="1.37795275590551" right="0.196850393700787" top="0.39370078740157499" bottom="0.643700787" header="0.31496062992126" footer="0.31496062992126"/>
  <pageSetup paperSize="10000" scale="85" orientation="landscape" horizontalDpi="360" verticalDpi="360" r:id="rId1"/>
  <headerFooter>
    <oddFooter>&amp;C&amp;"-,Bold"&amp;12&amp;P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86"/>
  <sheetViews>
    <sheetView tabSelected="1" zoomScaleNormal="100" workbookViewId="0">
      <pane ySplit="6" topLeftCell="A7" activePane="bottomLeft" state="frozen"/>
      <selection pane="bottomLeft" activeCell="H19" sqref="H19"/>
    </sheetView>
  </sheetViews>
  <sheetFormatPr defaultRowHeight="12.75" x14ac:dyDescent="0.25"/>
  <cols>
    <col min="1" max="1" width="9.140625" style="46"/>
    <col min="2" max="2" width="3.140625" style="46" customWidth="1"/>
    <col min="3" max="3" width="15.7109375" style="46" customWidth="1"/>
    <col min="4" max="4" width="6.7109375" style="46" customWidth="1"/>
    <col min="5" max="5" width="12.7109375" style="87" customWidth="1"/>
    <col min="6" max="6" width="9.7109375" style="46" customWidth="1"/>
    <col min="7" max="7" width="15.7109375" style="46" customWidth="1"/>
    <col min="8" max="8" width="7.7109375" style="87" customWidth="1"/>
    <col min="9" max="9" width="10.7109375" style="87" customWidth="1"/>
    <col min="10" max="10" width="12.7109375" style="46" customWidth="1"/>
    <col min="11" max="11" width="7.5703125" style="100" bestFit="1" customWidth="1"/>
    <col min="12" max="12" width="6.140625" style="46" bestFit="1" customWidth="1"/>
    <col min="13" max="13" width="4.5703125" style="46" bestFit="1" customWidth="1"/>
    <col min="14" max="14" width="6.5703125" style="46" bestFit="1" customWidth="1"/>
    <col min="15" max="15" width="5.42578125" style="115" bestFit="1" customWidth="1"/>
    <col min="16" max="16" width="16.7109375" style="87" customWidth="1"/>
    <col min="17" max="17" width="7.140625" style="46" customWidth="1"/>
    <col min="18" max="18" width="15.7109375" style="87" customWidth="1"/>
    <col min="19" max="16384" width="9.140625" style="46"/>
  </cols>
  <sheetData>
    <row r="1" spans="2:18" ht="15.75" x14ac:dyDescent="0.25">
      <c r="B1" s="145" t="s">
        <v>768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</row>
    <row r="2" spans="2:18" ht="15.75" x14ac:dyDescent="0.25">
      <c r="B2" s="145" t="s">
        <v>769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</row>
    <row r="3" spans="2:18" ht="15.75" x14ac:dyDescent="0.25">
      <c r="B3" s="82" t="s">
        <v>832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2:18" ht="15.75" x14ac:dyDescent="0.25">
      <c r="B4" s="82" t="s">
        <v>833</v>
      </c>
      <c r="D4" s="84"/>
      <c r="E4" s="85"/>
      <c r="L4" s="86"/>
      <c r="O4" s="46"/>
    </row>
    <row r="5" spans="2:18" ht="20.100000000000001" customHeight="1" x14ac:dyDescent="0.25">
      <c r="B5" s="156" t="s">
        <v>100</v>
      </c>
      <c r="C5" s="151" t="s">
        <v>251</v>
      </c>
      <c r="D5" s="149" t="s">
        <v>766</v>
      </c>
      <c r="E5" s="157" t="s">
        <v>771</v>
      </c>
      <c r="F5" s="149" t="s">
        <v>106</v>
      </c>
      <c r="G5" s="156" t="s">
        <v>107</v>
      </c>
      <c r="H5" s="157" t="s">
        <v>101</v>
      </c>
      <c r="I5" s="157" t="s">
        <v>102</v>
      </c>
      <c r="J5" s="156" t="s">
        <v>246</v>
      </c>
      <c r="K5" s="156"/>
      <c r="L5" s="156"/>
      <c r="M5" s="156" t="s">
        <v>249</v>
      </c>
      <c r="N5" s="156" t="s">
        <v>103</v>
      </c>
      <c r="O5" s="156" t="s">
        <v>250</v>
      </c>
      <c r="P5" s="157" t="s">
        <v>104</v>
      </c>
      <c r="Q5" s="151" t="s">
        <v>298</v>
      </c>
      <c r="R5" s="157" t="s">
        <v>105</v>
      </c>
    </row>
    <row r="6" spans="2:18" ht="20.100000000000001" customHeight="1" x14ac:dyDescent="0.25">
      <c r="B6" s="156"/>
      <c r="C6" s="152"/>
      <c r="D6" s="150"/>
      <c r="E6" s="157"/>
      <c r="F6" s="150"/>
      <c r="G6" s="156"/>
      <c r="H6" s="157"/>
      <c r="I6" s="157"/>
      <c r="J6" s="80" t="s">
        <v>286</v>
      </c>
      <c r="K6" s="50" t="s">
        <v>247</v>
      </c>
      <c r="L6" s="51" t="s">
        <v>248</v>
      </c>
      <c r="M6" s="156"/>
      <c r="N6" s="156"/>
      <c r="O6" s="156"/>
      <c r="P6" s="157"/>
      <c r="Q6" s="152"/>
      <c r="R6" s="157"/>
    </row>
    <row r="7" spans="2:18" x14ac:dyDescent="0.25">
      <c r="B7" s="80"/>
      <c r="C7" s="80"/>
      <c r="D7" s="80"/>
      <c r="E7" s="81"/>
      <c r="F7" s="80"/>
      <c r="G7" s="80"/>
      <c r="H7" s="81"/>
      <c r="I7" s="81"/>
      <c r="J7" s="80"/>
      <c r="K7" s="50"/>
      <c r="L7" s="51"/>
      <c r="M7" s="80"/>
      <c r="N7" s="80"/>
      <c r="O7" s="80"/>
      <c r="P7" s="81"/>
      <c r="Q7" s="80"/>
      <c r="R7" s="81"/>
    </row>
    <row r="8" spans="2:18" ht="38.25" x14ac:dyDescent="0.25">
      <c r="B8" s="153">
        <v>1</v>
      </c>
      <c r="C8" s="153" t="s">
        <v>492</v>
      </c>
      <c r="D8" s="47">
        <v>1</v>
      </c>
      <c r="E8" s="102" t="s">
        <v>110</v>
      </c>
      <c r="F8" s="47" t="s">
        <v>5</v>
      </c>
      <c r="G8" s="108" t="s">
        <v>587</v>
      </c>
      <c r="H8" s="102" t="s">
        <v>1</v>
      </c>
      <c r="I8" s="102" t="s">
        <v>2</v>
      </c>
      <c r="J8" s="47" t="s">
        <v>287</v>
      </c>
      <c r="K8" s="113">
        <v>43532</v>
      </c>
      <c r="L8" s="114">
        <v>1988</v>
      </c>
      <c r="M8" s="114">
        <f>2019-L8</f>
        <v>31</v>
      </c>
      <c r="N8" s="47" t="s">
        <v>3</v>
      </c>
      <c r="O8" s="47" t="s">
        <v>258</v>
      </c>
      <c r="P8" s="102" t="s">
        <v>4</v>
      </c>
      <c r="Q8" s="47" t="s">
        <v>301</v>
      </c>
      <c r="R8" s="102" t="s">
        <v>259</v>
      </c>
    </row>
    <row r="9" spans="2:18" x14ac:dyDescent="0.25">
      <c r="B9" s="154"/>
      <c r="C9" s="154"/>
      <c r="D9" s="47">
        <v>2</v>
      </c>
      <c r="E9" s="102" t="s">
        <v>493</v>
      </c>
      <c r="F9" s="47" t="s">
        <v>13</v>
      </c>
      <c r="G9" s="47" t="s">
        <v>180</v>
      </c>
      <c r="H9" s="102" t="s">
        <v>7</v>
      </c>
      <c r="I9" s="102" t="s">
        <v>2</v>
      </c>
      <c r="J9" s="47" t="s">
        <v>291</v>
      </c>
      <c r="K9" s="113">
        <v>43797</v>
      </c>
      <c r="L9" s="114">
        <v>1991</v>
      </c>
      <c r="M9" s="114">
        <f t="shared" ref="M9:M72" si="0">2019-L9</f>
        <v>28</v>
      </c>
      <c r="N9" s="47" t="s">
        <v>3</v>
      </c>
      <c r="O9" s="47" t="s">
        <v>258</v>
      </c>
      <c r="P9" s="102" t="s">
        <v>4</v>
      </c>
      <c r="Q9" s="47" t="s">
        <v>301</v>
      </c>
      <c r="R9" s="102" t="s">
        <v>8</v>
      </c>
    </row>
    <row r="10" spans="2:18" x14ac:dyDescent="0.25">
      <c r="B10" s="155"/>
      <c r="C10" s="155"/>
      <c r="D10" s="47">
        <v>3</v>
      </c>
      <c r="E10" s="102" t="s">
        <v>494</v>
      </c>
      <c r="F10" s="47" t="s">
        <v>312</v>
      </c>
      <c r="G10" s="47" t="s">
        <v>181</v>
      </c>
      <c r="H10" s="102" t="s">
        <v>1</v>
      </c>
      <c r="I10" s="102" t="s">
        <v>11</v>
      </c>
      <c r="J10" s="47" t="s">
        <v>287</v>
      </c>
      <c r="K10" s="113">
        <v>43496</v>
      </c>
      <c r="L10" s="114">
        <v>2013</v>
      </c>
      <c r="M10" s="114">
        <f t="shared" si="0"/>
        <v>6</v>
      </c>
      <c r="N10" s="47" t="s">
        <v>3</v>
      </c>
      <c r="O10" s="47" t="s">
        <v>258</v>
      </c>
      <c r="P10" s="102" t="s">
        <v>260</v>
      </c>
      <c r="Q10" s="108" t="s">
        <v>12</v>
      </c>
      <c r="R10" s="102" t="s">
        <v>261</v>
      </c>
    </row>
    <row r="11" spans="2:18" x14ac:dyDescent="0.25">
      <c r="B11" s="153">
        <v>2</v>
      </c>
      <c r="C11" s="153" t="s">
        <v>263</v>
      </c>
      <c r="D11" s="47">
        <v>4</v>
      </c>
      <c r="E11" s="102" t="s">
        <v>14</v>
      </c>
      <c r="F11" s="47" t="s">
        <v>5</v>
      </c>
      <c r="G11" s="47" t="s">
        <v>264</v>
      </c>
      <c r="H11" s="102" t="s">
        <v>1</v>
      </c>
      <c r="I11" s="102" t="s">
        <v>2</v>
      </c>
      <c r="J11" s="47" t="s">
        <v>287</v>
      </c>
      <c r="K11" s="113">
        <v>43647</v>
      </c>
      <c r="L11" s="114">
        <v>1965</v>
      </c>
      <c r="M11" s="114">
        <f t="shared" si="0"/>
        <v>54</v>
      </c>
      <c r="N11" s="47" t="s">
        <v>3</v>
      </c>
      <c r="O11" s="47" t="s">
        <v>258</v>
      </c>
      <c r="P11" s="102" t="s">
        <v>20</v>
      </c>
      <c r="Q11" s="47"/>
      <c r="R11" s="102" t="s">
        <v>15</v>
      </c>
    </row>
    <row r="12" spans="2:18" x14ac:dyDescent="0.25">
      <c r="B12" s="154"/>
      <c r="C12" s="154"/>
      <c r="D12" s="47">
        <v>5</v>
      </c>
      <c r="E12" s="102" t="s">
        <v>16</v>
      </c>
      <c r="F12" s="47" t="s">
        <v>9</v>
      </c>
      <c r="G12" s="47" t="s">
        <v>182</v>
      </c>
      <c r="H12" s="102" t="s">
        <v>7</v>
      </c>
      <c r="I12" s="102" t="s">
        <v>2</v>
      </c>
      <c r="J12" s="47" t="s">
        <v>287</v>
      </c>
      <c r="K12" s="113">
        <v>43647</v>
      </c>
      <c r="L12" s="114">
        <v>1970</v>
      </c>
      <c r="M12" s="114">
        <f t="shared" si="0"/>
        <v>49</v>
      </c>
      <c r="N12" s="47" t="s">
        <v>3</v>
      </c>
      <c r="O12" s="47" t="s">
        <v>258</v>
      </c>
      <c r="P12" s="102" t="s">
        <v>17</v>
      </c>
      <c r="Q12" s="47"/>
      <c r="R12" s="102" t="s">
        <v>18</v>
      </c>
    </row>
    <row r="13" spans="2:18" ht="25.5" x14ac:dyDescent="0.25">
      <c r="B13" s="154"/>
      <c r="C13" s="154"/>
      <c r="D13" s="47">
        <v>6</v>
      </c>
      <c r="E13" s="102" t="s">
        <v>22</v>
      </c>
      <c r="F13" s="47" t="s">
        <v>13</v>
      </c>
      <c r="G13" s="47" t="s">
        <v>265</v>
      </c>
      <c r="H13" s="102" t="s">
        <v>7</v>
      </c>
      <c r="I13" s="102" t="s">
        <v>11</v>
      </c>
      <c r="J13" s="47" t="s">
        <v>287</v>
      </c>
      <c r="K13" s="113">
        <v>43626</v>
      </c>
      <c r="L13" s="114">
        <v>1999</v>
      </c>
      <c r="M13" s="114">
        <f t="shared" si="0"/>
        <v>20</v>
      </c>
      <c r="N13" s="47" t="s">
        <v>3</v>
      </c>
      <c r="O13" s="47" t="s">
        <v>258</v>
      </c>
      <c r="P13" s="102" t="s">
        <v>4</v>
      </c>
      <c r="Q13" s="47" t="s">
        <v>299</v>
      </c>
      <c r="R13" s="102" t="s">
        <v>268</v>
      </c>
    </row>
    <row r="14" spans="2:18" x14ac:dyDescent="0.25">
      <c r="B14" s="155"/>
      <c r="C14" s="155"/>
      <c r="D14" s="47">
        <v>7</v>
      </c>
      <c r="E14" s="102" t="s">
        <v>23</v>
      </c>
      <c r="F14" s="47" t="s">
        <v>13</v>
      </c>
      <c r="G14" s="47" t="s">
        <v>183</v>
      </c>
      <c r="H14" s="102" t="s">
        <v>7</v>
      </c>
      <c r="I14" s="102" t="s">
        <v>11</v>
      </c>
      <c r="J14" s="47" t="s">
        <v>287</v>
      </c>
      <c r="K14" s="113">
        <v>43559</v>
      </c>
      <c r="L14" s="114">
        <v>2008</v>
      </c>
      <c r="M14" s="114">
        <f t="shared" si="0"/>
        <v>11</v>
      </c>
      <c r="N14" s="47" t="s">
        <v>3</v>
      </c>
      <c r="O14" s="47" t="s">
        <v>258</v>
      </c>
      <c r="P14" s="102" t="s">
        <v>266</v>
      </c>
      <c r="Q14" s="47"/>
      <c r="R14" s="102" t="s">
        <v>267</v>
      </c>
    </row>
    <row r="15" spans="2:18" x14ac:dyDescent="0.25">
      <c r="B15" s="153">
        <v>3</v>
      </c>
      <c r="C15" s="153" t="s">
        <v>292</v>
      </c>
      <c r="D15" s="47">
        <v>8</v>
      </c>
      <c r="E15" s="102" t="s">
        <v>24</v>
      </c>
      <c r="F15" s="47" t="s">
        <v>5</v>
      </c>
      <c r="G15" s="108" t="s">
        <v>184</v>
      </c>
      <c r="H15" s="102" t="s">
        <v>1</v>
      </c>
      <c r="I15" s="102" t="s">
        <v>2</v>
      </c>
      <c r="J15" s="47" t="s">
        <v>287</v>
      </c>
      <c r="K15" s="113">
        <v>43711</v>
      </c>
      <c r="L15" s="114">
        <v>1962</v>
      </c>
      <c r="M15" s="114">
        <f t="shared" si="0"/>
        <v>57</v>
      </c>
      <c r="N15" s="47" t="s">
        <v>3</v>
      </c>
      <c r="O15" s="47" t="s">
        <v>258</v>
      </c>
      <c r="P15" s="102" t="s">
        <v>17</v>
      </c>
      <c r="Q15" s="108" t="s">
        <v>12</v>
      </c>
      <c r="R15" s="102" t="s">
        <v>21</v>
      </c>
    </row>
    <row r="16" spans="2:18" x14ac:dyDescent="0.25">
      <c r="B16" s="154"/>
      <c r="C16" s="154"/>
      <c r="D16" s="47">
        <v>9</v>
      </c>
      <c r="E16" s="102" t="s">
        <v>25</v>
      </c>
      <c r="F16" s="47" t="s">
        <v>9</v>
      </c>
      <c r="G16" s="47" t="s">
        <v>293</v>
      </c>
      <c r="H16" s="102" t="s">
        <v>7</v>
      </c>
      <c r="I16" s="102" t="s">
        <v>2</v>
      </c>
      <c r="J16" s="47" t="s">
        <v>287</v>
      </c>
      <c r="K16" s="113">
        <v>43647</v>
      </c>
      <c r="L16" s="114">
        <v>1965</v>
      </c>
      <c r="M16" s="114">
        <f t="shared" si="0"/>
        <v>54</v>
      </c>
      <c r="N16" s="47" t="s">
        <v>3</v>
      </c>
      <c r="O16" s="47" t="s">
        <v>258</v>
      </c>
      <c r="P16" s="102" t="s">
        <v>17</v>
      </c>
      <c r="Q16" s="108" t="s">
        <v>12</v>
      </c>
      <c r="R16" s="102" t="s">
        <v>21</v>
      </c>
    </row>
    <row r="17" spans="2:18" x14ac:dyDescent="0.25">
      <c r="B17" s="155"/>
      <c r="C17" s="155"/>
      <c r="D17" s="47">
        <v>10</v>
      </c>
      <c r="E17" s="102" t="s">
        <v>27</v>
      </c>
      <c r="F17" s="47" t="s">
        <v>13</v>
      </c>
      <c r="G17" s="47" t="s">
        <v>186</v>
      </c>
      <c r="H17" s="102" t="s">
        <v>7</v>
      </c>
      <c r="I17" s="102" t="s">
        <v>11</v>
      </c>
      <c r="J17" s="47" t="s">
        <v>287</v>
      </c>
      <c r="K17" s="113">
        <v>43669</v>
      </c>
      <c r="L17" s="114">
        <v>1998</v>
      </c>
      <c r="M17" s="114">
        <f t="shared" si="0"/>
        <v>21</v>
      </c>
      <c r="N17" s="47" t="s">
        <v>3</v>
      </c>
      <c r="O17" s="47" t="s">
        <v>258</v>
      </c>
      <c r="P17" s="102" t="s">
        <v>4</v>
      </c>
      <c r="Q17" s="47" t="s">
        <v>300</v>
      </c>
      <c r="R17" s="102" t="s">
        <v>297</v>
      </c>
    </row>
    <row r="18" spans="2:18" x14ac:dyDescent="0.25">
      <c r="B18" s="148">
        <v>4</v>
      </c>
      <c r="C18" s="148" t="s">
        <v>486</v>
      </c>
      <c r="D18" s="47">
        <v>11</v>
      </c>
      <c r="E18" s="102" t="s">
        <v>31</v>
      </c>
      <c r="F18" s="47" t="s">
        <v>5</v>
      </c>
      <c r="G18" s="47" t="s">
        <v>188</v>
      </c>
      <c r="H18" s="102" t="s">
        <v>1</v>
      </c>
      <c r="I18" s="102" t="s">
        <v>2</v>
      </c>
      <c r="J18" s="47" t="s">
        <v>287</v>
      </c>
      <c r="K18" s="104">
        <v>43830</v>
      </c>
      <c r="L18" s="114">
        <v>1955</v>
      </c>
      <c r="M18" s="114">
        <f t="shared" si="0"/>
        <v>64</v>
      </c>
      <c r="N18" s="47" t="s">
        <v>3</v>
      </c>
      <c r="O18" s="47" t="s">
        <v>258</v>
      </c>
      <c r="P18" s="102" t="s">
        <v>508</v>
      </c>
      <c r="Q18" s="47"/>
      <c r="R18" s="102" t="s">
        <v>32</v>
      </c>
    </row>
    <row r="19" spans="2:18" x14ac:dyDescent="0.25">
      <c r="B19" s="148"/>
      <c r="C19" s="148"/>
      <c r="D19" s="47">
        <v>12</v>
      </c>
      <c r="E19" s="102" t="s">
        <v>33</v>
      </c>
      <c r="F19" s="47" t="s">
        <v>9</v>
      </c>
      <c r="G19" s="47" t="s">
        <v>189</v>
      </c>
      <c r="H19" s="102" t="s">
        <v>7</v>
      </c>
      <c r="I19" s="102" t="s">
        <v>2</v>
      </c>
      <c r="J19" s="47" t="s">
        <v>287</v>
      </c>
      <c r="K19" s="104">
        <v>43830</v>
      </c>
      <c r="L19" s="114">
        <v>1957</v>
      </c>
      <c r="M19" s="114">
        <f t="shared" si="0"/>
        <v>62</v>
      </c>
      <c r="N19" s="47" t="s">
        <v>3</v>
      </c>
      <c r="O19" s="47" t="s">
        <v>258</v>
      </c>
      <c r="P19" s="102" t="s">
        <v>508</v>
      </c>
      <c r="Q19" s="47"/>
      <c r="R19" s="102" t="s">
        <v>32</v>
      </c>
    </row>
    <row r="20" spans="2:18" x14ac:dyDescent="0.25">
      <c r="B20" s="148"/>
      <c r="C20" s="148"/>
      <c r="D20" s="47">
        <v>13</v>
      </c>
      <c r="E20" s="102" t="s">
        <v>34</v>
      </c>
      <c r="F20" s="47" t="s">
        <v>13</v>
      </c>
      <c r="G20" s="47" t="s">
        <v>190</v>
      </c>
      <c r="H20" s="102" t="s">
        <v>1</v>
      </c>
      <c r="I20" s="102" t="s">
        <v>11</v>
      </c>
      <c r="J20" s="47" t="s">
        <v>382</v>
      </c>
      <c r="K20" s="113">
        <v>43655</v>
      </c>
      <c r="L20" s="114">
        <v>1995</v>
      </c>
      <c r="M20" s="114">
        <f t="shared" si="0"/>
        <v>24</v>
      </c>
      <c r="N20" s="47" t="s">
        <v>3</v>
      </c>
      <c r="O20" s="47" t="s">
        <v>258</v>
      </c>
      <c r="P20" s="102" t="s">
        <v>4</v>
      </c>
      <c r="Q20" s="47"/>
      <c r="R20" s="102" t="s">
        <v>338</v>
      </c>
    </row>
    <row r="21" spans="2:18" x14ac:dyDescent="0.25">
      <c r="B21" s="148">
        <v>5</v>
      </c>
      <c r="C21" s="148" t="s">
        <v>348</v>
      </c>
      <c r="D21" s="47">
        <v>14</v>
      </c>
      <c r="E21" s="102" t="s">
        <v>35</v>
      </c>
      <c r="F21" s="47" t="s">
        <v>5</v>
      </c>
      <c r="G21" s="108" t="s">
        <v>349</v>
      </c>
      <c r="H21" s="102" t="s">
        <v>1</v>
      </c>
      <c r="I21" s="102" t="s">
        <v>2</v>
      </c>
      <c r="J21" s="47" t="s">
        <v>287</v>
      </c>
      <c r="K21" s="113">
        <v>43618</v>
      </c>
      <c r="L21" s="114">
        <v>1985</v>
      </c>
      <c r="M21" s="114">
        <f t="shared" si="0"/>
        <v>34</v>
      </c>
      <c r="N21" s="47" t="s">
        <v>3</v>
      </c>
      <c r="O21" s="47" t="s">
        <v>258</v>
      </c>
      <c r="P21" s="102" t="s">
        <v>17</v>
      </c>
      <c r="Q21" s="47"/>
      <c r="R21" s="102" t="s">
        <v>329</v>
      </c>
    </row>
    <row r="22" spans="2:18" x14ac:dyDescent="0.25">
      <c r="B22" s="148"/>
      <c r="C22" s="148"/>
      <c r="D22" s="47">
        <v>15</v>
      </c>
      <c r="E22" s="102" t="s">
        <v>36</v>
      </c>
      <c r="F22" s="47" t="s">
        <v>9</v>
      </c>
      <c r="G22" s="108" t="s">
        <v>350</v>
      </c>
      <c r="H22" s="102" t="s">
        <v>7</v>
      </c>
      <c r="I22" s="102" t="s">
        <v>2</v>
      </c>
      <c r="J22" s="47" t="s">
        <v>287</v>
      </c>
      <c r="K22" s="113">
        <v>43621</v>
      </c>
      <c r="L22" s="114">
        <v>1992</v>
      </c>
      <c r="M22" s="114">
        <f t="shared" si="0"/>
        <v>27</v>
      </c>
      <c r="N22" s="47" t="s">
        <v>3</v>
      </c>
      <c r="O22" s="47" t="s">
        <v>258</v>
      </c>
      <c r="P22" s="102" t="s">
        <v>17</v>
      </c>
      <c r="Q22" s="47"/>
      <c r="R22" s="102" t="s">
        <v>324</v>
      </c>
    </row>
    <row r="23" spans="2:18" x14ac:dyDescent="0.25">
      <c r="B23" s="148"/>
      <c r="C23" s="148"/>
      <c r="D23" s="47">
        <v>16</v>
      </c>
      <c r="E23" s="102" t="s">
        <v>37</v>
      </c>
      <c r="F23" s="47" t="s">
        <v>38</v>
      </c>
      <c r="G23" s="108" t="s">
        <v>353</v>
      </c>
      <c r="H23" s="102" t="s">
        <v>7</v>
      </c>
      <c r="I23" s="102" t="s">
        <v>11</v>
      </c>
      <c r="J23" s="47" t="s">
        <v>287</v>
      </c>
      <c r="K23" s="113">
        <v>43468</v>
      </c>
      <c r="L23" s="114">
        <v>2011</v>
      </c>
      <c r="M23" s="114">
        <f t="shared" si="0"/>
        <v>8</v>
      </c>
      <c r="N23" s="47" t="s">
        <v>3</v>
      </c>
      <c r="O23" s="47" t="s">
        <v>258</v>
      </c>
      <c r="P23" s="102" t="s">
        <v>17</v>
      </c>
      <c r="Q23" s="47"/>
      <c r="R23" s="102" t="s">
        <v>261</v>
      </c>
    </row>
    <row r="24" spans="2:18" ht="25.5" x14ac:dyDescent="0.25">
      <c r="B24" s="153">
        <v>6</v>
      </c>
      <c r="C24" s="153" t="s">
        <v>495</v>
      </c>
      <c r="D24" s="47">
        <v>17</v>
      </c>
      <c r="E24" s="102" t="s">
        <v>496</v>
      </c>
      <c r="F24" s="47" t="s">
        <v>5</v>
      </c>
      <c r="G24" s="108" t="s">
        <v>499</v>
      </c>
      <c r="H24" s="102" t="s">
        <v>1</v>
      </c>
      <c r="I24" s="102" t="s">
        <v>2</v>
      </c>
      <c r="J24" s="47" t="s">
        <v>287</v>
      </c>
      <c r="K24" s="104">
        <v>43676</v>
      </c>
      <c r="L24" s="108" t="s">
        <v>504</v>
      </c>
      <c r="M24" s="114">
        <f t="shared" si="0"/>
        <v>51</v>
      </c>
      <c r="N24" s="47" t="s">
        <v>3</v>
      </c>
      <c r="O24" s="47" t="s">
        <v>258</v>
      </c>
      <c r="P24" s="102" t="s">
        <v>17</v>
      </c>
      <c r="Q24" s="47"/>
      <c r="R24" s="102" t="s">
        <v>509</v>
      </c>
    </row>
    <row r="25" spans="2:18" x14ac:dyDescent="0.25">
      <c r="B25" s="154"/>
      <c r="C25" s="154"/>
      <c r="D25" s="47">
        <v>18</v>
      </c>
      <c r="E25" s="102" t="s">
        <v>497</v>
      </c>
      <c r="F25" s="47" t="s">
        <v>9</v>
      </c>
      <c r="G25" s="108" t="s">
        <v>500</v>
      </c>
      <c r="H25" s="102" t="s">
        <v>7</v>
      </c>
      <c r="I25" s="102" t="s">
        <v>2</v>
      </c>
      <c r="J25" s="47" t="s">
        <v>287</v>
      </c>
      <c r="K25" s="104">
        <v>43597</v>
      </c>
      <c r="L25" s="108" t="s">
        <v>505</v>
      </c>
      <c r="M25" s="114">
        <f t="shared" si="0"/>
        <v>42</v>
      </c>
      <c r="N25" s="47" t="s">
        <v>3</v>
      </c>
      <c r="O25" s="47" t="s">
        <v>258</v>
      </c>
      <c r="P25" s="102" t="s">
        <v>508</v>
      </c>
      <c r="Q25" s="47"/>
      <c r="R25" s="102" t="s">
        <v>510</v>
      </c>
    </row>
    <row r="26" spans="2:18" ht="25.5" x14ac:dyDescent="0.25">
      <c r="B26" s="154"/>
      <c r="C26" s="154"/>
      <c r="D26" s="47">
        <v>19</v>
      </c>
      <c r="E26" s="102" t="s">
        <v>152</v>
      </c>
      <c r="F26" s="47" t="s">
        <v>13</v>
      </c>
      <c r="G26" s="108" t="s">
        <v>501</v>
      </c>
      <c r="H26" s="102" t="s">
        <v>1</v>
      </c>
      <c r="I26" s="102" t="s">
        <v>11</v>
      </c>
      <c r="J26" s="47" t="s">
        <v>287</v>
      </c>
      <c r="K26" s="104">
        <v>43813</v>
      </c>
      <c r="L26" s="108" t="s">
        <v>506</v>
      </c>
      <c r="M26" s="114">
        <f t="shared" si="0"/>
        <v>27</v>
      </c>
      <c r="N26" s="47" t="s">
        <v>3</v>
      </c>
      <c r="O26" s="47" t="s">
        <v>258</v>
      </c>
      <c r="P26" s="102" t="s">
        <v>17</v>
      </c>
      <c r="Q26" s="47"/>
      <c r="R26" s="102" t="s">
        <v>509</v>
      </c>
    </row>
    <row r="27" spans="2:18" x14ac:dyDescent="0.25">
      <c r="B27" s="155"/>
      <c r="C27" s="155"/>
      <c r="D27" s="47">
        <v>20</v>
      </c>
      <c r="E27" s="102" t="s">
        <v>498</v>
      </c>
      <c r="F27" s="47" t="s">
        <v>13</v>
      </c>
      <c r="G27" s="108" t="s">
        <v>502</v>
      </c>
      <c r="H27" s="102" t="s">
        <v>7</v>
      </c>
      <c r="I27" s="102" t="s">
        <v>11</v>
      </c>
      <c r="J27" s="47" t="s">
        <v>503</v>
      </c>
      <c r="K27" s="104">
        <v>43619</v>
      </c>
      <c r="L27" s="108" t="s">
        <v>507</v>
      </c>
      <c r="M27" s="114">
        <f t="shared" si="0"/>
        <v>25</v>
      </c>
      <c r="N27" s="47" t="s">
        <v>3</v>
      </c>
      <c r="O27" s="47" t="s">
        <v>258</v>
      </c>
      <c r="P27" s="102" t="s">
        <v>4</v>
      </c>
      <c r="Q27" s="47"/>
      <c r="R27" s="102" t="s">
        <v>261</v>
      </c>
    </row>
    <row r="28" spans="2:18" x14ac:dyDescent="0.25">
      <c r="B28" s="153">
        <v>7</v>
      </c>
      <c r="C28" s="153" t="s">
        <v>363</v>
      </c>
      <c r="D28" s="47">
        <v>21</v>
      </c>
      <c r="E28" s="102" t="s">
        <v>82</v>
      </c>
      <c r="F28" s="47" t="s">
        <v>5</v>
      </c>
      <c r="G28" s="108" t="s">
        <v>512</v>
      </c>
      <c r="H28" s="102" t="s">
        <v>1</v>
      </c>
      <c r="I28" s="102" t="s">
        <v>2</v>
      </c>
      <c r="J28" s="47" t="s">
        <v>517</v>
      </c>
      <c r="K28" s="104">
        <v>43830</v>
      </c>
      <c r="L28" s="108" t="s">
        <v>518</v>
      </c>
      <c r="M28" s="114">
        <f t="shared" si="0"/>
        <v>65</v>
      </c>
      <c r="N28" s="47" t="s">
        <v>3</v>
      </c>
      <c r="O28" s="47" t="s">
        <v>258</v>
      </c>
      <c r="P28" s="102" t="s">
        <v>17</v>
      </c>
      <c r="Q28" s="47"/>
      <c r="R28" s="102" t="s">
        <v>15</v>
      </c>
    </row>
    <row r="29" spans="2:18" x14ac:dyDescent="0.25">
      <c r="B29" s="154"/>
      <c r="C29" s="154"/>
      <c r="D29" s="47">
        <v>22</v>
      </c>
      <c r="E29" s="102" t="s">
        <v>83</v>
      </c>
      <c r="F29" s="47" t="s">
        <v>9</v>
      </c>
      <c r="G29" s="108" t="s">
        <v>513</v>
      </c>
      <c r="H29" s="102" t="s">
        <v>7</v>
      </c>
      <c r="I29" s="102" t="s">
        <v>2</v>
      </c>
      <c r="J29" s="47" t="s">
        <v>287</v>
      </c>
      <c r="K29" s="104">
        <v>43830</v>
      </c>
      <c r="L29" s="108" t="s">
        <v>519</v>
      </c>
      <c r="M29" s="114">
        <f t="shared" si="0"/>
        <v>39</v>
      </c>
      <c r="N29" s="47" t="s">
        <v>3</v>
      </c>
      <c r="O29" s="47" t="s">
        <v>258</v>
      </c>
      <c r="P29" s="102" t="s">
        <v>17</v>
      </c>
      <c r="Q29" s="47"/>
      <c r="R29" s="102" t="s">
        <v>324</v>
      </c>
    </row>
    <row r="30" spans="2:18" x14ac:dyDescent="0.25">
      <c r="B30" s="154"/>
      <c r="C30" s="154"/>
      <c r="D30" s="47">
        <v>23</v>
      </c>
      <c r="E30" s="102" t="s">
        <v>84</v>
      </c>
      <c r="F30" s="47" t="s">
        <v>13</v>
      </c>
      <c r="G30" s="108" t="s">
        <v>514</v>
      </c>
      <c r="H30" s="102" t="s">
        <v>7</v>
      </c>
      <c r="I30" s="102" t="s">
        <v>11</v>
      </c>
      <c r="J30" s="47" t="s">
        <v>287</v>
      </c>
      <c r="K30" s="104">
        <v>43734</v>
      </c>
      <c r="L30" s="108" t="s">
        <v>520</v>
      </c>
      <c r="M30" s="114">
        <f t="shared" si="0"/>
        <v>15</v>
      </c>
      <c r="N30" s="47" t="s">
        <v>3</v>
      </c>
      <c r="O30" s="47" t="s">
        <v>258</v>
      </c>
      <c r="P30" s="102" t="s">
        <v>20</v>
      </c>
      <c r="Q30" s="47"/>
      <c r="R30" s="102" t="s">
        <v>261</v>
      </c>
    </row>
    <row r="31" spans="2:18" x14ac:dyDescent="0.25">
      <c r="B31" s="154"/>
      <c r="C31" s="154"/>
      <c r="D31" s="47">
        <v>24</v>
      </c>
      <c r="E31" s="102" t="s">
        <v>511</v>
      </c>
      <c r="F31" s="47" t="s">
        <v>13</v>
      </c>
      <c r="G31" s="108" t="s">
        <v>515</v>
      </c>
      <c r="H31" s="102" t="s">
        <v>1</v>
      </c>
      <c r="I31" s="102" t="s">
        <v>11</v>
      </c>
      <c r="J31" s="47" t="s">
        <v>287</v>
      </c>
      <c r="K31" s="104">
        <v>43609</v>
      </c>
      <c r="L31" s="108" t="s">
        <v>521</v>
      </c>
      <c r="M31" s="114">
        <f t="shared" si="0"/>
        <v>9</v>
      </c>
      <c r="N31" s="47" t="s">
        <v>3</v>
      </c>
      <c r="O31" s="47" t="s">
        <v>258</v>
      </c>
      <c r="P31" s="102" t="s">
        <v>17</v>
      </c>
      <c r="Q31" s="47"/>
      <c r="R31" s="102" t="s">
        <v>261</v>
      </c>
    </row>
    <row r="32" spans="2:18" x14ac:dyDescent="0.25">
      <c r="B32" s="155"/>
      <c r="C32" s="155"/>
      <c r="D32" s="47">
        <v>25</v>
      </c>
      <c r="E32" s="102" t="s">
        <v>367</v>
      </c>
      <c r="F32" s="47" t="s">
        <v>13</v>
      </c>
      <c r="G32" s="108" t="s">
        <v>516</v>
      </c>
      <c r="H32" s="102" t="s">
        <v>7</v>
      </c>
      <c r="I32" s="102" t="s">
        <v>11</v>
      </c>
      <c r="J32" s="47" t="s">
        <v>287</v>
      </c>
      <c r="K32" s="104">
        <v>43616</v>
      </c>
      <c r="L32" s="108" t="s">
        <v>522</v>
      </c>
      <c r="M32" s="114">
        <f t="shared" si="0"/>
        <v>54</v>
      </c>
      <c r="N32" s="47" t="s">
        <v>3</v>
      </c>
      <c r="O32" s="47" t="s">
        <v>258</v>
      </c>
      <c r="P32" s="102" t="s">
        <v>508</v>
      </c>
      <c r="Q32" s="47"/>
      <c r="R32" s="102" t="s">
        <v>261</v>
      </c>
    </row>
    <row r="33" spans="2:18" ht="25.5" x14ac:dyDescent="0.25">
      <c r="B33" s="153">
        <v>8</v>
      </c>
      <c r="C33" s="153" t="s">
        <v>523</v>
      </c>
      <c r="D33" s="47">
        <v>26</v>
      </c>
      <c r="E33" s="102" t="s">
        <v>524</v>
      </c>
      <c r="F33" s="47" t="s">
        <v>5</v>
      </c>
      <c r="G33" s="108" t="s">
        <v>527</v>
      </c>
      <c r="H33" s="102" t="s">
        <v>1</v>
      </c>
      <c r="I33" s="102" t="s">
        <v>2</v>
      </c>
      <c r="J33" s="47" t="s">
        <v>287</v>
      </c>
      <c r="K33" s="104">
        <v>43789</v>
      </c>
      <c r="L33" s="108" t="s">
        <v>530</v>
      </c>
      <c r="M33" s="114">
        <f t="shared" si="0"/>
        <v>56</v>
      </c>
      <c r="N33" s="47" t="s">
        <v>3</v>
      </c>
      <c r="O33" s="47" t="s">
        <v>258</v>
      </c>
      <c r="P33" s="102" t="s">
        <v>17</v>
      </c>
      <c r="Q33" s="47"/>
      <c r="R33" s="102" t="s">
        <v>509</v>
      </c>
    </row>
    <row r="34" spans="2:18" ht="25.5" x14ac:dyDescent="0.25">
      <c r="B34" s="154"/>
      <c r="C34" s="154"/>
      <c r="D34" s="47">
        <v>27</v>
      </c>
      <c r="E34" s="102" t="s">
        <v>525</v>
      </c>
      <c r="F34" s="47" t="s">
        <v>9</v>
      </c>
      <c r="G34" s="108" t="s">
        <v>528</v>
      </c>
      <c r="H34" s="102" t="s">
        <v>7</v>
      </c>
      <c r="I34" s="102" t="s">
        <v>2</v>
      </c>
      <c r="J34" s="47" t="s">
        <v>287</v>
      </c>
      <c r="K34" s="104">
        <v>43595</v>
      </c>
      <c r="L34" s="108" t="s">
        <v>504</v>
      </c>
      <c r="M34" s="114">
        <f t="shared" si="0"/>
        <v>51</v>
      </c>
      <c r="N34" s="47" t="s">
        <v>3</v>
      </c>
      <c r="O34" s="47" t="s">
        <v>258</v>
      </c>
      <c r="P34" s="102" t="s">
        <v>17</v>
      </c>
      <c r="Q34" s="47"/>
      <c r="R34" s="102" t="s">
        <v>509</v>
      </c>
    </row>
    <row r="35" spans="2:18" x14ac:dyDescent="0.25">
      <c r="B35" s="155"/>
      <c r="C35" s="155"/>
      <c r="D35" s="47">
        <v>28</v>
      </c>
      <c r="E35" s="102" t="s">
        <v>526</v>
      </c>
      <c r="F35" s="47" t="s">
        <v>13</v>
      </c>
      <c r="G35" s="108" t="s">
        <v>529</v>
      </c>
      <c r="H35" s="102" t="s">
        <v>1</v>
      </c>
      <c r="I35" s="102" t="s">
        <v>11</v>
      </c>
      <c r="J35" s="47" t="s">
        <v>287</v>
      </c>
      <c r="K35" s="104">
        <v>43689</v>
      </c>
      <c r="L35" s="108" t="s">
        <v>531</v>
      </c>
      <c r="M35" s="114">
        <f t="shared" si="0"/>
        <v>22</v>
      </c>
      <c r="N35" s="47" t="s">
        <v>3</v>
      </c>
      <c r="O35" s="47" t="s">
        <v>258</v>
      </c>
      <c r="P35" s="102" t="s">
        <v>20</v>
      </c>
      <c r="Q35" s="47"/>
      <c r="R35" s="102" t="s">
        <v>15</v>
      </c>
    </row>
    <row r="36" spans="2:18" ht="25.5" x14ac:dyDescent="0.25">
      <c r="B36" s="47">
        <v>9</v>
      </c>
      <c r="C36" s="108" t="s">
        <v>532</v>
      </c>
      <c r="D36" s="47">
        <v>29</v>
      </c>
      <c r="E36" s="102" t="s">
        <v>533</v>
      </c>
      <c r="F36" s="47" t="s">
        <v>5</v>
      </c>
      <c r="G36" s="108" t="s">
        <v>534</v>
      </c>
      <c r="H36" s="102" t="s">
        <v>7</v>
      </c>
      <c r="I36" s="102" t="s">
        <v>11</v>
      </c>
      <c r="J36" s="47" t="s">
        <v>287</v>
      </c>
      <c r="K36" s="104">
        <v>43830</v>
      </c>
      <c r="L36" s="108" t="s">
        <v>504</v>
      </c>
      <c r="M36" s="114">
        <f t="shared" si="0"/>
        <v>51</v>
      </c>
      <c r="N36" s="47" t="s">
        <v>3</v>
      </c>
      <c r="O36" s="47" t="s">
        <v>258</v>
      </c>
      <c r="P36" s="102" t="s">
        <v>508</v>
      </c>
      <c r="Q36" s="47"/>
      <c r="R36" s="102" t="s">
        <v>509</v>
      </c>
    </row>
    <row r="37" spans="2:18" ht="25.5" x14ac:dyDescent="0.25">
      <c r="B37" s="153">
        <v>10</v>
      </c>
      <c r="C37" s="153" t="s">
        <v>535</v>
      </c>
      <c r="D37" s="47">
        <v>30</v>
      </c>
      <c r="E37" s="102" t="s">
        <v>536</v>
      </c>
      <c r="F37" s="47" t="s">
        <v>5</v>
      </c>
      <c r="G37" s="108" t="s">
        <v>538</v>
      </c>
      <c r="H37" s="102" t="s">
        <v>1</v>
      </c>
      <c r="I37" s="102" t="s">
        <v>379</v>
      </c>
      <c r="J37" s="47" t="s">
        <v>287</v>
      </c>
      <c r="K37" s="104">
        <v>43830</v>
      </c>
      <c r="L37" s="108" t="s">
        <v>540</v>
      </c>
      <c r="M37" s="114">
        <f t="shared" si="0"/>
        <v>63</v>
      </c>
      <c r="N37" s="47" t="s">
        <v>3</v>
      </c>
      <c r="O37" s="47" t="s">
        <v>258</v>
      </c>
      <c r="P37" s="102" t="s">
        <v>17</v>
      </c>
      <c r="Q37" s="47"/>
      <c r="R37" s="102" t="s">
        <v>509</v>
      </c>
    </row>
    <row r="38" spans="2:18" ht="25.5" x14ac:dyDescent="0.25">
      <c r="B38" s="155"/>
      <c r="C38" s="155"/>
      <c r="D38" s="47">
        <v>31</v>
      </c>
      <c r="E38" s="102" t="s">
        <v>537</v>
      </c>
      <c r="F38" s="47" t="s">
        <v>9</v>
      </c>
      <c r="G38" s="108" t="s">
        <v>539</v>
      </c>
      <c r="H38" s="102" t="s">
        <v>1</v>
      </c>
      <c r="I38" s="102" t="s">
        <v>11</v>
      </c>
      <c r="J38" s="47" t="s">
        <v>287</v>
      </c>
      <c r="K38" s="104">
        <v>43830</v>
      </c>
      <c r="L38" s="108" t="s">
        <v>541</v>
      </c>
      <c r="M38" s="114">
        <f t="shared" si="0"/>
        <v>28</v>
      </c>
      <c r="N38" s="47" t="s">
        <v>3</v>
      </c>
      <c r="O38" s="47" t="s">
        <v>258</v>
      </c>
      <c r="P38" s="102" t="s">
        <v>4</v>
      </c>
      <c r="Q38" s="47"/>
      <c r="R38" s="102" t="s">
        <v>509</v>
      </c>
    </row>
    <row r="39" spans="2:18" x14ac:dyDescent="0.25">
      <c r="B39" s="153">
        <v>11</v>
      </c>
      <c r="C39" s="153" t="s">
        <v>542</v>
      </c>
      <c r="D39" s="47">
        <v>32</v>
      </c>
      <c r="E39" s="102" t="s">
        <v>543</v>
      </c>
      <c r="F39" s="47" t="s">
        <v>547</v>
      </c>
      <c r="G39" s="108" t="s">
        <v>548</v>
      </c>
      <c r="H39" s="102" t="s">
        <v>1</v>
      </c>
      <c r="I39" s="102" t="s">
        <v>2</v>
      </c>
      <c r="J39" s="47" t="s">
        <v>287</v>
      </c>
      <c r="K39" s="104">
        <v>43830</v>
      </c>
      <c r="L39" s="108" t="s">
        <v>552</v>
      </c>
      <c r="M39" s="114">
        <f t="shared" si="0"/>
        <v>44</v>
      </c>
      <c r="N39" s="47" t="s">
        <v>3</v>
      </c>
      <c r="O39" s="47" t="s">
        <v>258</v>
      </c>
      <c r="P39" s="102" t="s">
        <v>17</v>
      </c>
      <c r="Q39" s="47"/>
      <c r="R39" s="102" t="s">
        <v>15</v>
      </c>
    </row>
    <row r="40" spans="2:18" x14ac:dyDescent="0.25">
      <c r="B40" s="154"/>
      <c r="C40" s="154"/>
      <c r="D40" s="47">
        <v>33</v>
      </c>
      <c r="E40" s="102" t="s">
        <v>544</v>
      </c>
      <c r="F40" s="47" t="s">
        <v>9</v>
      </c>
      <c r="G40" s="108" t="s">
        <v>549</v>
      </c>
      <c r="H40" s="102" t="s">
        <v>7</v>
      </c>
      <c r="I40" s="102" t="s">
        <v>2</v>
      </c>
      <c r="J40" s="47" t="s">
        <v>287</v>
      </c>
      <c r="K40" s="104">
        <v>43779</v>
      </c>
      <c r="L40" s="108" t="s">
        <v>519</v>
      </c>
      <c r="M40" s="114">
        <f t="shared" si="0"/>
        <v>39</v>
      </c>
      <c r="N40" s="47" t="s">
        <v>3</v>
      </c>
      <c r="O40" s="47" t="s">
        <v>258</v>
      </c>
      <c r="P40" s="102" t="s">
        <v>17</v>
      </c>
      <c r="Q40" s="47"/>
      <c r="R40" s="102" t="s">
        <v>555</v>
      </c>
    </row>
    <row r="41" spans="2:18" x14ac:dyDescent="0.25">
      <c r="B41" s="154"/>
      <c r="C41" s="154"/>
      <c r="D41" s="47">
        <v>34</v>
      </c>
      <c r="E41" s="102" t="s">
        <v>545</v>
      </c>
      <c r="F41" s="47" t="s">
        <v>13</v>
      </c>
      <c r="G41" s="108" t="s">
        <v>550</v>
      </c>
      <c r="H41" s="102" t="s">
        <v>7</v>
      </c>
      <c r="I41" s="102" t="s">
        <v>11</v>
      </c>
      <c r="J41" s="47" t="s">
        <v>287</v>
      </c>
      <c r="K41" s="104">
        <v>43689</v>
      </c>
      <c r="L41" s="108" t="s">
        <v>553</v>
      </c>
      <c r="M41" s="114">
        <f t="shared" si="0"/>
        <v>19</v>
      </c>
      <c r="N41" s="47" t="s">
        <v>3</v>
      </c>
      <c r="O41" s="47" t="s">
        <v>258</v>
      </c>
      <c r="P41" s="102" t="s">
        <v>17</v>
      </c>
      <c r="Q41" s="47"/>
      <c r="R41" s="102" t="s">
        <v>261</v>
      </c>
    </row>
    <row r="42" spans="2:18" x14ac:dyDescent="0.25">
      <c r="B42" s="155"/>
      <c r="C42" s="155"/>
      <c r="D42" s="47">
        <v>35</v>
      </c>
      <c r="E42" s="102" t="s">
        <v>546</v>
      </c>
      <c r="F42" s="47" t="s">
        <v>13</v>
      </c>
      <c r="G42" s="108" t="s">
        <v>551</v>
      </c>
      <c r="H42" s="102" t="s">
        <v>1</v>
      </c>
      <c r="I42" s="102" t="s">
        <v>11</v>
      </c>
      <c r="J42" s="47" t="s">
        <v>287</v>
      </c>
      <c r="K42" s="104">
        <v>43748</v>
      </c>
      <c r="L42" s="108" t="s">
        <v>554</v>
      </c>
      <c r="M42" s="114">
        <f t="shared" si="0"/>
        <v>11</v>
      </c>
      <c r="N42" s="47" t="s">
        <v>3</v>
      </c>
      <c r="O42" s="47" t="s">
        <v>258</v>
      </c>
      <c r="P42" s="102" t="s">
        <v>17</v>
      </c>
      <c r="Q42" s="47"/>
      <c r="R42" s="102" t="s">
        <v>261</v>
      </c>
    </row>
    <row r="43" spans="2:18" x14ac:dyDescent="0.25">
      <c r="B43" s="153">
        <v>12</v>
      </c>
      <c r="C43" s="153" t="s">
        <v>556</v>
      </c>
      <c r="D43" s="47">
        <v>36</v>
      </c>
      <c r="E43" s="102" t="s">
        <v>557</v>
      </c>
      <c r="F43" s="47" t="s">
        <v>5</v>
      </c>
      <c r="G43" s="108" t="s">
        <v>565</v>
      </c>
      <c r="H43" s="102" t="s">
        <v>1</v>
      </c>
      <c r="I43" s="102" t="s">
        <v>2</v>
      </c>
      <c r="J43" s="47" t="s">
        <v>287</v>
      </c>
      <c r="K43" s="104">
        <v>43830</v>
      </c>
      <c r="L43" s="108" t="s">
        <v>563</v>
      </c>
      <c r="M43" s="114">
        <f t="shared" si="0"/>
        <v>46</v>
      </c>
      <c r="N43" s="47" t="s">
        <v>3</v>
      </c>
      <c r="O43" s="47" t="s">
        <v>258</v>
      </c>
      <c r="P43" s="102" t="s">
        <v>508</v>
      </c>
      <c r="Q43" s="47"/>
      <c r="R43" s="102" t="s">
        <v>15</v>
      </c>
    </row>
    <row r="44" spans="2:18" x14ac:dyDescent="0.25">
      <c r="B44" s="154"/>
      <c r="C44" s="154"/>
      <c r="D44" s="47">
        <v>37</v>
      </c>
      <c r="E44" s="102" t="s">
        <v>36</v>
      </c>
      <c r="F44" s="47" t="s">
        <v>9</v>
      </c>
      <c r="G44" s="108" t="s">
        <v>560</v>
      </c>
      <c r="H44" s="102" t="s">
        <v>7</v>
      </c>
      <c r="I44" s="102" t="s">
        <v>2</v>
      </c>
      <c r="J44" s="47" t="s">
        <v>287</v>
      </c>
      <c r="K44" s="104">
        <v>43830</v>
      </c>
      <c r="L44" s="108" t="s">
        <v>563</v>
      </c>
      <c r="M44" s="114">
        <f t="shared" si="0"/>
        <v>46</v>
      </c>
      <c r="N44" s="47" t="s">
        <v>3</v>
      </c>
      <c r="O44" s="47" t="s">
        <v>258</v>
      </c>
      <c r="P44" s="102" t="s">
        <v>508</v>
      </c>
      <c r="Q44" s="47"/>
      <c r="R44" s="102" t="s">
        <v>555</v>
      </c>
    </row>
    <row r="45" spans="2:18" x14ac:dyDescent="0.25">
      <c r="B45" s="154"/>
      <c r="C45" s="154"/>
      <c r="D45" s="47">
        <v>38</v>
      </c>
      <c r="E45" s="102" t="s">
        <v>558</v>
      </c>
      <c r="F45" s="47" t="s">
        <v>13</v>
      </c>
      <c r="G45" s="108" t="s">
        <v>561</v>
      </c>
      <c r="H45" s="102" t="s">
        <v>1</v>
      </c>
      <c r="I45" s="102" t="s">
        <v>11</v>
      </c>
      <c r="J45" s="47" t="s">
        <v>287</v>
      </c>
      <c r="K45" s="104">
        <v>43590</v>
      </c>
      <c r="L45" s="108" t="s">
        <v>507</v>
      </c>
      <c r="M45" s="114">
        <f t="shared" si="0"/>
        <v>25</v>
      </c>
      <c r="N45" s="47" t="s">
        <v>3</v>
      </c>
      <c r="O45" s="47" t="s">
        <v>258</v>
      </c>
      <c r="P45" s="102" t="s">
        <v>17</v>
      </c>
      <c r="Q45" s="47"/>
      <c r="R45" s="102" t="s">
        <v>555</v>
      </c>
    </row>
    <row r="46" spans="2:18" x14ac:dyDescent="0.25">
      <c r="B46" s="155"/>
      <c r="C46" s="155"/>
      <c r="D46" s="47">
        <v>39</v>
      </c>
      <c r="E46" s="102" t="s">
        <v>559</v>
      </c>
      <c r="F46" s="47" t="s">
        <v>13</v>
      </c>
      <c r="G46" s="108" t="s">
        <v>562</v>
      </c>
      <c r="H46" s="102" t="s">
        <v>1</v>
      </c>
      <c r="I46" s="102" t="s">
        <v>11</v>
      </c>
      <c r="J46" s="47" t="s">
        <v>287</v>
      </c>
      <c r="K46" s="104">
        <v>43623</v>
      </c>
      <c r="L46" s="108" t="s">
        <v>564</v>
      </c>
      <c r="M46" s="114">
        <f t="shared" si="0"/>
        <v>16</v>
      </c>
      <c r="N46" s="47" t="s">
        <v>3</v>
      </c>
      <c r="O46" s="47" t="s">
        <v>258</v>
      </c>
      <c r="P46" s="102" t="s">
        <v>17</v>
      </c>
      <c r="Q46" s="47"/>
      <c r="R46" s="102" t="s">
        <v>261</v>
      </c>
    </row>
    <row r="47" spans="2:18" x14ac:dyDescent="0.25">
      <c r="B47" s="153">
        <v>13</v>
      </c>
      <c r="C47" s="153" t="s">
        <v>566</v>
      </c>
      <c r="D47" s="47">
        <v>40</v>
      </c>
      <c r="E47" s="102" t="s">
        <v>567</v>
      </c>
      <c r="F47" s="47" t="s">
        <v>5</v>
      </c>
      <c r="G47" s="108" t="s">
        <v>569</v>
      </c>
      <c r="H47" s="102" t="s">
        <v>1</v>
      </c>
      <c r="I47" s="102" t="s">
        <v>2</v>
      </c>
      <c r="J47" s="47" t="s">
        <v>287</v>
      </c>
      <c r="K47" s="104">
        <v>43472</v>
      </c>
      <c r="L47" s="108" t="s">
        <v>571</v>
      </c>
      <c r="M47" s="114">
        <f t="shared" si="0"/>
        <v>80</v>
      </c>
      <c r="N47" s="47" t="s">
        <v>3</v>
      </c>
      <c r="O47" s="47" t="s">
        <v>258</v>
      </c>
      <c r="P47" s="102" t="s">
        <v>17</v>
      </c>
      <c r="Q47" s="47"/>
      <c r="R47" s="102" t="s">
        <v>32</v>
      </c>
    </row>
    <row r="48" spans="2:18" ht="25.5" x14ac:dyDescent="0.25">
      <c r="B48" s="155"/>
      <c r="C48" s="155"/>
      <c r="D48" s="47">
        <v>41</v>
      </c>
      <c r="E48" s="102" t="s">
        <v>568</v>
      </c>
      <c r="F48" s="47" t="s">
        <v>9</v>
      </c>
      <c r="G48" s="108" t="s">
        <v>570</v>
      </c>
      <c r="H48" s="102" t="s">
        <v>7</v>
      </c>
      <c r="I48" s="102" t="s">
        <v>2</v>
      </c>
      <c r="J48" s="47" t="s">
        <v>287</v>
      </c>
      <c r="K48" s="104">
        <v>43472</v>
      </c>
      <c r="L48" s="108" t="s">
        <v>572</v>
      </c>
      <c r="M48" s="114">
        <f t="shared" si="0"/>
        <v>70</v>
      </c>
      <c r="N48" s="47" t="s">
        <v>3</v>
      </c>
      <c r="O48" s="47" t="s">
        <v>258</v>
      </c>
      <c r="P48" s="102" t="s">
        <v>17</v>
      </c>
      <c r="Q48" s="47"/>
      <c r="R48" s="102" t="s">
        <v>509</v>
      </c>
    </row>
    <row r="49" spans="2:18" x14ac:dyDescent="0.25">
      <c r="B49" s="153">
        <v>14</v>
      </c>
      <c r="C49" s="153" t="s">
        <v>573</v>
      </c>
      <c r="D49" s="47">
        <v>42</v>
      </c>
      <c r="E49" s="102" t="s">
        <v>574</v>
      </c>
      <c r="F49" s="47" t="s">
        <v>5</v>
      </c>
      <c r="G49" s="108" t="s">
        <v>578</v>
      </c>
      <c r="H49" s="102" t="s">
        <v>1</v>
      </c>
      <c r="I49" s="102" t="s">
        <v>2</v>
      </c>
      <c r="J49" s="47" t="s">
        <v>582</v>
      </c>
      <c r="K49" s="104">
        <v>43546</v>
      </c>
      <c r="L49" s="108" t="s">
        <v>583</v>
      </c>
      <c r="M49" s="114">
        <f t="shared" si="0"/>
        <v>38</v>
      </c>
      <c r="N49" s="47" t="s">
        <v>3</v>
      </c>
      <c r="O49" s="47" t="s">
        <v>258</v>
      </c>
      <c r="P49" s="102" t="s">
        <v>17</v>
      </c>
      <c r="Q49" s="47"/>
      <c r="R49" s="102" t="s">
        <v>15</v>
      </c>
    </row>
    <row r="50" spans="2:18" x14ac:dyDescent="0.25">
      <c r="B50" s="154"/>
      <c r="C50" s="154"/>
      <c r="D50" s="47">
        <v>43</v>
      </c>
      <c r="E50" s="102" t="s">
        <v>575</v>
      </c>
      <c r="F50" s="47" t="s">
        <v>9</v>
      </c>
      <c r="G50" s="108" t="s">
        <v>579</v>
      </c>
      <c r="H50" s="102" t="s">
        <v>7</v>
      </c>
      <c r="I50" s="102" t="s">
        <v>2</v>
      </c>
      <c r="J50" s="47" t="s">
        <v>503</v>
      </c>
      <c r="K50" s="104">
        <v>43478</v>
      </c>
      <c r="L50" s="108" t="s">
        <v>584</v>
      </c>
      <c r="M50" s="114">
        <f t="shared" si="0"/>
        <v>29</v>
      </c>
      <c r="N50" s="47" t="s">
        <v>3</v>
      </c>
      <c r="O50" s="47" t="s">
        <v>258</v>
      </c>
      <c r="P50" s="102" t="s">
        <v>17</v>
      </c>
      <c r="Q50" s="47"/>
      <c r="R50" s="102" t="s">
        <v>15</v>
      </c>
    </row>
    <row r="51" spans="2:18" ht="25.5" x14ac:dyDescent="0.25">
      <c r="B51" s="154"/>
      <c r="C51" s="154"/>
      <c r="D51" s="47">
        <v>44</v>
      </c>
      <c r="E51" s="102" t="s">
        <v>576</v>
      </c>
      <c r="F51" s="47" t="s">
        <v>13</v>
      </c>
      <c r="G51" s="108" t="s">
        <v>580</v>
      </c>
      <c r="H51" s="102" t="s">
        <v>1</v>
      </c>
      <c r="I51" s="102" t="s">
        <v>11</v>
      </c>
      <c r="J51" s="47" t="s">
        <v>503</v>
      </c>
      <c r="K51" s="104">
        <v>43513</v>
      </c>
      <c r="L51" s="108" t="s">
        <v>585</v>
      </c>
      <c r="M51" s="114">
        <f t="shared" si="0"/>
        <v>8</v>
      </c>
      <c r="N51" s="47" t="s">
        <v>3</v>
      </c>
      <c r="O51" s="47" t="s">
        <v>258</v>
      </c>
      <c r="P51" s="102" t="s">
        <v>17</v>
      </c>
      <c r="Q51" s="47"/>
      <c r="R51" s="102" t="s">
        <v>261</v>
      </c>
    </row>
    <row r="52" spans="2:18" x14ac:dyDescent="0.25">
      <c r="B52" s="155"/>
      <c r="C52" s="155"/>
      <c r="D52" s="47">
        <v>45</v>
      </c>
      <c r="E52" s="102" t="s">
        <v>577</v>
      </c>
      <c r="F52" s="47" t="s">
        <v>368</v>
      </c>
      <c r="G52" s="108" t="s">
        <v>581</v>
      </c>
      <c r="H52" s="102" t="s">
        <v>1</v>
      </c>
      <c r="I52" s="102" t="s">
        <v>11</v>
      </c>
      <c r="J52" s="47" t="s">
        <v>287</v>
      </c>
      <c r="K52" s="104">
        <v>43480</v>
      </c>
      <c r="L52" s="108" t="s">
        <v>586</v>
      </c>
      <c r="M52" s="114">
        <f t="shared" si="0"/>
        <v>74</v>
      </c>
      <c r="N52" s="47" t="s">
        <v>3</v>
      </c>
      <c r="O52" s="47" t="s">
        <v>258</v>
      </c>
      <c r="P52" s="102" t="s">
        <v>508</v>
      </c>
      <c r="Q52" s="47"/>
      <c r="R52" s="102" t="s">
        <v>555</v>
      </c>
    </row>
    <row r="53" spans="2:18" x14ac:dyDescent="0.25">
      <c r="B53" s="153">
        <v>15</v>
      </c>
      <c r="C53" s="153" t="s">
        <v>588</v>
      </c>
      <c r="D53" s="47">
        <v>46</v>
      </c>
      <c r="E53" s="102" t="s">
        <v>589</v>
      </c>
      <c r="F53" s="47" t="s">
        <v>5</v>
      </c>
      <c r="G53" s="108" t="s">
        <v>591</v>
      </c>
      <c r="H53" s="102" t="s">
        <v>7</v>
      </c>
      <c r="I53" s="102" t="s">
        <v>379</v>
      </c>
      <c r="J53" s="47" t="s">
        <v>287</v>
      </c>
      <c r="K53" s="104" t="s">
        <v>594</v>
      </c>
      <c r="L53" s="108" t="s">
        <v>563</v>
      </c>
      <c r="M53" s="114">
        <f t="shared" si="0"/>
        <v>46</v>
      </c>
      <c r="N53" s="47" t="s">
        <v>3</v>
      </c>
      <c r="O53" s="47" t="s">
        <v>258</v>
      </c>
      <c r="P53" s="102" t="s">
        <v>17</v>
      </c>
      <c r="Q53" s="47"/>
      <c r="R53" s="102" t="s">
        <v>15</v>
      </c>
    </row>
    <row r="54" spans="2:18" ht="25.5" x14ac:dyDescent="0.25">
      <c r="B54" s="154"/>
      <c r="C54" s="154"/>
      <c r="D54" s="47">
        <v>47</v>
      </c>
      <c r="E54" s="102" t="s">
        <v>50</v>
      </c>
      <c r="F54" s="47" t="s">
        <v>13</v>
      </c>
      <c r="G54" s="108" t="s">
        <v>592</v>
      </c>
      <c r="H54" s="102" t="s">
        <v>7</v>
      </c>
      <c r="I54" s="102" t="s">
        <v>11</v>
      </c>
      <c r="J54" s="47" t="s">
        <v>287</v>
      </c>
      <c r="K54" s="104">
        <v>43742</v>
      </c>
      <c r="L54" s="108" t="s">
        <v>596</v>
      </c>
      <c r="M54" s="114">
        <f t="shared" si="0"/>
        <v>20</v>
      </c>
      <c r="N54" s="47" t="s">
        <v>3</v>
      </c>
      <c r="O54" s="47" t="s">
        <v>258</v>
      </c>
      <c r="P54" s="102" t="s">
        <v>4</v>
      </c>
      <c r="Q54" s="47"/>
      <c r="R54" s="102" t="s">
        <v>598</v>
      </c>
    </row>
    <row r="55" spans="2:18" x14ac:dyDescent="0.25">
      <c r="B55" s="155"/>
      <c r="C55" s="155"/>
      <c r="D55" s="47">
        <v>48</v>
      </c>
      <c r="E55" s="102" t="s">
        <v>590</v>
      </c>
      <c r="F55" s="47" t="s">
        <v>13</v>
      </c>
      <c r="G55" s="108" t="s">
        <v>593</v>
      </c>
      <c r="H55" s="102" t="s">
        <v>1</v>
      </c>
      <c r="I55" s="102" t="s">
        <v>11</v>
      </c>
      <c r="J55" s="47" t="s">
        <v>287</v>
      </c>
      <c r="K55" s="104" t="s">
        <v>595</v>
      </c>
      <c r="L55" s="108" t="s">
        <v>597</v>
      </c>
      <c r="M55" s="114">
        <f t="shared" si="0"/>
        <v>14</v>
      </c>
      <c r="N55" s="47" t="s">
        <v>3</v>
      </c>
      <c r="O55" s="47" t="s">
        <v>258</v>
      </c>
      <c r="P55" s="102" t="s">
        <v>266</v>
      </c>
      <c r="Q55" s="47"/>
      <c r="R55" s="102" t="s">
        <v>599</v>
      </c>
    </row>
    <row r="56" spans="2:18" ht="25.5" x14ac:dyDescent="0.25">
      <c r="B56" s="153">
        <v>16</v>
      </c>
      <c r="C56" s="153" t="s">
        <v>600</v>
      </c>
      <c r="D56" s="47">
        <v>49</v>
      </c>
      <c r="E56" s="102" t="s">
        <v>601</v>
      </c>
      <c r="F56" s="47" t="s">
        <v>5</v>
      </c>
      <c r="G56" s="108" t="s">
        <v>605</v>
      </c>
      <c r="H56" s="102" t="s">
        <v>1</v>
      </c>
      <c r="I56" s="102" t="s">
        <v>2</v>
      </c>
      <c r="J56" s="47" t="s">
        <v>287</v>
      </c>
      <c r="K56" s="113" t="s">
        <v>634</v>
      </c>
      <c r="L56" s="47">
        <v>1977</v>
      </c>
      <c r="M56" s="114">
        <f t="shared" si="0"/>
        <v>42</v>
      </c>
      <c r="N56" s="47" t="s">
        <v>3</v>
      </c>
      <c r="O56" s="47" t="s">
        <v>258</v>
      </c>
      <c r="P56" s="102" t="s">
        <v>17</v>
      </c>
      <c r="Q56" s="47"/>
      <c r="R56" s="102" t="s">
        <v>509</v>
      </c>
    </row>
    <row r="57" spans="2:18" ht="25.5" x14ac:dyDescent="0.25">
      <c r="B57" s="154"/>
      <c r="C57" s="154"/>
      <c r="D57" s="47">
        <v>50</v>
      </c>
      <c r="E57" s="102" t="s">
        <v>602</v>
      </c>
      <c r="F57" s="47" t="s">
        <v>9</v>
      </c>
      <c r="G57" s="108" t="s">
        <v>606</v>
      </c>
      <c r="H57" s="102" t="s">
        <v>7</v>
      </c>
      <c r="I57" s="102" t="s">
        <v>2</v>
      </c>
      <c r="J57" s="47" t="s">
        <v>287</v>
      </c>
      <c r="K57" s="113" t="s">
        <v>635</v>
      </c>
      <c r="L57" s="47">
        <v>1979</v>
      </c>
      <c r="M57" s="114">
        <f t="shared" si="0"/>
        <v>40</v>
      </c>
      <c r="N57" s="47" t="s">
        <v>3</v>
      </c>
      <c r="O57" s="47" t="s">
        <v>258</v>
      </c>
      <c r="P57" s="102" t="s">
        <v>17</v>
      </c>
      <c r="Q57" s="47"/>
      <c r="R57" s="102" t="s">
        <v>509</v>
      </c>
    </row>
    <row r="58" spans="2:18" ht="25.5" x14ac:dyDescent="0.25">
      <c r="B58" s="154"/>
      <c r="C58" s="154"/>
      <c r="D58" s="47">
        <v>51</v>
      </c>
      <c r="E58" s="102" t="s">
        <v>603</v>
      </c>
      <c r="F58" s="47" t="s">
        <v>13</v>
      </c>
      <c r="G58" s="108" t="s">
        <v>607</v>
      </c>
      <c r="H58" s="102" t="s">
        <v>1</v>
      </c>
      <c r="I58" s="102" t="s">
        <v>11</v>
      </c>
      <c r="J58" s="47" t="s">
        <v>503</v>
      </c>
      <c r="K58" s="113" t="s">
        <v>610</v>
      </c>
      <c r="L58" s="47">
        <v>2005</v>
      </c>
      <c r="M58" s="114">
        <f t="shared" si="0"/>
        <v>14</v>
      </c>
      <c r="N58" s="47" t="s">
        <v>3</v>
      </c>
      <c r="O58" s="47" t="s">
        <v>258</v>
      </c>
      <c r="P58" s="102" t="s">
        <v>266</v>
      </c>
      <c r="Q58" s="47"/>
      <c r="R58" s="102" t="s">
        <v>599</v>
      </c>
    </row>
    <row r="59" spans="2:18" ht="25.5" x14ac:dyDescent="0.25">
      <c r="B59" s="155"/>
      <c r="C59" s="155"/>
      <c r="D59" s="47">
        <v>52</v>
      </c>
      <c r="E59" s="102" t="s">
        <v>604</v>
      </c>
      <c r="F59" s="47" t="s">
        <v>13</v>
      </c>
      <c r="G59" s="108" t="s">
        <v>608</v>
      </c>
      <c r="H59" s="102" t="s">
        <v>1</v>
      </c>
      <c r="I59" s="102" t="s">
        <v>11</v>
      </c>
      <c r="J59" s="47" t="s">
        <v>609</v>
      </c>
      <c r="K59" s="113" t="s">
        <v>611</v>
      </c>
      <c r="L59" s="47">
        <v>2012</v>
      </c>
      <c r="M59" s="114">
        <f t="shared" si="0"/>
        <v>7</v>
      </c>
      <c r="N59" s="47" t="s">
        <v>3</v>
      </c>
      <c r="O59" s="47" t="s">
        <v>258</v>
      </c>
      <c r="P59" s="102" t="s">
        <v>508</v>
      </c>
      <c r="Q59" s="47"/>
      <c r="R59" s="102" t="s">
        <v>598</v>
      </c>
    </row>
    <row r="60" spans="2:18" ht="25.5" x14ac:dyDescent="0.25">
      <c r="B60" s="153">
        <v>17</v>
      </c>
      <c r="C60" s="153" t="s">
        <v>612</v>
      </c>
      <c r="D60" s="47">
        <v>53</v>
      </c>
      <c r="E60" s="102" t="s">
        <v>613</v>
      </c>
      <c r="F60" s="47" t="s">
        <v>5</v>
      </c>
      <c r="G60" s="108" t="s">
        <v>616</v>
      </c>
      <c r="H60" s="102" t="s">
        <v>1</v>
      </c>
      <c r="I60" s="102" t="s">
        <v>2</v>
      </c>
      <c r="J60" s="47" t="s">
        <v>287</v>
      </c>
      <c r="K60" s="113" t="s">
        <v>621</v>
      </c>
      <c r="L60" s="47">
        <v>1992</v>
      </c>
      <c r="M60" s="114">
        <f t="shared" si="0"/>
        <v>27</v>
      </c>
      <c r="N60" s="47" t="s">
        <v>3</v>
      </c>
      <c r="O60" s="47" t="s">
        <v>258</v>
      </c>
      <c r="P60" s="102" t="s">
        <v>20</v>
      </c>
      <c r="Q60" s="47"/>
      <c r="R60" s="102" t="s">
        <v>15</v>
      </c>
    </row>
    <row r="61" spans="2:18" x14ac:dyDescent="0.25">
      <c r="B61" s="154"/>
      <c r="C61" s="154"/>
      <c r="D61" s="47">
        <v>54</v>
      </c>
      <c r="E61" s="102" t="s">
        <v>614</v>
      </c>
      <c r="F61" s="47" t="s">
        <v>9</v>
      </c>
      <c r="G61" s="108" t="s">
        <v>617</v>
      </c>
      <c r="H61" s="102" t="s">
        <v>7</v>
      </c>
      <c r="I61" s="102" t="s">
        <v>2</v>
      </c>
      <c r="J61" s="47" t="s">
        <v>619</v>
      </c>
      <c r="K61" s="113" t="s">
        <v>622</v>
      </c>
      <c r="L61" s="47">
        <v>1994</v>
      </c>
      <c r="M61" s="114">
        <f t="shared" si="0"/>
        <v>25</v>
      </c>
      <c r="N61" s="47" t="s">
        <v>3</v>
      </c>
      <c r="O61" s="47" t="s">
        <v>258</v>
      </c>
      <c r="P61" s="102" t="s">
        <v>17</v>
      </c>
      <c r="Q61" s="47"/>
      <c r="R61" s="102" t="s">
        <v>324</v>
      </c>
    </row>
    <row r="62" spans="2:18" ht="25.5" x14ac:dyDescent="0.25">
      <c r="B62" s="155"/>
      <c r="C62" s="155"/>
      <c r="D62" s="47">
        <v>55</v>
      </c>
      <c r="E62" s="102" t="s">
        <v>615</v>
      </c>
      <c r="F62" s="47" t="s">
        <v>13</v>
      </c>
      <c r="G62" s="108" t="s">
        <v>618</v>
      </c>
      <c r="H62" s="102" t="s">
        <v>7</v>
      </c>
      <c r="I62" s="102" t="s">
        <v>11</v>
      </c>
      <c r="J62" s="47" t="s">
        <v>620</v>
      </c>
      <c r="K62" s="113" t="s">
        <v>623</v>
      </c>
      <c r="L62" s="47">
        <v>2014</v>
      </c>
      <c r="M62" s="114">
        <f t="shared" si="0"/>
        <v>5</v>
      </c>
      <c r="N62" s="47" t="s">
        <v>3</v>
      </c>
      <c r="O62" s="47" t="s">
        <v>258</v>
      </c>
      <c r="P62" s="102" t="s">
        <v>508</v>
      </c>
      <c r="Q62" s="47"/>
      <c r="R62" s="102" t="s">
        <v>598</v>
      </c>
    </row>
    <row r="63" spans="2:18" ht="25.5" x14ac:dyDescent="0.25">
      <c r="B63" s="153">
        <v>18</v>
      </c>
      <c r="C63" s="153" t="s">
        <v>624</v>
      </c>
      <c r="D63" s="47">
        <v>56</v>
      </c>
      <c r="E63" s="102" t="s">
        <v>625</v>
      </c>
      <c r="F63" s="47" t="s">
        <v>5</v>
      </c>
      <c r="G63" s="108" t="s">
        <v>629</v>
      </c>
      <c r="H63" s="102" t="s">
        <v>1</v>
      </c>
      <c r="I63" s="102" t="s">
        <v>2</v>
      </c>
      <c r="J63" s="47" t="s">
        <v>287</v>
      </c>
      <c r="K63" s="113" t="s">
        <v>633</v>
      </c>
      <c r="L63" s="47">
        <v>1957</v>
      </c>
      <c r="M63" s="114">
        <f t="shared" si="0"/>
        <v>62</v>
      </c>
      <c r="N63" s="47" t="s">
        <v>3</v>
      </c>
      <c r="O63" s="47" t="s">
        <v>258</v>
      </c>
      <c r="P63" s="102" t="s">
        <v>17</v>
      </c>
      <c r="Q63" s="47"/>
      <c r="R63" s="102" t="s">
        <v>509</v>
      </c>
    </row>
    <row r="64" spans="2:18" ht="25.5" x14ac:dyDescent="0.25">
      <c r="B64" s="154"/>
      <c r="C64" s="154"/>
      <c r="D64" s="47">
        <v>57</v>
      </c>
      <c r="E64" s="102" t="s">
        <v>626</v>
      </c>
      <c r="F64" s="47" t="s">
        <v>9</v>
      </c>
      <c r="G64" s="108" t="s">
        <v>630</v>
      </c>
      <c r="H64" s="102" t="s">
        <v>7</v>
      </c>
      <c r="I64" s="102" t="s">
        <v>2</v>
      </c>
      <c r="J64" s="47" t="s">
        <v>287</v>
      </c>
      <c r="K64" s="113" t="s">
        <v>636</v>
      </c>
      <c r="L64" s="47">
        <v>1979</v>
      </c>
      <c r="M64" s="114">
        <f t="shared" si="0"/>
        <v>40</v>
      </c>
      <c r="N64" s="47" t="s">
        <v>3</v>
      </c>
      <c r="O64" s="47" t="s">
        <v>258</v>
      </c>
      <c r="P64" s="102" t="s">
        <v>17</v>
      </c>
      <c r="Q64" s="47"/>
      <c r="R64" s="102" t="s">
        <v>509</v>
      </c>
    </row>
    <row r="65" spans="2:18" ht="25.5" x14ac:dyDescent="0.25">
      <c r="B65" s="154"/>
      <c r="C65" s="154"/>
      <c r="D65" s="47">
        <v>58</v>
      </c>
      <c r="E65" s="102" t="s">
        <v>627</v>
      </c>
      <c r="F65" s="47" t="s">
        <v>13</v>
      </c>
      <c r="G65" s="108" t="s">
        <v>631</v>
      </c>
      <c r="H65" s="102" t="s">
        <v>1</v>
      </c>
      <c r="I65" s="102" t="s">
        <v>11</v>
      </c>
      <c r="J65" s="47" t="s">
        <v>287</v>
      </c>
      <c r="K65" s="113" t="s">
        <v>637</v>
      </c>
      <c r="L65" s="47">
        <v>1990</v>
      </c>
      <c r="M65" s="114">
        <f t="shared" si="0"/>
        <v>29</v>
      </c>
      <c r="N65" s="47" t="s">
        <v>3</v>
      </c>
      <c r="O65" s="47" t="s">
        <v>258</v>
      </c>
      <c r="P65" s="102" t="s">
        <v>17</v>
      </c>
      <c r="Q65" s="47"/>
      <c r="R65" s="102" t="s">
        <v>509</v>
      </c>
    </row>
    <row r="66" spans="2:18" ht="25.5" x14ac:dyDescent="0.25">
      <c r="B66" s="155"/>
      <c r="C66" s="155"/>
      <c r="D66" s="47">
        <v>59</v>
      </c>
      <c r="E66" s="102" t="s">
        <v>628</v>
      </c>
      <c r="F66" s="47" t="s">
        <v>13</v>
      </c>
      <c r="G66" s="108" t="s">
        <v>632</v>
      </c>
      <c r="H66" s="102" t="s">
        <v>1</v>
      </c>
      <c r="I66" s="102" t="s">
        <v>11</v>
      </c>
      <c r="J66" s="47" t="s">
        <v>287</v>
      </c>
      <c r="K66" s="113" t="s">
        <v>638</v>
      </c>
      <c r="L66" s="47">
        <v>1994</v>
      </c>
      <c r="M66" s="114">
        <f t="shared" si="0"/>
        <v>25</v>
      </c>
      <c r="N66" s="47" t="s">
        <v>3</v>
      </c>
      <c r="O66" s="47" t="s">
        <v>258</v>
      </c>
      <c r="P66" s="102" t="s">
        <v>17</v>
      </c>
      <c r="Q66" s="47"/>
      <c r="R66" s="102" t="s">
        <v>509</v>
      </c>
    </row>
    <row r="67" spans="2:18" ht="25.5" x14ac:dyDescent="0.25">
      <c r="B67" s="153">
        <v>19</v>
      </c>
      <c r="C67" s="153" t="s">
        <v>639</v>
      </c>
      <c r="D67" s="47">
        <v>60</v>
      </c>
      <c r="E67" s="102" t="s">
        <v>640</v>
      </c>
      <c r="F67" s="47" t="s">
        <v>5</v>
      </c>
      <c r="G67" s="108" t="s">
        <v>643</v>
      </c>
      <c r="H67" s="102" t="s">
        <v>1</v>
      </c>
      <c r="I67" s="102" t="s">
        <v>2</v>
      </c>
      <c r="J67" s="47" t="s">
        <v>287</v>
      </c>
      <c r="K67" s="113" t="s">
        <v>647</v>
      </c>
      <c r="L67" s="47">
        <v>1989</v>
      </c>
      <c r="M67" s="114">
        <f t="shared" si="0"/>
        <v>30</v>
      </c>
      <c r="N67" s="47" t="s">
        <v>3</v>
      </c>
      <c r="O67" s="47" t="s">
        <v>258</v>
      </c>
      <c r="P67" s="102" t="s">
        <v>20</v>
      </c>
      <c r="Q67" s="47"/>
      <c r="R67" s="102" t="s">
        <v>509</v>
      </c>
    </row>
    <row r="68" spans="2:18" x14ac:dyDescent="0.25">
      <c r="B68" s="154"/>
      <c r="C68" s="154"/>
      <c r="D68" s="47">
        <v>61</v>
      </c>
      <c r="E68" s="102" t="s">
        <v>641</v>
      </c>
      <c r="F68" s="47" t="s">
        <v>9</v>
      </c>
      <c r="G68" s="108" t="s">
        <v>644</v>
      </c>
      <c r="H68" s="102" t="s">
        <v>7</v>
      </c>
      <c r="I68" s="102" t="s">
        <v>2</v>
      </c>
      <c r="J68" s="47" t="s">
        <v>646</v>
      </c>
      <c r="K68" s="113" t="s">
        <v>648</v>
      </c>
      <c r="L68" s="47">
        <v>1998</v>
      </c>
      <c r="M68" s="114">
        <f t="shared" si="0"/>
        <v>21</v>
      </c>
      <c r="N68" s="47" t="s">
        <v>3</v>
      </c>
      <c r="O68" s="47" t="s">
        <v>258</v>
      </c>
      <c r="P68" s="102" t="s">
        <v>20</v>
      </c>
      <c r="Q68" s="47"/>
      <c r="R68" s="102" t="s">
        <v>324</v>
      </c>
    </row>
    <row r="69" spans="2:18" ht="25.5" x14ac:dyDescent="0.25">
      <c r="B69" s="155"/>
      <c r="C69" s="155"/>
      <c r="D69" s="47">
        <v>62</v>
      </c>
      <c r="E69" s="102" t="s">
        <v>642</v>
      </c>
      <c r="F69" s="47" t="s">
        <v>13</v>
      </c>
      <c r="G69" s="108" t="s">
        <v>645</v>
      </c>
      <c r="H69" s="102" t="s">
        <v>1</v>
      </c>
      <c r="I69" s="102" t="s">
        <v>11</v>
      </c>
      <c r="J69" s="47" t="s">
        <v>609</v>
      </c>
      <c r="K69" s="113" t="s">
        <v>649</v>
      </c>
      <c r="L69" s="47">
        <v>2016</v>
      </c>
      <c r="M69" s="114">
        <f t="shared" si="0"/>
        <v>3</v>
      </c>
      <c r="N69" s="47" t="s">
        <v>3</v>
      </c>
      <c r="O69" s="47" t="s">
        <v>258</v>
      </c>
      <c r="P69" s="102" t="s">
        <v>508</v>
      </c>
      <c r="Q69" s="47"/>
      <c r="R69" s="102" t="s">
        <v>598</v>
      </c>
    </row>
    <row r="70" spans="2:18" ht="25.5" x14ac:dyDescent="0.25">
      <c r="B70" s="153">
        <v>20</v>
      </c>
      <c r="C70" s="153" t="s">
        <v>650</v>
      </c>
      <c r="D70" s="47">
        <v>63</v>
      </c>
      <c r="E70" s="102" t="s">
        <v>651</v>
      </c>
      <c r="F70" s="47" t="s">
        <v>5</v>
      </c>
      <c r="G70" s="108" t="s">
        <v>655</v>
      </c>
      <c r="H70" s="102" t="s">
        <v>1</v>
      </c>
      <c r="I70" s="102" t="s">
        <v>2</v>
      </c>
      <c r="J70" s="47" t="s">
        <v>287</v>
      </c>
      <c r="K70" s="104">
        <v>43536</v>
      </c>
      <c r="L70" s="47">
        <v>1975</v>
      </c>
      <c r="M70" s="114">
        <f t="shared" si="0"/>
        <v>44</v>
      </c>
      <c r="N70" s="47" t="s">
        <v>3</v>
      </c>
      <c r="O70" s="47" t="s">
        <v>258</v>
      </c>
      <c r="P70" s="102" t="s">
        <v>17</v>
      </c>
      <c r="Q70" s="47"/>
      <c r="R70" s="102" t="s">
        <v>509</v>
      </c>
    </row>
    <row r="71" spans="2:18" x14ac:dyDescent="0.25">
      <c r="B71" s="154"/>
      <c r="C71" s="154"/>
      <c r="D71" s="47">
        <v>64</v>
      </c>
      <c r="E71" s="102" t="s">
        <v>652</v>
      </c>
      <c r="F71" s="47" t="s">
        <v>9</v>
      </c>
      <c r="G71" s="108" t="s">
        <v>656</v>
      </c>
      <c r="H71" s="102" t="s">
        <v>7</v>
      </c>
      <c r="I71" s="102" t="s">
        <v>2</v>
      </c>
      <c r="J71" s="47" t="s">
        <v>287</v>
      </c>
      <c r="K71" s="104">
        <v>43704</v>
      </c>
      <c r="L71" s="47">
        <v>1975</v>
      </c>
      <c r="M71" s="114">
        <f t="shared" si="0"/>
        <v>44</v>
      </c>
      <c r="N71" s="47" t="s">
        <v>3</v>
      </c>
      <c r="O71" s="47" t="s">
        <v>258</v>
      </c>
      <c r="P71" s="102" t="s">
        <v>17</v>
      </c>
      <c r="Q71" s="47"/>
      <c r="R71" s="102" t="s">
        <v>324</v>
      </c>
    </row>
    <row r="72" spans="2:18" ht="25.5" x14ac:dyDescent="0.25">
      <c r="B72" s="154"/>
      <c r="C72" s="154"/>
      <c r="D72" s="47">
        <v>65</v>
      </c>
      <c r="E72" s="102" t="s">
        <v>653</v>
      </c>
      <c r="F72" s="47" t="s">
        <v>13</v>
      </c>
      <c r="G72" s="108" t="s">
        <v>657</v>
      </c>
      <c r="H72" s="102" t="s">
        <v>1</v>
      </c>
      <c r="I72" s="102" t="s">
        <v>11</v>
      </c>
      <c r="J72" s="47" t="s">
        <v>287</v>
      </c>
      <c r="K72" s="47" t="s">
        <v>659</v>
      </c>
      <c r="L72" s="47">
        <v>2000</v>
      </c>
      <c r="M72" s="114">
        <f t="shared" si="0"/>
        <v>19</v>
      </c>
      <c r="N72" s="47" t="s">
        <v>3</v>
      </c>
      <c r="O72" s="47" t="s">
        <v>258</v>
      </c>
      <c r="P72" s="102" t="s">
        <v>17</v>
      </c>
      <c r="Q72" s="47"/>
      <c r="R72" s="102" t="s">
        <v>598</v>
      </c>
    </row>
    <row r="73" spans="2:18" ht="25.5" x14ac:dyDescent="0.25">
      <c r="B73" s="155"/>
      <c r="C73" s="155"/>
      <c r="D73" s="47">
        <v>66</v>
      </c>
      <c r="E73" s="102" t="s">
        <v>654</v>
      </c>
      <c r="F73" s="47" t="s">
        <v>13</v>
      </c>
      <c r="G73" s="108" t="s">
        <v>658</v>
      </c>
      <c r="H73" s="102" t="s">
        <v>1</v>
      </c>
      <c r="I73" s="102" t="s">
        <v>11</v>
      </c>
      <c r="J73" s="47" t="s">
        <v>287</v>
      </c>
      <c r="K73" s="112">
        <v>43689</v>
      </c>
      <c r="L73" s="47">
        <v>2010</v>
      </c>
      <c r="M73" s="114">
        <f t="shared" ref="M73:M76" si="1">2019-L73</f>
        <v>9</v>
      </c>
      <c r="N73" s="47" t="s">
        <v>3</v>
      </c>
      <c r="O73" s="47" t="s">
        <v>258</v>
      </c>
      <c r="P73" s="102" t="s">
        <v>508</v>
      </c>
      <c r="Q73" s="47"/>
      <c r="R73" s="102" t="s">
        <v>598</v>
      </c>
    </row>
    <row r="74" spans="2:18" ht="25.5" x14ac:dyDescent="0.25">
      <c r="B74" s="148">
        <v>21</v>
      </c>
      <c r="C74" s="148" t="s">
        <v>660</v>
      </c>
      <c r="D74" s="101">
        <v>67</v>
      </c>
      <c r="E74" s="102" t="s">
        <v>661</v>
      </c>
      <c r="F74" s="101" t="s">
        <v>5</v>
      </c>
      <c r="G74" s="108" t="s">
        <v>664</v>
      </c>
      <c r="H74" s="102" t="s">
        <v>1</v>
      </c>
      <c r="I74" s="102" t="s">
        <v>2</v>
      </c>
      <c r="J74" s="101" t="s">
        <v>287</v>
      </c>
      <c r="K74" s="101" t="s">
        <v>668</v>
      </c>
      <c r="L74" s="101">
        <v>1993</v>
      </c>
      <c r="M74" s="114">
        <f t="shared" si="1"/>
        <v>26</v>
      </c>
      <c r="N74" s="101" t="s">
        <v>3</v>
      </c>
      <c r="O74" s="101" t="s">
        <v>258</v>
      </c>
      <c r="P74" s="102" t="s">
        <v>17</v>
      </c>
      <c r="Q74" s="101"/>
      <c r="R74" s="102" t="s">
        <v>509</v>
      </c>
    </row>
    <row r="75" spans="2:18" x14ac:dyDescent="0.25">
      <c r="B75" s="148"/>
      <c r="C75" s="148"/>
      <c r="D75" s="101">
        <v>68</v>
      </c>
      <c r="E75" s="102" t="s">
        <v>662</v>
      </c>
      <c r="F75" s="101" t="s">
        <v>9</v>
      </c>
      <c r="G75" s="108" t="s">
        <v>665</v>
      </c>
      <c r="H75" s="102" t="s">
        <v>7</v>
      </c>
      <c r="I75" s="102" t="s">
        <v>2</v>
      </c>
      <c r="J75" s="101" t="s">
        <v>503</v>
      </c>
      <c r="K75" s="112">
        <v>43527</v>
      </c>
      <c r="L75" s="101">
        <v>1997</v>
      </c>
      <c r="M75" s="114">
        <f t="shared" si="1"/>
        <v>22</v>
      </c>
      <c r="N75" s="101" t="s">
        <v>3</v>
      </c>
      <c r="O75" s="101" t="s">
        <v>258</v>
      </c>
      <c r="P75" s="102" t="s">
        <v>20</v>
      </c>
      <c r="Q75" s="101"/>
      <c r="R75" s="102" t="s">
        <v>324</v>
      </c>
    </row>
    <row r="76" spans="2:18" ht="25.5" x14ac:dyDescent="0.25">
      <c r="B76" s="148"/>
      <c r="C76" s="148"/>
      <c r="D76" s="101">
        <v>69</v>
      </c>
      <c r="E76" s="102" t="s">
        <v>663</v>
      </c>
      <c r="F76" s="101" t="s">
        <v>13</v>
      </c>
      <c r="G76" s="108" t="s">
        <v>666</v>
      </c>
      <c r="H76" s="102" t="s">
        <v>1</v>
      </c>
      <c r="I76" s="102" t="s">
        <v>11</v>
      </c>
      <c r="J76" s="101" t="s">
        <v>667</v>
      </c>
      <c r="K76" s="112">
        <v>43773</v>
      </c>
      <c r="L76" s="101">
        <v>2015</v>
      </c>
      <c r="M76" s="114">
        <f t="shared" si="1"/>
        <v>4</v>
      </c>
      <c r="N76" s="101" t="s">
        <v>3</v>
      </c>
      <c r="O76" s="101" t="s">
        <v>258</v>
      </c>
      <c r="P76" s="102" t="s">
        <v>508</v>
      </c>
      <c r="Q76" s="101"/>
      <c r="R76" s="102" t="s">
        <v>598</v>
      </c>
    </row>
    <row r="80" spans="2:18" s="118" customFormat="1" ht="15" x14ac:dyDescent="0.25">
      <c r="D80" s="146" t="s">
        <v>835</v>
      </c>
      <c r="E80" s="146"/>
      <c r="F80" s="146"/>
      <c r="L80" s="119"/>
      <c r="P80" s="85"/>
      <c r="R80" s="85"/>
    </row>
    <row r="81" spans="4:18" s="118" customFormat="1" ht="15" x14ac:dyDescent="0.25">
      <c r="D81" s="146" t="s">
        <v>836</v>
      </c>
      <c r="E81" s="146"/>
      <c r="F81" s="146"/>
      <c r="L81" s="119"/>
      <c r="P81" s="140" t="s">
        <v>839</v>
      </c>
      <c r="Q81" s="140"/>
      <c r="R81" s="85"/>
    </row>
    <row r="82" spans="4:18" s="118" customFormat="1" ht="15" x14ac:dyDescent="0.25">
      <c r="D82" s="123"/>
      <c r="E82" s="124"/>
      <c r="F82" s="123"/>
      <c r="L82" s="119"/>
      <c r="P82" s="53"/>
      <c r="Q82" s="52"/>
      <c r="R82" s="85"/>
    </row>
    <row r="83" spans="4:18" s="118" customFormat="1" ht="15" x14ac:dyDescent="0.25">
      <c r="D83" s="123"/>
      <c r="E83" s="124"/>
      <c r="F83" s="123"/>
      <c r="L83" s="119"/>
      <c r="P83" s="53"/>
      <c r="Q83" s="52"/>
      <c r="R83" s="85"/>
    </row>
    <row r="84" spans="4:18" s="118" customFormat="1" ht="15" x14ac:dyDescent="0.25">
      <c r="D84" s="123"/>
      <c r="E84" s="124"/>
      <c r="F84" s="123"/>
      <c r="L84" s="119"/>
      <c r="P84" s="53"/>
      <c r="Q84" s="52"/>
      <c r="R84" s="85"/>
    </row>
    <row r="85" spans="4:18" s="118" customFormat="1" ht="14.25" x14ac:dyDescent="0.2">
      <c r="D85" s="147" t="s">
        <v>837</v>
      </c>
      <c r="E85" s="147"/>
      <c r="F85" s="147"/>
      <c r="L85" s="119"/>
      <c r="P85" s="141" t="s">
        <v>840</v>
      </c>
      <c r="Q85" s="141"/>
      <c r="R85" s="85"/>
    </row>
    <row r="86" spans="4:18" s="118" customFormat="1" ht="14.25" x14ac:dyDescent="0.2">
      <c r="D86" s="147" t="s">
        <v>838</v>
      </c>
      <c r="E86" s="147"/>
      <c r="F86" s="147"/>
      <c r="L86" s="119"/>
      <c r="P86" s="85"/>
      <c r="R86" s="85"/>
    </row>
  </sheetData>
  <autoFilter ref="A7:R76"/>
  <mergeCells count="63">
    <mergeCell ref="D86:F86"/>
    <mergeCell ref="D80:F80"/>
    <mergeCell ref="D81:F81"/>
    <mergeCell ref="P81:Q81"/>
    <mergeCell ref="D85:F85"/>
    <mergeCell ref="P85:Q85"/>
    <mergeCell ref="B18:B20"/>
    <mergeCell ref="B8:B10"/>
    <mergeCell ref="C8:C10"/>
    <mergeCell ref="B11:B14"/>
    <mergeCell ref="C11:C14"/>
    <mergeCell ref="B15:B17"/>
    <mergeCell ref="C15:C17"/>
    <mergeCell ref="C18:C20"/>
    <mergeCell ref="B1:R1"/>
    <mergeCell ref="B2:R2"/>
    <mergeCell ref="C5:C6"/>
    <mergeCell ref="G5:G6"/>
    <mergeCell ref="H5:H6"/>
    <mergeCell ref="I5:I6"/>
    <mergeCell ref="F5:F6"/>
    <mergeCell ref="M5:M6"/>
    <mergeCell ref="N5:N6"/>
    <mergeCell ref="O5:O6"/>
    <mergeCell ref="E5:E6"/>
    <mergeCell ref="B5:B6"/>
    <mergeCell ref="J5:L5"/>
    <mergeCell ref="P5:P6"/>
    <mergeCell ref="R5:R6"/>
    <mergeCell ref="C21:C23"/>
    <mergeCell ref="B24:B27"/>
    <mergeCell ref="C24:C27"/>
    <mergeCell ref="B28:B32"/>
    <mergeCell ref="C28:C32"/>
    <mergeCell ref="B21:B23"/>
    <mergeCell ref="B33:B35"/>
    <mergeCell ref="C33:C35"/>
    <mergeCell ref="B37:B38"/>
    <mergeCell ref="C37:C38"/>
    <mergeCell ref="B39:B42"/>
    <mergeCell ref="C39:C42"/>
    <mergeCell ref="B43:B46"/>
    <mergeCell ref="C43:C46"/>
    <mergeCell ref="B47:B48"/>
    <mergeCell ref="C47:C48"/>
    <mergeCell ref="B49:B52"/>
    <mergeCell ref="C49:C52"/>
    <mergeCell ref="B74:B76"/>
    <mergeCell ref="C74:C76"/>
    <mergeCell ref="D5:D6"/>
    <mergeCell ref="Q5:Q6"/>
    <mergeCell ref="B63:B66"/>
    <mergeCell ref="C63:C66"/>
    <mergeCell ref="B67:B69"/>
    <mergeCell ref="C67:C69"/>
    <mergeCell ref="B70:B73"/>
    <mergeCell ref="C70:C73"/>
    <mergeCell ref="B53:B55"/>
    <mergeCell ref="C53:C55"/>
    <mergeCell ref="B56:B59"/>
    <mergeCell ref="C56:C59"/>
    <mergeCell ref="B60:B62"/>
    <mergeCell ref="C60:C62"/>
  </mergeCells>
  <pageMargins left="1.37795275590551" right="0.196850393700787" top="0.39370078740157499" bottom="0.643700787" header="0.31496062992126" footer="0.31496062992126"/>
  <pageSetup paperSize="10000" scale="85" orientation="landscape" horizontalDpi="300" verticalDpi="300" r:id="rId1"/>
  <headerFooter>
    <oddFooter>&amp;C&amp;"-,Bold"&amp;P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04"/>
  <sheetViews>
    <sheetView workbookViewId="0">
      <pane ySplit="6" topLeftCell="A7" activePane="bottomLeft" state="frozen"/>
      <selection pane="bottomLeft" activeCell="K13" sqref="K13"/>
    </sheetView>
  </sheetViews>
  <sheetFormatPr defaultRowHeight="12.75" x14ac:dyDescent="0.25"/>
  <cols>
    <col min="1" max="1" width="9.140625" style="46"/>
    <col min="2" max="2" width="3.28515625" style="46" bestFit="1" customWidth="1"/>
    <col min="3" max="3" width="15.7109375" style="46" customWidth="1"/>
    <col min="4" max="4" width="6.7109375" style="46" customWidth="1"/>
    <col min="5" max="5" width="12.7109375" style="87" customWidth="1"/>
    <col min="6" max="6" width="9.7109375" style="87" customWidth="1"/>
    <col min="7" max="7" width="15.7109375" style="46" customWidth="1"/>
    <col min="8" max="8" width="7.7109375" style="87" customWidth="1"/>
    <col min="9" max="9" width="10.7109375" style="87" customWidth="1"/>
    <col min="10" max="10" width="13.7109375" style="87" customWidth="1"/>
    <col min="11" max="11" width="7.7109375" style="100" customWidth="1"/>
    <col min="12" max="12" width="6" style="46" bestFit="1" customWidth="1"/>
    <col min="13" max="13" width="5.7109375" style="46" bestFit="1" customWidth="1"/>
    <col min="14" max="14" width="6.7109375" style="46" bestFit="1" customWidth="1"/>
    <col min="15" max="15" width="5.7109375" style="46" bestFit="1" customWidth="1"/>
    <col min="16" max="16" width="18.5703125" style="87" bestFit="1" customWidth="1"/>
    <col min="17" max="17" width="7.85546875" style="46" bestFit="1" customWidth="1"/>
    <col min="18" max="18" width="17" style="87" bestFit="1" customWidth="1"/>
    <col min="19" max="16384" width="9.140625" style="46"/>
  </cols>
  <sheetData>
    <row r="1" spans="2:18" s="49" customFormat="1" ht="15.75" x14ac:dyDescent="0.25">
      <c r="B1" s="145" t="s">
        <v>768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</row>
    <row r="2" spans="2:18" s="49" customFormat="1" ht="15.75" x14ac:dyDescent="0.25">
      <c r="B2" s="145" t="s">
        <v>769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</row>
    <row r="3" spans="2:18" s="49" customFormat="1" ht="15.75" x14ac:dyDescent="0.25">
      <c r="B3" s="82" t="s">
        <v>832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2:18" ht="15.75" x14ac:dyDescent="0.25">
      <c r="B4" s="82" t="s">
        <v>772</v>
      </c>
    </row>
    <row r="5" spans="2:18" ht="20.100000000000001" customHeight="1" x14ac:dyDescent="0.25">
      <c r="B5" s="156" t="s">
        <v>100</v>
      </c>
      <c r="C5" s="156" t="s">
        <v>107</v>
      </c>
      <c r="D5" s="157" t="s">
        <v>766</v>
      </c>
      <c r="E5" s="157" t="s">
        <v>767</v>
      </c>
      <c r="F5" s="157" t="s">
        <v>106</v>
      </c>
      <c r="G5" s="156" t="s">
        <v>107</v>
      </c>
      <c r="H5" s="157" t="s">
        <v>101</v>
      </c>
      <c r="I5" s="157" t="s">
        <v>102</v>
      </c>
      <c r="J5" s="156" t="s">
        <v>669</v>
      </c>
      <c r="K5" s="156"/>
      <c r="L5" s="156"/>
      <c r="M5" s="156"/>
      <c r="N5" s="156" t="s">
        <v>103</v>
      </c>
      <c r="O5" s="156" t="s">
        <v>250</v>
      </c>
      <c r="P5" s="157" t="s">
        <v>104</v>
      </c>
      <c r="Q5" s="156" t="s">
        <v>672</v>
      </c>
      <c r="R5" s="157" t="s">
        <v>105</v>
      </c>
    </row>
    <row r="6" spans="2:18" ht="20.100000000000001" customHeight="1" x14ac:dyDescent="0.25">
      <c r="B6" s="156"/>
      <c r="C6" s="156"/>
      <c r="D6" s="157"/>
      <c r="E6" s="157"/>
      <c r="F6" s="157"/>
      <c r="G6" s="156"/>
      <c r="H6" s="157"/>
      <c r="I6" s="157"/>
      <c r="J6" s="81" t="s">
        <v>670</v>
      </c>
      <c r="K6" s="50" t="s">
        <v>247</v>
      </c>
      <c r="L6" s="80" t="s">
        <v>248</v>
      </c>
      <c r="M6" s="80" t="s">
        <v>671</v>
      </c>
      <c r="N6" s="156"/>
      <c r="O6" s="156"/>
      <c r="P6" s="157"/>
      <c r="Q6" s="156"/>
      <c r="R6" s="157"/>
    </row>
    <row r="7" spans="2:18" x14ac:dyDescent="0.25">
      <c r="B7" s="80"/>
      <c r="C7" s="80"/>
      <c r="D7" s="80"/>
      <c r="E7" s="81"/>
      <c r="F7" s="81"/>
      <c r="G7" s="80"/>
      <c r="H7" s="81"/>
      <c r="I7" s="81"/>
      <c r="J7" s="81"/>
      <c r="K7" s="50"/>
      <c r="L7" s="80"/>
      <c r="M7" s="80"/>
      <c r="N7" s="80"/>
      <c r="O7" s="80"/>
      <c r="P7" s="81"/>
      <c r="Q7" s="80"/>
      <c r="R7" s="81"/>
    </row>
    <row r="8" spans="2:18" x14ac:dyDescent="0.25">
      <c r="B8" s="148">
        <v>1</v>
      </c>
      <c r="C8" s="158" t="s">
        <v>714</v>
      </c>
      <c r="D8" s="47">
        <v>1</v>
      </c>
      <c r="E8" s="102" t="s">
        <v>112</v>
      </c>
      <c r="F8" s="102" t="s">
        <v>5</v>
      </c>
      <c r="G8" s="47" t="s">
        <v>219</v>
      </c>
      <c r="H8" s="102" t="s">
        <v>1</v>
      </c>
      <c r="I8" s="102" t="s">
        <v>2</v>
      </c>
      <c r="J8" s="103" t="s">
        <v>503</v>
      </c>
      <c r="K8" s="104">
        <v>43830</v>
      </c>
      <c r="L8" s="105" t="s">
        <v>715</v>
      </c>
      <c r="M8" s="106">
        <f>2019-L8</f>
        <v>31</v>
      </c>
      <c r="N8" s="47" t="s">
        <v>3</v>
      </c>
      <c r="O8" s="47" t="s">
        <v>717</v>
      </c>
      <c r="P8" s="102" t="s">
        <v>17</v>
      </c>
      <c r="Q8" s="47"/>
      <c r="R8" s="102" t="s">
        <v>698</v>
      </c>
    </row>
    <row r="9" spans="2:18" x14ac:dyDescent="0.25">
      <c r="B9" s="148"/>
      <c r="C9" s="148"/>
      <c r="D9" s="47">
        <v>2</v>
      </c>
      <c r="E9" s="102" t="s">
        <v>113</v>
      </c>
      <c r="F9" s="102" t="s">
        <v>9</v>
      </c>
      <c r="G9" s="47" t="s">
        <v>220</v>
      </c>
      <c r="H9" s="102" t="s">
        <v>7</v>
      </c>
      <c r="I9" s="102" t="s">
        <v>2</v>
      </c>
      <c r="J9" s="103" t="s">
        <v>503</v>
      </c>
      <c r="K9" s="104">
        <v>43779</v>
      </c>
      <c r="L9" s="105" t="s">
        <v>506</v>
      </c>
      <c r="M9" s="106">
        <f t="shared" ref="M9:M57" si="0">2019-L9</f>
        <v>27</v>
      </c>
      <c r="N9" s="47" t="s">
        <v>3</v>
      </c>
      <c r="O9" s="47" t="s">
        <v>717</v>
      </c>
      <c r="P9" s="102" t="s">
        <v>17</v>
      </c>
      <c r="Q9" s="47"/>
      <c r="R9" s="102" t="s">
        <v>681</v>
      </c>
    </row>
    <row r="10" spans="2:18" x14ac:dyDescent="0.25">
      <c r="B10" s="148"/>
      <c r="C10" s="148"/>
      <c r="D10" s="47">
        <v>3</v>
      </c>
      <c r="E10" s="102" t="s">
        <v>114</v>
      </c>
      <c r="F10" s="102" t="s">
        <v>13</v>
      </c>
      <c r="G10" s="47" t="s">
        <v>221</v>
      </c>
      <c r="H10" s="102" t="s">
        <v>7</v>
      </c>
      <c r="I10" s="102" t="s">
        <v>11</v>
      </c>
      <c r="J10" s="103" t="s">
        <v>503</v>
      </c>
      <c r="K10" s="104">
        <v>43509</v>
      </c>
      <c r="L10" s="105" t="s">
        <v>716</v>
      </c>
      <c r="M10" s="106">
        <f t="shared" si="0"/>
        <v>10</v>
      </c>
      <c r="N10" s="47" t="s">
        <v>3</v>
      </c>
      <c r="O10" s="47" t="s">
        <v>717</v>
      </c>
      <c r="P10" s="102" t="s">
        <v>17</v>
      </c>
      <c r="Q10" s="47"/>
      <c r="R10" s="102" t="s">
        <v>261</v>
      </c>
    </row>
    <row r="11" spans="2:18" ht="25.5" x14ac:dyDescent="0.25">
      <c r="B11" s="148">
        <v>2</v>
      </c>
      <c r="C11" s="148" t="s">
        <v>791</v>
      </c>
      <c r="D11" s="47">
        <v>4</v>
      </c>
      <c r="E11" s="102" t="s">
        <v>115</v>
      </c>
      <c r="F11" s="102" t="s">
        <v>5</v>
      </c>
      <c r="G11" s="47" t="s">
        <v>797</v>
      </c>
      <c r="H11" s="102" t="s">
        <v>1</v>
      </c>
      <c r="I11" s="102" t="s">
        <v>2</v>
      </c>
      <c r="J11" s="103" t="s">
        <v>517</v>
      </c>
      <c r="K11" s="104">
        <v>12830</v>
      </c>
      <c r="L11" s="105" t="s">
        <v>799</v>
      </c>
      <c r="M11" s="106">
        <f t="shared" si="0"/>
        <v>84</v>
      </c>
      <c r="N11" s="47" t="s">
        <v>3</v>
      </c>
      <c r="O11" s="47" t="s">
        <v>717</v>
      </c>
      <c r="P11" s="102" t="s">
        <v>790</v>
      </c>
      <c r="Q11" s="47"/>
      <c r="R11" s="102" t="s">
        <v>32</v>
      </c>
    </row>
    <row r="12" spans="2:18" ht="25.5" x14ac:dyDescent="0.25">
      <c r="B12" s="148"/>
      <c r="C12" s="148"/>
      <c r="D12" s="47">
        <v>5</v>
      </c>
      <c r="E12" s="102" t="s">
        <v>64</v>
      </c>
      <c r="F12" s="102" t="s">
        <v>9</v>
      </c>
      <c r="G12" s="47" t="s">
        <v>796</v>
      </c>
      <c r="H12" s="102" t="s">
        <v>7</v>
      </c>
      <c r="I12" s="102" t="s">
        <v>2</v>
      </c>
      <c r="J12" s="103" t="s">
        <v>517</v>
      </c>
      <c r="K12" s="104">
        <v>12905</v>
      </c>
      <c r="L12" s="105" t="s">
        <v>799</v>
      </c>
      <c r="M12" s="106">
        <f t="shared" si="0"/>
        <v>84</v>
      </c>
      <c r="N12" s="47" t="s">
        <v>3</v>
      </c>
      <c r="O12" s="47" t="s">
        <v>717</v>
      </c>
      <c r="P12" s="102" t="s">
        <v>790</v>
      </c>
      <c r="Q12" s="47"/>
      <c r="R12" s="102" t="s">
        <v>800</v>
      </c>
    </row>
    <row r="13" spans="2:18" ht="25.5" x14ac:dyDescent="0.25">
      <c r="B13" s="148"/>
      <c r="C13" s="148"/>
      <c r="D13" s="47">
        <v>6</v>
      </c>
      <c r="E13" s="102" t="s">
        <v>116</v>
      </c>
      <c r="F13" s="102" t="s">
        <v>13</v>
      </c>
      <c r="G13" s="47" t="s">
        <v>795</v>
      </c>
      <c r="H13" s="102" t="s">
        <v>7</v>
      </c>
      <c r="I13" s="102" t="s">
        <v>29</v>
      </c>
      <c r="J13" s="103" t="s">
        <v>517</v>
      </c>
      <c r="K13" s="104">
        <v>23356</v>
      </c>
      <c r="L13" s="105" t="s">
        <v>530</v>
      </c>
      <c r="M13" s="106">
        <f t="shared" si="0"/>
        <v>56</v>
      </c>
      <c r="N13" s="47" t="s">
        <v>3</v>
      </c>
      <c r="O13" s="47" t="s">
        <v>717</v>
      </c>
      <c r="P13" s="102" t="s">
        <v>790</v>
      </c>
      <c r="Q13" s="47"/>
      <c r="R13" s="102" t="s">
        <v>698</v>
      </c>
    </row>
    <row r="14" spans="2:18" ht="25.5" x14ac:dyDescent="0.25">
      <c r="B14" s="148"/>
      <c r="C14" s="148"/>
      <c r="D14" s="47">
        <v>7</v>
      </c>
      <c r="E14" s="102" t="s">
        <v>792</v>
      </c>
      <c r="F14" s="102" t="s">
        <v>793</v>
      </c>
      <c r="G14" s="47" t="s">
        <v>794</v>
      </c>
      <c r="H14" s="102" t="s">
        <v>1</v>
      </c>
      <c r="I14" s="102" t="s">
        <v>11</v>
      </c>
      <c r="J14" s="103" t="s">
        <v>517</v>
      </c>
      <c r="K14" s="104">
        <v>35228</v>
      </c>
      <c r="L14" s="105" t="s">
        <v>798</v>
      </c>
      <c r="M14" s="106">
        <f t="shared" si="0"/>
        <v>23</v>
      </c>
      <c r="N14" s="47" t="s">
        <v>3</v>
      </c>
      <c r="O14" s="47" t="s">
        <v>717</v>
      </c>
      <c r="P14" s="102" t="s">
        <v>778</v>
      </c>
      <c r="Q14" s="47"/>
      <c r="R14" s="102" t="s">
        <v>698</v>
      </c>
    </row>
    <row r="15" spans="2:18" x14ac:dyDescent="0.25">
      <c r="B15" s="148">
        <v>3</v>
      </c>
      <c r="C15" s="158" t="s">
        <v>707</v>
      </c>
      <c r="D15" s="47">
        <v>8</v>
      </c>
      <c r="E15" s="102" t="s">
        <v>117</v>
      </c>
      <c r="F15" s="102" t="s">
        <v>5</v>
      </c>
      <c r="G15" s="47" t="s">
        <v>222</v>
      </c>
      <c r="H15" s="102" t="s">
        <v>1</v>
      </c>
      <c r="I15" s="102" t="s">
        <v>2</v>
      </c>
      <c r="J15" s="103" t="s">
        <v>517</v>
      </c>
      <c r="K15" s="104">
        <v>43648</v>
      </c>
      <c r="L15" s="105" t="s">
        <v>708</v>
      </c>
      <c r="M15" s="106">
        <f t="shared" si="0"/>
        <v>36</v>
      </c>
      <c r="N15" s="47" t="s">
        <v>3</v>
      </c>
      <c r="O15" s="47" t="s">
        <v>717</v>
      </c>
      <c r="P15" s="102" t="s">
        <v>17</v>
      </c>
      <c r="Q15" s="47"/>
      <c r="R15" s="102" t="s">
        <v>15</v>
      </c>
    </row>
    <row r="16" spans="2:18" x14ac:dyDescent="0.25">
      <c r="B16" s="148"/>
      <c r="C16" s="148"/>
      <c r="D16" s="47">
        <v>9</v>
      </c>
      <c r="E16" s="102" t="s">
        <v>118</v>
      </c>
      <c r="F16" s="102" t="s">
        <v>9</v>
      </c>
      <c r="G16" s="47" t="s">
        <v>223</v>
      </c>
      <c r="H16" s="102" t="s">
        <v>7</v>
      </c>
      <c r="I16" s="102" t="s">
        <v>2</v>
      </c>
      <c r="J16" s="103" t="s">
        <v>517</v>
      </c>
      <c r="K16" s="104">
        <v>43582</v>
      </c>
      <c r="L16" s="105" t="s">
        <v>541</v>
      </c>
      <c r="M16" s="106">
        <f t="shared" si="0"/>
        <v>28</v>
      </c>
      <c r="N16" s="47" t="s">
        <v>3</v>
      </c>
      <c r="O16" s="47" t="s">
        <v>717</v>
      </c>
      <c r="P16" s="102" t="s">
        <v>17</v>
      </c>
      <c r="Q16" s="47"/>
      <c r="R16" s="102" t="s">
        <v>681</v>
      </c>
    </row>
    <row r="17" spans="2:18" x14ac:dyDescent="0.25">
      <c r="B17" s="148"/>
      <c r="C17" s="148"/>
      <c r="D17" s="47">
        <v>10</v>
      </c>
      <c r="E17" s="102" t="s">
        <v>119</v>
      </c>
      <c r="F17" s="102" t="s">
        <v>13</v>
      </c>
      <c r="G17" s="47" t="s">
        <v>224</v>
      </c>
      <c r="H17" s="102" t="s">
        <v>1</v>
      </c>
      <c r="I17" s="102" t="s">
        <v>11</v>
      </c>
      <c r="J17" s="103" t="s">
        <v>667</v>
      </c>
      <c r="K17" s="104">
        <v>43545</v>
      </c>
      <c r="L17" s="105" t="s">
        <v>709</v>
      </c>
      <c r="M17" s="106">
        <f>2019-L17</f>
        <v>12</v>
      </c>
      <c r="N17" s="47" t="s">
        <v>3</v>
      </c>
      <c r="O17" s="47" t="s">
        <v>717</v>
      </c>
      <c r="P17" s="102" t="s">
        <v>17</v>
      </c>
      <c r="Q17" s="47"/>
      <c r="R17" s="102" t="s">
        <v>261</v>
      </c>
    </row>
    <row r="18" spans="2:18" ht="25.5" x14ac:dyDescent="0.25">
      <c r="B18" s="153">
        <v>4</v>
      </c>
      <c r="C18" s="153" t="s">
        <v>822</v>
      </c>
      <c r="D18" s="47">
        <v>11</v>
      </c>
      <c r="E18" s="102" t="s">
        <v>120</v>
      </c>
      <c r="F18" s="102" t="s">
        <v>5</v>
      </c>
      <c r="G18" s="47" t="s">
        <v>225</v>
      </c>
      <c r="H18" s="102" t="s">
        <v>1</v>
      </c>
      <c r="I18" s="102" t="s">
        <v>2</v>
      </c>
      <c r="J18" s="103" t="s">
        <v>517</v>
      </c>
      <c r="K18" s="104">
        <v>25697</v>
      </c>
      <c r="L18" s="105" t="s">
        <v>824</v>
      </c>
      <c r="M18" s="106">
        <f t="shared" si="0"/>
        <v>49</v>
      </c>
      <c r="N18" s="47" t="s">
        <v>3</v>
      </c>
      <c r="O18" s="47" t="s">
        <v>717</v>
      </c>
      <c r="P18" s="102" t="s">
        <v>790</v>
      </c>
      <c r="Q18" s="47"/>
      <c r="R18" s="102" t="s">
        <v>698</v>
      </c>
    </row>
    <row r="19" spans="2:18" ht="25.5" x14ac:dyDescent="0.25">
      <c r="B19" s="154"/>
      <c r="C19" s="154"/>
      <c r="D19" s="47">
        <v>12</v>
      </c>
      <c r="E19" s="102" t="s">
        <v>121</v>
      </c>
      <c r="F19" s="102" t="s">
        <v>9</v>
      </c>
      <c r="G19" s="47" t="s">
        <v>226</v>
      </c>
      <c r="H19" s="102" t="s">
        <v>7</v>
      </c>
      <c r="I19" s="102" t="s">
        <v>2</v>
      </c>
      <c r="J19" s="103" t="s">
        <v>517</v>
      </c>
      <c r="K19" s="104">
        <v>25602</v>
      </c>
      <c r="L19" s="105" t="s">
        <v>824</v>
      </c>
      <c r="M19" s="106">
        <f t="shared" si="0"/>
        <v>49</v>
      </c>
      <c r="N19" s="47" t="s">
        <v>3</v>
      </c>
      <c r="O19" s="47" t="s">
        <v>717</v>
      </c>
      <c r="P19" s="102" t="s">
        <v>790</v>
      </c>
      <c r="Q19" s="47"/>
      <c r="R19" s="102" t="s">
        <v>698</v>
      </c>
    </row>
    <row r="20" spans="2:18" x14ac:dyDescent="0.25">
      <c r="B20" s="154"/>
      <c r="C20" s="154"/>
      <c r="D20" s="47">
        <v>13</v>
      </c>
      <c r="E20" s="102" t="s">
        <v>122</v>
      </c>
      <c r="F20" s="102" t="s">
        <v>13</v>
      </c>
      <c r="G20" s="47" t="s">
        <v>227</v>
      </c>
      <c r="H20" s="102" t="s">
        <v>7</v>
      </c>
      <c r="I20" s="102" t="s">
        <v>11</v>
      </c>
      <c r="J20" s="103" t="s">
        <v>517</v>
      </c>
      <c r="K20" s="104">
        <v>37068</v>
      </c>
      <c r="L20" s="105" t="s">
        <v>695</v>
      </c>
      <c r="M20" s="106">
        <f t="shared" si="0"/>
        <v>18</v>
      </c>
      <c r="N20" s="47" t="s">
        <v>3</v>
      </c>
      <c r="O20" s="47" t="s">
        <v>717</v>
      </c>
      <c r="P20" s="102" t="s">
        <v>808</v>
      </c>
      <c r="Q20" s="47"/>
      <c r="R20" s="102" t="s">
        <v>261</v>
      </c>
    </row>
    <row r="21" spans="2:18" ht="25.5" x14ac:dyDescent="0.25">
      <c r="B21" s="155"/>
      <c r="C21" s="155"/>
      <c r="D21" s="47">
        <v>14</v>
      </c>
      <c r="E21" s="102" t="s">
        <v>123</v>
      </c>
      <c r="F21" s="102" t="s">
        <v>13</v>
      </c>
      <c r="G21" s="47" t="s">
        <v>823</v>
      </c>
      <c r="H21" s="102" t="s">
        <v>1</v>
      </c>
      <c r="I21" s="102" t="s">
        <v>11</v>
      </c>
      <c r="J21" s="103" t="s">
        <v>667</v>
      </c>
      <c r="K21" s="104">
        <v>39820</v>
      </c>
      <c r="L21" s="105" t="s">
        <v>716</v>
      </c>
      <c r="M21" s="106">
        <f t="shared" si="0"/>
        <v>10</v>
      </c>
      <c r="N21" s="47" t="s">
        <v>3</v>
      </c>
      <c r="O21" s="47" t="s">
        <v>717</v>
      </c>
      <c r="P21" s="102" t="s">
        <v>779</v>
      </c>
      <c r="Q21" s="47"/>
      <c r="R21" s="102" t="s">
        <v>682</v>
      </c>
    </row>
    <row r="22" spans="2:18" ht="25.5" x14ac:dyDescent="0.25">
      <c r="B22" s="148">
        <v>5</v>
      </c>
      <c r="C22" s="148"/>
      <c r="D22" s="47">
        <v>15</v>
      </c>
      <c r="E22" s="102" t="s">
        <v>124</v>
      </c>
      <c r="F22" s="102" t="s">
        <v>5</v>
      </c>
      <c r="G22" s="47" t="s">
        <v>228</v>
      </c>
      <c r="H22" s="102" t="s">
        <v>7</v>
      </c>
      <c r="I22" s="102" t="s">
        <v>29</v>
      </c>
      <c r="J22" s="103"/>
      <c r="K22" s="104">
        <v>22044</v>
      </c>
      <c r="L22" s="105" t="s">
        <v>842</v>
      </c>
      <c r="M22" s="106">
        <f t="shared" si="0"/>
        <v>59</v>
      </c>
      <c r="N22" s="47" t="s">
        <v>3</v>
      </c>
      <c r="O22" s="47" t="s">
        <v>717</v>
      </c>
      <c r="P22" s="102" t="s">
        <v>12</v>
      </c>
      <c r="Q22" s="47"/>
      <c r="R22" s="102" t="s">
        <v>32</v>
      </c>
    </row>
    <row r="23" spans="2:18" x14ac:dyDescent="0.25">
      <c r="B23" s="148"/>
      <c r="C23" s="148"/>
      <c r="D23" s="47">
        <v>16</v>
      </c>
      <c r="E23" s="102" t="s">
        <v>125</v>
      </c>
      <c r="F23" s="102" t="s">
        <v>13</v>
      </c>
      <c r="G23" s="47">
        <v>0</v>
      </c>
      <c r="H23" s="102" t="s">
        <v>1</v>
      </c>
      <c r="I23" s="102" t="s">
        <v>11</v>
      </c>
      <c r="J23" s="103"/>
      <c r="K23" s="104">
        <v>28469</v>
      </c>
      <c r="L23" s="105" t="s">
        <v>505</v>
      </c>
      <c r="M23" s="106">
        <f t="shared" si="0"/>
        <v>42</v>
      </c>
      <c r="N23" s="47" t="s">
        <v>3</v>
      </c>
      <c r="O23" s="47" t="s">
        <v>717</v>
      </c>
      <c r="P23" s="102" t="s">
        <v>17</v>
      </c>
      <c r="Q23" s="47"/>
      <c r="R23" s="102" t="s">
        <v>12</v>
      </c>
    </row>
    <row r="24" spans="2:18" x14ac:dyDescent="0.25">
      <c r="B24" s="148">
        <v>6</v>
      </c>
      <c r="C24" s="158" t="s">
        <v>749</v>
      </c>
      <c r="D24" s="47">
        <v>17</v>
      </c>
      <c r="E24" s="102" t="s">
        <v>126</v>
      </c>
      <c r="F24" s="102" t="s">
        <v>5</v>
      </c>
      <c r="G24" s="108" t="s">
        <v>750</v>
      </c>
      <c r="H24" s="102" t="s">
        <v>1</v>
      </c>
      <c r="I24" s="102" t="s">
        <v>2</v>
      </c>
      <c r="J24" s="103" t="s">
        <v>753</v>
      </c>
      <c r="K24" s="104">
        <v>16560</v>
      </c>
      <c r="L24" s="105" t="s">
        <v>754</v>
      </c>
      <c r="M24" s="106">
        <f t="shared" si="0"/>
        <v>45</v>
      </c>
      <c r="N24" s="47" t="s">
        <v>3</v>
      </c>
      <c r="O24" s="47" t="s">
        <v>717</v>
      </c>
      <c r="P24" s="102" t="s">
        <v>17</v>
      </c>
      <c r="Q24" s="47"/>
      <c r="R24" s="102" t="s">
        <v>756</v>
      </c>
    </row>
    <row r="25" spans="2:18" x14ac:dyDescent="0.25">
      <c r="B25" s="148"/>
      <c r="C25" s="158"/>
      <c r="D25" s="47">
        <v>18</v>
      </c>
      <c r="E25" s="102" t="s">
        <v>127</v>
      </c>
      <c r="F25" s="102" t="s">
        <v>9</v>
      </c>
      <c r="G25" s="108" t="s">
        <v>751</v>
      </c>
      <c r="H25" s="102" t="s">
        <v>7</v>
      </c>
      <c r="I25" s="102" t="s">
        <v>2</v>
      </c>
      <c r="J25" s="103" t="s">
        <v>723</v>
      </c>
      <c r="K25" s="104">
        <v>20366</v>
      </c>
      <c r="L25" s="105" t="s">
        <v>755</v>
      </c>
      <c r="M25" s="106">
        <f t="shared" si="0"/>
        <v>34</v>
      </c>
      <c r="N25" s="47" t="s">
        <v>3</v>
      </c>
      <c r="O25" s="47" t="s">
        <v>717</v>
      </c>
      <c r="P25" s="102" t="s">
        <v>20</v>
      </c>
      <c r="Q25" s="47"/>
      <c r="R25" s="102" t="s">
        <v>681</v>
      </c>
    </row>
    <row r="26" spans="2:18" x14ac:dyDescent="0.25">
      <c r="B26" s="148"/>
      <c r="C26" s="158"/>
      <c r="D26" s="47">
        <v>19</v>
      </c>
      <c r="E26" s="102" t="s">
        <v>128</v>
      </c>
      <c r="F26" s="102" t="s">
        <v>13</v>
      </c>
      <c r="G26" s="108" t="s">
        <v>752</v>
      </c>
      <c r="H26" s="102" t="s">
        <v>7</v>
      </c>
      <c r="I26" s="102" t="s">
        <v>11</v>
      </c>
      <c r="J26" s="103" t="s">
        <v>503</v>
      </c>
      <c r="K26" s="104">
        <v>36614</v>
      </c>
      <c r="L26" s="105" t="s">
        <v>554</v>
      </c>
      <c r="M26" s="106">
        <f t="shared" si="0"/>
        <v>11</v>
      </c>
      <c r="N26" s="47" t="s">
        <v>3</v>
      </c>
      <c r="O26" s="47" t="s">
        <v>717</v>
      </c>
      <c r="P26" s="102" t="s">
        <v>17</v>
      </c>
      <c r="Q26" s="47"/>
      <c r="R26" s="102" t="s">
        <v>261</v>
      </c>
    </row>
    <row r="27" spans="2:18" ht="25.5" x14ac:dyDescent="0.25">
      <c r="B27" s="148">
        <v>7</v>
      </c>
      <c r="C27" s="148" t="s">
        <v>801</v>
      </c>
      <c r="D27" s="47">
        <v>20</v>
      </c>
      <c r="E27" s="102" t="s">
        <v>129</v>
      </c>
      <c r="F27" s="102" t="s">
        <v>5</v>
      </c>
      <c r="G27" s="47" t="s">
        <v>230</v>
      </c>
      <c r="H27" s="102" t="s">
        <v>1</v>
      </c>
      <c r="I27" s="102" t="s">
        <v>2</v>
      </c>
      <c r="J27" s="103" t="s">
        <v>517</v>
      </c>
      <c r="K27" s="104">
        <v>29138</v>
      </c>
      <c r="L27" s="105" t="s">
        <v>694</v>
      </c>
      <c r="M27" s="106">
        <f t="shared" si="0"/>
        <v>40</v>
      </c>
      <c r="N27" s="47" t="s">
        <v>3</v>
      </c>
      <c r="O27" s="47" t="s">
        <v>717</v>
      </c>
      <c r="P27" s="102" t="s">
        <v>790</v>
      </c>
      <c r="Q27" s="47"/>
      <c r="R27" s="102" t="s">
        <v>229</v>
      </c>
    </row>
    <row r="28" spans="2:18" ht="25.5" x14ac:dyDescent="0.25">
      <c r="B28" s="148"/>
      <c r="C28" s="148"/>
      <c r="D28" s="47">
        <v>21</v>
      </c>
      <c r="E28" s="102" t="s">
        <v>130</v>
      </c>
      <c r="F28" s="102" t="s">
        <v>9</v>
      </c>
      <c r="G28" s="47" t="s">
        <v>231</v>
      </c>
      <c r="H28" s="102" t="s">
        <v>7</v>
      </c>
      <c r="I28" s="102" t="s">
        <v>2</v>
      </c>
      <c r="J28" s="103" t="s">
        <v>802</v>
      </c>
      <c r="K28" s="104">
        <v>31328</v>
      </c>
      <c r="L28" s="105" t="s">
        <v>755</v>
      </c>
      <c r="M28" s="106">
        <f t="shared" si="0"/>
        <v>34</v>
      </c>
      <c r="N28" s="47" t="s">
        <v>3</v>
      </c>
      <c r="O28" s="47" t="s">
        <v>717</v>
      </c>
      <c r="P28" s="102" t="s">
        <v>778</v>
      </c>
      <c r="Q28" s="47"/>
      <c r="R28" s="102" t="s">
        <v>800</v>
      </c>
    </row>
    <row r="29" spans="2:18" ht="25.5" x14ac:dyDescent="0.25">
      <c r="B29" s="148"/>
      <c r="C29" s="148"/>
      <c r="D29" s="47">
        <v>22</v>
      </c>
      <c r="E29" s="102" t="s">
        <v>131</v>
      </c>
      <c r="F29" s="102" t="s">
        <v>13</v>
      </c>
      <c r="G29" s="47" t="s">
        <v>232</v>
      </c>
      <c r="H29" s="102" t="s">
        <v>1</v>
      </c>
      <c r="I29" s="102" t="s">
        <v>11</v>
      </c>
      <c r="J29" s="103" t="s">
        <v>517</v>
      </c>
      <c r="K29" s="104">
        <v>38331</v>
      </c>
      <c r="L29" s="105" t="s">
        <v>520</v>
      </c>
      <c r="M29" s="106">
        <f t="shared" si="0"/>
        <v>15</v>
      </c>
      <c r="N29" s="47" t="s">
        <v>3</v>
      </c>
      <c r="O29" s="47" t="s">
        <v>717</v>
      </c>
      <c r="P29" s="102" t="s">
        <v>790</v>
      </c>
      <c r="Q29" s="47"/>
      <c r="R29" s="102" t="s">
        <v>261</v>
      </c>
    </row>
    <row r="30" spans="2:18" x14ac:dyDescent="0.25">
      <c r="B30" s="148">
        <v>8</v>
      </c>
      <c r="C30" s="148"/>
      <c r="D30" s="47">
        <v>23</v>
      </c>
      <c r="E30" s="102" t="s">
        <v>132</v>
      </c>
      <c r="F30" s="102" t="s">
        <v>5</v>
      </c>
      <c r="G30" s="47">
        <v>0</v>
      </c>
      <c r="H30" s="102" t="s">
        <v>1</v>
      </c>
      <c r="I30" s="102" t="s">
        <v>2</v>
      </c>
      <c r="J30" s="103"/>
      <c r="K30" s="104">
        <v>16560</v>
      </c>
      <c r="L30" s="105" t="s">
        <v>586</v>
      </c>
      <c r="M30" s="106">
        <f t="shared" si="0"/>
        <v>74</v>
      </c>
      <c r="N30" s="47" t="s">
        <v>3</v>
      </c>
      <c r="O30" s="47"/>
      <c r="P30" s="102" t="s">
        <v>12</v>
      </c>
      <c r="Q30" s="47"/>
      <c r="R30" s="102" t="s">
        <v>21</v>
      </c>
    </row>
    <row r="31" spans="2:18" x14ac:dyDescent="0.25">
      <c r="B31" s="148"/>
      <c r="C31" s="148"/>
      <c r="D31" s="47">
        <v>24</v>
      </c>
      <c r="E31" s="102" t="s">
        <v>133</v>
      </c>
      <c r="F31" s="102" t="s">
        <v>9</v>
      </c>
      <c r="G31" s="47">
        <v>0</v>
      </c>
      <c r="H31" s="102" t="s">
        <v>7</v>
      </c>
      <c r="I31" s="102" t="s">
        <v>2</v>
      </c>
      <c r="J31" s="103"/>
      <c r="K31" s="104">
        <v>20366</v>
      </c>
      <c r="L31" s="105" t="s">
        <v>843</v>
      </c>
      <c r="M31" s="106">
        <f t="shared" si="0"/>
        <v>64</v>
      </c>
      <c r="N31" s="47" t="s">
        <v>3</v>
      </c>
      <c r="O31" s="47"/>
      <c r="P31" s="102" t="s">
        <v>12</v>
      </c>
      <c r="Q31" s="47"/>
      <c r="R31" s="102" t="s">
        <v>21</v>
      </c>
    </row>
    <row r="32" spans="2:18" x14ac:dyDescent="0.25">
      <c r="B32" s="148"/>
      <c r="C32" s="148"/>
      <c r="D32" s="47">
        <v>25</v>
      </c>
      <c r="E32" s="102" t="s">
        <v>134</v>
      </c>
      <c r="F32" s="102" t="s">
        <v>13</v>
      </c>
      <c r="G32" s="47">
        <v>0</v>
      </c>
      <c r="H32" s="102" t="s">
        <v>7</v>
      </c>
      <c r="I32" s="102" t="s">
        <v>11</v>
      </c>
      <c r="J32" s="103"/>
      <c r="K32" s="104">
        <v>36614</v>
      </c>
      <c r="L32" s="105" t="s">
        <v>553</v>
      </c>
      <c r="M32" s="106">
        <f t="shared" si="0"/>
        <v>19</v>
      </c>
      <c r="N32" s="47" t="s">
        <v>3</v>
      </c>
      <c r="O32" s="47"/>
      <c r="P32" s="102" t="s">
        <v>17</v>
      </c>
      <c r="Q32" s="47"/>
      <c r="R32" s="102" t="s">
        <v>12</v>
      </c>
    </row>
    <row r="33" spans="2:18" ht="25.5" x14ac:dyDescent="0.25">
      <c r="B33" s="148">
        <v>9</v>
      </c>
      <c r="C33" s="148" t="s">
        <v>780</v>
      </c>
      <c r="D33" s="47">
        <v>26</v>
      </c>
      <c r="E33" s="102" t="s">
        <v>781</v>
      </c>
      <c r="F33" s="102" t="s">
        <v>5</v>
      </c>
      <c r="G33" s="47" t="s">
        <v>782</v>
      </c>
      <c r="H33" s="102" t="s">
        <v>1</v>
      </c>
      <c r="I33" s="102" t="s">
        <v>379</v>
      </c>
      <c r="J33" s="103" t="s">
        <v>517</v>
      </c>
      <c r="K33" s="104">
        <v>19339</v>
      </c>
      <c r="L33" s="105" t="s">
        <v>785</v>
      </c>
      <c r="M33" s="106">
        <f t="shared" si="0"/>
        <v>67</v>
      </c>
      <c r="N33" s="47" t="s">
        <v>3</v>
      </c>
      <c r="O33" s="47" t="s">
        <v>717</v>
      </c>
      <c r="P33" s="102" t="s">
        <v>786</v>
      </c>
      <c r="Q33" s="47"/>
      <c r="R33" s="102" t="s">
        <v>698</v>
      </c>
    </row>
    <row r="34" spans="2:18" ht="25.5" x14ac:dyDescent="0.25">
      <c r="B34" s="148"/>
      <c r="C34" s="148"/>
      <c r="D34" s="47">
        <v>27</v>
      </c>
      <c r="E34" s="102" t="s">
        <v>135</v>
      </c>
      <c r="F34" s="102" t="s">
        <v>13</v>
      </c>
      <c r="G34" s="47" t="s">
        <v>783</v>
      </c>
      <c r="H34" s="102" t="s">
        <v>1</v>
      </c>
      <c r="I34" s="102" t="s">
        <v>11</v>
      </c>
      <c r="J34" s="103" t="s">
        <v>517</v>
      </c>
      <c r="K34" s="104">
        <v>28534</v>
      </c>
      <c r="L34" s="105" t="s">
        <v>784</v>
      </c>
      <c r="M34" s="106">
        <f t="shared" si="0"/>
        <v>41</v>
      </c>
      <c r="N34" s="47" t="s">
        <v>3</v>
      </c>
      <c r="O34" s="47" t="s">
        <v>717</v>
      </c>
      <c r="P34" s="102" t="s">
        <v>786</v>
      </c>
      <c r="Q34" s="47"/>
      <c r="R34" s="102" t="s">
        <v>698</v>
      </c>
    </row>
    <row r="35" spans="2:18" ht="25.5" x14ac:dyDescent="0.25">
      <c r="B35" s="153">
        <v>10</v>
      </c>
      <c r="C35" s="153" t="s">
        <v>813</v>
      </c>
      <c r="D35" s="47">
        <v>28</v>
      </c>
      <c r="E35" s="102" t="s">
        <v>136</v>
      </c>
      <c r="F35" s="102" t="s">
        <v>5</v>
      </c>
      <c r="G35" s="47" t="s">
        <v>816</v>
      </c>
      <c r="H35" s="102" t="s">
        <v>1</v>
      </c>
      <c r="I35" s="102" t="s">
        <v>2</v>
      </c>
      <c r="J35" s="103" t="s">
        <v>517</v>
      </c>
      <c r="K35" s="104">
        <v>23724</v>
      </c>
      <c r="L35" s="105" t="s">
        <v>820</v>
      </c>
      <c r="M35" s="106">
        <f t="shared" si="0"/>
        <v>55</v>
      </c>
      <c r="N35" s="47" t="s">
        <v>3</v>
      </c>
      <c r="O35" s="47" t="s">
        <v>717</v>
      </c>
      <c r="P35" s="102" t="s">
        <v>790</v>
      </c>
      <c r="Q35" s="47"/>
      <c r="R35" s="102" t="s">
        <v>698</v>
      </c>
    </row>
    <row r="36" spans="2:18" ht="25.5" x14ac:dyDescent="0.25">
      <c r="B36" s="154"/>
      <c r="C36" s="154"/>
      <c r="D36" s="47">
        <v>29</v>
      </c>
      <c r="E36" s="102" t="s">
        <v>137</v>
      </c>
      <c r="F36" s="102" t="s">
        <v>9</v>
      </c>
      <c r="G36" s="47" t="s">
        <v>817</v>
      </c>
      <c r="H36" s="102" t="s">
        <v>7</v>
      </c>
      <c r="I36" s="102" t="s">
        <v>2</v>
      </c>
      <c r="J36" s="103" t="s">
        <v>517</v>
      </c>
      <c r="K36" s="104">
        <v>24191</v>
      </c>
      <c r="L36" s="105" t="s">
        <v>821</v>
      </c>
      <c r="M36" s="106">
        <f t="shared" si="0"/>
        <v>53</v>
      </c>
      <c r="N36" s="47" t="s">
        <v>3</v>
      </c>
      <c r="O36" s="47" t="s">
        <v>717</v>
      </c>
      <c r="P36" s="102" t="s">
        <v>790</v>
      </c>
      <c r="Q36" s="47"/>
      <c r="R36" s="102" t="s">
        <v>698</v>
      </c>
    </row>
    <row r="37" spans="2:18" x14ac:dyDescent="0.25">
      <c r="B37" s="154"/>
      <c r="C37" s="154"/>
      <c r="D37" s="47">
        <v>30</v>
      </c>
      <c r="E37" s="102" t="s">
        <v>138</v>
      </c>
      <c r="F37" s="102" t="s">
        <v>13</v>
      </c>
      <c r="G37" s="47" t="s">
        <v>818</v>
      </c>
      <c r="H37" s="102" t="s">
        <v>7</v>
      </c>
      <c r="I37" s="102" t="s">
        <v>11</v>
      </c>
      <c r="J37" s="103" t="s">
        <v>667</v>
      </c>
      <c r="K37" s="104">
        <v>36920</v>
      </c>
      <c r="L37" s="105" t="s">
        <v>695</v>
      </c>
      <c r="M37" s="106">
        <f t="shared" si="0"/>
        <v>18</v>
      </c>
      <c r="N37" s="47" t="s">
        <v>3</v>
      </c>
      <c r="O37" s="47" t="s">
        <v>717</v>
      </c>
      <c r="P37" s="102" t="s">
        <v>808</v>
      </c>
      <c r="Q37" s="47"/>
      <c r="R37" s="102" t="s">
        <v>261</v>
      </c>
    </row>
    <row r="38" spans="2:18" ht="25.5" x14ac:dyDescent="0.25">
      <c r="B38" s="109">
        <v>11</v>
      </c>
      <c r="C38" s="110" t="s">
        <v>814</v>
      </c>
      <c r="D38" s="47">
        <v>31</v>
      </c>
      <c r="E38" s="102" t="s">
        <v>815</v>
      </c>
      <c r="F38" s="102" t="s">
        <v>5</v>
      </c>
      <c r="G38" s="47" t="s">
        <v>819</v>
      </c>
      <c r="H38" s="102" t="s">
        <v>7</v>
      </c>
      <c r="I38" s="102" t="s">
        <v>379</v>
      </c>
      <c r="J38" s="103" t="s">
        <v>517</v>
      </c>
      <c r="K38" s="104">
        <v>14538</v>
      </c>
      <c r="L38" s="105" t="s">
        <v>571</v>
      </c>
      <c r="M38" s="106">
        <f t="shared" si="0"/>
        <v>80</v>
      </c>
      <c r="N38" s="47" t="s">
        <v>3</v>
      </c>
      <c r="O38" s="47" t="s">
        <v>717</v>
      </c>
      <c r="P38" s="102" t="s">
        <v>779</v>
      </c>
      <c r="Q38" s="47"/>
      <c r="R38" s="102" t="s">
        <v>698</v>
      </c>
    </row>
    <row r="39" spans="2:18" x14ac:dyDescent="0.25">
      <c r="B39" s="148">
        <v>12</v>
      </c>
      <c r="C39" s="158" t="s">
        <v>736</v>
      </c>
      <c r="D39" s="47">
        <v>32</v>
      </c>
      <c r="E39" s="102" t="s">
        <v>139</v>
      </c>
      <c r="F39" s="102" t="s">
        <v>5</v>
      </c>
      <c r="G39" s="108" t="s">
        <v>738</v>
      </c>
      <c r="H39" s="102" t="s">
        <v>1</v>
      </c>
      <c r="I39" s="102" t="s">
        <v>2</v>
      </c>
      <c r="J39" s="103" t="s">
        <v>517</v>
      </c>
      <c r="K39" s="104">
        <v>43800</v>
      </c>
      <c r="L39" s="105" t="s">
        <v>572</v>
      </c>
      <c r="M39" s="106">
        <f t="shared" si="0"/>
        <v>70</v>
      </c>
      <c r="N39" s="47" t="s">
        <v>3</v>
      </c>
      <c r="O39" s="47"/>
      <c r="P39" s="102" t="s">
        <v>17</v>
      </c>
      <c r="Q39" s="47"/>
      <c r="R39" s="102" t="s">
        <v>698</v>
      </c>
    </row>
    <row r="40" spans="2:18" x14ac:dyDescent="0.25">
      <c r="B40" s="148"/>
      <c r="C40" s="148"/>
      <c r="D40" s="47">
        <v>33</v>
      </c>
      <c r="E40" s="102" t="s">
        <v>737</v>
      </c>
      <c r="F40" s="102" t="s">
        <v>9</v>
      </c>
      <c r="G40" s="108" t="s">
        <v>739</v>
      </c>
      <c r="H40" s="102" t="s">
        <v>7</v>
      </c>
      <c r="I40" s="102" t="s">
        <v>2</v>
      </c>
      <c r="J40" s="103" t="s">
        <v>517</v>
      </c>
      <c r="K40" s="104">
        <v>43818</v>
      </c>
      <c r="L40" s="105" t="s">
        <v>741</v>
      </c>
      <c r="M40" s="106">
        <f t="shared" si="0"/>
        <v>62</v>
      </c>
      <c r="N40" s="47" t="s">
        <v>3</v>
      </c>
      <c r="O40" s="47"/>
      <c r="P40" s="102" t="s">
        <v>17</v>
      </c>
      <c r="Q40" s="47"/>
      <c r="R40" s="102" t="s">
        <v>698</v>
      </c>
    </row>
    <row r="41" spans="2:18" x14ac:dyDescent="0.25">
      <c r="B41" s="148"/>
      <c r="C41" s="148"/>
      <c r="D41" s="47">
        <v>34</v>
      </c>
      <c r="E41" s="102" t="s">
        <v>134</v>
      </c>
      <c r="F41" s="102" t="s">
        <v>13</v>
      </c>
      <c r="G41" s="108" t="s">
        <v>740</v>
      </c>
      <c r="H41" s="102" t="s">
        <v>7</v>
      </c>
      <c r="I41" s="102" t="s">
        <v>11</v>
      </c>
      <c r="J41" s="103" t="s">
        <v>517</v>
      </c>
      <c r="K41" s="104">
        <v>43498</v>
      </c>
      <c r="L41" s="105" t="s">
        <v>695</v>
      </c>
      <c r="M41" s="106">
        <f t="shared" si="0"/>
        <v>18</v>
      </c>
      <c r="N41" s="47" t="s">
        <v>3</v>
      </c>
      <c r="O41" s="47"/>
      <c r="P41" s="102" t="s">
        <v>17</v>
      </c>
      <c r="Q41" s="47"/>
      <c r="R41" s="102" t="s">
        <v>261</v>
      </c>
    </row>
    <row r="42" spans="2:18" x14ac:dyDescent="0.25">
      <c r="B42" s="148">
        <v>13</v>
      </c>
      <c r="C42" s="148" t="s">
        <v>809</v>
      </c>
      <c r="D42" s="47">
        <v>35</v>
      </c>
      <c r="E42" s="102" t="s">
        <v>140</v>
      </c>
      <c r="F42" s="102" t="s">
        <v>5</v>
      </c>
      <c r="G42" s="47" t="s">
        <v>233</v>
      </c>
      <c r="H42" s="102" t="s">
        <v>1</v>
      </c>
      <c r="I42" s="102" t="s">
        <v>2</v>
      </c>
      <c r="J42" s="103" t="s">
        <v>517</v>
      </c>
      <c r="K42" s="104">
        <v>33055</v>
      </c>
      <c r="L42" s="105" t="s">
        <v>584</v>
      </c>
      <c r="M42" s="106">
        <f t="shared" si="0"/>
        <v>29</v>
      </c>
      <c r="N42" s="47" t="s">
        <v>3</v>
      </c>
      <c r="O42" s="47" t="s">
        <v>717</v>
      </c>
      <c r="P42" s="102" t="s">
        <v>808</v>
      </c>
      <c r="Q42" s="47"/>
      <c r="R42" s="102" t="s">
        <v>698</v>
      </c>
    </row>
    <row r="43" spans="2:18" ht="25.5" x14ac:dyDescent="0.25">
      <c r="B43" s="148"/>
      <c r="C43" s="148"/>
      <c r="D43" s="47">
        <v>36</v>
      </c>
      <c r="E43" s="102" t="s">
        <v>141</v>
      </c>
      <c r="F43" s="102" t="s">
        <v>9</v>
      </c>
      <c r="G43" s="47" t="s">
        <v>234</v>
      </c>
      <c r="H43" s="102" t="s">
        <v>7</v>
      </c>
      <c r="I43" s="102" t="s">
        <v>2</v>
      </c>
      <c r="J43" s="103" t="s">
        <v>517</v>
      </c>
      <c r="K43" s="104">
        <v>32615</v>
      </c>
      <c r="L43" s="105" t="s">
        <v>812</v>
      </c>
      <c r="M43" s="106">
        <f t="shared" si="0"/>
        <v>30</v>
      </c>
      <c r="N43" s="47" t="s">
        <v>3</v>
      </c>
      <c r="O43" s="47" t="s">
        <v>717</v>
      </c>
      <c r="P43" s="102" t="s">
        <v>808</v>
      </c>
      <c r="Q43" s="47"/>
      <c r="R43" s="102" t="s">
        <v>800</v>
      </c>
    </row>
    <row r="44" spans="2:18" ht="25.5" x14ac:dyDescent="0.25">
      <c r="B44" s="148"/>
      <c r="C44" s="148"/>
      <c r="D44" s="47">
        <v>37</v>
      </c>
      <c r="E44" s="102" t="s">
        <v>142</v>
      </c>
      <c r="F44" s="102" t="s">
        <v>13</v>
      </c>
      <c r="G44" s="47" t="s">
        <v>235</v>
      </c>
      <c r="H44" s="102" t="s">
        <v>7</v>
      </c>
      <c r="I44" s="102" t="s">
        <v>11</v>
      </c>
      <c r="J44" s="103" t="s">
        <v>667</v>
      </c>
      <c r="K44" s="104">
        <v>39866</v>
      </c>
      <c r="L44" s="105" t="s">
        <v>716</v>
      </c>
      <c r="M44" s="106">
        <f t="shared" ref="M44" si="1">2019-L44</f>
        <v>10</v>
      </c>
      <c r="N44" s="47" t="s">
        <v>3</v>
      </c>
      <c r="O44" s="47" t="s">
        <v>717</v>
      </c>
      <c r="P44" s="102" t="s">
        <v>786</v>
      </c>
      <c r="Q44" s="47"/>
      <c r="R44" s="102" t="s">
        <v>261</v>
      </c>
    </row>
    <row r="45" spans="2:18" ht="25.5" x14ac:dyDescent="0.25">
      <c r="B45" s="148"/>
      <c r="C45" s="148"/>
      <c r="D45" s="47">
        <v>38</v>
      </c>
      <c r="E45" s="102" t="s">
        <v>810</v>
      </c>
      <c r="F45" s="102" t="s">
        <v>13</v>
      </c>
      <c r="G45" s="47" t="s">
        <v>811</v>
      </c>
      <c r="H45" s="102" t="s">
        <v>1</v>
      </c>
      <c r="I45" s="102" t="s">
        <v>11</v>
      </c>
      <c r="J45" s="103" t="s">
        <v>422</v>
      </c>
      <c r="K45" s="104">
        <v>43417</v>
      </c>
      <c r="L45" s="105" t="s">
        <v>724</v>
      </c>
      <c r="M45" s="106">
        <f t="shared" si="0"/>
        <v>1</v>
      </c>
      <c r="N45" s="47" t="s">
        <v>3</v>
      </c>
      <c r="O45" s="47" t="s">
        <v>717</v>
      </c>
      <c r="P45" s="102" t="s">
        <v>779</v>
      </c>
      <c r="Q45" s="47"/>
      <c r="R45" s="102" t="s">
        <v>682</v>
      </c>
    </row>
    <row r="46" spans="2:18" ht="25.5" x14ac:dyDescent="0.25">
      <c r="B46" s="148"/>
      <c r="C46" s="148"/>
      <c r="D46" s="47">
        <v>39</v>
      </c>
      <c r="E46" s="102" t="s">
        <v>143</v>
      </c>
      <c r="F46" s="102" t="s">
        <v>30</v>
      </c>
      <c r="G46" s="47" t="s">
        <v>236</v>
      </c>
      <c r="H46" s="102" t="s">
        <v>1</v>
      </c>
      <c r="I46" s="102" t="s">
        <v>11</v>
      </c>
      <c r="J46" s="103" t="s">
        <v>667</v>
      </c>
      <c r="K46" s="104">
        <v>40043</v>
      </c>
      <c r="L46" s="105" t="s">
        <v>716</v>
      </c>
      <c r="M46" s="106">
        <f t="shared" si="0"/>
        <v>10</v>
      </c>
      <c r="N46" s="47" t="s">
        <v>3</v>
      </c>
      <c r="O46" s="47" t="s">
        <v>717</v>
      </c>
      <c r="P46" s="102" t="s">
        <v>779</v>
      </c>
      <c r="Q46" s="47"/>
      <c r="R46" s="102" t="s">
        <v>682</v>
      </c>
    </row>
    <row r="47" spans="2:18" ht="25.5" x14ac:dyDescent="0.25">
      <c r="B47" s="111">
        <v>14</v>
      </c>
      <c r="C47" s="47" t="s">
        <v>787</v>
      </c>
      <c r="D47" s="47">
        <v>40</v>
      </c>
      <c r="E47" s="102" t="s">
        <v>144</v>
      </c>
      <c r="F47" s="102" t="s">
        <v>5</v>
      </c>
      <c r="G47" s="47" t="s">
        <v>788</v>
      </c>
      <c r="H47" s="102" t="s">
        <v>1</v>
      </c>
      <c r="I47" s="102" t="s">
        <v>789</v>
      </c>
      <c r="J47" s="103" t="s">
        <v>517</v>
      </c>
      <c r="K47" s="104">
        <v>33678</v>
      </c>
      <c r="L47" s="105" t="s">
        <v>506</v>
      </c>
      <c r="M47" s="106">
        <f t="shared" si="0"/>
        <v>27</v>
      </c>
      <c r="N47" s="47" t="s">
        <v>3</v>
      </c>
      <c r="O47" s="47" t="s">
        <v>717</v>
      </c>
      <c r="P47" s="102" t="s">
        <v>790</v>
      </c>
      <c r="Q47" s="47"/>
      <c r="R47" s="102" t="s">
        <v>698</v>
      </c>
    </row>
    <row r="48" spans="2:18" x14ac:dyDescent="0.25">
      <c r="B48" s="154">
        <v>15</v>
      </c>
      <c r="C48" s="158" t="s">
        <v>730</v>
      </c>
      <c r="D48" s="47">
        <v>41</v>
      </c>
      <c r="E48" s="102" t="s">
        <v>145</v>
      </c>
      <c r="F48" s="102" t="s">
        <v>5</v>
      </c>
      <c r="G48" s="108" t="s">
        <v>733</v>
      </c>
      <c r="H48" s="102" t="s">
        <v>1</v>
      </c>
      <c r="I48" s="102" t="s">
        <v>2</v>
      </c>
      <c r="J48" s="103" t="s">
        <v>517</v>
      </c>
      <c r="K48" s="104">
        <v>43779</v>
      </c>
      <c r="L48" s="105" t="s">
        <v>708</v>
      </c>
      <c r="M48" s="106">
        <f t="shared" si="0"/>
        <v>36</v>
      </c>
      <c r="N48" s="47" t="s">
        <v>3</v>
      </c>
      <c r="O48" s="47"/>
      <c r="P48" s="102" t="s">
        <v>17</v>
      </c>
      <c r="Q48" s="47"/>
      <c r="R48" s="102" t="s">
        <v>698</v>
      </c>
    </row>
    <row r="49" spans="2:18" x14ac:dyDescent="0.25">
      <c r="B49" s="154"/>
      <c r="C49" s="158"/>
      <c r="D49" s="47">
        <v>42</v>
      </c>
      <c r="E49" s="102" t="s">
        <v>731</v>
      </c>
      <c r="F49" s="102" t="s">
        <v>9</v>
      </c>
      <c r="G49" s="108" t="s">
        <v>734</v>
      </c>
      <c r="H49" s="102" t="s">
        <v>7</v>
      </c>
      <c r="I49" s="102" t="s">
        <v>2</v>
      </c>
      <c r="J49" s="102" t="s">
        <v>582</v>
      </c>
      <c r="K49" s="112">
        <v>43747</v>
      </c>
      <c r="L49" s="108" t="s">
        <v>541</v>
      </c>
      <c r="M49" s="106">
        <f t="shared" si="0"/>
        <v>28</v>
      </c>
      <c r="N49" s="47" t="s">
        <v>3</v>
      </c>
      <c r="O49" s="47"/>
      <c r="P49" s="102" t="s">
        <v>17</v>
      </c>
      <c r="Q49" s="47"/>
      <c r="R49" s="102" t="s">
        <v>681</v>
      </c>
    </row>
    <row r="50" spans="2:18" ht="25.5" x14ac:dyDescent="0.25">
      <c r="B50" s="155"/>
      <c r="C50" s="158"/>
      <c r="D50" s="47">
        <v>43</v>
      </c>
      <c r="E50" s="102" t="s">
        <v>732</v>
      </c>
      <c r="F50" s="102" t="s">
        <v>13</v>
      </c>
      <c r="G50" s="108" t="s">
        <v>735</v>
      </c>
      <c r="H50" s="102" t="s">
        <v>1</v>
      </c>
      <c r="I50" s="102" t="s">
        <v>11</v>
      </c>
      <c r="J50" s="103" t="s">
        <v>517</v>
      </c>
      <c r="K50" s="104">
        <v>43762</v>
      </c>
      <c r="L50" s="105" t="s">
        <v>696</v>
      </c>
      <c r="M50" s="106">
        <f t="shared" si="0"/>
        <v>3</v>
      </c>
      <c r="N50" s="47" t="s">
        <v>3</v>
      </c>
      <c r="O50" s="47"/>
      <c r="P50" s="102" t="s">
        <v>680</v>
      </c>
      <c r="Q50" s="47"/>
      <c r="R50" s="102" t="s">
        <v>682</v>
      </c>
    </row>
    <row r="51" spans="2:18" x14ac:dyDescent="0.25">
      <c r="B51" s="148">
        <v>16</v>
      </c>
      <c r="C51" s="158" t="s">
        <v>718</v>
      </c>
      <c r="D51" s="47">
        <v>44</v>
      </c>
      <c r="E51" s="102" t="s">
        <v>147</v>
      </c>
      <c r="F51" s="102" t="s">
        <v>5</v>
      </c>
      <c r="G51" s="47" t="s">
        <v>237</v>
      </c>
      <c r="H51" s="102" t="s">
        <v>1</v>
      </c>
      <c r="I51" s="102" t="s">
        <v>2</v>
      </c>
      <c r="J51" s="103" t="s">
        <v>517</v>
      </c>
      <c r="K51" s="104">
        <v>43771</v>
      </c>
      <c r="L51" s="105" t="s">
        <v>519</v>
      </c>
      <c r="M51" s="106">
        <f t="shared" si="0"/>
        <v>39</v>
      </c>
      <c r="N51" s="47" t="s">
        <v>3</v>
      </c>
      <c r="O51" s="47"/>
      <c r="P51" s="102" t="s">
        <v>17</v>
      </c>
      <c r="Q51" s="47"/>
      <c r="R51" s="102" t="s">
        <v>15</v>
      </c>
    </row>
    <row r="52" spans="2:18" x14ac:dyDescent="0.25">
      <c r="B52" s="148"/>
      <c r="C52" s="148"/>
      <c r="D52" s="47">
        <v>45</v>
      </c>
      <c r="E52" s="102" t="s">
        <v>148</v>
      </c>
      <c r="F52" s="102" t="s">
        <v>9</v>
      </c>
      <c r="G52" s="47" t="s">
        <v>238</v>
      </c>
      <c r="H52" s="102" t="s">
        <v>7</v>
      </c>
      <c r="I52" s="102" t="s">
        <v>2</v>
      </c>
      <c r="J52" s="103" t="s">
        <v>723</v>
      </c>
      <c r="K52" s="104">
        <v>43647</v>
      </c>
      <c r="L52" s="105" t="s">
        <v>708</v>
      </c>
      <c r="M52" s="106">
        <f t="shared" si="0"/>
        <v>36</v>
      </c>
      <c r="N52" s="47" t="s">
        <v>3</v>
      </c>
      <c r="O52" s="47"/>
      <c r="P52" s="102" t="s">
        <v>508</v>
      </c>
      <c r="Q52" s="47"/>
      <c r="R52" s="102" t="s">
        <v>681</v>
      </c>
    </row>
    <row r="53" spans="2:18" ht="25.5" x14ac:dyDescent="0.25">
      <c r="B53" s="148"/>
      <c r="C53" s="148"/>
      <c r="D53" s="47">
        <v>46</v>
      </c>
      <c r="E53" s="102" t="s">
        <v>719</v>
      </c>
      <c r="F53" s="102" t="s">
        <v>13</v>
      </c>
      <c r="G53" s="108" t="s">
        <v>721</v>
      </c>
      <c r="H53" s="102" t="s">
        <v>1</v>
      </c>
      <c r="I53" s="102" t="s">
        <v>11</v>
      </c>
      <c r="J53" s="103" t="s">
        <v>667</v>
      </c>
      <c r="K53" s="104">
        <v>43677</v>
      </c>
      <c r="L53" s="105" t="s">
        <v>696</v>
      </c>
      <c r="M53" s="106">
        <f t="shared" si="0"/>
        <v>3</v>
      </c>
      <c r="N53" s="47"/>
      <c r="O53" s="47"/>
      <c r="P53" s="102" t="s">
        <v>680</v>
      </c>
      <c r="Q53" s="47"/>
      <c r="R53" s="102" t="s">
        <v>682</v>
      </c>
    </row>
    <row r="54" spans="2:18" x14ac:dyDescent="0.25">
      <c r="B54" s="148"/>
      <c r="C54" s="148"/>
      <c r="D54" s="47">
        <v>47</v>
      </c>
      <c r="E54" s="102" t="s">
        <v>720</v>
      </c>
      <c r="F54" s="102" t="s">
        <v>13</v>
      </c>
      <c r="G54" s="108" t="s">
        <v>722</v>
      </c>
      <c r="H54" s="102" t="s">
        <v>7</v>
      </c>
      <c r="I54" s="102" t="s">
        <v>11</v>
      </c>
      <c r="J54" s="103" t="s">
        <v>422</v>
      </c>
      <c r="K54" s="104">
        <v>43489</v>
      </c>
      <c r="L54" s="105" t="s">
        <v>724</v>
      </c>
      <c r="M54" s="106">
        <f t="shared" si="0"/>
        <v>1</v>
      </c>
      <c r="N54" s="47" t="s">
        <v>3</v>
      </c>
      <c r="O54" s="47"/>
      <c r="P54" s="102" t="s">
        <v>680</v>
      </c>
      <c r="Q54" s="47"/>
      <c r="R54" s="102" t="s">
        <v>682</v>
      </c>
    </row>
    <row r="55" spans="2:18" x14ac:dyDescent="0.25">
      <c r="B55" s="148">
        <v>17</v>
      </c>
      <c r="C55" s="148" t="s">
        <v>773</v>
      </c>
      <c r="D55" s="47">
        <v>48</v>
      </c>
      <c r="E55" s="102" t="s">
        <v>149</v>
      </c>
      <c r="F55" s="102" t="s">
        <v>5</v>
      </c>
      <c r="G55" s="47" t="s">
        <v>774</v>
      </c>
      <c r="H55" s="102" t="s">
        <v>1</v>
      </c>
      <c r="I55" s="102" t="s">
        <v>2</v>
      </c>
      <c r="J55" s="103" t="s">
        <v>503</v>
      </c>
      <c r="K55" s="104">
        <v>31217</v>
      </c>
      <c r="L55" s="105" t="s">
        <v>755</v>
      </c>
      <c r="M55" s="106">
        <f t="shared" si="0"/>
        <v>34</v>
      </c>
      <c r="N55" s="47" t="s">
        <v>3</v>
      </c>
      <c r="O55" s="47" t="s">
        <v>717</v>
      </c>
      <c r="P55" s="102" t="s">
        <v>778</v>
      </c>
      <c r="Q55" s="47"/>
      <c r="R55" s="102" t="s">
        <v>15</v>
      </c>
    </row>
    <row r="56" spans="2:18" x14ac:dyDescent="0.25">
      <c r="B56" s="148"/>
      <c r="C56" s="148"/>
      <c r="D56" s="47">
        <v>49</v>
      </c>
      <c r="E56" s="102" t="s">
        <v>150</v>
      </c>
      <c r="F56" s="102" t="s">
        <v>9</v>
      </c>
      <c r="G56" s="47" t="s">
        <v>239</v>
      </c>
      <c r="H56" s="102" t="s">
        <v>7</v>
      </c>
      <c r="I56" s="102" t="s">
        <v>2</v>
      </c>
      <c r="J56" s="103" t="s">
        <v>503</v>
      </c>
      <c r="K56" s="104">
        <v>33886</v>
      </c>
      <c r="L56" s="105" t="s">
        <v>506</v>
      </c>
      <c r="M56" s="106">
        <f t="shared" si="0"/>
        <v>27</v>
      </c>
      <c r="N56" s="47" t="s">
        <v>3</v>
      </c>
      <c r="O56" s="47" t="s">
        <v>717</v>
      </c>
      <c r="P56" s="102" t="s">
        <v>778</v>
      </c>
      <c r="Q56" s="47"/>
      <c r="R56" s="102" t="s">
        <v>15</v>
      </c>
    </row>
    <row r="57" spans="2:18" ht="25.5" x14ac:dyDescent="0.25">
      <c r="B57" s="148"/>
      <c r="C57" s="148"/>
      <c r="D57" s="47">
        <v>50</v>
      </c>
      <c r="E57" s="102" t="s">
        <v>151</v>
      </c>
      <c r="F57" s="102" t="s">
        <v>13</v>
      </c>
      <c r="G57" s="47" t="s">
        <v>775</v>
      </c>
      <c r="H57" s="102" t="s">
        <v>7</v>
      </c>
      <c r="I57" s="102" t="s">
        <v>11</v>
      </c>
      <c r="J57" s="103" t="s">
        <v>776</v>
      </c>
      <c r="K57" s="104">
        <v>40992</v>
      </c>
      <c r="L57" s="105" t="s">
        <v>777</v>
      </c>
      <c r="M57" s="106">
        <f t="shared" si="0"/>
        <v>7</v>
      </c>
      <c r="N57" s="47" t="s">
        <v>3</v>
      </c>
      <c r="O57" s="47" t="s">
        <v>717</v>
      </c>
      <c r="P57" s="102" t="s">
        <v>779</v>
      </c>
      <c r="Q57" s="47"/>
      <c r="R57" s="102" t="s">
        <v>682</v>
      </c>
    </row>
    <row r="58" spans="2:18" x14ac:dyDescent="0.25">
      <c r="B58" s="148">
        <v>18</v>
      </c>
      <c r="C58" s="158" t="s">
        <v>699</v>
      </c>
      <c r="D58" s="47">
        <v>51</v>
      </c>
      <c r="E58" s="102" t="s">
        <v>152</v>
      </c>
      <c r="F58" s="102" t="s">
        <v>5</v>
      </c>
      <c r="G58" s="108" t="s">
        <v>700</v>
      </c>
      <c r="H58" s="102" t="s">
        <v>1</v>
      </c>
      <c r="I58" s="102" t="s">
        <v>2</v>
      </c>
      <c r="J58" s="103" t="s">
        <v>517</v>
      </c>
      <c r="K58" s="104">
        <v>43830</v>
      </c>
      <c r="L58" s="105" t="s">
        <v>519</v>
      </c>
      <c r="M58" s="106">
        <f>2019-L58</f>
        <v>39</v>
      </c>
      <c r="N58" s="47" t="s">
        <v>3</v>
      </c>
      <c r="O58" s="47"/>
      <c r="P58" s="102" t="s">
        <v>12</v>
      </c>
      <c r="Q58" s="47"/>
      <c r="R58" s="102" t="s">
        <v>21</v>
      </c>
    </row>
    <row r="59" spans="2:18" x14ac:dyDescent="0.25">
      <c r="B59" s="148"/>
      <c r="C59" s="148"/>
      <c r="D59" s="47">
        <v>52</v>
      </c>
      <c r="E59" s="102" t="s">
        <v>153</v>
      </c>
      <c r="F59" s="102" t="s">
        <v>9</v>
      </c>
      <c r="G59" s="108" t="s">
        <v>701</v>
      </c>
      <c r="H59" s="102" t="s">
        <v>7</v>
      </c>
      <c r="I59" s="102" t="s">
        <v>2</v>
      </c>
      <c r="J59" s="103" t="s">
        <v>517</v>
      </c>
      <c r="K59" s="104">
        <v>43830</v>
      </c>
      <c r="L59" s="105" t="s">
        <v>705</v>
      </c>
      <c r="M59" s="106">
        <f t="shared" ref="M59:M65" si="2">2019-L59</f>
        <v>35</v>
      </c>
      <c r="N59" s="47" t="s">
        <v>3</v>
      </c>
      <c r="O59" s="47"/>
      <c r="P59" s="102" t="s">
        <v>17</v>
      </c>
      <c r="Q59" s="47"/>
      <c r="R59" s="102" t="s">
        <v>21</v>
      </c>
    </row>
    <row r="60" spans="2:18" ht="25.5" x14ac:dyDescent="0.25">
      <c r="B60" s="148"/>
      <c r="C60" s="148"/>
      <c r="D60" s="47">
        <v>53</v>
      </c>
      <c r="E60" s="102" t="s">
        <v>154</v>
      </c>
      <c r="F60" s="102" t="s">
        <v>13</v>
      </c>
      <c r="G60" s="108" t="s">
        <v>702</v>
      </c>
      <c r="H60" s="102" t="s">
        <v>7</v>
      </c>
      <c r="I60" s="102" t="s">
        <v>11</v>
      </c>
      <c r="J60" s="103" t="s">
        <v>517</v>
      </c>
      <c r="K60" s="104">
        <v>43615</v>
      </c>
      <c r="L60" s="105" t="s">
        <v>706</v>
      </c>
      <c r="M60" s="106">
        <f t="shared" si="2"/>
        <v>21</v>
      </c>
      <c r="N60" s="47" t="s">
        <v>3</v>
      </c>
      <c r="O60" s="47"/>
      <c r="P60" s="102" t="s">
        <v>20</v>
      </c>
      <c r="Q60" s="47"/>
      <c r="R60" s="102" t="s">
        <v>12</v>
      </c>
    </row>
    <row r="61" spans="2:18" x14ac:dyDescent="0.25">
      <c r="B61" s="148"/>
      <c r="C61" s="148"/>
      <c r="D61" s="47">
        <v>54</v>
      </c>
      <c r="E61" s="102" t="s">
        <v>155</v>
      </c>
      <c r="F61" s="102" t="s">
        <v>13</v>
      </c>
      <c r="G61" s="108" t="s">
        <v>703</v>
      </c>
      <c r="H61" s="102" t="s">
        <v>1</v>
      </c>
      <c r="I61" s="102" t="s">
        <v>11</v>
      </c>
      <c r="J61" s="103" t="s">
        <v>517</v>
      </c>
      <c r="K61" s="104">
        <v>43794</v>
      </c>
      <c r="L61" s="105" t="s">
        <v>520</v>
      </c>
      <c r="M61" s="106">
        <f t="shared" si="2"/>
        <v>15</v>
      </c>
      <c r="N61" s="47" t="s">
        <v>3</v>
      </c>
      <c r="O61" s="47"/>
      <c r="P61" s="102" t="s">
        <v>12</v>
      </c>
      <c r="Q61" s="47"/>
      <c r="R61" s="102" t="s">
        <v>12</v>
      </c>
    </row>
    <row r="62" spans="2:18" ht="25.5" x14ac:dyDescent="0.25">
      <c r="B62" s="148"/>
      <c r="C62" s="148"/>
      <c r="D62" s="47">
        <v>55</v>
      </c>
      <c r="E62" s="102" t="s">
        <v>156</v>
      </c>
      <c r="F62" s="102" t="s">
        <v>13</v>
      </c>
      <c r="G62" s="108" t="s">
        <v>704</v>
      </c>
      <c r="H62" s="102" t="s">
        <v>7</v>
      </c>
      <c r="I62" s="102" t="s">
        <v>11</v>
      </c>
      <c r="J62" s="103" t="s">
        <v>667</v>
      </c>
      <c r="K62" s="104">
        <v>43572</v>
      </c>
      <c r="L62" s="105" t="s">
        <v>521</v>
      </c>
      <c r="M62" s="106">
        <f t="shared" si="2"/>
        <v>9</v>
      </c>
      <c r="N62" s="47" t="s">
        <v>3</v>
      </c>
      <c r="O62" s="47"/>
      <c r="P62" s="102" t="s">
        <v>12</v>
      </c>
      <c r="Q62" s="47"/>
      <c r="R62" s="102" t="s">
        <v>12</v>
      </c>
    </row>
    <row r="63" spans="2:18" x14ac:dyDescent="0.25">
      <c r="B63" s="148">
        <v>19</v>
      </c>
      <c r="C63" s="158" t="s">
        <v>742</v>
      </c>
      <c r="D63" s="47">
        <v>56</v>
      </c>
      <c r="E63" s="102" t="s">
        <v>157</v>
      </c>
      <c r="F63" s="102" t="s">
        <v>5</v>
      </c>
      <c r="G63" s="108" t="s">
        <v>744</v>
      </c>
      <c r="H63" s="102" t="s">
        <v>1</v>
      </c>
      <c r="I63" s="102" t="s">
        <v>2</v>
      </c>
      <c r="J63" s="103" t="s">
        <v>582</v>
      </c>
      <c r="K63" s="104">
        <v>43830</v>
      </c>
      <c r="L63" s="105" t="s">
        <v>747</v>
      </c>
      <c r="M63" s="106">
        <f t="shared" si="2"/>
        <v>60</v>
      </c>
      <c r="N63" s="47" t="s">
        <v>3</v>
      </c>
      <c r="O63" s="47"/>
      <c r="P63" s="102" t="s">
        <v>4</v>
      </c>
      <c r="Q63" s="47"/>
      <c r="R63" s="102" t="s">
        <v>32</v>
      </c>
    </row>
    <row r="64" spans="2:18" x14ac:dyDescent="0.25">
      <c r="B64" s="148"/>
      <c r="C64" s="148"/>
      <c r="D64" s="47">
        <v>57</v>
      </c>
      <c r="E64" s="102" t="s">
        <v>743</v>
      </c>
      <c r="F64" s="102" t="s">
        <v>9</v>
      </c>
      <c r="G64" s="108" t="s">
        <v>745</v>
      </c>
      <c r="H64" s="102" t="s">
        <v>7</v>
      </c>
      <c r="I64" s="102" t="s">
        <v>2</v>
      </c>
      <c r="J64" s="103" t="s">
        <v>517</v>
      </c>
      <c r="K64" s="104">
        <v>43830</v>
      </c>
      <c r="L64" s="105" t="s">
        <v>748</v>
      </c>
      <c r="M64" s="106">
        <f t="shared" si="2"/>
        <v>52</v>
      </c>
      <c r="N64" s="47" t="s">
        <v>3</v>
      </c>
      <c r="O64" s="47"/>
      <c r="P64" s="102" t="s">
        <v>12</v>
      </c>
      <c r="Q64" s="47"/>
      <c r="R64" s="102" t="s">
        <v>681</v>
      </c>
    </row>
    <row r="65" spans="2:18" x14ac:dyDescent="0.25">
      <c r="B65" s="148"/>
      <c r="C65" s="148"/>
      <c r="D65" s="47">
        <v>58</v>
      </c>
      <c r="E65" s="102" t="s">
        <v>109</v>
      </c>
      <c r="F65" s="102" t="s">
        <v>13</v>
      </c>
      <c r="G65" s="108" t="s">
        <v>746</v>
      </c>
      <c r="H65" s="102" t="s">
        <v>1</v>
      </c>
      <c r="I65" s="102" t="s">
        <v>11</v>
      </c>
      <c r="J65" s="103" t="s">
        <v>582</v>
      </c>
      <c r="K65" s="104">
        <v>43809</v>
      </c>
      <c r="L65" s="105" t="s">
        <v>584</v>
      </c>
      <c r="M65" s="106">
        <f t="shared" si="2"/>
        <v>29</v>
      </c>
      <c r="N65" s="47" t="s">
        <v>3</v>
      </c>
      <c r="O65" s="47"/>
      <c r="P65" s="102" t="s">
        <v>4</v>
      </c>
      <c r="Q65" s="47"/>
      <c r="R65" s="102" t="s">
        <v>261</v>
      </c>
    </row>
    <row r="66" spans="2:18" x14ac:dyDescent="0.25">
      <c r="B66" s="148">
        <v>20</v>
      </c>
      <c r="C66" s="148" t="s">
        <v>683</v>
      </c>
      <c r="D66" s="47">
        <v>59</v>
      </c>
      <c r="E66" s="102" t="s">
        <v>158</v>
      </c>
      <c r="F66" s="102" t="s">
        <v>5</v>
      </c>
      <c r="G66" s="108" t="s">
        <v>688</v>
      </c>
      <c r="H66" s="102" t="s">
        <v>1</v>
      </c>
      <c r="I66" s="102" t="s">
        <v>2</v>
      </c>
      <c r="J66" s="103" t="s">
        <v>517</v>
      </c>
      <c r="K66" s="104">
        <v>43749</v>
      </c>
      <c r="L66" s="105" t="s">
        <v>694</v>
      </c>
      <c r="M66" s="106">
        <f>2019-L66</f>
        <v>40</v>
      </c>
      <c r="N66" s="47" t="s">
        <v>3</v>
      </c>
      <c r="O66" s="47"/>
      <c r="P66" s="102" t="s">
        <v>508</v>
      </c>
      <c r="Q66" s="47"/>
      <c r="R66" s="102" t="s">
        <v>698</v>
      </c>
    </row>
    <row r="67" spans="2:18" x14ac:dyDescent="0.25">
      <c r="B67" s="148"/>
      <c r="C67" s="148"/>
      <c r="D67" s="47">
        <v>60</v>
      </c>
      <c r="E67" s="102" t="s">
        <v>159</v>
      </c>
      <c r="F67" s="102" t="s">
        <v>9</v>
      </c>
      <c r="G67" s="108" t="s">
        <v>689</v>
      </c>
      <c r="H67" s="102" t="s">
        <v>7</v>
      </c>
      <c r="I67" s="102" t="s">
        <v>2</v>
      </c>
      <c r="J67" s="103" t="s">
        <v>517</v>
      </c>
      <c r="K67" s="104">
        <v>43647</v>
      </c>
      <c r="L67" s="105" t="s">
        <v>519</v>
      </c>
      <c r="M67" s="106">
        <f t="shared" ref="M67:M94" si="3">2019-L67</f>
        <v>39</v>
      </c>
      <c r="N67" s="47" t="s">
        <v>3</v>
      </c>
      <c r="O67" s="47"/>
      <c r="P67" s="102" t="s">
        <v>17</v>
      </c>
      <c r="Q67" s="47"/>
      <c r="R67" s="102" t="s">
        <v>698</v>
      </c>
    </row>
    <row r="68" spans="2:18" x14ac:dyDescent="0.25">
      <c r="B68" s="148"/>
      <c r="C68" s="148"/>
      <c r="D68" s="47">
        <v>61</v>
      </c>
      <c r="E68" s="102" t="s">
        <v>684</v>
      </c>
      <c r="F68" s="102" t="s">
        <v>13</v>
      </c>
      <c r="G68" s="108" t="s">
        <v>690</v>
      </c>
      <c r="H68" s="102" t="s">
        <v>7</v>
      </c>
      <c r="I68" s="102" t="s">
        <v>11</v>
      </c>
      <c r="J68" s="103" t="s">
        <v>517</v>
      </c>
      <c r="K68" s="104">
        <v>43613</v>
      </c>
      <c r="L68" s="105" t="s">
        <v>695</v>
      </c>
      <c r="M68" s="106">
        <f t="shared" si="3"/>
        <v>18</v>
      </c>
      <c r="N68" s="47" t="s">
        <v>3</v>
      </c>
      <c r="O68" s="47"/>
      <c r="P68" s="102" t="s">
        <v>17</v>
      </c>
      <c r="Q68" s="47"/>
      <c r="R68" s="102" t="s">
        <v>261</v>
      </c>
    </row>
    <row r="69" spans="2:18" x14ac:dyDescent="0.25">
      <c r="B69" s="148"/>
      <c r="C69" s="148"/>
      <c r="D69" s="47">
        <v>62</v>
      </c>
      <c r="E69" s="102" t="s">
        <v>685</v>
      </c>
      <c r="F69" s="102" t="s">
        <v>13</v>
      </c>
      <c r="G69" s="108" t="s">
        <v>691</v>
      </c>
      <c r="H69" s="102" t="s">
        <v>7</v>
      </c>
      <c r="I69" s="102" t="s">
        <v>11</v>
      </c>
      <c r="J69" s="103" t="s">
        <v>517</v>
      </c>
      <c r="K69" s="104">
        <v>43548</v>
      </c>
      <c r="L69" s="105" t="s">
        <v>554</v>
      </c>
      <c r="M69" s="106">
        <f t="shared" si="3"/>
        <v>11</v>
      </c>
      <c r="N69" s="47" t="s">
        <v>3</v>
      </c>
      <c r="O69" s="47"/>
      <c r="P69" s="102" t="s">
        <v>17</v>
      </c>
      <c r="Q69" s="47"/>
      <c r="R69" s="102" t="s">
        <v>261</v>
      </c>
    </row>
    <row r="70" spans="2:18" x14ac:dyDescent="0.25">
      <c r="B70" s="148"/>
      <c r="C70" s="148"/>
      <c r="D70" s="47">
        <v>63</v>
      </c>
      <c r="E70" s="102" t="s">
        <v>686</v>
      </c>
      <c r="F70" s="102" t="s">
        <v>13</v>
      </c>
      <c r="G70" s="108" t="s">
        <v>692</v>
      </c>
      <c r="H70" s="102" t="s">
        <v>7</v>
      </c>
      <c r="I70" s="102" t="s">
        <v>11</v>
      </c>
      <c r="J70" s="103" t="s">
        <v>517</v>
      </c>
      <c r="K70" s="104">
        <v>43544</v>
      </c>
      <c r="L70" s="105" t="s">
        <v>696</v>
      </c>
      <c r="M70" s="106">
        <f t="shared" si="3"/>
        <v>3</v>
      </c>
      <c r="N70" s="47" t="s">
        <v>3</v>
      </c>
      <c r="O70" s="47"/>
      <c r="P70" s="102" t="s">
        <v>680</v>
      </c>
      <c r="Q70" s="47"/>
      <c r="R70" s="102" t="s">
        <v>682</v>
      </c>
    </row>
    <row r="71" spans="2:18" x14ac:dyDescent="0.25">
      <c r="B71" s="148"/>
      <c r="C71" s="148"/>
      <c r="D71" s="47">
        <v>64</v>
      </c>
      <c r="E71" s="102" t="s">
        <v>687</v>
      </c>
      <c r="F71" s="102" t="s">
        <v>13</v>
      </c>
      <c r="G71" s="108" t="s">
        <v>693</v>
      </c>
      <c r="H71" s="102" t="s">
        <v>7</v>
      </c>
      <c r="I71" s="102" t="s">
        <v>11</v>
      </c>
      <c r="J71" s="103" t="s">
        <v>517</v>
      </c>
      <c r="K71" s="104">
        <v>43466</v>
      </c>
      <c r="L71" s="105" t="s">
        <v>697</v>
      </c>
      <c r="M71" s="106">
        <f t="shared" si="3"/>
        <v>78</v>
      </c>
      <c r="N71" s="47" t="s">
        <v>3</v>
      </c>
      <c r="O71" s="47"/>
      <c r="P71" s="102" t="s">
        <v>508</v>
      </c>
      <c r="Q71" s="47"/>
      <c r="R71" s="102" t="s">
        <v>555</v>
      </c>
    </row>
    <row r="72" spans="2:18" x14ac:dyDescent="0.25">
      <c r="B72" s="148">
        <v>21</v>
      </c>
      <c r="C72" s="158" t="s">
        <v>710</v>
      </c>
      <c r="D72" s="47">
        <v>65</v>
      </c>
      <c r="E72" s="102" t="s">
        <v>160</v>
      </c>
      <c r="F72" s="102" t="s">
        <v>5</v>
      </c>
      <c r="G72" s="108" t="s">
        <v>711</v>
      </c>
      <c r="H72" s="102" t="s">
        <v>7</v>
      </c>
      <c r="I72" s="102" t="s">
        <v>29</v>
      </c>
      <c r="J72" s="103" t="s">
        <v>517</v>
      </c>
      <c r="K72" s="104">
        <v>43647</v>
      </c>
      <c r="L72" s="105" t="s">
        <v>713</v>
      </c>
      <c r="M72" s="106">
        <f t="shared" si="3"/>
        <v>69</v>
      </c>
      <c r="N72" s="47" t="s">
        <v>3</v>
      </c>
      <c r="O72" s="47"/>
      <c r="P72" s="102" t="s">
        <v>17</v>
      </c>
      <c r="Q72" s="47"/>
      <c r="R72" s="102" t="s">
        <v>21</v>
      </c>
    </row>
    <row r="73" spans="2:18" x14ac:dyDescent="0.25">
      <c r="B73" s="148"/>
      <c r="C73" s="148"/>
      <c r="D73" s="47">
        <v>66</v>
      </c>
      <c r="E73" s="102" t="s">
        <v>161</v>
      </c>
      <c r="F73" s="102" t="s">
        <v>30</v>
      </c>
      <c r="G73" s="108" t="s">
        <v>712</v>
      </c>
      <c r="H73" s="102" t="s">
        <v>7</v>
      </c>
      <c r="I73" s="102" t="s">
        <v>11</v>
      </c>
      <c r="J73" s="103" t="s">
        <v>517</v>
      </c>
      <c r="K73" s="104">
        <v>43819</v>
      </c>
      <c r="L73" s="105" t="s">
        <v>597</v>
      </c>
      <c r="M73" s="106">
        <f t="shared" si="3"/>
        <v>14</v>
      </c>
      <c r="N73" s="47" t="s">
        <v>3</v>
      </c>
      <c r="O73" s="47"/>
      <c r="P73" s="102" t="s">
        <v>17</v>
      </c>
      <c r="Q73" s="47"/>
      <c r="R73" s="102" t="s">
        <v>261</v>
      </c>
    </row>
    <row r="74" spans="2:18" ht="25.5" x14ac:dyDescent="0.25">
      <c r="B74" s="153">
        <v>22</v>
      </c>
      <c r="C74" s="153" t="s">
        <v>825</v>
      </c>
      <c r="D74" s="47">
        <v>67</v>
      </c>
      <c r="E74" s="102" t="s">
        <v>162</v>
      </c>
      <c r="F74" s="102" t="s">
        <v>5</v>
      </c>
      <c r="G74" s="47" t="s">
        <v>240</v>
      </c>
      <c r="H74" s="102" t="s">
        <v>1</v>
      </c>
      <c r="I74" s="102" t="s">
        <v>2</v>
      </c>
      <c r="J74" s="103" t="s">
        <v>517</v>
      </c>
      <c r="K74" s="104">
        <v>28490</v>
      </c>
      <c r="L74" s="105" t="s">
        <v>505</v>
      </c>
      <c r="M74" s="106">
        <f t="shared" si="3"/>
        <v>42</v>
      </c>
      <c r="N74" s="47" t="s">
        <v>3</v>
      </c>
      <c r="O74" s="47" t="s">
        <v>717</v>
      </c>
      <c r="P74" s="102" t="s">
        <v>790</v>
      </c>
      <c r="Q74" s="47"/>
      <c r="R74" s="102" t="s">
        <v>698</v>
      </c>
    </row>
    <row r="75" spans="2:18" ht="25.5" x14ac:dyDescent="0.25">
      <c r="B75" s="154"/>
      <c r="C75" s="154"/>
      <c r="D75" s="47">
        <v>68</v>
      </c>
      <c r="E75" s="102" t="s">
        <v>163</v>
      </c>
      <c r="F75" s="102" t="s">
        <v>9</v>
      </c>
      <c r="G75" s="47" t="s">
        <v>830</v>
      </c>
      <c r="H75" s="102" t="s">
        <v>7</v>
      </c>
      <c r="I75" s="102" t="s">
        <v>2</v>
      </c>
      <c r="J75" s="103" t="s">
        <v>517</v>
      </c>
      <c r="K75" s="104">
        <v>29418</v>
      </c>
      <c r="L75" s="105" t="s">
        <v>519</v>
      </c>
      <c r="M75" s="106">
        <f t="shared" si="3"/>
        <v>39</v>
      </c>
      <c r="N75" s="47" t="s">
        <v>3</v>
      </c>
      <c r="O75" s="47" t="s">
        <v>717</v>
      </c>
      <c r="P75" s="102" t="s">
        <v>790</v>
      </c>
      <c r="Q75" s="47"/>
      <c r="R75" s="102" t="s">
        <v>698</v>
      </c>
    </row>
    <row r="76" spans="2:18" x14ac:dyDescent="0.25">
      <c r="B76" s="154"/>
      <c r="C76" s="154"/>
      <c r="D76" s="47">
        <v>69</v>
      </c>
      <c r="E76" s="102" t="s">
        <v>826</v>
      </c>
      <c r="F76" s="102" t="s">
        <v>13</v>
      </c>
      <c r="G76" s="47" t="s">
        <v>829</v>
      </c>
      <c r="H76" s="102" t="s">
        <v>7</v>
      </c>
      <c r="I76" s="102" t="s">
        <v>11</v>
      </c>
      <c r="J76" s="103" t="s">
        <v>517</v>
      </c>
      <c r="K76" s="104">
        <v>36892</v>
      </c>
      <c r="L76" s="105" t="s">
        <v>695</v>
      </c>
      <c r="M76" s="106">
        <f t="shared" si="3"/>
        <v>18</v>
      </c>
      <c r="N76" s="47" t="s">
        <v>3</v>
      </c>
      <c r="O76" s="47" t="s">
        <v>717</v>
      </c>
      <c r="P76" s="102" t="s">
        <v>808</v>
      </c>
      <c r="Q76" s="47"/>
      <c r="R76" s="102" t="s">
        <v>261</v>
      </c>
    </row>
    <row r="77" spans="2:18" ht="25.5" x14ac:dyDescent="0.25">
      <c r="B77" s="154"/>
      <c r="C77" s="154"/>
      <c r="D77" s="47">
        <v>70</v>
      </c>
      <c r="E77" s="102" t="s">
        <v>164</v>
      </c>
      <c r="F77" s="102" t="s">
        <v>13</v>
      </c>
      <c r="G77" s="47" t="s">
        <v>828</v>
      </c>
      <c r="H77" s="102" t="s">
        <v>7</v>
      </c>
      <c r="I77" s="102" t="s">
        <v>11</v>
      </c>
      <c r="J77" s="103" t="s">
        <v>517</v>
      </c>
      <c r="K77" s="104">
        <v>40773</v>
      </c>
      <c r="L77" s="105" t="s">
        <v>585</v>
      </c>
      <c r="M77" s="106">
        <f t="shared" si="3"/>
        <v>8</v>
      </c>
      <c r="N77" s="47" t="s">
        <v>3</v>
      </c>
      <c r="O77" s="47" t="s">
        <v>717</v>
      </c>
      <c r="P77" s="102" t="s">
        <v>779</v>
      </c>
      <c r="Q77" s="47"/>
      <c r="R77" s="102" t="s">
        <v>682</v>
      </c>
    </row>
    <row r="78" spans="2:18" ht="25.5" x14ac:dyDescent="0.25">
      <c r="B78" s="155"/>
      <c r="C78" s="155"/>
      <c r="D78" s="47">
        <v>71</v>
      </c>
      <c r="E78" s="102" t="s">
        <v>165</v>
      </c>
      <c r="F78" s="102" t="s">
        <v>368</v>
      </c>
      <c r="G78" s="47" t="s">
        <v>827</v>
      </c>
      <c r="H78" s="102" t="s">
        <v>1</v>
      </c>
      <c r="I78" s="102" t="s">
        <v>379</v>
      </c>
      <c r="J78" s="103" t="s">
        <v>517</v>
      </c>
      <c r="K78" s="104">
        <v>17532</v>
      </c>
      <c r="L78" s="105" t="s">
        <v>831</v>
      </c>
      <c r="M78" s="106">
        <f t="shared" si="3"/>
        <v>72</v>
      </c>
      <c r="N78" s="47" t="s">
        <v>3</v>
      </c>
      <c r="O78" s="47" t="s">
        <v>717</v>
      </c>
      <c r="P78" s="102" t="s">
        <v>779</v>
      </c>
      <c r="Q78" s="47"/>
      <c r="R78" s="102" t="s">
        <v>682</v>
      </c>
    </row>
    <row r="79" spans="2:18" ht="25.5" x14ac:dyDescent="0.25">
      <c r="B79" s="148">
        <v>23</v>
      </c>
      <c r="C79" s="148" t="s">
        <v>803</v>
      </c>
      <c r="D79" s="47">
        <v>72</v>
      </c>
      <c r="E79" s="102" t="s">
        <v>166</v>
      </c>
      <c r="F79" s="102" t="s">
        <v>5</v>
      </c>
      <c r="G79" s="47" t="s">
        <v>804</v>
      </c>
      <c r="H79" s="102" t="s">
        <v>1</v>
      </c>
      <c r="I79" s="102" t="s">
        <v>2</v>
      </c>
      <c r="J79" s="103" t="s">
        <v>517</v>
      </c>
      <c r="K79" s="104">
        <v>27576</v>
      </c>
      <c r="L79" s="105" t="s">
        <v>552</v>
      </c>
      <c r="M79" s="106">
        <f t="shared" si="3"/>
        <v>44</v>
      </c>
      <c r="N79" s="47" t="s">
        <v>3</v>
      </c>
      <c r="O79" s="47" t="s">
        <v>717</v>
      </c>
      <c r="P79" s="102" t="s">
        <v>790</v>
      </c>
      <c r="Q79" s="47"/>
      <c r="R79" s="102" t="s">
        <v>698</v>
      </c>
    </row>
    <row r="80" spans="2:18" ht="25.5" x14ac:dyDescent="0.25">
      <c r="B80" s="148"/>
      <c r="C80" s="148"/>
      <c r="D80" s="47">
        <v>73</v>
      </c>
      <c r="E80" s="102" t="s">
        <v>167</v>
      </c>
      <c r="F80" s="102" t="s">
        <v>9</v>
      </c>
      <c r="G80" s="47" t="s">
        <v>805</v>
      </c>
      <c r="H80" s="102" t="s">
        <v>7</v>
      </c>
      <c r="I80" s="102" t="s">
        <v>2</v>
      </c>
      <c r="J80" s="103" t="s">
        <v>517</v>
      </c>
      <c r="K80" s="104">
        <v>29403</v>
      </c>
      <c r="L80" s="105" t="s">
        <v>519</v>
      </c>
      <c r="M80" s="106">
        <f t="shared" si="3"/>
        <v>39</v>
      </c>
      <c r="N80" s="47" t="s">
        <v>3</v>
      </c>
      <c r="O80" s="47" t="s">
        <v>717</v>
      </c>
      <c r="P80" s="102" t="s">
        <v>790</v>
      </c>
      <c r="Q80" s="47"/>
      <c r="R80" s="102" t="s">
        <v>18</v>
      </c>
    </row>
    <row r="81" spans="2:18" x14ac:dyDescent="0.25">
      <c r="B81" s="148"/>
      <c r="C81" s="148"/>
      <c r="D81" s="47">
        <v>74</v>
      </c>
      <c r="E81" s="102" t="s">
        <v>168</v>
      </c>
      <c r="F81" s="102" t="s">
        <v>13</v>
      </c>
      <c r="G81" s="47" t="s">
        <v>806</v>
      </c>
      <c r="H81" s="102" t="s">
        <v>7</v>
      </c>
      <c r="I81" s="102" t="s">
        <v>11</v>
      </c>
      <c r="J81" s="103" t="s">
        <v>517</v>
      </c>
      <c r="K81" s="104">
        <v>37148</v>
      </c>
      <c r="L81" s="105" t="s">
        <v>695</v>
      </c>
      <c r="M81" s="106">
        <f t="shared" si="3"/>
        <v>18</v>
      </c>
      <c r="N81" s="47" t="s">
        <v>3</v>
      </c>
      <c r="O81" s="47" t="s">
        <v>717</v>
      </c>
      <c r="P81" s="102" t="s">
        <v>808</v>
      </c>
      <c r="Q81" s="47"/>
      <c r="R81" s="102" t="s">
        <v>261</v>
      </c>
    </row>
    <row r="82" spans="2:18" ht="25.5" x14ac:dyDescent="0.25">
      <c r="B82" s="148"/>
      <c r="C82" s="148"/>
      <c r="D82" s="47">
        <v>75</v>
      </c>
      <c r="E82" s="102" t="s">
        <v>169</v>
      </c>
      <c r="F82" s="102" t="s">
        <v>13</v>
      </c>
      <c r="G82" s="47" t="s">
        <v>807</v>
      </c>
      <c r="H82" s="102" t="s">
        <v>1</v>
      </c>
      <c r="I82" s="102" t="s">
        <v>11</v>
      </c>
      <c r="J82" s="103" t="s">
        <v>517</v>
      </c>
      <c r="K82" s="104">
        <v>40312</v>
      </c>
      <c r="L82" s="105" t="s">
        <v>521</v>
      </c>
      <c r="M82" s="106">
        <f t="shared" si="3"/>
        <v>9</v>
      </c>
      <c r="N82" s="47" t="s">
        <v>3</v>
      </c>
      <c r="O82" s="47" t="s">
        <v>717</v>
      </c>
      <c r="P82" s="102" t="s">
        <v>786</v>
      </c>
      <c r="Q82" s="47"/>
      <c r="R82" s="102" t="s">
        <v>682</v>
      </c>
    </row>
    <row r="83" spans="2:18" ht="25.5" x14ac:dyDescent="0.25">
      <c r="B83" s="148">
        <v>24</v>
      </c>
      <c r="C83" s="158" t="s">
        <v>673</v>
      </c>
      <c r="D83" s="47">
        <v>76</v>
      </c>
      <c r="E83" s="102" t="s">
        <v>674</v>
      </c>
      <c r="F83" s="102" t="s">
        <v>5</v>
      </c>
      <c r="G83" s="47" t="s">
        <v>241</v>
      </c>
      <c r="H83" s="102" t="s">
        <v>1</v>
      </c>
      <c r="I83" s="102" t="s">
        <v>2</v>
      </c>
      <c r="J83" s="103" t="s">
        <v>517</v>
      </c>
      <c r="K83" s="104">
        <v>43811</v>
      </c>
      <c r="L83" s="105" t="s">
        <v>678</v>
      </c>
      <c r="M83" s="106">
        <f t="shared" si="3"/>
        <v>47</v>
      </c>
      <c r="N83" s="47" t="s">
        <v>3</v>
      </c>
      <c r="O83" s="47"/>
      <c r="P83" s="102" t="s">
        <v>4</v>
      </c>
      <c r="Q83" s="47"/>
      <c r="R83" s="102" t="s">
        <v>32</v>
      </c>
    </row>
    <row r="84" spans="2:18" x14ac:dyDescent="0.25">
      <c r="B84" s="148"/>
      <c r="C84" s="158"/>
      <c r="D84" s="47">
        <v>77</v>
      </c>
      <c r="E84" s="102" t="s">
        <v>170</v>
      </c>
      <c r="F84" s="102" t="s">
        <v>9</v>
      </c>
      <c r="G84" s="47" t="s">
        <v>242</v>
      </c>
      <c r="H84" s="102" t="s">
        <v>7</v>
      </c>
      <c r="I84" s="102" t="s">
        <v>2</v>
      </c>
      <c r="J84" s="103" t="s">
        <v>517</v>
      </c>
      <c r="K84" s="104">
        <v>43507</v>
      </c>
      <c r="L84" s="105" t="s">
        <v>563</v>
      </c>
      <c r="M84" s="106">
        <f t="shared" si="3"/>
        <v>46</v>
      </c>
      <c r="N84" s="47" t="s">
        <v>3</v>
      </c>
      <c r="O84" s="47"/>
      <c r="P84" s="102" t="s">
        <v>17</v>
      </c>
      <c r="Q84" s="47"/>
      <c r="R84" s="102" t="s">
        <v>681</v>
      </c>
    </row>
    <row r="85" spans="2:18" ht="25.5" x14ac:dyDescent="0.25">
      <c r="B85" s="148"/>
      <c r="C85" s="158"/>
      <c r="D85" s="47">
        <v>78</v>
      </c>
      <c r="E85" s="102" t="s">
        <v>172</v>
      </c>
      <c r="F85" s="102" t="s">
        <v>13</v>
      </c>
      <c r="G85" s="108" t="s">
        <v>676</v>
      </c>
      <c r="H85" s="102" t="s">
        <v>7</v>
      </c>
      <c r="I85" s="102" t="s">
        <v>11</v>
      </c>
      <c r="J85" s="103" t="s">
        <v>517</v>
      </c>
      <c r="K85" s="104">
        <v>43704</v>
      </c>
      <c r="L85" s="105" t="s">
        <v>597</v>
      </c>
      <c r="M85" s="106">
        <f t="shared" si="3"/>
        <v>14</v>
      </c>
      <c r="N85" s="47" t="s">
        <v>3</v>
      </c>
      <c r="O85" s="47"/>
      <c r="P85" s="102" t="s">
        <v>17</v>
      </c>
      <c r="Q85" s="47"/>
      <c r="R85" s="102" t="s">
        <v>261</v>
      </c>
    </row>
    <row r="86" spans="2:18" ht="25.5" x14ac:dyDescent="0.25">
      <c r="B86" s="148"/>
      <c r="C86" s="158"/>
      <c r="D86" s="47">
        <v>79</v>
      </c>
      <c r="E86" s="102" t="s">
        <v>675</v>
      </c>
      <c r="F86" s="102" t="s">
        <v>13</v>
      </c>
      <c r="G86" s="108" t="s">
        <v>677</v>
      </c>
      <c r="H86" s="102" t="s">
        <v>7</v>
      </c>
      <c r="I86" s="102" t="s">
        <v>11</v>
      </c>
      <c r="J86" s="102" t="s">
        <v>517</v>
      </c>
      <c r="K86" s="104">
        <v>43675</v>
      </c>
      <c r="L86" s="108" t="s">
        <v>679</v>
      </c>
      <c r="M86" s="106">
        <f t="shared" si="3"/>
        <v>4</v>
      </c>
      <c r="N86" s="47"/>
      <c r="O86" s="47"/>
      <c r="P86" s="102" t="s">
        <v>680</v>
      </c>
      <c r="Q86" s="47"/>
      <c r="R86" s="102" t="s">
        <v>682</v>
      </c>
    </row>
    <row r="87" spans="2:18" x14ac:dyDescent="0.25">
      <c r="B87" s="153">
        <v>25</v>
      </c>
      <c r="C87" s="158" t="s">
        <v>725</v>
      </c>
      <c r="D87" s="47">
        <v>80</v>
      </c>
      <c r="E87" s="102" t="s">
        <v>173</v>
      </c>
      <c r="F87" s="102" t="s">
        <v>5</v>
      </c>
      <c r="G87" s="47" t="s">
        <v>244</v>
      </c>
      <c r="H87" s="102" t="s">
        <v>1</v>
      </c>
      <c r="I87" s="102" t="s">
        <v>2</v>
      </c>
      <c r="J87" s="103" t="s">
        <v>503</v>
      </c>
      <c r="K87" s="104">
        <v>43830</v>
      </c>
      <c r="L87" s="105" t="s">
        <v>715</v>
      </c>
      <c r="M87" s="106">
        <f t="shared" si="3"/>
        <v>31</v>
      </c>
      <c r="N87" s="47" t="s">
        <v>3</v>
      </c>
      <c r="O87" s="47"/>
      <c r="P87" s="102" t="s">
        <v>17</v>
      </c>
      <c r="Q87" s="47"/>
      <c r="R87" s="102" t="s">
        <v>15</v>
      </c>
    </row>
    <row r="88" spans="2:18" x14ac:dyDescent="0.25">
      <c r="B88" s="154"/>
      <c r="C88" s="148"/>
      <c r="D88" s="47">
        <v>81</v>
      </c>
      <c r="E88" s="102" t="s">
        <v>163</v>
      </c>
      <c r="F88" s="102" t="s">
        <v>9</v>
      </c>
      <c r="G88" s="47" t="s">
        <v>245</v>
      </c>
      <c r="H88" s="102" t="s">
        <v>7</v>
      </c>
      <c r="I88" s="102" t="s">
        <v>2</v>
      </c>
      <c r="J88" s="103" t="s">
        <v>517</v>
      </c>
      <c r="K88" s="104">
        <v>43830</v>
      </c>
      <c r="L88" s="105" t="s">
        <v>705</v>
      </c>
      <c r="M88" s="106">
        <f t="shared" si="3"/>
        <v>35</v>
      </c>
      <c r="N88" s="47" t="s">
        <v>3</v>
      </c>
      <c r="O88" s="47"/>
      <c r="P88" s="102" t="s">
        <v>20</v>
      </c>
      <c r="Q88" s="47"/>
      <c r="R88" s="102" t="s">
        <v>681</v>
      </c>
    </row>
    <row r="89" spans="2:18" x14ac:dyDescent="0.25">
      <c r="B89" s="154"/>
      <c r="C89" s="148"/>
      <c r="D89" s="47">
        <v>82</v>
      </c>
      <c r="E89" s="102" t="s">
        <v>174</v>
      </c>
      <c r="F89" s="102" t="s">
        <v>13</v>
      </c>
      <c r="G89" s="108" t="s">
        <v>727</v>
      </c>
      <c r="H89" s="102" t="s">
        <v>7</v>
      </c>
      <c r="I89" s="102" t="s">
        <v>11</v>
      </c>
      <c r="J89" s="102" t="s">
        <v>503</v>
      </c>
      <c r="K89" s="104">
        <v>43827</v>
      </c>
      <c r="L89" s="108" t="s">
        <v>729</v>
      </c>
      <c r="M89" s="106">
        <f t="shared" si="3"/>
        <v>13</v>
      </c>
      <c r="N89" s="47" t="s">
        <v>3</v>
      </c>
      <c r="O89" s="47"/>
      <c r="P89" s="102" t="s">
        <v>17</v>
      </c>
      <c r="Q89" s="47"/>
      <c r="R89" s="102" t="s">
        <v>261</v>
      </c>
    </row>
    <row r="90" spans="2:18" ht="25.5" x14ac:dyDescent="0.25">
      <c r="B90" s="155"/>
      <c r="C90" s="148"/>
      <c r="D90" s="47">
        <v>83</v>
      </c>
      <c r="E90" s="102" t="s">
        <v>726</v>
      </c>
      <c r="F90" s="102" t="s">
        <v>13</v>
      </c>
      <c r="G90" s="108" t="s">
        <v>728</v>
      </c>
      <c r="H90" s="102" t="s">
        <v>1</v>
      </c>
      <c r="I90" s="102" t="s">
        <v>11</v>
      </c>
      <c r="J90" s="102" t="s">
        <v>422</v>
      </c>
      <c r="K90" s="104">
        <v>43591</v>
      </c>
      <c r="L90" s="108" t="s">
        <v>724</v>
      </c>
      <c r="M90" s="106">
        <f t="shared" si="3"/>
        <v>1</v>
      </c>
      <c r="N90" s="47" t="s">
        <v>3</v>
      </c>
      <c r="O90" s="47"/>
      <c r="P90" s="102" t="s">
        <v>680</v>
      </c>
      <c r="Q90" s="47"/>
      <c r="R90" s="102" t="s">
        <v>682</v>
      </c>
    </row>
    <row r="91" spans="2:18" x14ac:dyDescent="0.25">
      <c r="B91" s="148">
        <v>26</v>
      </c>
      <c r="C91" s="148"/>
      <c r="D91" s="101">
        <v>84</v>
      </c>
      <c r="E91" s="102" t="s">
        <v>175</v>
      </c>
      <c r="F91" s="102" t="s">
        <v>5</v>
      </c>
      <c r="G91" s="101">
        <v>0</v>
      </c>
      <c r="H91" s="102" t="s">
        <v>1</v>
      </c>
      <c r="I91" s="102" t="s">
        <v>2</v>
      </c>
      <c r="J91" s="103"/>
      <c r="K91" s="107">
        <v>25750</v>
      </c>
      <c r="L91" s="105" t="s">
        <v>824</v>
      </c>
      <c r="M91" s="106">
        <f t="shared" si="3"/>
        <v>49</v>
      </c>
      <c r="N91" s="101" t="s">
        <v>3</v>
      </c>
      <c r="O91" s="101"/>
      <c r="P91" s="102" t="s">
        <v>17</v>
      </c>
      <c r="Q91" s="101"/>
      <c r="R91" s="102" t="s">
        <v>229</v>
      </c>
    </row>
    <row r="92" spans="2:18" x14ac:dyDescent="0.25">
      <c r="B92" s="148"/>
      <c r="C92" s="148"/>
      <c r="D92" s="101">
        <v>85</v>
      </c>
      <c r="E92" s="102" t="s">
        <v>176</v>
      </c>
      <c r="F92" s="102" t="s">
        <v>9</v>
      </c>
      <c r="G92" s="101">
        <v>0</v>
      </c>
      <c r="H92" s="102" t="s">
        <v>7</v>
      </c>
      <c r="I92" s="102" t="s">
        <v>2</v>
      </c>
      <c r="J92" s="103"/>
      <c r="K92" s="107">
        <v>28307</v>
      </c>
      <c r="L92" s="105" t="s">
        <v>505</v>
      </c>
      <c r="M92" s="106">
        <f t="shared" si="3"/>
        <v>42</v>
      </c>
      <c r="N92" s="101" t="s">
        <v>3</v>
      </c>
      <c r="O92" s="101"/>
      <c r="P92" s="102" t="s">
        <v>17</v>
      </c>
      <c r="Q92" s="101"/>
      <c r="R92" s="102" t="s">
        <v>12</v>
      </c>
    </row>
    <row r="93" spans="2:18" x14ac:dyDescent="0.25">
      <c r="B93" s="148"/>
      <c r="C93" s="148"/>
      <c r="D93" s="101">
        <v>86</v>
      </c>
      <c r="E93" s="102" t="s">
        <v>177</v>
      </c>
      <c r="F93" s="102" t="s">
        <v>13</v>
      </c>
      <c r="G93" s="101">
        <v>0</v>
      </c>
      <c r="H93" s="102" t="s">
        <v>1</v>
      </c>
      <c r="I93" s="102" t="s">
        <v>11</v>
      </c>
      <c r="J93" s="103"/>
      <c r="K93" s="107">
        <v>38169</v>
      </c>
      <c r="L93" s="105" t="s">
        <v>520</v>
      </c>
      <c r="M93" s="106">
        <f t="shared" si="3"/>
        <v>15</v>
      </c>
      <c r="N93" s="101" t="s">
        <v>3</v>
      </c>
      <c r="O93" s="101"/>
      <c r="P93" s="102" t="s">
        <v>12</v>
      </c>
      <c r="Q93" s="101"/>
      <c r="R93" s="102" t="s">
        <v>12</v>
      </c>
    </row>
    <row r="94" spans="2:18" x14ac:dyDescent="0.25">
      <c r="B94" s="148"/>
      <c r="C94" s="148"/>
      <c r="D94" s="101">
        <v>87</v>
      </c>
      <c r="E94" s="102" t="s">
        <v>178</v>
      </c>
      <c r="F94" s="102" t="s">
        <v>13</v>
      </c>
      <c r="G94" s="101">
        <v>0</v>
      </c>
      <c r="H94" s="102" t="s">
        <v>7</v>
      </c>
      <c r="I94" s="102" t="s">
        <v>11</v>
      </c>
      <c r="J94" s="103"/>
      <c r="K94" s="107">
        <v>39814</v>
      </c>
      <c r="L94" s="105" t="s">
        <v>716</v>
      </c>
      <c r="M94" s="106">
        <f t="shared" si="3"/>
        <v>10</v>
      </c>
      <c r="N94" s="101" t="s">
        <v>3</v>
      </c>
      <c r="O94" s="101"/>
      <c r="P94" s="102" t="s">
        <v>12</v>
      </c>
      <c r="Q94" s="101"/>
      <c r="R94" s="102" t="s">
        <v>12</v>
      </c>
    </row>
    <row r="98" spans="4:18" s="118" customFormat="1" ht="15" x14ac:dyDescent="0.25">
      <c r="D98" s="146" t="s">
        <v>835</v>
      </c>
      <c r="E98" s="146"/>
      <c r="F98" s="146"/>
      <c r="L98" s="119"/>
      <c r="P98" s="85"/>
      <c r="R98" s="85"/>
    </row>
    <row r="99" spans="4:18" s="118" customFormat="1" ht="15" x14ac:dyDescent="0.25">
      <c r="D99" s="146" t="s">
        <v>836</v>
      </c>
      <c r="E99" s="146"/>
      <c r="F99" s="146"/>
      <c r="L99" s="119"/>
      <c r="P99" s="140" t="s">
        <v>839</v>
      </c>
      <c r="Q99" s="140"/>
      <c r="R99" s="85"/>
    </row>
    <row r="100" spans="4:18" s="118" customFormat="1" ht="15" x14ac:dyDescent="0.25">
      <c r="D100" s="123"/>
      <c r="E100" s="124"/>
      <c r="F100" s="123"/>
      <c r="L100" s="119"/>
      <c r="P100" s="53"/>
      <c r="Q100" s="52"/>
      <c r="R100" s="85"/>
    </row>
    <row r="101" spans="4:18" s="118" customFormat="1" ht="15" x14ac:dyDescent="0.25">
      <c r="D101" s="123"/>
      <c r="E101" s="124"/>
      <c r="F101" s="123"/>
      <c r="L101" s="119"/>
      <c r="P101" s="53"/>
      <c r="Q101" s="52"/>
      <c r="R101" s="85"/>
    </row>
    <row r="102" spans="4:18" s="118" customFormat="1" ht="15" x14ac:dyDescent="0.25">
      <c r="D102" s="123"/>
      <c r="E102" s="124"/>
      <c r="F102" s="123"/>
      <c r="L102" s="119"/>
      <c r="P102" s="53"/>
      <c r="Q102" s="52"/>
      <c r="R102" s="85"/>
    </row>
    <row r="103" spans="4:18" s="118" customFormat="1" ht="14.25" x14ac:dyDescent="0.2">
      <c r="D103" s="147" t="s">
        <v>837</v>
      </c>
      <c r="E103" s="147"/>
      <c r="F103" s="147"/>
      <c r="L103" s="119"/>
      <c r="P103" s="141" t="s">
        <v>840</v>
      </c>
      <c r="Q103" s="141"/>
      <c r="R103" s="85"/>
    </row>
    <row r="104" spans="4:18" s="118" customFormat="1" ht="14.25" x14ac:dyDescent="0.2">
      <c r="D104" s="147" t="s">
        <v>838</v>
      </c>
      <c r="E104" s="147"/>
      <c r="F104" s="147"/>
      <c r="L104" s="119"/>
      <c r="P104" s="85"/>
      <c r="R104" s="85"/>
    </row>
  </sheetData>
  <autoFilter ref="A7:R94"/>
  <mergeCells count="70">
    <mergeCell ref="D104:F104"/>
    <mergeCell ref="D98:F98"/>
    <mergeCell ref="D99:F99"/>
    <mergeCell ref="P99:Q99"/>
    <mergeCell ref="D103:F103"/>
    <mergeCell ref="P103:Q103"/>
    <mergeCell ref="B8:B10"/>
    <mergeCell ref="B11:B14"/>
    <mergeCell ref="C5:C6"/>
    <mergeCell ref="C15:C17"/>
    <mergeCell ref="E5:E6"/>
    <mergeCell ref="B15:B17"/>
    <mergeCell ref="C8:C10"/>
    <mergeCell ref="B18:B21"/>
    <mergeCell ref="B48:B50"/>
    <mergeCell ref="B66:B71"/>
    <mergeCell ref="B72:B73"/>
    <mergeCell ref="B42:B46"/>
    <mergeCell ref="B51:B54"/>
    <mergeCell ref="B55:B57"/>
    <mergeCell ref="B27:B29"/>
    <mergeCell ref="B30:B32"/>
    <mergeCell ref="B33:B34"/>
    <mergeCell ref="B39:B41"/>
    <mergeCell ref="B24:B26"/>
    <mergeCell ref="B22:B23"/>
    <mergeCell ref="C24:C26"/>
    <mergeCell ref="C11:C14"/>
    <mergeCell ref="C18:C21"/>
    <mergeCell ref="C22:C23"/>
    <mergeCell ref="C27:C29"/>
    <mergeCell ref="C30:C32"/>
    <mergeCell ref="C33:C34"/>
    <mergeCell ref="C42:C46"/>
    <mergeCell ref="C55:C57"/>
    <mergeCell ref="C83:C86"/>
    <mergeCell ref="C51:C54"/>
    <mergeCell ref="C48:C50"/>
    <mergeCell ref="C39:C41"/>
    <mergeCell ref="C63:C65"/>
    <mergeCell ref="B1:R1"/>
    <mergeCell ref="B2:R2"/>
    <mergeCell ref="D5:D6"/>
    <mergeCell ref="F5:F6"/>
    <mergeCell ref="B5:B6"/>
    <mergeCell ref="H5:H6"/>
    <mergeCell ref="I5:I6"/>
    <mergeCell ref="N5:N6"/>
    <mergeCell ref="P5:P6"/>
    <mergeCell ref="R5:R6"/>
    <mergeCell ref="G5:G6"/>
    <mergeCell ref="J5:M5"/>
    <mergeCell ref="O5:O6"/>
    <mergeCell ref="Q5:Q6"/>
    <mergeCell ref="C91:C94"/>
    <mergeCell ref="C35:C37"/>
    <mergeCell ref="B35:B37"/>
    <mergeCell ref="C66:C71"/>
    <mergeCell ref="B74:B78"/>
    <mergeCell ref="C74:C78"/>
    <mergeCell ref="C79:C82"/>
    <mergeCell ref="B87:B90"/>
    <mergeCell ref="B58:B62"/>
    <mergeCell ref="B63:B65"/>
    <mergeCell ref="C58:C62"/>
    <mergeCell ref="C72:C73"/>
    <mergeCell ref="B91:B94"/>
    <mergeCell ref="B79:B82"/>
    <mergeCell ref="B83:B86"/>
    <mergeCell ref="C87:C90"/>
  </mergeCells>
  <pageMargins left="1.37795275590551" right="0.196850393700787" top="0.39370078740157499" bottom="0.643700787" header="0.31496062992126" footer="0.31496062992126"/>
  <pageSetup paperSize="10000" scale="85" orientation="landscape" horizontalDpi="360" verticalDpi="360" r:id="rId1"/>
  <headerFooter>
    <oddFooter>&amp;C&amp;"-,Bold"&amp;12&amp;P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5" sqref="C5"/>
    </sheetView>
  </sheetViews>
  <sheetFormatPr defaultRowHeight="15" x14ac:dyDescent="0.25"/>
  <sheetData>
    <row r="1" spans="1:3" x14ac:dyDescent="0.25">
      <c r="A1">
        <v>31</v>
      </c>
      <c r="C1">
        <v>64</v>
      </c>
    </row>
    <row r="2" spans="1:3" x14ac:dyDescent="0.25">
      <c r="A2">
        <v>22</v>
      </c>
      <c r="C2">
        <v>67</v>
      </c>
    </row>
    <row r="3" spans="1:3" x14ac:dyDescent="0.25">
      <c r="A3">
        <v>24</v>
      </c>
      <c r="C3">
        <v>82</v>
      </c>
    </row>
    <row r="4" spans="1:3" x14ac:dyDescent="0.25">
      <c r="A4">
        <f>SUM(A1:A3)</f>
        <v>77</v>
      </c>
      <c r="C4">
        <f>SUM(C1:C3)</f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workbookViewId="0">
      <selection activeCell="C9" sqref="C9:T9"/>
    </sheetView>
  </sheetViews>
  <sheetFormatPr defaultRowHeight="15" x14ac:dyDescent="0.25"/>
  <cols>
    <col min="3" max="3" width="6.140625" customWidth="1"/>
    <col min="4" max="4" width="19" customWidth="1"/>
    <col min="5" max="5" width="14" customWidth="1"/>
    <col min="6" max="6" width="19.7109375" customWidth="1"/>
    <col min="8" max="8" width="13.85546875" customWidth="1"/>
    <col min="16" max="16" width="12.140625" customWidth="1"/>
    <col min="17" max="17" width="11.5703125" bestFit="1" customWidth="1"/>
  </cols>
  <sheetData>
    <row r="1" spans="1:23" s="10" customFormat="1" ht="15" customHeight="1" x14ac:dyDescent="0.25">
      <c r="A1" s="159" t="s">
        <v>100</v>
      </c>
      <c r="B1" s="5"/>
      <c r="C1" s="5"/>
      <c r="D1" s="161" t="s">
        <v>111</v>
      </c>
      <c r="E1" s="159" t="s">
        <v>106</v>
      </c>
      <c r="F1" s="159" t="s">
        <v>107</v>
      </c>
      <c r="G1" s="159" t="s">
        <v>101</v>
      </c>
      <c r="H1" s="159" t="s">
        <v>102</v>
      </c>
      <c r="I1" s="168" t="s">
        <v>246</v>
      </c>
      <c r="J1" s="169"/>
      <c r="K1" s="170"/>
      <c r="L1" s="160" t="s">
        <v>249</v>
      </c>
      <c r="M1" s="159" t="s">
        <v>103</v>
      </c>
      <c r="N1" s="160" t="s">
        <v>250</v>
      </c>
      <c r="O1" s="159" t="s">
        <v>104</v>
      </c>
      <c r="P1" s="172" t="s">
        <v>105</v>
      </c>
      <c r="Q1" s="163" t="s">
        <v>252</v>
      </c>
      <c r="R1" s="164"/>
      <c r="S1" s="165" t="s">
        <v>256</v>
      </c>
      <c r="T1" s="166"/>
      <c r="U1" s="167"/>
    </row>
    <row r="2" spans="1:23" s="10" customFormat="1" ht="32.25" customHeight="1" x14ac:dyDescent="0.25">
      <c r="A2" s="159"/>
      <c r="B2" s="7" t="s">
        <v>251</v>
      </c>
      <c r="C2" s="7"/>
      <c r="D2" s="162"/>
      <c r="E2" s="160"/>
      <c r="F2" s="160"/>
      <c r="G2" s="160"/>
      <c r="H2" s="160"/>
      <c r="I2" s="4" t="s">
        <v>286</v>
      </c>
      <c r="J2" s="4" t="s">
        <v>247</v>
      </c>
      <c r="K2" s="17" t="s">
        <v>248</v>
      </c>
      <c r="L2" s="171"/>
      <c r="M2" s="160"/>
      <c r="N2" s="171"/>
      <c r="O2" s="160"/>
      <c r="P2" s="173"/>
      <c r="Q2" s="13" t="s">
        <v>253</v>
      </c>
      <c r="R2" s="13" t="s">
        <v>254</v>
      </c>
      <c r="S2" s="14" t="s">
        <v>5</v>
      </c>
      <c r="T2" s="14" t="s">
        <v>262</v>
      </c>
      <c r="U2" s="14" t="s">
        <v>255</v>
      </c>
    </row>
    <row r="3" spans="1:23" ht="15.75" thickBot="1" x14ac:dyDescent="0.3"/>
    <row r="4" spans="1:23" s="1" customFormat="1" ht="26.25" thickBot="1" x14ac:dyDescent="0.3">
      <c r="A4" s="20"/>
      <c r="B4" s="6"/>
      <c r="C4" s="19">
        <v>10</v>
      </c>
      <c r="D4" s="16" t="s">
        <v>26</v>
      </c>
      <c r="E4" s="2" t="s">
        <v>13</v>
      </c>
      <c r="F4" s="2" t="s">
        <v>185</v>
      </c>
      <c r="G4" s="2" t="s">
        <v>7</v>
      </c>
      <c r="H4" s="2" t="s">
        <v>11</v>
      </c>
      <c r="I4" s="2"/>
      <c r="J4" s="3">
        <v>33238</v>
      </c>
      <c r="K4" s="18"/>
      <c r="L4" s="3"/>
      <c r="M4" s="2" t="s">
        <v>3</v>
      </c>
      <c r="N4" s="2"/>
      <c r="O4" s="2" t="s">
        <v>4</v>
      </c>
      <c r="P4" s="15" t="s">
        <v>15</v>
      </c>
      <c r="Q4" s="9"/>
      <c r="R4" s="9"/>
      <c r="S4" s="11"/>
      <c r="T4" s="11"/>
      <c r="U4" s="11"/>
    </row>
    <row r="5" spans="1:23" s="1" customFormat="1" ht="20.100000000000001" customHeight="1" x14ac:dyDescent="0.25">
      <c r="A5"/>
      <c r="B5" s="21"/>
      <c r="C5" s="22">
        <v>89</v>
      </c>
      <c r="D5" s="23" t="s">
        <v>94</v>
      </c>
      <c r="E5" s="21" t="s">
        <v>13</v>
      </c>
      <c r="F5" s="21" t="s">
        <v>213</v>
      </c>
      <c r="G5" s="21" t="s">
        <v>7</v>
      </c>
      <c r="H5" s="21" t="s">
        <v>11</v>
      </c>
      <c r="I5" s="21"/>
      <c r="J5" s="24">
        <v>33674</v>
      </c>
      <c r="K5" s="25"/>
      <c r="L5" s="24"/>
      <c r="M5" s="21" t="s">
        <v>3</v>
      </c>
      <c r="N5" s="21"/>
      <c r="O5" s="21" t="s">
        <v>4</v>
      </c>
      <c r="P5" s="23" t="s">
        <v>15</v>
      </c>
      <c r="Q5" s="30"/>
      <c r="R5" s="26"/>
      <c r="S5" s="26"/>
      <c r="T5" s="27"/>
      <c r="U5" s="27"/>
      <c r="V5" s="27"/>
    </row>
    <row r="6" spans="1:23" s="1" customFormat="1" ht="20.100000000000001" customHeight="1" x14ac:dyDescent="0.25">
      <c r="A6"/>
      <c r="B6" s="21"/>
      <c r="C6" s="22">
        <v>30</v>
      </c>
      <c r="D6" s="23" t="s">
        <v>47</v>
      </c>
      <c r="E6" s="21" t="s">
        <v>13</v>
      </c>
      <c r="F6" s="21" t="s">
        <v>194</v>
      </c>
      <c r="G6" s="21" t="s">
        <v>7</v>
      </c>
      <c r="H6" s="21" t="s">
        <v>11</v>
      </c>
      <c r="I6" s="21"/>
      <c r="J6" s="24">
        <v>33105</v>
      </c>
      <c r="K6" s="25"/>
      <c r="L6" s="24"/>
      <c r="M6" s="21" t="s">
        <v>3</v>
      </c>
      <c r="N6" s="21"/>
      <c r="O6" s="21" t="s">
        <v>20</v>
      </c>
      <c r="P6" s="23" t="s">
        <v>21</v>
      </c>
      <c r="Q6" s="31"/>
      <c r="R6" s="26"/>
      <c r="S6" s="26"/>
      <c r="T6" s="27"/>
      <c r="U6" s="27"/>
      <c r="V6" s="27"/>
    </row>
    <row r="7" spans="1:23" s="1" customFormat="1" ht="20.100000000000001" customHeight="1" x14ac:dyDescent="0.25">
      <c r="A7"/>
      <c r="B7" s="21"/>
      <c r="C7" s="22">
        <v>73</v>
      </c>
      <c r="D7" s="23" t="s">
        <v>81</v>
      </c>
      <c r="E7" s="21" t="s">
        <v>30</v>
      </c>
      <c r="F7" s="21">
        <v>0</v>
      </c>
      <c r="G7" s="21" t="s">
        <v>7</v>
      </c>
      <c r="H7" s="21" t="s">
        <v>29</v>
      </c>
      <c r="I7" s="21"/>
      <c r="J7" s="24">
        <v>22038</v>
      </c>
      <c r="K7" s="25"/>
      <c r="L7" s="24"/>
      <c r="M7" s="21" t="s">
        <v>3</v>
      </c>
      <c r="N7" s="21"/>
      <c r="O7" s="21" t="s">
        <v>12</v>
      </c>
      <c r="P7" s="23" t="s">
        <v>21</v>
      </c>
      <c r="Q7" s="32"/>
      <c r="R7" s="26"/>
      <c r="S7" s="26"/>
      <c r="T7" s="27"/>
      <c r="U7" s="27"/>
      <c r="V7" s="29"/>
      <c r="W7" s="11"/>
    </row>
    <row r="8" spans="1:23" ht="26.25" thickBot="1" x14ac:dyDescent="0.3">
      <c r="C8" s="41">
        <v>74</v>
      </c>
      <c r="D8" s="42" t="s">
        <v>171</v>
      </c>
      <c r="E8" s="42" t="s">
        <v>243</v>
      </c>
      <c r="F8" s="42" t="s">
        <v>7</v>
      </c>
      <c r="G8" s="42" t="s">
        <v>11</v>
      </c>
      <c r="H8" s="42" t="s">
        <v>13</v>
      </c>
      <c r="I8" s="43">
        <v>35796</v>
      </c>
      <c r="J8" s="43"/>
      <c r="K8" s="43"/>
      <c r="L8" s="43"/>
      <c r="M8" s="42" t="s">
        <v>3</v>
      </c>
      <c r="N8" s="42"/>
      <c r="O8" s="42" t="s">
        <v>20</v>
      </c>
      <c r="P8" s="42"/>
      <c r="Q8" s="42" t="s">
        <v>12</v>
      </c>
      <c r="R8" s="42"/>
      <c r="S8" s="42"/>
      <c r="T8" s="42"/>
    </row>
    <row r="9" spans="1:23" ht="26.25" thickBot="1" x14ac:dyDescent="0.3">
      <c r="C9" s="45">
        <v>41</v>
      </c>
      <c r="D9" s="42" t="s">
        <v>146</v>
      </c>
      <c r="E9" s="42">
        <v>0</v>
      </c>
      <c r="F9" s="42" t="s">
        <v>7</v>
      </c>
      <c r="G9" s="42" t="s">
        <v>11</v>
      </c>
      <c r="H9" s="42" t="s">
        <v>30</v>
      </c>
      <c r="I9" s="43">
        <v>20271</v>
      </c>
      <c r="J9" s="44"/>
      <c r="K9" s="43"/>
      <c r="L9" s="43"/>
      <c r="M9" s="42" t="s">
        <v>3</v>
      </c>
      <c r="N9" s="42"/>
      <c r="O9" s="42" t="s">
        <v>12</v>
      </c>
      <c r="P9" s="42"/>
      <c r="Q9" s="42" t="s">
        <v>21</v>
      </c>
      <c r="R9" s="42"/>
      <c r="S9" s="42"/>
      <c r="T9" s="42"/>
    </row>
  </sheetData>
  <mergeCells count="14">
    <mergeCell ref="Q1:R1"/>
    <mergeCell ref="S1:U1"/>
    <mergeCell ref="I1:K1"/>
    <mergeCell ref="L1:L2"/>
    <mergeCell ref="M1:M2"/>
    <mergeCell ref="N1:N2"/>
    <mergeCell ref="O1:O2"/>
    <mergeCell ref="P1:P2"/>
    <mergeCell ref="H1:H2"/>
    <mergeCell ref="A1:A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workbookViewId="0">
      <selection activeCell="A5" sqref="A5:XFD5"/>
    </sheetView>
  </sheetViews>
  <sheetFormatPr defaultRowHeight="15" x14ac:dyDescent="0.25"/>
  <cols>
    <col min="3" max="3" width="2.7109375" bestFit="1" customWidth="1"/>
    <col min="4" max="4" width="21.42578125" bestFit="1" customWidth="1"/>
    <col min="5" max="5" width="16.28515625" customWidth="1"/>
    <col min="6" max="6" width="19" customWidth="1"/>
    <col min="10" max="10" width="10.5703125" customWidth="1"/>
    <col min="15" max="15" width="17.85546875" bestFit="1" customWidth="1"/>
  </cols>
  <sheetData>
    <row r="1" spans="1:23" s="10" customFormat="1" ht="15" customHeight="1" x14ac:dyDescent="0.25">
      <c r="A1" s="159" t="s">
        <v>100</v>
      </c>
      <c r="B1" s="5"/>
      <c r="C1" s="5"/>
      <c r="D1" s="161" t="s">
        <v>111</v>
      </c>
      <c r="E1" s="159" t="s">
        <v>106</v>
      </c>
      <c r="F1" s="159" t="s">
        <v>107</v>
      </c>
      <c r="G1" s="159" t="s">
        <v>101</v>
      </c>
      <c r="H1" s="159" t="s">
        <v>102</v>
      </c>
      <c r="I1" s="168" t="s">
        <v>246</v>
      </c>
      <c r="J1" s="169"/>
      <c r="K1" s="170"/>
      <c r="L1" s="160" t="s">
        <v>249</v>
      </c>
      <c r="M1" s="159" t="s">
        <v>103</v>
      </c>
      <c r="N1" s="160" t="s">
        <v>250</v>
      </c>
      <c r="O1" s="159" t="s">
        <v>104</v>
      </c>
      <c r="P1" s="172" t="s">
        <v>105</v>
      </c>
      <c r="Q1" s="163" t="s">
        <v>252</v>
      </c>
      <c r="R1" s="164"/>
      <c r="S1" s="165" t="s">
        <v>256</v>
      </c>
      <c r="T1" s="166"/>
      <c r="U1" s="167"/>
    </row>
    <row r="2" spans="1:23" s="10" customFormat="1" ht="32.25" customHeight="1" thickBot="1" x14ac:dyDescent="0.3">
      <c r="A2" s="159"/>
      <c r="B2" s="7" t="s">
        <v>251</v>
      </c>
      <c r="C2" s="7"/>
      <c r="D2" s="162"/>
      <c r="E2" s="160"/>
      <c r="F2" s="160"/>
      <c r="G2" s="160"/>
      <c r="H2" s="160"/>
      <c r="I2" s="4" t="s">
        <v>286</v>
      </c>
      <c r="J2" s="4" t="s">
        <v>247</v>
      </c>
      <c r="K2" s="17" t="s">
        <v>248</v>
      </c>
      <c r="L2" s="171"/>
      <c r="M2" s="160"/>
      <c r="N2" s="171"/>
      <c r="O2" s="160"/>
      <c r="P2" s="173"/>
      <c r="Q2" s="13" t="s">
        <v>253</v>
      </c>
      <c r="R2" s="13" t="s">
        <v>254</v>
      </c>
      <c r="S2" s="14" t="s">
        <v>5</v>
      </c>
      <c r="T2" s="14" t="s">
        <v>262</v>
      </c>
      <c r="U2" s="14" t="s">
        <v>255</v>
      </c>
    </row>
    <row r="3" spans="1:23" s="1" customFormat="1" ht="15.75" thickBot="1" x14ac:dyDescent="0.3">
      <c r="A3" s="12"/>
      <c r="B3" s="8"/>
      <c r="C3" s="19">
        <v>12</v>
      </c>
      <c r="D3" s="16" t="s">
        <v>28</v>
      </c>
      <c r="E3" s="2" t="s">
        <v>30</v>
      </c>
      <c r="F3" s="2" t="s">
        <v>187</v>
      </c>
      <c r="G3" s="2" t="s">
        <v>7</v>
      </c>
      <c r="H3" s="2" t="s">
        <v>29</v>
      </c>
      <c r="I3" s="2"/>
      <c r="J3" s="3">
        <v>17715</v>
      </c>
      <c r="K3" s="18"/>
      <c r="L3" s="3"/>
      <c r="M3" s="2" t="s">
        <v>3</v>
      </c>
      <c r="N3" s="2"/>
      <c r="O3" s="2" t="s">
        <v>12</v>
      </c>
      <c r="P3" s="15" t="s">
        <v>12</v>
      </c>
      <c r="Q3" s="9"/>
      <c r="R3" s="9"/>
      <c r="S3" s="11"/>
      <c r="T3" s="11"/>
      <c r="U3" s="11"/>
    </row>
    <row r="4" spans="1:23" s="1" customFormat="1" ht="20.100000000000001" customHeight="1" x14ac:dyDescent="0.25">
      <c r="A4"/>
      <c r="B4" s="21"/>
      <c r="C4" s="22">
        <v>87</v>
      </c>
      <c r="D4" s="23" t="s">
        <v>92</v>
      </c>
      <c r="E4" s="21" t="s">
        <v>5</v>
      </c>
      <c r="F4" s="21" t="s">
        <v>212</v>
      </c>
      <c r="G4" s="21" t="s">
        <v>1</v>
      </c>
      <c r="H4" s="21" t="s">
        <v>2</v>
      </c>
      <c r="I4" s="21"/>
      <c r="J4" s="24" t="s">
        <v>376</v>
      </c>
      <c r="K4" s="25"/>
      <c r="L4" s="24"/>
      <c r="M4" s="21" t="s">
        <v>3</v>
      </c>
      <c r="N4" s="21"/>
      <c r="O4" s="21" t="s">
        <v>4</v>
      </c>
      <c r="P4" s="21"/>
      <c r="Q4" s="23" t="s">
        <v>12</v>
      </c>
      <c r="R4" s="26"/>
      <c r="S4" s="26"/>
      <c r="T4" s="27"/>
      <c r="U4" s="27"/>
      <c r="V4" s="27"/>
    </row>
    <row r="5" spans="1:23" s="40" customFormat="1" ht="20.100000000000001" customHeight="1" x14ac:dyDescent="0.25">
      <c r="A5"/>
      <c r="B5" s="22"/>
      <c r="C5" s="33">
        <v>83</v>
      </c>
      <c r="D5" s="34" t="s">
        <v>90</v>
      </c>
      <c r="E5" s="22" t="s">
        <v>9</v>
      </c>
      <c r="F5" s="22">
        <v>0</v>
      </c>
      <c r="G5" s="22" t="s">
        <v>7</v>
      </c>
      <c r="H5" s="22" t="s">
        <v>2</v>
      </c>
      <c r="I5" s="22"/>
      <c r="J5" s="35">
        <v>24107</v>
      </c>
      <c r="K5" s="28"/>
      <c r="L5" s="28"/>
      <c r="M5" s="22" t="s">
        <v>3</v>
      </c>
      <c r="N5" s="22"/>
      <c r="O5" s="22" t="s">
        <v>12</v>
      </c>
      <c r="P5" s="22"/>
      <c r="Q5" s="34" t="s">
        <v>21</v>
      </c>
      <c r="R5" s="36"/>
      <c r="S5" s="36"/>
      <c r="T5" s="37"/>
      <c r="U5" s="37"/>
      <c r="V5" s="38"/>
      <c r="W5" s="39"/>
    </row>
  </sheetData>
  <mergeCells count="14">
    <mergeCell ref="Q1:R1"/>
    <mergeCell ref="S1:U1"/>
    <mergeCell ref="I1:K1"/>
    <mergeCell ref="L1:L2"/>
    <mergeCell ref="M1:M2"/>
    <mergeCell ref="N1:N2"/>
    <mergeCell ref="O1:O2"/>
    <mergeCell ref="P1:P2"/>
    <mergeCell ref="H1:H2"/>
    <mergeCell ref="A1:A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Rekap</vt:lpstr>
      <vt:lpstr>RT 01</vt:lpstr>
      <vt:lpstr>RT 02</vt:lpstr>
      <vt:lpstr>RT 03</vt:lpstr>
      <vt:lpstr>Sheet1</vt:lpstr>
      <vt:lpstr>pindah keluar</vt:lpstr>
      <vt:lpstr>meninggal</vt:lpstr>
      <vt:lpstr>'RT 01'!_GoBack</vt:lpstr>
      <vt:lpstr>Rekap!Print_Area</vt:lpstr>
      <vt:lpstr>'RT 01'!Print_Area</vt:lpstr>
      <vt:lpstr>'RT 02'!Print_Area</vt:lpstr>
      <vt:lpstr>'RT 03'!Print_Area</vt:lpstr>
      <vt:lpstr>'RT 01'!Print_Titles</vt:lpstr>
      <vt:lpstr>'RT 02'!Print_Titles</vt:lpstr>
      <vt:lpstr>'RT 03'!Print_Titles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</dc:creator>
  <cp:lastModifiedBy>user</cp:lastModifiedBy>
  <cp:lastPrinted>2019-09-01T04:27:05Z</cp:lastPrinted>
  <dcterms:created xsi:type="dcterms:W3CDTF">2015-10-08T02:53:42Z</dcterms:created>
  <dcterms:modified xsi:type="dcterms:W3CDTF">2019-09-01T04:31:11Z</dcterms:modified>
</cp:coreProperties>
</file>