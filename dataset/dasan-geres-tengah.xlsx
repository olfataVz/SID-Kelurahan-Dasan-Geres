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5255" windowHeight="5385" tabRatio="732" activeTab="1"/>
  </bookViews>
  <sheets>
    <sheet name="Rekap" sheetId="10" r:id="rId1"/>
    <sheet name="RT 1" sheetId="2" r:id="rId2"/>
    <sheet name="RT 2" sheetId="3" r:id="rId3"/>
    <sheet name="RT 3" sheetId="4" r:id="rId4"/>
    <sheet name="RT 4" sheetId="5" r:id="rId5"/>
    <sheet name="Sheet1" sheetId="6" r:id="rId6"/>
    <sheet name="Meninggal" sheetId="7" r:id="rId7"/>
    <sheet name="kawin" sheetId="8" r:id="rId8"/>
    <sheet name="pindah keluar" sheetId="9" r:id="rId9"/>
  </sheets>
  <definedNames>
    <definedName name="_xlnm._FilterDatabase" localSheetId="1" hidden="1">'RT 1'!$B$7:$R$260</definedName>
    <definedName name="_xlnm._FilterDatabase" localSheetId="2" hidden="1">'RT 2'!$A$7:$S$240</definedName>
    <definedName name="_xlnm._FilterDatabase" localSheetId="3" hidden="1">'RT 3'!$B$7:$R$174</definedName>
    <definedName name="_xlnm._FilterDatabase" localSheetId="4" hidden="1">'RT 4'!$B$7:$R$237</definedName>
    <definedName name="_GoBack" localSheetId="2">'RT 2'!$E$31</definedName>
    <definedName name="_xlnm.Print_Area" localSheetId="0">Rekap!$B$2:$N$20</definedName>
    <definedName name="_xlnm.Print_Area" localSheetId="1">'RT 1'!$B$1:$R$270</definedName>
    <definedName name="_xlnm.Print_Area" localSheetId="2">'RT 2'!$B$1:$R$250</definedName>
    <definedName name="_xlnm.Print_Area" localSheetId="3">'RT 3'!$B$1:$R$184</definedName>
    <definedName name="_xlnm.Print_Area" localSheetId="4">'RT 4'!$B$1:$R$247</definedName>
    <definedName name="_xlnm.Print_Titles" localSheetId="1">'RT 1'!$1:$7</definedName>
    <definedName name="_xlnm.Print_Titles" localSheetId="2">'RT 2'!$1:$7</definedName>
    <definedName name="_xlnm.Print_Titles" localSheetId="3">'RT 3'!$1:$7</definedName>
    <definedName name="_xlnm.Print_Titles" localSheetId="4">'RT 4'!$1:$7</definedName>
  </definedNames>
  <calcPr calcId="124519"/>
</workbook>
</file>

<file path=xl/calcChain.xml><?xml version="1.0" encoding="utf-8"?>
<calcChain xmlns="http://schemas.openxmlformats.org/spreadsheetml/2006/main">
  <c r="J9" i="10"/>
  <c r="J8"/>
  <c r="J7"/>
  <c r="J6"/>
  <c r="I9"/>
  <c r="I8"/>
  <c r="I7"/>
  <c r="I6"/>
  <c r="M210" i="2" l="1"/>
  <c r="M209"/>
  <c r="M203"/>
  <c r="M202"/>
  <c r="M201"/>
  <c r="M200"/>
  <c r="M156"/>
  <c r="M155"/>
  <c r="M154"/>
  <c r="M153"/>
  <c r="M152"/>
  <c r="M151"/>
  <c r="M150"/>
  <c r="M149"/>
  <c r="M148"/>
  <c r="M147"/>
  <c r="M100"/>
  <c r="M99"/>
  <c r="M98"/>
  <c r="M97"/>
  <c r="M96"/>
  <c r="M95"/>
  <c r="M94"/>
  <c r="M93"/>
  <c r="M92"/>
  <c r="M87"/>
  <c r="M86"/>
  <c r="M85"/>
  <c r="M46"/>
  <c r="M45"/>
  <c r="M75" i="4"/>
  <c r="M96" i="5"/>
  <c r="M67"/>
  <c r="M66"/>
  <c r="L10" i="10" l="1"/>
  <c r="M10"/>
  <c r="G9"/>
  <c r="G8"/>
  <c r="G7"/>
  <c r="G6"/>
  <c r="F9"/>
  <c r="F8"/>
  <c r="F7"/>
  <c r="F6"/>
  <c r="D9"/>
  <c r="C9"/>
  <c r="D8"/>
  <c r="D7"/>
  <c r="D6"/>
  <c r="C8"/>
  <c r="C7"/>
  <c r="C6"/>
  <c r="N9"/>
  <c r="N8"/>
  <c r="N7"/>
  <c r="N6"/>
  <c r="M37" i="5"/>
  <c r="N10" i="10" l="1"/>
  <c r="E8"/>
  <c r="C10"/>
  <c r="D10"/>
  <c r="F10"/>
  <c r="G10"/>
  <c r="I10"/>
  <c r="J10"/>
  <c r="K7"/>
  <c r="K8"/>
  <c r="K6"/>
  <c r="H8"/>
  <c r="H7"/>
  <c r="H6"/>
  <c r="E7"/>
  <c r="E6"/>
  <c r="E9"/>
  <c r="H9"/>
  <c r="K9"/>
  <c r="M76" i="5"/>
  <c r="M237"/>
  <c r="M236"/>
  <c r="M235"/>
  <c r="H10" i="10" l="1"/>
  <c r="K10"/>
  <c r="E10"/>
  <c r="M234" i="5"/>
  <c r="M233"/>
  <c r="M232"/>
  <c r="M231"/>
  <c r="M230"/>
  <c r="M229"/>
  <c r="M24"/>
  <c r="L7" i="9"/>
  <c r="L13" i="7"/>
  <c r="M127" i="5"/>
  <c r="M126"/>
  <c r="M125"/>
  <c r="M191"/>
  <c r="M130" l="1"/>
  <c r="M129"/>
  <c r="M128"/>
  <c r="L20" i="8"/>
  <c r="M228" i="5"/>
  <c r="M227"/>
  <c r="M226"/>
  <c r="L19" i="8"/>
  <c r="L18"/>
  <c r="M113" i="5"/>
  <c r="M205"/>
  <c r="M109"/>
  <c r="L17" i="8"/>
  <c r="M225" i="5"/>
  <c r="M224"/>
  <c r="M223"/>
  <c r="M222"/>
  <c r="M221"/>
  <c r="M220"/>
  <c r="M219"/>
  <c r="M218"/>
  <c r="L16" i="8"/>
  <c r="M101" i="5"/>
  <c r="M165"/>
  <c r="M164"/>
  <c r="M163"/>
  <c r="M148"/>
  <c r="L12" i="7"/>
  <c r="M150" i="5"/>
  <c r="M134"/>
  <c r="L11" i="7"/>
  <c r="L15" i="8"/>
  <c r="M54" i="5"/>
  <c r="M143" i="4"/>
  <c r="M174" l="1"/>
  <c r="M173"/>
  <c r="M172"/>
  <c r="M131"/>
  <c r="M33"/>
  <c r="M15"/>
  <c r="M14"/>
  <c r="M171"/>
  <c r="M170"/>
  <c r="M169"/>
  <c r="M168"/>
  <c r="L14" i="8"/>
  <c r="M55" i="4"/>
  <c r="M167"/>
  <c r="M166"/>
  <c r="M165"/>
  <c r="M164"/>
  <c r="M163"/>
  <c r="M89"/>
  <c r="M113" i="3" l="1"/>
  <c r="M114"/>
  <c r="M32"/>
  <c r="M33"/>
  <c r="M159"/>
  <c r="L10" i="7"/>
  <c r="L9" l="1"/>
  <c r="M239" i="3"/>
  <c r="M156"/>
  <c r="M155"/>
  <c r="L13" i="8"/>
  <c r="L8" i="7"/>
  <c r="M208" i="3"/>
  <c r="L12" i="8"/>
  <c r="L7" i="7"/>
  <c r="M238" i="3"/>
  <c r="M237"/>
  <c r="M236"/>
  <c r="L11" i="8"/>
  <c r="M131" i="3"/>
  <c r="M44"/>
  <c r="M45"/>
  <c r="L6" i="9"/>
  <c r="L10" i="8"/>
  <c r="M116" i="3"/>
  <c r="M117"/>
  <c r="L5" i="9" l="1"/>
  <c r="L9" i="8"/>
  <c r="M260" i="2"/>
  <c r="M259"/>
  <c r="M258"/>
  <c r="M168" l="1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1"/>
  <c r="M192"/>
  <c r="M193"/>
  <c r="M194"/>
  <c r="M195"/>
  <c r="M196"/>
  <c r="M197"/>
  <c r="M198"/>
  <c r="M199"/>
  <c r="M232"/>
  <c r="M257"/>
  <c r="M64"/>
  <c r="M65"/>
  <c r="M66"/>
  <c r="M67"/>
  <c r="M68"/>
  <c r="M69"/>
  <c r="M70"/>
  <c r="M71"/>
  <c r="M254"/>
  <c r="M255"/>
  <c r="M137"/>
  <c r="M138"/>
  <c r="M139"/>
  <c r="M140"/>
  <c r="M37"/>
  <c r="M38"/>
  <c r="M39"/>
  <c r="M40"/>
  <c r="M252"/>
  <c r="M251"/>
  <c r="M250"/>
  <c r="M223"/>
  <c r="M79"/>
  <c r="M80"/>
  <c r="M81"/>
  <c r="M82"/>
  <c r="M83"/>
  <c r="M84"/>
  <c r="M75"/>
  <c r="M76"/>
  <c r="M77"/>
  <c r="M78"/>
  <c r="M249"/>
  <c r="M248"/>
  <c r="M52" l="1"/>
  <c r="M53"/>
  <c r="M54"/>
  <c r="M55"/>
  <c r="M56"/>
  <c r="M57"/>
  <c r="M31"/>
  <c r="M105"/>
  <c r="M106"/>
  <c r="M107"/>
  <c r="M108"/>
  <c r="M109"/>
  <c r="M110"/>
  <c r="M111"/>
  <c r="M112"/>
  <c r="M113"/>
  <c r="M114"/>
  <c r="M115"/>
  <c r="M116"/>
  <c r="M117"/>
  <c r="M118"/>
  <c r="M126"/>
  <c r="M125"/>
  <c r="M157"/>
  <c r="M158"/>
  <c r="M159"/>
  <c r="M160"/>
  <c r="M161"/>
  <c r="M123"/>
  <c r="M124"/>
  <c r="M127"/>
  <c r="M128"/>
  <c r="M129"/>
  <c r="M130"/>
  <c r="M131"/>
  <c r="M132"/>
  <c r="M43"/>
  <c r="M44"/>
  <c r="M42"/>
  <c r="M41"/>
  <c r="M246"/>
  <c r="M247"/>
  <c r="M8"/>
  <c r="M9"/>
  <c r="M10"/>
  <c r="M11"/>
  <c r="M12"/>
  <c r="M13"/>
  <c r="M14"/>
  <c r="M15"/>
  <c r="M16"/>
  <c r="M17"/>
  <c r="M18"/>
  <c r="M19"/>
  <c r="M20"/>
  <c r="M21"/>
  <c r="M22"/>
  <c r="M23"/>
  <c r="M24"/>
  <c r="M25"/>
  <c r="M26"/>
  <c r="M27"/>
  <c r="M214"/>
  <c r="M215"/>
  <c r="M216"/>
  <c r="M217"/>
  <c r="M218"/>
  <c r="M219"/>
  <c r="M220"/>
  <c r="M221"/>
  <c r="M222"/>
  <c r="M224"/>
  <c r="M225"/>
  <c r="M212"/>
  <c r="M213"/>
  <c r="M207"/>
  <c r="M233"/>
  <c r="M234"/>
  <c r="M256"/>
  <c r="M235"/>
  <c r="M236"/>
  <c r="M237"/>
  <c r="M217" i="5" l="1"/>
  <c r="M216"/>
  <c r="M235" i="3" l="1"/>
  <c r="M234"/>
  <c r="M233"/>
  <c r="M232"/>
  <c r="M231"/>
  <c r="M230"/>
  <c r="M229"/>
  <c r="M228"/>
  <c r="M162" i="4"/>
  <c r="M161"/>
  <c r="M160"/>
  <c r="M159"/>
  <c r="M9" i="3"/>
  <c r="M10"/>
  <c r="M11"/>
  <c r="M12"/>
  <c r="M13"/>
  <c r="M14"/>
  <c r="M15"/>
  <c r="M17"/>
  <c r="M18"/>
  <c r="M19"/>
  <c r="M20"/>
  <c r="M21"/>
  <c r="M22"/>
  <c r="M23"/>
  <c r="M24"/>
  <c r="M25"/>
  <c r="M26"/>
  <c r="M27"/>
  <c r="M28"/>
  <c r="M29"/>
  <c r="M30"/>
  <c r="M31"/>
  <c r="M34"/>
  <c r="M35"/>
  <c r="M36"/>
  <c r="M37"/>
  <c r="M38"/>
  <c r="M39"/>
  <c r="M40"/>
  <c r="M41"/>
  <c r="M42"/>
  <c r="M43"/>
  <c r="M46"/>
  <c r="M47"/>
  <c r="M48"/>
  <c r="M49"/>
  <c r="M50"/>
  <c r="M51"/>
  <c r="M52"/>
  <c r="M53"/>
  <c r="M54"/>
  <c r="M55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5"/>
  <c r="M76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6"/>
  <c r="M97"/>
  <c r="M98"/>
  <c r="M99"/>
  <c r="M100"/>
  <c r="M101"/>
  <c r="M102"/>
  <c r="M103"/>
  <c r="M104"/>
  <c r="M105"/>
  <c r="M106"/>
  <c r="M107"/>
  <c r="M108"/>
  <c r="M109"/>
  <c r="M110"/>
  <c r="M111"/>
  <c r="M112"/>
  <c r="M115"/>
  <c r="M118"/>
  <c r="M119"/>
  <c r="M120"/>
  <c r="M121"/>
  <c r="M122"/>
  <c r="M123"/>
  <c r="M124"/>
  <c r="M125"/>
  <c r="M126"/>
  <c r="M127"/>
  <c r="M128"/>
  <c r="M129"/>
  <c r="M130"/>
  <c r="M132"/>
  <c r="M133"/>
  <c r="M134"/>
  <c r="M135"/>
  <c r="M136"/>
  <c r="M137"/>
  <c r="M138"/>
  <c r="M139"/>
  <c r="M140"/>
  <c r="M141"/>
  <c r="M142"/>
  <c r="M143"/>
  <c r="M144"/>
  <c r="M145"/>
  <c r="M146"/>
  <c r="M147"/>
  <c r="M148"/>
  <c r="M149"/>
  <c r="M150"/>
  <c r="M151"/>
  <c r="M152"/>
  <c r="M153"/>
  <c r="M154"/>
  <c r="M157"/>
  <c r="M158"/>
  <c r="M160"/>
  <c r="M161"/>
  <c r="M162"/>
  <c r="M163"/>
  <c r="M164"/>
  <c r="M165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240"/>
  <c r="M191"/>
  <c r="M192"/>
  <c r="M193"/>
  <c r="M194"/>
  <c r="M195"/>
  <c r="M196"/>
  <c r="M197"/>
  <c r="M198"/>
  <c r="M199"/>
  <c r="M200"/>
  <c r="M201"/>
  <c r="M202"/>
  <c r="M203"/>
  <c r="M204"/>
  <c r="M205"/>
  <c r="M206"/>
  <c r="M207"/>
  <c r="M209"/>
  <c r="M210"/>
  <c r="M211"/>
  <c r="M212"/>
  <c r="M213"/>
  <c r="M214"/>
  <c r="M215"/>
  <c r="M216"/>
  <c r="M217"/>
  <c r="M218"/>
  <c r="M219"/>
  <c r="M220"/>
  <c r="M221"/>
  <c r="M222"/>
  <c r="M223"/>
  <c r="M224"/>
  <c r="M225"/>
  <c r="M226"/>
  <c r="M227"/>
  <c r="M9" i="4"/>
  <c r="M13"/>
  <c r="M10"/>
  <c r="M11"/>
  <c r="M12"/>
  <c r="M16"/>
  <c r="M17"/>
  <c r="M18"/>
  <c r="M19"/>
  <c r="M20"/>
  <c r="M21"/>
  <c r="M22"/>
  <c r="M23"/>
  <c r="M24"/>
  <c r="M25"/>
  <c r="M26"/>
  <c r="M27"/>
  <c r="M28"/>
  <c r="M29"/>
  <c r="M30"/>
  <c r="M31"/>
  <c r="M32"/>
  <c r="M34"/>
  <c r="M35"/>
  <c r="M36"/>
  <c r="M37"/>
  <c r="M38"/>
  <c r="M39"/>
  <c r="M40"/>
  <c r="M41"/>
  <c r="M42"/>
  <c r="M43"/>
  <c r="M44"/>
  <c r="M45"/>
  <c r="M46"/>
  <c r="M47"/>
  <c r="M48"/>
  <c r="M49"/>
  <c r="M50"/>
  <c r="M51"/>
  <c r="M52"/>
  <c r="M53"/>
  <c r="M54"/>
  <c r="M56"/>
  <c r="M57"/>
  <c r="M58"/>
  <c r="M59"/>
  <c r="M60"/>
  <c r="M61"/>
  <c r="M62"/>
  <c r="M63"/>
  <c r="M64"/>
  <c r="M65"/>
  <c r="M66"/>
  <c r="M67"/>
  <c r="M68"/>
  <c r="M69"/>
  <c r="M70"/>
  <c r="M71"/>
  <c r="M72"/>
  <c r="M73"/>
  <c r="M74"/>
  <c r="M76"/>
  <c r="M77"/>
  <c r="M78"/>
  <c r="M79"/>
  <c r="M80"/>
  <c r="M81"/>
  <c r="M82"/>
  <c r="M83"/>
  <c r="M84"/>
  <c r="M85"/>
  <c r="M86"/>
  <c r="M87"/>
  <c r="M88"/>
  <c r="M90"/>
  <c r="M91"/>
  <c r="M92"/>
  <c r="M93"/>
  <c r="M94"/>
  <c r="M96"/>
  <c r="M95"/>
  <c r="M97"/>
  <c r="M98"/>
  <c r="M99"/>
  <c r="M100"/>
  <c r="M101"/>
  <c r="M102"/>
  <c r="M103"/>
  <c r="M104"/>
  <c r="M105"/>
  <c r="M106"/>
  <c r="M107"/>
  <c r="M108"/>
  <c r="M109"/>
  <c r="M110"/>
  <c r="M111"/>
  <c r="M112"/>
  <c r="M113"/>
  <c r="M114"/>
  <c r="M115"/>
  <c r="M116"/>
  <c r="M117"/>
  <c r="M118"/>
  <c r="M119"/>
  <c r="M120"/>
  <c r="M121"/>
  <c r="M122"/>
  <c r="M123"/>
  <c r="M124"/>
  <c r="M125"/>
  <c r="M126"/>
  <c r="M127"/>
  <c r="M128"/>
  <c r="M129"/>
  <c r="M130"/>
  <c r="M132"/>
  <c r="M133"/>
  <c r="M134"/>
  <c r="M135"/>
  <c r="M136"/>
  <c r="M137"/>
  <c r="M138"/>
  <c r="M142"/>
  <c r="M139"/>
  <c r="M140"/>
  <c r="M141"/>
  <c r="M144"/>
  <c r="M145"/>
  <c r="M146"/>
  <c r="M147"/>
  <c r="M148"/>
  <c r="M149"/>
  <c r="M150"/>
  <c r="M151"/>
  <c r="M152"/>
  <c r="M153"/>
  <c r="M154"/>
  <c r="M155"/>
  <c r="M156"/>
  <c r="M157"/>
  <c r="M158"/>
  <c r="M8"/>
  <c r="M9" i="5"/>
  <c r="M10"/>
  <c r="M11"/>
  <c r="M12"/>
  <c r="M13"/>
  <c r="M14"/>
  <c r="M15"/>
  <c r="M16"/>
  <c r="M17"/>
  <c r="M18"/>
  <c r="M19"/>
  <c r="M25"/>
  <c r="M20"/>
  <c r="M21"/>
  <c r="M22"/>
  <c r="M23"/>
  <c r="M26"/>
  <c r="M27"/>
  <c r="M28"/>
  <c r="M29"/>
  <c r="M30"/>
  <c r="M31"/>
  <c r="M32"/>
  <c r="M33"/>
  <c r="M34"/>
  <c r="M35"/>
  <c r="M36"/>
  <c r="M38"/>
  <c r="M39"/>
  <c r="M40"/>
  <c r="M41"/>
  <c r="M42"/>
  <c r="M43"/>
  <c r="M44"/>
  <c r="M45"/>
  <c r="M46"/>
  <c r="M47"/>
  <c r="M48"/>
  <c r="M49"/>
  <c r="M50"/>
  <c r="M51"/>
  <c r="M52"/>
  <c r="M53"/>
  <c r="M55"/>
  <c r="M56"/>
  <c r="M57"/>
  <c r="M58"/>
  <c r="M59"/>
  <c r="M60"/>
  <c r="M61"/>
  <c r="M62"/>
  <c r="M215"/>
  <c r="M65"/>
  <c r="M63"/>
  <c r="M64"/>
  <c r="M68"/>
  <c r="M69"/>
  <c r="M70"/>
  <c r="M71"/>
  <c r="M72"/>
  <c r="M73"/>
  <c r="M74"/>
  <c r="M75"/>
  <c r="M77"/>
  <c r="M78"/>
  <c r="M79"/>
  <c r="M80"/>
  <c r="M81"/>
  <c r="M82"/>
  <c r="M83"/>
  <c r="M84"/>
  <c r="M85"/>
  <c r="M86"/>
  <c r="M87"/>
  <c r="M88"/>
  <c r="M89"/>
  <c r="M90"/>
  <c r="M91"/>
  <c r="M92"/>
  <c r="M93"/>
  <c r="M94"/>
  <c r="M95"/>
  <c r="M97"/>
  <c r="M98"/>
  <c r="M99"/>
  <c r="M100"/>
  <c r="M102"/>
  <c r="M103"/>
  <c r="M104"/>
  <c r="M105"/>
  <c r="M106"/>
  <c r="M107"/>
  <c r="M108"/>
  <c r="M110"/>
  <c r="M111"/>
  <c r="M112"/>
  <c r="M114"/>
  <c r="M115"/>
  <c r="M116"/>
  <c r="M117"/>
  <c r="M118"/>
  <c r="M119"/>
  <c r="M120"/>
  <c r="M121"/>
  <c r="M122"/>
  <c r="M123"/>
  <c r="M124"/>
  <c r="M131"/>
  <c r="M132"/>
  <c r="M133"/>
  <c r="M135"/>
  <c r="M136"/>
  <c r="M137"/>
  <c r="M138"/>
  <c r="M139"/>
  <c r="M140"/>
  <c r="M141"/>
  <c r="M142"/>
  <c r="M143"/>
  <c r="M144"/>
  <c r="M145"/>
  <c r="M146"/>
  <c r="M147"/>
  <c r="M149"/>
  <c r="M151"/>
  <c r="M152"/>
  <c r="M153"/>
  <c r="M154"/>
  <c r="M155"/>
  <c r="M156"/>
  <c r="M158"/>
  <c r="M157"/>
  <c r="M159"/>
  <c r="M160"/>
  <c r="M161"/>
  <c r="M162"/>
  <c r="M166"/>
  <c r="M167"/>
  <c r="M168"/>
  <c r="M169"/>
  <c r="M170"/>
  <c r="M171"/>
  <c r="M172"/>
  <c r="M173"/>
  <c r="M174"/>
  <c r="M175"/>
  <c r="M176"/>
  <c r="M177"/>
  <c r="M178"/>
  <c r="M179"/>
  <c r="M180"/>
  <c r="M181"/>
  <c r="M182"/>
  <c r="M183"/>
  <c r="M184"/>
  <c r="M185"/>
  <c r="M186"/>
  <c r="M187"/>
  <c r="M188"/>
  <c r="M189"/>
  <c r="M190"/>
  <c r="M192"/>
  <c r="M193"/>
  <c r="M194"/>
  <c r="M195"/>
  <c r="M196"/>
  <c r="M197"/>
  <c r="M198"/>
  <c r="M199"/>
  <c r="M200"/>
  <c r="M201"/>
  <c r="M202"/>
  <c r="M203"/>
  <c r="M204"/>
  <c r="M206"/>
  <c r="M207"/>
  <c r="M208"/>
  <c r="M209"/>
  <c r="M210"/>
  <c r="M211"/>
  <c r="M212"/>
  <c r="M213"/>
  <c r="M214"/>
  <c r="M8"/>
  <c r="M8" i="3" l="1"/>
  <c r="M245" i="2"/>
  <c r="M244"/>
  <c r="M167"/>
  <c r="M166"/>
  <c r="M205"/>
  <c r="M206"/>
  <c r="M208"/>
  <c r="M204"/>
  <c r="M89"/>
  <c r="M90"/>
  <c r="M91"/>
  <c r="M88"/>
  <c r="M230"/>
  <c r="M231"/>
  <c r="M229"/>
  <c r="M33"/>
  <c r="M34"/>
  <c r="M35"/>
  <c r="M36"/>
  <c r="M32"/>
  <c r="M29"/>
  <c r="M30"/>
  <c r="M28"/>
  <c r="M239"/>
  <c r="M240"/>
  <c r="M241"/>
  <c r="M242"/>
  <c r="M243"/>
  <c r="M238"/>
  <c r="M227"/>
  <c r="M228"/>
  <c r="M226"/>
  <c r="M211"/>
  <c r="M163"/>
  <c r="M164"/>
  <c r="M165"/>
  <c r="M162"/>
  <c r="M142"/>
  <c r="M143"/>
  <c r="M144"/>
  <c r="M145"/>
  <c r="M146"/>
  <c r="M141"/>
  <c r="M134"/>
  <c r="M135"/>
  <c r="M136"/>
  <c r="M133"/>
  <c r="M120"/>
  <c r="M121"/>
  <c r="M122"/>
  <c r="M119"/>
  <c r="M102"/>
  <c r="M103"/>
  <c r="M104"/>
  <c r="M101"/>
  <c r="M73"/>
  <c r="M74"/>
  <c r="M72"/>
  <c r="M48"/>
  <c r="M49"/>
  <c r="M50"/>
  <c r="M51"/>
  <c r="M47"/>
  <c r="M253"/>
  <c r="M60"/>
  <c r="M61"/>
  <c r="M62"/>
  <c r="M63"/>
  <c r="M59"/>
  <c r="M58"/>
  <c r="C5" i="6"/>
  <c r="A5"/>
</calcChain>
</file>

<file path=xl/sharedStrings.xml><?xml version="1.0" encoding="utf-8"?>
<sst xmlns="http://schemas.openxmlformats.org/spreadsheetml/2006/main" count="9522" uniqueCount="2259">
  <si>
    <t>Baiq  Sarwati</t>
  </si>
  <si>
    <t>P</t>
  </si>
  <si>
    <t>Janda</t>
  </si>
  <si>
    <t>Islam</t>
  </si>
  <si>
    <t>SD/MI</t>
  </si>
  <si>
    <t>Lainnya</t>
  </si>
  <si>
    <t>KK</t>
  </si>
  <si>
    <t>520101 7112550000</t>
  </si>
  <si>
    <t>Baiq Trasning Ayumas Quraini</t>
  </si>
  <si>
    <t>Kawin</t>
  </si>
  <si>
    <t>PT/Akademi</t>
  </si>
  <si>
    <t>-</t>
  </si>
  <si>
    <t>Anak</t>
  </si>
  <si>
    <t>520101 1661194003</t>
  </si>
  <si>
    <t>Alicia Ayu Khumaira</t>
  </si>
  <si>
    <t>Belum kawin</t>
  </si>
  <si>
    <t>Lain-lain</t>
  </si>
  <si>
    <t>Lalu Edi Astawan</t>
  </si>
  <si>
    <t>L</t>
  </si>
  <si>
    <t>PNS/TNI/POLRI</t>
  </si>
  <si>
    <t>Herawati</t>
  </si>
  <si>
    <t>Istri</t>
  </si>
  <si>
    <t>Lalu Muhamad Darmupik</t>
  </si>
  <si>
    <t>Wiraswasta</t>
  </si>
  <si>
    <t>520101 0107680068</t>
  </si>
  <si>
    <t>Baiq Seniasih</t>
  </si>
  <si>
    <t>31-12-1968</t>
  </si>
  <si>
    <t>520101 4107740181</t>
  </si>
  <si>
    <t>Baiq  Liza Anggraini</t>
  </si>
  <si>
    <t>Pegawai swasta</t>
  </si>
  <si>
    <t>520101 4107890437</t>
  </si>
  <si>
    <t>Baiq Winda Andriani</t>
  </si>
  <si>
    <t>520101 4107910086</t>
  </si>
  <si>
    <t>Baiq Windi Handayani</t>
  </si>
  <si>
    <t>520101 4107940169</t>
  </si>
  <si>
    <t>Baiq Silvia Septiana</t>
  </si>
  <si>
    <t>Baiq Efril Maulidiya Putri</t>
  </si>
  <si>
    <t>520101 4107060195</t>
  </si>
  <si>
    <t>Muksin</t>
  </si>
  <si>
    <t>Pekerja lepas</t>
  </si>
  <si>
    <t>520101 0107720217</t>
  </si>
  <si>
    <t>Saniah</t>
  </si>
  <si>
    <t>520101 4404910006</t>
  </si>
  <si>
    <t>Muhamad Alwan Taufiqurahman</t>
  </si>
  <si>
    <t>Alif</t>
  </si>
  <si>
    <t>Mahli</t>
  </si>
  <si>
    <t>Zaenal Abidin</t>
  </si>
  <si>
    <t>Sriatin Andriani</t>
  </si>
  <si>
    <t>Argian Neza Adrian</t>
  </si>
  <si>
    <t>Saipudin</t>
  </si>
  <si>
    <t>Masitah</t>
  </si>
  <si>
    <t>Suandi</t>
  </si>
  <si>
    <t>Suryani</t>
  </si>
  <si>
    <t>Sipakyah</t>
  </si>
  <si>
    <t>SLTP/MTSN</t>
  </si>
  <si>
    <t>Sudirman</t>
  </si>
  <si>
    <t>Rica Purwaningsih</t>
  </si>
  <si>
    <t>SLTA/MA</t>
  </si>
  <si>
    <t>Mawardi</t>
  </si>
  <si>
    <t>Kirni</t>
  </si>
  <si>
    <t>Ana Sasmita</t>
  </si>
  <si>
    <t>Johandi</t>
  </si>
  <si>
    <t>31-12-1982</t>
  </si>
  <si>
    <t>520113 3112820144</t>
  </si>
  <si>
    <t>Nuraeni</t>
  </si>
  <si>
    <t>520113 5211780001</t>
  </si>
  <si>
    <t>NamilaNurmayani</t>
  </si>
  <si>
    <t>520113 5501870003</t>
  </si>
  <si>
    <t>Dedy Suhardi</t>
  </si>
  <si>
    <t>520101 0107820109</t>
  </si>
  <si>
    <t>Rauhun</t>
  </si>
  <si>
    <t>520101 4107890428</t>
  </si>
  <si>
    <t>Hidayat</t>
  </si>
  <si>
    <t>Dena Astuti</t>
  </si>
  <si>
    <t>31-12-1972</t>
  </si>
  <si>
    <t>Hajjah Siti Awinah</t>
  </si>
  <si>
    <t>Ilman Juniardi</t>
  </si>
  <si>
    <t>Sahdan</t>
  </si>
  <si>
    <t>520101 3112750068</t>
  </si>
  <si>
    <t>Hikmah</t>
  </si>
  <si>
    <t>31-12-1980</t>
  </si>
  <si>
    <t>Pedagang</t>
  </si>
  <si>
    <t>520101 7112800010</t>
  </si>
  <si>
    <t>Kholik Mukarrabin</t>
  </si>
  <si>
    <t>520101 1002020001</t>
  </si>
  <si>
    <t>Sofiyatun soleha</t>
  </si>
  <si>
    <t>520101 5002090001</t>
  </si>
  <si>
    <t>520101 2507990001</t>
  </si>
  <si>
    <t>Wajedi</t>
  </si>
  <si>
    <t>Muhaini</t>
  </si>
  <si>
    <t>Khadijah</t>
  </si>
  <si>
    <t>Petani</t>
  </si>
  <si>
    <t>520101 4107570579</t>
  </si>
  <si>
    <t>Murni</t>
  </si>
  <si>
    <t>520101 4107700822</t>
  </si>
  <si>
    <t>Marhamah</t>
  </si>
  <si>
    <t>520101 2608870001</t>
  </si>
  <si>
    <t>Hajjah Namirah</t>
  </si>
  <si>
    <t>520101 7112350001</t>
  </si>
  <si>
    <t>Sahril Ali</t>
  </si>
  <si>
    <t>31-12-1988</t>
  </si>
  <si>
    <t>Muhamad Hazmi Fahri</t>
  </si>
  <si>
    <t>Daffa Hafriyansyah</t>
  </si>
  <si>
    <t>Suhaedi</t>
  </si>
  <si>
    <t>520101 3112740068</t>
  </si>
  <si>
    <t>Hidayani</t>
  </si>
  <si>
    <t>520101 7112740066</t>
  </si>
  <si>
    <t>Widia Ningsih</t>
  </si>
  <si>
    <t>520101 6704010001</t>
  </si>
  <si>
    <t>Abi Madani</t>
  </si>
  <si>
    <t>520101 2606060002</t>
  </si>
  <si>
    <t>Saidun</t>
  </si>
  <si>
    <t>520101 0107720222</t>
  </si>
  <si>
    <t>Miskah</t>
  </si>
  <si>
    <t>520101 4107800712</t>
  </si>
  <si>
    <t>Elma Hara</t>
  </si>
  <si>
    <t>520101 5003020001</t>
  </si>
  <si>
    <t>Eva Wahyuni</t>
  </si>
  <si>
    <t>520101 6010140001</t>
  </si>
  <si>
    <t>Maryam</t>
  </si>
  <si>
    <t>Suhaili</t>
  </si>
  <si>
    <t>520101 3112690010</t>
  </si>
  <si>
    <t>Wasiah</t>
  </si>
  <si>
    <t>520101 7112720017</t>
  </si>
  <si>
    <t>M Yusup Alwi</t>
  </si>
  <si>
    <t>520101 0103980001</t>
  </si>
  <si>
    <t>Wasilatun Aulia</t>
  </si>
  <si>
    <t>520101 4312020001</t>
  </si>
  <si>
    <t>Azhari Muhtar</t>
  </si>
  <si>
    <t>520101 0303070002</t>
  </si>
  <si>
    <t>Jamilah</t>
  </si>
  <si>
    <t>Hajjah Nurhasanah</t>
  </si>
  <si>
    <t>Haji Muzahar</t>
  </si>
  <si>
    <t>Duda</t>
  </si>
  <si>
    <t>Raehani</t>
  </si>
  <si>
    <t>Lalu Kartamudin</t>
  </si>
  <si>
    <t>520101 3112040000</t>
  </si>
  <si>
    <t>Nurul Aini</t>
  </si>
  <si>
    <t>PNS/TNI/ POLRI</t>
  </si>
  <si>
    <t>520101 4002000002</t>
  </si>
  <si>
    <t>Lalu Munandar Pajri</t>
  </si>
  <si>
    <t>520101 3006960003</t>
  </si>
  <si>
    <t>Baiq Maryama Ridoatullah A.</t>
  </si>
  <si>
    <t>520101 2405000003</t>
  </si>
  <si>
    <t>Baiq Haura Al Aini R</t>
  </si>
  <si>
    <t>520101 5208100002</t>
  </si>
  <si>
    <t>Ishak</t>
  </si>
  <si>
    <t>520101 0107750092</t>
  </si>
  <si>
    <t>520101 4107820072</t>
  </si>
  <si>
    <t>520101 0405070001</t>
  </si>
  <si>
    <t>Iqbal Arka Ramdhani</t>
  </si>
  <si>
    <t>520101 2906140001</t>
  </si>
  <si>
    <t>Ridwan</t>
  </si>
  <si>
    <t>520101 1010830007</t>
  </si>
  <si>
    <t>Septiani</t>
  </si>
  <si>
    <t>Sefiana Azzahra</t>
  </si>
  <si>
    <t>520101 6706120001</t>
  </si>
  <si>
    <t>Muhamad</t>
  </si>
  <si>
    <t>Rohaini</t>
  </si>
  <si>
    <t>Nunung Fitriani</t>
  </si>
  <si>
    <t>520101 4311020002</t>
  </si>
  <si>
    <t>Muhatir Andika</t>
  </si>
  <si>
    <t>520101 0304080003</t>
  </si>
  <si>
    <t>Ismail</t>
  </si>
  <si>
    <t>520101 3112731011</t>
  </si>
  <si>
    <t>Aslinda</t>
  </si>
  <si>
    <t>520101 4107751024</t>
  </si>
  <si>
    <t>Dewi Asmarani</t>
  </si>
  <si>
    <t>520101 6912951001</t>
  </si>
  <si>
    <t>Hajjah Maryam</t>
  </si>
  <si>
    <t>520101 4107570417</t>
  </si>
  <si>
    <t>Sahabudin</t>
  </si>
  <si>
    <t>Nurmin</t>
  </si>
  <si>
    <t>Fatimatuzzakrah</t>
  </si>
  <si>
    <t>520101 4203940001</t>
  </si>
  <si>
    <t>Nurhidayati</t>
  </si>
  <si>
    <t>Sapiun</t>
  </si>
  <si>
    <t>520101 0107540096</t>
  </si>
  <si>
    <t>520101 4107650248</t>
  </si>
  <si>
    <t>Abdurahman</t>
  </si>
  <si>
    <t>Faizah</t>
  </si>
  <si>
    <t>Duratul Hafiza</t>
  </si>
  <si>
    <t>Sanudin</t>
  </si>
  <si>
    <t>Nurhidayah</t>
  </si>
  <si>
    <t>Muhammad Tamrin</t>
  </si>
  <si>
    <t>Nabila Hidayah</t>
  </si>
  <si>
    <t>Mahnun</t>
  </si>
  <si>
    <t>Mahini</t>
  </si>
  <si>
    <t>Johari</t>
  </si>
  <si>
    <t>520101 0107810139</t>
  </si>
  <si>
    <t>520101 4810950001</t>
  </si>
  <si>
    <t>Najwa Umi Salsabila</t>
  </si>
  <si>
    <t>520101 5901140001</t>
  </si>
  <si>
    <t>Irpan</t>
  </si>
  <si>
    <t>Marlia</t>
  </si>
  <si>
    <t>Maryadi</t>
  </si>
  <si>
    <t>Zulkarnaen</t>
  </si>
  <si>
    <t>Pebriadi</t>
  </si>
  <si>
    <t>Abdul Hafiz</t>
  </si>
  <si>
    <t>520101 0107520270</t>
  </si>
  <si>
    <t>Raisah</t>
  </si>
  <si>
    <t>520101 4107560100</t>
  </si>
  <si>
    <t>Muhnan</t>
  </si>
  <si>
    <t>Muhdi</t>
  </si>
  <si>
    <t>Munawarah</t>
  </si>
  <si>
    <t>520101 3112670049</t>
  </si>
  <si>
    <t>520101 7112740067</t>
  </si>
  <si>
    <t>Saepudin</t>
  </si>
  <si>
    <t>Zamroni</t>
  </si>
  <si>
    <t>520101 2404020001</t>
  </si>
  <si>
    <t>Lina Andriani</t>
  </si>
  <si>
    <t>520101 4701110001</t>
  </si>
  <si>
    <t>Nopitaningsih</t>
  </si>
  <si>
    <t>Munawar</t>
  </si>
  <si>
    <t>520101 1205800001</t>
  </si>
  <si>
    <t>Hartini</t>
  </si>
  <si>
    <t>Wiwin Haryani</t>
  </si>
  <si>
    <t>Muharrar</t>
  </si>
  <si>
    <t>Sri Wahyuni</t>
  </si>
  <si>
    <t>31-12-1947</t>
  </si>
  <si>
    <t>520101 3112470040</t>
  </si>
  <si>
    <t>520101 7112570075</t>
  </si>
  <si>
    <t>Jahram</t>
  </si>
  <si>
    <t>520101 0107760202</t>
  </si>
  <si>
    <t>Linda Indewi</t>
  </si>
  <si>
    <t>520101 4107800393</t>
  </si>
  <si>
    <t>520101 4107060206</t>
  </si>
  <si>
    <t>Salman</t>
  </si>
  <si>
    <t>Suriyah</t>
  </si>
  <si>
    <t>Samsul Hadi</t>
  </si>
  <si>
    <t>Siti Adawiyah</t>
  </si>
  <si>
    <t>Gunawan</t>
  </si>
  <si>
    <t>520101 1509010001</t>
  </si>
  <si>
    <t>Sainip</t>
  </si>
  <si>
    <t>520101 3112450056</t>
  </si>
  <si>
    <t>Sabenah</t>
  </si>
  <si>
    <t>520101 4107580103</t>
  </si>
  <si>
    <t>Rademah</t>
  </si>
  <si>
    <t>520101 4107910139</t>
  </si>
  <si>
    <t>Zaenun</t>
  </si>
  <si>
    <t>Siti Asmayati</t>
  </si>
  <si>
    <t>520101 6202120001</t>
  </si>
  <si>
    <t>Nasrun</t>
  </si>
  <si>
    <t>Wahidah</t>
  </si>
  <si>
    <t>Reza Hidayatulloh</t>
  </si>
  <si>
    <t>Naserah</t>
  </si>
  <si>
    <t>Nurpiah</t>
  </si>
  <si>
    <t>520101 7112670133</t>
  </si>
  <si>
    <t>520101 0107900567</t>
  </si>
  <si>
    <t>Nurdin</t>
  </si>
  <si>
    <t>Mariani</t>
  </si>
  <si>
    <t>520101 4107790346</t>
  </si>
  <si>
    <t>Muhamad Dian Saputra</t>
  </si>
  <si>
    <t>Muahamad Sofian Rizki</t>
  </si>
  <si>
    <t>520101 1212730002</t>
  </si>
  <si>
    <t>520101 4107740283</t>
  </si>
  <si>
    <t>Muhamad Zaini</t>
  </si>
  <si>
    <t>520101 1606940006</t>
  </si>
  <si>
    <t>Maria Ulfa</t>
  </si>
  <si>
    <t>28-01-1997</t>
  </si>
  <si>
    <t>520101 6801970001</t>
  </si>
  <si>
    <t>Ria Anjani</t>
  </si>
  <si>
    <t>520101 4107010008</t>
  </si>
  <si>
    <t>Anwar</t>
  </si>
  <si>
    <t>520101 0203800001</t>
  </si>
  <si>
    <t>Ernawati</t>
  </si>
  <si>
    <t>520108 6001840001</t>
  </si>
  <si>
    <t>Ihsan</t>
  </si>
  <si>
    <t>520101 0107770383</t>
  </si>
  <si>
    <t>Suhada</t>
  </si>
  <si>
    <t>520101 6307780001</t>
  </si>
  <si>
    <t>Dina Syafira</t>
  </si>
  <si>
    <t>520101 5806140002</t>
  </si>
  <si>
    <t>Jawahir</t>
  </si>
  <si>
    <t>520101 0107570399</t>
  </si>
  <si>
    <t>Musa</t>
  </si>
  <si>
    <t>520101 0107880047</t>
  </si>
  <si>
    <t>Muhlis</t>
  </si>
  <si>
    <t>Lisa Juniati</t>
  </si>
  <si>
    <t>Alpan Maulana</t>
  </si>
  <si>
    <t>Belum  kawin</t>
  </si>
  <si>
    <t>Muhalid</t>
  </si>
  <si>
    <t>Muriah</t>
  </si>
  <si>
    <t>Ikbal Nabil Quro’</t>
  </si>
  <si>
    <t>Sakdiah</t>
  </si>
  <si>
    <t>520101 2004020574</t>
  </si>
  <si>
    <t>Haeruman</t>
  </si>
  <si>
    <t>520101 2004002257</t>
  </si>
  <si>
    <t>Titin Yusvita</t>
  </si>
  <si>
    <t>Lauhul Mahpus</t>
  </si>
  <si>
    <t>520101 1608870001</t>
  </si>
  <si>
    <t>Sigit Pramana Rizki</t>
  </si>
  <si>
    <t>520101 2403100002</t>
  </si>
  <si>
    <t>520101 0107370199</t>
  </si>
  <si>
    <t>Aluyah</t>
  </si>
  <si>
    <t>520101 4107680395</t>
  </si>
  <si>
    <t>520101 1301890003</t>
  </si>
  <si>
    <t>Nihayah</t>
  </si>
  <si>
    <t>520101 4302920002</t>
  </si>
  <si>
    <t>Zaenul Mujahidin</t>
  </si>
  <si>
    <t>520101 2002960003</t>
  </si>
  <si>
    <t>Angga Julianto</t>
  </si>
  <si>
    <t>Jamil</t>
  </si>
  <si>
    <t>520101 0107540103</t>
  </si>
  <si>
    <t>Maesarah</t>
  </si>
  <si>
    <t>Mustajab</t>
  </si>
  <si>
    <t>No</t>
  </si>
  <si>
    <t>Nama</t>
  </si>
  <si>
    <t xml:space="preserve">Status Perkawinan </t>
  </si>
  <si>
    <t xml:space="preserve">Jenis Kelamin </t>
  </si>
  <si>
    <t xml:space="preserve">Agama </t>
  </si>
  <si>
    <t xml:space="preserve">Pekerjaan </t>
  </si>
  <si>
    <t xml:space="preserve">Status Dalam Keluarga </t>
  </si>
  <si>
    <t>NIK</t>
  </si>
  <si>
    <t xml:space="preserve">Nama </t>
  </si>
  <si>
    <t>Pendidikan</t>
  </si>
  <si>
    <t>Herman Jayadi</t>
  </si>
  <si>
    <t>Herwanto</t>
  </si>
  <si>
    <t xml:space="preserve">Nunung Januarti </t>
  </si>
  <si>
    <t>Oktavia Windari</t>
  </si>
  <si>
    <t>Sanip</t>
  </si>
  <si>
    <t>Misah</t>
  </si>
  <si>
    <t>Agus Rudiawan</t>
  </si>
  <si>
    <t>Eka Hurdiana</t>
  </si>
  <si>
    <t>Muhasan</t>
  </si>
  <si>
    <t>Mahuni</t>
  </si>
  <si>
    <t>Muhammat Tauhid</t>
  </si>
  <si>
    <t>Isnawati</t>
  </si>
  <si>
    <t>Najamudin</t>
  </si>
  <si>
    <t>Namilawati</t>
  </si>
  <si>
    <t>Ratnaseh</t>
  </si>
  <si>
    <t>Baiq Wirasaseh</t>
  </si>
  <si>
    <t>Kariadi</t>
  </si>
  <si>
    <t>Wirasari</t>
  </si>
  <si>
    <t>Muhammad Sodikin</t>
  </si>
  <si>
    <t>Amelia Putri</t>
  </si>
  <si>
    <t>Hardi Wandi</t>
  </si>
  <si>
    <t>Mutiani</t>
  </si>
  <si>
    <t>Husnan</t>
  </si>
  <si>
    <t>Minawati</t>
  </si>
  <si>
    <t>Erdin Umamul Rizki</t>
  </si>
  <si>
    <t>Naumi Ninda Silvani</t>
  </si>
  <si>
    <t>Wildan</t>
  </si>
  <si>
    <t>Sarni</t>
  </si>
  <si>
    <t>Arfin Dwi Sandika</t>
  </si>
  <si>
    <t>Ayulan</t>
  </si>
  <si>
    <t>Hajjah Rukayah</t>
  </si>
  <si>
    <t>Maknah</t>
  </si>
  <si>
    <t>Sabnah</t>
  </si>
  <si>
    <t>Hamdi</t>
  </si>
  <si>
    <t>Herni</t>
  </si>
  <si>
    <t>Tauhid</t>
  </si>
  <si>
    <t>Mansur Asshari</t>
  </si>
  <si>
    <t>Fitriah</t>
  </si>
  <si>
    <t>Cahaya Cinta Asshari</t>
  </si>
  <si>
    <t>Baharudin</t>
  </si>
  <si>
    <t>Rohanah</t>
  </si>
  <si>
    <t>Nasrudin S.Pd</t>
  </si>
  <si>
    <t>Eli Ermawati S.Pd</t>
  </si>
  <si>
    <t>Muhammad Ramzi Al Ghazali</t>
  </si>
  <si>
    <t>Burhan</t>
  </si>
  <si>
    <t>Laila Zakirah</t>
  </si>
  <si>
    <t>Moh Zarril Gafar</t>
  </si>
  <si>
    <t>Moh Sauqi Fathir</t>
  </si>
  <si>
    <t>Airin Putri Hani</t>
  </si>
  <si>
    <t>Lukman</t>
  </si>
  <si>
    <t>Rainah</t>
  </si>
  <si>
    <t>Mutia Hidayah</t>
  </si>
  <si>
    <t>Abdul Muhid</t>
  </si>
  <si>
    <t>Saimah</t>
  </si>
  <si>
    <t>Jawariyah</t>
  </si>
  <si>
    <t>31-12-1961</t>
  </si>
  <si>
    <t>Liyana Saputri</t>
  </si>
  <si>
    <t>Muhamad Naufal Hibatulloh</t>
  </si>
  <si>
    <t>Masiah</t>
  </si>
  <si>
    <t>Sulaeman</t>
  </si>
  <si>
    <t>Mayadi</t>
  </si>
  <si>
    <t>Apriyanti</t>
  </si>
  <si>
    <t>Ahmad Imam Al Farisi</t>
  </si>
  <si>
    <t>Yusif</t>
  </si>
  <si>
    <t>Rusnah</t>
  </si>
  <si>
    <t>Muliati Dewi</t>
  </si>
  <si>
    <t>M Nanang Saputra</t>
  </si>
  <si>
    <t>Arsan</t>
  </si>
  <si>
    <t>Herlianto</t>
  </si>
  <si>
    <t>Ariawan</t>
  </si>
  <si>
    <t>Muhammad Aril</t>
  </si>
  <si>
    <t>Nasarudin</t>
  </si>
  <si>
    <t>Ayuni</t>
  </si>
  <si>
    <t>Indah Purnama Sari</t>
  </si>
  <si>
    <t>Diana Yunizar</t>
  </si>
  <si>
    <t>Padlun Hairi</t>
  </si>
  <si>
    <t>Israq</t>
  </si>
  <si>
    <t>Irin</t>
  </si>
  <si>
    <t>Muhajirin</t>
  </si>
  <si>
    <t>Muhamad Sabarhadi</t>
  </si>
  <si>
    <t>Milasih</t>
  </si>
  <si>
    <t>Munirah</t>
  </si>
  <si>
    <t>Muhtar</t>
  </si>
  <si>
    <t>Salmah</t>
  </si>
  <si>
    <t>Iswandi</t>
  </si>
  <si>
    <t>Nursaid</t>
  </si>
  <si>
    <t>31-12-1971</t>
  </si>
  <si>
    <t>Sarinah</t>
  </si>
  <si>
    <t>Sohipatullahmi</t>
  </si>
  <si>
    <t>Mardiah</t>
  </si>
  <si>
    <t>Sumarni</t>
  </si>
  <si>
    <t>Raehanah</t>
  </si>
  <si>
    <t>Ilham Halid</t>
  </si>
  <si>
    <t>Aminah</t>
  </si>
  <si>
    <t>Muhamad Ali</t>
  </si>
  <si>
    <t>Baiq Lia Purbawati</t>
  </si>
  <si>
    <t>Lalu Janu Saptoni</t>
  </si>
  <si>
    <t>Baiq Khairin Nada</t>
  </si>
  <si>
    <t>Batiah</t>
  </si>
  <si>
    <t>Siti Hadijah</t>
  </si>
  <si>
    <t>Abdul Maad</t>
  </si>
  <si>
    <t>Amrulloh</t>
  </si>
  <si>
    <t>Adnan</t>
  </si>
  <si>
    <t>Zuryati</t>
  </si>
  <si>
    <t>28-07-1988</t>
  </si>
  <si>
    <t>Amir Hamdani</t>
  </si>
  <si>
    <t>M Rizki Aditiya</t>
  </si>
  <si>
    <t>Iwah</t>
  </si>
  <si>
    <t>Sahirudin</t>
  </si>
  <si>
    <t>Saleh</t>
  </si>
  <si>
    <t>Muniah</t>
  </si>
  <si>
    <t>Marzuki</t>
  </si>
  <si>
    <t>Munisah</t>
  </si>
  <si>
    <t>Inalia</t>
  </si>
  <si>
    <t>Sahmin</t>
  </si>
  <si>
    <t>Sunardi</t>
  </si>
  <si>
    <t>Faizin S.E</t>
  </si>
  <si>
    <t>Nurhikmah S.Pd</t>
  </si>
  <si>
    <t>Muhammad Nabil Aufa Jihad</t>
  </si>
  <si>
    <t>Awaludin</t>
  </si>
  <si>
    <t>Miftahul Rizki</t>
  </si>
  <si>
    <t>Mahyam</t>
  </si>
  <si>
    <t>Risma Mayandari</t>
  </si>
  <si>
    <t>Misbah</t>
  </si>
  <si>
    <t>Rukayah</t>
  </si>
  <si>
    <t>Aswadi</t>
  </si>
  <si>
    <t>Fathul Aziz</t>
  </si>
  <si>
    <t>Munawir Haris</t>
  </si>
  <si>
    <t>Azwan Hamid</t>
  </si>
  <si>
    <t>Khairunnisa</t>
  </si>
  <si>
    <t>Dika Agustia</t>
  </si>
  <si>
    <t>Muzahar</t>
  </si>
  <si>
    <t>Ramenah</t>
  </si>
  <si>
    <t>Kiki Zoratil Aeni</t>
  </si>
  <si>
    <t>Saterah</t>
  </si>
  <si>
    <t>Nasrullah</t>
  </si>
  <si>
    <t>Amenah</t>
  </si>
  <si>
    <t>Lutfi Nasrunizam</t>
  </si>
  <si>
    <t>Azmil Umur Tangkih</t>
  </si>
  <si>
    <t>Abi Berlian Maulana</t>
  </si>
  <si>
    <t>Lalu Wirantana</t>
  </si>
  <si>
    <t>Baiq Rohimin</t>
  </si>
  <si>
    <t>Lalu Arya Darma Wiguna</t>
  </si>
  <si>
    <t>Lalu Karna Bakti</t>
  </si>
  <si>
    <t>Baiq Ruminggit</t>
  </si>
  <si>
    <t>Miftahul Faridah S.Km</t>
  </si>
  <si>
    <t>Baiq Naura Haifa Adzakiya</t>
  </si>
  <si>
    <t>Baiq Najwa Asyila</t>
  </si>
  <si>
    <t>520101 0708940003</t>
  </si>
  <si>
    <t>520101 6801940002</t>
  </si>
  <si>
    <t>520101 6310120002</t>
  </si>
  <si>
    <t>520101 4107610171</t>
  </si>
  <si>
    <t>520101 0708850005</t>
  </si>
  <si>
    <t>520101 6301910001</t>
  </si>
  <si>
    <t>520101 5810110001</t>
  </si>
  <si>
    <t>520101 0202970001</t>
  </si>
  <si>
    <t>520101 2508860002</t>
  </si>
  <si>
    <t>520101 4112640001</t>
  </si>
  <si>
    <t>520101 2708990001</t>
  </si>
  <si>
    <t>520101 4101070001</t>
  </si>
  <si>
    <t>520101 0107800431</t>
  </si>
  <si>
    <t>520101 7108830001</t>
  </si>
  <si>
    <t>520101 2809060001</t>
  </si>
  <si>
    <t>520101 6002140001</t>
  </si>
  <si>
    <t>520101 2102820001</t>
  </si>
  <si>
    <t>520101 2004017093</t>
  </si>
  <si>
    <t>520101 0107500004</t>
  </si>
  <si>
    <t>520101 0107780074</t>
  </si>
  <si>
    <t>520101 4107800374</t>
  </si>
  <si>
    <t>520101 2907050001</t>
  </si>
  <si>
    <t>520101 0107570394</t>
  </si>
  <si>
    <t>520101 4107600093</t>
  </si>
  <si>
    <t>520101 0107500169</t>
  </si>
  <si>
    <t>520101 1711790002</t>
  </si>
  <si>
    <t>520101 7112870173</t>
  </si>
  <si>
    <t>520101 4806131001</t>
  </si>
  <si>
    <t>520101 4107420104</t>
  </si>
  <si>
    <t>520101 0107540105</t>
  </si>
  <si>
    <t>520101 5508940005</t>
  </si>
  <si>
    <t>520101 2503880001</t>
  </si>
  <si>
    <t>520101 7112870012</t>
  </si>
  <si>
    <t>520101 0711140001</t>
  </si>
  <si>
    <t>520101 1711730001</t>
  </si>
  <si>
    <t>520101 5111780004</t>
  </si>
  <si>
    <t>520101 0311010001</t>
  </si>
  <si>
    <t>520101 0202070001</t>
  </si>
  <si>
    <t>520101 0109120002</t>
  </si>
  <si>
    <t>520101 0107740157</t>
  </si>
  <si>
    <t>520101 4107790325</t>
  </si>
  <si>
    <t>520101 6303060001</t>
  </si>
  <si>
    <t>520101 1806781001</t>
  </si>
  <si>
    <t>520101 4701791001</t>
  </si>
  <si>
    <t>520101 0604991001</t>
  </si>
  <si>
    <t>520101 3112051004</t>
  </si>
  <si>
    <t>520101 4107610067</t>
  </si>
  <si>
    <t>520101 3112910019</t>
  </si>
  <si>
    <t>520101 2003790001</t>
  </si>
  <si>
    <t>520101 1410840001</t>
  </si>
  <si>
    <t>520101 6004940002</t>
  </si>
  <si>
    <t>520101 1811140001</t>
  </si>
  <si>
    <t>520101 1907890002</t>
  </si>
  <si>
    <t>520101 6707910002</t>
  </si>
  <si>
    <t>520101 3112400010</t>
  </si>
  <si>
    <t>520101 7112670004</t>
  </si>
  <si>
    <t>520101 0107770318</t>
  </si>
  <si>
    <t>520101 4204840004</t>
  </si>
  <si>
    <t>520101 4107470217</t>
  </si>
  <si>
    <t>520101 1704750002</t>
  </si>
  <si>
    <t>520101 5503790001</t>
  </si>
  <si>
    <t>520101 4107890073</t>
  </si>
  <si>
    <t>520101 7112730198</t>
  </si>
  <si>
    <t>520101 4503940004</t>
  </si>
  <si>
    <t>520101 3112751008</t>
  </si>
  <si>
    <t>520101 2104031001</t>
  </si>
  <si>
    <t>520101 6807880002</t>
  </si>
  <si>
    <t>520101 4601500001</t>
  </si>
  <si>
    <t>520101 6510760003</t>
  </si>
  <si>
    <t>520101 0804930001</t>
  </si>
  <si>
    <t>520101 4702680001</t>
  </si>
  <si>
    <t>520101 5611920001</t>
  </si>
  <si>
    <t>520101 6910940002</t>
  </si>
  <si>
    <t>520101 2805880002</t>
  </si>
  <si>
    <t>520101 5008890002</t>
  </si>
  <si>
    <t>520101 2810100004</t>
  </si>
  <si>
    <t>520101 2205100002</t>
  </si>
  <si>
    <t>520101 0107570380</t>
  </si>
  <si>
    <t>520101 4107720478</t>
  </si>
  <si>
    <t>520101 0808890001</t>
  </si>
  <si>
    <t>520101 1009900001</t>
  </si>
  <si>
    <t>520101 2003920002</t>
  </si>
  <si>
    <t>520101 3112540022</t>
  </si>
  <si>
    <t>520101 4212620001</t>
  </si>
  <si>
    <t>520101 0712910001</t>
  </si>
  <si>
    <t>520101 4107850178</t>
  </si>
  <si>
    <t>520101 5107130002</t>
  </si>
  <si>
    <t>520101 0107670711</t>
  </si>
  <si>
    <t>520101 4107670551</t>
  </si>
  <si>
    <t>520101 0000710003</t>
  </si>
  <si>
    <t>520101 2608030001</t>
  </si>
  <si>
    <t>520101 1001620001</t>
  </si>
  <si>
    <t>520101 4107650356</t>
  </si>
  <si>
    <t>520101 1106850001</t>
  </si>
  <si>
    <t>520101 6007350001</t>
  </si>
  <si>
    <t>520114 6909820003</t>
  </si>
  <si>
    <t>520114 4507120001</t>
  </si>
  <si>
    <t>520101 4201150001</t>
  </si>
  <si>
    <t xml:space="preserve">Pendidikan </t>
  </si>
  <si>
    <t>Jenis Kelamin</t>
  </si>
  <si>
    <t>Agama</t>
  </si>
  <si>
    <t>Status Dalam Keluarga</t>
  </si>
  <si>
    <t>Lalu Kardi</t>
  </si>
  <si>
    <t>Baiq Nurtiaman</t>
  </si>
  <si>
    <t>Lalu Banu Karisma  Setiaji</t>
  </si>
  <si>
    <t>Lalu Nata Kusuma Wijaya</t>
  </si>
  <si>
    <t>Pensiunan</t>
  </si>
  <si>
    <t>520101 0107550147</t>
  </si>
  <si>
    <t>Lalu Sapwan</t>
  </si>
  <si>
    <t>Sarmah</t>
  </si>
  <si>
    <t>Lalu Habib Akbar</t>
  </si>
  <si>
    <t>Lalu Rustamaji</t>
  </si>
  <si>
    <t>Baiq Nurul Hidayati</t>
  </si>
  <si>
    <t>Baiq Zahraeni Safitri</t>
  </si>
  <si>
    <t>Lalu Imam Sahbandi</t>
  </si>
  <si>
    <t>Baiq Zirwa Amanina</t>
  </si>
  <si>
    <t>Lalu Ahmad Saufi</t>
  </si>
  <si>
    <t>Baiq Markisah Murijati</t>
  </si>
  <si>
    <t>520101 1405050001</t>
  </si>
  <si>
    <t>Baiq Rizkania Putri Zahra</t>
  </si>
  <si>
    <t>Lalu Jenar</t>
  </si>
  <si>
    <t>Baiq Risma Agustina</t>
  </si>
  <si>
    <t>Marhanah</t>
  </si>
  <si>
    <t>Lalu Sukarmin</t>
  </si>
  <si>
    <t>Baiq Tiara Kartika Anjuni</t>
  </si>
  <si>
    <t>Baiq Mira Aulia</t>
  </si>
  <si>
    <t>Baiq Ayulan</t>
  </si>
  <si>
    <t>islam</t>
  </si>
  <si>
    <t>Lalu Hirdan</t>
  </si>
  <si>
    <t>520101 0107690098</t>
  </si>
  <si>
    <t>520101 6511960002</t>
  </si>
  <si>
    <t>Lalu Irham Bara</t>
  </si>
  <si>
    <t>520101 2110990002</t>
  </si>
  <si>
    <t>Lalu Norma Sofandi</t>
  </si>
  <si>
    <t>520101 1212790003</t>
  </si>
  <si>
    <t>Baiq Sumi Ratmi</t>
  </si>
  <si>
    <t>Baiq Fadya Khumaira Sofandi</t>
  </si>
  <si>
    <t>Baiq Nauha Nada Sofandi</t>
  </si>
  <si>
    <t>520101 6410080001</t>
  </si>
  <si>
    <t>Lalu Muhasim</t>
  </si>
  <si>
    <t>Lalu Hendra Katmiwijaya Stp</t>
  </si>
  <si>
    <t>520101 3103860001</t>
  </si>
  <si>
    <t>Lale Vera Silvia S.Tp</t>
  </si>
  <si>
    <t>520208 5409860002</t>
  </si>
  <si>
    <t>Baiq Nurhayati</t>
  </si>
  <si>
    <t>Lalu Ambar Pusaka</t>
  </si>
  <si>
    <t>Baiq Senah</t>
  </si>
  <si>
    <t>Lalu Saepullah</t>
  </si>
  <si>
    <t>Baiq Ratnawati</t>
  </si>
  <si>
    <t>Islama</t>
  </si>
  <si>
    <t>Lalu Ruli Saputra</t>
  </si>
  <si>
    <t>520101 1703850003</t>
  </si>
  <si>
    <t>Baiq Faoziah</t>
  </si>
  <si>
    <t>520101 7112840135</t>
  </si>
  <si>
    <t>Baiq Yeni Ariyanti</t>
  </si>
  <si>
    <t>520101 5201070002</t>
  </si>
  <si>
    <t>Lalu Alhak</t>
  </si>
  <si>
    <t>520101 1003042002</t>
  </si>
  <si>
    <t>Baiq Wahyuni Sufiatun</t>
  </si>
  <si>
    <t>520101 0603730001</t>
  </si>
  <si>
    <t>Lalu Bagus Akmasuan</t>
  </si>
  <si>
    <t>520101 0905980001</t>
  </si>
  <si>
    <t>Lalu M.Fikri Ulhak</t>
  </si>
  <si>
    <t>520101 0909040002</t>
  </si>
  <si>
    <t>Baiq Anita Fatima Alhuaida</t>
  </si>
  <si>
    <t>520101 0905070001</t>
  </si>
  <si>
    <t>Baiq Annisa Qurrata A’yun</t>
  </si>
  <si>
    <t>520101 3105810001</t>
  </si>
  <si>
    <t>520101 1608090003</t>
  </si>
  <si>
    <t>Lalu Imam Maulana Rizki</t>
  </si>
  <si>
    <t>Lalu Muhammad Yasin S.Pt</t>
  </si>
  <si>
    <t>520101 0408830001</t>
  </si>
  <si>
    <t>Baiq Rita Setiawati S.E</t>
  </si>
  <si>
    <t>520101 6804810001</t>
  </si>
  <si>
    <t>Lalu Muhammad Azzam Zhafran</t>
  </si>
  <si>
    <t>520101 2803120001</t>
  </si>
  <si>
    <t>Lalu Ilham</t>
  </si>
  <si>
    <t>Baiq Kartisah</t>
  </si>
  <si>
    <t>Baiq Fadila Maulani</t>
  </si>
  <si>
    <t>Lalu Murat</t>
  </si>
  <si>
    <t>520101 3112500003</t>
  </si>
  <si>
    <t>Sinarah</t>
  </si>
  <si>
    <t>520101 7112510003</t>
  </si>
  <si>
    <t>Baiq Nurhasanah</t>
  </si>
  <si>
    <t>Baiq Markincun</t>
  </si>
  <si>
    <t>520101 5903770001</t>
  </si>
  <si>
    <t>Lalu Mashuryadi</t>
  </si>
  <si>
    <t>Saminah</t>
  </si>
  <si>
    <t>Lalu Dimas Maulana</t>
  </si>
  <si>
    <t>Haji Abdul Wahid</t>
  </si>
  <si>
    <t>520101 3112420003</t>
  </si>
  <si>
    <t>Ramlah</t>
  </si>
  <si>
    <t>520101 7112450002</t>
  </si>
  <si>
    <t>Siti Sapurah</t>
  </si>
  <si>
    <t>520101 7112760001</t>
  </si>
  <si>
    <t>Hanapi</t>
  </si>
  <si>
    <t>520101 3112790004</t>
  </si>
  <si>
    <t>Fatahullah Ramlan</t>
  </si>
  <si>
    <t>520101 0512920001</t>
  </si>
  <si>
    <t>Aditiya Prayitna</t>
  </si>
  <si>
    <t>Ramli</t>
  </si>
  <si>
    <t>Amnah</t>
  </si>
  <si>
    <t>520101 2007820001</t>
  </si>
  <si>
    <t>Baehaqi</t>
  </si>
  <si>
    <t>Khaerul Fahmi</t>
  </si>
  <si>
    <t>Abdul Rasid</t>
  </si>
  <si>
    <t>Nurhikmah</t>
  </si>
  <si>
    <t>Mulkia Daman Huri</t>
  </si>
  <si>
    <t>520101 0107770280</t>
  </si>
  <si>
    <t>Baiq Muliati</t>
  </si>
  <si>
    <t>520101 5503851002</t>
  </si>
  <si>
    <t>Lalu Aji Sasmi</t>
  </si>
  <si>
    <t>520101 2510011001</t>
  </si>
  <si>
    <t>Lalu Syarif Abdillah</t>
  </si>
  <si>
    <t>520101 1509080001</t>
  </si>
  <si>
    <t>520101 1410131001</t>
  </si>
  <si>
    <t>Rabiah</t>
  </si>
  <si>
    <t>520101 4107570565</t>
  </si>
  <si>
    <t>Suniah</t>
  </si>
  <si>
    <t>Hamid</t>
  </si>
  <si>
    <t>520101 4806910001</t>
  </si>
  <si>
    <t>Herlan Hariyanto</t>
  </si>
  <si>
    <t>Muhammad Subki</t>
  </si>
  <si>
    <t>520101 0107830128</t>
  </si>
  <si>
    <t>Astitik</t>
  </si>
  <si>
    <t>520101 4901890003</t>
  </si>
  <si>
    <t>Lalu Unduk Can</t>
  </si>
  <si>
    <t>520101 3112621001</t>
  </si>
  <si>
    <t>Baiq Widarti</t>
  </si>
  <si>
    <t>520101 5312651001</t>
  </si>
  <si>
    <t>Baiq Eka Guntari Sasih R, Spt</t>
  </si>
  <si>
    <t>520101 5405860002</t>
  </si>
  <si>
    <t>Lalu Wira Triwibawa Amd</t>
  </si>
  <si>
    <t>520101 0408890001</t>
  </si>
  <si>
    <t>Lalu Surya Bintang</t>
  </si>
  <si>
    <t>520101 0204020001</t>
  </si>
  <si>
    <t>Lalu Romy Ilhamullah</t>
  </si>
  <si>
    <t>520101 2780830001</t>
  </si>
  <si>
    <t>Baiq  Lenan Adista Eka  Putri Amd</t>
  </si>
  <si>
    <t>520101 8801870001</t>
  </si>
  <si>
    <t>Baiq Asma Nadia Aqilatunnisa</t>
  </si>
  <si>
    <t>Haji Lalu Sahwan</t>
  </si>
  <si>
    <t>520101 3112550089</t>
  </si>
  <si>
    <t>Hajjah Baiq Sumarni</t>
  </si>
  <si>
    <t>520101 7112590050</t>
  </si>
  <si>
    <t>Lalu Maftuh Ikhsan</t>
  </si>
  <si>
    <t xml:space="preserve">Dirawi </t>
  </si>
  <si>
    <t>Nuriah</t>
  </si>
  <si>
    <t xml:space="preserve">Istri </t>
  </si>
  <si>
    <t xml:space="preserve">Raodah </t>
  </si>
  <si>
    <t xml:space="preserve">Pekerja lepas </t>
  </si>
  <si>
    <t>Yuda Saputra</t>
  </si>
  <si>
    <t xml:space="preserve">Lain-lain </t>
  </si>
  <si>
    <t xml:space="preserve">Iwan </t>
  </si>
  <si>
    <t xml:space="preserve">Sakmah </t>
  </si>
  <si>
    <t xml:space="preserve">Sucilawati </t>
  </si>
  <si>
    <t xml:space="preserve">Petani </t>
  </si>
  <si>
    <t>Azrin Hadi</t>
  </si>
  <si>
    <t>Saihul Muttaqin</t>
  </si>
  <si>
    <t>Husnul Yakin</t>
  </si>
  <si>
    <t xml:space="preserve">Amni </t>
  </si>
  <si>
    <t xml:space="preserve">Hajjah Halimah </t>
  </si>
  <si>
    <t>Azwar Hamid</t>
  </si>
  <si>
    <t>Maznil Azmi</t>
  </si>
  <si>
    <t xml:space="preserve">Alifa Hibatillah </t>
  </si>
  <si>
    <t xml:space="preserve">Satimah </t>
  </si>
  <si>
    <t xml:space="preserve">Maryam </t>
  </si>
  <si>
    <t xml:space="preserve">Hambali </t>
  </si>
  <si>
    <t>Muhammad Taufik</t>
  </si>
  <si>
    <t xml:space="preserve">Marwan </t>
  </si>
  <si>
    <t>Muh Nasir</t>
  </si>
  <si>
    <t xml:space="preserve">Rafiah </t>
  </si>
  <si>
    <t>Mahsun</t>
  </si>
  <si>
    <t xml:space="preserve">Abdurrahman </t>
  </si>
  <si>
    <t xml:space="preserve">Miftahul Janah </t>
  </si>
  <si>
    <t>Badrun</t>
  </si>
  <si>
    <t>Wirswasta</t>
  </si>
  <si>
    <t xml:space="preserve">Baiq Suliah </t>
  </si>
  <si>
    <t xml:space="preserve">Ahmad Dani Usman </t>
  </si>
  <si>
    <t xml:space="preserve">Halil </t>
  </si>
  <si>
    <t xml:space="preserve">Nurasiah </t>
  </si>
  <si>
    <t xml:space="preserve">Musniawati </t>
  </si>
  <si>
    <t>Riskawati</t>
  </si>
  <si>
    <t xml:space="preserve">Diwi </t>
  </si>
  <si>
    <t xml:space="preserve">Rinayu </t>
  </si>
  <si>
    <t xml:space="preserve">Muhammad Saleh </t>
  </si>
  <si>
    <t xml:space="preserve">Imah </t>
  </si>
  <si>
    <t>Siti Rohani</t>
  </si>
  <si>
    <t xml:space="preserve">Lalu Imron </t>
  </si>
  <si>
    <t xml:space="preserve">Wiraswasta </t>
  </si>
  <si>
    <t xml:space="preserve">Siti Maysaroh </t>
  </si>
  <si>
    <t xml:space="preserve">Baiq Latifa Marwa </t>
  </si>
  <si>
    <t>Lalu Rangga Lawe</t>
  </si>
  <si>
    <t xml:space="preserve">Eka Suryani </t>
  </si>
  <si>
    <t xml:space="preserve">P </t>
  </si>
  <si>
    <t xml:space="preserve">Lalu Saparudin </t>
  </si>
  <si>
    <t xml:space="preserve">Baiq Saniah </t>
  </si>
  <si>
    <t>Lalu Marzuki</t>
  </si>
  <si>
    <t xml:space="preserve">Pegawai swasta </t>
  </si>
  <si>
    <t>Lalu Hartawan</t>
  </si>
  <si>
    <t xml:space="preserve">Baiq Yunita Ababil </t>
  </si>
  <si>
    <t>Lalu Kukuh</t>
  </si>
  <si>
    <t>Lalu Kamarudin</t>
  </si>
  <si>
    <t xml:space="preserve">Muslimah </t>
  </si>
  <si>
    <t xml:space="preserve">Pedagang </t>
  </si>
  <si>
    <t>Lalu Sahdan Gunawan</t>
  </si>
  <si>
    <t xml:space="preserve">Saharudin </t>
  </si>
  <si>
    <t xml:space="preserve">Salbiah </t>
  </si>
  <si>
    <t>Helmi Hatam Jayadi</t>
  </si>
  <si>
    <t>Muhammad Satarudin</t>
  </si>
  <si>
    <t>Mainah</t>
  </si>
  <si>
    <t xml:space="preserve">Jumiatin Suhada </t>
  </si>
  <si>
    <t>Muhammad Sukri</t>
  </si>
  <si>
    <t xml:space="preserve">Amiyana </t>
  </si>
  <si>
    <t>Moh Haikal Hakiki</t>
  </si>
  <si>
    <t xml:space="preserve">Ibrahim Nawafsa </t>
  </si>
  <si>
    <t xml:space="preserve">Abdurrahim </t>
  </si>
  <si>
    <t xml:space="preserve">Muhammad Safarrizman </t>
  </si>
  <si>
    <t>Lalu Galih</t>
  </si>
  <si>
    <t xml:space="preserve">Rakmah </t>
  </si>
  <si>
    <t>Hajjah Raodah</t>
  </si>
  <si>
    <t xml:space="preserve">Ahmad </t>
  </si>
  <si>
    <t xml:space="preserve">Mardiah </t>
  </si>
  <si>
    <t xml:space="preserve">Martina </t>
  </si>
  <si>
    <t xml:space="preserve">Salmah </t>
  </si>
  <si>
    <t xml:space="preserve">Muhazab </t>
  </si>
  <si>
    <t xml:space="preserve">Farida </t>
  </si>
  <si>
    <t>Muhammad Farid Saibani</t>
  </si>
  <si>
    <t xml:space="preserve">Muhasan </t>
  </si>
  <si>
    <t xml:space="preserve">Muzahar </t>
  </si>
  <si>
    <t>Imam Maliki</t>
  </si>
  <si>
    <t xml:space="preserve">Muhasim </t>
  </si>
  <si>
    <t>Rodifa Hidayanti</t>
  </si>
  <si>
    <t xml:space="preserve">Muhtar </t>
  </si>
  <si>
    <t xml:space="preserve">Munirah </t>
  </si>
  <si>
    <t xml:space="preserve">Munawir Haris </t>
  </si>
  <si>
    <t xml:space="preserve">Era Fazira </t>
  </si>
  <si>
    <t xml:space="preserve">Gilang Satriawan </t>
  </si>
  <si>
    <t xml:space="preserve">Ade Seftianingsih </t>
  </si>
  <si>
    <t xml:space="preserve"> KK</t>
  </si>
  <si>
    <t>Mawarni S.Pd</t>
  </si>
  <si>
    <t xml:space="preserve">Saean </t>
  </si>
  <si>
    <t>Hurriyah</t>
  </si>
  <si>
    <t xml:space="preserve">Muh. Nukman Wahidin </t>
  </si>
  <si>
    <t>Ahmad Habibi</t>
  </si>
  <si>
    <t>19-05-1984</t>
  </si>
  <si>
    <t>Ahmad Hafizin</t>
  </si>
  <si>
    <t>Achmad Dailami Nalal Wathar</t>
  </si>
  <si>
    <t>Rizki Aulia Rahman</t>
  </si>
  <si>
    <t xml:space="preserve">Baiq Faoziah </t>
  </si>
  <si>
    <t>Baiq Suhasni</t>
  </si>
  <si>
    <t>Lalu Selamat Riadi</t>
  </si>
  <si>
    <t>Lalu Zohri</t>
  </si>
  <si>
    <t>Baiq Siti Aisah</t>
  </si>
  <si>
    <t>Lalu Gunawan</t>
  </si>
  <si>
    <t>Lalu Safii</t>
  </si>
  <si>
    <t>Lalu Wira Bhakti</t>
  </si>
  <si>
    <t xml:space="preserve">Inaq Sitah </t>
  </si>
  <si>
    <t>31-12-1937</t>
  </si>
  <si>
    <t>Lalu Mahnir</t>
  </si>
  <si>
    <t xml:space="preserve">Baiq Hadijah </t>
  </si>
  <si>
    <t>Lalu Diah Lukman</t>
  </si>
  <si>
    <t>Baiq Endang Kurnia</t>
  </si>
  <si>
    <t xml:space="preserve">Lalu Naharudin </t>
  </si>
  <si>
    <t>Baiq Sinarmin</t>
  </si>
  <si>
    <t xml:space="preserve">Baiq Elin Oktapiani </t>
  </si>
  <si>
    <t>Lalu Gede Sentane</t>
  </si>
  <si>
    <t>Lalu Jumaidi</t>
  </si>
  <si>
    <t>Lalu Muzakkir</t>
  </si>
  <si>
    <t xml:space="preserve">Aminah </t>
  </si>
  <si>
    <t>Baiq Muslehaini</t>
  </si>
  <si>
    <t>Nadia Salsabila Putri</t>
  </si>
  <si>
    <t>Lalu Junaidi</t>
  </si>
  <si>
    <t xml:space="preserve">Muhimah </t>
  </si>
  <si>
    <t>Baiq Fattimatul Zahwa</t>
  </si>
  <si>
    <t>Lalu Erfandi Saputra</t>
  </si>
  <si>
    <t>Lalu Ukar</t>
  </si>
  <si>
    <t>Lalu Muhammad Kadirata</t>
  </si>
  <si>
    <t>Baiq Rustini</t>
  </si>
  <si>
    <t>Baiq Rahman Wahyuni</t>
  </si>
  <si>
    <t>14-08-1996</t>
  </si>
  <si>
    <t>Lalu Afrian Maulana</t>
  </si>
  <si>
    <t>Lalu Hamzah</t>
  </si>
  <si>
    <t>Baiq Ramlah</t>
  </si>
  <si>
    <t>Lalu Nurhadi</t>
  </si>
  <si>
    <t xml:space="preserve">Baiq Amanah </t>
  </si>
  <si>
    <t>Lalu Budi Utama Putra</t>
  </si>
  <si>
    <t>Lalu Hajrul Trihandana</t>
  </si>
  <si>
    <t>Lalu Hanafi</t>
  </si>
  <si>
    <t>Baiq Pujiana</t>
  </si>
  <si>
    <t>Lalu Ananda Pujiatma</t>
  </si>
  <si>
    <t>Lalu Hambali</t>
  </si>
  <si>
    <t xml:space="preserve">Maliha </t>
  </si>
  <si>
    <t xml:space="preserve">Sahdan </t>
  </si>
  <si>
    <t>Muslimah</t>
  </si>
  <si>
    <t>Dea Mustika</t>
  </si>
  <si>
    <t>Lalu Fathul Hidayat</t>
  </si>
  <si>
    <t xml:space="preserve">Fatmayuningsih </t>
  </si>
  <si>
    <t>Hajjah Jawahir</t>
  </si>
  <si>
    <t>Hajjah Baiq Rusnah</t>
  </si>
  <si>
    <t>Olivia Siskawati</t>
  </si>
  <si>
    <t xml:space="preserve">M Suharmaini </t>
  </si>
  <si>
    <t>Ahmad Nazil Fatihal Jinan</t>
  </si>
  <si>
    <t>Muhasan S.Ag</t>
  </si>
  <si>
    <t>Arwana Gigin Syahlavi</t>
  </si>
  <si>
    <t>520101 1208810002</t>
  </si>
  <si>
    <t>520101 7112880131</t>
  </si>
  <si>
    <t>520101 5008110001</t>
  </si>
  <si>
    <t>520101 1708870001</t>
  </si>
  <si>
    <t>520101 0205030001</t>
  </si>
  <si>
    <t>520101 0205030002</t>
  </si>
  <si>
    <t>520101 4107640124</t>
  </si>
  <si>
    <t>520101 2101840001</t>
  </si>
  <si>
    <t>520101 4107890267</t>
  </si>
  <si>
    <t>520101 4704150001</t>
  </si>
  <si>
    <t>520101 7112650040</t>
  </si>
  <si>
    <t>520101 3112940007</t>
  </si>
  <si>
    <t>520101 3112970002</t>
  </si>
  <si>
    <t>520101 3110390002</t>
  </si>
  <si>
    <t>520101 3112650002</t>
  </si>
  <si>
    <t>520101 7112710003</t>
  </si>
  <si>
    <t>520101 1301880001</t>
  </si>
  <si>
    <t>520101 0605970001</t>
  </si>
  <si>
    <t>520101 4101080001</t>
  </si>
  <si>
    <t>520101 3112580000</t>
  </si>
  <si>
    <t>520101 7112610000</t>
  </si>
  <si>
    <t>520101 0612880001</t>
  </si>
  <si>
    <t>520101 2810030001</t>
  </si>
  <si>
    <t>520101 1508781001</t>
  </si>
  <si>
    <t>520101 5208831001</t>
  </si>
  <si>
    <t>520101 5005011001</t>
  </si>
  <si>
    <t>520101 5212051001</t>
  </si>
  <si>
    <t>520101 0107480096</t>
  </si>
  <si>
    <t>520101 4107560098</t>
  </si>
  <si>
    <t>520101 0911770001</t>
  </si>
  <si>
    <t>520101 0808910001</t>
  </si>
  <si>
    <t>520101 2802930001</t>
  </si>
  <si>
    <t>520101 7112430003</t>
  </si>
  <si>
    <t>520101 0101910007</t>
  </si>
  <si>
    <t>520101 7112880151</t>
  </si>
  <si>
    <t>520101 0101910006</t>
  </si>
  <si>
    <t>520101 0910750005</t>
  </si>
  <si>
    <t>520101 2012070001</t>
  </si>
  <si>
    <t>520101 1609140002</t>
  </si>
  <si>
    <t>520101 2006890001</t>
  </si>
  <si>
    <t>520101 7105870001</t>
  </si>
  <si>
    <t>520101 0406100001</t>
  </si>
  <si>
    <t>520101 4404140001</t>
  </si>
  <si>
    <t>520101 3112880004</t>
  </si>
  <si>
    <t>520101 4307860001</t>
  </si>
  <si>
    <t>520101 0102090001</t>
  </si>
  <si>
    <t>520101 0107590117</t>
  </si>
  <si>
    <t>520101 3112780079</t>
  </si>
  <si>
    <t>520101 7112780077</t>
  </si>
  <si>
    <t>520101 4910970002</t>
  </si>
  <si>
    <t>520101 1510030001</t>
  </si>
  <si>
    <t>520101 1504880002</t>
  </si>
  <si>
    <t>520101 7112790103</t>
  </si>
  <si>
    <t>520101 2607110001</t>
  </si>
  <si>
    <t>520101 1003820001</t>
  </si>
  <si>
    <t>520101 1903970001</t>
  </si>
  <si>
    <t>520101 2110850003</t>
  </si>
  <si>
    <t>520101 4503140003</t>
  </si>
  <si>
    <t>520101 2311720006</t>
  </si>
  <si>
    <t>520101 4903780002</t>
  </si>
  <si>
    <t>520101 1203940004</t>
  </si>
  <si>
    <t>520101 6203980002</t>
  </si>
  <si>
    <t>520101 0404040005</t>
  </si>
  <si>
    <t>520101 5509110003</t>
  </si>
  <si>
    <t>520101 0107570357</t>
  </si>
  <si>
    <t>520101 4107660151</t>
  </si>
  <si>
    <t>520101 4107890389</t>
  </si>
  <si>
    <t>520101 1012920008</t>
  </si>
  <si>
    <t>520101 7112480017</t>
  </si>
  <si>
    <t>520101 1905840001</t>
  </si>
  <si>
    <t>520101 1411960001</t>
  </si>
  <si>
    <t>520101 2601950001</t>
  </si>
  <si>
    <t>520101 4107930280</t>
  </si>
  <si>
    <t>520101 5010010003</t>
  </si>
  <si>
    <t>520101 0107880314</t>
  </si>
  <si>
    <t>520101 7112370003</t>
  </si>
  <si>
    <t>520101 1006580002</t>
  </si>
  <si>
    <t>520101 7112650033</t>
  </si>
  <si>
    <t>520101 3001890001</t>
  </si>
  <si>
    <t>520101 4312000001</t>
  </si>
  <si>
    <t>520101 4107610166</t>
  </si>
  <si>
    <t>520101 4107640110</t>
  </si>
  <si>
    <t>520101 0107870521</t>
  </si>
  <si>
    <t>520101 3112820134</t>
  </si>
  <si>
    <t>520101 6306840002</t>
  </si>
  <si>
    <t>520101 5510050001</t>
  </si>
  <si>
    <t>520101 1506110001</t>
  </si>
  <si>
    <t>520101 0107720221</t>
  </si>
  <si>
    <t>520101 6508761001</t>
  </si>
  <si>
    <t>520101 5408961001</t>
  </si>
  <si>
    <t>520101 0410981001</t>
  </si>
  <si>
    <t>520101 1304061001</t>
  </si>
  <si>
    <t>520101 7112520023</t>
  </si>
  <si>
    <t>520101 1609940001</t>
  </si>
  <si>
    <t>520101 2511730002</t>
  </si>
  <si>
    <t>520101 6806740001</t>
  </si>
  <si>
    <t>520101 3006020002</t>
  </si>
  <si>
    <t>520101 7112830153</t>
  </si>
  <si>
    <t>520101 6702050003</t>
  </si>
  <si>
    <t>520101 4510140001</t>
  </si>
  <si>
    <t>520101 0107850192</t>
  </si>
  <si>
    <t>520101 7010870001</t>
  </si>
  <si>
    <t>520101 7112401002</t>
  </si>
  <si>
    <t>520101 5211030004</t>
  </si>
  <si>
    <t>520101 0107800445</t>
  </si>
  <si>
    <t>520101 2803090002</t>
  </si>
  <si>
    <t>520101 1906131002</t>
  </si>
  <si>
    <t>Pekerjaan</t>
  </si>
  <si>
    <t>Lahir</t>
  </si>
  <si>
    <t>Tempat</t>
  </si>
  <si>
    <t>Tanggal</t>
  </si>
  <si>
    <t>Tahun</t>
  </si>
  <si>
    <t>Usia</t>
  </si>
  <si>
    <t>Etnis</t>
  </si>
  <si>
    <t>Jurusan</t>
  </si>
  <si>
    <t>Cacat</t>
  </si>
  <si>
    <t>Fisik</t>
  </si>
  <si>
    <t>Buku Nikah</t>
  </si>
  <si>
    <t>Akte Kelahiran</t>
  </si>
  <si>
    <t>No Urut</t>
  </si>
  <si>
    <t>Haji Munawar</t>
  </si>
  <si>
    <t>1980</t>
  </si>
  <si>
    <t>1987</t>
  </si>
  <si>
    <t>2009</t>
  </si>
  <si>
    <t>Dasan Geres</t>
  </si>
  <si>
    <t>Riadul Badi'ah</t>
  </si>
  <si>
    <t>Dasan Tapen</t>
  </si>
  <si>
    <t>1979</t>
  </si>
  <si>
    <t>1995</t>
  </si>
  <si>
    <t>2014</t>
  </si>
  <si>
    <t>Ahmad</t>
  </si>
  <si>
    <t>1967</t>
  </si>
  <si>
    <t>1972</t>
  </si>
  <si>
    <t>2000</t>
  </si>
  <si>
    <t>2006</t>
  </si>
  <si>
    <t>Sasak</t>
  </si>
  <si>
    <t>1977</t>
  </si>
  <si>
    <t>1978</t>
  </si>
  <si>
    <t>2002</t>
  </si>
  <si>
    <t>2008</t>
  </si>
  <si>
    <t>Fatimi</t>
  </si>
  <si>
    <t>Raffa Alkhalifi Zikri</t>
  </si>
  <si>
    <t>Belum Kawin</t>
  </si>
  <si>
    <t>1986</t>
  </si>
  <si>
    <t>1988</t>
  </si>
  <si>
    <t>2016</t>
  </si>
  <si>
    <t>Karyawan Swasta</t>
  </si>
  <si>
    <t>Dasan Geres Tengah</t>
  </si>
  <si>
    <t>Kuripan</t>
  </si>
  <si>
    <t>1970</t>
  </si>
  <si>
    <t>2007</t>
  </si>
  <si>
    <t>Cerai Mati</t>
  </si>
  <si>
    <t>1957</t>
  </si>
  <si>
    <t>Aisyah Aulia Ramadhani</t>
  </si>
  <si>
    <t>1976</t>
  </si>
  <si>
    <t>2015</t>
  </si>
  <si>
    <t>0</t>
  </si>
  <si>
    <t>520101 1908880002</t>
  </si>
  <si>
    <t>Menang</t>
  </si>
  <si>
    <t>1989</t>
  </si>
  <si>
    <t>Senah</t>
  </si>
  <si>
    <t>1950</t>
  </si>
  <si>
    <t>1959</t>
  </si>
  <si>
    <t>Buruh Harian Lepas</t>
  </si>
  <si>
    <t>Ilman Rizqi</t>
  </si>
  <si>
    <t>1969</t>
  </si>
  <si>
    <t>1973</t>
  </si>
  <si>
    <t>2005</t>
  </si>
  <si>
    <t>Azhari</t>
  </si>
  <si>
    <t>Sulawesi</t>
  </si>
  <si>
    <t>1982</t>
  </si>
  <si>
    <t>1983</t>
  </si>
  <si>
    <t>Bilekedit Utara</t>
  </si>
  <si>
    <t>Nur'aini</t>
  </si>
  <si>
    <t>Mega Avrilia Khanza</t>
  </si>
  <si>
    <t>Puyahan</t>
  </si>
  <si>
    <t>Gerung</t>
  </si>
  <si>
    <t>1990</t>
  </si>
  <si>
    <t>1991</t>
  </si>
  <si>
    <t>2017</t>
  </si>
  <si>
    <t>M. Tohri</t>
  </si>
  <si>
    <t>Fatmah</t>
  </si>
  <si>
    <t>1960</t>
  </si>
  <si>
    <t>Ahmad Davit Alhairi</t>
  </si>
  <si>
    <t>1975</t>
  </si>
  <si>
    <t>1996</t>
  </si>
  <si>
    <t>1999</t>
  </si>
  <si>
    <t>Lombok Utara</t>
  </si>
  <si>
    <t>5201010503086089</t>
  </si>
  <si>
    <t>Adifa Ashalina Humaira</t>
  </si>
  <si>
    <t>Yudi Sidik</t>
  </si>
  <si>
    <t>1971</t>
  </si>
  <si>
    <t>1994</t>
  </si>
  <si>
    <t>Praya</t>
  </si>
  <si>
    <t>Jembatan Kembar</t>
  </si>
  <si>
    <t>Sopir</t>
  </si>
  <si>
    <t>Kebon Orong</t>
  </si>
  <si>
    <t>2010</t>
  </si>
  <si>
    <t>Muh. Dian Saputra</t>
  </si>
  <si>
    <t>5201010403000002</t>
  </si>
  <si>
    <t>Getap</t>
  </si>
  <si>
    <t>Muhammad Irwan Safwandi</t>
  </si>
  <si>
    <t>Sumbawa</t>
  </si>
  <si>
    <t>Mataram</t>
  </si>
  <si>
    <t>2004</t>
  </si>
  <si>
    <t>1981</t>
  </si>
  <si>
    <t>2012</t>
  </si>
  <si>
    <t>5201010503083578</t>
  </si>
  <si>
    <t>Aprilia Nirmala Sagita</t>
  </si>
  <si>
    <t>Kuripan Selatan</t>
  </si>
  <si>
    <t>Kayla Ayu Salsabila</t>
  </si>
  <si>
    <t>5201015910160001</t>
  </si>
  <si>
    <t>5201011009120076</t>
  </si>
  <si>
    <t>Raini, S.AP</t>
  </si>
  <si>
    <t>5201013112760179</t>
  </si>
  <si>
    <t>5201017112860047</t>
  </si>
  <si>
    <t>5201012007090005</t>
  </si>
  <si>
    <t>5201011403150006</t>
  </si>
  <si>
    <t>Aik Ampat</t>
  </si>
  <si>
    <t>Diploma IV/ Strata I</t>
  </si>
  <si>
    <t>Kayawan Honorer</t>
  </si>
  <si>
    <t>1998</t>
  </si>
  <si>
    <t>Mas'ud</t>
  </si>
  <si>
    <t xml:space="preserve">Dasan Geres </t>
  </si>
  <si>
    <t>1974</t>
  </si>
  <si>
    <t>2001</t>
  </si>
  <si>
    <t>Syafi'i</t>
  </si>
  <si>
    <t>2011</t>
  </si>
  <si>
    <t>5201012812090011</t>
  </si>
  <si>
    <t>5201013112780152</t>
  </si>
  <si>
    <t>5201017112760236</t>
  </si>
  <si>
    <t>5201012003030002</t>
  </si>
  <si>
    <t>Dasan Geres Pande</t>
  </si>
  <si>
    <t>5201016903090002</t>
  </si>
  <si>
    <t>Rean</t>
  </si>
  <si>
    <t>2003</t>
  </si>
  <si>
    <t>5201012712170006</t>
  </si>
  <si>
    <t>Muri'ah</t>
  </si>
  <si>
    <t>1984</t>
  </si>
  <si>
    <t>1992</t>
  </si>
  <si>
    <t>2013</t>
  </si>
  <si>
    <t>Bagek Polak</t>
  </si>
  <si>
    <t>Baiq Silmi Ayudia Inara</t>
  </si>
  <si>
    <t>Emere</t>
  </si>
  <si>
    <t>Dasan Nyate</t>
  </si>
  <si>
    <t>tempat</t>
  </si>
  <si>
    <t>tanggal</t>
  </si>
  <si>
    <t>Ada/Tidak</t>
  </si>
  <si>
    <t>KTP/KIA</t>
  </si>
  <si>
    <t>Muhammad Renah</t>
  </si>
  <si>
    <t>Haeriah</t>
  </si>
  <si>
    <t>Bilqis Zoya Salsabila</t>
  </si>
  <si>
    <t>5201010503082565</t>
  </si>
  <si>
    <t>5201010107690075</t>
  </si>
  <si>
    <t>5201014107760057</t>
  </si>
  <si>
    <t>5201014107000086</t>
  </si>
  <si>
    <t>5201012001100001</t>
  </si>
  <si>
    <t>Tukang Kayu</t>
  </si>
  <si>
    <t>Yusup</t>
  </si>
  <si>
    <t>Buruh harian Lepas</t>
  </si>
  <si>
    <t>1947</t>
  </si>
  <si>
    <t>Zuhurmah</t>
  </si>
  <si>
    <t>Marpu'ah</t>
  </si>
  <si>
    <t>Luwuk</t>
  </si>
  <si>
    <t>1993</t>
  </si>
  <si>
    <t>5201010503082259</t>
  </si>
  <si>
    <t>M. Syarif Hidayatullah</t>
  </si>
  <si>
    <t>5201012001951001</t>
  </si>
  <si>
    <t>5201014606010002</t>
  </si>
  <si>
    <t>5201011108060003</t>
  </si>
  <si>
    <t>5201012311100003</t>
  </si>
  <si>
    <t>Strata I</t>
  </si>
  <si>
    <t>TKI (Korea)</t>
  </si>
  <si>
    <t>Hamzah Sadeva</t>
  </si>
  <si>
    <t>Lemer</t>
  </si>
  <si>
    <t>Sekotong</t>
  </si>
  <si>
    <t>Muhammad Ananda Sya'Ban</t>
  </si>
  <si>
    <t>5201012704170001</t>
  </si>
  <si>
    <t>Bagu</t>
  </si>
  <si>
    <t>Beremi</t>
  </si>
  <si>
    <t>1952</t>
  </si>
  <si>
    <t>Dasan Lekong</t>
  </si>
  <si>
    <t>Joharni</t>
  </si>
  <si>
    <t>5201077101930003</t>
  </si>
  <si>
    <t>5201010712170001</t>
  </si>
  <si>
    <t>1954</t>
  </si>
  <si>
    <t>1962</t>
  </si>
  <si>
    <t>Ahmad Fauzi</t>
  </si>
  <si>
    <t>Kurniawati</t>
  </si>
  <si>
    <t>Markan Ramadan</t>
  </si>
  <si>
    <t>Beroro</t>
  </si>
  <si>
    <t>5201012101150012</t>
  </si>
  <si>
    <t xml:space="preserve">Mataram </t>
  </si>
  <si>
    <t>Karyawan Honorer</t>
  </si>
  <si>
    <t>M. Nasir</t>
  </si>
  <si>
    <t>5201010107650011</t>
  </si>
  <si>
    <t>1965</t>
  </si>
  <si>
    <t>1968</t>
  </si>
  <si>
    <t>Jumenah</t>
  </si>
  <si>
    <t>Hikmah Eka Pratiwi</t>
  </si>
  <si>
    <t>Dsan Geres Tengah</t>
  </si>
  <si>
    <t>1955</t>
  </si>
  <si>
    <t>M. Solihin</t>
  </si>
  <si>
    <t>RT 2</t>
  </si>
  <si>
    <t>RT 1</t>
  </si>
  <si>
    <t xml:space="preserve">Santong </t>
  </si>
  <si>
    <t>5201010503082530</t>
  </si>
  <si>
    <t>Karisa Willy</t>
  </si>
  <si>
    <t>52010153108400001</t>
  </si>
  <si>
    <t>Mendagi</t>
  </si>
  <si>
    <t>1942</t>
  </si>
  <si>
    <t>Jelateng</t>
  </si>
  <si>
    <t>Kebumen</t>
  </si>
  <si>
    <t>Labulia</t>
  </si>
  <si>
    <t>5201010407140006</t>
  </si>
  <si>
    <t>Auro Mikayla Faradisa</t>
  </si>
  <si>
    <t>Guru</t>
  </si>
  <si>
    <t>Dodokan Gerung</t>
  </si>
  <si>
    <t>1963</t>
  </si>
  <si>
    <t>Afika Ayudia</t>
  </si>
  <si>
    <t>1966</t>
  </si>
  <si>
    <t>NO. KK</t>
  </si>
  <si>
    <t>Umur</t>
  </si>
  <si>
    <t>Memntal</t>
  </si>
  <si>
    <t>Labulie</t>
  </si>
  <si>
    <t xml:space="preserve">Pelulan </t>
  </si>
  <si>
    <t>Sri Wahyuni Delivia</t>
  </si>
  <si>
    <t>1961</t>
  </si>
  <si>
    <t>Diploma IV/Strata I</t>
  </si>
  <si>
    <t>Muhammad Mizab</t>
  </si>
  <si>
    <t>Baiq Nurhijianniti</t>
  </si>
  <si>
    <t>Zafiar Zamrud</t>
  </si>
  <si>
    <t>Serumbung</t>
  </si>
  <si>
    <t>2018</t>
  </si>
  <si>
    <t>Muhammad Farizal</t>
  </si>
  <si>
    <t>Zara Ismalia</t>
  </si>
  <si>
    <t xml:space="preserve">Barkan Gaus Abdi Rabbi </t>
  </si>
  <si>
    <t>5201012102110013</t>
  </si>
  <si>
    <t>Abdul Haris, S.PI.</t>
  </si>
  <si>
    <t>5201011005580003</t>
  </si>
  <si>
    <t>5201016908590001</t>
  </si>
  <si>
    <t>5201010312920001</t>
  </si>
  <si>
    <t>5201010107990166</t>
  </si>
  <si>
    <t>5201011009970001</t>
  </si>
  <si>
    <t>1958</t>
  </si>
  <si>
    <t>1997</t>
  </si>
  <si>
    <t>5201010503082638</t>
  </si>
  <si>
    <t>Suhaimi Afandi</t>
  </si>
  <si>
    <t>5201010506830005</t>
  </si>
  <si>
    <t>5201014107840333</t>
  </si>
  <si>
    <t>Baiq Nadya Bunga Rafina</t>
  </si>
  <si>
    <t>5201010410170004</t>
  </si>
  <si>
    <t>5201011411870001</t>
  </si>
  <si>
    <t>5202095606930003</t>
  </si>
  <si>
    <t>Darmaji</t>
  </si>
  <si>
    <t>Baiq Rahmawati</t>
  </si>
  <si>
    <t>1948</t>
  </si>
  <si>
    <t>Teluk Sepang</t>
  </si>
  <si>
    <t>1985</t>
  </si>
  <si>
    <t>Lalu Mardanus, A.md</t>
  </si>
  <si>
    <t>Baiq Daini</t>
  </si>
  <si>
    <t>Lalu Muhammad Muhafizin Apria</t>
  </si>
  <si>
    <t>5201011307910003</t>
  </si>
  <si>
    <t>Narmada</t>
  </si>
  <si>
    <t>1938</t>
  </si>
  <si>
    <t>Akademi/DiplomaIII/S,MUDA</t>
  </si>
  <si>
    <t>Cerai Hidup</t>
  </si>
  <si>
    <t>Baiq Maydina Wirantias</t>
  </si>
  <si>
    <t>Benteng Lotim</t>
  </si>
  <si>
    <t>Lemokek</t>
  </si>
  <si>
    <t>Dompu</t>
  </si>
  <si>
    <t>Tamat SD/MI</t>
  </si>
  <si>
    <t>Baiq Arsyla Nidaul Karima</t>
  </si>
  <si>
    <t>Bq Ayulan</t>
  </si>
  <si>
    <t>Orang Tua</t>
  </si>
  <si>
    <t>Lalu M. Rozikazawali</t>
  </si>
  <si>
    <t>Lalu M. Irfandi</t>
  </si>
  <si>
    <t>5201013112881023</t>
  </si>
  <si>
    <t>5201016002821002</t>
  </si>
  <si>
    <t>5201010711090002</t>
  </si>
  <si>
    <t>5201011903141001</t>
  </si>
  <si>
    <t>Dasan Gereng</t>
  </si>
  <si>
    <t>Bebidas</t>
  </si>
  <si>
    <t>520101010703110114</t>
  </si>
  <si>
    <t>Ihdal Umam As-Sidqi</t>
  </si>
  <si>
    <t>5201011103830001</t>
  </si>
  <si>
    <t>5201015405850002</t>
  </si>
  <si>
    <t>5201011808110006</t>
  </si>
  <si>
    <t>5201011001180002</t>
  </si>
  <si>
    <t>Karang Rumak</t>
  </si>
  <si>
    <t>Jumlah Jiwa</t>
  </si>
  <si>
    <t>Nama Lengkap/panggilan</t>
  </si>
  <si>
    <t>Kedudukan dalam Keluarga</t>
  </si>
  <si>
    <t>Jenis Kelamin (L/P)</t>
  </si>
  <si>
    <t>520101 0503083104</t>
  </si>
  <si>
    <t>Muhammar</t>
  </si>
  <si>
    <t>Faozan Amar</t>
  </si>
  <si>
    <t>M. Arman</t>
  </si>
  <si>
    <t>520101 3112601014</t>
  </si>
  <si>
    <t xml:space="preserve">520101 4102641001  </t>
  </si>
  <si>
    <t>520101 3112941009</t>
  </si>
  <si>
    <t>520101 2612011001</t>
  </si>
  <si>
    <t>Dasan Geres Barat</t>
  </si>
  <si>
    <t>Tamat SD/Sederajat</t>
  </si>
  <si>
    <t>SLTP/Sederajat</t>
  </si>
  <si>
    <t>Belum Tamat SD/Sederajat</t>
  </si>
  <si>
    <t>Buruh Tani/Perkebunan</t>
  </si>
  <si>
    <t>Mengurus Rumah Tangga</t>
  </si>
  <si>
    <t>Belum/Tidak Bekerja</t>
  </si>
  <si>
    <t>520101 0703110106</t>
  </si>
  <si>
    <t>Burhanudin</t>
  </si>
  <si>
    <t>Siti Maryam</t>
  </si>
  <si>
    <t>Sastia Yulia Ningsih</t>
  </si>
  <si>
    <t>Amelia Azzahra</t>
  </si>
  <si>
    <t>520101 2704830002</t>
  </si>
  <si>
    <t>520101 4403890002</t>
  </si>
  <si>
    <t>520101 5006090002</t>
  </si>
  <si>
    <t>520101 5902160001</t>
  </si>
  <si>
    <t>SLTA/Sederajat</t>
  </si>
  <si>
    <t>Tidak/Belum Sekolah</t>
  </si>
  <si>
    <t>520101 1807120014</t>
  </si>
  <si>
    <t>Sahnun</t>
  </si>
  <si>
    <t>Sanimah</t>
  </si>
  <si>
    <t>Zaenudin</t>
  </si>
  <si>
    <t>Mahdi</t>
  </si>
  <si>
    <t>Junaidi Azhari</t>
  </si>
  <si>
    <t>520101 0107710194</t>
  </si>
  <si>
    <t>520101 7112730152</t>
  </si>
  <si>
    <t>520101 3112950055</t>
  </si>
  <si>
    <t>520101 3112940037</t>
  </si>
  <si>
    <t>520101 0705120002</t>
  </si>
  <si>
    <t>Rumak</t>
  </si>
  <si>
    <t>520101 0503086093</t>
  </si>
  <si>
    <t>Kartini</t>
  </si>
  <si>
    <t>Jodi Irawan</t>
  </si>
  <si>
    <t>Dinda Khahaya</t>
  </si>
  <si>
    <t>520101 3112750157</t>
  </si>
  <si>
    <t>520101 4411790001</t>
  </si>
  <si>
    <t>520101 0212990083</t>
  </si>
  <si>
    <t>520101 5201130001</t>
  </si>
  <si>
    <t>Pelajar/Mahasiswa</t>
  </si>
  <si>
    <t>520101 0503083168</t>
  </si>
  <si>
    <t>Mahnip</t>
  </si>
  <si>
    <t>Annisa Lestari</t>
  </si>
  <si>
    <t>520101 0107800649</t>
  </si>
  <si>
    <t>520101 4107770584</t>
  </si>
  <si>
    <t>520101 2006920008</t>
  </si>
  <si>
    <t>520101 4107020043</t>
  </si>
  <si>
    <t>Peturunan Puntik</t>
  </si>
  <si>
    <t>Petani/Pekebun</t>
  </si>
  <si>
    <t>Makni</t>
  </si>
  <si>
    <t>520101 05030825704</t>
  </si>
  <si>
    <t>520101 0107520269</t>
  </si>
  <si>
    <t>520101 4107670184</t>
  </si>
  <si>
    <t>520101 1305880001</t>
  </si>
  <si>
    <t>520101 2606030002</t>
  </si>
  <si>
    <t>520101 2701080001</t>
  </si>
  <si>
    <t>520101 0503082774</t>
  </si>
  <si>
    <t>Lalu Virgian Ajiyatma</t>
  </si>
  <si>
    <t>520101 0107700590</t>
  </si>
  <si>
    <t>520101 5001730001</t>
  </si>
  <si>
    <t>520101 2608930001</t>
  </si>
  <si>
    <t>520101 5401990001</t>
  </si>
  <si>
    <t>520101 0110050002</t>
  </si>
  <si>
    <t>520101 4505150001</t>
  </si>
  <si>
    <t>Pegawai Negeri Sipil (PNS)</t>
  </si>
  <si>
    <t>5201010 503082570</t>
  </si>
  <si>
    <t>520101 0107670715</t>
  </si>
  <si>
    <t>520101 4107720474</t>
  </si>
  <si>
    <t>520101 6308940001</t>
  </si>
  <si>
    <t>520101 5612010001</t>
  </si>
  <si>
    <t>520101 2402110025</t>
  </si>
  <si>
    <t>Saharudin</t>
  </si>
  <si>
    <t>Maskanah</t>
  </si>
  <si>
    <t>Ari Wibowo</t>
  </si>
  <si>
    <t>Suharni</t>
  </si>
  <si>
    <t>520101 0107640202</t>
  </si>
  <si>
    <t>520101 4107650411</t>
  </si>
  <si>
    <t>520101 3112950040</t>
  </si>
  <si>
    <t>520101 4704021001</t>
  </si>
  <si>
    <t>Lalu Rahman</t>
  </si>
  <si>
    <t>520101 0503083494</t>
  </si>
  <si>
    <t>520101 0107580028</t>
  </si>
  <si>
    <t>520101 0107960141</t>
  </si>
  <si>
    <t>520101 2602980001</t>
  </si>
  <si>
    <t>520101 4107010069</t>
  </si>
  <si>
    <t>520101 0107050100</t>
  </si>
  <si>
    <t>520101 0503082633</t>
  </si>
  <si>
    <t>Baiq Widya Utami Putri</t>
  </si>
  <si>
    <t>520101 0107720215</t>
  </si>
  <si>
    <t>520101 4507750001</t>
  </si>
  <si>
    <t>520101 0311940004</t>
  </si>
  <si>
    <t>520101 5912990002</t>
  </si>
  <si>
    <t>520101 0107020149</t>
  </si>
  <si>
    <t>520101 0503083510</t>
  </si>
  <si>
    <t>520101 0107730310</t>
  </si>
  <si>
    <t>520101 4107740265</t>
  </si>
  <si>
    <t>520101 5806860004</t>
  </si>
  <si>
    <t>520101 4806980002</t>
  </si>
  <si>
    <t>520101 2709160002</t>
  </si>
  <si>
    <t>Riski Noviana</t>
  </si>
  <si>
    <t>Lalu Fahreza Reynand Azril</t>
  </si>
  <si>
    <t>520101 0801930001</t>
  </si>
  <si>
    <t>520101 4111971001</t>
  </si>
  <si>
    <t>520101 0705170001</t>
  </si>
  <si>
    <t>Batu Anyar</t>
  </si>
  <si>
    <t>Diploma I/II</t>
  </si>
  <si>
    <t>Hj. Nur'aini</t>
  </si>
  <si>
    <t>520101 4107650354</t>
  </si>
  <si>
    <t>520101 4107930162</t>
  </si>
  <si>
    <t>520101 6109951001</t>
  </si>
  <si>
    <t>520101 0107990174</t>
  </si>
  <si>
    <t>520101 4107030074</t>
  </si>
  <si>
    <t>520101 0503093702</t>
  </si>
  <si>
    <t>520101 1411170024</t>
  </si>
  <si>
    <t>Mohammad Ridho Suriyatama</t>
  </si>
  <si>
    <t>Moh. Arif Sittaful Sohih</t>
  </si>
  <si>
    <t>Lingga Al Fatih</t>
  </si>
  <si>
    <t>520113 0509700003</t>
  </si>
  <si>
    <t>520113 7112750320</t>
  </si>
  <si>
    <t>520113 2008050002</t>
  </si>
  <si>
    <t>520113 0109080001</t>
  </si>
  <si>
    <t>520113 0906150001</t>
  </si>
  <si>
    <t>520101 0503086045</t>
  </si>
  <si>
    <t>Hj. Sumini</t>
  </si>
  <si>
    <t>520101 0503082765</t>
  </si>
  <si>
    <t>520101 0503082350</t>
  </si>
  <si>
    <t>Fahri Al Akbar</t>
  </si>
  <si>
    <t>520101 0107820046</t>
  </si>
  <si>
    <t>520101 4107830062</t>
  </si>
  <si>
    <t>520101 4107050160</t>
  </si>
  <si>
    <t>520101 2901150002</t>
  </si>
  <si>
    <t>520101 0503083447</t>
  </si>
  <si>
    <t>520101 0107580161</t>
  </si>
  <si>
    <t>520101 4107580084</t>
  </si>
  <si>
    <t>520101 4107990262</t>
  </si>
  <si>
    <t>520101 1609140027</t>
  </si>
  <si>
    <t>520113 4305910003</t>
  </si>
  <si>
    <t>520101 5104170001</t>
  </si>
  <si>
    <t>520101 0503082948</t>
  </si>
  <si>
    <t>Moh. Alin Ramadani</t>
  </si>
  <si>
    <t>520101 6908150001</t>
  </si>
  <si>
    <t>Muara Lintak Sumatra Selatan</t>
  </si>
  <si>
    <t>520101 1612150011</t>
  </si>
  <si>
    <t>520101 0107870241</t>
  </si>
  <si>
    <t>520101 6203880001</t>
  </si>
  <si>
    <t>520101 0407160001</t>
  </si>
  <si>
    <t>Batui Sulteng</t>
  </si>
  <si>
    <t>520101 0503083466</t>
  </si>
  <si>
    <t>Sanu Hati</t>
  </si>
  <si>
    <t>520101 0107770286</t>
  </si>
  <si>
    <t>520101 4107800365</t>
  </si>
  <si>
    <t>520101 4107040093</t>
  </si>
  <si>
    <t>520101 5508100001</t>
  </si>
  <si>
    <t>520101 0503083751</t>
  </si>
  <si>
    <t>520101 0107570396</t>
  </si>
  <si>
    <t>520101 4107600091</t>
  </si>
  <si>
    <t>520101 1501180014</t>
  </si>
  <si>
    <t>520101 0503082409</t>
  </si>
  <si>
    <t>Syafi'in</t>
  </si>
  <si>
    <t>Sifakyah</t>
  </si>
  <si>
    <t>Siskawati</t>
  </si>
  <si>
    <t>M. Haykal Saputra</t>
  </si>
  <si>
    <t>520101 0107760273</t>
  </si>
  <si>
    <t>520101 4601500000</t>
  </si>
  <si>
    <t>520101 4851750002</t>
  </si>
  <si>
    <t>520101 4302980001</t>
  </si>
  <si>
    <t>520101 2007120005</t>
  </si>
  <si>
    <t>520101 1009120054</t>
  </si>
  <si>
    <t>Isnan Patoni</t>
  </si>
  <si>
    <t>520101 3112750282</t>
  </si>
  <si>
    <t>520101 4107710114</t>
  </si>
  <si>
    <t>520101 4605950005</t>
  </si>
  <si>
    <t>520101 1708010001</t>
  </si>
  <si>
    <t>520101 2102110038</t>
  </si>
  <si>
    <t>520101 1803960001</t>
  </si>
  <si>
    <t>520101 0503082923</t>
  </si>
  <si>
    <t>520101 1212720004</t>
  </si>
  <si>
    <t>520101 7112700056</t>
  </si>
  <si>
    <t>520101 0306070003</t>
  </si>
  <si>
    <t>520101 1009120075</t>
  </si>
  <si>
    <t>Hj. Raehanah</t>
  </si>
  <si>
    <t>520101 0503083583</t>
  </si>
  <si>
    <t>Famili lain</t>
  </si>
  <si>
    <t>Malaysia</t>
  </si>
  <si>
    <t>Saila Ursila</t>
  </si>
  <si>
    <t>520101 2103120010</t>
  </si>
  <si>
    <t>520101 6508160001</t>
  </si>
  <si>
    <t>520101 7006920001</t>
  </si>
  <si>
    <t>520101 1009120033</t>
  </si>
  <si>
    <t>Indria Nielza Izzatin</t>
  </si>
  <si>
    <t>520101 2707800005</t>
  </si>
  <si>
    <t>520101 2306090002</t>
  </si>
  <si>
    <t>520101 4108180001</t>
  </si>
  <si>
    <t>520101 5005870007</t>
  </si>
  <si>
    <t>520101 1803150007</t>
  </si>
  <si>
    <t>520101 0503083587</t>
  </si>
  <si>
    <t>520101 0107690093</t>
  </si>
  <si>
    <t>520101 4107770585</t>
  </si>
  <si>
    <t>520101 0503085270</t>
  </si>
  <si>
    <t>520101 4107030202</t>
  </si>
  <si>
    <t>Kediri</t>
  </si>
  <si>
    <t>Labuapi</t>
  </si>
  <si>
    <t>520101 1011090025</t>
  </si>
  <si>
    <t>Akhmad Syakurudin</t>
  </si>
  <si>
    <t>520101 3112750060</t>
  </si>
  <si>
    <t>520101 4808780001</t>
  </si>
  <si>
    <t>520101 2105960001</t>
  </si>
  <si>
    <t>520101 6305990001</t>
  </si>
  <si>
    <t>520101 2510170001</t>
  </si>
  <si>
    <t>520101 0503082942</t>
  </si>
  <si>
    <t>520101 0107500168</t>
  </si>
  <si>
    <t>520101 4107590150</t>
  </si>
  <si>
    <t>520101 5005800007</t>
  </si>
  <si>
    <t>520101 0503082954</t>
  </si>
  <si>
    <t>Quratul Aini</t>
  </si>
  <si>
    <t>Ricky Permana Iswanda</t>
  </si>
  <si>
    <t>520101 5204170005</t>
  </si>
  <si>
    <t>520101 0805170012</t>
  </si>
  <si>
    <t>Sri Maryati</t>
  </si>
  <si>
    <t>Hisyam Syech A Karim</t>
  </si>
  <si>
    <t>520101 4107900471</t>
  </si>
  <si>
    <t>520101 0104130003</t>
  </si>
  <si>
    <t>520101 0503085288</t>
  </si>
  <si>
    <t>520101 0503082939</t>
  </si>
  <si>
    <t>520101 0107680092</t>
  </si>
  <si>
    <t>520101 4107730405</t>
  </si>
  <si>
    <t>520101 0302050004</t>
  </si>
  <si>
    <t>520101 6412090001</t>
  </si>
  <si>
    <t>Gibran Ali</t>
  </si>
  <si>
    <t>520101 0107860232</t>
  </si>
  <si>
    <t>520101 4904920003</t>
  </si>
  <si>
    <t>520101 1108130002</t>
  </si>
  <si>
    <t>520101 1306180003</t>
  </si>
  <si>
    <t>Babussalam</t>
  </si>
  <si>
    <t>520101 2705111313</t>
  </si>
  <si>
    <t>520101 0503083520</t>
  </si>
  <si>
    <t>Ika Dorazatul Aini</t>
  </si>
  <si>
    <t>Intan Nur'aini</t>
  </si>
  <si>
    <t>520101 2710810001</t>
  </si>
  <si>
    <t>520101 4107810326</t>
  </si>
  <si>
    <t>520101 4702040005</t>
  </si>
  <si>
    <t>Perdagangan</t>
  </si>
  <si>
    <t>520101 0503120021</t>
  </si>
  <si>
    <t>Tayip</t>
  </si>
  <si>
    <t>520101 3112420012</t>
  </si>
  <si>
    <t>520101 0607780002</t>
  </si>
  <si>
    <t>520101 0503082760</t>
  </si>
  <si>
    <t>520101 0503083542</t>
  </si>
  <si>
    <t>Naserun</t>
  </si>
  <si>
    <t>Saidah</t>
  </si>
  <si>
    <t>Reza Habibullah</t>
  </si>
  <si>
    <t>520101 0107680237</t>
  </si>
  <si>
    <t>520101 4107330291</t>
  </si>
  <si>
    <t>520101 2003070002</t>
  </si>
  <si>
    <t>520101 0503082553</t>
  </si>
  <si>
    <t>Ervina Andriani</t>
  </si>
  <si>
    <t>M. Yandi Bilal Saputra</t>
  </si>
  <si>
    <t>520101 0107840250</t>
  </si>
  <si>
    <t>520101 4107890018</t>
  </si>
  <si>
    <t>520101 5805080001</t>
  </si>
  <si>
    <t>520101 1410110003</t>
  </si>
  <si>
    <t>520101 3001150023</t>
  </si>
  <si>
    <t>520101 0208080006</t>
  </si>
  <si>
    <t>520101 0311150002</t>
  </si>
  <si>
    <t>520101 0503083551</t>
  </si>
  <si>
    <t>520101 0107780395</t>
  </si>
  <si>
    <t>520101 4107780406</t>
  </si>
  <si>
    <t>520101 1004990001</t>
  </si>
  <si>
    <t>520101 4107040270</t>
  </si>
  <si>
    <t>520101 0503082316</t>
  </si>
  <si>
    <t>Irma Hayatun Nisa'</t>
  </si>
  <si>
    <t>H. Alian Faqih</t>
  </si>
  <si>
    <t>520101 0107680234</t>
  </si>
  <si>
    <t>520101 4107770643</t>
  </si>
  <si>
    <t>520101 4303000003</t>
  </si>
  <si>
    <t>520101 0107060259</t>
  </si>
  <si>
    <t>520101 0309140018</t>
  </si>
  <si>
    <t>520101 0401100023</t>
  </si>
  <si>
    <t>Muhamad Deni Akbar</t>
  </si>
  <si>
    <t>520101 2802710002</t>
  </si>
  <si>
    <t>520101 5411780001</t>
  </si>
  <si>
    <t>520101 2807950002</t>
  </si>
  <si>
    <t>520101 5109990002</t>
  </si>
  <si>
    <t>520101 1403180011</t>
  </si>
  <si>
    <t>Erlina Efendi</t>
  </si>
  <si>
    <t>Talita Anaya Humayroh</t>
  </si>
  <si>
    <t>520101 1010940006</t>
  </si>
  <si>
    <t>520101 4106180002</t>
  </si>
  <si>
    <t>Pesanggrahan</t>
  </si>
  <si>
    <t>Hamdi Fasahi</t>
  </si>
  <si>
    <t>Amidah</t>
  </si>
  <si>
    <t>Muhammad Zulhadi Fashi</t>
  </si>
  <si>
    <t>Salwa Zafira</t>
  </si>
  <si>
    <t>520101 0503085285</t>
  </si>
  <si>
    <t>520101 0107720829</t>
  </si>
  <si>
    <t>520101 4107740324</t>
  </si>
  <si>
    <t>520101 4107050136</t>
  </si>
  <si>
    <t>520101 1004190002</t>
  </si>
  <si>
    <t>Maliki</t>
  </si>
  <si>
    <t>Lista Ariya Safitri</t>
  </si>
  <si>
    <t>520113 5211960001</t>
  </si>
  <si>
    <t>Aik Ara</t>
  </si>
  <si>
    <t>Strata-II</t>
  </si>
  <si>
    <t>Dosen</t>
  </si>
  <si>
    <t>520101 1011090026</t>
  </si>
  <si>
    <t>520101 1604130003</t>
  </si>
  <si>
    <t>Baiq Ramlah Amelda</t>
  </si>
  <si>
    <t>Natasya Nayla Rizky</t>
  </si>
  <si>
    <t>520101 7012900005</t>
  </si>
  <si>
    <t>520101 7009170001</t>
  </si>
  <si>
    <t>520101 0512090030</t>
  </si>
  <si>
    <t>Iin Putri Ana</t>
  </si>
  <si>
    <t>Wirda Laylatin Nispi</t>
  </si>
  <si>
    <t>520101 7112830035</t>
  </si>
  <si>
    <t>520101 4510030003</t>
  </si>
  <si>
    <t>520101 7004180003</t>
  </si>
  <si>
    <t>520101 0112090106</t>
  </si>
  <si>
    <t xml:space="preserve">Egi Alan Pranata </t>
  </si>
  <si>
    <t>Muhammad Azka Rafasa</t>
  </si>
  <si>
    <t>5201017112890046</t>
  </si>
  <si>
    <t>520101 1906080001</t>
  </si>
  <si>
    <t>520101 2412170003</t>
  </si>
  <si>
    <t>520101 3103170001</t>
  </si>
  <si>
    <t>Mustiah</t>
  </si>
  <si>
    <t>Jumadil</t>
  </si>
  <si>
    <t>Wati</t>
  </si>
  <si>
    <t>520101 3112650043</t>
  </si>
  <si>
    <t>520101 1210110004</t>
  </si>
  <si>
    <t>520101 4107820250</t>
  </si>
  <si>
    <t>520101 2909120028</t>
  </si>
  <si>
    <t>520101 3112570073</t>
  </si>
  <si>
    <t>520101 1609140028</t>
  </si>
  <si>
    <t>H. Abdul Hafidz</t>
  </si>
  <si>
    <t>520101 0503083690</t>
  </si>
  <si>
    <t>520101 2705111425</t>
  </si>
  <si>
    <t>Baiq Siti Dira Kartika</t>
  </si>
  <si>
    <t>520101 0101840004</t>
  </si>
  <si>
    <t>520101 7112860006</t>
  </si>
  <si>
    <t>520101 5512080003</t>
  </si>
  <si>
    <t>520101 4312150001</t>
  </si>
  <si>
    <t>520101 2208140003</t>
  </si>
  <si>
    <t>Ahmad Imam Al- Farisi</t>
  </si>
  <si>
    <t>520108 6004940002</t>
  </si>
  <si>
    <t>M Attaya Syahadatullah</t>
  </si>
  <si>
    <t>520101 0107691003</t>
  </si>
  <si>
    <t>520101 5801800001</t>
  </si>
  <si>
    <t>520101 2710080001</t>
  </si>
  <si>
    <t>520101 6709170002</t>
  </si>
  <si>
    <t>L. Aria Teguh Wirabakti</t>
  </si>
  <si>
    <t>Baiq Azalea Khaliqa Dzahin</t>
  </si>
  <si>
    <t>520114 1103810005</t>
  </si>
  <si>
    <t>520101 6204170003</t>
  </si>
  <si>
    <t>Kepolisian RI (POLRI)</t>
  </si>
  <si>
    <t>520101 1001170004</t>
  </si>
  <si>
    <t>520101 1007880004</t>
  </si>
  <si>
    <t>520101 5710890002</t>
  </si>
  <si>
    <t>520101 2308110003</t>
  </si>
  <si>
    <t>520101 6510160001</t>
  </si>
  <si>
    <t>520101 2102110037</t>
  </si>
  <si>
    <t>520101 3012160001</t>
  </si>
  <si>
    <t>Nurbaena Dewi</t>
  </si>
  <si>
    <t>Muhamad Agam Abdillah</t>
  </si>
  <si>
    <t>520101 2110940001</t>
  </si>
  <si>
    <t>520101 4706950002</t>
  </si>
  <si>
    <t>520101 1102160001</t>
  </si>
  <si>
    <t>Batu Mulik</t>
  </si>
  <si>
    <t>Murniati</t>
  </si>
  <si>
    <t>520101 0503083489</t>
  </si>
  <si>
    <t>520101 3112630074</t>
  </si>
  <si>
    <t>520101 4107770697</t>
  </si>
  <si>
    <t>520101 4609000001</t>
  </si>
  <si>
    <t>520101 1009050001</t>
  </si>
  <si>
    <t>Sapiah</t>
  </si>
  <si>
    <t>Sofiana Lestari</t>
  </si>
  <si>
    <t>Vidia Wati</t>
  </si>
  <si>
    <t>520101 2112090037</t>
  </si>
  <si>
    <t>520101 1212630011</t>
  </si>
  <si>
    <t>520101 4107630143</t>
  </si>
  <si>
    <t>520101 2711980001</t>
  </si>
  <si>
    <t>520101 6505030001</t>
  </si>
  <si>
    <t>520101 6004050004</t>
  </si>
  <si>
    <t>Hj. Sukmawati</t>
  </si>
  <si>
    <t>520101 0503082361</t>
  </si>
  <si>
    <t>520101 0107770337</t>
  </si>
  <si>
    <t>520101 4109980001</t>
  </si>
  <si>
    <t>520101 0107990183</t>
  </si>
  <si>
    <t>520101 6701130001</t>
  </si>
  <si>
    <t>520101 4107551061</t>
  </si>
  <si>
    <t>520101 0503082590</t>
  </si>
  <si>
    <t>Ariqa Fatina</t>
  </si>
  <si>
    <t>520101 5005190001</t>
  </si>
  <si>
    <t>520101 0503082902</t>
  </si>
  <si>
    <t>Saihul Azhar</t>
  </si>
  <si>
    <t>Isnain Azhari Winatha</t>
  </si>
  <si>
    <t>520101 0107680077</t>
  </si>
  <si>
    <t>520101 4107780375</t>
  </si>
  <si>
    <t>520101 0310950001</t>
  </si>
  <si>
    <t>520101 6010070002</t>
  </si>
  <si>
    <t>520101 0201170004</t>
  </si>
  <si>
    <t>Tumpeng</t>
  </si>
  <si>
    <t>Dasan Geres tengah</t>
  </si>
  <si>
    <t>Syari'ah</t>
  </si>
  <si>
    <t>520101 1005950003</t>
  </si>
  <si>
    <t>520101 2409120002</t>
  </si>
  <si>
    <t>520101 2608150004</t>
  </si>
  <si>
    <t>M. Gaza Abdul Qodir Jaelani</t>
  </si>
  <si>
    <t>520101 2003750002</t>
  </si>
  <si>
    <t>357802 7004880004</t>
  </si>
  <si>
    <t>520101 0907150001</t>
  </si>
  <si>
    <t>Surabaya</t>
  </si>
  <si>
    <t>Bali</t>
  </si>
  <si>
    <t>520101 0705140002</t>
  </si>
  <si>
    <t>M. Azizi Firdaus</t>
  </si>
  <si>
    <t>520101 0403150003</t>
  </si>
  <si>
    <t>520101 2808170013</t>
  </si>
  <si>
    <t>520107 7112930146</t>
  </si>
  <si>
    <t>520101 2806150003</t>
  </si>
  <si>
    <t>520101 2409120050</t>
  </si>
  <si>
    <t>520101 1603110002</t>
  </si>
  <si>
    <t>520101 6710160003</t>
  </si>
  <si>
    <t>520101 0503082367</t>
  </si>
  <si>
    <t>520101 0107550213</t>
  </si>
  <si>
    <t>520101 6008750002</t>
  </si>
  <si>
    <t>520101 4202820003</t>
  </si>
  <si>
    <t>520101 0712890002</t>
  </si>
  <si>
    <t>520101 0503082619</t>
  </si>
  <si>
    <t>520101 0503082888</t>
  </si>
  <si>
    <t>M. Ulumul Pikri</t>
  </si>
  <si>
    <t>H. Husni</t>
  </si>
  <si>
    <t>Hj. Zubaidah</t>
  </si>
  <si>
    <t>520101 0503082894</t>
  </si>
  <si>
    <t>Famili Lain</t>
  </si>
  <si>
    <t>520101 2508170004</t>
  </si>
  <si>
    <t>520101 3012900002</t>
  </si>
  <si>
    <t>520113 5007940006</t>
  </si>
  <si>
    <t>520101 2312160008</t>
  </si>
  <si>
    <t>520101 4107580091</t>
  </si>
  <si>
    <t>520101 4206810002</t>
  </si>
  <si>
    <t>520101 0503082653</t>
  </si>
  <si>
    <t>A. Hadidjah</t>
  </si>
  <si>
    <t>Lete Poho Timor-Timur</t>
  </si>
  <si>
    <t>Lemokek Lauq</t>
  </si>
  <si>
    <t>520101 1406160006</t>
  </si>
  <si>
    <t>Lalu Ahmadi</t>
  </si>
  <si>
    <t>Ermere</t>
  </si>
  <si>
    <t>520101 0509160006</t>
  </si>
  <si>
    <t>520101 0107620071</t>
  </si>
  <si>
    <t>520101 0107900256</t>
  </si>
  <si>
    <t>520101 0107920363</t>
  </si>
  <si>
    <t>520101 0503082882</t>
  </si>
  <si>
    <t>520101 0907150008</t>
  </si>
  <si>
    <t>520101 0503082898</t>
  </si>
  <si>
    <t>Rendi Muzammil</t>
  </si>
  <si>
    <t>520101 0107800650</t>
  </si>
  <si>
    <t>520101 4107810128</t>
  </si>
  <si>
    <t>520101 0107000162</t>
  </si>
  <si>
    <t>520101 0107060215</t>
  </si>
  <si>
    <t>520101 0609120015</t>
  </si>
  <si>
    <t>M. Muzakki</t>
  </si>
  <si>
    <t>Muhammad Danil Maulana</t>
  </si>
  <si>
    <t>Kebun Jurang</t>
  </si>
  <si>
    <t>520101 0503082756</t>
  </si>
  <si>
    <t>52010 10503083683</t>
  </si>
  <si>
    <t>Amrullah</t>
  </si>
  <si>
    <t>520101 4107760055</t>
  </si>
  <si>
    <t>520101 2702180004</t>
  </si>
  <si>
    <t>Rohini</t>
  </si>
  <si>
    <t>520101 1008840001</t>
  </si>
  <si>
    <t>527103 4607750002</t>
  </si>
  <si>
    <t>Getap Barat</t>
  </si>
  <si>
    <t>520101 0503082625</t>
  </si>
  <si>
    <t>Yohanis</t>
  </si>
  <si>
    <t>Zaitun Alawiyah</t>
  </si>
  <si>
    <t>Yuna Ziatun Nisa</t>
  </si>
  <si>
    <t>520101 5302810004</t>
  </si>
  <si>
    <t>520101 4902090002</t>
  </si>
  <si>
    <t>520101 0503082622</t>
  </si>
  <si>
    <t>520101 0107570404</t>
  </si>
  <si>
    <t>520101 4107600102</t>
  </si>
  <si>
    <t>520101 1811140012</t>
  </si>
  <si>
    <t>520101 0503082288</t>
  </si>
  <si>
    <t>Muhammad Ridwanullah</t>
  </si>
  <si>
    <t>520101 2604160007</t>
  </si>
  <si>
    <t>520101 41077301317</t>
  </si>
  <si>
    <t>520101 0503082221</t>
  </si>
  <si>
    <t>Abdul Hapiz</t>
  </si>
  <si>
    <t>M. Saufi</t>
  </si>
  <si>
    <t>M. Fandi Abdillah</t>
  </si>
  <si>
    <t>Kiran  Maret Janawarta</t>
  </si>
  <si>
    <t>520101 0107720212</t>
  </si>
  <si>
    <t>520101 4101740002</t>
  </si>
  <si>
    <t>520101 0308940002</t>
  </si>
  <si>
    <t>520101 0202970003</t>
  </si>
  <si>
    <t>520101 5201020002</t>
  </si>
  <si>
    <t>520101 5701030001</t>
  </si>
  <si>
    <t>520101 0303060001</t>
  </si>
  <si>
    <t>520101 0503082424</t>
  </si>
  <si>
    <t>Suciyati</t>
  </si>
  <si>
    <t>520101 3112620027</t>
  </si>
  <si>
    <t>520101 5608910001</t>
  </si>
  <si>
    <t>520101 0503082789</t>
  </si>
  <si>
    <t>520101 3112780046</t>
  </si>
  <si>
    <t>520101 4107810148</t>
  </si>
  <si>
    <t>520101 0503082216</t>
  </si>
  <si>
    <t>Alvin Hilal Kibrar</t>
  </si>
  <si>
    <t>520101 3112720057</t>
  </si>
  <si>
    <t>520101 6708830001</t>
  </si>
  <si>
    <t>520101 0809990001</t>
  </si>
  <si>
    <t>520101 1011040001</t>
  </si>
  <si>
    <t>520101 5505140006</t>
  </si>
  <si>
    <t>520101 2209080001</t>
  </si>
  <si>
    <t>520101 1611110004</t>
  </si>
  <si>
    <t>Anita Radiana</t>
  </si>
  <si>
    <t>520101 0503082792</t>
  </si>
  <si>
    <t>Jama'ah</t>
  </si>
  <si>
    <t>520101 0107690074</t>
  </si>
  <si>
    <t>520101 4107720471</t>
  </si>
  <si>
    <t>520101 5611940001</t>
  </si>
  <si>
    <t>Tanjung</t>
  </si>
  <si>
    <t>520101 181115009</t>
  </si>
  <si>
    <t>Nurpaza</t>
  </si>
  <si>
    <t>Aden Saputra</t>
  </si>
  <si>
    <t>520802 4303810001</t>
  </si>
  <si>
    <t>520302 6006040000</t>
  </si>
  <si>
    <t>520101 3101100001</t>
  </si>
  <si>
    <t>Papak</t>
  </si>
  <si>
    <t>520101 0503082596</t>
  </si>
  <si>
    <t>520101 0107570638</t>
  </si>
  <si>
    <t>520101 2608140008</t>
  </si>
  <si>
    <t>520101 0503082584</t>
  </si>
  <si>
    <t>Hj. Siti Soleha</t>
  </si>
  <si>
    <t>520101 0107690073</t>
  </si>
  <si>
    <t>520101 4107790311</t>
  </si>
  <si>
    <t>520101 1610940004</t>
  </si>
  <si>
    <t>520101 0503082581</t>
  </si>
  <si>
    <t>Salihi</t>
  </si>
  <si>
    <t>520101 0107470247</t>
  </si>
  <si>
    <t>520101 4107680081</t>
  </si>
  <si>
    <t>520101 7112810053</t>
  </si>
  <si>
    <t>520101 1009120036</t>
  </si>
  <si>
    <t>Yopi Ariani</t>
  </si>
  <si>
    <t>520101 1010800005</t>
  </si>
  <si>
    <t>520101 4101780005</t>
  </si>
  <si>
    <t>520101 0503082805</t>
  </si>
  <si>
    <t>Hj. Vivi Suvini</t>
  </si>
  <si>
    <t>Lalu Kusnendar, SH</t>
  </si>
  <si>
    <t>H. Lalu Herwanto SH</t>
  </si>
  <si>
    <t>Baiq Aulya Larasyta</t>
  </si>
  <si>
    <t>520101 1404580001</t>
  </si>
  <si>
    <t>520101 4107660154</t>
  </si>
  <si>
    <t>520101 0103900002</t>
  </si>
  <si>
    <t>520101 6307080001</t>
  </si>
  <si>
    <t>Bima</t>
  </si>
  <si>
    <t>Anggota DPRD Prop</t>
  </si>
  <si>
    <t>520101 2010110001</t>
  </si>
  <si>
    <t>Baiq Supiatun</t>
  </si>
  <si>
    <t>Baiq Rika Septiani Wardani, S.Pd</t>
  </si>
  <si>
    <t>Lalu Satria Agus Winata</t>
  </si>
  <si>
    <t>Lalu Anggara Arya Putra</t>
  </si>
  <si>
    <t>520101 0101590001</t>
  </si>
  <si>
    <t>520101 5212660002</t>
  </si>
  <si>
    <t>520101 5909890001</t>
  </si>
  <si>
    <t>520101 0708970002</t>
  </si>
  <si>
    <t>520101 0101000003</t>
  </si>
  <si>
    <t>520101 1004120019</t>
  </si>
  <si>
    <t>Lalu Muhammad Rafa Azka</t>
  </si>
  <si>
    <t>520101 1904170004</t>
  </si>
  <si>
    <t>520101 0503082646</t>
  </si>
  <si>
    <t>520101 0503082782</t>
  </si>
  <si>
    <t>Hj. Rakmah</t>
  </si>
  <si>
    <t>Baiq Ida Sopiawardani</t>
  </si>
  <si>
    <t>520113 5201790005</t>
  </si>
  <si>
    <t>Batu Mas</t>
  </si>
  <si>
    <t>Wakuli Poso</t>
  </si>
  <si>
    <t>520101 0709180006</t>
  </si>
  <si>
    <t>Hanapi Ali</t>
  </si>
  <si>
    <t>Baiq Dinda Yuliana</t>
  </si>
  <si>
    <t>Dedi Firmansyah</t>
  </si>
  <si>
    <t>520101  0107800449</t>
  </si>
  <si>
    <t>517104 2502110001</t>
  </si>
  <si>
    <t>517104 5507780007</t>
  </si>
  <si>
    <t>Denpasar</t>
  </si>
  <si>
    <t>520101 1506120020</t>
  </si>
  <si>
    <t>Baiq Yuna Septi Saputri</t>
  </si>
  <si>
    <t>520101 4109180003</t>
  </si>
  <si>
    <t>520101 0503082612</t>
  </si>
  <si>
    <t>Baiq Rafikah</t>
  </si>
  <si>
    <t>520101 0107770298</t>
  </si>
  <si>
    <t>520101 4107830206</t>
  </si>
  <si>
    <t>520101 6505050002</t>
  </si>
  <si>
    <t>520101 6507090002</t>
  </si>
  <si>
    <t>520101 6007170001</t>
  </si>
  <si>
    <t>520101 4107480109</t>
  </si>
  <si>
    <t>Baiq Farra Izzaty Atmi Sofandi Putri</t>
  </si>
  <si>
    <t>520101 5010150002</t>
  </si>
  <si>
    <t>520101 7112860045</t>
  </si>
  <si>
    <t>520101 4404040001</t>
  </si>
  <si>
    <t>520101 0503082517</t>
  </si>
  <si>
    <t>520101 0210170006</t>
  </si>
  <si>
    <t>520113 4107890220</t>
  </si>
  <si>
    <t>520101 2001180001</t>
  </si>
  <si>
    <t>520101 2705111466</t>
  </si>
  <si>
    <t>Lalu Bambang</t>
  </si>
  <si>
    <t>520101 0503083436</t>
  </si>
  <si>
    <t>L. Saepul Bahri</t>
  </si>
  <si>
    <t>Baiq Yolanda Aprillia</t>
  </si>
  <si>
    <t>520101 0107610092</t>
  </si>
  <si>
    <t>520101 4107640117</t>
  </si>
  <si>
    <t>520101 0107930283</t>
  </si>
  <si>
    <t>520101 5404980002</t>
  </si>
  <si>
    <t>520101 0503083678</t>
  </si>
  <si>
    <t>520101 0107730084</t>
  </si>
  <si>
    <t>520101 4107660157</t>
  </si>
  <si>
    <t>520101 5103080001</t>
  </si>
  <si>
    <t>520101 0302070007</t>
  </si>
  <si>
    <t>520101 3112480006</t>
  </si>
  <si>
    <t>520101 5704880001</t>
  </si>
  <si>
    <t>520101 4208980002</t>
  </si>
  <si>
    <t>520101 0503082877</t>
  </si>
  <si>
    <t>520101 3112571006</t>
  </si>
  <si>
    <t>520101 6203610002</t>
  </si>
  <si>
    <t>520101 3004980001</t>
  </si>
  <si>
    <t>520101 7112480003</t>
  </si>
  <si>
    <t>520101 7112520002</t>
  </si>
  <si>
    <t>520101 1911180002</t>
  </si>
  <si>
    <t>Baiq Nila Purnamasari</t>
  </si>
  <si>
    <t>520101 5503890001</t>
  </si>
  <si>
    <t>520101 0503082642</t>
  </si>
  <si>
    <t>Lalu Ahmad Mabrur Al-Rafa</t>
  </si>
  <si>
    <t>520101 1904180014</t>
  </si>
  <si>
    <t>Salsabila</t>
  </si>
  <si>
    <t>Baiq Azzahra Attinnura</t>
  </si>
  <si>
    <t>520101 1307910003</t>
  </si>
  <si>
    <t>520102 6102940001</t>
  </si>
  <si>
    <t>520101 5409180001</t>
  </si>
  <si>
    <t>520101 0301180002</t>
  </si>
  <si>
    <t>Lalu Kadarisman Bayuaji M.Pd</t>
  </si>
  <si>
    <t>Miftahul Aidni S.Pd</t>
  </si>
  <si>
    <t>Lalu Gagasaji Nazlan Syakbana</t>
  </si>
  <si>
    <t>520101 2001880003</t>
  </si>
  <si>
    <t>527101 6711880003</t>
  </si>
  <si>
    <t>520101 0305180002</t>
  </si>
  <si>
    <t>Baiq Tri Kurniasih Lestari</t>
  </si>
  <si>
    <t>520101 1805110016</t>
  </si>
  <si>
    <t>520101 3112610034</t>
  </si>
  <si>
    <t>520101 4612010003</t>
  </si>
  <si>
    <t>520101 6311650001</t>
  </si>
  <si>
    <t>520101 0601940001</t>
  </si>
  <si>
    <t>520101 2602040003</t>
  </si>
  <si>
    <t>520101 0503083570</t>
  </si>
  <si>
    <t>H. Lalu Dulhakim</t>
  </si>
  <si>
    <t>Hj. Baiq Halwiyah</t>
  </si>
  <si>
    <t>520101 4107570406</t>
  </si>
  <si>
    <t>520101 3112090004</t>
  </si>
  <si>
    <t>Lalu Indrabraja Samudera</t>
  </si>
  <si>
    <t>Baiq Nilam Lalita Gantari</t>
  </si>
  <si>
    <t>520101 3112760010</t>
  </si>
  <si>
    <t>520101 5010810001</t>
  </si>
  <si>
    <t>520101 5511090001</t>
  </si>
  <si>
    <t>520101 5005170001</t>
  </si>
  <si>
    <t>Kediri Lobar</t>
  </si>
  <si>
    <t>520101 1103190001</t>
  </si>
  <si>
    <t>520101 7112740030</t>
  </si>
  <si>
    <t>Lalu Muhammad Saepul</t>
  </si>
  <si>
    <t>Lalu Amrullah Ali Seftawan</t>
  </si>
  <si>
    <t>520101 0503083675</t>
  </si>
  <si>
    <t>520101 0107630086</t>
  </si>
  <si>
    <t>520101 4106680001</t>
  </si>
  <si>
    <t>520101 1803910001</t>
  </si>
  <si>
    <t>520101 0209000003</t>
  </si>
  <si>
    <t>520101 2505090003</t>
  </si>
  <si>
    <t>Al vida Raningrum</t>
  </si>
  <si>
    <t>Dzakira Azmiya Raesha</t>
  </si>
  <si>
    <t>520101 4403130003</t>
  </si>
  <si>
    <t>520101 5402180001</t>
  </si>
  <si>
    <t>520101 0503083745</t>
  </si>
  <si>
    <t>Sana'ah</t>
  </si>
  <si>
    <t>520101 4107540086</t>
  </si>
  <si>
    <t>520101 0107940301</t>
  </si>
  <si>
    <t>520101 4107980274</t>
  </si>
  <si>
    <t>520101 0106500003</t>
  </si>
  <si>
    <t>520101 0503120023</t>
  </si>
  <si>
    <t>520101 3112850173</t>
  </si>
  <si>
    <t>520101 4706870003</t>
  </si>
  <si>
    <t>520101 1410100001</t>
  </si>
  <si>
    <t>520101 5805160001</t>
  </si>
  <si>
    <t>520101 2707150001</t>
  </si>
  <si>
    <t>Patah</t>
  </si>
  <si>
    <t>Mukyah</t>
  </si>
  <si>
    <t>Al-Amin</t>
  </si>
  <si>
    <t>520101 0105740001</t>
  </si>
  <si>
    <t>520101 4107820631</t>
  </si>
  <si>
    <t>520101 0107080040</t>
  </si>
  <si>
    <t>Nurlaely Romdayani, S. A.md</t>
  </si>
  <si>
    <t>Lalu Helmy Aulia Alfarizi</t>
  </si>
  <si>
    <t>520101 6807810001</t>
  </si>
  <si>
    <t>520101 1812131001</t>
  </si>
  <si>
    <t>Lalu Muhammad Affandi, SH.I</t>
  </si>
  <si>
    <t>520101 0909120066</t>
  </si>
  <si>
    <t>Selong</t>
  </si>
  <si>
    <t>520101 1810160003</t>
  </si>
  <si>
    <t>520101 0412880001</t>
  </si>
  <si>
    <t>520113 5703980003</t>
  </si>
  <si>
    <t>520101 1710170001</t>
  </si>
  <si>
    <t>520101 3007180013</t>
  </si>
  <si>
    <t>Baiq Intan Nurmala</t>
  </si>
  <si>
    <t>520308 5104920002</t>
  </si>
  <si>
    <t>Pringgabaya</t>
  </si>
  <si>
    <t>520101 0805190003</t>
  </si>
  <si>
    <t>Lalu Isnaini Ardiansah</t>
  </si>
  <si>
    <t>Lalu Wahyu Kurniawan</t>
  </si>
  <si>
    <t>520101 0107870242</t>
  </si>
  <si>
    <t>520101 0503083809</t>
  </si>
  <si>
    <t>Fawan</t>
  </si>
  <si>
    <t>Irwandi Pratama</t>
  </si>
  <si>
    <t>Tiara Putriawan</t>
  </si>
  <si>
    <t>Sabyan Nabila Putriawan</t>
  </si>
  <si>
    <t>520101 0107740146</t>
  </si>
  <si>
    <t>520101 7112890233</t>
  </si>
  <si>
    <t>520101 2008080003</t>
  </si>
  <si>
    <t>520101 6411130003</t>
  </si>
  <si>
    <t>520101 6702190001</t>
  </si>
  <si>
    <t>520101 0503083707</t>
  </si>
  <si>
    <t>Lalu Bahsan Khaerudin</t>
  </si>
  <si>
    <t>520101 0503082540</t>
  </si>
  <si>
    <t>Salikin</t>
  </si>
  <si>
    <t>Khaeratunnisa</t>
  </si>
  <si>
    <t>Cucu</t>
  </si>
  <si>
    <t>520101 3112610068</t>
  </si>
  <si>
    <t>520101 8312830001</t>
  </si>
  <si>
    <t>520101 0406920001</t>
  </si>
  <si>
    <t>520101 1007940001</t>
  </si>
  <si>
    <t>520101 7001140001</t>
  </si>
  <si>
    <t>Beleke</t>
  </si>
  <si>
    <t>520101 1301150014</t>
  </si>
  <si>
    <t>Fitri Dwi Bahari</t>
  </si>
  <si>
    <t>Achmad Aunillah Dwi Saputra</t>
  </si>
  <si>
    <t>520101 5203150004</t>
  </si>
  <si>
    <t>520101 0205160005</t>
  </si>
  <si>
    <t>Madura</t>
  </si>
  <si>
    <t>520101 2611090020</t>
  </si>
  <si>
    <t>520101 0510180002</t>
  </si>
  <si>
    <t>Marni</t>
  </si>
  <si>
    <t>520208 5304920002</t>
  </si>
  <si>
    <t>Pemepek</t>
  </si>
  <si>
    <t>520101 0503086152</t>
  </si>
  <si>
    <t>Zahrah</t>
  </si>
  <si>
    <t>Baiq Minarni Syafii</t>
  </si>
  <si>
    <t>Fitriya Ramadani</t>
  </si>
  <si>
    <t>520101 0107660123</t>
  </si>
  <si>
    <t>527104 7112690128</t>
  </si>
  <si>
    <t>520101 6508020002</t>
  </si>
  <si>
    <t>520101 0705190001</t>
  </si>
  <si>
    <t>Sekarbela</t>
  </si>
  <si>
    <t>520101 2505160018</t>
  </si>
  <si>
    <t>Lalu Muhammad Zaini , S.Kep</t>
  </si>
  <si>
    <t>Nurul Anti, A.Md.Keb</t>
  </si>
  <si>
    <t>Lalu Arsya Naufal Pranata</t>
  </si>
  <si>
    <t>Baiq Adila Nisa Ardhani</t>
  </si>
  <si>
    <t>520101 4107930130</t>
  </si>
  <si>
    <t>520101 1601170001</t>
  </si>
  <si>
    <t>520101 6708180004</t>
  </si>
  <si>
    <t>Akademi/Diploma III/Sarjana Muda</t>
  </si>
  <si>
    <t>520101 0503085100</t>
  </si>
  <si>
    <t>520101 0503082868</t>
  </si>
  <si>
    <t>Saiful Anwar</t>
  </si>
  <si>
    <t>Baiq Nurul Azmi</t>
  </si>
  <si>
    <t>Ghazi Usman Yurbi</t>
  </si>
  <si>
    <t>520101 0107800462</t>
  </si>
  <si>
    <t>520101 5412880001</t>
  </si>
  <si>
    <t>520101 0107060243</t>
  </si>
  <si>
    <t>520101 1009120052</t>
  </si>
  <si>
    <t>Laylatul Hidayah</t>
  </si>
  <si>
    <t>520101 3112760178</t>
  </si>
  <si>
    <t>Pembantu Rumah Tangga</t>
  </si>
  <si>
    <t>520101 2102110008</t>
  </si>
  <si>
    <t>520101 0107770787</t>
  </si>
  <si>
    <t>520101 4107810402</t>
  </si>
  <si>
    <t>520101 0107010355</t>
  </si>
  <si>
    <t>520101 6710070004</t>
  </si>
  <si>
    <t>520101 2908140003</t>
  </si>
  <si>
    <t>Aik Jambe</t>
  </si>
  <si>
    <t>520101 0503085167</t>
  </si>
  <si>
    <t>520101 2704160009</t>
  </si>
  <si>
    <t>Lalu Kardinata</t>
  </si>
  <si>
    <t>Rizki Muntari Alawiyah</t>
  </si>
  <si>
    <t>Lalu Tastara Jaya Utama</t>
  </si>
  <si>
    <t>Baiq Laras Aulia Fathiya</t>
  </si>
  <si>
    <t>Baiq Aara Humaira</t>
  </si>
  <si>
    <t>530402 0101820002</t>
  </si>
  <si>
    <t>530407 6512890002</t>
  </si>
  <si>
    <t>530407 2203110001</t>
  </si>
  <si>
    <t>530407 4202140001</t>
  </si>
  <si>
    <t>520101 4902190002</t>
  </si>
  <si>
    <t>Jakarta</t>
  </si>
  <si>
    <t>Atambua</t>
  </si>
  <si>
    <t>Tentara Nasional Indonesia (TNI)</t>
  </si>
  <si>
    <t xml:space="preserve">Lalu Mudahan </t>
  </si>
  <si>
    <t>Baiq Yana Alamsari</t>
  </si>
  <si>
    <t>Lalu Restu Anggara Jaya Pamungkas</t>
  </si>
  <si>
    <t>Baiq Kartika Handani</t>
  </si>
  <si>
    <t>520101 0503082557</t>
  </si>
  <si>
    <t>520101 0107580155</t>
  </si>
  <si>
    <t>520101 4107690238</t>
  </si>
  <si>
    <t>520101 6409920002</t>
  </si>
  <si>
    <t>520101 1009970003</t>
  </si>
  <si>
    <t>520101 1011090029</t>
  </si>
  <si>
    <t>520101 2404120013</t>
  </si>
  <si>
    <t xml:space="preserve">Muhamad </t>
  </si>
  <si>
    <t>520101 0503085178</t>
  </si>
  <si>
    <t>520101 0107570402</t>
  </si>
  <si>
    <t>520101 1003650001</t>
  </si>
  <si>
    <t>520101 4107410063</t>
  </si>
  <si>
    <t>H. Zainudin</t>
  </si>
  <si>
    <t>Hj. Siti Jamilah</t>
  </si>
  <si>
    <t>520101 2705111342</t>
  </si>
  <si>
    <t>520101 0107650449</t>
  </si>
  <si>
    <t>520101 4107700609</t>
  </si>
  <si>
    <t>520101 0503083804</t>
  </si>
  <si>
    <t>520101 0107490065</t>
  </si>
  <si>
    <t>520101 4107530092</t>
  </si>
  <si>
    <t>520101 7112800438</t>
  </si>
  <si>
    <t>520101 0107050283</t>
  </si>
  <si>
    <t>520101 0703110077</t>
  </si>
  <si>
    <t>Muhammad Bahtiar</t>
  </si>
  <si>
    <t>Muhammad Robit Almaghfiri</t>
  </si>
  <si>
    <t>Ahmad Azaim Ziyauzzamani</t>
  </si>
  <si>
    <t>520101 0503082513</t>
  </si>
  <si>
    <t>520101 4107820063</t>
  </si>
  <si>
    <t>520101 1307180001</t>
  </si>
  <si>
    <t>RS Bhayangkara</t>
  </si>
  <si>
    <t>RS. Tripat Gerung</t>
  </si>
  <si>
    <t>520101 0702141003</t>
  </si>
  <si>
    <t>Almiyanti</t>
  </si>
  <si>
    <t>Muhammad Adib Abrisyam</t>
  </si>
  <si>
    <t>520101 6205880001</t>
  </si>
  <si>
    <t>520101 0101180001</t>
  </si>
  <si>
    <t>520101 0503082875</t>
  </si>
  <si>
    <t xml:space="preserve">Arigunawan </t>
  </si>
  <si>
    <t>520101 4709120001</t>
  </si>
  <si>
    <t>520101 0503085157</t>
  </si>
  <si>
    <t>H. Ramli</t>
  </si>
  <si>
    <t>Pahariah</t>
  </si>
  <si>
    <t>Junaidi Albaidawy</t>
  </si>
  <si>
    <t>520101 0107990409</t>
  </si>
  <si>
    <t>520101 1408170011</t>
  </si>
  <si>
    <t>Sae'an</t>
  </si>
  <si>
    <t>Budiah</t>
  </si>
  <si>
    <t>Abila Rumaiza Talifa</t>
  </si>
  <si>
    <t>520101 1006930006</t>
  </si>
  <si>
    <t>520101 5002980002</t>
  </si>
  <si>
    <t>520101 2711170002</t>
  </si>
  <si>
    <t>520101 0503082324</t>
  </si>
  <si>
    <t>Nur'aini S.Pd</t>
  </si>
  <si>
    <t>Nuzulul Riezqil Syahlavi</t>
  </si>
  <si>
    <t>Aisya Zumiratil Azqiya</t>
  </si>
  <si>
    <t>520101 0107720828</t>
  </si>
  <si>
    <t>520101 4107820628</t>
  </si>
  <si>
    <t>520101 0304030003</t>
  </si>
  <si>
    <t>520101 1105070002</t>
  </si>
  <si>
    <t>520101 6403120005</t>
  </si>
  <si>
    <t>Karang Langko</t>
  </si>
  <si>
    <t>520101 1208150013</t>
  </si>
  <si>
    <t>520101 4107560106</t>
  </si>
  <si>
    <t>520101 1602120025</t>
  </si>
  <si>
    <t>520101 2910730001</t>
  </si>
  <si>
    <t>520101 0110180013</t>
  </si>
  <si>
    <t>Anggun Yulianti</t>
  </si>
  <si>
    <t>Aufa Hafizatunnisa</t>
  </si>
  <si>
    <t>520804 4606950003</t>
  </si>
  <si>
    <t>520101 6404190002</t>
  </si>
  <si>
    <t>Tumpang Sari</t>
  </si>
  <si>
    <t>520101 2705111461</t>
  </si>
  <si>
    <t>Baiq Gina Amaliya Niyarni</t>
  </si>
  <si>
    <t>Lalu Dilan Hamdani Pradita</t>
  </si>
  <si>
    <t>Baiq Aqila Amalia</t>
  </si>
  <si>
    <t>520101 0909060004</t>
  </si>
  <si>
    <t>520101 2508760001</t>
  </si>
  <si>
    <t>520101 6204800001</t>
  </si>
  <si>
    <t>520101 4301030001</t>
  </si>
  <si>
    <t>520101 4309150001</t>
  </si>
  <si>
    <t>520101 2908180008</t>
  </si>
  <si>
    <t>Retno Vraditha Febry Amzani</t>
  </si>
  <si>
    <t>Zulhardi Al Bahari Amzani</t>
  </si>
  <si>
    <t>520101 0505940002</t>
  </si>
  <si>
    <t>271103 6302939005</t>
  </si>
  <si>
    <t>527105 2310120005</t>
  </si>
  <si>
    <t>Batam</t>
  </si>
  <si>
    <t>520101 2802170007</t>
  </si>
  <si>
    <t>Risa Aprianti</t>
  </si>
  <si>
    <t>Zaskia Asyifa Habibi</t>
  </si>
  <si>
    <t>527101 5904980002</t>
  </si>
  <si>
    <t>520101 6608170001</t>
  </si>
  <si>
    <t>Ampenan</t>
  </si>
  <si>
    <t>520101 0503082872</t>
  </si>
  <si>
    <t>Lalu Wildan</t>
  </si>
  <si>
    <t>520101 7112630003</t>
  </si>
  <si>
    <t>520101 0504110005</t>
  </si>
  <si>
    <t>Selegong</t>
  </si>
  <si>
    <t>520101 0503082853</t>
  </si>
  <si>
    <t>Lalu Sutriyaman</t>
  </si>
  <si>
    <t>520101 1508730002</t>
  </si>
  <si>
    <t>520101 4107750141</t>
  </si>
  <si>
    <t>520101 1003980002</t>
  </si>
  <si>
    <t>520101 5403030004</t>
  </si>
  <si>
    <t>520101 0503083797</t>
  </si>
  <si>
    <t>Tanjung Gunung</t>
  </si>
  <si>
    <t>520101 1404141018</t>
  </si>
  <si>
    <t>Lutfi Hidayat</t>
  </si>
  <si>
    <t>520101 0512180001</t>
  </si>
  <si>
    <t>Mesanggok</t>
  </si>
  <si>
    <t>520101 0503083794</t>
  </si>
  <si>
    <t>520101 1309110008</t>
  </si>
  <si>
    <t>Taman</t>
  </si>
  <si>
    <t>520101 0603082580</t>
  </si>
  <si>
    <t>Lalu Takdir</t>
  </si>
  <si>
    <t>Hayatina</t>
  </si>
  <si>
    <t>Lalu Sirajati</t>
  </si>
  <si>
    <t>Baiq Ratu Dwipurnama</t>
  </si>
  <si>
    <t>520101 1108710001</t>
  </si>
  <si>
    <t>520101 7112780001</t>
  </si>
  <si>
    <t>520101 2106060002</t>
  </si>
  <si>
    <t>520101 5210110002</t>
  </si>
  <si>
    <t>520101 0512120001</t>
  </si>
  <si>
    <t xml:space="preserve">Lalu Sila Anti Kalara </t>
  </si>
  <si>
    <t>520101 7112930033</t>
  </si>
  <si>
    <t>520101 5111120001</t>
  </si>
  <si>
    <t>520101 1509150001</t>
  </si>
  <si>
    <t>Lalu Badri Basmi</t>
  </si>
  <si>
    <t>Sakinah</t>
  </si>
  <si>
    <t>520101 0810670001</t>
  </si>
  <si>
    <t>520101 4207730003</t>
  </si>
  <si>
    <t>520101 1009120051</t>
  </si>
  <si>
    <t xml:space="preserve">Yuliana </t>
  </si>
  <si>
    <t xml:space="preserve">Ahmad Faturrahman </t>
  </si>
  <si>
    <t>520101 3112790170</t>
  </si>
  <si>
    <t>520101 0405070005</t>
  </si>
  <si>
    <t>Padang</t>
  </si>
  <si>
    <t>Industri</t>
  </si>
  <si>
    <t>520101 1909080016</t>
  </si>
  <si>
    <t xml:space="preserve">Abdullah </t>
  </si>
  <si>
    <t xml:space="preserve">Jalaludin </t>
  </si>
  <si>
    <t>520101 2611090021</t>
  </si>
  <si>
    <t>Lalu Hanapi</t>
  </si>
  <si>
    <t>Baiq Fujiana</t>
  </si>
  <si>
    <t>Lalu Hananda Fujiatma</t>
  </si>
  <si>
    <t>520101 2511730001</t>
  </si>
  <si>
    <t>520101 6006740001</t>
  </si>
  <si>
    <t>520101 3005020003</t>
  </si>
  <si>
    <t>Sandik</t>
  </si>
  <si>
    <t>Perangkat Desa</t>
  </si>
  <si>
    <t>Tukang Jahit</t>
  </si>
  <si>
    <t>520101 0503082858</t>
  </si>
  <si>
    <t>Lalu Saufi</t>
  </si>
  <si>
    <t>Lalu Apriadi Sutikno</t>
  </si>
  <si>
    <t>Lalu Radian Aprizal</t>
  </si>
  <si>
    <t>520101 0107710108</t>
  </si>
  <si>
    <t>520101 4107770560</t>
  </si>
  <si>
    <t>520101 2301961001</t>
  </si>
  <si>
    <t>520101 0103071001</t>
  </si>
  <si>
    <t>520101 2004170004</t>
  </si>
  <si>
    <t>520101 1009120053</t>
  </si>
  <si>
    <t>Lalu M.Ismail</t>
  </si>
  <si>
    <t>Lalu M.Danil Asrap</t>
  </si>
  <si>
    <t>Gubuk Baru</t>
  </si>
  <si>
    <t>Nomor KK</t>
  </si>
  <si>
    <t>Jumlah Penduduk</t>
  </si>
  <si>
    <t>Total</t>
  </si>
  <si>
    <t>Jumlah KK</t>
  </si>
  <si>
    <t>Jumlah Duda / Janda</t>
  </si>
  <si>
    <t>Jumlah Lansia ( =&gt;60 )</t>
  </si>
  <si>
    <t>RT 3</t>
  </si>
  <si>
    <t>RT 4</t>
  </si>
  <si>
    <t>JUMLAH TOTAL</t>
  </si>
  <si>
    <t>DATA INDUK PENDUDUK KELURAHAN DASAN GERES</t>
  </si>
  <si>
    <t>TAHUN 2019</t>
  </si>
  <si>
    <t>LINGKUNGAN DASAN GERES TENGAH</t>
  </si>
  <si>
    <t>RT 01</t>
  </si>
  <si>
    <t>RT 04</t>
  </si>
  <si>
    <t>RT 03</t>
  </si>
  <si>
    <t>RT 02</t>
  </si>
  <si>
    <t>Mengetahui</t>
  </si>
  <si>
    <t>Lurah Dasan Geres</t>
  </si>
  <si>
    <t>Kepala Lingkungan</t>
  </si>
  <si>
    <t>Hulaifi, S.H.</t>
  </si>
  <si>
    <t>NIP. 19841231 201101 1 023</t>
  </si>
  <si>
    <t>M. Fahrizal</t>
  </si>
  <si>
    <t>RT</t>
  </si>
  <si>
    <t>REKAP DATA PENDUDUK</t>
  </si>
</sst>
</file>

<file path=xl/styles.xml><?xml version="1.0" encoding="utf-8"?>
<styleSheet xmlns="http://schemas.openxmlformats.org/spreadsheetml/2006/main">
  <numFmts count="2">
    <numFmt numFmtId="164" formatCode="[$-409]d\-mmm;@"/>
    <numFmt numFmtId="165" formatCode="[$-421]dd\ mmmm\ yyyy;@"/>
  </numFmts>
  <fonts count="6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6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2" borderId="4" xfId="0" applyFill="1" applyBorder="1"/>
    <xf numFmtId="0" fontId="0" fillId="2" borderId="0" xfId="0" applyFill="1"/>
    <xf numFmtId="1" fontId="1" fillId="0" borderId="2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2" fontId="1" fillId="2" borderId="9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1" fontId="2" fillId="2" borderId="4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14" fontId="2" fillId="3" borderId="4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165" fontId="2" fillId="4" borderId="4" xfId="0" applyNumberFormat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2" fillId="5" borderId="4" xfId="0" applyNumberFormat="1" applyFont="1" applyFill="1" applyBorder="1" applyAlignment="1">
      <alignment horizontal="center" vertical="center" wrapText="1"/>
    </xf>
    <xf numFmtId="165" fontId="2" fillId="5" borderId="4" xfId="0" applyNumberFormat="1" applyFont="1" applyFill="1" applyBorder="1" applyAlignment="1">
      <alignment horizontal="center" vertical="center" wrapText="1"/>
    </xf>
    <xf numFmtId="14" fontId="2" fillId="3" borderId="4" xfId="0" applyNumberFormat="1" applyFont="1" applyFill="1" applyBorder="1" applyAlignment="1">
      <alignment horizontal="center" vertical="center" wrapText="1"/>
    </xf>
    <xf numFmtId="165" fontId="2" fillId="3" borderId="4" xfId="0" applyNumberFormat="1" applyFont="1" applyFill="1" applyBorder="1" applyAlignment="1">
      <alignment horizontal="center" vertical="center" wrapText="1"/>
    </xf>
    <xf numFmtId="165" fontId="2" fillId="3" borderId="4" xfId="0" applyNumberFormat="1" applyFont="1" applyFill="1" applyBorder="1" applyAlignment="1">
      <alignment horizontal="center" vertical="center"/>
    </xf>
    <xf numFmtId="1" fontId="2" fillId="5" borderId="4" xfId="0" applyNumberFormat="1" applyFont="1" applyFill="1" applyBorder="1" applyAlignment="1">
      <alignment horizontal="center" vertical="center" wrapText="1"/>
    </xf>
    <xf numFmtId="1" fontId="2" fillId="3" borderId="4" xfId="0" applyNumberFormat="1" applyFont="1" applyFill="1" applyBorder="1" applyAlignment="1">
      <alignment horizontal="center" vertical="center" wrapText="1"/>
    </xf>
    <xf numFmtId="1" fontId="2" fillId="4" borderId="4" xfId="0" applyNumberFormat="1" applyFont="1" applyFill="1" applyBorder="1" applyAlignment="1">
      <alignment horizontal="center" vertical="center"/>
    </xf>
    <xf numFmtId="1" fontId="2" fillId="3" borderId="4" xfId="0" quotePrefix="1" applyNumberFormat="1" applyFont="1" applyFill="1" applyBorder="1" applyAlignment="1">
      <alignment horizontal="center" vertical="center" wrapText="1"/>
    </xf>
    <xf numFmtId="1" fontId="2" fillId="3" borderId="4" xfId="0" quotePrefix="1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4" xfId="0" quotePrefix="1" applyFont="1" applyFill="1" applyBorder="1" applyAlignment="1">
      <alignment horizontal="center" vertical="center"/>
    </xf>
    <xf numFmtId="165" fontId="2" fillId="4" borderId="4" xfId="0" quotePrefix="1" applyNumberFormat="1" applyFont="1" applyFill="1" applyBorder="1" applyAlignment="1">
      <alignment horizontal="center" vertical="center"/>
    </xf>
    <xf numFmtId="1" fontId="2" fillId="4" borderId="4" xfId="0" quotePrefix="1" applyNumberFormat="1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 wrapText="1"/>
    </xf>
    <xf numFmtId="165" fontId="2" fillId="2" borderId="4" xfId="0" applyNumberFormat="1" applyFont="1" applyFill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1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1" fontId="2" fillId="0" borderId="4" xfId="0" applyNumberFormat="1" applyFont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165" fontId="2" fillId="0" borderId="4" xfId="0" applyNumberFormat="1" applyFont="1" applyBorder="1" applyAlignment="1">
      <alignment horizontal="center" vertical="center" wrapText="1"/>
    </xf>
    <xf numFmtId="0" fontId="2" fillId="4" borderId="4" xfId="0" quotePrefix="1" applyFont="1" applyFill="1" applyBorder="1" applyAlignment="1">
      <alignment vertical="center"/>
    </xf>
    <xf numFmtId="0" fontId="2" fillId="4" borderId="4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17" xfId="0" quotePrefix="1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vertical="center" wrapText="1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1" fontId="1" fillId="0" borderId="4" xfId="0" applyNumberFormat="1" applyFont="1" applyFill="1" applyBorder="1" applyAlignment="1">
      <alignment horizontal="center" vertical="center"/>
    </xf>
    <xf numFmtId="165" fontId="1" fillId="0" borderId="4" xfId="0" applyNumberFormat="1" applyFont="1" applyFill="1" applyBorder="1" applyAlignment="1">
      <alignment horizontal="center" vertical="center"/>
    </xf>
    <xf numFmtId="1" fontId="1" fillId="0" borderId="4" xfId="0" quotePrefix="1" applyNumberFormat="1" applyFont="1" applyFill="1" applyBorder="1" applyAlignment="1">
      <alignment horizontal="center" vertical="center"/>
    </xf>
    <xf numFmtId="1" fontId="1" fillId="0" borderId="14" xfId="0" applyNumberFormat="1" applyFont="1" applyFill="1" applyBorder="1" applyAlignment="1">
      <alignment horizontal="center" vertical="center"/>
    </xf>
    <xf numFmtId="165" fontId="1" fillId="0" borderId="14" xfId="0" applyNumberFormat="1" applyFont="1" applyFill="1" applyBorder="1" applyAlignment="1">
      <alignment horizontal="center" vertical="center"/>
    </xf>
    <xf numFmtId="3" fontId="2" fillId="0" borderId="4" xfId="0" applyNumberFormat="1" applyFont="1" applyBorder="1" applyAlignment="1">
      <alignment horizontal="center" vertical="center"/>
    </xf>
    <xf numFmtId="3" fontId="0" fillId="0" borderId="0" xfId="0" applyNumberFormat="1"/>
    <xf numFmtId="0" fontId="2" fillId="0" borderId="0" xfId="0" applyFont="1" applyFill="1"/>
    <xf numFmtId="0" fontId="2" fillId="0" borderId="0" xfId="0" applyFont="1"/>
    <xf numFmtId="0" fontId="1" fillId="0" borderId="4" xfId="0" applyFont="1" applyFill="1" applyBorder="1" applyAlignment="1">
      <alignment horizontal="center" vertical="center" wrapText="1"/>
    </xf>
    <xf numFmtId="165" fontId="1" fillId="0" borderId="4" xfId="0" applyNumberFormat="1" applyFont="1" applyFill="1" applyBorder="1" applyAlignment="1">
      <alignment horizontal="center" vertical="center" wrapText="1"/>
    </xf>
    <xf numFmtId="1" fontId="1" fillId="0" borderId="4" xfId="0" quotePrefix="1" applyNumberFormat="1" applyFont="1" applyFill="1" applyBorder="1" applyAlignment="1">
      <alignment horizontal="center" vertical="center" wrapText="1"/>
    </xf>
    <xf numFmtId="14" fontId="1" fillId="0" borderId="4" xfId="0" applyNumberFormat="1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 wrapText="1"/>
    </xf>
    <xf numFmtId="3" fontId="2" fillId="0" borderId="0" xfId="0" applyNumberFormat="1" applyFont="1"/>
    <xf numFmtId="3" fontId="5" fillId="0" borderId="9" xfId="0" applyNumberFormat="1" applyFont="1" applyBorder="1" applyAlignment="1">
      <alignment horizontal="center" vertical="center"/>
    </xf>
    <xf numFmtId="3" fontId="2" fillId="0" borderId="25" xfId="0" applyNumberFormat="1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3" fontId="2" fillId="0" borderId="13" xfId="0" applyNumberFormat="1" applyFont="1" applyBorder="1" applyAlignment="1">
      <alignment horizontal="center" vertical="center"/>
    </xf>
    <xf numFmtId="3" fontId="2" fillId="0" borderId="27" xfId="0" applyNumberFormat="1" applyFont="1" applyBorder="1" applyAlignment="1">
      <alignment horizontal="center" vertical="center"/>
    </xf>
    <xf numFmtId="3" fontId="2" fillId="0" borderId="8" xfId="0" applyNumberFormat="1" applyFont="1" applyBorder="1" applyAlignment="1">
      <alignment horizontal="center" vertical="center"/>
    </xf>
    <xf numFmtId="3" fontId="2" fillId="0" borderId="38" xfId="0" applyNumberFormat="1" applyFont="1" applyBorder="1" applyAlignment="1">
      <alignment horizontal="center" vertical="center"/>
    </xf>
    <xf numFmtId="3" fontId="5" fillId="0" borderId="30" xfId="0" applyNumberFormat="1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3" fontId="2" fillId="0" borderId="43" xfId="0" applyNumberFormat="1" applyFont="1" applyBorder="1" applyAlignment="1">
      <alignment horizontal="center" vertical="center"/>
    </xf>
    <xf numFmtId="3" fontId="2" fillId="0" borderId="15" xfId="0" applyNumberFormat="1" applyFont="1" applyBorder="1" applyAlignment="1">
      <alignment horizontal="center" vertical="center"/>
    </xf>
    <xf numFmtId="3" fontId="5" fillId="0" borderId="37" xfId="0" applyNumberFormat="1" applyFont="1" applyBorder="1" applyAlignment="1">
      <alignment horizontal="center" vertical="center"/>
    </xf>
    <xf numFmtId="3" fontId="2" fillId="0" borderId="44" xfId="0" applyNumberFormat="1" applyFont="1" applyBorder="1" applyAlignment="1">
      <alignment horizontal="center" vertical="center"/>
    </xf>
    <xf numFmtId="3" fontId="5" fillId="0" borderId="33" xfId="0" applyNumberFormat="1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3" fontId="2" fillId="0" borderId="49" xfId="0" applyNumberFormat="1" applyFont="1" applyBorder="1" applyAlignment="1">
      <alignment horizontal="center" vertical="center"/>
    </xf>
    <xf numFmtId="3" fontId="2" fillId="0" borderId="14" xfId="0" applyNumberFormat="1" applyFont="1" applyBorder="1" applyAlignment="1">
      <alignment horizontal="center" vertical="center"/>
    </xf>
    <xf numFmtId="3" fontId="5" fillId="0" borderId="36" xfId="0" applyNumberFormat="1" applyFont="1" applyBorder="1" applyAlignment="1">
      <alignment horizontal="center" vertical="center"/>
    </xf>
    <xf numFmtId="3" fontId="2" fillId="0" borderId="18" xfId="0" applyNumberFormat="1" applyFont="1" applyBorder="1" applyAlignment="1">
      <alignment horizontal="center" vertical="center"/>
    </xf>
    <xf numFmtId="3" fontId="5" fillId="0" borderId="23" xfId="0" applyNumberFormat="1" applyFont="1" applyBorder="1" applyAlignment="1">
      <alignment horizontal="center" vertical="center"/>
    </xf>
    <xf numFmtId="0" fontId="5" fillId="0" borderId="50" xfId="0" applyFont="1" applyBorder="1" applyAlignment="1">
      <alignment horizontal="center" vertical="center"/>
    </xf>
    <xf numFmtId="3" fontId="2" fillId="0" borderId="51" xfId="0" applyNumberFormat="1" applyFont="1" applyBorder="1" applyAlignment="1">
      <alignment horizontal="center" vertical="center"/>
    </xf>
    <xf numFmtId="3" fontId="2" fillId="0" borderId="52" xfId="0" applyNumberFormat="1" applyFont="1" applyBorder="1" applyAlignment="1">
      <alignment horizontal="center" vertical="center"/>
    </xf>
    <xf numFmtId="3" fontId="3" fillId="0" borderId="53" xfId="0" applyNumberFormat="1" applyFont="1" applyBorder="1" applyAlignment="1">
      <alignment horizontal="center" vertical="center"/>
    </xf>
    <xf numFmtId="3" fontId="2" fillId="0" borderId="54" xfId="0" applyNumberFormat="1" applyFont="1" applyBorder="1" applyAlignment="1">
      <alignment horizontal="center" vertical="center"/>
    </xf>
    <xf numFmtId="3" fontId="3" fillId="0" borderId="55" xfId="0" applyNumberFormat="1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" fontId="1" fillId="0" borderId="4" xfId="0" applyNumberFormat="1" applyFont="1" applyFill="1" applyBorder="1" applyAlignment="1">
      <alignment horizontal="center" vertical="center" wrapText="1"/>
    </xf>
    <xf numFmtId="165" fontId="1" fillId="0" borderId="4" xfId="0" quotePrefix="1" applyNumberFormat="1" applyFont="1" applyFill="1" applyBorder="1" applyAlignment="1">
      <alignment horizontal="center" vertical="center" wrapText="1"/>
    </xf>
    <xf numFmtId="165" fontId="1" fillId="0" borderId="4" xfId="0" quotePrefix="1" applyNumberFormat="1" applyFont="1" applyFill="1" applyBorder="1" applyAlignment="1">
      <alignment horizontal="center" vertical="center"/>
    </xf>
    <xf numFmtId="0" fontId="1" fillId="0" borderId="4" xfId="0" quotePrefix="1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1" fontId="1" fillId="0" borderId="0" xfId="0" applyNumberFormat="1" applyFont="1" applyFill="1" applyAlignment="1">
      <alignment horizontal="center" vertical="center"/>
    </xf>
    <xf numFmtId="14" fontId="1" fillId="0" borderId="0" xfId="0" applyNumberFormat="1" applyFont="1" applyFill="1" applyAlignment="1">
      <alignment horizontal="center" vertical="center" wrapText="1"/>
    </xf>
    <xf numFmtId="165" fontId="1" fillId="0" borderId="0" xfId="0" applyNumberFormat="1" applyFont="1" applyFill="1" applyAlignment="1">
      <alignment horizontal="center" vertical="center"/>
    </xf>
    <xf numFmtId="14" fontId="4" fillId="6" borderId="4" xfId="0" applyNumberFormat="1" applyFont="1" applyFill="1" applyBorder="1" applyAlignment="1">
      <alignment horizontal="center" vertical="center" wrapText="1"/>
    </xf>
    <xf numFmtId="165" fontId="4" fillId="6" borderId="4" xfId="0" applyNumberFormat="1" applyFont="1" applyFill="1" applyBorder="1" applyAlignment="1">
      <alignment horizontal="center" vertical="center" wrapText="1"/>
    </xf>
    <xf numFmtId="1" fontId="4" fillId="6" borderId="4" xfId="0" applyNumberFormat="1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vertical="center"/>
    </xf>
    <xf numFmtId="165" fontId="1" fillId="0" borderId="0" xfId="0" applyNumberFormat="1" applyFont="1" applyFill="1" applyAlignment="1">
      <alignment horizontal="center" vertical="center" wrapText="1"/>
    </xf>
    <xf numFmtId="165" fontId="4" fillId="6" borderId="4" xfId="0" applyNumberFormat="1" applyFont="1" applyFill="1" applyBorder="1" applyAlignment="1">
      <alignment horizontal="center" vertical="center"/>
    </xf>
    <xf numFmtId="1" fontId="4" fillId="6" borderId="4" xfId="0" applyNumberFormat="1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 wrapText="1"/>
    </xf>
    <xf numFmtId="1" fontId="1" fillId="6" borderId="4" xfId="0" applyNumberFormat="1" applyFont="1" applyFill="1" applyBorder="1" applyAlignment="1">
      <alignment horizontal="center" vertical="center"/>
    </xf>
    <xf numFmtId="14" fontId="1" fillId="6" borderId="4" xfId="0" applyNumberFormat="1" applyFont="1" applyFill="1" applyBorder="1" applyAlignment="1">
      <alignment horizontal="center" vertical="center" wrapText="1"/>
    </xf>
    <xf numFmtId="165" fontId="1" fillId="6" borderId="4" xfId="0" applyNumberFormat="1" applyFont="1" applyFill="1" applyBorder="1" applyAlignment="1">
      <alignment horizontal="center" vertical="center"/>
    </xf>
    <xf numFmtId="14" fontId="4" fillId="6" borderId="25" xfId="0" applyNumberFormat="1" applyFont="1" applyFill="1" applyBorder="1" applyAlignment="1">
      <alignment horizontal="center" vertical="center" wrapText="1"/>
    </xf>
    <xf numFmtId="165" fontId="4" fillId="6" borderId="25" xfId="0" applyNumberFormat="1" applyFont="1" applyFill="1" applyBorder="1" applyAlignment="1">
      <alignment horizontal="center" vertical="center"/>
    </xf>
    <xf numFmtId="1" fontId="4" fillId="6" borderId="25" xfId="0" applyNumberFormat="1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0" xfId="0" applyFont="1" applyFill="1" applyBorder="1" applyAlignment="1">
      <alignment horizontal="center" vertical="center" wrapText="1"/>
    </xf>
    <xf numFmtId="1" fontId="1" fillId="6" borderId="0" xfId="0" applyNumberFormat="1" applyFont="1" applyFill="1" applyBorder="1" applyAlignment="1">
      <alignment horizontal="center" vertical="center"/>
    </xf>
    <xf numFmtId="14" fontId="1" fillId="6" borderId="0" xfId="0" applyNumberFormat="1" applyFont="1" applyFill="1" applyBorder="1" applyAlignment="1">
      <alignment horizontal="center" vertical="center" wrapText="1"/>
    </xf>
    <xf numFmtId="165" fontId="1" fillId="6" borderId="0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3" fontId="2" fillId="0" borderId="0" xfId="0" applyNumberFormat="1" applyFont="1" applyBorder="1"/>
    <xf numFmtId="0" fontId="2" fillId="0" borderId="0" xfId="0" applyFont="1" applyBorder="1"/>
    <xf numFmtId="0" fontId="3" fillId="0" borderId="0" xfId="0" applyFont="1" applyAlignment="1">
      <alignment horizontal="center"/>
    </xf>
    <xf numFmtId="0" fontId="3" fillId="0" borderId="50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3" fontId="5" fillId="0" borderId="41" xfId="0" applyNumberFormat="1" applyFont="1" applyBorder="1" applyAlignment="1">
      <alignment horizontal="center" vertical="center"/>
    </xf>
    <xf numFmtId="3" fontId="5" fillId="0" borderId="46" xfId="0" applyNumberFormat="1" applyFont="1" applyBorder="1" applyAlignment="1">
      <alignment horizontal="center" vertical="center"/>
    </xf>
    <xf numFmtId="3" fontId="5" fillId="0" borderId="12" xfId="0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center" vertical="center"/>
    </xf>
    <xf numFmtId="3" fontId="5" fillId="0" borderId="20" xfId="0" applyNumberFormat="1" applyFont="1" applyBorder="1" applyAlignment="1">
      <alignment horizontal="center" vertical="center"/>
    </xf>
    <xf numFmtId="3" fontId="5" fillId="0" borderId="47" xfId="0" applyNumberFormat="1" applyFont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1" fontId="4" fillId="6" borderId="4" xfId="0" applyNumberFormat="1" applyFont="1" applyFill="1" applyBorder="1" applyAlignment="1">
      <alignment horizontal="center" vertical="center" wrapText="1"/>
    </xf>
    <xf numFmtId="0" fontId="1" fillId="0" borderId="4" xfId="0" quotePrefix="1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/>
    </xf>
    <xf numFmtId="14" fontId="4" fillId="6" borderId="4" xfId="0" applyNumberFormat="1" applyFont="1" applyFill="1" applyBorder="1" applyAlignment="1">
      <alignment horizontal="center" vertical="center" wrapText="1"/>
    </xf>
    <xf numFmtId="0" fontId="1" fillId="0" borderId="4" xfId="0" quotePrefix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164" fontId="4" fillId="6" borderId="4" xfId="0" applyNumberFormat="1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 vertical="center"/>
    </xf>
    <xf numFmtId="1" fontId="4" fillId="6" borderId="4" xfId="0" applyNumberFormat="1" applyFont="1" applyFill="1" applyBorder="1" applyAlignment="1">
      <alignment horizontal="center" vertical="center"/>
    </xf>
    <xf numFmtId="0" fontId="1" fillId="0" borderId="14" xfId="0" quotePrefix="1" applyFont="1" applyFill="1" applyBorder="1" applyAlignment="1">
      <alignment horizontal="center" vertical="center"/>
    </xf>
    <xf numFmtId="0" fontId="1" fillId="0" borderId="17" xfId="0" quotePrefix="1" applyFont="1" applyFill="1" applyBorder="1" applyAlignment="1">
      <alignment horizontal="center" vertical="center"/>
    </xf>
    <xf numFmtId="0" fontId="1" fillId="0" borderId="15" xfId="0" quotePrefix="1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 wrapText="1"/>
    </xf>
    <xf numFmtId="164" fontId="4" fillId="6" borderId="15" xfId="0" applyNumberFormat="1" applyFont="1" applyFill="1" applyBorder="1" applyAlignment="1">
      <alignment horizontal="center" vertical="center"/>
    </xf>
    <xf numFmtId="1" fontId="4" fillId="6" borderId="15" xfId="0" applyNumberFormat="1" applyFont="1" applyFill="1" applyBorder="1" applyAlignment="1">
      <alignment horizontal="center" vertical="center"/>
    </xf>
    <xf numFmtId="0" fontId="4" fillId="6" borderId="7" xfId="0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/>
    </xf>
    <xf numFmtId="0" fontId="4" fillId="6" borderId="31" xfId="0" applyFont="1" applyFill="1" applyBorder="1" applyAlignment="1">
      <alignment horizontal="center" vertical="center" wrapText="1"/>
    </xf>
    <xf numFmtId="0" fontId="4" fillId="6" borderId="32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4" fillId="6" borderId="6" xfId="0" applyFont="1" applyFill="1" applyBorder="1" applyAlignment="1">
      <alignment horizontal="center" vertical="center" wrapText="1"/>
    </xf>
    <xf numFmtId="0" fontId="4" fillId="6" borderId="25" xfId="0" applyFont="1" applyFill="1" applyBorder="1" applyAlignment="1">
      <alignment horizontal="center" vertical="center" wrapText="1"/>
    </xf>
    <xf numFmtId="14" fontId="4" fillId="6" borderId="22" xfId="0" applyNumberFormat="1" applyFont="1" applyFill="1" applyBorder="1" applyAlignment="1">
      <alignment horizontal="center" vertical="center"/>
    </xf>
    <xf numFmtId="14" fontId="4" fillId="6" borderId="28" xfId="0" applyNumberFormat="1" applyFont="1" applyFill="1" applyBorder="1" applyAlignment="1">
      <alignment horizontal="center" vertical="center"/>
    </xf>
    <xf numFmtId="14" fontId="4" fillId="6" borderId="12" xfId="0" applyNumberFormat="1" applyFont="1" applyFill="1" applyBorder="1" applyAlignment="1">
      <alignment horizontal="center" vertical="center"/>
    </xf>
    <xf numFmtId="1" fontId="4" fillId="6" borderId="19" xfId="0" applyNumberFormat="1" applyFont="1" applyFill="1" applyBorder="1" applyAlignment="1">
      <alignment horizontal="center" vertical="center"/>
    </xf>
    <xf numFmtId="1" fontId="4" fillId="6" borderId="29" xfId="0" applyNumberFormat="1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 wrapText="1"/>
    </xf>
    <xf numFmtId="0" fontId="4" fillId="6" borderId="29" xfId="0" applyFont="1" applyFill="1" applyBorder="1" applyAlignment="1">
      <alignment horizontal="center" vertical="center" wrapText="1"/>
    </xf>
    <xf numFmtId="1" fontId="4" fillId="6" borderId="6" xfId="0" applyNumberFormat="1" applyFont="1" applyFill="1" applyBorder="1" applyAlignment="1">
      <alignment horizontal="center" vertical="center"/>
    </xf>
    <xf numFmtId="1" fontId="4" fillId="6" borderId="25" xfId="0" applyNumberFormat="1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0" fontId="4" fillId="6" borderId="27" xfId="0" applyFont="1" applyFill="1" applyBorder="1" applyAlignment="1">
      <alignment horizontal="center" vertical="center"/>
    </xf>
    <xf numFmtId="1" fontId="2" fillId="5" borderId="7" xfId="0" applyNumberFormat="1" applyFont="1" applyFill="1" applyBorder="1" applyAlignment="1">
      <alignment horizontal="center" vertical="center" wrapText="1"/>
    </xf>
    <xf numFmtId="1" fontId="2" fillId="5" borderId="9" xfId="0" applyNumberFormat="1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19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center" wrapText="1"/>
    </xf>
    <xf numFmtId="0" fontId="2" fillId="5" borderId="24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164" fontId="2" fillId="5" borderId="20" xfId="0" applyNumberFormat="1" applyFont="1" applyFill="1" applyBorder="1" applyAlignment="1">
      <alignment horizontal="center" vertical="center" wrapText="1"/>
    </xf>
    <xf numFmtId="164" fontId="2" fillId="5" borderId="16" xfId="0" applyNumberFormat="1" applyFont="1" applyFill="1" applyBorder="1" applyAlignment="1">
      <alignment horizontal="center" vertical="center" wrapText="1"/>
    </xf>
    <xf numFmtId="164" fontId="2" fillId="5" borderId="2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O20"/>
  <sheetViews>
    <sheetView workbookViewId="0">
      <selection activeCell="M10" sqref="M10"/>
    </sheetView>
  </sheetViews>
  <sheetFormatPr defaultRowHeight="15"/>
  <cols>
    <col min="2" max="2" width="19.140625" bestFit="1" customWidth="1"/>
    <col min="3" max="8" width="9.140625" style="96"/>
    <col min="9" max="10" width="10.7109375" style="96" customWidth="1"/>
    <col min="11" max="11" width="9.140625" style="96"/>
    <col min="12" max="13" width="11.7109375" style="96" customWidth="1"/>
    <col min="14" max="14" width="9.140625" style="96"/>
  </cols>
  <sheetData>
    <row r="1" spans="2:15" ht="15.75" thickBot="1"/>
    <row r="2" spans="2:15" s="98" customFormat="1" ht="15.75" thickBot="1">
      <c r="B2" s="179" t="s">
        <v>2258</v>
      </c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1"/>
      <c r="O2" s="108"/>
    </row>
    <row r="3" spans="2:15" s="98" customFormat="1" ht="15.75" thickBot="1">
      <c r="B3" s="182" t="s">
        <v>2246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4"/>
      <c r="O3" s="108"/>
    </row>
    <row r="4" spans="2:15" ht="15.75">
      <c r="B4" s="190" t="s">
        <v>2257</v>
      </c>
      <c r="C4" s="192" t="s">
        <v>2236</v>
      </c>
      <c r="D4" s="189"/>
      <c r="E4" s="186" t="s">
        <v>2237</v>
      </c>
      <c r="F4" s="188" t="s">
        <v>2238</v>
      </c>
      <c r="G4" s="189"/>
      <c r="H4" s="193" t="s">
        <v>2237</v>
      </c>
      <c r="I4" s="192" t="s">
        <v>2239</v>
      </c>
      <c r="J4" s="189"/>
      <c r="K4" s="186" t="s">
        <v>2237</v>
      </c>
      <c r="L4" s="188" t="s">
        <v>2240</v>
      </c>
      <c r="M4" s="189"/>
      <c r="N4" s="186" t="s">
        <v>2237</v>
      </c>
    </row>
    <row r="5" spans="2:15" ht="15.75" thickBot="1">
      <c r="B5" s="191"/>
      <c r="C5" s="115" t="s">
        <v>18</v>
      </c>
      <c r="D5" s="110" t="s">
        <v>1</v>
      </c>
      <c r="E5" s="187"/>
      <c r="F5" s="113" t="s">
        <v>18</v>
      </c>
      <c r="G5" s="110" t="s">
        <v>1</v>
      </c>
      <c r="H5" s="194"/>
      <c r="I5" s="115" t="s">
        <v>18</v>
      </c>
      <c r="J5" s="110" t="s">
        <v>1</v>
      </c>
      <c r="K5" s="187"/>
      <c r="L5" s="113" t="s">
        <v>18</v>
      </c>
      <c r="M5" s="110" t="s">
        <v>1</v>
      </c>
      <c r="N5" s="187"/>
    </row>
    <row r="6" spans="2:15" ht="15.75">
      <c r="B6" s="117" t="s">
        <v>1173</v>
      </c>
      <c r="C6" s="118">
        <f>COUNTIF('RT 1'!$H$8:$H$260,"L")</f>
        <v>121</v>
      </c>
      <c r="D6" s="119">
        <f>COUNTIF('RT 1'!$H$8:$H$260,"P")</f>
        <v>132</v>
      </c>
      <c r="E6" s="120">
        <f>SUM(C6:D6)</f>
        <v>253</v>
      </c>
      <c r="F6" s="121">
        <f>COUNTIFS('RT 1'!$F$8:$F$260,"KK",'RT 1'!$H$8:$H$260,"L")</f>
        <v>63</v>
      </c>
      <c r="G6" s="119">
        <f>COUNTIFS('RT 1'!$F$8:$F$260,"KK",'RT 1'!$H$8:$H$260,"P")</f>
        <v>11</v>
      </c>
      <c r="H6" s="122">
        <f>SUM(F6:G6)</f>
        <v>74</v>
      </c>
      <c r="I6" s="118">
        <f>COUNTIFS('RT 1'!$I$8:$I$260,"Cerai Mati",'RT 1'!$H$8:$H$260,"L")+COUNTIFS('RT 1'!$I$8:$I$260,"Cerai Hidup",'RT 1'!$H$8:$H$260,"L")+COUNTIFS('RT 1'!$I$8:$I$260,"Duda",'RT 1'!$H$8:$H$260,"L")</f>
        <v>4</v>
      </c>
      <c r="J6" s="119">
        <f>COUNTIFS('RT 1'!$I$8:$I$260,"Cerai Mati",'RT 1'!$H$8:$H$260,"P")+COUNTIFS('RT 1'!$I$8:$I$260,"Cerai Hidup",'RT 1'!$H$8:$H$260,"P")+COUNTIFS('RT 1'!$I$8:$I$260,"Janda",'RT 1'!$H$8:$H$260,"P")</f>
        <v>11</v>
      </c>
      <c r="K6" s="120">
        <f>SUM(I6:J6)</f>
        <v>15</v>
      </c>
      <c r="L6" s="121">
        <v>11</v>
      </c>
      <c r="M6" s="119">
        <v>13</v>
      </c>
      <c r="N6" s="120">
        <f>SUM(L6:M6)</f>
        <v>24</v>
      </c>
    </row>
    <row r="7" spans="2:15" ht="15.75">
      <c r="B7" s="111" t="s">
        <v>1172</v>
      </c>
      <c r="C7" s="114">
        <f>COUNTIF('RT 2'!$H$8:$H$240,"L")</f>
        <v>115</v>
      </c>
      <c r="D7" s="95">
        <f>COUNTIF('RT 2'!$H$8:$H$240,"P")</f>
        <v>118</v>
      </c>
      <c r="E7" s="109">
        <f t="shared" ref="E7:E9" si="0">SUM(C7:D7)</f>
        <v>233</v>
      </c>
      <c r="F7" s="112">
        <f>COUNTIFS('RT 2'!$F$8:$F$240,"KK",'RT 2'!$H$8:$H$240,"L")</f>
        <v>58</v>
      </c>
      <c r="G7" s="95">
        <f>COUNTIFS('RT 2'!$F$8:$F$240,"KK",'RT 2'!$H$8:$H$240,"P")</f>
        <v>13</v>
      </c>
      <c r="H7" s="116">
        <f t="shared" ref="H7:H9" si="1">SUM(F7:G7)</f>
        <v>71</v>
      </c>
      <c r="I7" s="114">
        <f>COUNTIFS('RT 2'!$I$8:$I$240,"Cerai Mati",'RT 2'!$H$8:$H$240,"L")+COUNTIFS('RT 2'!$I$8:$I$240,"Cerai Hidup",'RT 2'!$H$8:$H$240,"L")+COUNTIFS('RT 2'!$I$8:$I$240,"Duda",'RT 2'!$H$8:$H$240,"L")</f>
        <v>3</v>
      </c>
      <c r="J7" s="95">
        <f>COUNTIFS('RT 2'!$I$8:$I$240,"Cerai Mati",'RT 2'!$H$8:$H$240,"P")+COUNTIFS('RT 2'!$I$8:$I$240,"Cerai Hidup",'RT 2'!$H$8:$H$240,"P")+COUNTIFS('RT 2'!$I$8:$I$240,"Janda",'RT 2'!$H$8:$H$240,"P")</f>
        <v>16</v>
      </c>
      <c r="K7" s="109">
        <f t="shared" ref="K7:K9" si="2">SUM(I7:J7)</f>
        <v>19</v>
      </c>
      <c r="L7" s="112">
        <v>11</v>
      </c>
      <c r="M7" s="95">
        <v>11</v>
      </c>
      <c r="N7" s="109">
        <f t="shared" ref="N7:N9" si="3">SUM(L7:M7)</f>
        <v>22</v>
      </c>
    </row>
    <row r="8" spans="2:15" ht="15.75">
      <c r="B8" s="111" t="s">
        <v>2241</v>
      </c>
      <c r="C8" s="114">
        <f>COUNTIF('RT 3'!$H$8:$H$174,"L")</f>
        <v>87</v>
      </c>
      <c r="D8" s="95">
        <f>COUNTIF('RT 3'!$H$8:$H$174,"P")</f>
        <v>80</v>
      </c>
      <c r="E8" s="109">
        <f t="shared" si="0"/>
        <v>167</v>
      </c>
      <c r="F8" s="112">
        <f>COUNTIFS('RT 3'!$F$8:$F$174,"KK",'RT 3'!$H$8:$H$174,"L")</f>
        <v>42</v>
      </c>
      <c r="G8" s="95">
        <f>COUNTIFS('RT 3'!$F$8:$F$174,"KK",'RT 3'!$H$8:$H$174,"P")</f>
        <v>2</v>
      </c>
      <c r="H8" s="116">
        <f t="shared" si="1"/>
        <v>44</v>
      </c>
      <c r="I8" s="114">
        <f>COUNTIFS('RT 3'!$I$8:$I$174,"Cerai Mati",'RT 3'!$H$8:$H$174,"L")+COUNTIFS('RT 3'!$I$8:$I$174,"Cerai Hidup",'RT 3'!$H$8:$H$174,"L")+COUNTIFS('RT 3'!$I$8:$I$174,"Duda",'RT 3'!$H$8:$H$174,"L")</f>
        <v>1</v>
      </c>
      <c r="J8" s="95">
        <f>COUNTIFS('RT 3'!$I$8:$I$174,"Cerai Mati",'RT 3'!$H$8:$H$174,"P")+COUNTIFS('RT 3'!$I$8:$I$174,"Cerai Hidup",'RT 3'!$H$8:$H$174,"P")+COUNTIFS('RT 3'!$I$8:$I$174,"Janda",'RT 3'!$H$8:$H$174,"P")</f>
        <v>5</v>
      </c>
      <c r="K8" s="109">
        <f t="shared" si="2"/>
        <v>6</v>
      </c>
      <c r="L8" s="112">
        <v>10</v>
      </c>
      <c r="M8" s="95">
        <v>10</v>
      </c>
      <c r="N8" s="109">
        <f t="shared" si="3"/>
        <v>20</v>
      </c>
    </row>
    <row r="9" spans="2:15" ht="16.5" thickBot="1">
      <c r="B9" s="123" t="s">
        <v>2242</v>
      </c>
      <c r="C9" s="124">
        <f>COUNTIF('RT 4'!$H$8:$H$237,"L")</f>
        <v>126</v>
      </c>
      <c r="D9" s="125">
        <f>COUNTIF('RT 4'!$H$8:$H$237,"P")</f>
        <v>104</v>
      </c>
      <c r="E9" s="126">
        <f t="shared" si="0"/>
        <v>230</v>
      </c>
      <c r="F9" s="127">
        <f>COUNTIFS('RT 4'!$F$8:$F$237,"KK",'RT 4'!$H$8:$H$237,"L")</f>
        <v>55</v>
      </c>
      <c r="G9" s="125">
        <f>COUNTIFS('RT 4'!$F$8:$F$237,"KK",'RT 4'!$H$8:$H$237,"P")</f>
        <v>7</v>
      </c>
      <c r="H9" s="128">
        <f t="shared" si="1"/>
        <v>62</v>
      </c>
      <c r="I9" s="124">
        <f>COUNTIFS('RT 4'!$I$8:$I$237,"Cerai Mati",'RT 4'!$H$8:$H$237,"L")+COUNTIFS('RT 4'!$I$8:$I$237,"Cerai Hidup",'RT 4'!$H$8:$H$237,"L")+COUNTIFS('RT 4'!$I$8:$I$237,"Duda",'RT 4'!$H$8:$H$237,"L")</f>
        <v>5</v>
      </c>
      <c r="J9" s="125">
        <f>COUNTIFS('RT 4'!$I$8:$I$237,"Cerai Mati",'RT 4'!$H$8:$H$237,"P")+COUNTIFS('RT 4'!$I$8:$I$237,"Cerai Hidup",'RT 4'!$H$8:$H$237,"P")+COUNTIFS('RT 4'!$I$8:$I$237,"Janda",'RT 4'!$H$8:$H$237,"P")</f>
        <v>10</v>
      </c>
      <c r="K9" s="126">
        <f t="shared" si="2"/>
        <v>15</v>
      </c>
      <c r="L9" s="127">
        <v>8</v>
      </c>
      <c r="M9" s="125">
        <v>10</v>
      </c>
      <c r="N9" s="126">
        <f t="shared" si="3"/>
        <v>18</v>
      </c>
    </row>
    <row r="10" spans="2:15" ht="16.5" thickBot="1">
      <c r="B10" s="129" t="s">
        <v>2243</v>
      </c>
      <c r="C10" s="130">
        <f>SUM(C6:C9)</f>
        <v>449</v>
      </c>
      <c r="D10" s="131">
        <f t="shared" ref="D10:N10" si="4">SUM(D6:D9)</f>
        <v>434</v>
      </c>
      <c r="E10" s="132">
        <f t="shared" si="4"/>
        <v>883</v>
      </c>
      <c r="F10" s="133">
        <f t="shared" si="4"/>
        <v>218</v>
      </c>
      <c r="G10" s="131">
        <f t="shared" si="4"/>
        <v>33</v>
      </c>
      <c r="H10" s="134">
        <f t="shared" si="4"/>
        <v>251</v>
      </c>
      <c r="I10" s="130">
        <f t="shared" si="4"/>
        <v>13</v>
      </c>
      <c r="J10" s="131">
        <f t="shared" si="4"/>
        <v>42</v>
      </c>
      <c r="K10" s="132">
        <f t="shared" si="4"/>
        <v>55</v>
      </c>
      <c r="L10" s="133">
        <f t="shared" si="4"/>
        <v>40</v>
      </c>
      <c r="M10" s="131">
        <f t="shared" si="4"/>
        <v>44</v>
      </c>
      <c r="N10" s="132">
        <f t="shared" si="4"/>
        <v>84</v>
      </c>
    </row>
    <row r="14" spans="2:15" s="98" customFormat="1">
      <c r="C14" s="185" t="s">
        <v>2251</v>
      </c>
      <c r="D14" s="185"/>
      <c r="E14" s="185"/>
      <c r="F14" s="108"/>
      <c r="G14" s="108"/>
      <c r="H14" s="108"/>
      <c r="I14" s="108"/>
      <c r="J14" s="108"/>
      <c r="K14" s="185"/>
      <c r="L14" s="185"/>
      <c r="M14" s="108"/>
      <c r="N14" s="108"/>
    </row>
    <row r="15" spans="2:15" s="98" customFormat="1">
      <c r="C15" s="185" t="s">
        <v>2252</v>
      </c>
      <c r="D15" s="185"/>
      <c r="E15" s="185"/>
      <c r="F15" s="108"/>
      <c r="G15" s="108"/>
      <c r="H15" s="108"/>
      <c r="I15" s="108"/>
      <c r="J15" s="108"/>
      <c r="K15" s="185" t="s">
        <v>2253</v>
      </c>
      <c r="L15" s="185"/>
      <c r="M15" s="108"/>
      <c r="N15" s="108"/>
    </row>
    <row r="16" spans="2:15" s="98" customFormat="1">
      <c r="C16" s="108"/>
      <c r="E16" s="108"/>
      <c r="F16" s="108"/>
      <c r="G16" s="108"/>
      <c r="H16" s="108"/>
      <c r="I16" s="108"/>
      <c r="J16" s="108"/>
      <c r="L16" s="108"/>
      <c r="M16" s="108"/>
      <c r="N16" s="108"/>
    </row>
    <row r="17" spans="3:14" s="98" customFormat="1">
      <c r="C17" s="108"/>
      <c r="E17" s="108"/>
      <c r="F17" s="108"/>
      <c r="G17" s="108"/>
      <c r="H17" s="108"/>
      <c r="I17" s="108"/>
      <c r="J17" s="108"/>
      <c r="L17" s="108"/>
      <c r="M17" s="108"/>
      <c r="N17" s="108"/>
    </row>
    <row r="18" spans="3:14" s="98" customFormat="1">
      <c r="C18" s="108"/>
      <c r="E18" s="108"/>
      <c r="F18" s="108"/>
      <c r="G18" s="108"/>
      <c r="H18" s="108"/>
      <c r="I18" s="108"/>
      <c r="J18" s="108"/>
      <c r="L18" s="108"/>
      <c r="M18" s="108"/>
      <c r="N18" s="108"/>
    </row>
    <row r="19" spans="3:14" s="98" customFormat="1">
      <c r="C19" s="178" t="s">
        <v>2254</v>
      </c>
      <c r="D19" s="178"/>
      <c r="E19" s="178"/>
      <c r="F19" s="108"/>
      <c r="G19" s="108"/>
      <c r="H19" s="108"/>
      <c r="I19" s="108"/>
      <c r="J19" s="108"/>
      <c r="K19" s="178" t="s">
        <v>2256</v>
      </c>
      <c r="L19" s="178"/>
      <c r="M19" s="108"/>
      <c r="N19" s="108"/>
    </row>
    <row r="20" spans="3:14" s="98" customFormat="1">
      <c r="C20" s="178" t="s">
        <v>2255</v>
      </c>
      <c r="D20" s="178"/>
      <c r="E20" s="178"/>
      <c r="F20" s="108"/>
      <c r="G20" s="108"/>
      <c r="H20" s="108"/>
      <c r="I20" s="108"/>
      <c r="J20" s="108"/>
      <c r="K20" s="178"/>
      <c r="L20" s="178"/>
      <c r="M20" s="108"/>
      <c r="N20" s="108"/>
    </row>
  </sheetData>
  <mergeCells count="19">
    <mergeCell ref="F4:G4"/>
    <mergeCell ref="H4:H5"/>
    <mergeCell ref="I4:J4"/>
    <mergeCell ref="C20:E20"/>
    <mergeCell ref="K20:L20"/>
    <mergeCell ref="C19:E19"/>
    <mergeCell ref="K19:L19"/>
    <mergeCell ref="B2:N2"/>
    <mergeCell ref="B3:N3"/>
    <mergeCell ref="C14:E14"/>
    <mergeCell ref="K14:L14"/>
    <mergeCell ref="C15:E15"/>
    <mergeCell ref="K15:L15"/>
    <mergeCell ref="K4:K5"/>
    <mergeCell ref="L4:M4"/>
    <mergeCell ref="N4:N5"/>
    <mergeCell ref="B4:B5"/>
    <mergeCell ref="C4:D4"/>
    <mergeCell ref="E4:E5"/>
  </mergeCells>
  <printOptions horizontalCentered="1" verticalCentered="1"/>
  <pageMargins left="1.37795275590551" right="0.78740157480314998" top="0.78740157480314998" bottom="0.78740157480314998" header="0.31496062992126" footer="0.31496062992126"/>
  <pageSetup paperSize="1000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270"/>
  <sheetViews>
    <sheetView tabSelected="1" workbookViewId="0">
      <pane ySplit="6" topLeftCell="A17" activePane="bottomLeft" state="frozen"/>
      <selection pane="bottomLeft" activeCell="J22" sqref="J22"/>
    </sheetView>
  </sheetViews>
  <sheetFormatPr defaultRowHeight="12.75"/>
  <cols>
    <col min="1" max="1" width="9.140625" style="87"/>
    <col min="2" max="2" width="3.28515625" style="87" bestFit="1" customWidth="1"/>
    <col min="3" max="3" width="16.28515625" style="87" customWidth="1"/>
    <col min="4" max="4" width="6.7109375" style="87" customWidth="1"/>
    <col min="5" max="5" width="12.7109375" style="145" customWidth="1"/>
    <col min="6" max="6" width="9.7109375" style="87" customWidth="1"/>
    <col min="7" max="7" width="16.28515625" style="146" customWidth="1"/>
    <col min="8" max="8" width="7.7109375" style="87" customWidth="1"/>
    <col min="9" max="9" width="10.7109375" style="87" customWidth="1"/>
    <col min="10" max="10" width="13.7109375" style="147" customWidth="1"/>
    <col min="11" max="11" width="14.7109375" style="148" customWidth="1"/>
    <col min="12" max="12" width="6.140625" style="146" bestFit="1" customWidth="1"/>
    <col min="13" max="13" width="4.85546875" style="146" bestFit="1" customWidth="1"/>
    <col min="14" max="14" width="6.42578125" style="87" bestFit="1" customWidth="1"/>
    <col min="15" max="15" width="5.42578125" style="87" bestFit="1" customWidth="1"/>
    <col min="16" max="16" width="16.7109375" style="145" customWidth="1"/>
    <col min="17" max="17" width="7.5703125" style="87" bestFit="1" customWidth="1"/>
    <col min="18" max="18" width="15.7109375" style="145" customWidth="1"/>
    <col min="19" max="45" width="9.140625" style="88"/>
    <col min="46" max="16384" width="9.140625" style="87"/>
  </cols>
  <sheetData>
    <row r="1" spans="2:18" s="97" customFormat="1" ht="15.75">
      <c r="B1" s="197" t="s">
        <v>2244</v>
      </c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</row>
    <row r="2" spans="2:18" s="97" customFormat="1" ht="15.75">
      <c r="B2" s="197" t="s">
        <v>2245</v>
      </c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</row>
    <row r="3" spans="2:18" s="97" customFormat="1" ht="15.75">
      <c r="B3" s="172" t="s">
        <v>2246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</row>
    <row r="4" spans="2:18" ht="15.75">
      <c r="B4" s="172" t="s">
        <v>2247</v>
      </c>
    </row>
    <row r="5" spans="2:18" ht="20.100000000000001" customHeight="1">
      <c r="B5" s="200" t="s">
        <v>306</v>
      </c>
      <c r="C5" s="200" t="s">
        <v>2235</v>
      </c>
      <c r="D5" s="200" t="s">
        <v>1259</v>
      </c>
      <c r="E5" s="200" t="s">
        <v>314</v>
      </c>
      <c r="F5" s="200" t="s">
        <v>312</v>
      </c>
      <c r="G5" s="201" t="s">
        <v>313</v>
      </c>
      <c r="H5" s="200" t="s">
        <v>309</v>
      </c>
      <c r="I5" s="200" t="s">
        <v>308</v>
      </c>
      <c r="J5" s="204" t="s">
        <v>977</v>
      </c>
      <c r="K5" s="204"/>
      <c r="L5" s="204"/>
      <c r="M5" s="201" t="s">
        <v>981</v>
      </c>
      <c r="N5" s="200" t="s">
        <v>310</v>
      </c>
      <c r="O5" s="200" t="s">
        <v>982</v>
      </c>
      <c r="P5" s="200" t="s">
        <v>315</v>
      </c>
      <c r="Q5" s="200" t="s">
        <v>983</v>
      </c>
      <c r="R5" s="200" t="s">
        <v>311</v>
      </c>
    </row>
    <row r="6" spans="2:18" ht="20.100000000000001" customHeight="1">
      <c r="B6" s="200"/>
      <c r="C6" s="200"/>
      <c r="D6" s="200"/>
      <c r="E6" s="200"/>
      <c r="F6" s="200"/>
      <c r="G6" s="201"/>
      <c r="H6" s="200"/>
      <c r="I6" s="200"/>
      <c r="J6" s="149" t="s">
        <v>978</v>
      </c>
      <c r="K6" s="150" t="s">
        <v>979</v>
      </c>
      <c r="L6" s="151" t="s">
        <v>980</v>
      </c>
      <c r="M6" s="201"/>
      <c r="N6" s="200"/>
      <c r="O6" s="200"/>
      <c r="P6" s="200"/>
      <c r="Q6" s="200"/>
      <c r="R6" s="200"/>
    </row>
    <row r="7" spans="2:18">
      <c r="B7" s="152"/>
      <c r="C7" s="152"/>
      <c r="D7" s="152"/>
      <c r="E7" s="152"/>
      <c r="F7" s="152"/>
      <c r="G7" s="151"/>
      <c r="H7" s="152"/>
      <c r="I7" s="152"/>
      <c r="J7" s="149"/>
      <c r="K7" s="150"/>
      <c r="L7" s="151"/>
      <c r="M7" s="151"/>
      <c r="N7" s="152"/>
      <c r="O7" s="152"/>
      <c r="P7" s="152"/>
      <c r="Q7" s="152"/>
      <c r="R7" s="152"/>
    </row>
    <row r="8" spans="2:18">
      <c r="B8" s="199">
        <v>1</v>
      </c>
      <c r="C8" s="199"/>
      <c r="D8" s="99">
        <v>1</v>
      </c>
      <c r="E8" s="99" t="s">
        <v>0</v>
      </c>
      <c r="F8" s="99" t="s">
        <v>6</v>
      </c>
      <c r="G8" s="140" t="s">
        <v>7</v>
      </c>
      <c r="H8" s="99" t="s">
        <v>1</v>
      </c>
      <c r="I8" s="99" t="s">
        <v>2</v>
      </c>
      <c r="J8" s="102"/>
      <c r="K8" s="100">
        <v>20454</v>
      </c>
      <c r="L8" s="140">
        <v>1955</v>
      </c>
      <c r="M8" s="140">
        <f t="shared" ref="M8:M46" si="0">2019-L8</f>
        <v>64</v>
      </c>
      <c r="N8" s="99" t="s">
        <v>3</v>
      </c>
      <c r="O8" s="99"/>
      <c r="P8" s="99" t="s">
        <v>1272</v>
      </c>
      <c r="Q8" s="99"/>
      <c r="R8" s="99" t="s">
        <v>5</v>
      </c>
    </row>
    <row r="9" spans="2:18" ht="38.25">
      <c r="B9" s="199"/>
      <c r="C9" s="199"/>
      <c r="D9" s="99">
        <v>2</v>
      </c>
      <c r="E9" s="99" t="s">
        <v>8</v>
      </c>
      <c r="F9" s="99" t="s">
        <v>12</v>
      </c>
      <c r="G9" s="140" t="s">
        <v>13</v>
      </c>
      <c r="H9" s="99" t="s">
        <v>1</v>
      </c>
      <c r="I9" s="99" t="s">
        <v>9</v>
      </c>
      <c r="J9" s="102"/>
      <c r="K9" s="100">
        <v>34664</v>
      </c>
      <c r="L9" s="140">
        <v>1994</v>
      </c>
      <c r="M9" s="140">
        <f t="shared" si="0"/>
        <v>25</v>
      </c>
      <c r="N9" s="99" t="s">
        <v>3</v>
      </c>
      <c r="O9" s="99"/>
      <c r="P9" s="99" t="s">
        <v>10</v>
      </c>
      <c r="Q9" s="99"/>
      <c r="R9" s="99" t="s">
        <v>11</v>
      </c>
    </row>
    <row r="10" spans="2:18" ht="25.5">
      <c r="B10" s="199"/>
      <c r="C10" s="199"/>
      <c r="D10" s="99">
        <v>3</v>
      </c>
      <c r="E10" s="99" t="s">
        <v>14</v>
      </c>
      <c r="F10" s="99" t="s">
        <v>16</v>
      </c>
      <c r="G10" s="140"/>
      <c r="H10" s="99" t="s">
        <v>1</v>
      </c>
      <c r="I10" s="99" t="s">
        <v>15</v>
      </c>
      <c r="J10" s="102"/>
      <c r="K10" s="100">
        <v>41910</v>
      </c>
      <c r="L10" s="140">
        <v>2014</v>
      </c>
      <c r="M10" s="140">
        <f t="shared" si="0"/>
        <v>5</v>
      </c>
      <c r="N10" s="99" t="s">
        <v>3</v>
      </c>
      <c r="O10" s="99"/>
      <c r="P10" s="99" t="s">
        <v>11</v>
      </c>
      <c r="Q10" s="99"/>
      <c r="R10" s="99" t="s">
        <v>11</v>
      </c>
    </row>
    <row r="11" spans="2:18" ht="25.5">
      <c r="B11" s="199">
        <v>2</v>
      </c>
      <c r="C11" s="199" t="s">
        <v>1604</v>
      </c>
      <c r="D11" s="99">
        <v>4</v>
      </c>
      <c r="E11" s="99" t="s">
        <v>17</v>
      </c>
      <c r="F11" s="99" t="s">
        <v>6</v>
      </c>
      <c r="G11" s="101" t="s">
        <v>1606</v>
      </c>
      <c r="H11" s="99" t="s">
        <v>18</v>
      </c>
      <c r="I11" s="99" t="s">
        <v>9</v>
      </c>
      <c r="J11" s="102" t="s">
        <v>1112</v>
      </c>
      <c r="K11" s="100">
        <v>30682</v>
      </c>
      <c r="L11" s="101" t="s">
        <v>1107</v>
      </c>
      <c r="M11" s="140">
        <f t="shared" si="0"/>
        <v>35</v>
      </c>
      <c r="N11" s="99" t="s">
        <v>3</v>
      </c>
      <c r="O11" s="99" t="s">
        <v>1004</v>
      </c>
      <c r="P11" s="99" t="s">
        <v>1287</v>
      </c>
      <c r="Q11" s="99"/>
      <c r="R11" s="99" t="s">
        <v>1334</v>
      </c>
    </row>
    <row r="12" spans="2:18" ht="25.5">
      <c r="B12" s="199"/>
      <c r="C12" s="199"/>
      <c r="D12" s="99">
        <v>5</v>
      </c>
      <c r="E12" s="99" t="s">
        <v>20</v>
      </c>
      <c r="F12" s="99" t="s">
        <v>21</v>
      </c>
      <c r="G12" s="101" t="s">
        <v>1607</v>
      </c>
      <c r="H12" s="99" t="s">
        <v>1</v>
      </c>
      <c r="I12" s="99" t="s">
        <v>9</v>
      </c>
      <c r="J12" s="102" t="s">
        <v>1113</v>
      </c>
      <c r="K12" s="100">
        <v>31777</v>
      </c>
      <c r="L12" s="101" t="s">
        <v>1012</v>
      </c>
      <c r="M12" s="140">
        <f t="shared" si="0"/>
        <v>33</v>
      </c>
      <c r="N12" s="99" t="s">
        <v>3</v>
      </c>
      <c r="O12" s="99" t="s">
        <v>1004</v>
      </c>
      <c r="P12" s="99" t="s">
        <v>1287</v>
      </c>
      <c r="Q12" s="99"/>
      <c r="R12" s="99" t="s">
        <v>1276</v>
      </c>
    </row>
    <row r="13" spans="2:18" ht="25.5">
      <c r="B13" s="199"/>
      <c r="C13" s="199"/>
      <c r="D13" s="99">
        <v>6</v>
      </c>
      <c r="E13" s="99" t="s">
        <v>1605</v>
      </c>
      <c r="F13" s="99" t="s">
        <v>12</v>
      </c>
      <c r="G13" s="101" t="s">
        <v>1608</v>
      </c>
      <c r="H13" s="99" t="s">
        <v>1</v>
      </c>
      <c r="I13" s="99" t="s">
        <v>15</v>
      </c>
      <c r="J13" s="102" t="s">
        <v>993</v>
      </c>
      <c r="K13" s="100">
        <v>39807</v>
      </c>
      <c r="L13" s="101" t="s">
        <v>1008</v>
      </c>
      <c r="M13" s="140">
        <f t="shared" si="0"/>
        <v>11</v>
      </c>
      <c r="N13" s="99" t="s">
        <v>3</v>
      </c>
      <c r="O13" s="99" t="s">
        <v>1004</v>
      </c>
      <c r="P13" s="99" t="s">
        <v>1274</v>
      </c>
      <c r="Q13" s="99"/>
      <c r="R13" s="99" t="s">
        <v>1309</v>
      </c>
    </row>
    <row r="14" spans="2:18" ht="25.5">
      <c r="B14" s="199"/>
      <c r="C14" s="199"/>
      <c r="D14" s="99">
        <v>7</v>
      </c>
      <c r="E14" s="99" t="s">
        <v>1111</v>
      </c>
      <c r="F14" s="99" t="s">
        <v>12</v>
      </c>
      <c r="G14" s="101" t="s">
        <v>1609</v>
      </c>
      <c r="H14" s="99" t="s">
        <v>1</v>
      </c>
      <c r="I14" s="99" t="s">
        <v>15</v>
      </c>
      <c r="J14" s="102" t="s">
        <v>993</v>
      </c>
      <c r="K14" s="100">
        <v>42341</v>
      </c>
      <c r="L14" s="101" t="s">
        <v>1024</v>
      </c>
      <c r="M14" s="140">
        <f t="shared" si="0"/>
        <v>4</v>
      </c>
      <c r="N14" s="99" t="s">
        <v>3</v>
      </c>
      <c r="O14" s="99" t="s">
        <v>1004</v>
      </c>
      <c r="P14" s="99" t="s">
        <v>1288</v>
      </c>
      <c r="Q14" s="99"/>
      <c r="R14" s="99" t="s">
        <v>1277</v>
      </c>
    </row>
    <row r="15" spans="2:18" ht="25.5">
      <c r="B15" s="199">
        <v>3</v>
      </c>
      <c r="C15" s="199" t="s">
        <v>1468</v>
      </c>
      <c r="D15" s="99">
        <v>8</v>
      </c>
      <c r="E15" s="99" t="s">
        <v>22</v>
      </c>
      <c r="F15" s="99" t="s">
        <v>6</v>
      </c>
      <c r="G15" s="140" t="s">
        <v>24</v>
      </c>
      <c r="H15" s="99" t="s">
        <v>18</v>
      </c>
      <c r="I15" s="99" t="s">
        <v>9</v>
      </c>
      <c r="J15" s="102" t="s">
        <v>1470</v>
      </c>
      <c r="K15" s="100">
        <v>25343</v>
      </c>
      <c r="L15" s="140">
        <v>1969</v>
      </c>
      <c r="M15" s="140">
        <f t="shared" si="0"/>
        <v>50</v>
      </c>
      <c r="N15" s="99" t="s">
        <v>3</v>
      </c>
      <c r="O15" s="99" t="s">
        <v>1004</v>
      </c>
      <c r="P15" s="99" t="s">
        <v>1287</v>
      </c>
      <c r="Q15" s="99"/>
      <c r="R15" s="99" t="s">
        <v>23</v>
      </c>
    </row>
    <row r="16" spans="2:18" ht="25.5">
      <c r="B16" s="199"/>
      <c r="C16" s="199"/>
      <c r="D16" s="99">
        <v>9</v>
      </c>
      <c r="E16" s="99" t="s">
        <v>25</v>
      </c>
      <c r="F16" s="99" t="s">
        <v>21</v>
      </c>
      <c r="G16" s="140" t="s">
        <v>27</v>
      </c>
      <c r="H16" s="99" t="s">
        <v>1</v>
      </c>
      <c r="I16" s="99" t="s">
        <v>9</v>
      </c>
      <c r="J16" s="102" t="s">
        <v>993</v>
      </c>
      <c r="K16" s="100">
        <v>25203</v>
      </c>
      <c r="L16" s="140">
        <v>1968</v>
      </c>
      <c r="M16" s="140">
        <f t="shared" si="0"/>
        <v>51</v>
      </c>
      <c r="N16" s="99" t="s">
        <v>3</v>
      </c>
      <c r="O16" s="99" t="s">
        <v>1004</v>
      </c>
      <c r="P16" s="99" t="s">
        <v>1287</v>
      </c>
      <c r="Q16" s="99"/>
      <c r="R16" s="99" t="s">
        <v>1276</v>
      </c>
    </row>
    <row r="17" spans="2:18" ht="25.5">
      <c r="B17" s="199"/>
      <c r="C17" s="199"/>
      <c r="D17" s="99">
        <v>10</v>
      </c>
      <c r="E17" s="99" t="s">
        <v>28</v>
      </c>
      <c r="F17" s="99" t="s">
        <v>12</v>
      </c>
      <c r="G17" s="140" t="s">
        <v>30</v>
      </c>
      <c r="H17" s="99" t="s">
        <v>1</v>
      </c>
      <c r="I17" s="99" t="s">
        <v>15</v>
      </c>
      <c r="J17" s="102" t="s">
        <v>1072</v>
      </c>
      <c r="K17" s="100">
        <v>32603</v>
      </c>
      <c r="L17" s="140">
        <v>1989</v>
      </c>
      <c r="M17" s="140">
        <f t="shared" si="0"/>
        <v>30</v>
      </c>
      <c r="N17" s="99" t="s">
        <v>3</v>
      </c>
      <c r="O17" s="99" t="s">
        <v>1004</v>
      </c>
      <c r="P17" s="99" t="s">
        <v>1287</v>
      </c>
      <c r="Q17" s="99"/>
      <c r="R17" s="99" t="s">
        <v>1309</v>
      </c>
    </row>
    <row r="18" spans="2:18" ht="25.5">
      <c r="B18" s="199"/>
      <c r="C18" s="199"/>
      <c r="D18" s="99">
        <v>11</v>
      </c>
      <c r="E18" s="99" t="s">
        <v>31</v>
      </c>
      <c r="F18" s="99" t="s">
        <v>12</v>
      </c>
      <c r="G18" s="140" t="s">
        <v>32</v>
      </c>
      <c r="H18" s="99" t="s">
        <v>1</v>
      </c>
      <c r="I18" s="99" t="s">
        <v>15</v>
      </c>
      <c r="J18" s="102" t="s">
        <v>1471</v>
      </c>
      <c r="K18" s="100">
        <v>33831</v>
      </c>
      <c r="L18" s="140">
        <v>1992</v>
      </c>
      <c r="M18" s="140">
        <f t="shared" si="0"/>
        <v>27</v>
      </c>
      <c r="N18" s="99" t="s">
        <v>3</v>
      </c>
      <c r="O18" s="99" t="s">
        <v>1004</v>
      </c>
      <c r="P18" s="99" t="s">
        <v>1287</v>
      </c>
      <c r="Q18" s="99"/>
      <c r="R18" s="99" t="s">
        <v>1309</v>
      </c>
    </row>
    <row r="19" spans="2:18" ht="25.5">
      <c r="B19" s="199"/>
      <c r="C19" s="199"/>
      <c r="D19" s="99">
        <v>12</v>
      </c>
      <c r="E19" s="99" t="s">
        <v>33</v>
      </c>
      <c r="F19" s="99" t="s">
        <v>12</v>
      </c>
      <c r="G19" s="140" t="s">
        <v>34</v>
      </c>
      <c r="H19" s="99" t="s">
        <v>1</v>
      </c>
      <c r="I19" s="99" t="s">
        <v>15</v>
      </c>
      <c r="J19" s="102" t="s">
        <v>1471</v>
      </c>
      <c r="K19" s="100">
        <v>35093</v>
      </c>
      <c r="L19" s="140">
        <v>1996</v>
      </c>
      <c r="M19" s="140">
        <f t="shared" si="0"/>
        <v>23</v>
      </c>
      <c r="N19" s="99" t="s">
        <v>3</v>
      </c>
      <c r="O19" s="99" t="s">
        <v>1004</v>
      </c>
      <c r="P19" s="99" t="s">
        <v>1273</v>
      </c>
      <c r="Q19" s="99"/>
      <c r="R19" s="99" t="s">
        <v>1309</v>
      </c>
    </row>
    <row r="20" spans="2:18" ht="25.5">
      <c r="B20" s="199"/>
      <c r="C20" s="199"/>
      <c r="D20" s="99">
        <v>13</v>
      </c>
      <c r="E20" s="99" t="s">
        <v>35</v>
      </c>
      <c r="F20" s="99" t="s">
        <v>12</v>
      </c>
      <c r="G20" s="140" t="s">
        <v>1469</v>
      </c>
      <c r="H20" s="99" t="s">
        <v>1</v>
      </c>
      <c r="I20" s="99" t="s">
        <v>15</v>
      </c>
      <c r="J20" s="102" t="s">
        <v>993</v>
      </c>
      <c r="K20" s="100">
        <v>38248</v>
      </c>
      <c r="L20" s="140">
        <v>2004</v>
      </c>
      <c r="M20" s="140">
        <f t="shared" si="0"/>
        <v>15</v>
      </c>
      <c r="N20" s="99" t="s">
        <v>3</v>
      </c>
      <c r="O20" s="99" t="s">
        <v>1004</v>
      </c>
      <c r="P20" s="99" t="s">
        <v>1274</v>
      </c>
      <c r="Q20" s="99"/>
      <c r="R20" s="99" t="s">
        <v>1309</v>
      </c>
    </row>
    <row r="21" spans="2:18" ht="25.5">
      <c r="B21" s="199"/>
      <c r="C21" s="199"/>
      <c r="D21" s="99">
        <v>14</v>
      </c>
      <c r="E21" s="99" t="s">
        <v>36</v>
      </c>
      <c r="F21" s="99" t="s">
        <v>12</v>
      </c>
      <c r="G21" s="140" t="s">
        <v>37</v>
      </c>
      <c r="H21" s="99" t="s">
        <v>1</v>
      </c>
      <c r="I21" s="99" t="s">
        <v>15</v>
      </c>
      <c r="J21" s="102" t="s">
        <v>993</v>
      </c>
      <c r="K21" s="100">
        <v>38824</v>
      </c>
      <c r="L21" s="140">
        <v>2006</v>
      </c>
      <c r="M21" s="140">
        <f t="shared" si="0"/>
        <v>13</v>
      </c>
      <c r="N21" s="99" t="s">
        <v>3</v>
      </c>
      <c r="O21" s="99" t="s">
        <v>1004</v>
      </c>
      <c r="P21" s="99" t="s">
        <v>1274</v>
      </c>
      <c r="Q21" s="99"/>
      <c r="R21" s="99" t="s">
        <v>1309</v>
      </c>
    </row>
    <row r="22" spans="2:18" ht="25.5">
      <c r="B22" s="199">
        <v>4</v>
      </c>
      <c r="C22" s="202" t="s">
        <v>1531</v>
      </c>
      <c r="D22" s="99">
        <v>15</v>
      </c>
      <c r="E22" s="99" t="s">
        <v>38</v>
      </c>
      <c r="F22" s="99" t="s">
        <v>6</v>
      </c>
      <c r="G22" s="140" t="s">
        <v>40</v>
      </c>
      <c r="H22" s="99" t="s">
        <v>18</v>
      </c>
      <c r="I22" s="99" t="s">
        <v>9</v>
      </c>
      <c r="J22" s="102" t="s">
        <v>1016</v>
      </c>
      <c r="K22" s="100">
        <v>28855</v>
      </c>
      <c r="L22" s="101" t="s">
        <v>1006</v>
      </c>
      <c r="M22" s="140">
        <f t="shared" si="0"/>
        <v>41</v>
      </c>
      <c r="N22" s="99" t="s">
        <v>3</v>
      </c>
      <c r="O22" s="99" t="s">
        <v>1004</v>
      </c>
      <c r="P22" s="99" t="s">
        <v>1272</v>
      </c>
      <c r="Q22" s="99"/>
      <c r="R22" s="99" t="s">
        <v>23</v>
      </c>
    </row>
    <row r="23" spans="2:18">
      <c r="B23" s="199"/>
      <c r="C23" s="199"/>
      <c r="D23" s="99">
        <v>16</v>
      </c>
      <c r="E23" s="99" t="s">
        <v>41</v>
      </c>
      <c r="F23" s="99" t="s">
        <v>21</v>
      </c>
      <c r="G23" s="140" t="s">
        <v>42</v>
      </c>
      <c r="H23" s="99" t="s">
        <v>1</v>
      </c>
      <c r="I23" s="99" t="s">
        <v>9</v>
      </c>
      <c r="J23" s="102" t="s">
        <v>1071</v>
      </c>
      <c r="K23" s="100">
        <v>33332</v>
      </c>
      <c r="L23" s="101" t="s">
        <v>1047</v>
      </c>
      <c r="M23" s="140">
        <f t="shared" si="0"/>
        <v>28</v>
      </c>
      <c r="N23" s="99" t="s">
        <v>3</v>
      </c>
      <c r="O23" s="99" t="s">
        <v>1004</v>
      </c>
      <c r="P23" s="99" t="s">
        <v>1273</v>
      </c>
      <c r="Q23" s="99"/>
      <c r="R23" s="99" t="s">
        <v>1015</v>
      </c>
    </row>
    <row r="24" spans="2:18" ht="38.25">
      <c r="B24" s="199"/>
      <c r="C24" s="199"/>
      <c r="D24" s="99">
        <v>17</v>
      </c>
      <c r="E24" s="99" t="s">
        <v>43</v>
      </c>
      <c r="F24" s="99" t="s">
        <v>12</v>
      </c>
      <c r="G24" s="101" t="s">
        <v>1532</v>
      </c>
      <c r="H24" s="99" t="s">
        <v>18</v>
      </c>
      <c r="I24" s="99" t="s">
        <v>15</v>
      </c>
      <c r="J24" s="102" t="s">
        <v>1016</v>
      </c>
      <c r="K24" s="100">
        <v>39662</v>
      </c>
      <c r="L24" s="101" t="s">
        <v>1008</v>
      </c>
      <c r="M24" s="140">
        <f t="shared" si="0"/>
        <v>11</v>
      </c>
      <c r="N24" s="99" t="s">
        <v>3</v>
      </c>
      <c r="O24" s="99" t="s">
        <v>1004</v>
      </c>
      <c r="P24" s="99" t="s">
        <v>1288</v>
      </c>
      <c r="Q24" s="99"/>
      <c r="R24" s="99" t="s">
        <v>1277</v>
      </c>
    </row>
    <row r="25" spans="2:18" ht="25.5">
      <c r="B25" s="199"/>
      <c r="C25" s="199"/>
      <c r="D25" s="99">
        <v>18</v>
      </c>
      <c r="E25" s="99" t="s">
        <v>1070</v>
      </c>
      <c r="F25" s="99" t="s">
        <v>12</v>
      </c>
      <c r="G25" s="101" t="s">
        <v>1533</v>
      </c>
      <c r="H25" s="99" t="s">
        <v>18</v>
      </c>
      <c r="I25" s="99" t="s">
        <v>15</v>
      </c>
      <c r="J25" s="102" t="s">
        <v>1016</v>
      </c>
      <c r="K25" s="100">
        <v>42311</v>
      </c>
      <c r="L25" s="101" t="s">
        <v>1024</v>
      </c>
      <c r="M25" s="140">
        <f t="shared" si="0"/>
        <v>4</v>
      </c>
      <c r="N25" s="99" t="s">
        <v>3</v>
      </c>
      <c r="O25" s="99" t="s">
        <v>1004</v>
      </c>
      <c r="P25" s="99" t="s">
        <v>1288</v>
      </c>
      <c r="Q25" s="99"/>
      <c r="R25" s="99" t="s">
        <v>1277</v>
      </c>
    </row>
    <row r="26" spans="2:18" ht="25.5">
      <c r="B26" s="199">
        <v>5</v>
      </c>
      <c r="C26" s="199" t="s">
        <v>1423</v>
      </c>
      <c r="D26" s="99">
        <v>19</v>
      </c>
      <c r="E26" s="99" t="s">
        <v>44</v>
      </c>
      <c r="F26" s="99" t="s">
        <v>6</v>
      </c>
      <c r="G26" s="140" t="s">
        <v>1424</v>
      </c>
      <c r="H26" s="99" t="s">
        <v>18</v>
      </c>
      <c r="I26" s="99" t="s">
        <v>9</v>
      </c>
      <c r="J26" s="102" t="s">
        <v>1016</v>
      </c>
      <c r="K26" s="100">
        <v>21002</v>
      </c>
      <c r="L26" s="140">
        <v>1957</v>
      </c>
      <c r="M26" s="140">
        <f t="shared" si="0"/>
        <v>62</v>
      </c>
      <c r="N26" s="99" t="s">
        <v>3</v>
      </c>
      <c r="O26" s="99" t="s">
        <v>1004</v>
      </c>
      <c r="P26" s="99" t="s">
        <v>1288</v>
      </c>
      <c r="Q26" s="99"/>
      <c r="R26" s="99" t="s">
        <v>1032</v>
      </c>
    </row>
    <row r="27" spans="2:18" ht="25.5">
      <c r="B27" s="199"/>
      <c r="C27" s="199"/>
      <c r="D27" s="99">
        <v>20</v>
      </c>
      <c r="E27" s="99" t="s">
        <v>680</v>
      </c>
      <c r="F27" s="99" t="s">
        <v>21</v>
      </c>
      <c r="G27" s="140" t="s">
        <v>1425</v>
      </c>
      <c r="H27" s="99" t="s">
        <v>1</v>
      </c>
      <c r="I27" s="99" t="s">
        <v>9</v>
      </c>
      <c r="J27" s="102" t="s">
        <v>1016</v>
      </c>
      <c r="K27" s="100">
        <v>22098</v>
      </c>
      <c r="L27" s="140">
        <v>1960</v>
      </c>
      <c r="M27" s="140">
        <f t="shared" si="0"/>
        <v>59</v>
      </c>
      <c r="N27" s="99" t="s">
        <v>3</v>
      </c>
      <c r="O27" s="99" t="s">
        <v>1004</v>
      </c>
      <c r="P27" s="99" t="s">
        <v>1288</v>
      </c>
      <c r="Q27" s="99"/>
      <c r="R27" s="99" t="s">
        <v>1276</v>
      </c>
    </row>
    <row r="28" spans="2:18">
      <c r="B28" s="199">
        <v>6</v>
      </c>
      <c r="C28" s="202" t="s">
        <v>1458</v>
      </c>
      <c r="D28" s="99">
        <v>21</v>
      </c>
      <c r="E28" s="99" t="s">
        <v>46</v>
      </c>
      <c r="F28" s="99" t="s">
        <v>6</v>
      </c>
      <c r="G28" s="101" t="s">
        <v>1460</v>
      </c>
      <c r="H28" s="99" t="s">
        <v>18</v>
      </c>
      <c r="I28" s="99" t="s">
        <v>9</v>
      </c>
      <c r="J28" s="102" t="s">
        <v>993</v>
      </c>
      <c r="K28" s="100">
        <v>31985</v>
      </c>
      <c r="L28" s="101">
        <v>1987</v>
      </c>
      <c r="M28" s="140">
        <f t="shared" si="0"/>
        <v>32</v>
      </c>
      <c r="N28" s="99" t="s">
        <v>3</v>
      </c>
      <c r="O28" s="99" t="s">
        <v>1004</v>
      </c>
      <c r="P28" s="99" t="s">
        <v>1272</v>
      </c>
      <c r="Q28" s="99"/>
      <c r="R28" s="99" t="s">
        <v>23</v>
      </c>
    </row>
    <row r="29" spans="2:18" ht="25.5">
      <c r="B29" s="199"/>
      <c r="C29" s="202"/>
      <c r="D29" s="99">
        <v>22</v>
      </c>
      <c r="E29" s="99" t="s">
        <v>47</v>
      </c>
      <c r="F29" s="99" t="s">
        <v>21</v>
      </c>
      <c r="G29" s="101" t="s">
        <v>1463</v>
      </c>
      <c r="H29" s="99" t="s">
        <v>1</v>
      </c>
      <c r="I29" s="99" t="s">
        <v>9</v>
      </c>
      <c r="J29" s="102" t="s">
        <v>993</v>
      </c>
      <c r="K29" s="100">
        <v>31907</v>
      </c>
      <c r="L29" s="101" t="s">
        <v>991</v>
      </c>
      <c r="M29" s="140">
        <f t="shared" si="0"/>
        <v>32</v>
      </c>
      <c r="N29" s="99" t="s">
        <v>3</v>
      </c>
      <c r="O29" s="99" t="s">
        <v>1004</v>
      </c>
      <c r="P29" s="99" t="s">
        <v>1287</v>
      </c>
      <c r="Q29" s="99"/>
      <c r="R29" s="99" t="s">
        <v>23</v>
      </c>
    </row>
    <row r="30" spans="2:18" ht="25.5">
      <c r="B30" s="199"/>
      <c r="C30" s="202"/>
      <c r="D30" s="99">
        <v>23</v>
      </c>
      <c r="E30" s="99" t="s">
        <v>48</v>
      </c>
      <c r="F30" s="99" t="s">
        <v>12</v>
      </c>
      <c r="G30" s="101" t="s">
        <v>1461</v>
      </c>
      <c r="H30" s="99" t="s">
        <v>18</v>
      </c>
      <c r="I30" s="99" t="s">
        <v>15</v>
      </c>
      <c r="J30" s="102" t="s">
        <v>993</v>
      </c>
      <c r="K30" s="100">
        <v>39987</v>
      </c>
      <c r="L30" s="101" t="s">
        <v>992</v>
      </c>
      <c r="M30" s="140">
        <f t="shared" si="0"/>
        <v>10</v>
      </c>
      <c r="N30" s="99" t="s">
        <v>3</v>
      </c>
      <c r="O30" s="99" t="s">
        <v>1004</v>
      </c>
      <c r="P30" s="99" t="s">
        <v>1288</v>
      </c>
      <c r="Q30" s="99"/>
      <c r="R30" s="99" t="s">
        <v>1277</v>
      </c>
    </row>
    <row r="31" spans="2:18" ht="25.5">
      <c r="B31" s="199"/>
      <c r="C31" s="202"/>
      <c r="D31" s="99">
        <v>24</v>
      </c>
      <c r="E31" s="99" t="s">
        <v>1459</v>
      </c>
      <c r="F31" s="99" t="s">
        <v>12</v>
      </c>
      <c r="G31" s="101" t="s">
        <v>1462</v>
      </c>
      <c r="H31" s="99" t="s">
        <v>1</v>
      </c>
      <c r="I31" s="99" t="s">
        <v>15</v>
      </c>
      <c r="J31" s="102" t="s">
        <v>993</v>
      </c>
      <c r="K31" s="100">
        <v>43313</v>
      </c>
      <c r="L31" s="101">
        <v>2018</v>
      </c>
      <c r="M31" s="140">
        <f t="shared" si="0"/>
        <v>1</v>
      </c>
      <c r="N31" s="99" t="s">
        <v>3</v>
      </c>
      <c r="O31" s="99" t="s">
        <v>1004</v>
      </c>
      <c r="P31" s="99" t="s">
        <v>1288</v>
      </c>
      <c r="Q31" s="99"/>
      <c r="R31" s="99" t="s">
        <v>1277</v>
      </c>
    </row>
    <row r="32" spans="2:18">
      <c r="B32" s="199">
        <v>7</v>
      </c>
      <c r="C32" s="202" t="s">
        <v>1383</v>
      </c>
      <c r="D32" s="99">
        <v>25</v>
      </c>
      <c r="E32" s="99" t="s">
        <v>49</v>
      </c>
      <c r="F32" s="99" t="s">
        <v>6</v>
      </c>
      <c r="G32" s="101" t="s">
        <v>1387</v>
      </c>
      <c r="H32" s="99" t="s">
        <v>18</v>
      </c>
      <c r="I32" s="99" t="s">
        <v>9</v>
      </c>
      <c r="J32" s="102" t="s">
        <v>1062</v>
      </c>
      <c r="K32" s="100">
        <v>25816</v>
      </c>
      <c r="L32" s="101" t="s">
        <v>1018</v>
      </c>
      <c r="M32" s="140">
        <f t="shared" si="0"/>
        <v>49</v>
      </c>
      <c r="N32" s="99" t="s">
        <v>3</v>
      </c>
      <c r="O32" s="99" t="s">
        <v>1004</v>
      </c>
      <c r="P32" s="99" t="s">
        <v>1287</v>
      </c>
      <c r="Q32" s="99"/>
      <c r="R32" s="99" t="s">
        <v>1064</v>
      </c>
    </row>
    <row r="33" spans="2:18" ht="25.5">
      <c r="B33" s="199"/>
      <c r="C33" s="202"/>
      <c r="D33" s="99">
        <v>26</v>
      </c>
      <c r="E33" s="99" t="s">
        <v>50</v>
      </c>
      <c r="F33" s="99" t="s">
        <v>21</v>
      </c>
      <c r="G33" s="101" t="s">
        <v>1388</v>
      </c>
      <c r="H33" s="99" t="s">
        <v>1</v>
      </c>
      <c r="I33" s="99" t="s">
        <v>9</v>
      </c>
      <c r="J33" s="102" t="s">
        <v>993</v>
      </c>
      <c r="K33" s="100">
        <v>27759</v>
      </c>
      <c r="L33" s="101" t="s">
        <v>1053</v>
      </c>
      <c r="M33" s="140">
        <f t="shared" si="0"/>
        <v>44</v>
      </c>
      <c r="N33" s="99" t="s">
        <v>3</v>
      </c>
      <c r="O33" s="99" t="s">
        <v>1004</v>
      </c>
      <c r="P33" s="99" t="s">
        <v>1273</v>
      </c>
      <c r="Q33" s="99"/>
      <c r="R33" s="99" t="s">
        <v>1276</v>
      </c>
    </row>
    <row r="34" spans="2:18" ht="38.25">
      <c r="B34" s="199"/>
      <c r="C34" s="202"/>
      <c r="D34" s="99">
        <v>27</v>
      </c>
      <c r="E34" s="99" t="s">
        <v>1384</v>
      </c>
      <c r="F34" s="99" t="s">
        <v>12</v>
      </c>
      <c r="G34" s="101" t="s">
        <v>1389</v>
      </c>
      <c r="H34" s="99" t="s">
        <v>18</v>
      </c>
      <c r="I34" s="99" t="s">
        <v>15</v>
      </c>
      <c r="J34" s="102" t="s">
        <v>1063</v>
      </c>
      <c r="K34" s="100">
        <v>38593</v>
      </c>
      <c r="L34" s="101" t="s">
        <v>1036</v>
      </c>
      <c r="M34" s="140">
        <f t="shared" si="0"/>
        <v>14</v>
      </c>
      <c r="N34" s="99" t="s">
        <v>3</v>
      </c>
      <c r="O34" s="99" t="s">
        <v>1004</v>
      </c>
      <c r="P34" s="99" t="s">
        <v>1272</v>
      </c>
      <c r="Q34" s="99"/>
      <c r="R34" s="99" t="s">
        <v>1309</v>
      </c>
    </row>
    <row r="35" spans="2:18" ht="25.5">
      <c r="B35" s="199"/>
      <c r="C35" s="202"/>
      <c r="D35" s="99">
        <v>28</v>
      </c>
      <c r="E35" s="99" t="s">
        <v>1385</v>
      </c>
      <c r="F35" s="99" t="s">
        <v>12</v>
      </c>
      <c r="G35" s="101" t="s">
        <v>1390</v>
      </c>
      <c r="H35" s="99" t="s">
        <v>18</v>
      </c>
      <c r="I35" s="99" t="s">
        <v>15</v>
      </c>
      <c r="J35" s="102" t="s">
        <v>1063</v>
      </c>
      <c r="K35" s="100">
        <v>39692</v>
      </c>
      <c r="L35" s="101" t="s">
        <v>1008</v>
      </c>
      <c r="M35" s="140">
        <f t="shared" si="0"/>
        <v>11</v>
      </c>
      <c r="N35" s="99" t="s">
        <v>3</v>
      </c>
      <c r="O35" s="99" t="s">
        <v>1004</v>
      </c>
      <c r="P35" s="99" t="s">
        <v>1274</v>
      </c>
      <c r="Q35" s="99"/>
      <c r="R35" s="99" t="s">
        <v>1309</v>
      </c>
    </row>
    <row r="36" spans="2:18" ht="25.5">
      <c r="B36" s="199"/>
      <c r="C36" s="202"/>
      <c r="D36" s="99">
        <v>29</v>
      </c>
      <c r="E36" s="99" t="s">
        <v>1386</v>
      </c>
      <c r="F36" s="99" t="s">
        <v>12</v>
      </c>
      <c r="G36" s="101" t="s">
        <v>1391</v>
      </c>
      <c r="H36" s="99" t="s">
        <v>18</v>
      </c>
      <c r="I36" s="99" t="s">
        <v>15</v>
      </c>
      <c r="J36" s="102" t="s">
        <v>993</v>
      </c>
      <c r="K36" s="100">
        <v>42164</v>
      </c>
      <c r="L36" s="101" t="s">
        <v>1024</v>
      </c>
      <c r="M36" s="140">
        <f t="shared" si="0"/>
        <v>4</v>
      </c>
      <c r="N36" s="99" t="s">
        <v>3</v>
      </c>
      <c r="O36" s="99" t="s">
        <v>1004</v>
      </c>
      <c r="P36" s="99" t="s">
        <v>1288</v>
      </c>
      <c r="Q36" s="99"/>
      <c r="R36" s="99" t="s">
        <v>1277</v>
      </c>
    </row>
    <row r="37" spans="2:18">
      <c r="B37" s="199">
        <v>8</v>
      </c>
      <c r="C37" s="199" t="s">
        <v>1524</v>
      </c>
      <c r="D37" s="99">
        <v>30</v>
      </c>
      <c r="E37" s="99" t="s">
        <v>51</v>
      </c>
      <c r="F37" s="99" t="s">
        <v>6</v>
      </c>
      <c r="G37" s="140" t="s">
        <v>1527</v>
      </c>
      <c r="H37" s="99" t="s">
        <v>18</v>
      </c>
      <c r="I37" s="99" t="s">
        <v>9</v>
      </c>
      <c r="J37" s="102" t="s">
        <v>993</v>
      </c>
      <c r="K37" s="100">
        <v>30864</v>
      </c>
      <c r="L37" s="140">
        <v>1984</v>
      </c>
      <c r="M37" s="140">
        <f t="shared" si="0"/>
        <v>35</v>
      </c>
      <c r="N37" s="99" t="s">
        <v>3</v>
      </c>
      <c r="O37" s="99" t="s">
        <v>1004</v>
      </c>
      <c r="P37" s="99" t="s">
        <v>1272</v>
      </c>
      <c r="Q37" s="99"/>
      <c r="R37" s="99" t="s">
        <v>1015</v>
      </c>
    </row>
    <row r="38" spans="2:18" ht="25.5">
      <c r="B38" s="199"/>
      <c r="C38" s="199"/>
      <c r="D38" s="99">
        <v>31</v>
      </c>
      <c r="E38" s="99" t="s">
        <v>52</v>
      </c>
      <c r="F38" s="99" t="s">
        <v>21</v>
      </c>
      <c r="G38" s="140" t="s">
        <v>1528</v>
      </c>
      <c r="H38" s="99" t="s">
        <v>1</v>
      </c>
      <c r="I38" s="99" t="s">
        <v>9</v>
      </c>
      <c r="J38" s="102" t="s">
        <v>1045</v>
      </c>
      <c r="K38" s="100">
        <v>32690</v>
      </c>
      <c r="L38" s="140">
        <v>1989</v>
      </c>
      <c r="M38" s="140">
        <f t="shared" si="0"/>
        <v>30</v>
      </c>
      <c r="N38" s="99" t="s">
        <v>3</v>
      </c>
      <c r="O38" s="99" t="s">
        <v>1004</v>
      </c>
      <c r="P38" s="99" t="s">
        <v>1273</v>
      </c>
      <c r="Q38" s="99"/>
      <c r="R38" s="99" t="s">
        <v>1276</v>
      </c>
    </row>
    <row r="39" spans="2:18" ht="25.5">
      <c r="B39" s="199"/>
      <c r="C39" s="199"/>
      <c r="D39" s="99">
        <v>32</v>
      </c>
      <c r="E39" s="99" t="s">
        <v>1525</v>
      </c>
      <c r="F39" s="99" t="s">
        <v>12</v>
      </c>
      <c r="G39" s="140" t="s">
        <v>1529</v>
      </c>
      <c r="H39" s="99" t="s">
        <v>1</v>
      </c>
      <c r="I39" s="99" t="s">
        <v>15</v>
      </c>
      <c r="J39" s="102" t="s">
        <v>993</v>
      </c>
      <c r="K39" s="100">
        <v>39586</v>
      </c>
      <c r="L39" s="140">
        <v>2008</v>
      </c>
      <c r="M39" s="140">
        <f t="shared" si="0"/>
        <v>11</v>
      </c>
      <c r="N39" s="99" t="s">
        <v>3</v>
      </c>
      <c r="O39" s="99" t="s">
        <v>1004</v>
      </c>
      <c r="P39" s="99" t="s">
        <v>1288</v>
      </c>
      <c r="Q39" s="99"/>
      <c r="R39" s="99" t="s">
        <v>1277</v>
      </c>
    </row>
    <row r="40" spans="2:18" ht="25.5">
      <c r="B40" s="199"/>
      <c r="C40" s="199"/>
      <c r="D40" s="99">
        <v>33</v>
      </c>
      <c r="E40" s="99" t="s">
        <v>1526</v>
      </c>
      <c r="F40" s="99" t="s">
        <v>12</v>
      </c>
      <c r="G40" s="140" t="s">
        <v>1530</v>
      </c>
      <c r="H40" s="99" t="s">
        <v>18</v>
      </c>
      <c r="I40" s="99" t="s">
        <v>15</v>
      </c>
      <c r="J40" s="102" t="s">
        <v>1045</v>
      </c>
      <c r="K40" s="100">
        <v>40830</v>
      </c>
      <c r="L40" s="140">
        <v>2011</v>
      </c>
      <c r="M40" s="140">
        <f t="shared" si="0"/>
        <v>8</v>
      </c>
      <c r="N40" s="99" t="s">
        <v>3</v>
      </c>
      <c r="O40" s="99" t="s">
        <v>1004</v>
      </c>
      <c r="P40" s="99" t="s">
        <v>1288</v>
      </c>
      <c r="Q40" s="99"/>
      <c r="R40" s="99" t="s">
        <v>1277</v>
      </c>
    </row>
    <row r="41" spans="2:18" ht="25.5">
      <c r="B41" s="203">
        <v>9</v>
      </c>
      <c r="C41" s="203" t="s">
        <v>1427</v>
      </c>
      <c r="D41" s="99">
        <v>34</v>
      </c>
      <c r="E41" s="99" t="s">
        <v>1428</v>
      </c>
      <c r="F41" s="135" t="s">
        <v>6</v>
      </c>
      <c r="G41" s="90" t="s">
        <v>1432</v>
      </c>
      <c r="H41" s="135" t="s">
        <v>18</v>
      </c>
      <c r="I41" s="135" t="s">
        <v>9</v>
      </c>
      <c r="J41" s="102" t="s">
        <v>993</v>
      </c>
      <c r="K41" s="100">
        <v>27942</v>
      </c>
      <c r="L41" s="90">
        <v>1976</v>
      </c>
      <c r="M41" s="90">
        <f t="shared" si="0"/>
        <v>43</v>
      </c>
      <c r="N41" s="135" t="s">
        <v>3</v>
      </c>
      <c r="O41" s="135" t="s">
        <v>1004</v>
      </c>
      <c r="P41" s="99" t="s">
        <v>1272</v>
      </c>
      <c r="Q41" s="135"/>
      <c r="R41" s="99" t="s">
        <v>1032</v>
      </c>
    </row>
    <row r="42" spans="2:18" ht="25.5">
      <c r="B42" s="203"/>
      <c r="C42" s="203"/>
      <c r="D42" s="99">
        <v>35</v>
      </c>
      <c r="E42" s="99" t="s">
        <v>1429</v>
      </c>
      <c r="F42" s="135" t="s">
        <v>21</v>
      </c>
      <c r="G42" s="90" t="s">
        <v>1434</v>
      </c>
      <c r="H42" s="135" t="s">
        <v>1</v>
      </c>
      <c r="I42" s="135" t="s">
        <v>9</v>
      </c>
      <c r="J42" s="102" t="s">
        <v>1027</v>
      </c>
      <c r="K42" s="100">
        <v>27402</v>
      </c>
      <c r="L42" s="90">
        <v>1975</v>
      </c>
      <c r="M42" s="90">
        <f t="shared" si="0"/>
        <v>44</v>
      </c>
      <c r="N42" s="135" t="s">
        <v>3</v>
      </c>
      <c r="O42" s="135" t="s">
        <v>1004</v>
      </c>
      <c r="P42" s="99" t="s">
        <v>1273</v>
      </c>
      <c r="Q42" s="135"/>
      <c r="R42" s="99" t="s">
        <v>1276</v>
      </c>
    </row>
    <row r="43" spans="2:18" ht="25.5">
      <c r="B43" s="203"/>
      <c r="C43" s="203"/>
      <c r="D43" s="99">
        <v>36</v>
      </c>
      <c r="E43" s="99" t="s">
        <v>1430</v>
      </c>
      <c r="F43" s="135" t="s">
        <v>12</v>
      </c>
      <c r="G43" s="90" t="s">
        <v>1435</v>
      </c>
      <c r="H43" s="135" t="s">
        <v>1</v>
      </c>
      <c r="I43" s="135" t="s">
        <v>1011</v>
      </c>
      <c r="J43" s="102" t="s">
        <v>1016</v>
      </c>
      <c r="K43" s="100">
        <v>35829</v>
      </c>
      <c r="L43" s="90">
        <v>1998</v>
      </c>
      <c r="M43" s="90">
        <f t="shared" si="0"/>
        <v>21</v>
      </c>
      <c r="N43" s="135" t="s">
        <v>3</v>
      </c>
      <c r="O43" s="135" t="s">
        <v>1004</v>
      </c>
      <c r="P43" s="99" t="s">
        <v>1287</v>
      </c>
      <c r="Q43" s="135"/>
      <c r="R43" s="99" t="s">
        <v>1015</v>
      </c>
    </row>
    <row r="44" spans="2:18" ht="25.5">
      <c r="B44" s="203"/>
      <c r="C44" s="203"/>
      <c r="D44" s="99">
        <v>37</v>
      </c>
      <c r="E44" s="99" t="s">
        <v>1431</v>
      </c>
      <c r="F44" s="135" t="s">
        <v>12</v>
      </c>
      <c r="G44" s="90" t="s">
        <v>1436</v>
      </c>
      <c r="H44" s="135" t="s">
        <v>18</v>
      </c>
      <c r="I44" s="135" t="s">
        <v>1011</v>
      </c>
      <c r="J44" s="102" t="s">
        <v>993</v>
      </c>
      <c r="K44" s="100">
        <v>41110</v>
      </c>
      <c r="L44" s="90">
        <v>2012</v>
      </c>
      <c r="M44" s="90">
        <f t="shared" si="0"/>
        <v>7</v>
      </c>
      <c r="N44" s="135" t="s">
        <v>3</v>
      </c>
      <c r="O44" s="135" t="s">
        <v>1004</v>
      </c>
      <c r="P44" s="99" t="s">
        <v>1288</v>
      </c>
      <c r="Q44" s="135"/>
      <c r="R44" s="99" t="s">
        <v>1277</v>
      </c>
    </row>
    <row r="45" spans="2:18">
      <c r="B45" s="199">
        <v>10</v>
      </c>
      <c r="C45" s="199"/>
      <c r="D45" s="99">
        <v>38</v>
      </c>
      <c r="E45" s="99" t="s">
        <v>55</v>
      </c>
      <c r="F45" s="99" t="s">
        <v>6</v>
      </c>
      <c r="G45" s="140"/>
      <c r="H45" s="99" t="s">
        <v>18</v>
      </c>
      <c r="I45" s="99" t="s">
        <v>9</v>
      </c>
      <c r="J45" s="102"/>
      <c r="K45" s="100">
        <v>27626</v>
      </c>
      <c r="L45" s="140">
        <v>1975</v>
      </c>
      <c r="M45" s="140">
        <f t="shared" si="0"/>
        <v>44</v>
      </c>
      <c r="N45" s="99" t="s">
        <v>3</v>
      </c>
      <c r="O45" s="99"/>
      <c r="P45" s="99" t="s">
        <v>1272</v>
      </c>
      <c r="Q45" s="99"/>
      <c r="R45" s="99" t="s">
        <v>5</v>
      </c>
    </row>
    <row r="46" spans="2:18" ht="25.5">
      <c r="B46" s="199"/>
      <c r="C46" s="199"/>
      <c r="D46" s="99">
        <v>39</v>
      </c>
      <c r="E46" s="99" t="s">
        <v>56</v>
      </c>
      <c r="F46" s="99" t="s">
        <v>21</v>
      </c>
      <c r="G46" s="140"/>
      <c r="H46" s="99" t="s">
        <v>1</v>
      </c>
      <c r="I46" s="99" t="s">
        <v>9</v>
      </c>
      <c r="J46" s="102"/>
      <c r="K46" s="100">
        <v>32149</v>
      </c>
      <c r="L46" s="140">
        <v>1988</v>
      </c>
      <c r="M46" s="140">
        <f t="shared" si="0"/>
        <v>31</v>
      </c>
      <c r="N46" s="99" t="s">
        <v>3</v>
      </c>
      <c r="O46" s="99"/>
      <c r="P46" s="99" t="s">
        <v>1287</v>
      </c>
      <c r="Q46" s="99"/>
      <c r="R46" s="99" t="s">
        <v>5</v>
      </c>
    </row>
    <row r="47" spans="2:18" ht="25.5">
      <c r="B47" s="199">
        <v>11</v>
      </c>
      <c r="C47" s="202" t="s">
        <v>1472</v>
      </c>
      <c r="D47" s="99">
        <v>40</v>
      </c>
      <c r="E47" s="99" t="s">
        <v>58</v>
      </c>
      <c r="F47" s="99" t="s">
        <v>6</v>
      </c>
      <c r="G47" s="101" t="s">
        <v>1474</v>
      </c>
      <c r="H47" s="99" t="s">
        <v>18</v>
      </c>
      <c r="I47" s="99" t="s">
        <v>9</v>
      </c>
      <c r="J47" s="99" t="s">
        <v>1016</v>
      </c>
      <c r="K47" s="100">
        <v>27759</v>
      </c>
      <c r="L47" s="101" t="s">
        <v>1053</v>
      </c>
      <c r="M47" s="140">
        <f t="shared" ref="M47:M87" si="1">2019-L47</f>
        <v>44</v>
      </c>
      <c r="N47" s="99" t="s">
        <v>3</v>
      </c>
      <c r="O47" s="99" t="s">
        <v>1004</v>
      </c>
      <c r="P47" s="99" t="s">
        <v>1272</v>
      </c>
      <c r="Q47" s="99"/>
      <c r="R47" s="99" t="s">
        <v>23</v>
      </c>
    </row>
    <row r="48" spans="2:18">
      <c r="B48" s="199"/>
      <c r="C48" s="199"/>
      <c r="D48" s="99">
        <v>41</v>
      </c>
      <c r="E48" s="99" t="s">
        <v>59</v>
      </c>
      <c r="F48" s="99" t="s">
        <v>21</v>
      </c>
      <c r="G48" s="101" t="s">
        <v>1475</v>
      </c>
      <c r="H48" s="99" t="s">
        <v>1</v>
      </c>
      <c r="I48" s="99" t="s">
        <v>9</v>
      </c>
      <c r="J48" s="99" t="s">
        <v>1056</v>
      </c>
      <c r="K48" s="100">
        <v>27614</v>
      </c>
      <c r="L48" s="101" t="s">
        <v>1053</v>
      </c>
      <c r="M48" s="140">
        <f t="shared" si="1"/>
        <v>44</v>
      </c>
      <c r="N48" s="99" t="s">
        <v>3</v>
      </c>
      <c r="O48" s="99" t="s">
        <v>1004</v>
      </c>
      <c r="P48" s="99" t="s">
        <v>1272</v>
      </c>
      <c r="Q48" s="99"/>
      <c r="R48" s="99" t="s">
        <v>23</v>
      </c>
    </row>
    <row r="49" spans="2:46" ht="25.5">
      <c r="B49" s="199"/>
      <c r="C49" s="199"/>
      <c r="D49" s="99">
        <v>42</v>
      </c>
      <c r="E49" s="99" t="s">
        <v>1473</v>
      </c>
      <c r="F49" s="99" t="s">
        <v>12</v>
      </c>
      <c r="G49" s="101" t="s">
        <v>1476</v>
      </c>
      <c r="H49" s="99" t="s">
        <v>18</v>
      </c>
      <c r="I49" s="99" t="s">
        <v>15</v>
      </c>
      <c r="J49" s="99" t="s">
        <v>1016</v>
      </c>
      <c r="K49" s="100">
        <v>35206</v>
      </c>
      <c r="L49" s="101" t="s">
        <v>1054</v>
      </c>
      <c r="M49" s="140">
        <f t="shared" si="1"/>
        <v>23</v>
      </c>
      <c r="N49" s="99" t="s">
        <v>3</v>
      </c>
      <c r="O49" s="99" t="s">
        <v>1004</v>
      </c>
      <c r="P49" s="99" t="s">
        <v>1287</v>
      </c>
      <c r="Q49" s="99"/>
      <c r="R49" s="99" t="s">
        <v>1309</v>
      </c>
    </row>
    <row r="50" spans="2:46" ht="25.5">
      <c r="B50" s="199"/>
      <c r="C50" s="199"/>
      <c r="D50" s="99">
        <v>43</v>
      </c>
      <c r="E50" s="99" t="s">
        <v>60</v>
      </c>
      <c r="F50" s="99" t="s">
        <v>12</v>
      </c>
      <c r="G50" s="101" t="s">
        <v>1477</v>
      </c>
      <c r="H50" s="99" t="s">
        <v>1</v>
      </c>
      <c r="I50" s="99" t="s">
        <v>15</v>
      </c>
      <c r="J50" s="99" t="s">
        <v>1016</v>
      </c>
      <c r="K50" s="100">
        <v>36303</v>
      </c>
      <c r="L50" s="101" t="s">
        <v>1055</v>
      </c>
      <c r="M50" s="140">
        <f t="shared" si="1"/>
        <v>20</v>
      </c>
      <c r="N50" s="99" t="s">
        <v>3</v>
      </c>
      <c r="O50" s="99" t="s">
        <v>1004</v>
      </c>
      <c r="P50" s="99" t="s">
        <v>1272</v>
      </c>
      <c r="Q50" s="99"/>
      <c r="R50" s="99" t="s">
        <v>1309</v>
      </c>
    </row>
    <row r="51" spans="2:46" s="135" customFormat="1" ht="25.5">
      <c r="B51" s="199"/>
      <c r="C51" s="199"/>
      <c r="D51" s="99">
        <v>44</v>
      </c>
      <c r="E51" s="99" t="s">
        <v>1052</v>
      </c>
      <c r="F51" s="135" t="s">
        <v>12</v>
      </c>
      <c r="G51" s="92" t="s">
        <v>1478</v>
      </c>
      <c r="H51" s="135" t="s">
        <v>18</v>
      </c>
      <c r="I51" s="135" t="s">
        <v>15</v>
      </c>
      <c r="J51" s="99" t="s">
        <v>993</v>
      </c>
      <c r="K51" s="100">
        <v>43034</v>
      </c>
      <c r="L51" s="92" t="s">
        <v>1048</v>
      </c>
      <c r="M51" s="140">
        <f t="shared" si="1"/>
        <v>2</v>
      </c>
      <c r="N51" s="135" t="s">
        <v>3</v>
      </c>
      <c r="O51" s="135" t="s">
        <v>1004</v>
      </c>
      <c r="P51" s="99" t="s">
        <v>1288</v>
      </c>
      <c r="R51" s="99" t="s">
        <v>1277</v>
      </c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  <c r="AQ51" s="88"/>
      <c r="AR51" s="88"/>
      <c r="AS51" s="88"/>
      <c r="AT51" s="89"/>
    </row>
    <row r="52" spans="2:46">
      <c r="B52" s="195">
        <v>12</v>
      </c>
      <c r="C52" s="195"/>
      <c r="D52" s="99">
        <v>45</v>
      </c>
      <c r="E52" s="99" t="s">
        <v>61</v>
      </c>
      <c r="F52" s="99" t="s">
        <v>6</v>
      </c>
      <c r="G52" s="140" t="s">
        <v>63</v>
      </c>
      <c r="H52" s="99" t="s">
        <v>18</v>
      </c>
      <c r="I52" s="99" t="s">
        <v>9</v>
      </c>
      <c r="J52" s="102"/>
      <c r="K52" s="100">
        <v>30316</v>
      </c>
      <c r="L52" s="140">
        <v>1982</v>
      </c>
      <c r="M52" s="140">
        <f t="shared" si="1"/>
        <v>37</v>
      </c>
      <c r="N52" s="99" t="s">
        <v>3</v>
      </c>
      <c r="O52" s="99"/>
      <c r="P52" s="99" t="s">
        <v>1272</v>
      </c>
      <c r="Q52" s="99"/>
      <c r="R52" s="99" t="s">
        <v>23</v>
      </c>
    </row>
    <row r="53" spans="2:46">
      <c r="B53" s="198"/>
      <c r="C53" s="198"/>
      <c r="D53" s="99">
        <v>46</v>
      </c>
      <c r="E53" s="99" t="s">
        <v>64</v>
      </c>
      <c r="F53" s="99" t="s">
        <v>21</v>
      </c>
      <c r="G53" s="140" t="s">
        <v>65</v>
      </c>
      <c r="H53" s="99" t="s">
        <v>1</v>
      </c>
      <c r="I53" s="99" t="s">
        <v>9</v>
      </c>
      <c r="J53" s="102"/>
      <c r="K53" s="100">
        <v>28835</v>
      </c>
      <c r="L53" s="140">
        <v>1978</v>
      </c>
      <c r="M53" s="140">
        <f t="shared" si="1"/>
        <v>41</v>
      </c>
      <c r="N53" s="99" t="s">
        <v>3</v>
      </c>
      <c r="O53" s="99"/>
      <c r="P53" s="99" t="s">
        <v>1272</v>
      </c>
      <c r="Q53" s="99"/>
      <c r="R53" s="99" t="s">
        <v>5</v>
      </c>
    </row>
    <row r="54" spans="2:46" ht="25.5">
      <c r="B54" s="196"/>
      <c r="C54" s="196"/>
      <c r="D54" s="99">
        <v>47</v>
      </c>
      <c r="E54" s="99" t="s">
        <v>66</v>
      </c>
      <c r="F54" s="99" t="s">
        <v>12</v>
      </c>
      <c r="G54" s="140" t="s">
        <v>67</v>
      </c>
      <c r="H54" s="99" t="s">
        <v>1</v>
      </c>
      <c r="I54" s="99" t="s">
        <v>15</v>
      </c>
      <c r="J54" s="102"/>
      <c r="K54" s="100">
        <v>39097</v>
      </c>
      <c r="L54" s="140">
        <v>2007</v>
      </c>
      <c r="M54" s="140">
        <f t="shared" si="1"/>
        <v>12</v>
      </c>
      <c r="N54" s="99" t="s">
        <v>3</v>
      </c>
      <c r="O54" s="99"/>
      <c r="P54" s="99" t="s">
        <v>11</v>
      </c>
      <c r="Q54" s="99"/>
      <c r="R54" s="99" t="s">
        <v>11</v>
      </c>
    </row>
    <row r="55" spans="2:46">
      <c r="B55" s="199">
        <v>13</v>
      </c>
      <c r="C55" s="199" t="s">
        <v>1464</v>
      </c>
      <c r="D55" s="99">
        <v>48</v>
      </c>
      <c r="E55" s="99" t="s">
        <v>68</v>
      </c>
      <c r="F55" s="99" t="s">
        <v>6</v>
      </c>
      <c r="G55" s="140" t="s">
        <v>69</v>
      </c>
      <c r="H55" s="99" t="s">
        <v>18</v>
      </c>
      <c r="I55" s="99" t="s">
        <v>9</v>
      </c>
      <c r="J55" s="102" t="s">
        <v>993</v>
      </c>
      <c r="K55" s="100">
        <v>30147</v>
      </c>
      <c r="L55" s="101" t="s">
        <v>1039</v>
      </c>
      <c r="M55" s="140">
        <f t="shared" si="1"/>
        <v>37</v>
      </c>
      <c r="N55" s="99" t="s">
        <v>3</v>
      </c>
      <c r="O55" s="99" t="s">
        <v>1004</v>
      </c>
      <c r="P55" s="99" t="s">
        <v>1273</v>
      </c>
      <c r="Q55" s="99"/>
      <c r="R55" s="99" t="s">
        <v>23</v>
      </c>
    </row>
    <row r="56" spans="2:46" ht="25.5">
      <c r="B56" s="199"/>
      <c r="C56" s="199"/>
      <c r="D56" s="99">
        <v>49</v>
      </c>
      <c r="E56" s="99" t="s">
        <v>70</v>
      </c>
      <c r="F56" s="99" t="s">
        <v>21</v>
      </c>
      <c r="G56" s="140" t="s">
        <v>71</v>
      </c>
      <c r="H56" s="99" t="s">
        <v>1</v>
      </c>
      <c r="I56" s="99" t="s">
        <v>9</v>
      </c>
      <c r="J56" s="102" t="s">
        <v>1016</v>
      </c>
      <c r="K56" s="100">
        <v>32157</v>
      </c>
      <c r="L56" s="101" t="s">
        <v>1012</v>
      </c>
      <c r="M56" s="140">
        <f t="shared" si="1"/>
        <v>33</v>
      </c>
      <c r="N56" s="99" t="s">
        <v>3</v>
      </c>
      <c r="O56" s="99" t="s">
        <v>1004</v>
      </c>
      <c r="P56" s="99" t="s">
        <v>1273</v>
      </c>
      <c r="Q56" s="99"/>
      <c r="R56" s="99" t="s">
        <v>1276</v>
      </c>
    </row>
    <row r="57" spans="2:46" ht="25.5">
      <c r="B57" s="199"/>
      <c r="C57" s="199"/>
      <c r="D57" s="99">
        <v>50</v>
      </c>
      <c r="E57" s="99" t="s">
        <v>1079</v>
      </c>
      <c r="F57" s="99" t="s">
        <v>12</v>
      </c>
      <c r="G57" s="101" t="s">
        <v>1080</v>
      </c>
      <c r="H57" s="99" t="s">
        <v>1</v>
      </c>
      <c r="I57" s="99" t="s">
        <v>15</v>
      </c>
      <c r="J57" s="102" t="s">
        <v>993</v>
      </c>
      <c r="K57" s="100">
        <v>42662</v>
      </c>
      <c r="L57" s="140">
        <v>2016</v>
      </c>
      <c r="M57" s="140">
        <f t="shared" si="1"/>
        <v>3</v>
      </c>
      <c r="N57" s="99" t="s">
        <v>3</v>
      </c>
      <c r="O57" s="99" t="s">
        <v>1004</v>
      </c>
      <c r="P57" s="99" t="s">
        <v>1288</v>
      </c>
      <c r="Q57" s="99"/>
      <c r="R57" s="99" t="s">
        <v>1277</v>
      </c>
    </row>
    <row r="58" spans="2:46" ht="25.5">
      <c r="B58" s="195">
        <v>14</v>
      </c>
      <c r="C58" s="195" t="s">
        <v>1547</v>
      </c>
      <c r="D58" s="99">
        <v>51</v>
      </c>
      <c r="E58" s="99" t="s">
        <v>1059</v>
      </c>
      <c r="F58" s="99" t="s">
        <v>6</v>
      </c>
      <c r="G58" s="101" t="s">
        <v>1549</v>
      </c>
      <c r="H58" s="99" t="s">
        <v>18</v>
      </c>
      <c r="I58" s="99" t="s">
        <v>9</v>
      </c>
      <c r="J58" s="102" t="s">
        <v>1016</v>
      </c>
      <c r="K58" s="100">
        <v>25992</v>
      </c>
      <c r="L58" s="101" t="s">
        <v>1060</v>
      </c>
      <c r="M58" s="140">
        <f t="shared" si="1"/>
        <v>48</v>
      </c>
      <c r="N58" s="99" t="s">
        <v>3</v>
      </c>
      <c r="O58" s="99" t="s">
        <v>1004</v>
      </c>
      <c r="P58" s="99" t="s">
        <v>1273</v>
      </c>
      <c r="Q58" s="99"/>
      <c r="R58" s="99" t="s">
        <v>23</v>
      </c>
    </row>
    <row r="59" spans="2:46" ht="25.5">
      <c r="B59" s="198"/>
      <c r="C59" s="198"/>
      <c r="D59" s="99">
        <v>52</v>
      </c>
      <c r="E59" s="99" t="s">
        <v>72</v>
      </c>
      <c r="F59" s="99" t="s">
        <v>21</v>
      </c>
      <c r="G59" s="101" t="s">
        <v>1550</v>
      </c>
      <c r="H59" s="99" t="s">
        <v>1</v>
      </c>
      <c r="I59" s="99" t="s">
        <v>9</v>
      </c>
      <c r="J59" s="102" t="s">
        <v>1027</v>
      </c>
      <c r="K59" s="100">
        <v>28808</v>
      </c>
      <c r="L59" s="101" t="s">
        <v>1006</v>
      </c>
      <c r="M59" s="140">
        <f t="shared" si="1"/>
        <v>41</v>
      </c>
      <c r="N59" s="99" t="s">
        <v>3</v>
      </c>
      <c r="O59" s="99" t="s">
        <v>1004</v>
      </c>
      <c r="P59" s="99" t="s">
        <v>1273</v>
      </c>
      <c r="Q59" s="99"/>
      <c r="R59" s="99" t="s">
        <v>1032</v>
      </c>
    </row>
    <row r="60" spans="2:46" ht="25.5">
      <c r="B60" s="196"/>
      <c r="C60" s="196"/>
      <c r="D60" s="99">
        <v>53</v>
      </c>
      <c r="E60" s="99" t="s">
        <v>73</v>
      </c>
      <c r="F60" s="99" t="s">
        <v>12</v>
      </c>
      <c r="G60" s="101" t="s">
        <v>1552</v>
      </c>
      <c r="H60" s="99" t="s">
        <v>1</v>
      </c>
      <c r="I60" s="99" t="s">
        <v>15</v>
      </c>
      <c r="J60" s="102" t="s">
        <v>1016</v>
      </c>
      <c r="K60" s="100">
        <v>36383</v>
      </c>
      <c r="L60" s="101" t="s">
        <v>1055</v>
      </c>
      <c r="M60" s="140">
        <f t="shared" si="1"/>
        <v>20</v>
      </c>
      <c r="N60" s="99" t="s">
        <v>3</v>
      </c>
      <c r="O60" s="99" t="s">
        <v>1004</v>
      </c>
      <c r="P60" s="99" t="s">
        <v>1273</v>
      </c>
      <c r="Q60" s="99"/>
      <c r="R60" s="99" t="s">
        <v>1309</v>
      </c>
    </row>
    <row r="61" spans="2:46" ht="25.5">
      <c r="B61" s="199">
        <v>15</v>
      </c>
      <c r="C61" s="202" t="s">
        <v>1445</v>
      </c>
      <c r="D61" s="99">
        <v>54</v>
      </c>
      <c r="E61" s="99" t="s">
        <v>45</v>
      </c>
      <c r="F61" s="99" t="s">
        <v>6</v>
      </c>
      <c r="G61" s="101" t="s">
        <v>1446</v>
      </c>
      <c r="H61" s="99" t="s">
        <v>18</v>
      </c>
      <c r="I61" s="99" t="s">
        <v>9</v>
      </c>
      <c r="J61" s="102" t="s">
        <v>1016</v>
      </c>
      <c r="K61" s="100">
        <v>26664</v>
      </c>
      <c r="L61" s="101" t="s">
        <v>1001</v>
      </c>
      <c r="M61" s="140">
        <f t="shared" si="1"/>
        <v>47</v>
      </c>
      <c r="N61" s="99" t="s">
        <v>3</v>
      </c>
      <c r="O61" s="99" t="s">
        <v>1004</v>
      </c>
      <c r="P61" s="99" t="s">
        <v>1288</v>
      </c>
      <c r="Q61" s="99"/>
      <c r="R61" s="99" t="s">
        <v>1318</v>
      </c>
    </row>
    <row r="62" spans="2:46" ht="25.5">
      <c r="B62" s="199"/>
      <c r="C62" s="202"/>
      <c r="D62" s="99">
        <v>55</v>
      </c>
      <c r="E62" s="99" t="s">
        <v>75</v>
      </c>
      <c r="F62" s="99" t="s">
        <v>21</v>
      </c>
      <c r="G62" s="101" t="s">
        <v>1447</v>
      </c>
      <c r="H62" s="99" t="s">
        <v>1</v>
      </c>
      <c r="I62" s="99" t="s">
        <v>9</v>
      </c>
      <c r="J62" s="102" t="s">
        <v>1017</v>
      </c>
      <c r="K62" s="100">
        <v>25933</v>
      </c>
      <c r="L62" s="101" t="s">
        <v>1018</v>
      </c>
      <c r="M62" s="140">
        <f t="shared" si="1"/>
        <v>49</v>
      </c>
      <c r="N62" s="99" t="s">
        <v>3</v>
      </c>
      <c r="O62" s="99" t="s">
        <v>1004</v>
      </c>
      <c r="P62" s="99" t="s">
        <v>1288</v>
      </c>
      <c r="Q62" s="99"/>
      <c r="R62" s="99" t="s">
        <v>1276</v>
      </c>
    </row>
    <row r="63" spans="2:46" ht="25.5">
      <c r="B63" s="199"/>
      <c r="C63" s="202"/>
      <c r="D63" s="99">
        <v>56</v>
      </c>
      <c r="E63" s="99" t="s">
        <v>76</v>
      </c>
      <c r="F63" s="99" t="s">
        <v>12</v>
      </c>
      <c r="G63" s="101" t="s">
        <v>1448</v>
      </c>
      <c r="H63" s="99" t="s">
        <v>18</v>
      </c>
      <c r="I63" s="99" t="s">
        <v>15</v>
      </c>
      <c r="J63" s="102" t="s">
        <v>1016</v>
      </c>
      <c r="K63" s="100">
        <v>39236</v>
      </c>
      <c r="L63" s="101" t="s">
        <v>1019</v>
      </c>
      <c r="M63" s="140">
        <f t="shared" si="1"/>
        <v>12</v>
      </c>
      <c r="N63" s="99" t="s">
        <v>3</v>
      </c>
      <c r="O63" s="99" t="s">
        <v>1004</v>
      </c>
      <c r="P63" s="99" t="s">
        <v>1274</v>
      </c>
      <c r="Q63" s="99"/>
      <c r="R63" s="99" t="s">
        <v>1309</v>
      </c>
    </row>
    <row r="64" spans="2:46" ht="25.5">
      <c r="B64" s="199">
        <v>16</v>
      </c>
      <c r="C64" s="199" t="s">
        <v>1574</v>
      </c>
      <c r="D64" s="99">
        <v>57</v>
      </c>
      <c r="E64" s="99" t="s">
        <v>77</v>
      </c>
      <c r="F64" s="99" t="s">
        <v>6</v>
      </c>
      <c r="G64" s="140" t="s">
        <v>78</v>
      </c>
      <c r="H64" s="99" t="s">
        <v>18</v>
      </c>
      <c r="I64" s="99" t="s">
        <v>9</v>
      </c>
      <c r="J64" s="102" t="s">
        <v>993</v>
      </c>
      <c r="K64" s="100">
        <v>27759</v>
      </c>
      <c r="L64" s="140">
        <v>1975</v>
      </c>
      <c r="M64" s="140">
        <f t="shared" si="1"/>
        <v>44</v>
      </c>
      <c r="N64" s="99" t="s">
        <v>3</v>
      </c>
      <c r="O64" s="99" t="s">
        <v>1004</v>
      </c>
      <c r="P64" s="99" t="s">
        <v>1272</v>
      </c>
      <c r="Q64" s="99"/>
      <c r="R64" s="99" t="s">
        <v>1032</v>
      </c>
    </row>
    <row r="65" spans="2:18">
      <c r="B65" s="199"/>
      <c r="C65" s="199"/>
      <c r="D65" s="99">
        <v>58</v>
      </c>
      <c r="E65" s="99" t="s">
        <v>79</v>
      </c>
      <c r="F65" s="99" t="s">
        <v>21</v>
      </c>
      <c r="G65" s="140" t="s">
        <v>82</v>
      </c>
      <c r="H65" s="99" t="s">
        <v>1</v>
      </c>
      <c r="I65" s="99" t="s">
        <v>9</v>
      </c>
      <c r="J65" s="102" t="s">
        <v>993</v>
      </c>
      <c r="K65" s="100">
        <v>29586</v>
      </c>
      <c r="L65" s="140">
        <v>1980</v>
      </c>
      <c r="M65" s="140">
        <f t="shared" si="1"/>
        <v>39</v>
      </c>
      <c r="N65" s="99" t="s">
        <v>3</v>
      </c>
      <c r="O65" s="99" t="s">
        <v>1004</v>
      </c>
      <c r="P65" s="99" t="s">
        <v>1272</v>
      </c>
      <c r="Q65" s="99"/>
      <c r="R65" s="99" t="s">
        <v>81</v>
      </c>
    </row>
    <row r="66" spans="2:18" ht="25.5">
      <c r="B66" s="199"/>
      <c r="C66" s="199"/>
      <c r="D66" s="99">
        <v>59</v>
      </c>
      <c r="E66" s="99" t="s">
        <v>83</v>
      </c>
      <c r="F66" s="99" t="s">
        <v>12</v>
      </c>
      <c r="G66" s="140" t="s">
        <v>84</v>
      </c>
      <c r="H66" s="99" t="s">
        <v>18</v>
      </c>
      <c r="I66" s="99" t="s">
        <v>15</v>
      </c>
      <c r="J66" s="102" t="s">
        <v>993</v>
      </c>
      <c r="K66" s="100">
        <v>37297</v>
      </c>
      <c r="L66" s="140">
        <v>2002</v>
      </c>
      <c r="M66" s="140">
        <f t="shared" si="1"/>
        <v>17</v>
      </c>
      <c r="N66" s="99" t="s">
        <v>3</v>
      </c>
      <c r="O66" s="99" t="s">
        <v>1004</v>
      </c>
      <c r="P66" s="99" t="s">
        <v>1274</v>
      </c>
      <c r="Q66" s="99"/>
      <c r="R66" s="99" t="s">
        <v>1309</v>
      </c>
    </row>
    <row r="67" spans="2:18" ht="25.5">
      <c r="B67" s="199"/>
      <c r="C67" s="199"/>
      <c r="D67" s="99">
        <v>60</v>
      </c>
      <c r="E67" s="99" t="s">
        <v>85</v>
      </c>
      <c r="F67" s="99" t="s">
        <v>12</v>
      </c>
      <c r="G67" s="140" t="s">
        <v>86</v>
      </c>
      <c r="H67" s="99" t="s">
        <v>1</v>
      </c>
      <c r="I67" s="99" t="s">
        <v>15</v>
      </c>
      <c r="J67" s="102" t="s">
        <v>993</v>
      </c>
      <c r="K67" s="100">
        <v>39854</v>
      </c>
      <c r="L67" s="140">
        <v>2009</v>
      </c>
      <c r="M67" s="140">
        <f t="shared" si="1"/>
        <v>10</v>
      </c>
      <c r="N67" s="99" t="s">
        <v>3</v>
      </c>
      <c r="O67" s="99" t="s">
        <v>1004</v>
      </c>
      <c r="P67" s="99" t="s">
        <v>1288</v>
      </c>
      <c r="Q67" s="99"/>
      <c r="R67" s="99" t="s">
        <v>1277</v>
      </c>
    </row>
    <row r="68" spans="2:18">
      <c r="B68" s="199">
        <v>17</v>
      </c>
      <c r="C68" s="199" t="s">
        <v>1563</v>
      </c>
      <c r="D68" s="99">
        <v>61</v>
      </c>
      <c r="E68" s="99" t="s">
        <v>1559</v>
      </c>
      <c r="F68" s="99" t="s">
        <v>6</v>
      </c>
      <c r="G68" s="140" t="s">
        <v>1564</v>
      </c>
      <c r="H68" s="99" t="s">
        <v>18</v>
      </c>
      <c r="I68" s="99" t="s">
        <v>9</v>
      </c>
      <c r="J68" s="102" t="s">
        <v>993</v>
      </c>
      <c r="K68" s="100">
        <v>26481</v>
      </c>
      <c r="L68" s="140">
        <v>1972</v>
      </c>
      <c r="M68" s="140">
        <f t="shared" si="1"/>
        <v>47</v>
      </c>
      <c r="N68" s="99" t="s">
        <v>3</v>
      </c>
      <c r="O68" s="99" t="s">
        <v>1004</v>
      </c>
      <c r="P68" s="99" t="s">
        <v>1287</v>
      </c>
      <c r="Q68" s="99"/>
      <c r="R68" s="99" t="s">
        <v>23</v>
      </c>
    </row>
    <row r="69" spans="2:18" ht="25.5">
      <c r="B69" s="199"/>
      <c r="C69" s="199"/>
      <c r="D69" s="99">
        <v>62</v>
      </c>
      <c r="E69" s="99" t="s">
        <v>1560</v>
      </c>
      <c r="F69" s="99" t="s">
        <v>21</v>
      </c>
      <c r="G69" s="140" t="s">
        <v>1565</v>
      </c>
      <c r="H69" s="99" t="s">
        <v>1</v>
      </c>
      <c r="I69" s="99" t="s">
        <v>9</v>
      </c>
      <c r="J69" s="102" t="s">
        <v>993</v>
      </c>
      <c r="K69" s="100">
        <v>27211</v>
      </c>
      <c r="L69" s="140">
        <v>1974</v>
      </c>
      <c r="M69" s="140">
        <f t="shared" si="1"/>
        <v>45</v>
      </c>
      <c r="N69" s="99" t="s">
        <v>3</v>
      </c>
      <c r="O69" s="99" t="s">
        <v>1004</v>
      </c>
      <c r="P69" s="99" t="s">
        <v>1272</v>
      </c>
      <c r="Q69" s="99"/>
      <c r="R69" s="99" t="s">
        <v>1276</v>
      </c>
    </row>
    <row r="70" spans="2:18" ht="25.5">
      <c r="B70" s="199"/>
      <c r="C70" s="199"/>
      <c r="D70" s="99">
        <v>63</v>
      </c>
      <c r="E70" s="99" t="s">
        <v>1561</v>
      </c>
      <c r="F70" s="99" t="s">
        <v>12</v>
      </c>
      <c r="G70" s="140" t="s">
        <v>87</v>
      </c>
      <c r="H70" s="99" t="s">
        <v>18</v>
      </c>
      <c r="I70" s="99" t="s">
        <v>15</v>
      </c>
      <c r="J70" s="102" t="s">
        <v>993</v>
      </c>
      <c r="K70" s="100">
        <v>36366</v>
      </c>
      <c r="L70" s="140">
        <v>1999</v>
      </c>
      <c r="M70" s="140">
        <f t="shared" si="1"/>
        <v>20</v>
      </c>
      <c r="N70" s="99" t="s">
        <v>3</v>
      </c>
      <c r="O70" s="99" t="s">
        <v>1004</v>
      </c>
      <c r="P70" s="99" t="s">
        <v>1273</v>
      </c>
      <c r="Q70" s="99"/>
      <c r="R70" s="99" t="s">
        <v>1309</v>
      </c>
    </row>
    <row r="71" spans="2:18" ht="25.5">
      <c r="B71" s="199"/>
      <c r="C71" s="199"/>
      <c r="D71" s="99">
        <v>64</v>
      </c>
      <c r="E71" s="99" t="s">
        <v>1562</v>
      </c>
      <c r="F71" s="99" t="s">
        <v>12</v>
      </c>
      <c r="G71" s="140" t="s">
        <v>1566</v>
      </c>
      <c r="H71" s="99" t="s">
        <v>1</v>
      </c>
      <c r="I71" s="99" t="s">
        <v>15</v>
      </c>
      <c r="J71" s="102" t="s">
        <v>993</v>
      </c>
      <c r="K71" s="100">
        <v>38956</v>
      </c>
      <c r="L71" s="140">
        <v>2006</v>
      </c>
      <c r="M71" s="140">
        <f t="shared" si="1"/>
        <v>13</v>
      </c>
      <c r="N71" s="99" t="s">
        <v>3</v>
      </c>
      <c r="O71" s="99" t="s">
        <v>1004</v>
      </c>
      <c r="P71" s="99" t="s">
        <v>1274</v>
      </c>
      <c r="Q71" s="99"/>
      <c r="R71" s="99" t="s">
        <v>1309</v>
      </c>
    </row>
    <row r="72" spans="2:18" ht="25.5">
      <c r="B72" s="199">
        <v>18</v>
      </c>
      <c r="C72" s="199" t="s">
        <v>1057</v>
      </c>
      <c r="D72" s="99">
        <v>65</v>
      </c>
      <c r="E72" s="99" t="s">
        <v>88</v>
      </c>
      <c r="F72" s="99" t="s">
        <v>6</v>
      </c>
      <c r="G72" s="101" t="s">
        <v>1614</v>
      </c>
      <c r="H72" s="99" t="s">
        <v>18</v>
      </c>
      <c r="I72" s="99" t="s">
        <v>9</v>
      </c>
      <c r="J72" s="102" t="s">
        <v>1016</v>
      </c>
      <c r="K72" s="100">
        <v>25385</v>
      </c>
      <c r="L72" s="101" t="s">
        <v>1034</v>
      </c>
      <c r="M72" s="140">
        <f t="shared" si="1"/>
        <v>50</v>
      </c>
      <c r="N72" s="99" t="s">
        <v>3</v>
      </c>
      <c r="O72" s="99" t="s">
        <v>1004</v>
      </c>
      <c r="P72" s="99" t="s">
        <v>1273</v>
      </c>
      <c r="Q72" s="99"/>
      <c r="R72" s="99" t="s">
        <v>23</v>
      </c>
    </row>
    <row r="73" spans="2:18" ht="25.5">
      <c r="B73" s="199"/>
      <c r="C73" s="199"/>
      <c r="D73" s="99">
        <v>66</v>
      </c>
      <c r="E73" s="99" t="s">
        <v>89</v>
      </c>
      <c r="F73" s="99" t="s">
        <v>21</v>
      </c>
      <c r="G73" s="101" t="s">
        <v>1615</v>
      </c>
      <c r="H73" s="99" t="s">
        <v>1</v>
      </c>
      <c r="I73" s="99" t="s">
        <v>9</v>
      </c>
      <c r="J73" s="102" t="s">
        <v>993</v>
      </c>
      <c r="K73" s="100">
        <v>29238</v>
      </c>
      <c r="L73" s="101" t="s">
        <v>990</v>
      </c>
      <c r="M73" s="140">
        <f t="shared" si="1"/>
        <v>39</v>
      </c>
      <c r="N73" s="99" t="s">
        <v>3</v>
      </c>
      <c r="O73" s="99" t="s">
        <v>1004</v>
      </c>
      <c r="P73" s="99" t="s">
        <v>1272</v>
      </c>
      <c r="Q73" s="99"/>
      <c r="R73" s="99" t="s">
        <v>1276</v>
      </c>
    </row>
    <row r="74" spans="2:18" ht="25.5">
      <c r="B74" s="199"/>
      <c r="C74" s="199"/>
      <c r="D74" s="99">
        <v>67</v>
      </c>
      <c r="E74" s="99" t="s">
        <v>1613</v>
      </c>
      <c r="F74" s="99" t="s">
        <v>12</v>
      </c>
      <c r="G74" s="101" t="s">
        <v>1616</v>
      </c>
      <c r="H74" s="99" t="s">
        <v>18</v>
      </c>
      <c r="I74" s="99" t="s">
        <v>15</v>
      </c>
      <c r="J74" s="102" t="s">
        <v>1016</v>
      </c>
      <c r="K74" s="100">
        <v>39748</v>
      </c>
      <c r="L74" s="101" t="s">
        <v>1008</v>
      </c>
      <c r="M74" s="140">
        <f t="shared" si="1"/>
        <v>11</v>
      </c>
      <c r="N74" s="99" t="s">
        <v>3</v>
      </c>
      <c r="O74" s="99" t="s">
        <v>1004</v>
      </c>
      <c r="P74" s="99" t="s">
        <v>1288</v>
      </c>
      <c r="Q74" s="99"/>
      <c r="R74" s="99" t="s">
        <v>1277</v>
      </c>
    </row>
    <row r="75" spans="2:18" ht="25.5">
      <c r="B75" s="199"/>
      <c r="C75" s="199"/>
      <c r="D75" s="99">
        <v>68</v>
      </c>
      <c r="E75" s="99" t="s">
        <v>1058</v>
      </c>
      <c r="F75" s="99" t="s">
        <v>12</v>
      </c>
      <c r="G75" s="101" t="s">
        <v>1617</v>
      </c>
      <c r="H75" s="99" t="s">
        <v>1</v>
      </c>
      <c r="I75" s="99" t="s">
        <v>15</v>
      </c>
      <c r="J75" s="102" t="s">
        <v>993</v>
      </c>
      <c r="K75" s="100">
        <v>43005</v>
      </c>
      <c r="L75" s="101" t="s">
        <v>1048</v>
      </c>
      <c r="M75" s="140">
        <f t="shared" si="1"/>
        <v>2</v>
      </c>
      <c r="N75" s="99" t="s">
        <v>3</v>
      </c>
      <c r="O75" s="99" t="s">
        <v>1004</v>
      </c>
      <c r="P75" s="99" t="s">
        <v>1288</v>
      </c>
      <c r="Q75" s="99"/>
      <c r="R75" s="99" t="s">
        <v>1277</v>
      </c>
    </row>
    <row r="76" spans="2:18" ht="25.5">
      <c r="B76" s="199">
        <v>19</v>
      </c>
      <c r="C76" s="199" t="s">
        <v>1492</v>
      </c>
      <c r="D76" s="99">
        <v>69</v>
      </c>
      <c r="E76" s="99" t="s">
        <v>90</v>
      </c>
      <c r="F76" s="99" t="s">
        <v>6</v>
      </c>
      <c r="G76" s="140" t="s">
        <v>92</v>
      </c>
      <c r="H76" s="99" t="s">
        <v>1</v>
      </c>
      <c r="I76" s="99" t="s">
        <v>1020</v>
      </c>
      <c r="J76" s="102" t="s">
        <v>1017</v>
      </c>
      <c r="K76" s="100">
        <v>21002</v>
      </c>
      <c r="L76" s="140">
        <v>1957</v>
      </c>
      <c r="M76" s="140">
        <f t="shared" si="1"/>
        <v>62</v>
      </c>
      <c r="N76" s="99" t="s">
        <v>3</v>
      </c>
      <c r="O76" s="99" t="s">
        <v>1004</v>
      </c>
      <c r="P76" s="99" t="s">
        <v>1288</v>
      </c>
      <c r="Q76" s="99"/>
      <c r="R76" s="99" t="s">
        <v>1318</v>
      </c>
    </row>
    <row r="77" spans="2:18">
      <c r="B77" s="199"/>
      <c r="C77" s="199"/>
      <c r="D77" s="99">
        <v>70</v>
      </c>
      <c r="E77" s="99" t="s">
        <v>93</v>
      </c>
      <c r="F77" s="99" t="s">
        <v>12</v>
      </c>
      <c r="G77" s="140" t="s">
        <v>94</v>
      </c>
      <c r="H77" s="99" t="s">
        <v>1</v>
      </c>
      <c r="I77" s="99" t="s">
        <v>15</v>
      </c>
      <c r="J77" s="102" t="s">
        <v>993</v>
      </c>
      <c r="K77" s="100">
        <v>25750</v>
      </c>
      <c r="L77" s="140">
        <v>1970</v>
      </c>
      <c r="M77" s="140">
        <f t="shared" si="1"/>
        <v>49</v>
      </c>
      <c r="N77" s="99" t="s">
        <v>3</v>
      </c>
      <c r="O77" s="99" t="s">
        <v>1004</v>
      </c>
      <c r="P77" s="99" t="s">
        <v>1272</v>
      </c>
      <c r="Q77" s="99"/>
      <c r="R77" s="99" t="s">
        <v>1318</v>
      </c>
    </row>
    <row r="78" spans="2:18" ht="25.5">
      <c r="B78" s="199"/>
      <c r="C78" s="199"/>
      <c r="D78" s="99">
        <v>71</v>
      </c>
      <c r="E78" s="99" t="s">
        <v>95</v>
      </c>
      <c r="F78" s="99" t="s">
        <v>12</v>
      </c>
      <c r="G78" s="140" t="s">
        <v>96</v>
      </c>
      <c r="H78" s="99" t="s">
        <v>1</v>
      </c>
      <c r="I78" s="99" t="s">
        <v>1235</v>
      </c>
      <c r="J78" s="102" t="s">
        <v>1016</v>
      </c>
      <c r="K78" s="100">
        <v>31954</v>
      </c>
      <c r="L78" s="140">
        <v>1987</v>
      </c>
      <c r="M78" s="140">
        <f t="shared" si="1"/>
        <v>32</v>
      </c>
      <c r="N78" s="99" t="s">
        <v>3</v>
      </c>
      <c r="O78" s="99" t="s">
        <v>1004</v>
      </c>
      <c r="P78" s="99" t="s">
        <v>1273</v>
      </c>
      <c r="Q78" s="99"/>
      <c r="R78" s="99" t="s">
        <v>23</v>
      </c>
    </row>
    <row r="79" spans="2:18">
      <c r="B79" s="99">
        <v>20</v>
      </c>
      <c r="C79" s="99"/>
      <c r="D79" s="99">
        <v>72</v>
      </c>
      <c r="E79" s="99" t="s">
        <v>97</v>
      </c>
      <c r="F79" s="99" t="s">
        <v>6</v>
      </c>
      <c r="G79" s="140" t="s">
        <v>98</v>
      </c>
      <c r="H79" s="99" t="s">
        <v>1</v>
      </c>
      <c r="I79" s="99" t="s">
        <v>2</v>
      </c>
      <c r="J79" s="102"/>
      <c r="K79" s="100">
        <v>13515</v>
      </c>
      <c r="L79" s="140">
        <v>1936</v>
      </c>
      <c r="M79" s="140">
        <f t="shared" si="1"/>
        <v>83</v>
      </c>
      <c r="N79" s="99" t="s">
        <v>3</v>
      </c>
      <c r="O79" s="99" t="s">
        <v>1004</v>
      </c>
      <c r="P79" s="99" t="s">
        <v>11</v>
      </c>
      <c r="Q79" s="99"/>
      <c r="R79" s="99" t="s">
        <v>91</v>
      </c>
    </row>
    <row r="80" spans="2:18" ht="25.5">
      <c r="B80" s="199">
        <v>21</v>
      </c>
      <c r="C80" s="202" t="s">
        <v>1081</v>
      </c>
      <c r="D80" s="99">
        <v>73</v>
      </c>
      <c r="E80" s="99" t="s">
        <v>99</v>
      </c>
      <c r="F80" s="99" t="s">
        <v>6</v>
      </c>
      <c r="G80" s="101" t="s">
        <v>1083</v>
      </c>
      <c r="H80" s="99" t="s">
        <v>18</v>
      </c>
      <c r="I80" s="99" t="s">
        <v>9</v>
      </c>
      <c r="J80" s="102" t="s">
        <v>1016</v>
      </c>
      <c r="K80" s="100">
        <v>43830</v>
      </c>
      <c r="L80" s="101" t="s">
        <v>1023</v>
      </c>
      <c r="M80" s="140">
        <f t="shared" si="1"/>
        <v>43</v>
      </c>
      <c r="N80" s="99" t="s">
        <v>3</v>
      </c>
      <c r="O80" s="99" t="s">
        <v>1004</v>
      </c>
      <c r="P80" s="99" t="s">
        <v>1287</v>
      </c>
      <c r="Q80" s="99"/>
      <c r="R80" s="99" t="s">
        <v>1015</v>
      </c>
    </row>
    <row r="81" spans="2:18">
      <c r="B81" s="199"/>
      <c r="C81" s="199"/>
      <c r="D81" s="99">
        <v>74</v>
      </c>
      <c r="E81" s="99" t="s">
        <v>1082</v>
      </c>
      <c r="F81" s="99" t="s">
        <v>21</v>
      </c>
      <c r="G81" s="101" t="s">
        <v>1084</v>
      </c>
      <c r="H81" s="99" t="s">
        <v>1</v>
      </c>
      <c r="I81" s="99" t="s">
        <v>9</v>
      </c>
      <c r="J81" s="102" t="s">
        <v>1087</v>
      </c>
      <c r="K81" s="100">
        <v>43830</v>
      </c>
      <c r="L81" s="101" t="s">
        <v>1012</v>
      </c>
      <c r="M81" s="140">
        <f t="shared" si="1"/>
        <v>33</v>
      </c>
      <c r="N81" s="99" t="s">
        <v>3</v>
      </c>
      <c r="O81" s="99" t="s">
        <v>1004</v>
      </c>
      <c r="P81" s="99" t="s">
        <v>1088</v>
      </c>
      <c r="Q81" s="99"/>
      <c r="R81" s="99" t="s">
        <v>1089</v>
      </c>
    </row>
    <row r="82" spans="2:18" ht="25.5">
      <c r="B82" s="199"/>
      <c r="C82" s="199"/>
      <c r="D82" s="99">
        <v>75</v>
      </c>
      <c r="E82" s="99" t="s">
        <v>101</v>
      </c>
      <c r="F82" s="99" t="s">
        <v>12</v>
      </c>
      <c r="G82" s="101" t="s">
        <v>1085</v>
      </c>
      <c r="H82" s="99" t="s">
        <v>18</v>
      </c>
      <c r="I82" s="99" t="s">
        <v>15</v>
      </c>
      <c r="J82" s="102" t="s">
        <v>1045</v>
      </c>
      <c r="K82" s="100">
        <v>43666</v>
      </c>
      <c r="L82" s="101" t="s">
        <v>1008</v>
      </c>
      <c r="M82" s="140">
        <f t="shared" si="1"/>
        <v>11</v>
      </c>
      <c r="N82" s="99" t="s">
        <v>3</v>
      </c>
      <c r="O82" s="99" t="s">
        <v>1004</v>
      </c>
      <c r="P82" s="99" t="s">
        <v>1272</v>
      </c>
      <c r="Q82" s="99"/>
      <c r="R82" s="99" t="s">
        <v>1309</v>
      </c>
    </row>
    <row r="83" spans="2:18" ht="25.5">
      <c r="B83" s="199"/>
      <c r="C83" s="199"/>
      <c r="D83" s="99">
        <v>76</v>
      </c>
      <c r="E83" s="99" t="s">
        <v>102</v>
      </c>
      <c r="F83" s="99" t="s">
        <v>12</v>
      </c>
      <c r="G83" s="101" t="s">
        <v>1086</v>
      </c>
      <c r="H83" s="99" t="s">
        <v>18</v>
      </c>
      <c r="I83" s="99" t="s">
        <v>15</v>
      </c>
      <c r="J83" s="102" t="s">
        <v>993</v>
      </c>
      <c r="K83" s="100">
        <v>43531</v>
      </c>
      <c r="L83" s="101" t="s">
        <v>1024</v>
      </c>
      <c r="M83" s="140">
        <f t="shared" si="1"/>
        <v>4</v>
      </c>
      <c r="N83" s="99" t="s">
        <v>3</v>
      </c>
      <c r="O83" s="99" t="s">
        <v>1004</v>
      </c>
      <c r="P83" s="99" t="s">
        <v>1288</v>
      </c>
      <c r="Q83" s="99"/>
      <c r="R83" s="99" t="s">
        <v>1277</v>
      </c>
    </row>
    <row r="84" spans="2:18">
      <c r="B84" s="195">
        <v>22</v>
      </c>
      <c r="C84" s="195"/>
      <c r="D84" s="99">
        <v>77</v>
      </c>
      <c r="E84" s="99" t="s">
        <v>103</v>
      </c>
      <c r="F84" s="99" t="s">
        <v>6</v>
      </c>
      <c r="G84" s="140" t="s">
        <v>104</v>
      </c>
      <c r="H84" s="99" t="s">
        <v>18</v>
      </c>
      <c r="I84" s="99" t="s">
        <v>9</v>
      </c>
      <c r="J84" s="102"/>
      <c r="K84" s="100">
        <v>27394</v>
      </c>
      <c r="L84" s="140">
        <v>1974</v>
      </c>
      <c r="M84" s="140">
        <f t="shared" si="1"/>
        <v>45</v>
      </c>
      <c r="N84" s="99" t="s">
        <v>3</v>
      </c>
      <c r="O84" s="99"/>
      <c r="P84" s="99" t="s">
        <v>1287</v>
      </c>
      <c r="Q84" s="99"/>
      <c r="R84" s="99" t="s">
        <v>39</v>
      </c>
    </row>
    <row r="85" spans="2:18">
      <c r="B85" s="198"/>
      <c r="C85" s="198"/>
      <c r="D85" s="99">
        <v>78</v>
      </c>
      <c r="E85" s="99" t="s">
        <v>105</v>
      </c>
      <c r="F85" s="99" t="s">
        <v>21</v>
      </c>
      <c r="G85" s="140" t="s">
        <v>106</v>
      </c>
      <c r="H85" s="99" t="s">
        <v>1</v>
      </c>
      <c r="I85" s="99" t="s">
        <v>9</v>
      </c>
      <c r="J85" s="102"/>
      <c r="K85" s="100">
        <v>27394</v>
      </c>
      <c r="L85" s="140">
        <v>1974</v>
      </c>
      <c r="M85" s="140">
        <f t="shared" si="1"/>
        <v>45</v>
      </c>
      <c r="N85" s="99" t="s">
        <v>3</v>
      </c>
      <c r="O85" s="99"/>
      <c r="P85" s="99" t="s">
        <v>1273</v>
      </c>
      <c r="Q85" s="99"/>
      <c r="R85" s="99" t="s">
        <v>5</v>
      </c>
    </row>
    <row r="86" spans="2:18">
      <c r="B86" s="198"/>
      <c r="C86" s="198"/>
      <c r="D86" s="99">
        <v>79</v>
      </c>
      <c r="E86" s="99" t="s">
        <v>107</v>
      </c>
      <c r="F86" s="99" t="s">
        <v>12</v>
      </c>
      <c r="G86" s="140" t="s">
        <v>108</v>
      </c>
      <c r="H86" s="99" t="s">
        <v>1</v>
      </c>
      <c r="I86" s="99" t="s">
        <v>15</v>
      </c>
      <c r="J86" s="102"/>
      <c r="K86" s="100">
        <v>37008</v>
      </c>
      <c r="L86" s="140">
        <v>2001</v>
      </c>
      <c r="M86" s="140">
        <f t="shared" si="1"/>
        <v>18</v>
      </c>
      <c r="N86" s="99" t="s">
        <v>3</v>
      </c>
      <c r="O86" s="99"/>
      <c r="P86" s="99" t="s">
        <v>1272</v>
      </c>
      <c r="Q86" s="99"/>
      <c r="R86" s="99" t="s">
        <v>11</v>
      </c>
    </row>
    <row r="87" spans="2:18">
      <c r="B87" s="196"/>
      <c r="C87" s="196"/>
      <c r="D87" s="99">
        <v>80</v>
      </c>
      <c r="E87" s="99" t="s">
        <v>109</v>
      </c>
      <c r="F87" s="99" t="s">
        <v>12</v>
      </c>
      <c r="G87" s="140" t="s">
        <v>110</v>
      </c>
      <c r="H87" s="99" t="s">
        <v>18</v>
      </c>
      <c r="I87" s="99" t="s">
        <v>15</v>
      </c>
      <c r="J87" s="102"/>
      <c r="K87" s="100">
        <v>38894</v>
      </c>
      <c r="L87" s="140">
        <v>2006</v>
      </c>
      <c r="M87" s="140">
        <f t="shared" si="1"/>
        <v>13</v>
      </c>
      <c r="N87" s="99" t="s">
        <v>3</v>
      </c>
      <c r="O87" s="99"/>
      <c r="P87" s="99" t="s">
        <v>11</v>
      </c>
      <c r="Q87" s="99"/>
      <c r="R87" s="99" t="s">
        <v>11</v>
      </c>
    </row>
    <row r="88" spans="2:18" ht="25.5">
      <c r="B88" s="199">
        <v>23</v>
      </c>
      <c r="C88" s="202" t="s">
        <v>1483</v>
      </c>
      <c r="D88" s="99">
        <v>81</v>
      </c>
      <c r="E88" s="99" t="s">
        <v>111</v>
      </c>
      <c r="F88" s="99" t="s">
        <v>6</v>
      </c>
      <c r="G88" s="140" t="s">
        <v>112</v>
      </c>
      <c r="H88" s="99" t="s">
        <v>18</v>
      </c>
      <c r="I88" s="99" t="s">
        <v>9</v>
      </c>
      <c r="J88" s="102" t="s">
        <v>1016</v>
      </c>
      <c r="K88" s="100">
        <v>26481</v>
      </c>
      <c r="L88" s="101" t="s">
        <v>1001</v>
      </c>
      <c r="M88" s="140">
        <f>2019-L88</f>
        <v>47</v>
      </c>
      <c r="N88" s="99" t="s">
        <v>3</v>
      </c>
      <c r="O88" s="99" t="s">
        <v>1004</v>
      </c>
      <c r="P88" s="99" t="s">
        <v>1287</v>
      </c>
      <c r="Q88" s="99"/>
      <c r="R88" s="99" t="s">
        <v>23</v>
      </c>
    </row>
    <row r="89" spans="2:18">
      <c r="B89" s="199"/>
      <c r="C89" s="199"/>
      <c r="D89" s="99">
        <v>82</v>
      </c>
      <c r="E89" s="99" t="s">
        <v>113</v>
      </c>
      <c r="F89" s="99" t="s">
        <v>21</v>
      </c>
      <c r="G89" s="140" t="s">
        <v>114</v>
      </c>
      <c r="H89" s="99" t="s">
        <v>1</v>
      </c>
      <c r="I89" s="99" t="s">
        <v>9</v>
      </c>
      <c r="J89" s="102" t="s">
        <v>1069</v>
      </c>
      <c r="K89" s="100">
        <v>30133</v>
      </c>
      <c r="L89" s="101" t="s">
        <v>1039</v>
      </c>
      <c r="M89" s="140">
        <f>2019-L89</f>
        <v>37</v>
      </c>
      <c r="N89" s="99" t="s">
        <v>3</v>
      </c>
      <c r="O89" s="99" t="s">
        <v>1004</v>
      </c>
      <c r="P89" s="99" t="s">
        <v>1272</v>
      </c>
      <c r="Q89" s="99"/>
      <c r="R89" s="99" t="s">
        <v>23</v>
      </c>
    </row>
    <row r="90" spans="2:18" ht="25.5">
      <c r="B90" s="199"/>
      <c r="C90" s="199"/>
      <c r="D90" s="99">
        <v>83</v>
      </c>
      <c r="E90" s="99" t="s">
        <v>115</v>
      </c>
      <c r="F90" s="99" t="s">
        <v>12</v>
      </c>
      <c r="G90" s="140" t="s">
        <v>116</v>
      </c>
      <c r="H90" s="99" t="s">
        <v>1</v>
      </c>
      <c r="I90" s="99" t="s">
        <v>15</v>
      </c>
      <c r="J90" s="102" t="s">
        <v>993</v>
      </c>
      <c r="K90" s="100">
        <v>37325</v>
      </c>
      <c r="L90" s="101" t="s">
        <v>1007</v>
      </c>
      <c r="M90" s="140">
        <f>2019-L90</f>
        <v>17</v>
      </c>
      <c r="N90" s="99" t="s">
        <v>3</v>
      </c>
      <c r="O90" s="99" t="s">
        <v>1004</v>
      </c>
      <c r="P90" s="99" t="s">
        <v>1274</v>
      </c>
      <c r="Q90" s="99"/>
      <c r="R90" s="99" t="s">
        <v>1309</v>
      </c>
    </row>
    <row r="91" spans="2:18" ht="25.5">
      <c r="B91" s="199"/>
      <c r="C91" s="199"/>
      <c r="D91" s="99">
        <v>84</v>
      </c>
      <c r="E91" s="99" t="s">
        <v>117</v>
      </c>
      <c r="F91" s="99" t="s">
        <v>12</v>
      </c>
      <c r="G91" s="140" t="s">
        <v>118</v>
      </c>
      <c r="H91" s="99" t="s">
        <v>1</v>
      </c>
      <c r="I91" s="99" t="s">
        <v>15</v>
      </c>
      <c r="J91" s="102" t="s">
        <v>993</v>
      </c>
      <c r="K91" s="100">
        <v>41932</v>
      </c>
      <c r="L91" s="101" t="s">
        <v>998</v>
      </c>
      <c r="M91" s="140">
        <f>2019-L91</f>
        <v>5</v>
      </c>
      <c r="N91" s="99" t="s">
        <v>3</v>
      </c>
      <c r="O91" s="99" t="s">
        <v>1004</v>
      </c>
      <c r="P91" s="99" t="s">
        <v>1288</v>
      </c>
      <c r="Q91" s="99"/>
      <c r="R91" s="99" t="s">
        <v>1277</v>
      </c>
    </row>
    <row r="92" spans="2:18">
      <c r="B92" s="99">
        <v>24</v>
      </c>
      <c r="C92" s="99"/>
      <c r="D92" s="99">
        <v>85</v>
      </c>
      <c r="E92" s="99" t="s">
        <v>119</v>
      </c>
      <c r="F92" s="99" t="s">
        <v>6</v>
      </c>
      <c r="G92" s="140"/>
      <c r="H92" s="99" t="s">
        <v>1</v>
      </c>
      <c r="I92" s="99" t="s">
        <v>2</v>
      </c>
      <c r="J92" s="102"/>
      <c r="K92" s="100">
        <v>16444</v>
      </c>
      <c r="L92" s="140">
        <v>1945</v>
      </c>
      <c r="M92" s="140">
        <f t="shared" ref="M92:M100" si="2">2019-L92</f>
        <v>74</v>
      </c>
      <c r="N92" s="99" t="s">
        <v>3</v>
      </c>
      <c r="O92" s="99"/>
      <c r="P92" s="99" t="s">
        <v>11</v>
      </c>
      <c r="Q92" s="99"/>
      <c r="R92" s="99" t="s">
        <v>5</v>
      </c>
    </row>
    <row r="93" spans="2:18">
      <c r="B93" s="195">
        <v>25</v>
      </c>
      <c r="C93" s="195"/>
      <c r="D93" s="99">
        <v>86</v>
      </c>
      <c r="E93" s="99" t="s">
        <v>120</v>
      </c>
      <c r="F93" s="99" t="s">
        <v>6</v>
      </c>
      <c r="G93" s="140" t="s">
        <v>121</v>
      </c>
      <c r="H93" s="99" t="s">
        <v>18</v>
      </c>
      <c r="I93" s="99" t="s">
        <v>9</v>
      </c>
      <c r="J93" s="102"/>
      <c r="K93" s="100">
        <v>25568</v>
      </c>
      <c r="L93" s="140">
        <v>1969</v>
      </c>
      <c r="M93" s="140">
        <f t="shared" si="2"/>
        <v>50</v>
      </c>
      <c r="N93" s="99" t="s">
        <v>3</v>
      </c>
      <c r="O93" s="99"/>
      <c r="P93" s="99" t="s">
        <v>1287</v>
      </c>
      <c r="Q93" s="99"/>
      <c r="R93" s="99" t="s">
        <v>23</v>
      </c>
    </row>
    <row r="94" spans="2:18">
      <c r="B94" s="198"/>
      <c r="C94" s="198"/>
      <c r="D94" s="99">
        <v>87</v>
      </c>
      <c r="E94" s="99" t="s">
        <v>122</v>
      </c>
      <c r="F94" s="99" t="s">
        <v>21</v>
      </c>
      <c r="G94" s="140" t="s">
        <v>123</v>
      </c>
      <c r="H94" s="99" t="s">
        <v>1</v>
      </c>
      <c r="I94" s="99" t="s">
        <v>9</v>
      </c>
      <c r="J94" s="102"/>
      <c r="K94" s="100">
        <v>26664</v>
      </c>
      <c r="L94" s="140">
        <v>1972</v>
      </c>
      <c r="M94" s="140">
        <f t="shared" si="2"/>
        <v>47</v>
      </c>
      <c r="N94" s="99" t="s">
        <v>3</v>
      </c>
      <c r="O94" s="99"/>
      <c r="P94" s="99" t="s">
        <v>1287</v>
      </c>
      <c r="Q94" s="99"/>
      <c r="R94" s="99" t="s">
        <v>5</v>
      </c>
    </row>
    <row r="95" spans="2:18">
      <c r="B95" s="198"/>
      <c r="C95" s="198"/>
      <c r="D95" s="99">
        <v>88</v>
      </c>
      <c r="E95" s="99" t="s">
        <v>124</v>
      </c>
      <c r="F95" s="99" t="s">
        <v>12</v>
      </c>
      <c r="G95" s="140" t="s">
        <v>125</v>
      </c>
      <c r="H95" s="99" t="s">
        <v>18</v>
      </c>
      <c r="I95" s="99" t="s">
        <v>15</v>
      </c>
      <c r="J95" s="102"/>
      <c r="K95" s="100">
        <v>35798</v>
      </c>
      <c r="L95" s="140">
        <v>1998</v>
      </c>
      <c r="M95" s="140">
        <f t="shared" si="2"/>
        <v>21</v>
      </c>
      <c r="N95" s="99" t="s">
        <v>3</v>
      </c>
      <c r="O95" s="99"/>
      <c r="P95" s="99" t="s">
        <v>1287</v>
      </c>
      <c r="Q95" s="99"/>
      <c r="R95" s="99" t="s">
        <v>11</v>
      </c>
    </row>
    <row r="96" spans="2:18" ht="25.5">
      <c r="B96" s="198"/>
      <c r="C96" s="198"/>
      <c r="D96" s="99">
        <v>89</v>
      </c>
      <c r="E96" s="99" t="s">
        <v>126</v>
      </c>
      <c r="F96" s="99" t="s">
        <v>12</v>
      </c>
      <c r="G96" s="140" t="s">
        <v>127</v>
      </c>
      <c r="H96" s="99" t="s">
        <v>1</v>
      </c>
      <c r="I96" s="99" t="s">
        <v>15</v>
      </c>
      <c r="J96" s="102"/>
      <c r="K96" s="100">
        <v>37327</v>
      </c>
      <c r="L96" s="140">
        <v>2002</v>
      </c>
      <c r="M96" s="140">
        <f t="shared" si="2"/>
        <v>17</v>
      </c>
      <c r="N96" s="99" t="s">
        <v>3</v>
      </c>
      <c r="O96" s="99"/>
      <c r="P96" s="99" t="s">
        <v>1273</v>
      </c>
      <c r="Q96" s="99"/>
      <c r="R96" s="99" t="s">
        <v>11</v>
      </c>
    </row>
    <row r="97" spans="2:18">
      <c r="B97" s="198"/>
      <c r="C97" s="198"/>
      <c r="D97" s="99">
        <v>90</v>
      </c>
      <c r="E97" s="99" t="s">
        <v>128</v>
      </c>
      <c r="F97" s="99" t="s">
        <v>12</v>
      </c>
      <c r="G97" s="140" t="s">
        <v>129</v>
      </c>
      <c r="H97" s="99" t="s">
        <v>18</v>
      </c>
      <c r="I97" s="99" t="s">
        <v>15</v>
      </c>
      <c r="J97" s="102"/>
      <c r="K97" s="100">
        <v>39144</v>
      </c>
      <c r="L97" s="140">
        <v>2007</v>
      </c>
      <c r="M97" s="140">
        <f t="shared" si="2"/>
        <v>12</v>
      </c>
      <c r="N97" s="99" t="s">
        <v>3</v>
      </c>
      <c r="O97" s="99"/>
      <c r="P97" s="99" t="s">
        <v>11</v>
      </c>
      <c r="Q97" s="99"/>
      <c r="R97" s="99" t="s">
        <v>11</v>
      </c>
    </row>
    <row r="98" spans="2:18">
      <c r="B98" s="196"/>
      <c r="C98" s="196"/>
      <c r="D98" s="99">
        <v>91</v>
      </c>
      <c r="E98" s="99" t="s">
        <v>130</v>
      </c>
      <c r="F98" s="99" t="s">
        <v>16</v>
      </c>
      <c r="G98" s="140"/>
      <c r="H98" s="99" t="s">
        <v>1</v>
      </c>
      <c r="I98" s="99" t="s">
        <v>15</v>
      </c>
      <c r="J98" s="102"/>
      <c r="K98" s="100">
        <v>16437</v>
      </c>
      <c r="L98" s="140">
        <v>1944</v>
      </c>
      <c r="M98" s="140">
        <f t="shared" si="2"/>
        <v>75</v>
      </c>
      <c r="N98" s="99" t="s">
        <v>3</v>
      </c>
      <c r="O98" s="99"/>
      <c r="P98" s="99" t="s">
        <v>11</v>
      </c>
      <c r="Q98" s="99"/>
      <c r="R98" s="99" t="s">
        <v>11</v>
      </c>
    </row>
    <row r="99" spans="2:18" ht="25.5">
      <c r="B99" s="195">
        <v>26</v>
      </c>
      <c r="C99" s="195"/>
      <c r="D99" s="99">
        <v>92</v>
      </c>
      <c r="E99" s="99" t="s">
        <v>131</v>
      </c>
      <c r="F99" s="99" t="s">
        <v>6</v>
      </c>
      <c r="G99" s="140"/>
      <c r="H99" s="99" t="s">
        <v>1</v>
      </c>
      <c r="I99" s="99" t="s">
        <v>2</v>
      </c>
      <c r="J99" s="102"/>
      <c r="K99" s="100">
        <v>14617</v>
      </c>
      <c r="L99" s="140">
        <v>1940</v>
      </c>
      <c r="M99" s="140">
        <f t="shared" si="2"/>
        <v>79</v>
      </c>
      <c r="N99" s="99" t="s">
        <v>3</v>
      </c>
      <c r="O99" s="99"/>
      <c r="P99" s="99" t="s">
        <v>11</v>
      </c>
      <c r="Q99" s="99"/>
      <c r="R99" s="99" t="s">
        <v>91</v>
      </c>
    </row>
    <row r="100" spans="2:18">
      <c r="B100" s="196"/>
      <c r="C100" s="196"/>
      <c r="D100" s="99">
        <v>93</v>
      </c>
      <c r="E100" s="99" t="s">
        <v>132</v>
      </c>
      <c r="F100" s="99" t="s">
        <v>12</v>
      </c>
      <c r="G100" s="140"/>
      <c r="H100" s="99" t="s">
        <v>18</v>
      </c>
      <c r="I100" s="99" t="s">
        <v>133</v>
      </c>
      <c r="J100" s="102"/>
      <c r="K100" s="100">
        <v>21922</v>
      </c>
      <c r="L100" s="140">
        <v>1960</v>
      </c>
      <c r="M100" s="140">
        <f t="shared" si="2"/>
        <v>59</v>
      </c>
      <c r="N100" s="99" t="s">
        <v>3</v>
      </c>
      <c r="O100" s="99"/>
      <c r="P100" s="99" t="s">
        <v>11</v>
      </c>
      <c r="Q100" s="99"/>
      <c r="R100" s="99" t="s">
        <v>11</v>
      </c>
    </row>
    <row r="101" spans="2:18" ht="25.5">
      <c r="B101" s="199">
        <v>27</v>
      </c>
      <c r="C101" s="202" t="s">
        <v>1539</v>
      </c>
      <c r="D101" s="99">
        <v>94</v>
      </c>
      <c r="E101" s="99" t="s">
        <v>999</v>
      </c>
      <c r="F101" s="99" t="s">
        <v>6</v>
      </c>
      <c r="G101" s="101" t="s">
        <v>1542</v>
      </c>
      <c r="H101" s="99" t="s">
        <v>18</v>
      </c>
      <c r="I101" s="99" t="s">
        <v>9</v>
      </c>
      <c r="J101" s="102" t="s">
        <v>993</v>
      </c>
      <c r="K101" s="100">
        <v>24837</v>
      </c>
      <c r="L101" s="101" t="s">
        <v>1000</v>
      </c>
      <c r="M101" s="140">
        <f t="shared" ref="M101:M156" si="3">2019-L101</f>
        <v>52</v>
      </c>
      <c r="N101" s="99" t="s">
        <v>3</v>
      </c>
      <c r="O101" s="99" t="s">
        <v>1004</v>
      </c>
      <c r="P101" s="99" t="s">
        <v>1273</v>
      </c>
      <c r="Q101" s="99"/>
      <c r="R101" s="99" t="s">
        <v>1032</v>
      </c>
    </row>
    <row r="102" spans="2:18" ht="25.5">
      <c r="B102" s="199"/>
      <c r="C102" s="202"/>
      <c r="D102" s="99">
        <v>95</v>
      </c>
      <c r="E102" s="99" t="s">
        <v>134</v>
      </c>
      <c r="F102" s="99" t="s">
        <v>21</v>
      </c>
      <c r="G102" s="101" t="s">
        <v>1543</v>
      </c>
      <c r="H102" s="99" t="s">
        <v>1</v>
      </c>
      <c r="I102" s="99" t="s">
        <v>9</v>
      </c>
      <c r="J102" s="102" t="s">
        <v>995</v>
      </c>
      <c r="K102" s="100">
        <v>26664</v>
      </c>
      <c r="L102" s="101" t="s">
        <v>1001</v>
      </c>
      <c r="M102" s="140">
        <f t="shared" si="3"/>
        <v>47</v>
      </c>
      <c r="N102" s="99" t="s">
        <v>3</v>
      </c>
      <c r="O102" s="99" t="s">
        <v>1004</v>
      </c>
      <c r="P102" s="99" t="s">
        <v>1273</v>
      </c>
      <c r="Q102" s="99"/>
      <c r="R102" s="99" t="s">
        <v>1276</v>
      </c>
    </row>
    <row r="103" spans="2:18" ht="25.5">
      <c r="B103" s="199"/>
      <c r="C103" s="202"/>
      <c r="D103" s="99">
        <v>96</v>
      </c>
      <c r="E103" s="99" t="s">
        <v>1540</v>
      </c>
      <c r="F103" s="99" t="s">
        <v>12</v>
      </c>
      <c r="G103" s="101" t="s">
        <v>1544</v>
      </c>
      <c r="H103" s="99" t="s">
        <v>1</v>
      </c>
      <c r="I103" s="99" t="s">
        <v>15</v>
      </c>
      <c r="J103" s="102" t="s">
        <v>993</v>
      </c>
      <c r="K103" s="100">
        <v>36588</v>
      </c>
      <c r="L103" s="101" t="s">
        <v>1002</v>
      </c>
      <c r="M103" s="140">
        <f t="shared" si="3"/>
        <v>19</v>
      </c>
      <c r="N103" s="99" t="s">
        <v>3</v>
      </c>
      <c r="O103" s="99" t="s">
        <v>1004</v>
      </c>
      <c r="P103" s="99" t="s">
        <v>1273</v>
      </c>
      <c r="Q103" s="99"/>
      <c r="R103" s="99" t="s">
        <v>1309</v>
      </c>
    </row>
    <row r="104" spans="2:18" ht="25.5">
      <c r="B104" s="199"/>
      <c r="C104" s="202"/>
      <c r="D104" s="99">
        <v>97</v>
      </c>
      <c r="E104" s="99" t="s">
        <v>1541</v>
      </c>
      <c r="F104" s="99" t="s">
        <v>12</v>
      </c>
      <c r="G104" s="101" t="s">
        <v>1545</v>
      </c>
      <c r="H104" s="99" t="s">
        <v>18</v>
      </c>
      <c r="I104" s="99" t="s">
        <v>15</v>
      </c>
      <c r="J104" s="102" t="s">
        <v>993</v>
      </c>
      <c r="K104" s="100">
        <v>38899</v>
      </c>
      <c r="L104" s="101" t="s">
        <v>1003</v>
      </c>
      <c r="M104" s="140">
        <f t="shared" si="3"/>
        <v>13</v>
      </c>
      <c r="N104" s="99" t="s">
        <v>3</v>
      </c>
      <c r="O104" s="99" t="s">
        <v>1004</v>
      </c>
      <c r="P104" s="99" t="s">
        <v>1288</v>
      </c>
      <c r="Q104" s="99"/>
      <c r="R104" s="99" t="s">
        <v>1277</v>
      </c>
    </row>
    <row r="105" spans="2:18" ht="25.5">
      <c r="B105" s="195">
        <v>28</v>
      </c>
      <c r="C105" s="195"/>
      <c r="D105" s="99">
        <v>98</v>
      </c>
      <c r="E105" s="99" t="s">
        <v>135</v>
      </c>
      <c r="F105" s="99" t="s">
        <v>6</v>
      </c>
      <c r="G105" s="140" t="s">
        <v>136</v>
      </c>
      <c r="H105" s="99" t="s">
        <v>18</v>
      </c>
      <c r="I105" s="99" t="s">
        <v>9</v>
      </c>
      <c r="J105" s="102"/>
      <c r="K105" s="100">
        <v>23742</v>
      </c>
      <c r="L105" s="140">
        <v>1964</v>
      </c>
      <c r="M105" s="140">
        <f t="shared" si="3"/>
        <v>55</v>
      </c>
      <c r="N105" s="99" t="s">
        <v>3</v>
      </c>
      <c r="O105" s="99"/>
      <c r="P105" s="99" t="s">
        <v>1287</v>
      </c>
      <c r="Q105" s="99"/>
      <c r="R105" s="99" t="s">
        <v>91</v>
      </c>
    </row>
    <row r="106" spans="2:18">
      <c r="B106" s="198"/>
      <c r="C106" s="198"/>
      <c r="D106" s="99">
        <v>99</v>
      </c>
      <c r="E106" s="99" t="s">
        <v>137</v>
      </c>
      <c r="F106" s="99" t="s">
        <v>21</v>
      </c>
      <c r="G106" s="140" t="s">
        <v>139</v>
      </c>
      <c r="H106" s="99" t="s">
        <v>1</v>
      </c>
      <c r="I106" s="99" t="s">
        <v>9</v>
      </c>
      <c r="J106" s="102"/>
      <c r="K106" s="100">
        <v>24260</v>
      </c>
      <c r="L106" s="140">
        <v>1966</v>
      </c>
      <c r="M106" s="140">
        <f t="shared" si="3"/>
        <v>53</v>
      </c>
      <c r="N106" s="99" t="s">
        <v>3</v>
      </c>
      <c r="O106" s="99"/>
      <c r="P106" s="99" t="s">
        <v>10</v>
      </c>
      <c r="Q106" s="99"/>
      <c r="R106" s="99" t="s">
        <v>138</v>
      </c>
    </row>
    <row r="107" spans="2:18" ht="25.5">
      <c r="B107" s="198"/>
      <c r="C107" s="198"/>
      <c r="D107" s="99">
        <v>100</v>
      </c>
      <c r="E107" s="99" t="s">
        <v>140</v>
      </c>
      <c r="F107" s="99" t="s">
        <v>12</v>
      </c>
      <c r="G107" s="140" t="s">
        <v>141</v>
      </c>
      <c r="H107" s="99" t="s">
        <v>18</v>
      </c>
      <c r="I107" s="99" t="s">
        <v>15</v>
      </c>
      <c r="J107" s="102"/>
      <c r="K107" s="100">
        <v>35246</v>
      </c>
      <c r="L107" s="140">
        <v>1996</v>
      </c>
      <c r="M107" s="140">
        <f t="shared" si="3"/>
        <v>23</v>
      </c>
      <c r="N107" s="99" t="s">
        <v>3</v>
      </c>
      <c r="O107" s="99"/>
      <c r="P107" s="99" t="s">
        <v>1287</v>
      </c>
      <c r="Q107" s="99"/>
      <c r="R107" s="99" t="s">
        <v>11</v>
      </c>
    </row>
    <row r="108" spans="2:18" ht="25.5">
      <c r="B108" s="198"/>
      <c r="C108" s="198"/>
      <c r="D108" s="99">
        <v>101</v>
      </c>
      <c r="E108" s="99" t="s">
        <v>142</v>
      </c>
      <c r="F108" s="99" t="s">
        <v>12</v>
      </c>
      <c r="G108" s="140" t="s">
        <v>143</v>
      </c>
      <c r="H108" s="99" t="s">
        <v>1</v>
      </c>
      <c r="I108" s="99" t="s">
        <v>15</v>
      </c>
      <c r="J108" s="102"/>
      <c r="K108" s="100">
        <v>36670</v>
      </c>
      <c r="L108" s="140">
        <v>2000</v>
      </c>
      <c r="M108" s="140">
        <f t="shared" si="3"/>
        <v>19</v>
      </c>
      <c r="N108" s="99" t="s">
        <v>3</v>
      </c>
      <c r="O108" s="99"/>
      <c r="P108" s="99" t="s">
        <v>1272</v>
      </c>
      <c r="Q108" s="99"/>
      <c r="R108" s="99" t="s">
        <v>11</v>
      </c>
    </row>
    <row r="109" spans="2:18" ht="25.5">
      <c r="B109" s="196"/>
      <c r="C109" s="196"/>
      <c r="D109" s="99">
        <v>102</v>
      </c>
      <c r="E109" s="99" t="s">
        <v>144</v>
      </c>
      <c r="F109" s="99" t="s">
        <v>12</v>
      </c>
      <c r="G109" s="140" t="s">
        <v>145</v>
      </c>
      <c r="H109" s="99" t="s">
        <v>1</v>
      </c>
      <c r="I109" s="99" t="s">
        <v>15</v>
      </c>
      <c r="J109" s="102"/>
      <c r="K109" s="100">
        <v>40520</v>
      </c>
      <c r="L109" s="140">
        <v>2010</v>
      </c>
      <c r="M109" s="140">
        <f t="shared" si="3"/>
        <v>9</v>
      </c>
      <c r="N109" s="99" t="s">
        <v>3</v>
      </c>
      <c r="O109" s="99"/>
      <c r="P109" s="99" t="s">
        <v>11</v>
      </c>
      <c r="Q109" s="99"/>
      <c r="R109" s="99" t="s">
        <v>11</v>
      </c>
    </row>
    <row r="110" spans="2:18">
      <c r="B110" s="199">
        <v>29</v>
      </c>
      <c r="C110" s="202" t="s">
        <v>1076</v>
      </c>
      <c r="D110" s="99">
        <v>103</v>
      </c>
      <c r="E110" s="99" t="s">
        <v>146</v>
      </c>
      <c r="F110" s="99" t="s">
        <v>6</v>
      </c>
      <c r="G110" s="140" t="s">
        <v>147</v>
      </c>
      <c r="H110" s="99" t="s">
        <v>18</v>
      </c>
      <c r="I110" s="99" t="s">
        <v>9</v>
      </c>
      <c r="J110" s="102" t="s">
        <v>993</v>
      </c>
      <c r="K110" s="100">
        <v>28125</v>
      </c>
      <c r="L110" s="101" t="s">
        <v>1023</v>
      </c>
      <c r="M110" s="140">
        <f t="shared" si="3"/>
        <v>43</v>
      </c>
      <c r="N110" s="99" t="s">
        <v>3</v>
      </c>
      <c r="O110" s="99" t="s">
        <v>1004</v>
      </c>
      <c r="P110" s="99" t="s">
        <v>1287</v>
      </c>
      <c r="Q110" s="99"/>
      <c r="R110" s="99" t="s">
        <v>23</v>
      </c>
    </row>
    <row r="111" spans="2:18">
      <c r="B111" s="199"/>
      <c r="C111" s="202"/>
      <c r="D111" s="99">
        <v>104</v>
      </c>
      <c r="E111" s="99" t="s">
        <v>1484</v>
      </c>
      <c r="F111" s="99" t="s">
        <v>21</v>
      </c>
      <c r="G111" s="140" t="s">
        <v>148</v>
      </c>
      <c r="H111" s="99" t="s">
        <v>1</v>
      </c>
      <c r="I111" s="99" t="s">
        <v>9</v>
      </c>
      <c r="J111" s="102" t="s">
        <v>1078</v>
      </c>
      <c r="K111" s="100">
        <v>30316</v>
      </c>
      <c r="L111" s="101" t="s">
        <v>1039</v>
      </c>
      <c r="M111" s="140">
        <f t="shared" si="3"/>
        <v>37</v>
      </c>
      <c r="N111" s="99" t="s">
        <v>3</v>
      </c>
      <c r="O111" s="99" t="s">
        <v>1004</v>
      </c>
      <c r="P111" s="99" t="s">
        <v>1273</v>
      </c>
      <c r="Q111" s="99"/>
      <c r="R111" s="99" t="s">
        <v>23</v>
      </c>
    </row>
    <row r="112" spans="2:18" ht="25.5">
      <c r="B112" s="199"/>
      <c r="C112" s="202"/>
      <c r="D112" s="99">
        <v>105</v>
      </c>
      <c r="E112" s="99" t="s">
        <v>1485</v>
      </c>
      <c r="F112" s="99" t="s">
        <v>12</v>
      </c>
      <c r="G112" s="140" t="s">
        <v>149</v>
      </c>
      <c r="H112" s="99" t="s">
        <v>18</v>
      </c>
      <c r="I112" s="99" t="s">
        <v>15</v>
      </c>
      <c r="J112" s="102" t="s">
        <v>993</v>
      </c>
      <c r="K112" s="100">
        <v>39206</v>
      </c>
      <c r="L112" s="101" t="s">
        <v>1019</v>
      </c>
      <c r="M112" s="140">
        <f t="shared" si="3"/>
        <v>12</v>
      </c>
      <c r="N112" s="99" t="s">
        <v>3</v>
      </c>
      <c r="O112" s="99" t="s">
        <v>1004</v>
      </c>
      <c r="P112" s="99" t="s">
        <v>1274</v>
      </c>
      <c r="Q112" s="99"/>
      <c r="R112" s="99" t="s">
        <v>1309</v>
      </c>
    </row>
    <row r="113" spans="2:18" ht="25.5">
      <c r="B113" s="199"/>
      <c r="C113" s="202"/>
      <c r="D113" s="99">
        <v>106</v>
      </c>
      <c r="E113" s="99" t="s">
        <v>150</v>
      </c>
      <c r="F113" s="99" t="s">
        <v>12</v>
      </c>
      <c r="G113" s="140" t="s">
        <v>151</v>
      </c>
      <c r="H113" s="99" t="s">
        <v>18</v>
      </c>
      <c r="I113" s="99" t="s">
        <v>15</v>
      </c>
      <c r="J113" s="102" t="s">
        <v>1016</v>
      </c>
      <c r="K113" s="100">
        <v>41819</v>
      </c>
      <c r="L113" s="101" t="s">
        <v>998</v>
      </c>
      <c r="M113" s="140">
        <f t="shared" si="3"/>
        <v>5</v>
      </c>
      <c r="N113" s="99" t="s">
        <v>3</v>
      </c>
      <c r="O113" s="99" t="s">
        <v>1004</v>
      </c>
      <c r="P113" s="99" t="s">
        <v>1288</v>
      </c>
      <c r="Q113" s="99"/>
      <c r="R113" s="99" t="s">
        <v>1277</v>
      </c>
    </row>
    <row r="114" spans="2:18" ht="25.5">
      <c r="B114" s="199"/>
      <c r="C114" s="202"/>
      <c r="D114" s="99">
        <v>107</v>
      </c>
      <c r="E114" s="99" t="s">
        <v>1077</v>
      </c>
      <c r="F114" s="99" t="s">
        <v>12</v>
      </c>
      <c r="G114" s="101" t="s">
        <v>1486</v>
      </c>
      <c r="H114" s="99" t="s">
        <v>1</v>
      </c>
      <c r="I114" s="99" t="s">
        <v>15</v>
      </c>
      <c r="J114" s="102" t="s">
        <v>1045</v>
      </c>
      <c r="K114" s="100">
        <v>42837</v>
      </c>
      <c r="L114" s="101" t="s">
        <v>1048</v>
      </c>
      <c r="M114" s="140">
        <f t="shared" si="3"/>
        <v>2</v>
      </c>
      <c r="N114" s="99" t="s">
        <v>3</v>
      </c>
      <c r="O114" s="99" t="s">
        <v>1004</v>
      </c>
      <c r="P114" s="99" t="s">
        <v>1288</v>
      </c>
      <c r="Q114" s="99"/>
      <c r="R114" s="99" t="s">
        <v>1277</v>
      </c>
    </row>
    <row r="115" spans="2:18">
      <c r="B115" s="199">
        <v>30</v>
      </c>
      <c r="C115" s="199" t="s">
        <v>1455</v>
      </c>
      <c r="D115" s="99">
        <v>108</v>
      </c>
      <c r="E115" s="99" t="s">
        <v>152</v>
      </c>
      <c r="F115" s="99" t="s">
        <v>6</v>
      </c>
      <c r="G115" s="140" t="s">
        <v>153</v>
      </c>
      <c r="H115" s="99" t="s">
        <v>18</v>
      </c>
      <c r="I115" s="99" t="s">
        <v>9</v>
      </c>
      <c r="J115" s="102" t="s">
        <v>993</v>
      </c>
      <c r="K115" s="100">
        <v>30599</v>
      </c>
      <c r="L115" s="140">
        <v>1983</v>
      </c>
      <c r="M115" s="140">
        <f t="shared" si="3"/>
        <v>36</v>
      </c>
      <c r="N115" s="99" t="s">
        <v>3</v>
      </c>
      <c r="O115" s="99" t="s">
        <v>1004</v>
      </c>
      <c r="P115" s="99" t="s">
        <v>1287</v>
      </c>
      <c r="Q115" s="99"/>
      <c r="R115" s="99" t="s">
        <v>23</v>
      </c>
    </row>
    <row r="116" spans="2:18">
      <c r="B116" s="199"/>
      <c r="C116" s="199"/>
      <c r="D116" s="99">
        <v>109</v>
      </c>
      <c r="E116" s="99" t="s">
        <v>154</v>
      </c>
      <c r="F116" s="99" t="s">
        <v>21</v>
      </c>
      <c r="G116" s="140" t="s">
        <v>1457</v>
      </c>
      <c r="H116" s="99" t="s">
        <v>1</v>
      </c>
      <c r="I116" s="99" t="s">
        <v>9</v>
      </c>
      <c r="J116" s="102" t="s">
        <v>993</v>
      </c>
      <c r="K116" s="100">
        <v>33785</v>
      </c>
      <c r="L116" s="140">
        <v>1992</v>
      </c>
      <c r="M116" s="140">
        <f t="shared" si="3"/>
        <v>27</v>
      </c>
      <c r="N116" s="99" t="s">
        <v>3</v>
      </c>
      <c r="O116" s="99" t="s">
        <v>1004</v>
      </c>
      <c r="P116" s="99" t="s">
        <v>1287</v>
      </c>
      <c r="Q116" s="99"/>
      <c r="R116" s="99" t="s">
        <v>23</v>
      </c>
    </row>
    <row r="117" spans="2:18" ht="25.5">
      <c r="B117" s="199"/>
      <c r="C117" s="199"/>
      <c r="D117" s="99">
        <v>110</v>
      </c>
      <c r="E117" s="99" t="s">
        <v>155</v>
      </c>
      <c r="F117" s="99" t="s">
        <v>12</v>
      </c>
      <c r="G117" s="140" t="s">
        <v>156</v>
      </c>
      <c r="H117" s="99" t="s">
        <v>1</v>
      </c>
      <c r="I117" s="99" t="s">
        <v>15</v>
      </c>
      <c r="J117" s="102" t="s">
        <v>993</v>
      </c>
      <c r="K117" s="100">
        <v>41087</v>
      </c>
      <c r="L117" s="140">
        <v>2012</v>
      </c>
      <c r="M117" s="140">
        <f t="shared" si="3"/>
        <v>7</v>
      </c>
      <c r="N117" s="99" t="s">
        <v>3</v>
      </c>
      <c r="O117" s="99" t="s">
        <v>1004</v>
      </c>
      <c r="P117" s="99" t="s">
        <v>1288</v>
      </c>
      <c r="Q117" s="99"/>
      <c r="R117" s="99" t="s">
        <v>1277</v>
      </c>
    </row>
    <row r="118" spans="2:18" ht="25.5">
      <c r="B118" s="199"/>
      <c r="C118" s="199"/>
      <c r="D118" s="99">
        <v>111</v>
      </c>
      <c r="E118" s="99" t="s">
        <v>1454</v>
      </c>
      <c r="F118" s="99" t="s">
        <v>12</v>
      </c>
      <c r="G118" s="140" t="s">
        <v>1456</v>
      </c>
      <c r="H118" s="99" t="s">
        <v>1</v>
      </c>
      <c r="I118" s="99" t="s">
        <v>15</v>
      </c>
      <c r="J118" s="102" t="s">
        <v>993</v>
      </c>
      <c r="K118" s="100">
        <v>42607</v>
      </c>
      <c r="L118" s="140">
        <v>2016</v>
      </c>
      <c r="M118" s="140">
        <f t="shared" si="3"/>
        <v>3</v>
      </c>
      <c r="N118" s="99" t="s">
        <v>3</v>
      </c>
      <c r="O118" s="99" t="s">
        <v>1004</v>
      </c>
      <c r="P118" s="99" t="s">
        <v>1288</v>
      </c>
      <c r="Q118" s="99"/>
      <c r="R118" s="99" t="s">
        <v>1277</v>
      </c>
    </row>
    <row r="119" spans="2:18">
      <c r="B119" s="199">
        <v>31</v>
      </c>
      <c r="C119" s="202" t="s">
        <v>1465</v>
      </c>
      <c r="D119" s="99">
        <v>112</v>
      </c>
      <c r="E119" s="99" t="s">
        <v>157</v>
      </c>
      <c r="F119" s="99" t="s">
        <v>6</v>
      </c>
      <c r="G119" s="140" t="s">
        <v>1466</v>
      </c>
      <c r="H119" s="99" t="s">
        <v>18</v>
      </c>
      <c r="I119" s="99" t="s">
        <v>9</v>
      </c>
      <c r="J119" s="102" t="s">
        <v>993</v>
      </c>
      <c r="K119" s="100">
        <v>28490</v>
      </c>
      <c r="L119" s="101" t="s">
        <v>1005</v>
      </c>
      <c r="M119" s="140">
        <f t="shared" si="3"/>
        <v>42</v>
      </c>
      <c r="N119" s="99" t="s">
        <v>3</v>
      </c>
      <c r="O119" s="99" t="s">
        <v>1004</v>
      </c>
      <c r="P119" s="99" t="s">
        <v>1272</v>
      </c>
      <c r="Q119" s="99"/>
      <c r="R119" s="99" t="s">
        <v>23</v>
      </c>
    </row>
    <row r="120" spans="2:18">
      <c r="B120" s="199"/>
      <c r="C120" s="202"/>
      <c r="D120" s="99">
        <v>113</v>
      </c>
      <c r="E120" s="99" t="s">
        <v>158</v>
      </c>
      <c r="F120" s="99" t="s">
        <v>21</v>
      </c>
      <c r="G120" s="140" t="s">
        <v>1467</v>
      </c>
      <c r="H120" s="99" t="s">
        <v>1</v>
      </c>
      <c r="I120" s="99" t="s">
        <v>9</v>
      </c>
      <c r="J120" s="102" t="s">
        <v>993</v>
      </c>
      <c r="K120" s="100">
        <v>28855</v>
      </c>
      <c r="L120" s="101" t="s">
        <v>1006</v>
      </c>
      <c r="M120" s="140">
        <f t="shared" si="3"/>
        <v>41</v>
      </c>
      <c r="N120" s="99" t="s">
        <v>3</v>
      </c>
      <c r="O120" s="99" t="s">
        <v>1004</v>
      </c>
      <c r="P120" s="99" t="s">
        <v>1272</v>
      </c>
      <c r="Q120" s="99"/>
      <c r="R120" s="99" t="s">
        <v>1318</v>
      </c>
    </row>
    <row r="121" spans="2:18" ht="25.5">
      <c r="B121" s="199"/>
      <c r="C121" s="202"/>
      <c r="D121" s="99">
        <v>114</v>
      </c>
      <c r="E121" s="99" t="s">
        <v>159</v>
      </c>
      <c r="F121" s="99" t="s">
        <v>12</v>
      </c>
      <c r="G121" s="140" t="s">
        <v>160</v>
      </c>
      <c r="H121" s="99" t="s">
        <v>1</v>
      </c>
      <c r="I121" s="99" t="s">
        <v>15</v>
      </c>
      <c r="J121" s="102" t="s">
        <v>993</v>
      </c>
      <c r="K121" s="100">
        <v>37563</v>
      </c>
      <c r="L121" s="101" t="s">
        <v>1007</v>
      </c>
      <c r="M121" s="140">
        <f t="shared" si="3"/>
        <v>17</v>
      </c>
      <c r="N121" s="99" t="s">
        <v>3</v>
      </c>
      <c r="O121" s="99" t="s">
        <v>1004</v>
      </c>
      <c r="P121" s="99" t="s">
        <v>1274</v>
      </c>
      <c r="Q121" s="99"/>
      <c r="R121" s="99" t="s">
        <v>1309</v>
      </c>
    </row>
    <row r="122" spans="2:18" ht="25.5">
      <c r="B122" s="199"/>
      <c r="C122" s="202"/>
      <c r="D122" s="99">
        <v>115</v>
      </c>
      <c r="E122" s="99" t="s">
        <v>161</v>
      </c>
      <c r="F122" s="99" t="s">
        <v>12</v>
      </c>
      <c r="G122" s="140" t="s">
        <v>162</v>
      </c>
      <c r="H122" s="99" t="s">
        <v>18</v>
      </c>
      <c r="I122" s="99" t="s">
        <v>15</v>
      </c>
      <c r="J122" s="102" t="s">
        <v>993</v>
      </c>
      <c r="K122" s="100">
        <v>39541</v>
      </c>
      <c r="L122" s="101" t="s">
        <v>1008</v>
      </c>
      <c r="M122" s="140">
        <f t="shared" si="3"/>
        <v>11</v>
      </c>
      <c r="N122" s="99" t="s">
        <v>3</v>
      </c>
      <c r="O122" s="99" t="s">
        <v>1004</v>
      </c>
      <c r="P122" s="99" t="s">
        <v>1288</v>
      </c>
      <c r="Q122" s="99"/>
      <c r="R122" s="99" t="s">
        <v>1277</v>
      </c>
    </row>
    <row r="123" spans="2:18">
      <c r="B123" s="195">
        <v>32</v>
      </c>
      <c r="C123" s="195"/>
      <c r="D123" s="99">
        <v>116</v>
      </c>
      <c r="E123" s="99" t="s">
        <v>163</v>
      </c>
      <c r="F123" s="99" t="s">
        <v>6</v>
      </c>
      <c r="G123" s="140" t="s">
        <v>164</v>
      </c>
      <c r="H123" s="99" t="s">
        <v>18</v>
      </c>
      <c r="I123" s="99" t="s">
        <v>9</v>
      </c>
      <c r="J123" s="102"/>
      <c r="K123" s="100">
        <v>27029</v>
      </c>
      <c r="L123" s="140">
        <v>1973</v>
      </c>
      <c r="M123" s="140">
        <f t="shared" si="3"/>
        <v>46</v>
      </c>
      <c r="N123" s="99" t="s">
        <v>3</v>
      </c>
      <c r="O123" s="99"/>
      <c r="P123" s="99" t="s">
        <v>1273</v>
      </c>
      <c r="Q123" s="99"/>
      <c r="R123" s="99" t="s">
        <v>23</v>
      </c>
    </row>
    <row r="124" spans="2:18">
      <c r="B124" s="196"/>
      <c r="C124" s="196"/>
      <c r="D124" s="99">
        <v>117</v>
      </c>
      <c r="E124" s="99" t="s">
        <v>165</v>
      </c>
      <c r="F124" s="99" t="s">
        <v>21</v>
      </c>
      <c r="G124" s="140" t="s">
        <v>166</v>
      </c>
      <c r="H124" s="99" t="s">
        <v>1</v>
      </c>
      <c r="I124" s="99" t="s">
        <v>9</v>
      </c>
      <c r="J124" s="102"/>
      <c r="K124" s="100">
        <v>27401</v>
      </c>
      <c r="L124" s="140">
        <v>1975</v>
      </c>
      <c r="M124" s="140">
        <f t="shared" si="3"/>
        <v>44</v>
      </c>
      <c r="N124" s="99" t="s">
        <v>3</v>
      </c>
      <c r="O124" s="99"/>
      <c r="P124" s="99" t="s">
        <v>1273</v>
      </c>
      <c r="Q124" s="99"/>
      <c r="R124" s="99" t="s">
        <v>23</v>
      </c>
    </row>
    <row r="125" spans="2:18">
      <c r="B125" s="199">
        <v>33</v>
      </c>
      <c r="C125" s="203" t="s">
        <v>1451</v>
      </c>
      <c r="D125" s="99">
        <v>118</v>
      </c>
      <c r="E125" s="99" t="s">
        <v>169</v>
      </c>
      <c r="F125" s="99" t="s">
        <v>6</v>
      </c>
      <c r="G125" s="140" t="s">
        <v>170</v>
      </c>
      <c r="H125" s="99" t="s">
        <v>1</v>
      </c>
      <c r="I125" s="99" t="s">
        <v>1235</v>
      </c>
      <c r="J125" s="102" t="s">
        <v>993</v>
      </c>
      <c r="K125" s="100">
        <v>21002</v>
      </c>
      <c r="L125" s="140">
        <v>1957</v>
      </c>
      <c r="M125" s="140">
        <f t="shared" si="3"/>
        <v>62</v>
      </c>
      <c r="N125" s="99" t="s">
        <v>3</v>
      </c>
      <c r="O125" s="99" t="s">
        <v>1004</v>
      </c>
      <c r="P125" s="99" t="s">
        <v>1272</v>
      </c>
      <c r="Q125" s="99"/>
      <c r="R125" s="99" t="s">
        <v>1318</v>
      </c>
    </row>
    <row r="126" spans="2:18">
      <c r="B126" s="199"/>
      <c r="C126" s="203"/>
      <c r="D126" s="99">
        <v>119</v>
      </c>
      <c r="E126" s="99" t="s">
        <v>167</v>
      </c>
      <c r="F126" s="99" t="s">
        <v>1452</v>
      </c>
      <c r="G126" s="140" t="s">
        <v>168</v>
      </c>
      <c r="H126" s="99" t="s">
        <v>1</v>
      </c>
      <c r="I126" s="99" t="s">
        <v>15</v>
      </c>
      <c r="J126" s="102" t="s">
        <v>1453</v>
      </c>
      <c r="K126" s="100">
        <v>35062</v>
      </c>
      <c r="L126" s="140">
        <v>1995</v>
      </c>
      <c r="M126" s="140">
        <f t="shared" si="3"/>
        <v>24</v>
      </c>
      <c r="N126" s="99" t="s">
        <v>3</v>
      </c>
      <c r="O126" s="99" t="s">
        <v>1004</v>
      </c>
      <c r="P126" s="99" t="s">
        <v>1287</v>
      </c>
      <c r="Q126" s="99"/>
      <c r="R126" s="99" t="s">
        <v>1309</v>
      </c>
    </row>
    <row r="127" spans="2:18" ht="25.5">
      <c r="B127" s="199">
        <v>34</v>
      </c>
      <c r="C127" s="199" t="s">
        <v>1437</v>
      </c>
      <c r="D127" s="99">
        <v>120</v>
      </c>
      <c r="E127" s="99" t="s">
        <v>171</v>
      </c>
      <c r="F127" s="99" t="s">
        <v>6</v>
      </c>
      <c r="G127" s="140" t="s">
        <v>1439</v>
      </c>
      <c r="H127" s="99" t="s">
        <v>18</v>
      </c>
      <c r="I127" s="99" t="s">
        <v>9</v>
      </c>
      <c r="J127" s="102" t="s">
        <v>1016</v>
      </c>
      <c r="K127" s="100">
        <v>27759</v>
      </c>
      <c r="L127" s="140">
        <v>1975</v>
      </c>
      <c r="M127" s="140">
        <f t="shared" si="3"/>
        <v>44</v>
      </c>
      <c r="N127" s="99" t="s">
        <v>3</v>
      </c>
      <c r="O127" s="99" t="s">
        <v>1004</v>
      </c>
      <c r="P127" s="99" t="s">
        <v>1273</v>
      </c>
      <c r="Q127" s="99"/>
      <c r="R127" s="99" t="s">
        <v>1318</v>
      </c>
    </row>
    <row r="128" spans="2:18" ht="25.5">
      <c r="B128" s="199"/>
      <c r="C128" s="199"/>
      <c r="D128" s="99">
        <v>121</v>
      </c>
      <c r="E128" s="99" t="s">
        <v>172</v>
      </c>
      <c r="F128" s="99" t="s">
        <v>21</v>
      </c>
      <c r="G128" s="140" t="s">
        <v>1440</v>
      </c>
      <c r="H128" s="99" t="s">
        <v>1</v>
      </c>
      <c r="I128" s="99" t="s">
        <v>9</v>
      </c>
      <c r="J128" s="102" t="s">
        <v>1092</v>
      </c>
      <c r="K128" s="100">
        <v>25020</v>
      </c>
      <c r="L128" s="140">
        <v>1968</v>
      </c>
      <c r="M128" s="140">
        <f t="shared" si="3"/>
        <v>51</v>
      </c>
      <c r="N128" s="99" t="s">
        <v>3</v>
      </c>
      <c r="O128" s="99" t="s">
        <v>1004</v>
      </c>
      <c r="P128" s="99" t="s">
        <v>1288</v>
      </c>
      <c r="Q128" s="99"/>
      <c r="R128" s="99" t="s">
        <v>1275</v>
      </c>
    </row>
    <row r="129" spans="2:18" ht="25.5">
      <c r="B129" s="199"/>
      <c r="C129" s="199"/>
      <c r="D129" s="99">
        <v>122</v>
      </c>
      <c r="E129" s="99" t="s">
        <v>175</v>
      </c>
      <c r="F129" s="99" t="s">
        <v>12</v>
      </c>
      <c r="G129" s="140" t="s">
        <v>1441</v>
      </c>
      <c r="H129" s="99" t="s">
        <v>1</v>
      </c>
      <c r="I129" s="99" t="s">
        <v>15</v>
      </c>
      <c r="J129" s="102" t="s">
        <v>1016</v>
      </c>
      <c r="K129" s="100">
        <v>34825</v>
      </c>
      <c r="L129" s="140">
        <v>1995</v>
      </c>
      <c r="M129" s="140">
        <f t="shared" si="3"/>
        <v>24</v>
      </c>
      <c r="N129" s="99" t="s">
        <v>3</v>
      </c>
      <c r="O129" s="99" t="s">
        <v>1004</v>
      </c>
      <c r="P129" s="99" t="s">
        <v>1287</v>
      </c>
      <c r="Q129" s="99"/>
      <c r="R129" s="99" t="s">
        <v>1309</v>
      </c>
    </row>
    <row r="130" spans="2:18" ht="25.5">
      <c r="B130" s="199"/>
      <c r="C130" s="199"/>
      <c r="D130" s="99">
        <v>123</v>
      </c>
      <c r="E130" s="99" t="s">
        <v>1438</v>
      </c>
      <c r="F130" s="99" t="s">
        <v>12</v>
      </c>
      <c r="G130" s="140" t="s">
        <v>1442</v>
      </c>
      <c r="H130" s="99" t="s">
        <v>18</v>
      </c>
      <c r="I130" s="99" t="s">
        <v>15</v>
      </c>
      <c r="J130" s="102" t="s">
        <v>1016</v>
      </c>
      <c r="K130" s="100">
        <v>37120</v>
      </c>
      <c r="L130" s="140">
        <v>2001</v>
      </c>
      <c r="M130" s="140">
        <f t="shared" si="3"/>
        <v>18</v>
      </c>
      <c r="N130" s="99" t="s">
        <v>3</v>
      </c>
      <c r="O130" s="99" t="s">
        <v>1004</v>
      </c>
      <c r="P130" s="99" t="s">
        <v>1274</v>
      </c>
      <c r="Q130" s="99"/>
      <c r="R130" s="99" t="s">
        <v>1309</v>
      </c>
    </row>
    <row r="131" spans="2:18" ht="25.5">
      <c r="B131" s="199">
        <v>35</v>
      </c>
      <c r="C131" s="199" t="s">
        <v>1392</v>
      </c>
      <c r="D131" s="99">
        <v>124</v>
      </c>
      <c r="E131" s="99" t="s">
        <v>176</v>
      </c>
      <c r="F131" s="99" t="s">
        <v>6</v>
      </c>
      <c r="G131" s="140" t="s">
        <v>177</v>
      </c>
      <c r="H131" s="99" t="s">
        <v>18</v>
      </c>
      <c r="I131" s="99" t="s">
        <v>9</v>
      </c>
      <c r="J131" s="102" t="s">
        <v>993</v>
      </c>
      <c r="K131" s="100">
        <v>19906</v>
      </c>
      <c r="L131" s="140">
        <v>1954</v>
      </c>
      <c r="M131" s="140">
        <f t="shared" si="3"/>
        <v>65</v>
      </c>
      <c r="N131" s="99" t="s">
        <v>3</v>
      </c>
      <c r="O131" s="99" t="s">
        <v>1004</v>
      </c>
      <c r="P131" s="99" t="s">
        <v>1274</v>
      </c>
      <c r="Q131" s="99"/>
      <c r="R131" s="99" t="s">
        <v>1318</v>
      </c>
    </row>
    <row r="132" spans="2:18" ht="25.5">
      <c r="B132" s="199"/>
      <c r="C132" s="199"/>
      <c r="D132" s="99">
        <v>125</v>
      </c>
      <c r="E132" s="99" t="s">
        <v>1393</v>
      </c>
      <c r="F132" s="99" t="s">
        <v>21</v>
      </c>
      <c r="G132" s="140" t="s">
        <v>178</v>
      </c>
      <c r="H132" s="99" t="s">
        <v>1</v>
      </c>
      <c r="I132" s="99" t="s">
        <v>9</v>
      </c>
      <c r="J132" s="102" t="s">
        <v>993</v>
      </c>
      <c r="K132" s="100">
        <v>25020</v>
      </c>
      <c r="L132" s="140">
        <v>1968</v>
      </c>
      <c r="M132" s="140">
        <f t="shared" si="3"/>
        <v>51</v>
      </c>
      <c r="N132" s="99" t="s">
        <v>3</v>
      </c>
      <c r="O132" s="99" t="s">
        <v>1004</v>
      </c>
      <c r="P132" s="99" t="s">
        <v>1272</v>
      </c>
      <c r="Q132" s="99"/>
      <c r="R132" s="99" t="s">
        <v>1276</v>
      </c>
    </row>
    <row r="133" spans="2:18" ht="25.5">
      <c r="B133" s="199">
        <v>36</v>
      </c>
      <c r="C133" s="202" t="s">
        <v>1493</v>
      </c>
      <c r="D133" s="99">
        <v>126</v>
      </c>
      <c r="E133" s="99" t="s">
        <v>179</v>
      </c>
      <c r="F133" s="99" t="s">
        <v>6</v>
      </c>
      <c r="G133" s="101" t="s">
        <v>1494</v>
      </c>
      <c r="H133" s="99" t="s">
        <v>18</v>
      </c>
      <c r="I133" s="99" t="s">
        <v>9</v>
      </c>
      <c r="J133" s="102" t="s">
        <v>993</v>
      </c>
      <c r="K133" s="100">
        <v>25207</v>
      </c>
      <c r="L133" s="101" t="s">
        <v>1034</v>
      </c>
      <c r="M133" s="140">
        <f t="shared" si="3"/>
        <v>50</v>
      </c>
      <c r="N133" s="99" t="s">
        <v>3</v>
      </c>
      <c r="O133" s="99" t="s">
        <v>1004</v>
      </c>
      <c r="P133" s="99" t="s">
        <v>1288</v>
      </c>
      <c r="Q133" s="99"/>
      <c r="R133" s="99" t="s">
        <v>1275</v>
      </c>
    </row>
    <row r="134" spans="2:18" ht="25.5">
      <c r="B134" s="199"/>
      <c r="C134" s="202"/>
      <c r="D134" s="99">
        <v>127</v>
      </c>
      <c r="E134" s="99" t="s">
        <v>180</v>
      </c>
      <c r="F134" s="99" t="s">
        <v>21</v>
      </c>
      <c r="G134" s="101" t="s">
        <v>1495</v>
      </c>
      <c r="H134" s="99" t="s">
        <v>1</v>
      </c>
      <c r="I134" s="99" t="s">
        <v>9</v>
      </c>
      <c r="J134" s="102" t="s">
        <v>993</v>
      </c>
      <c r="K134" s="100">
        <v>26846</v>
      </c>
      <c r="L134" s="101" t="s">
        <v>1035</v>
      </c>
      <c r="M134" s="140">
        <f t="shared" si="3"/>
        <v>46</v>
      </c>
      <c r="N134" s="99" t="s">
        <v>3</v>
      </c>
      <c r="O134" s="99" t="s">
        <v>1004</v>
      </c>
      <c r="P134" s="99" t="s">
        <v>1274</v>
      </c>
      <c r="Q134" s="99"/>
      <c r="R134" s="99" t="s">
        <v>1275</v>
      </c>
    </row>
    <row r="135" spans="2:18" ht="25.5">
      <c r="B135" s="199"/>
      <c r="C135" s="202"/>
      <c r="D135" s="99">
        <v>128</v>
      </c>
      <c r="E135" s="99" t="s">
        <v>1033</v>
      </c>
      <c r="F135" s="99" t="s">
        <v>12</v>
      </c>
      <c r="G135" s="101" t="s">
        <v>1496</v>
      </c>
      <c r="H135" s="99" t="s">
        <v>18</v>
      </c>
      <c r="I135" s="99" t="s">
        <v>15</v>
      </c>
      <c r="J135" s="102" t="s">
        <v>993</v>
      </c>
      <c r="K135" s="100">
        <v>38386</v>
      </c>
      <c r="L135" s="101" t="s">
        <v>1036</v>
      </c>
      <c r="M135" s="140">
        <f t="shared" si="3"/>
        <v>14</v>
      </c>
      <c r="N135" s="99" t="s">
        <v>3</v>
      </c>
      <c r="O135" s="99" t="s">
        <v>1004</v>
      </c>
      <c r="P135" s="99" t="s">
        <v>1288</v>
      </c>
      <c r="Q135" s="99"/>
      <c r="R135" s="99" t="s">
        <v>1277</v>
      </c>
    </row>
    <row r="136" spans="2:18" ht="25.5">
      <c r="B136" s="199"/>
      <c r="C136" s="202"/>
      <c r="D136" s="99">
        <v>129</v>
      </c>
      <c r="E136" s="99" t="s">
        <v>181</v>
      </c>
      <c r="F136" s="99" t="s">
        <v>12</v>
      </c>
      <c r="G136" s="101" t="s">
        <v>1497</v>
      </c>
      <c r="H136" s="99" t="s">
        <v>1</v>
      </c>
      <c r="I136" s="99" t="s">
        <v>15</v>
      </c>
      <c r="J136" s="102" t="s">
        <v>993</v>
      </c>
      <c r="K136" s="100">
        <v>40171</v>
      </c>
      <c r="L136" s="101" t="s">
        <v>992</v>
      </c>
      <c r="M136" s="140">
        <f t="shared" si="3"/>
        <v>10</v>
      </c>
      <c r="N136" s="99" t="s">
        <v>3</v>
      </c>
      <c r="O136" s="99" t="s">
        <v>1004</v>
      </c>
      <c r="P136" s="99" t="s">
        <v>1288</v>
      </c>
      <c r="Q136" s="99"/>
      <c r="R136" s="99" t="s">
        <v>1277</v>
      </c>
    </row>
    <row r="137" spans="2:18" ht="25.5">
      <c r="B137" s="199">
        <v>37</v>
      </c>
      <c r="C137" s="199" t="s">
        <v>1534</v>
      </c>
      <c r="D137" s="99">
        <v>130</v>
      </c>
      <c r="E137" s="99" t="s">
        <v>182</v>
      </c>
      <c r="F137" s="99" t="s">
        <v>6</v>
      </c>
      <c r="G137" s="140" t="s">
        <v>1535</v>
      </c>
      <c r="H137" s="99" t="s">
        <v>18</v>
      </c>
      <c r="I137" s="99" t="s">
        <v>9</v>
      </c>
      <c r="J137" s="102" t="s">
        <v>1016</v>
      </c>
      <c r="K137" s="100">
        <v>28672</v>
      </c>
      <c r="L137" s="140">
        <v>1978</v>
      </c>
      <c r="M137" s="140">
        <f t="shared" si="3"/>
        <v>41</v>
      </c>
      <c r="N137" s="99" t="s">
        <v>3</v>
      </c>
      <c r="O137" s="99" t="s">
        <v>1004</v>
      </c>
      <c r="P137" s="99" t="s">
        <v>1272</v>
      </c>
      <c r="Q137" s="99"/>
      <c r="R137" s="99" t="s">
        <v>1032</v>
      </c>
    </row>
    <row r="138" spans="2:18" ht="25.5">
      <c r="B138" s="199"/>
      <c r="C138" s="199"/>
      <c r="D138" s="99">
        <v>131</v>
      </c>
      <c r="E138" s="99" t="s">
        <v>183</v>
      </c>
      <c r="F138" s="99" t="s">
        <v>21</v>
      </c>
      <c r="G138" s="140" t="s">
        <v>1536</v>
      </c>
      <c r="H138" s="99" t="s">
        <v>1</v>
      </c>
      <c r="I138" s="99" t="s">
        <v>9</v>
      </c>
      <c r="J138" s="102" t="s">
        <v>993</v>
      </c>
      <c r="K138" s="100">
        <v>28959</v>
      </c>
      <c r="L138" s="140">
        <v>1979</v>
      </c>
      <c r="M138" s="140">
        <f t="shared" si="3"/>
        <v>40</v>
      </c>
      <c r="N138" s="99" t="s">
        <v>3</v>
      </c>
      <c r="O138" s="99" t="s">
        <v>1004</v>
      </c>
      <c r="P138" s="99" t="s">
        <v>1272</v>
      </c>
      <c r="Q138" s="99"/>
      <c r="R138" s="99" t="s">
        <v>1275</v>
      </c>
    </row>
    <row r="139" spans="2:18" ht="25.5">
      <c r="B139" s="199"/>
      <c r="C139" s="199"/>
      <c r="D139" s="99">
        <v>132</v>
      </c>
      <c r="E139" s="99" t="s">
        <v>184</v>
      </c>
      <c r="F139" s="99" t="s">
        <v>12</v>
      </c>
      <c r="G139" s="140" t="s">
        <v>1537</v>
      </c>
      <c r="H139" s="99" t="s">
        <v>18</v>
      </c>
      <c r="I139" s="99" t="s">
        <v>15</v>
      </c>
      <c r="J139" s="102" t="s">
        <v>1016</v>
      </c>
      <c r="K139" s="100">
        <v>36260</v>
      </c>
      <c r="L139" s="140">
        <v>1999</v>
      </c>
      <c r="M139" s="140">
        <f t="shared" si="3"/>
        <v>20</v>
      </c>
      <c r="N139" s="99" t="s">
        <v>3</v>
      </c>
      <c r="O139" s="99" t="s">
        <v>1004</v>
      </c>
      <c r="P139" s="99" t="s">
        <v>1287</v>
      </c>
      <c r="Q139" s="99"/>
      <c r="R139" s="99" t="s">
        <v>1309</v>
      </c>
    </row>
    <row r="140" spans="2:18" ht="25.5">
      <c r="B140" s="199"/>
      <c r="C140" s="199"/>
      <c r="D140" s="99">
        <v>133</v>
      </c>
      <c r="E140" s="99" t="s">
        <v>185</v>
      </c>
      <c r="F140" s="99" t="s">
        <v>12</v>
      </c>
      <c r="G140" s="140" t="s">
        <v>1538</v>
      </c>
      <c r="H140" s="99" t="s">
        <v>1</v>
      </c>
      <c r="I140" s="99" t="s">
        <v>15</v>
      </c>
      <c r="J140" s="102" t="s">
        <v>993</v>
      </c>
      <c r="K140" s="100">
        <v>38169</v>
      </c>
      <c r="L140" s="140">
        <v>2004</v>
      </c>
      <c r="M140" s="140">
        <f t="shared" si="3"/>
        <v>15</v>
      </c>
      <c r="N140" s="99" t="s">
        <v>3</v>
      </c>
      <c r="O140" s="99" t="s">
        <v>1004</v>
      </c>
      <c r="P140" s="99" t="s">
        <v>1274</v>
      </c>
      <c r="Q140" s="99"/>
      <c r="R140" s="99" t="s">
        <v>1309</v>
      </c>
    </row>
    <row r="141" spans="2:18" ht="25.5">
      <c r="B141" s="199">
        <v>38</v>
      </c>
      <c r="C141" s="202" t="s">
        <v>1479</v>
      </c>
      <c r="D141" s="99">
        <v>134</v>
      </c>
      <c r="E141" s="99" t="s">
        <v>186</v>
      </c>
      <c r="F141" s="99" t="s">
        <v>6</v>
      </c>
      <c r="G141" s="101" t="s">
        <v>1480</v>
      </c>
      <c r="H141" s="99" t="s">
        <v>18</v>
      </c>
      <c r="I141" s="99" t="s">
        <v>9</v>
      </c>
      <c r="J141" s="102" t="s">
        <v>993</v>
      </c>
      <c r="K141" s="100">
        <v>18445</v>
      </c>
      <c r="L141" s="101" t="s">
        <v>1030</v>
      </c>
      <c r="M141" s="140">
        <f t="shared" si="3"/>
        <v>69</v>
      </c>
      <c r="N141" s="99" t="s">
        <v>3</v>
      </c>
      <c r="O141" s="99" t="s">
        <v>1004</v>
      </c>
      <c r="P141" s="99" t="s">
        <v>1288</v>
      </c>
      <c r="Q141" s="99"/>
      <c r="R141" s="99" t="s">
        <v>1032</v>
      </c>
    </row>
    <row r="142" spans="2:18" ht="25.5">
      <c r="B142" s="199"/>
      <c r="C142" s="199"/>
      <c r="D142" s="99">
        <v>135</v>
      </c>
      <c r="E142" s="99" t="s">
        <v>1029</v>
      </c>
      <c r="F142" s="99" t="s">
        <v>21</v>
      </c>
      <c r="G142" s="101" t="s">
        <v>1481</v>
      </c>
      <c r="H142" s="99" t="s">
        <v>1</v>
      </c>
      <c r="I142" s="99" t="s">
        <v>9</v>
      </c>
      <c r="J142" s="102" t="s">
        <v>993</v>
      </c>
      <c r="K142" s="100">
        <v>21732</v>
      </c>
      <c r="L142" s="101" t="s">
        <v>1031</v>
      </c>
      <c r="M142" s="140">
        <f t="shared" si="3"/>
        <v>60</v>
      </c>
      <c r="N142" s="99" t="s">
        <v>3</v>
      </c>
      <c r="O142" s="99" t="s">
        <v>1004</v>
      </c>
      <c r="P142" s="99" t="s">
        <v>1288</v>
      </c>
      <c r="Q142" s="99"/>
      <c r="R142" s="99" t="s">
        <v>1276</v>
      </c>
    </row>
    <row r="143" spans="2:18" ht="25.5">
      <c r="B143" s="199"/>
      <c r="C143" s="199"/>
      <c r="D143" s="99">
        <v>136</v>
      </c>
      <c r="E143" s="99" t="s">
        <v>187</v>
      </c>
      <c r="F143" s="99" t="s">
        <v>12</v>
      </c>
      <c r="G143" s="101" t="s">
        <v>1482</v>
      </c>
      <c r="H143" s="99" t="s">
        <v>1</v>
      </c>
      <c r="I143" s="99" t="s">
        <v>15</v>
      </c>
      <c r="J143" s="102" t="s">
        <v>993</v>
      </c>
      <c r="K143" s="100">
        <v>29351</v>
      </c>
      <c r="L143" s="101" t="s">
        <v>990</v>
      </c>
      <c r="M143" s="140">
        <f t="shared" si="3"/>
        <v>39</v>
      </c>
      <c r="N143" s="99" t="s">
        <v>3</v>
      </c>
      <c r="O143" s="99" t="s">
        <v>1004</v>
      </c>
      <c r="P143" s="99" t="s">
        <v>1272</v>
      </c>
      <c r="Q143" s="99"/>
      <c r="R143" s="99" t="s">
        <v>1275</v>
      </c>
    </row>
    <row r="144" spans="2:18" ht="25.5">
      <c r="B144" s="199">
        <v>39</v>
      </c>
      <c r="C144" s="202" t="s">
        <v>1546</v>
      </c>
      <c r="D144" s="99">
        <v>137</v>
      </c>
      <c r="E144" s="99" t="s">
        <v>188</v>
      </c>
      <c r="F144" s="99" t="s">
        <v>6</v>
      </c>
      <c r="G144" s="140" t="s">
        <v>189</v>
      </c>
      <c r="H144" s="99" t="s">
        <v>18</v>
      </c>
      <c r="I144" s="99" t="s">
        <v>9</v>
      </c>
      <c r="J144" s="102" t="s">
        <v>993</v>
      </c>
      <c r="K144" s="100">
        <v>28934</v>
      </c>
      <c r="L144" s="101" t="s">
        <v>996</v>
      </c>
      <c r="M144" s="140">
        <f t="shared" si="3"/>
        <v>40</v>
      </c>
      <c r="N144" s="99" t="s">
        <v>3</v>
      </c>
      <c r="O144" s="99" t="s">
        <v>1004</v>
      </c>
      <c r="P144" s="99" t="s">
        <v>1274</v>
      </c>
      <c r="Q144" s="99"/>
      <c r="R144" s="99" t="s">
        <v>23</v>
      </c>
    </row>
    <row r="145" spans="2:18" ht="25.5">
      <c r="B145" s="199"/>
      <c r="C145" s="202"/>
      <c r="D145" s="99">
        <v>138</v>
      </c>
      <c r="E145" s="99" t="s">
        <v>994</v>
      </c>
      <c r="F145" s="99" t="s">
        <v>21</v>
      </c>
      <c r="G145" s="140" t="s">
        <v>190</v>
      </c>
      <c r="H145" s="99" t="s">
        <v>1</v>
      </c>
      <c r="I145" s="99" t="s">
        <v>9</v>
      </c>
      <c r="J145" s="102" t="s">
        <v>995</v>
      </c>
      <c r="K145" s="141">
        <v>35010</v>
      </c>
      <c r="L145" s="101" t="s">
        <v>997</v>
      </c>
      <c r="M145" s="140">
        <f t="shared" si="3"/>
        <v>24</v>
      </c>
      <c r="N145" s="99" t="s">
        <v>3</v>
      </c>
      <c r="O145" s="99" t="s">
        <v>1004</v>
      </c>
      <c r="P145" s="99" t="s">
        <v>1287</v>
      </c>
      <c r="Q145" s="99"/>
      <c r="R145" s="99" t="s">
        <v>1276</v>
      </c>
    </row>
    <row r="146" spans="2:18" ht="25.5">
      <c r="B146" s="199"/>
      <c r="C146" s="202"/>
      <c r="D146" s="99">
        <v>139</v>
      </c>
      <c r="E146" s="99" t="s">
        <v>191</v>
      </c>
      <c r="F146" s="99" t="s">
        <v>12</v>
      </c>
      <c r="G146" s="140" t="s">
        <v>192</v>
      </c>
      <c r="H146" s="99" t="s">
        <v>1</v>
      </c>
      <c r="I146" s="99" t="s">
        <v>15</v>
      </c>
      <c r="J146" s="102" t="s">
        <v>993</v>
      </c>
      <c r="K146" s="100">
        <v>41658</v>
      </c>
      <c r="L146" s="101" t="s">
        <v>998</v>
      </c>
      <c r="M146" s="140">
        <f t="shared" si="3"/>
        <v>5</v>
      </c>
      <c r="N146" s="99" t="s">
        <v>3</v>
      </c>
      <c r="O146" s="99" t="s">
        <v>1004</v>
      </c>
      <c r="P146" s="99" t="s">
        <v>1288</v>
      </c>
      <c r="Q146" s="99"/>
      <c r="R146" s="99" t="s">
        <v>1277</v>
      </c>
    </row>
    <row r="147" spans="2:18">
      <c r="B147" s="195">
        <v>40</v>
      </c>
      <c r="C147" s="195"/>
      <c r="D147" s="99">
        <v>140</v>
      </c>
      <c r="E147" s="99" t="s">
        <v>193</v>
      </c>
      <c r="F147" s="99" t="s">
        <v>6</v>
      </c>
      <c r="G147" s="140"/>
      <c r="H147" s="99" t="s">
        <v>18</v>
      </c>
      <c r="I147" s="99" t="s">
        <v>9</v>
      </c>
      <c r="J147" s="102"/>
      <c r="K147" s="100">
        <v>28862</v>
      </c>
      <c r="L147" s="140">
        <v>1979</v>
      </c>
      <c r="M147" s="140">
        <f t="shared" si="3"/>
        <v>40</v>
      </c>
      <c r="N147" s="99" t="s">
        <v>3</v>
      </c>
      <c r="O147" s="99"/>
      <c r="P147" s="99" t="s">
        <v>1273</v>
      </c>
      <c r="Q147" s="99"/>
      <c r="R147" s="99" t="s">
        <v>39</v>
      </c>
    </row>
    <row r="148" spans="2:18">
      <c r="B148" s="198"/>
      <c r="C148" s="198"/>
      <c r="D148" s="99">
        <v>141</v>
      </c>
      <c r="E148" s="99" t="s">
        <v>194</v>
      </c>
      <c r="F148" s="99" t="s">
        <v>21</v>
      </c>
      <c r="G148" s="140"/>
      <c r="H148" s="99" t="s">
        <v>1</v>
      </c>
      <c r="I148" s="99" t="s">
        <v>9</v>
      </c>
      <c r="J148" s="102"/>
      <c r="K148" s="100">
        <v>31784</v>
      </c>
      <c r="L148" s="140">
        <v>1987</v>
      </c>
      <c r="M148" s="140">
        <f t="shared" si="3"/>
        <v>32</v>
      </c>
      <c r="N148" s="99" t="s">
        <v>3</v>
      </c>
      <c r="O148" s="99"/>
      <c r="P148" s="99" t="s">
        <v>1273</v>
      </c>
      <c r="Q148" s="99"/>
      <c r="R148" s="99" t="s">
        <v>39</v>
      </c>
    </row>
    <row r="149" spans="2:18">
      <c r="B149" s="198"/>
      <c r="C149" s="198"/>
      <c r="D149" s="99">
        <v>142</v>
      </c>
      <c r="E149" s="99" t="s">
        <v>195</v>
      </c>
      <c r="F149" s="99" t="s">
        <v>12</v>
      </c>
      <c r="G149" s="140"/>
      <c r="H149" s="99" t="s">
        <v>18</v>
      </c>
      <c r="I149" s="99" t="s">
        <v>15</v>
      </c>
      <c r="J149" s="102"/>
      <c r="K149" s="100">
        <v>39362</v>
      </c>
      <c r="L149" s="140">
        <v>2007</v>
      </c>
      <c r="M149" s="140">
        <f t="shared" si="3"/>
        <v>12</v>
      </c>
      <c r="N149" s="99" t="s">
        <v>3</v>
      </c>
      <c r="O149" s="99"/>
      <c r="P149" s="99" t="s">
        <v>11</v>
      </c>
      <c r="Q149" s="99"/>
      <c r="R149" s="99" t="s">
        <v>11</v>
      </c>
    </row>
    <row r="150" spans="2:18">
      <c r="B150" s="198"/>
      <c r="C150" s="198"/>
      <c r="D150" s="99">
        <v>143</v>
      </c>
      <c r="E150" s="99" t="s">
        <v>196</v>
      </c>
      <c r="F150" s="99" t="s">
        <v>12</v>
      </c>
      <c r="G150" s="140"/>
      <c r="H150" s="99" t="s">
        <v>18</v>
      </c>
      <c r="I150" s="99" t="s">
        <v>15</v>
      </c>
      <c r="J150" s="102"/>
      <c r="K150" s="100">
        <v>39790</v>
      </c>
      <c r="L150" s="140">
        <v>2008</v>
      </c>
      <c r="M150" s="140">
        <f t="shared" si="3"/>
        <v>11</v>
      </c>
      <c r="N150" s="99" t="s">
        <v>3</v>
      </c>
      <c r="O150" s="99"/>
      <c r="P150" s="99" t="s">
        <v>11</v>
      </c>
      <c r="Q150" s="99"/>
      <c r="R150" s="99" t="s">
        <v>11</v>
      </c>
    </row>
    <row r="151" spans="2:18">
      <c r="B151" s="196"/>
      <c r="C151" s="196"/>
      <c r="D151" s="99">
        <v>144</v>
      </c>
      <c r="E151" s="99" t="s">
        <v>197</v>
      </c>
      <c r="F151" s="99" t="s">
        <v>12</v>
      </c>
      <c r="G151" s="140"/>
      <c r="H151" s="99" t="s">
        <v>18</v>
      </c>
      <c r="I151" s="99" t="s">
        <v>15</v>
      </c>
      <c r="J151" s="102"/>
      <c r="K151" s="100">
        <v>40958</v>
      </c>
      <c r="L151" s="140">
        <v>2012</v>
      </c>
      <c r="M151" s="140">
        <f t="shared" si="3"/>
        <v>7</v>
      </c>
      <c r="N151" s="99" t="s">
        <v>3</v>
      </c>
      <c r="O151" s="99"/>
      <c r="P151" s="99" t="s">
        <v>11</v>
      </c>
      <c r="Q151" s="99"/>
      <c r="R151" s="99" t="s">
        <v>11</v>
      </c>
    </row>
    <row r="152" spans="2:18">
      <c r="B152" s="195">
        <v>41</v>
      </c>
      <c r="C152" s="195"/>
      <c r="D152" s="99">
        <v>145</v>
      </c>
      <c r="E152" s="99" t="s">
        <v>198</v>
      </c>
      <c r="F152" s="99" t="s">
        <v>6</v>
      </c>
      <c r="G152" s="140" t="s">
        <v>199</v>
      </c>
      <c r="H152" s="99" t="s">
        <v>18</v>
      </c>
      <c r="I152" s="99" t="s">
        <v>9</v>
      </c>
      <c r="J152" s="102"/>
      <c r="K152" s="100">
        <v>19000</v>
      </c>
      <c r="L152" s="140">
        <v>1952</v>
      </c>
      <c r="M152" s="140">
        <f t="shared" si="3"/>
        <v>67</v>
      </c>
      <c r="N152" s="99" t="s">
        <v>3</v>
      </c>
      <c r="O152" s="99"/>
      <c r="P152" s="99" t="s">
        <v>11</v>
      </c>
      <c r="Q152" s="99"/>
      <c r="R152" s="99" t="s">
        <v>11</v>
      </c>
    </row>
    <row r="153" spans="2:18">
      <c r="B153" s="198"/>
      <c r="C153" s="198"/>
      <c r="D153" s="99">
        <v>146</v>
      </c>
      <c r="E153" s="99" t="s">
        <v>200</v>
      </c>
      <c r="F153" s="99" t="s">
        <v>21</v>
      </c>
      <c r="G153" s="140" t="s">
        <v>201</v>
      </c>
      <c r="H153" s="99" t="s">
        <v>1</v>
      </c>
      <c r="I153" s="99" t="s">
        <v>9</v>
      </c>
      <c r="J153" s="102"/>
      <c r="K153" s="100">
        <v>20461</v>
      </c>
      <c r="L153" s="140">
        <v>1956</v>
      </c>
      <c r="M153" s="140">
        <f t="shared" si="3"/>
        <v>63</v>
      </c>
      <c r="N153" s="99" t="s">
        <v>3</v>
      </c>
      <c r="O153" s="99"/>
      <c r="P153" s="99" t="s">
        <v>11</v>
      </c>
      <c r="Q153" s="99"/>
      <c r="R153" s="99" t="s">
        <v>5</v>
      </c>
    </row>
    <row r="154" spans="2:18">
      <c r="B154" s="198"/>
      <c r="C154" s="198"/>
      <c r="D154" s="99">
        <v>147</v>
      </c>
      <c r="E154" s="99" t="s">
        <v>202</v>
      </c>
      <c r="F154" s="99" t="s">
        <v>12</v>
      </c>
      <c r="G154" s="140"/>
      <c r="H154" s="99" t="s">
        <v>18</v>
      </c>
      <c r="I154" s="99" t="s">
        <v>15</v>
      </c>
      <c r="J154" s="102"/>
      <c r="K154" s="100">
        <v>27029</v>
      </c>
      <c r="L154" s="140">
        <v>1973</v>
      </c>
      <c r="M154" s="140">
        <f t="shared" si="3"/>
        <v>46</v>
      </c>
      <c r="N154" s="99" t="s">
        <v>3</v>
      </c>
      <c r="O154" s="99"/>
      <c r="P154" s="99" t="s">
        <v>1272</v>
      </c>
      <c r="Q154" s="99"/>
      <c r="R154" s="99" t="s">
        <v>23</v>
      </c>
    </row>
    <row r="155" spans="2:18">
      <c r="B155" s="198"/>
      <c r="C155" s="198"/>
      <c r="D155" s="99">
        <v>148</v>
      </c>
      <c r="E155" s="99" t="s">
        <v>203</v>
      </c>
      <c r="F155" s="99" t="s">
        <v>12</v>
      </c>
      <c r="G155" s="140"/>
      <c r="H155" s="99" t="s">
        <v>18</v>
      </c>
      <c r="I155" s="99" t="s">
        <v>133</v>
      </c>
      <c r="J155" s="102"/>
      <c r="K155" s="100">
        <v>27401</v>
      </c>
      <c r="L155" s="140">
        <v>1975</v>
      </c>
      <c r="M155" s="140">
        <f t="shared" si="3"/>
        <v>44</v>
      </c>
      <c r="N155" s="99" t="s">
        <v>3</v>
      </c>
      <c r="O155" s="99"/>
      <c r="P155" s="99" t="s">
        <v>1272</v>
      </c>
      <c r="Q155" s="99"/>
      <c r="R155" s="99" t="s">
        <v>39</v>
      </c>
    </row>
    <row r="156" spans="2:18">
      <c r="B156" s="196"/>
      <c r="C156" s="196"/>
      <c r="D156" s="99">
        <v>149</v>
      </c>
      <c r="E156" s="99" t="s">
        <v>204</v>
      </c>
      <c r="F156" s="99" t="s">
        <v>16</v>
      </c>
      <c r="G156" s="140"/>
      <c r="H156" s="99" t="s">
        <v>1</v>
      </c>
      <c r="I156" s="99" t="s">
        <v>15</v>
      </c>
      <c r="J156" s="102"/>
      <c r="K156" s="100">
        <v>35802</v>
      </c>
      <c r="L156" s="140">
        <v>1998</v>
      </c>
      <c r="M156" s="140">
        <f t="shared" si="3"/>
        <v>21</v>
      </c>
      <c r="N156" s="99" t="s">
        <v>3</v>
      </c>
      <c r="O156" s="99"/>
      <c r="P156" s="99" t="s">
        <v>1273</v>
      </c>
      <c r="Q156" s="99"/>
      <c r="R156" s="99" t="s">
        <v>11</v>
      </c>
    </row>
    <row r="157" spans="2:18" ht="25.5">
      <c r="B157" s="199">
        <v>42</v>
      </c>
      <c r="C157" s="202" t="s">
        <v>1443</v>
      </c>
      <c r="D157" s="99">
        <v>150</v>
      </c>
      <c r="E157" s="99" t="s">
        <v>1095</v>
      </c>
      <c r="F157" s="99" t="s">
        <v>6</v>
      </c>
      <c r="G157" s="140" t="s">
        <v>205</v>
      </c>
      <c r="H157" s="99" t="s">
        <v>18</v>
      </c>
      <c r="I157" s="99" t="s">
        <v>9</v>
      </c>
      <c r="J157" s="102" t="s">
        <v>1016</v>
      </c>
      <c r="K157" s="100">
        <v>24837</v>
      </c>
      <c r="L157" s="101" t="s">
        <v>1000</v>
      </c>
      <c r="M157" s="140">
        <f t="shared" ref="M157:M203" si="4">2019-L157</f>
        <v>52</v>
      </c>
      <c r="N157" s="99" t="s">
        <v>3</v>
      </c>
      <c r="O157" s="99" t="s">
        <v>1004</v>
      </c>
      <c r="P157" s="99" t="s">
        <v>1272</v>
      </c>
      <c r="Q157" s="99"/>
      <c r="R157" s="99" t="s">
        <v>23</v>
      </c>
    </row>
    <row r="158" spans="2:18" ht="25.5">
      <c r="B158" s="199"/>
      <c r="C158" s="199"/>
      <c r="D158" s="99">
        <v>151</v>
      </c>
      <c r="E158" s="99" t="s">
        <v>53</v>
      </c>
      <c r="F158" s="99" t="s">
        <v>21</v>
      </c>
      <c r="G158" s="140" t="s">
        <v>206</v>
      </c>
      <c r="H158" s="99" t="s">
        <v>1</v>
      </c>
      <c r="I158" s="99" t="s">
        <v>9</v>
      </c>
      <c r="J158" s="102" t="s">
        <v>1017</v>
      </c>
      <c r="K158" s="100">
        <v>27394</v>
      </c>
      <c r="L158" s="101" t="s">
        <v>1093</v>
      </c>
      <c r="M158" s="140">
        <f t="shared" si="4"/>
        <v>45</v>
      </c>
      <c r="N158" s="99" t="s">
        <v>3</v>
      </c>
      <c r="O158" s="99" t="s">
        <v>1004</v>
      </c>
      <c r="P158" s="99" t="s">
        <v>1272</v>
      </c>
      <c r="Q158" s="99"/>
      <c r="R158" s="99" t="s">
        <v>1276</v>
      </c>
    </row>
    <row r="159" spans="2:18" ht="25.5">
      <c r="B159" s="199"/>
      <c r="C159" s="199"/>
      <c r="D159" s="99">
        <v>152</v>
      </c>
      <c r="E159" s="99" t="s">
        <v>207</v>
      </c>
      <c r="F159" s="99" t="s">
        <v>12</v>
      </c>
      <c r="G159" s="140" t="s">
        <v>1444</v>
      </c>
      <c r="H159" s="99" t="s">
        <v>18</v>
      </c>
      <c r="I159" s="99" t="s">
        <v>15</v>
      </c>
      <c r="J159" s="102" t="s">
        <v>1016</v>
      </c>
      <c r="K159" s="100">
        <v>35173</v>
      </c>
      <c r="L159" s="101" t="s">
        <v>1054</v>
      </c>
      <c r="M159" s="140">
        <f t="shared" si="4"/>
        <v>23</v>
      </c>
      <c r="N159" s="99" t="s">
        <v>3</v>
      </c>
      <c r="O159" s="99" t="s">
        <v>1004</v>
      </c>
      <c r="P159" s="99" t="s">
        <v>1273</v>
      </c>
      <c r="Q159" s="99"/>
      <c r="R159" s="99" t="s">
        <v>1309</v>
      </c>
    </row>
    <row r="160" spans="2:18" ht="25.5">
      <c r="B160" s="199"/>
      <c r="C160" s="199"/>
      <c r="D160" s="99">
        <v>153</v>
      </c>
      <c r="E160" s="99" t="s">
        <v>208</v>
      </c>
      <c r="F160" s="99" t="s">
        <v>12</v>
      </c>
      <c r="G160" s="140" t="s">
        <v>209</v>
      </c>
      <c r="H160" s="99" t="s">
        <v>18</v>
      </c>
      <c r="I160" s="99" t="s">
        <v>15</v>
      </c>
      <c r="J160" s="102" t="s">
        <v>1016</v>
      </c>
      <c r="K160" s="100">
        <v>37370</v>
      </c>
      <c r="L160" s="101" t="s">
        <v>1007</v>
      </c>
      <c r="M160" s="140">
        <f t="shared" si="4"/>
        <v>17</v>
      </c>
      <c r="N160" s="99" t="s">
        <v>3</v>
      </c>
      <c r="O160" s="99" t="s">
        <v>1004</v>
      </c>
      <c r="P160" s="99" t="s">
        <v>1274</v>
      </c>
      <c r="Q160" s="99"/>
      <c r="R160" s="99" t="s">
        <v>1309</v>
      </c>
    </row>
    <row r="161" spans="2:46" ht="25.5">
      <c r="B161" s="199"/>
      <c r="C161" s="199"/>
      <c r="D161" s="99">
        <v>154</v>
      </c>
      <c r="E161" s="99" t="s">
        <v>210</v>
      </c>
      <c r="F161" s="99" t="s">
        <v>12</v>
      </c>
      <c r="G161" s="140" t="s">
        <v>211</v>
      </c>
      <c r="H161" s="99" t="s">
        <v>1</v>
      </c>
      <c r="I161" s="99" t="s">
        <v>15</v>
      </c>
      <c r="J161" s="102" t="s">
        <v>1016</v>
      </c>
      <c r="K161" s="100">
        <v>40550</v>
      </c>
      <c r="L161" s="101" t="s">
        <v>1096</v>
      </c>
      <c r="M161" s="140">
        <f t="shared" si="4"/>
        <v>8</v>
      </c>
      <c r="N161" s="99" t="s">
        <v>3</v>
      </c>
      <c r="O161" s="99" t="s">
        <v>1004</v>
      </c>
      <c r="P161" s="99" t="s">
        <v>1288</v>
      </c>
      <c r="Q161" s="99"/>
      <c r="R161" s="99" t="s">
        <v>1277</v>
      </c>
    </row>
    <row r="162" spans="2:46" ht="25.5">
      <c r="B162" s="199">
        <v>43</v>
      </c>
      <c r="C162" s="202" t="s">
        <v>1395</v>
      </c>
      <c r="D162" s="99">
        <v>155</v>
      </c>
      <c r="E162" s="99" t="s">
        <v>1037</v>
      </c>
      <c r="F162" s="99" t="s">
        <v>6</v>
      </c>
      <c r="G162" s="101" t="s">
        <v>1397</v>
      </c>
      <c r="H162" s="99" t="s">
        <v>18</v>
      </c>
      <c r="I162" s="99" t="s">
        <v>9</v>
      </c>
      <c r="J162" s="102" t="s">
        <v>993</v>
      </c>
      <c r="K162" s="100">
        <v>30133</v>
      </c>
      <c r="L162" s="101" t="s">
        <v>1039</v>
      </c>
      <c r="M162" s="140">
        <f t="shared" si="4"/>
        <v>37</v>
      </c>
      <c r="N162" s="99" t="s">
        <v>3</v>
      </c>
      <c r="O162" s="99" t="s">
        <v>1004</v>
      </c>
      <c r="P162" s="99" t="s">
        <v>1288</v>
      </c>
      <c r="Q162" s="99"/>
      <c r="R162" s="99" t="s">
        <v>1032</v>
      </c>
    </row>
    <row r="163" spans="2:46" ht="25.5">
      <c r="B163" s="199"/>
      <c r="C163" s="199"/>
      <c r="D163" s="99">
        <v>156</v>
      </c>
      <c r="E163" s="99" t="s">
        <v>172</v>
      </c>
      <c r="F163" s="99" t="s">
        <v>21</v>
      </c>
      <c r="G163" s="101" t="s">
        <v>1398</v>
      </c>
      <c r="H163" s="99" t="s">
        <v>1</v>
      </c>
      <c r="I163" s="99" t="s">
        <v>9</v>
      </c>
      <c r="J163" s="102" t="s">
        <v>1038</v>
      </c>
      <c r="K163" s="100">
        <v>30498</v>
      </c>
      <c r="L163" s="101" t="s">
        <v>1040</v>
      </c>
      <c r="M163" s="140">
        <f t="shared" si="4"/>
        <v>36</v>
      </c>
      <c r="N163" s="99" t="s">
        <v>3</v>
      </c>
      <c r="O163" s="99" t="s">
        <v>1004</v>
      </c>
      <c r="P163" s="99" t="s">
        <v>1272</v>
      </c>
      <c r="Q163" s="99"/>
      <c r="R163" s="99" t="s">
        <v>1276</v>
      </c>
    </row>
    <row r="164" spans="2:46" ht="25.5">
      <c r="B164" s="199"/>
      <c r="C164" s="199"/>
      <c r="D164" s="99">
        <v>157</v>
      </c>
      <c r="E164" s="99" t="s">
        <v>212</v>
      </c>
      <c r="F164" s="99" t="s">
        <v>12</v>
      </c>
      <c r="G164" s="101" t="s">
        <v>1399</v>
      </c>
      <c r="H164" s="99" t="s">
        <v>1</v>
      </c>
      <c r="I164" s="99" t="s">
        <v>15</v>
      </c>
      <c r="J164" s="102" t="s">
        <v>993</v>
      </c>
      <c r="K164" s="100">
        <v>38793</v>
      </c>
      <c r="L164" s="101" t="s">
        <v>1003</v>
      </c>
      <c r="M164" s="140">
        <f t="shared" si="4"/>
        <v>13</v>
      </c>
      <c r="N164" s="99" t="s">
        <v>3</v>
      </c>
      <c r="O164" s="99" t="s">
        <v>1004</v>
      </c>
      <c r="P164" s="99" t="s">
        <v>1288</v>
      </c>
      <c r="Q164" s="99"/>
      <c r="R164" s="99" t="s">
        <v>1277</v>
      </c>
    </row>
    <row r="165" spans="2:46" ht="25.5">
      <c r="B165" s="199"/>
      <c r="C165" s="199"/>
      <c r="D165" s="99">
        <v>158</v>
      </c>
      <c r="E165" s="99" t="s">
        <v>1396</v>
      </c>
      <c r="F165" s="99" t="s">
        <v>12</v>
      </c>
      <c r="G165" s="101" t="s">
        <v>1400</v>
      </c>
      <c r="H165" s="99" t="s">
        <v>18</v>
      </c>
      <c r="I165" s="99" t="s">
        <v>15</v>
      </c>
      <c r="J165" s="99"/>
      <c r="K165" s="100">
        <v>42033</v>
      </c>
      <c r="L165" s="101" t="s">
        <v>1024</v>
      </c>
      <c r="M165" s="140">
        <f t="shared" si="4"/>
        <v>4</v>
      </c>
      <c r="N165" s="99" t="s">
        <v>3</v>
      </c>
      <c r="O165" s="99" t="s">
        <v>1004</v>
      </c>
      <c r="P165" s="99" t="s">
        <v>1288</v>
      </c>
      <c r="Q165" s="99"/>
      <c r="R165" s="99" t="s">
        <v>1277</v>
      </c>
    </row>
    <row r="166" spans="2:46" ht="25.5">
      <c r="B166" s="199">
        <v>44</v>
      </c>
      <c r="C166" s="202" t="s">
        <v>1580</v>
      </c>
      <c r="D166" s="99">
        <v>159</v>
      </c>
      <c r="E166" s="99" t="s">
        <v>213</v>
      </c>
      <c r="F166" s="99" t="s">
        <v>6</v>
      </c>
      <c r="G166" s="140" t="s">
        <v>214</v>
      </c>
      <c r="H166" s="99" t="s">
        <v>18</v>
      </c>
      <c r="I166" s="99" t="s">
        <v>9</v>
      </c>
      <c r="J166" s="102" t="s">
        <v>1016</v>
      </c>
      <c r="K166" s="100">
        <v>29353</v>
      </c>
      <c r="L166" s="101" t="s">
        <v>990</v>
      </c>
      <c r="M166" s="140">
        <f t="shared" si="4"/>
        <v>39</v>
      </c>
      <c r="N166" s="99" t="s">
        <v>3</v>
      </c>
      <c r="O166" s="99" t="s">
        <v>1004</v>
      </c>
      <c r="P166" s="99" t="s">
        <v>1287</v>
      </c>
      <c r="Q166" s="99"/>
      <c r="R166" s="99" t="s">
        <v>23</v>
      </c>
    </row>
    <row r="167" spans="2:46">
      <c r="B167" s="199"/>
      <c r="C167" s="202"/>
      <c r="D167" s="99">
        <v>160</v>
      </c>
      <c r="E167" s="99" t="s">
        <v>215</v>
      </c>
      <c r="F167" s="99" t="s">
        <v>21</v>
      </c>
      <c r="G167" s="101" t="s">
        <v>1583</v>
      </c>
      <c r="H167" s="99" t="s">
        <v>1</v>
      </c>
      <c r="I167" s="99" t="s">
        <v>9</v>
      </c>
      <c r="J167" s="102" t="s">
        <v>1103</v>
      </c>
      <c r="K167" s="100">
        <v>30681</v>
      </c>
      <c r="L167" s="101" t="s">
        <v>1040</v>
      </c>
      <c r="M167" s="140">
        <f t="shared" si="4"/>
        <v>36</v>
      </c>
      <c r="N167" s="99" t="s">
        <v>3</v>
      </c>
      <c r="O167" s="99" t="s">
        <v>1004</v>
      </c>
      <c r="P167" s="99" t="s">
        <v>1272</v>
      </c>
      <c r="Q167" s="99"/>
      <c r="R167" s="99" t="s">
        <v>23</v>
      </c>
    </row>
    <row r="168" spans="2:46" ht="25.5">
      <c r="B168" s="199"/>
      <c r="C168" s="202"/>
      <c r="D168" s="99">
        <v>161</v>
      </c>
      <c r="E168" s="99" t="s">
        <v>216</v>
      </c>
      <c r="F168" s="99" t="s">
        <v>12</v>
      </c>
      <c r="G168" s="101" t="s">
        <v>1584</v>
      </c>
      <c r="H168" s="99" t="s">
        <v>1</v>
      </c>
      <c r="I168" s="99" t="s">
        <v>15</v>
      </c>
      <c r="J168" s="102" t="s">
        <v>1016</v>
      </c>
      <c r="K168" s="100">
        <v>37899</v>
      </c>
      <c r="L168" s="101" t="s">
        <v>1104</v>
      </c>
      <c r="M168" s="140">
        <f t="shared" si="4"/>
        <v>16</v>
      </c>
      <c r="N168" s="99" t="s">
        <v>3</v>
      </c>
      <c r="O168" s="99" t="s">
        <v>1004</v>
      </c>
      <c r="P168" s="99" t="s">
        <v>1272</v>
      </c>
      <c r="Q168" s="99"/>
      <c r="R168" s="99" t="s">
        <v>1309</v>
      </c>
    </row>
    <row r="169" spans="2:46" ht="25.5">
      <c r="B169" s="199"/>
      <c r="C169" s="202"/>
      <c r="D169" s="99">
        <v>162</v>
      </c>
      <c r="E169" s="99" t="s">
        <v>1581</v>
      </c>
      <c r="F169" s="99" t="s">
        <v>12</v>
      </c>
      <c r="G169" s="101" t="s">
        <v>1102</v>
      </c>
      <c r="H169" s="99" t="s">
        <v>1</v>
      </c>
      <c r="I169" s="99" t="s">
        <v>15</v>
      </c>
      <c r="J169" s="102" t="s">
        <v>1016</v>
      </c>
      <c r="K169" s="100">
        <v>39901</v>
      </c>
      <c r="L169" s="101" t="s">
        <v>992</v>
      </c>
      <c r="M169" s="140">
        <f t="shared" si="4"/>
        <v>10</v>
      </c>
      <c r="N169" s="99" t="s">
        <v>3</v>
      </c>
      <c r="O169" s="99" t="s">
        <v>1004</v>
      </c>
      <c r="P169" s="99" t="s">
        <v>1274</v>
      </c>
      <c r="Q169" s="99"/>
      <c r="R169" s="99" t="s">
        <v>1309</v>
      </c>
    </row>
    <row r="170" spans="2:46" ht="25.5">
      <c r="B170" s="199"/>
      <c r="C170" s="202"/>
      <c r="D170" s="99">
        <v>163</v>
      </c>
      <c r="E170" s="99" t="s">
        <v>1582</v>
      </c>
      <c r="F170" s="99" t="s">
        <v>12</v>
      </c>
      <c r="G170" s="101" t="s">
        <v>1585</v>
      </c>
      <c r="H170" s="99" t="s">
        <v>1</v>
      </c>
      <c r="I170" s="99" t="s">
        <v>15</v>
      </c>
      <c r="J170" s="102" t="s">
        <v>993</v>
      </c>
      <c r="K170" s="100">
        <v>43220</v>
      </c>
      <c r="L170" s="101">
        <v>2018</v>
      </c>
      <c r="M170" s="101">
        <f t="shared" si="4"/>
        <v>1</v>
      </c>
      <c r="N170" s="99" t="s">
        <v>3</v>
      </c>
      <c r="O170" s="99" t="s">
        <v>1004</v>
      </c>
      <c r="P170" s="99" t="s">
        <v>1288</v>
      </c>
      <c r="Q170" s="99"/>
      <c r="R170" s="99" t="s">
        <v>1277</v>
      </c>
    </row>
    <row r="171" spans="2:46" ht="25.5">
      <c r="B171" s="199">
        <v>45</v>
      </c>
      <c r="C171" s="202" t="s">
        <v>1586</v>
      </c>
      <c r="D171" s="99">
        <v>164</v>
      </c>
      <c r="E171" s="99" t="s">
        <v>217</v>
      </c>
      <c r="F171" s="99" t="s">
        <v>6</v>
      </c>
      <c r="G171" s="140" t="s">
        <v>1026</v>
      </c>
      <c r="H171" s="99" t="s">
        <v>18</v>
      </c>
      <c r="I171" s="99" t="s">
        <v>9</v>
      </c>
      <c r="J171" s="102" t="s">
        <v>1016</v>
      </c>
      <c r="K171" s="100">
        <v>32374</v>
      </c>
      <c r="L171" s="101" t="s">
        <v>1013</v>
      </c>
      <c r="M171" s="140">
        <f t="shared" si="4"/>
        <v>31</v>
      </c>
      <c r="N171" s="99" t="s">
        <v>3</v>
      </c>
      <c r="O171" s="99" t="s">
        <v>1004</v>
      </c>
      <c r="P171" s="99" t="s">
        <v>1273</v>
      </c>
      <c r="Q171" s="99"/>
      <c r="R171" s="99" t="s">
        <v>23</v>
      </c>
    </row>
    <row r="172" spans="2:46" ht="25.5">
      <c r="B172" s="199"/>
      <c r="C172" s="199"/>
      <c r="D172" s="99">
        <v>165</v>
      </c>
      <c r="E172" s="99" t="s">
        <v>218</v>
      </c>
      <c r="F172" s="99" t="s">
        <v>21</v>
      </c>
      <c r="G172" s="101" t="s">
        <v>1589</v>
      </c>
      <c r="H172" s="99" t="s">
        <v>1</v>
      </c>
      <c r="I172" s="99" t="s">
        <v>9</v>
      </c>
      <c r="J172" s="102" t="s">
        <v>1027</v>
      </c>
      <c r="K172" s="100">
        <v>32873</v>
      </c>
      <c r="L172" s="101" t="s">
        <v>1028</v>
      </c>
      <c r="M172" s="140">
        <f t="shared" si="4"/>
        <v>30</v>
      </c>
      <c r="N172" s="99" t="s">
        <v>3</v>
      </c>
      <c r="O172" s="99" t="s">
        <v>1004</v>
      </c>
      <c r="P172" s="99" t="s">
        <v>1287</v>
      </c>
      <c r="Q172" s="99"/>
      <c r="R172" s="99" t="s">
        <v>1276</v>
      </c>
    </row>
    <row r="173" spans="2:46" ht="25.5">
      <c r="B173" s="199"/>
      <c r="C173" s="199"/>
      <c r="D173" s="99">
        <v>166</v>
      </c>
      <c r="E173" s="99" t="s">
        <v>1587</v>
      </c>
      <c r="F173" s="99" t="s">
        <v>12</v>
      </c>
      <c r="G173" s="101" t="s">
        <v>1590</v>
      </c>
      <c r="H173" s="99" t="s">
        <v>18</v>
      </c>
      <c r="I173" s="99" t="s">
        <v>15</v>
      </c>
      <c r="J173" s="102" t="s">
        <v>993</v>
      </c>
      <c r="K173" s="100">
        <v>39587</v>
      </c>
      <c r="L173" s="101" t="s">
        <v>1008</v>
      </c>
      <c r="M173" s="140">
        <f t="shared" si="4"/>
        <v>11</v>
      </c>
      <c r="N173" s="99" t="s">
        <v>3</v>
      </c>
      <c r="O173" s="99" t="s">
        <v>1004</v>
      </c>
      <c r="P173" s="99" t="s">
        <v>1288</v>
      </c>
      <c r="Q173" s="99"/>
      <c r="R173" s="99" t="s">
        <v>1277</v>
      </c>
    </row>
    <row r="174" spans="2:46" s="135" customFormat="1" ht="25.5">
      <c r="B174" s="199"/>
      <c r="C174" s="199"/>
      <c r="D174" s="99">
        <v>167</v>
      </c>
      <c r="E174" s="99" t="s">
        <v>1588</v>
      </c>
      <c r="F174" s="135" t="s">
        <v>12</v>
      </c>
      <c r="G174" s="92" t="s">
        <v>1591</v>
      </c>
      <c r="H174" s="135" t="s">
        <v>18</v>
      </c>
      <c r="I174" s="135" t="s">
        <v>1011</v>
      </c>
      <c r="J174" s="102" t="s">
        <v>993</v>
      </c>
      <c r="K174" s="100">
        <v>43093</v>
      </c>
      <c r="L174" s="92">
        <v>2017</v>
      </c>
      <c r="M174" s="101">
        <f t="shared" si="4"/>
        <v>2</v>
      </c>
      <c r="N174" s="135" t="s">
        <v>3</v>
      </c>
      <c r="O174" s="135" t="s">
        <v>1004</v>
      </c>
      <c r="P174" s="143" t="s">
        <v>1288</v>
      </c>
      <c r="R174" s="143" t="s">
        <v>1277</v>
      </c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  <c r="AQ174" s="88"/>
      <c r="AR174" s="88"/>
      <c r="AS174" s="88"/>
      <c r="AT174" s="89"/>
    </row>
    <row r="175" spans="2:46" s="88" customFormat="1">
      <c r="B175" s="199">
        <v>46</v>
      </c>
      <c r="C175" s="202" t="s">
        <v>1449</v>
      </c>
      <c r="D175" s="99">
        <v>168</v>
      </c>
      <c r="E175" s="99" t="s">
        <v>989</v>
      </c>
      <c r="F175" s="135" t="s">
        <v>6</v>
      </c>
      <c r="G175" s="92" t="s">
        <v>220</v>
      </c>
      <c r="H175" s="135" t="s">
        <v>18</v>
      </c>
      <c r="I175" s="135" t="s">
        <v>9</v>
      </c>
      <c r="J175" s="102" t="s">
        <v>993</v>
      </c>
      <c r="K175" s="100">
        <v>17532</v>
      </c>
      <c r="L175" s="92">
        <v>1947</v>
      </c>
      <c r="M175" s="140">
        <f t="shared" si="4"/>
        <v>72</v>
      </c>
      <c r="N175" s="135" t="s">
        <v>3</v>
      </c>
      <c r="O175" s="135" t="s">
        <v>1004</v>
      </c>
      <c r="P175" s="143" t="s">
        <v>1272</v>
      </c>
      <c r="Q175" s="135"/>
      <c r="R175" s="143" t="s">
        <v>1318</v>
      </c>
    </row>
    <row r="176" spans="2:46" ht="25.5">
      <c r="B176" s="199"/>
      <c r="C176" s="202"/>
      <c r="D176" s="99">
        <v>169</v>
      </c>
      <c r="E176" s="99" t="s">
        <v>1450</v>
      </c>
      <c r="F176" s="99" t="s">
        <v>21</v>
      </c>
      <c r="G176" s="140" t="s">
        <v>221</v>
      </c>
      <c r="H176" s="99" t="s">
        <v>1</v>
      </c>
      <c r="I176" s="99" t="s">
        <v>9</v>
      </c>
      <c r="J176" s="102" t="s">
        <v>993</v>
      </c>
      <c r="K176" s="100">
        <v>43830</v>
      </c>
      <c r="L176" s="101" t="s">
        <v>1021</v>
      </c>
      <c r="M176" s="140">
        <f t="shared" si="4"/>
        <v>62</v>
      </c>
      <c r="N176" s="99" t="s">
        <v>3</v>
      </c>
      <c r="O176" s="99" t="s">
        <v>1004</v>
      </c>
      <c r="P176" s="99" t="s">
        <v>1288</v>
      </c>
      <c r="Q176" s="99"/>
      <c r="R176" s="99" t="s">
        <v>81</v>
      </c>
    </row>
    <row r="177" spans="2:46" ht="25.5">
      <c r="B177" s="199">
        <v>47</v>
      </c>
      <c r="C177" s="202" t="s">
        <v>1408</v>
      </c>
      <c r="D177" s="99">
        <v>170</v>
      </c>
      <c r="E177" s="99" t="s">
        <v>222</v>
      </c>
      <c r="F177" s="99" t="s">
        <v>6</v>
      </c>
      <c r="G177" s="140" t="s">
        <v>223</v>
      </c>
      <c r="H177" s="99" t="s">
        <v>18</v>
      </c>
      <c r="I177" s="99" t="s">
        <v>9</v>
      </c>
      <c r="J177" s="102" t="s">
        <v>1016</v>
      </c>
      <c r="K177" s="100">
        <v>28125</v>
      </c>
      <c r="L177" s="101" t="s">
        <v>1023</v>
      </c>
      <c r="M177" s="140">
        <f t="shared" si="4"/>
        <v>43</v>
      </c>
      <c r="N177" s="99" t="s">
        <v>3</v>
      </c>
      <c r="O177" s="99" t="s">
        <v>1004</v>
      </c>
      <c r="P177" s="99" t="s">
        <v>1287</v>
      </c>
      <c r="Q177" s="99"/>
      <c r="R177" s="99" t="s">
        <v>23</v>
      </c>
    </row>
    <row r="178" spans="2:46" ht="25.5">
      <c r="B178" s="199"/>
      <c r="C178" s="199"/>
      <c r="D178" s="99">
        <v>171</v>
      </c>
      <c r="E178" s="99" t="s">
        <v>224</v>
      </c>
      <c r="F178" s="99" t="s">
        <v>21</v>
      </c>
      <c r="G178" s="140" t="s">
        <v>225</v>
      </c>
      <c r="H178" s="99" t="s">
        <v>1</v>
      </c>
      <c r="I178" s="99" t="s">
        <v>9</v>
      </c>
      <c r="J178" s="102" t="s">
        <v>1411</v>
      </c>
      <c r="K178" s="100">
        <v>31605</v>
      </c>
      <c r="L178" s="101">
        <v>1986</v>
      </c>
      <c r="M178" s="140">
        <f t="shared" si="4"/>
        <v>33</v>
      </c>
      <c r="N178" s="99" t="s">
        <v>3</v>
      </c>
      <c r="O178" s="99" t="s">
        <v>1004</v>
      </c>
      <c r="P178" s="99" t="s">
        <v>1273</v>
      </c>
      <c r="Q178" s="99"/>
      <c r="R178" s="99" t="s">
        <v>1276</v>
      </c>
    </row>
    <row r="179" spans="2:46" ht="25.5">
      <c r="B179" s="199"/>
      <c r="C179" s="199"/>
      <c r="D179" s="99">
        <v>172</v>
      </c>
      <c r="E179" s="99" t="s">
        <v>1409</v>
      </c>
      <c r="F179" s="99" t="s">
        <v>12</v>
      </c>
      <c r="G179" s="140" t="s">
        <v>226</v>
      </c>
      <c r="H179" s="99" t="s">
        <v>18</v>
      </c>
      <c r="I179" s="99" t="s">
        <v>15</v>
      </c>
      <c r="J179" s="102" t="s">
        <v>1016</v>
      </c>
      <c r="K179" s="100">
        <v>39233</v>
      </c>
      <c r="L179" s="101" t="s">
        <v>1019</v>
      </c>
      <c r="M179" s="140">
        <f t="shared" si="4"/>
        <v>12</v>
      </c>
      <c r="N179" s="99" t="s">
        <v>3</v>
      </c>
      <c r="O179" s="99" t="s">
        <v>1004</v>
      </c>
      <c r="P179" s="99" t="s">
        <v>1274</v>
      </c>
      <c r="Q179" s="99"/>
      <c r="R179" s="99" t="s">
        <v>1309</v>
      </c>
    </row>
    <row r="180" spans="2:46" s="135" customFormat="1" ht="25.5">
      <c r="B180" s="199"/>
      <c r="C180" s="199"/>
      <c r="D180" s="99">
        <v>173</v>
      </c>
      <c r="E180" s="99" t="s">
        <v>1022</v>
      </c>
      <c r="F180" s="135" t="s">
        <v>12</v>
      </c>
      <c r="G180" s="92" t="s">
        <v>1410</v>
      </c>
      <c r="H180" s="135" t="s">
        <v>1</v>
      </c>
      <c r="I180" s="135" t="s">
        <v>1011</v>
      </c>
      <c r="J180" s="102" t="s">
        <v>1016</v>
      </c>
      <c r="K180" s="100">
        <v>42245</v>
      </c>
      <c r="L180" s="92" t="s">
        <v>1024</v>
      </c>
      <c r="M180" s="140">
        <f t="shared" si="4"/>
        <v>4</v>
      </c>
      <c r="N180" s="135" t="s">
        <v>3</v>
      </c>
      <c r="O180" s="135" t="s">
        <v>1004</v>
      </c>
      <c r="P180" s="99" t="s">
        <v>1288</v>
      </c>
      <c r="R180" s="143" t="s">
        <v>1277</v>
      </c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  <c r="AQ180" s="88"/>
      <c r="AR180" s="88"/>
      <c r="AS180" s="88"/>
      <c r="AT180" s="89"/>
    </row>
    <row r="181" spans="2:46" ht="25.5">
      <c r="B181" s="199">
        <v>48</v>
      </c>
      <c r="C181" s="199" t="s">
        <v>1363</v>
      </c>
      <c r="D181" s="99">
        <v>174</v>
      </c>
      <c r="E181" s="99" t="s">
        <v>227</v>
      </c>
      <c r="F181" s="99" t="s">
        <v>6</v>
      </c>
      <c r="G181" s="140" t="s">
        <v>1364</v>
      </c>
      <c r="H181" s="99" t="s">
        <v>18</v>
      </c>
      <c r="I181" s="99" t="s">
        <v>9</v>
      </c>
      <c r="J181" s="102" t="s">
        <v>1016</v>
      </c>
      <c r="K181" s="100">
        <v>28125</v>
      </c>
      <c r="L181" s="140">
        <v>1976</v>
      </c>
      <c r="M181" s="140">
        <f t="shared" si="4"/>
        <v>43</v>
      </c>
      <c r="N181" s="99" t="s">
        <v>3</v>
      </c>
      <c r="O181" s="99" t="s">
        <v>1004</v>
      </c>
      <c r="P181" s="99" t="s">
        <v>1274</v>
      </c>
      <c r="Q181" s="99"/>
      <c r="R181" s="99" t="s">
        <v>1318</v>
      </c>
    </row>
    <row r="182" spans="2:46" ht="25.5">
      <c r="B182" s="199"/>
      <c r="C182" s="199"/>
      <c r="D182" s="99">
        <v>175</v>
      </c>
      <c r="E182" s="99" t="s">
        <v>228</v>
      </c>
      <c r="F182" s="99" t="s">
        <v>21</v>
      </c>
      <c r="G182" s="140" t="s">
        <v>1365</v>
      </c>
      <c r="H182" s="99" t="s">
        <v>1</v>
      </c>
      <c r="I182" s="99" t="s">
        <v>9</v>
      </c>
      <c r="J182" s="102" t="s">
        <v>993</v>
      </c>
      <c r="K182" s="100">
        <v>27211</v>
      </c>
      <c r="L182" s="140">
        <v>1974</v>
      </c>
      <c r="M182" s="140">
        <f t="shared" si="4"/>
        <v>45</v>
      </c>
      <c r="N182" s="99" t="s">
        <v>3</v>
      </c>
      <c r="O182" s="99" t="s">
        <v>1004</v>
      </c>
      <c r="P182" s="99" t="s">
        <v>1288</v>
      </c>
      <c r="Q182" s="99"/>
      <c r="R182" s="99" t="s">
        <v>1276</v>
      </c>
    </row>
    <row r="183" spans="2:46" ht="25.5">
      <c r="B183" s="199"/>
      <c r="C183" s="199"/>
      <c r="D183" s="99">
        <v>176</v>
      </c>
      <c r="E183" s="99" t="s">
        <v>229</v>
      </c>
      <c r="F183" s="99" t="s">
        <v>12</v>
      </c>
      <c r="G183" s="140" t="s">
        <v>1366</v>
      </c>
      <c r="H183" s="99" t="s">
        <v>18</v>
      </c>
      <c r="I183" s="99" t="s">
        <v>15</v>
      </c>
      <c r="J183" s="102" t="s">
        <v>993</v>
      </c>
      <c r="K183" s="100">
        <v>35064</v>
      </c>
      <c r="L183" s="140">
        <v>1995</v>
      </c>
      <c r="M183" s="140">
        <f t="shared" si="4"/>
        <v>24</v>
      </c>
      <c r="N183" s="99" t="s">
        <v>3</v>
      </c>
      <c r="O183" s="99" t="s">
        <v>1004</v>
      </c>
      <c r="P183" s="99" t="s">
        <v>1274</v>
      </c>
      <c r="Q183" s="99"/>
      <c r="R183" s="99" t="s">
        <v>1309</v>
      </c>
    </row>
    <row r="184" spans="2:46" ht="25.5">
      <c r="B184" s="199"/>
      <c r="C184" s="199"/>
      <c r="D184" s="99">
        <v>177</v>
      </c>
      <c r="E184" s="99" t="s">
        <v>230</v>
      </c>
      <c r="F184" s="99" t="s">
        <v>12</v>
      </c>
      <c r="G184" s="140" t="s">
        <v>1367</v>
      </c>
      <c r="H184" s="99" t="s">
        <v>1</v>
      </c>
      <c r="I184" s="99" t="s">
        <v>15</v>
      </c>
      <c r="J184" s="102" t="s">
        <v>1016</v>
      </c>
      <c r="K184" s="100">
        <v>35954</v>
      </c>
      <c r="L184" s="140">
        <v>1998</v>
      </c>
      <c r="M184" s="140">
        <f t="shared" si="4"/>
        <v>21</v>
      </c>
      <c r="N184" s="99" t="s">
        <v>3</v>
      </c>
      <c r="O184" s="99" t="s">
        <v>1004</v>
      </c>
      <c r="P184" s="99" t="s">
        <v>1272</v>
      </c>
      <c r="Q184" s="99"/>
      <c r="R184" s="99" t="s">
        <v>1309</v>
      </c>
    </row>
    <row r="185" spans="2:46" ht="25.5">
      <c r="B185" s="199"/>
      <c r="C185" s="199"/>
      <c r="D185" s="99">
        <v>178</v>
      </c>
      <c r="E185" s="99" t="s">
        <v>231</v>
      </c>
      <c r="F185" s="99" t="s">
        <v>12</v>
      </c>
      <c r="G185" s="140" t="s">
        <v>232</v>
      </c>
      <c r="H185" s="99" t="s">
        <v>18</v>
      </c>
      <c r="I185" s="99" t="s">
        <v>15</v>
      </c>
      <c r="J185" s="102" t="s">
        <v>1016</v>
      </c>
      <c r="K185" s="100">
        <v>37149</v>
      </c>
      <c r="L185" s="140">
        <v>2001</v>
      </c>
      <c r="M185" s="140">
        <f t="shared" si="4"/>
        <v>18</v>
      </c>
      <c r="N185" s="99" t="s">
        <v>3</v>
      </c>
      <c r="O185" s="99" t="s">
        <v>1004</v>
      </c>
      <c r="P185" s="99" t="s">
        <v>1272</v>
      </c>
      <c r="Q185" s="99"/>
      <c r="R185" s="99" t="s">
        <v>1309</v>
      </c>
    </row>
    <row r="186" spans="2:46" ht="25.5">
      <c r="B186" s="199"/>
      <c r="C186" s="199"/>
      <c r="D186" s="99">
        <v>179</v>
      </c>
      <c r="E186" s="99" t="s">
        <v>233</v>
      </c>
      <c r="F186" s="99" t="s">
        <v>1243</v>
      </c>
      <c r="G186" s="140" t="s">
        <v>234</v>
      </c>
      <c r="H186" s="99" t="s">
        <v>18</v>
      </c>
      <c r="I186" s="99" t="s">
        <v>1020</v>
      </c>
      <c r="J186" s="102" t="s">
        <v>993</v>
      </c>
      <c r="K186" s="100">
        <v>16802</v>
      </c>
      <c r="L186" s="140">
        <v>1945</v>
      </c>
      <c r="M186" s="140">
        <f t="shared" si="4"/>
        <v>74</v>
      </c>
      <c r="N186" s="99" t="s">
        <v>3</v>
      </c>
      <c r="O186" s="99" t="s">
        <v>1004</v>
      </c>
      <c r="P186" s="99" t="s">
        <v>1272</v>
      </c>
      <c r="Q186" s="99"/>
      <c r="R186" s="99" t="s">
        <v>1032</v>
      </c>
    </row>
    <row r="187" spans="2:46" ht="25.5">
      <c r="B187" s="199">
        <v>49</v>
      </c>
      <c r="C187" s="199" t="s">
        <v>1504</v>
      </c>
      <c r="D187" s="99">
        <v>180</v>
      </c>
      <c r="E187" s="99" t="s">
        <v>235</v>
      </c>
      <c r="F187" s="99" t="s">
        <v>6</v>
      </c>
      <c r="G187" s="140" t="s">
        <v>236</v>
      </c>
      <c r="H187" s="99" t="s">
        <v>1</v>
      </c>
      <c r="I187" s="99" t="s">
        <v>1020</v>
      </c>
      <c r="J187" s="102" t="s">
        <v>993</v>
      </c>
      <c r="K187" s="100">
        <v>23559</v>
      </c>
      <c r="L187" s="140">
        <v>1964</v>
      </c>
      <c r="M187" s="140">
        <f t="shared" si="4"/>
        <v>55</v>
      </c>
      <c r="N187" s="99" t="s">
        <v>3</v>
      </c>
      <c r="O187" s="99" t="s">
        <v>1004</v>
      </c>
      <c r="P187" s="99" t="s">
        <v>1288</v>
      </c>
      <c r="Q187" s="99"/>
      <c r="R187" s="99" t="s">
        <v>1276</v>
      </c>
    </row>
    <row r="188" spans="2:46" ht="25.5">
      <c r="B188" s="199"/>
      <c r="C188" s="199"/>
      <c r="D188" s="99">
        <v>181</v>
      </c>
      <c r="E188" s="99" t="s">
        <v>237</v>
      </c>
      <c r="F188" s="99" t="s">
        <v>12</v>
      </c>
      <c r="G188" s="140" t="s">
        <v>238</v>
      </c>
      <c r="H188" s="99" t="s">
        <v>1</v>
      </c>
      <c r="I188" s="99" t="s">
        <v>15</v>
      </c>
      <c r="J188" s="102" t="s">
        <v>993</v>
      </c>
      <c r="K188" s="100">
        <v>33420</v>
      </c>
      <c r="L188" s="140">
        <v>1991</v>
      </c>
      <c r="M188" s="140">
        <f t="shared" si="4"/>
        <v>28</v>
      </c>
      <c r="N188" s="99" t="s">
        <v>3</v>
      </c>
      <c r="O188" s="99" t="s">
        <v>1004</v>
      </c>
      <c r="P188" s="99" t="s">
        <v>1273</v>
      </c>
      <c r="Q188" s="99"/>
      <c r="R188" s="99" t="s">
        <v>1277</v>
      </c>
    </row>
    <row r="189" spans="2:46">
      <c r="B189" s="199">
        <v>50</v>
      </c>
      <c r="C189" s="202" t="s">
        <v>1505</v>
      </c>
      <c r="D189" s="99">
        <v>182</v>
      </c>
      <c r="E189" s="99" t="s">
        <v>239</v>
      </c>
      <c r="F189" s="99" t="s">
        <v>6</v>
      </c>
      <c r="G189" s="140" t="s">
        <v>1508</v>
      </c>
      <c r="H189" s="99" t="s">
        <v>18</v>
      </c>
      <c r="I189" s="99" t="s">
        <v>9</v>
      </c>
      <c r="J189" s="102" t="s">
        <v>993</v>
      </c>
      <c r="K189" s="100">
        <v>28467</v>
      </c>
      <c r="L189" s="101" t="s">
        <v>1005</v>
      </c>
      <c r="M189" s="140">
        <f t="shared" si="4"/>
        <v>42</v>
      </c>
      <c r="N189" s="99" t="s">
        <v>3</v>
      </c>
      <c r="O189" s="99" t="s">
        <v>1004</v>
      </c>
      <c r="P189" s="99" t="s">
        <v>1272</v>
      </c>
      <c r="Q189" s="99"/>
      <c r="R189" s="99" t="s">
        <v>1318</v>
      </c>
    </row>
    <row r="190" spans="2:46" ht="25.5">
      <c r="B190" s="199"/>
      <c r="C190" s="199"/>
      <c r="D190" s="99">
        <v>183</v>
      </c>
      <c r="E190" s="99" t="s">
        <v>240</v>
      </c>
      <c r="F190" s="99" t="s">
        <v>21</v>
      </c>
      <c r="G190" s="140" t="s">
        <v>1509</v>
      </c>
      <c r="H190" s="99" t="s">
        <v>1</v>
      </c>
      <c r="I190" s="99" t="s">
        <v>9</v>
      </c>
      <c r="J190" s="102" t="s">
        <v>1063</v>
      </c>
      <c r="K190" s="100">
        <v>29886</v>
      </c>
      <c r="L190" s="101" t="s">
        <v>1074</v>
      </c>
      <c r="M190" s="140">
        <f t="shared" si="4"/>
        <v>38</v>
      </c>
      <c r="N190" s="99" t="s">
        <v>3</v>
      </c>
      <c r="O190" s="99" t="s">
        <v>1004</v>
      </c>
      <c r="P190" s="99" t="s">
        <v>1273</v>
      </c>
      <c r="Q190" s="99"/>
      <c r="R190" s="99" t="s">
        <v>1511</v>
      </c>
    </row>
    <row r="191" spans="2:46" ht="25.5">
      <c r="B191" s="199"/>
      <c r="C191" s="199"/>
      <c r="D191" s="99">
        <v>184</v>
      </c>
      <c r="E191" s="99" t="s">
        <v>1506</v>
      </c>
      <c r="F191" s="99" t="s">
        <v>12</v>
      </c>
      <c r="G191" s="140" t="s">
        <v>1510</v>
      </c>
      <c r="H191" s="99" t="s">
        <v>1</v>
      </c>
      <c r="I191" s="99" t="s">
        <v>15</v>
      </c>
      <c r="J191" s="102" t="s">
        <v>993</v>
      </c>
      <c r="K191" s="100">
        <v>38024</v>
      </c>
      <c r="L191" s="101" t="s">
        <v>1073</v>
      </c>
      <c r="M191" s="140">
        <f t="shared" si="4"/>
        <v>15</v>
      </c>
      <c r="N191" s="99" t="s">
        <v>3</v>
      </c>
      <c r="O191" s="99" t="s">
        <v>1004</v>
      </c>
      <c r="P191" s="99" t="s">
        <v>1287</v>
      </c>
      <c r="Q191" s="99"/>
      <c r="R191" s="99" t="s">
        <v>1309</v>
      </c>
    </row>
    <row r="192" spans="2:46" ht="25.5">
      <c r="B192" s="199"/>
      <c r="C192" s="199"/>
      <c r="D192" s="99">
        <v>185</v>
      </c>
      <c r="E192" s="99" t="s">
        <v>1507</v>
      </c>
      <c r="F192" s="99" t="s">
        <v>12</v>
      </c>
      <c r="G192" s="140" t="s">
        <v>241</v>
      </c>
      <c r="H192" s="99" t="s">
        <v>1</v>
      </c>
      <c r="I192" s="99" t="s">
        <v>15</v>
      </c>
      <c r="J192" s="102" t="s">
        <v>993</v>
      </c>
      <c r="K192" s="100">
        <v>40961</v>
      </c>
      <c r="L192" s="101" t="s">
        <v>1075</v>
      </c>
      <c r="M192" s="140">
        <f t="shared" si="4"/>
        <v>7</v>
      </c>
      <c r="N192" s="99" t="s">
        <v>3</v>
      </c>
      <c r="O192" s="99" t="s">
        <v>1004</v>
      </c>
      <c r="P192" s="99" t="s">
        <v>1288</v>
      </c>
      <c r="Q192" s="99"/>
      <c r="R192" s="99" t="s">
        <v>1277</v>
      </c>
    </row>
    <row r="193" spans="2:18" ht="25.5">
      <c r="B193" s="199">
        <v>51</v>
      </c>
      <c r="C193" s="202" t="s">
        <v>1097</v>
      </c>
      <c r="D193" s="99">
        <v>186</v>
      </c>
      <c r="E193" s="99" t="s">
        <v>242</v>
      </c>
      <c r="F193" s="99" t="s">
        <v>6</v>
      </c>
      <c r="G193" s="101" t="s">
        <v>1098</v>
      </c>
      <c r="H193" s="99" t="s">
        <v>18</v>
      </c>
      <c r="I193" s="99" t="s">
        <v>9</v>
      </c>
      <c r="J193" s="102" t="s">
        <v>1016</v>
      </c>
      <c r="K193" s="100">
        <v>43830</v>
      </c>
      <c r="L193" s="101" t="s">
        <v>1023</v>
      </c>
      <c r="M193" s="140">
        <f t="shared" si="4"/>
        <v>43</v>
      </c>
      <c r="N193" s="99" t="s">
        <v>3</v>
      </c>
      <c r="O193" s="99" t="s">
        <v>1004</v>
      </c>
      <c r="P193" s="99" t="s">
        <v>1288</v>
      </c>
      <c r="Q193" s="99"/>
      <c r="R193" s="99" t="s">
        <v>1032</v>
      </c>
    </row>
    <row r="194" spans="2:18" ht="25.5">
      <c r="B194" s="199"/>
      <c r="C194" s="199"/>
      <c r="D194" s="99">
        <v>187</v>
      </c>
      <c r="E194" s="99" t="s">
        <v>243</v>
      </c>
      <c r="F194" s="99" t="s">
        <v>21</v>
      </c>
      <c r="G194" s="101" t="s">
        <v>1099</v>
      </c>
      <c r="H194" s="99" t="s">
        <v>1</v>
      </c>
      <c r="I194" s="99" t="s">
        <v>9</v>
      </c>
      <c r="J194" s="102" t="s">
        <v>1101</v>
      </c>
      <c r="K194" s="100">
        <v>43830</v>
      </c>
      <c r="L194" s="101" t="s">
        <v>1023</v>
      </c>
      <c r="M194" s="140">
        <f t="shared" si="4"/>
        <v>43</v>
      </c>
      <c r="N194" s="99" t="s">
        <v>3</v>
      </c>
      <c r="O194" s="99" t="s">
        <v>1004</v>
      </c>
      <c r="P194" s="99" t="s">
        <v>1288</v>
      </c>
      <c r="Q194" s="99"/>
      <c r="R194" s="99" t="s">
        <v>81</v>
      </c>
    </row>
    <row r="195" spans="2:18" ht="25.5">
      <c r="B195" s="199"/>
      <c r="C195" s="199"/>
      <c r="D195" s="99">
        <v>188</v>
      </c>
      <c r="E195" s="99" t="s">
        <v>244</v>
      </c>
      <c r="F195" s="99" t="s">
        <v>12</v>
      </c>
      <c r="G195" s="101" t="s">
        <v>1100</v>
      </c>
      <c r="H195" s="99" t="s">
        <v>18</v>
      </c>
      <c r="I195" s="99" t="s">
        <v>15</v>
      </c>
      <c r="J195" s="102" t="s">
        <v>1016</v>
      </c>
      <c r="K195" s="100">
        <v>43544</v>
      </c>
      <c r="L195" s="140">
        <v>2003</v>
      </c>
      <c r="M195" s="140">
        <f t="shared" si="4"/>
        <v>16</v>
      </c>
      <c r="N195" s="99" t="s">
        <v>3</v>
      </c>
      <c r="O195" s="99" t="s">
        <v>1004</v>
      </c>
      <c r="P195" s="99" t="s">
        <v>1272</v>
      </c>
      <c r="Q195" s="99"/>
      <c r="R195" s="99" t="s">
        <v>1309</v>
      </c>
    </row>
    <row r="196" spans="2:18" ht="25.5">
      <c r="B196" s="199">
        <v>52</v>
      </c>
      <c r="C196" s="199" t="s">
        <v>1512</v>
      </c>
      <c r="D196" s="99">
        <v>189</v>
      </c>
      <c r="E196" s="99" t="s">
        <v>1513</v>
      </c>
      <c r="F196" s="99" t="s">
        <v>6</v>
      </c>
      <c r="G196" s="101" t="s">
        <v>1514</v>
      </c>
      <c r="H196" s="99" t="s">
        <v>18</v>
      </c>
      <c r="I196" s="99" t="s">
        <v>1020</v>
      </c>
      <c r="J196" s="102" t="s">
        <v>1016</v>
      </c>
      <c r="K196" s="100">
        <v>15706</v>
      </c>
      <c r="L196" s="140">
        <v>1942</v>
      </c>
      <c r="M196" s="140">
        <f t="shared" si="4"/>
        <v>77</v>
      </c>
      <c r="N196" s="99" t="s">
        <v>3</v>
      </c>
      <c r="O196" s="99" t="s">
        <v>1004</v>
      </c>
      <c r="P196" s="99" t="s">
        <v>1272</v>
      </c>
      <c r="Q196" s="99"/>
      <c r="R196" s="99" t="s">
        <v>1032</v>
      </c>
    </row>
    <row r="197" spans="2:18" ht="25.5">
      <c r="B197" s="199"/>
      <c r="C197" s="199"/>
      <c r="D197" s="99">
        <v>190</v>
      </c>
      <c r="E197" s="99" t="s">
        <v>245</v>
      </c>
      <c r="F197" s="99" t="s">
        <v>12</v>
      </c>
      <c r="G197" s="140" t="s">
        <v>1515</v>
      </c>
      <c r="H197" s="99" t="s">
        <v>18</v>
      </c>
      <c r="I197" s="99" t="s">
        <v>15</v>
      </c>
      <c r="J197" s="102" t="s">
        <v>1016</v>
      </c>
      <c r="K197" s="100">
        <v>28677</v>
      </c>
      <c r="L197" s="140">
        <v>1978</v>
      </c>
      <c r="M197" s="140">
        <f t="shared" si="4"/>
        <v>41</v>
      </c>
      <c r="N197" s="99" t="s">
        <v>3</v>
      </c>
      <c r="O197" s="99" t="s">
        <v>1004</v>
      </c>
      <c r="P197" s="99" t="s">
        <v>1272</v>
      </c>
      <c r="Q197" s="99"/>
      <c r="R197" s="99" t="s">
        <v>1032</v>
      </c>
    </row>
    <row r="198" spans="2:18" ht="25.5">
      <c r="B198" s="199">
        <v>53</v>
      </c>
      <c r="C198" s="202" t="s">
        <v>1599</v>
      </c>
      <c r="D198" s="99">
        <v>191</v>
      </c>
      <c r="E198" s="99" t="s">
        <v>320</v>
      </c>
      <c r="F198" s="99" t="s">
        <v>6</v>
      </c>
      <c r="G198" s="101" t="s">
        <v>1600</v>
      </c>
      <c r="H198" s="99" t="s">
        <v>18</v>
      </c>
      <c r="I198" s="99" t="s">
        <v>9</v>
      </c>
      <c r="J198" s="102" t="s">
        <v>1016</v>
      </c>
      <c r="K198" s="100">
        <v>21185</v>
      </c>
      <c r="L198" s="101" t="s">
        <v>1021</v>
      </c>
      <c r="M198" s="140">
        <f t="shared" si="4"/>
        <v>62</v>
      </c>
      <c r="N198" s="99" t="s">
        <v>3</v>
      </c>
      <c r="O198" s="99" t="s">
        <v>1004</v>
      </c>
      <c r="P198" s="99" t="s">
        <v>1273</v>
      </c>
      <c r="Q198" s="99"/>
      <c r="R198" s="99" t="s">
        <v>23</v>
      </c>
    </row>
    <row r="199" spans="2:18" ht="25.5">
      <c r="B199" s="199"/>
      <c r="C199" s="202"/>
      <c r="D199" s="99">
        <v>192</v>
      </c>
      <c r="E199" s="99" t="s">
        <v>246</v>
      </c>
      <c r="F199" s="99" t="s">
        <v>21</v>
      </c>
      <c r="G199" s="140" t="s">
        <v>247</v>
      </c>
      <c r="H199" s="99" t="s">
        <v>1</v>
      </c>
      <c r="I199" s="99" t="s">
        <v>9</v>
      </c>
      <c r="J199" s="102" t="s">
        <v>1063</v>
      </c>
      <c r="K199" s="100">
        <v>21185</v>
      </c>
      <c r="L199" s="101" t="s">
        <v>1021</v>
      </c>
      <c r="M199" s="140">
        <f t="shared" si="4"/>
        <v>62</v>
      </c>
      <c r="N199" s="99" t="s">
        <v>3</v>
      </c>
      <c r="O199" s="99" t="s">
        <v>1004</v>
      </c>
      <c r="P199" s="99" t="s">
        <v>1272</v>
      </c>
      <c r="Q199" s="99"/>
      <c r="R199" s="99" t="s">
        <v>81</v>
      </c>
    </row>
    <row r="200" spans="2:18">
      <c r="B200" s="195">
        <v>54</v>
      </c>
      <c r="C200" s="195"/>
      <c r="D200" s="99">
        <v>193</v>
      </c>
      <c r="E200" s="99" t="s">
        <v>249</v>
      </c>
      <c r="F200" s="99" t="s">
        <v>6</v>
      </c>
      <c r="G200" s="140"/>
      <c r="H200" s="99" t="s">
        <v>18</v>
      </c>
      <c r="I200" s="99" t="s">
        <v>9</v>
      </c>
      <c r="J200" s="102"/>
      <c r="K200" s="100">
        <v>28125</v>
      </c>
      <c r="L200" s="140">
        <v>1976</v>
      </c>
      <c r="M200" s="140">
        <f t="shared" si="4"/>
        <v>43</v>
      </c>
      <c r="N200" s="99" t="s">
        <v>3</v>
      </c>
      <c r="O200" s="99"/>
      <c r="P200" s="99" t="s">
        <v>1272</v>
      </c>
      <c r="Q200" s="99"/>
      <c r="R200" s="99" t="s">
        <v>23</v>
      </c>
    </row>
    <row r="201" spans="2:18">
      <c r="B201" s="198"/>
      <c r="C201" s="198"/>
      <c r="D201" s="99">
        <v>194</v>
      </c>
      <c r="E201" s="99" t="s">
        <v>250</v>
      </c>
      <c r="F201" s="99" t="s">
        <v>21</v>
      </c>
      <c r="G201" s="140" t="s">
        <v>251</v>
      </c>
      <c r="H201" s="99" t="s">
        <v>1</v>
      </c>
      <c r="I201" s="99" t="s">
        <v>9</v>
      </c>
      <c r="J201" s="102"/>
      <c r="K201" s="100">
        <v>28125</v>
      </c>
      <c r="L201" s="140">
        <v>1976</v>
      </c>
      <c r="M201" s="140">
        <f t="shared" si="4"/>
        <v>43</v>
      </c>
      <c r="N201" s="99" t="s">
        <v>3</v>
      </c>
      <c r="O201" s="99"/>
      <c r="P201" s="99" t="s">
        <v>1272</v>
      </c>
      <c r="Q201" s="99"/>
      <c r="R201" s="99" t="s">
        <v>39</v>
      </c>
    </row>
    <row r="202" spans="2:18" ht="25.5">
      <c r="B202" s="198"/>
      <c r="C202" s="198"/>
      <c r="D202" s="99">
        <v>195</v>
      </c>
      <c r="E202" s="99" t="s">
        <v>252</v>
      </c>
      <c r="F202" s="99" t="s">
        <v>12</v>
      </c>
      <c r="G202" s="140"/>
      <c r="H202" s="99" t="s">
        <v>18</v>
      </c>
      <c r="I202" s="99" t="s">
        <v>15</v>
      </c>
      <c r="J202" s="102"/>
      <c r="K202" s="100">
        <v>36619</v>
      </c>
      <c r="L202" s="140">
        <v>2000</v>
      </c>
      <c r="M202" s="140">
        <f t="shared" si="4"/>
        <v>19</v>
      </c>
      <c r="N202" s="99" t="s">
        <v>3</v>
      </c>
      <c r="O202" s="99"/>
      <c r="P202" s="99" t="s">
        <v>1273</v>
      </c>
      <c r="Q202" s="99"/>
      <c r="R202" s="99" t="s">
        <v>11</v>
      </c>
    </row>
    <row r="203" spans="2:18" ht="25.5">
      <c r="B203" s="196"/>
      <c r="C203" s="196"/>
      <c r="D203" s="99">
        <v>196</v>
      </c>
      <c r="E203" s="99" t="s">
        <v>253</v>
      </c>
      <c r="F203" s="99" t="s">
        <v>12</v>
      </c>
      <c r="G203" s="140"/>
      <c r="H203" s="99" t="s">
        <v>18</v>
      </c>
      <c r="I203" s="99" t="s">
        <v>15</v>
      </c>
      <c r="J203" s="102"/>
      <c r="K203" s="100">
        <v>38428</v>
      </c>
      <c r="L203" s="140">
        <v>2005</v>
      </c>
      <c r="M203" s="140">
        <f t="shared" si="4"/>
        <v>14</v>
      </c>
      <c r="N203" s="99" t="s">
        <v>3</v>
      </c>
      <c r="O203" s="99"/>
      <c r="P203" s="99" t="s">
        <v>11</v>
      </c>
      <c r="Q203" s="99"/>
      <c r="R203" s="99" t="s">
        <v>11</v>
      </c>
    </row>
    <row r="204" spans="2:18" ht="25.5">
      <c r="B204" s="199">
        <v>55</v>
      </c>
      <c r="C204" s="202" t="s">
        <v>1394</v>
      </c>
      <c r="D204" s="99">
        <v>197</v>
      </c>
      <c r="E204" s="99" t="s">
        <v>1091</v>
      </c>
      <c r="F204" s="99" t="s">
        <v>6</v>
      </c>
      <c r="G204" s="140" t="s">
        <v>254</v>
      </c>
      <c r="H204" s="99" t="s">
        <v>18</v>
      </c>
      <c r="I204" s="99" t="s">
        <v>9</v>
      </c>
      <c r="J204" s="102" t="s">
        <v>1016</v>
      </c>
      <c r="K204" s="100">
        <v>27394</v>
      </c>
      <c r="L204" s="101" t="s">
        <v>1093</v>
      </c>
      <c r="M204" s="140">
        <f>2019-L204</f>
        <v>45</v>
      </c>
      <c r="N204" s="99" t="s">
        <v>3</v>
      </c>
      <c r="O204" s="99" t="s">
        <v>1004</v>
      </c>
      <c r="P204" s="99" t="s">
        <v>1272</v>
      </c>
      <c r="Q204" s="99"/>
      <c r="R204" s="99" t="s">
        <v>1275</v>
      </c>
    </row>
    <row r="205" spans="2:18">
      <c r="B205" s="199"/>
      <c r="C205" s="199"/>
      <c r="D205" s="99">
        <v>198</v>
      </c>
      <c r="E205" s="99" t="s">
        <v>79</v>
      </c>
      <c r="F205" s="99" t="s">
        <v>21</v>
      </c>
      <c r="G205" s="140" t="s">
        <v>255</v>
      </c>
      <c r="H205" s="99" t="s">
        <v>1</v>
      </c>
      <c r="I205" s="99" t="s">
        <v>9</v>
      </c>
      <c r="J205" s="102" t="s">
        <v>993</v>
      </c>
      <c r="K205" s="100">
        <v>28125</v>
      </c>
      <c r="L205" s="101" t="s">
        <v>1023</v>
      </c>
      <c r="M205" s="140">
        <f>2019-L205</f>
        <v>43</v>
      </c>
      <c r="N205" s="99" t="s">
        <v>3</v>
      </c>
      <c r="O205" s="99" t="s">
        <v>1004</v>
      </c>
      <c r="P205" s="99" t="s">
        <v>1273</v>
      </c>
      <c r="Q205" s="99"/>
      <c r="R205" s="99" t="s">
        <v>81</v>
      </c>
    </row>
    <row r="206" spans="2:18" ht="25.5">
      <c r="B206" s="199"/>
      <c r="C206" s="199"/>
      <c r="D206" s="99">
        <v>199</v>
      </c>
      <c r="E206" s="99" t="s">
        <v>256</v>
      </c>
      <c r="F206" s="99" t="s">
        <v>12</v>
      </c>
      <c r="G206" s="140" t="s">
        <v>257</v>
      </c>
      <c r="H206" s="99" t="s">
        <v>18</v>
      </c>
      <c r="I206" s="99" t="s">
        <v>15</v>
      </c>
      <c r="J206" s="102" t="s">
        <v>1092</v>
      </c>
      <c r="K206" s="100">
        <v>34501</v>
      </c>
      <c r="L206" s="101" t="s">
        <v>1061</v>
      </c>
      <c r="M206" s="140">
        <f>2019-L206</f>
        <v>25</v>
      </c>
      <c r="N206" s="99" t="s">
        <v>3</v>
      </c>
      <c r="O206" s="99" t="s">
        <v>1004</v>
      </c>
      <c r="P206" s="99" t="s">
        <v>1273</v>
      </c>
      <c r="Q206" s="99"/>
      <c r="R206" s="99" t="s">
        <v>1309</v>
      </c>
    </row>
    <row r="207" spans="2:18">
      <c r="B207" s="199"/>
      <c r="C207" s="199"/>
      <c r="D207" s="99">
        <v>200</v>
      </c>
      <c r="E207" s="99" t="s">
        <v>258</v>
      </c>
      <c r="F207" s="99" t="s">
        <v>12</v>
      </c>
      <c r="G207" s="140" t="s">
        <v>260</v>
      </c>
      <c r="H207" s="99" t="s">
        <v>1</v>
      </c>
      <c r="I207" s="99" t="s">
        <v>15</v>
      </c>
      <c r="J207" s="102" t="s">
        <v>1092</v>
      </c>
      <c r="K207" s="100">
        <v>35458</v>
      </c>
      <c r="L207" s="101">
        <v>1997</v>
      </c>
      <c r="M207" s="140">
        <f>2019-L207</f>
        <v>22</v>
      </c>
      <c r="N207" s="99" t="s">
        <v>3</v>
      </c>
      <c r="O207" s="99" t="s">
        <v>1004</v>
      </c>
      <c r="P207" s="99" t="s">
        <v>1273</v>
      </c>
      <c r="Q207" s="99"/>
      <c r="R207" s="99" t="s">
        <v>1309</v>
      </c>
    </row>
    <row r="208" spans="2:18">
      <c r="B208" s="199"/>
      <c r="C208" s="199"/>
      <c r="D208" s="99">
        <v>201</v>
      </c>
      <c r="E208" s="99" t="s">
        <v>261</v>
      </c>
      <c r="F208" s="99" t="s">
        <v>12</v>
      </c>
      <c r="G208" s="140" t="s">
        <v>262</v>
      </c>
      <c r="H208" s="99" t="s">
        <v>1</v>
      </c>
      <c r="I208" s="99" t="s">
        <v>15</v>
      </c>
      <c r="J208" s="102" t="s">
        <v>993</v>
      </c>
      <c r="K208" s="100">
        <v>37113</v>
      </c>
      <c r="L208" s="101" t="s">
        <v>1094</v>
      </c>
      <c r="M208" s="140">
        <f>2019-L208</f>
        <v>18</v>
      </c>
      <c r="N208" s="99" t="s">
        <v>3</v>
      </c>
      <c r="O208" s="99" t="s">
        <v>1004</v>
      </c>
      <c r="P208" s="99" t="s">
        <v>1272</v>
      </c>
      <c r="Q208" s="99"/>
      <c r="R208" s="99" t="s">
        <v>1309</v>
      </c>
    </row>
    <row r="209" spans="2:18">
      <c r="B209" s="195">
        <v>56</v>
      </c>
      <c r="C209" s="195"/>
      <c r="D209" s="99">
        <v>202</v>
      </c>
      <c r="E209" s="99" t="s">
        <v>263</v>
      </c>
      <c r="F209" s="99" t="s">
        <v>6</v>
      </c>
      <c r="G209" s="140" t="s">
        <v>264</v>
      </c>
      <c r="H209" s="99" t="s">
        <v>18</v>
      </c>
      <c r="I209" s="99" t="s">
        <v>9</v>
      </c>
      <c r="J209" s="102"/>
      <c r="K209" s="100">
        <v>29254</v>
      </c>
      <c r="L209" s="140">
        <v>1980</v>
      </c>
      <c r="M209" s="140">
        <f t="shared" ref="M209:M210" si="5">2019-L209</f>
        <v>39</v>
      </c>
      <c r="N209" s="99" t="s">
        <v>3</v>
      </c>
      <c r="O209" s="99"/>
      <c r="P209" s="99" t="s">
        <v>1272</v>
      </c>
      <c r="Q209" s="99"/>
      <c r="R209" s="99" t="s">
        <v>39</v>
      </c>
    </row>
    <row r="210" spans="2:18">
      <c r="B210" s="196"/>
      <c r="C210" s="196"/>
      <c r="D210" s="99">
        <v>203</v>
      </c>
      <c r="E210" s="99" t="s">
        <v>265</v>
      </c>
      <c r="F210" s="99" t="s">
        <v>21</v>
      </c>
      <c r="G210" s="140" t="s">
        <v>266</v>
      </c>
      <c r="H210" s="99" t="s">
        <v>1</v>
      </c>
      <c r="I210" s="99" t="s">
        <v>9</v>
      </c>
      <c r="J210" s="102"/>
      <c r="K210" s="100">
        <v>30701</v>
      </c>
      <c r="L210" s="140">
        <v>1984</v>
      </c>
      <c r="M210" s="140">
        <f t="shared" si="5"/>
        <v>35</v>
      </c>
      <c r="N210" s="99" t="s">
        <v>3</v>
      </c>
      <c r="O210" s="99"/>
      <c r="P210" s="99" t="s">
        <v>1272</v>
      </c>
      <c r="Q210" s="99"/>
      <c r="R210" s="99" t="s">
        <v>5</v>
      </c>
    </row>
    <row r="211" spans="2:18" ht="25.5">
      <c r="B211" s="199">
        <v>57</v>
      </c>
      <c r="C211" s="202" t="s">
        <v>1601</v>
      </c>
      <c r="D211" s="99">
        <v>204</v>
      </c>
      <c r="E211" s="99" t="s">
        <v>267</v>
      </c>
      <c r="F211" s="99" t="s">
        <v>6</v>
      </c>
      <c r="G211" s="140" t="s">
        <v>268</v>
      </c>
      <c r="H211" s="99" t="s">
        <v>18</v>
      </c>
      <c r="I211" s="99" t="s">
        <v>9</v>
      </c>
      <c r="J211" s="102" t="s">
        <v>993</v>
      </c>
      <c r="K211" s="100">
        <v>28307</v>
      </c>
      <c r="L211" s="101" t="s">
        <v>1005</v>
      </c>
      <c r="M211" s="140">
        <f t="shared" ref="M211:M237" si="6">2019-L211</f>
        <v>42</v>
      </c>
      <c r="N211" s="99" t="s">
        <v>3</v>
      </c>
      <c r="O211" s="99" t="s">
        <v>1004</v>
      </c>
      <c r="P211" s="99" t="s">
        <v>1274</v>
      </c>
      <c r="Q211" s="99"/>
      <c r="R211" s="99" t="s">
        <v>1275</v>
      </c>
    </row>
    <row r="212" spans="2:18" ht="25.5">
      <c r="B212" s="199"/>
      <c r="C212" s="199"/>
      <c r="D212" s="99">
        <v>205</v>
      </c>
      <c r="E212" s="99" t="s">
        <v>269</v>
      </c>
      <c r="F212" s="99" t="s">
        <v>21</v>
      </c>
      <c r="G212" s="140" t="s">
        <v>270</v>
      </c>
      <c r="H212" s="99" t="s">
        <v>1</v>
      </c>
      <c r="I212" s="99" t="s">
        <v>9</v>
      </c>
      <c r="J212" s="102" t="s">
        <v>1041</v>
      </c>
      <c r="K212" s="100">
        <v>28694</v>
      </c>
      <c r="L212" s="101" t="s">
        <v>1006</v>
      </c>
      <c r="M212" s="140">
        <f t="shared" si="6"/>
        <v>41</v>
      </c>
      <c r="N212" s="99" t="s">
        <v>3</v>
      </c>
      <c r="O212" s="99" t="s">
        <v>1004</v>
      </c>
      <c r="P212" s="99" t="s">
        <v>1273</v>
      </c>
      <c r="Q212" s="99"/>
      <c r="R212" s="99" t="s">
        <v>1275</v>
      </c>
    </row>
    <row r="213" spans="2:18" ht="25.5">
      <c r="B213" s="199"/>
      <c r="C213" s="199"/>
      <c r="D213" s="99">
        <v>206</v>
      </c>
      <c r="E213" s="99" t="s">
        <v>271</v>
      </c>
      <c r="F213" s="99" t="s">
        <v>12</v>
      </c>
      <c r="G213" s="140" t="s">
        <v>272</v>
      </c>
      <c r="H213" s="99" t="s">
        <v>1</v>
      </c>
      <c r="I213" s="99" t="s">
        <v>15</v>
      </c>
      <c r="J213" s="102" t="s">
        <v>993</v>
      </c>
      <c r="K213" s="100">
        <v>41808</v>
      </c>
      <c r="L213" s="101" t="s">
        <v>998</v>
      </c>
      <c r="M213" s="140">
        <f t="shared" si="6"/>
        <v>5</v>
      </c>
      <c r="N213" s="99" t="s">
        <v>3</v>
      </c>
      <c r="O213" s="99" t="s">
        <v>1004</v>
      </c>
      <c r="P213" s="99" t="s">
        <v>1288</v>
      </c>
      <c r="Q213" s="99"/>
      <c r="R213" s="99" t="s">
        <v>1277</v>
      </c>
    </row>
    <row r="214" spans="2:18" ht="25.5">
      <c r="B214" s="199">
        <v>58</v>
      </c>
      <c r="C214" s="199" t="s">
        <v>1516</v>
      </c>
      <c r="D214" s="99">
        <v>207</v>
      </c>
      <c r="E214" s="99" t="s">
        <v>273</v>
      </c>
      <c r="F214" s="99" t="s">
        <v>6</v>
      </c>
      <c r="G214" s="140" t="s">
        <v>274</v>
      </c>
      <c r="H214" s="99" t="s">
        <v>1</v>
      </c>
      <c r="I214" s="99" t="s">
        <v>1020</v>
      </c>
      <c r="J214" s="102" t="s">
        <v>993</v>
      </c>
      <c r="K214" s="100">
        <v>21002</v>
      </c>
      <c r="L214" s="140">
        <v>1957</v>
      </c>
      <c r="M214" s="140">
        <f t="shared" si="6"/>
        <v>62</v>
      </c>
      <c r="N214" s="99" t="s">
        <v>3</v>
      </c>
      <c r="O214" s="99" t="s">
        <v>1004</v>
      </c>
      <c r="P214" s="99" t="s">
        <v>1288</v>
      </c>
      <c r="Q214" s="99"/>
      <c r="R214" s="99" t="s">
        <v>1275</v>
      </c>
    </row>
    <row r="215" spans="2:18" ht="25.5">
      <c r="B215" s="199"/>
      <c r="C215" s="199"/>
      <c r="D215" s="99">
        <v>208</v>
      </c>
      <c r="E215" s="99" t="s">
        <v>275</v>
      </c>
      <c r="F215" s="99" t="s">
        <v>12</v>
      </c>
      <c r="G215" s="140" t="s">
        <v>276</v>
      </c>
      <c r="H215" s="99" t="s">
        <v>18</v>
      </c>
      <c r="I215" s="99" t="s">
        <v>15</v>
      </c>
      <c r="J215" s="102" t="s">
        <v>1016</v>
      </c>
      <c r="K215" s="100">
        <v>32325</v>
      </c>
      <c r="L215" s="140">
        <v>1988</v>
      </c>
      <c r="M215" s="140">
        <f t="shared" si="6"/>
        <v>31</v>
      </c>
      <c r="N215" s="99" t="s">
        <v>3</v>
      </c>
      <c r="O215" s="99" t="s">
        <v>1004</v>
      </c>
      <c r="P215" s="99" t="s">
        <v>1287</v>
      </c>
      <c r="Q215" s="99"/>
      <c r="R215" s="99" t="s">
        <v>1015</v>
      </c>
    </row>
    <row r="216" spans="2:18" ht="25.5">
      <c r="B216" s="199">
        <v>59</v>
      </c>
      <c r="C216" s="202" t="s">
        <v>1417</v>
      </c>
      <c r="D216" s="99">
        <v>209</v>
      </c>
      <c r="E216" s="99" t="s">
        <v>277</v>
      </c>
      <c r="F216" s="99" t="s">
        <v>6</v>
      </c>
      <c r="G216" s="140" t="s">
        <v>1419</v>
      </c>
      <c r="H216" s="99" t="s">
        <v>18</v>
      </c>
      <c r="I216" s="99" t="s">
        <v>9</v>
      </c>
      <c r="J216" s="102" t="s">
        <v>993</v>
      </c>
      <c r="K216" s="100">
        <v>28075</v>
      </c>
      <c r="L216" s="101" t="s">
        <v>1023</v>
      </c>
      <c r="M216" s="140">
        <f t="shared" si="6"/>
        <v>43</v>
      </c>
      <c r="N216" s="99" t="s">
        <v>3</v>
      </c>
      <c r="O216" s="99" t="s">
        <v>1004</v>
      </c>
      <c r="P216" s="99" t="s">
        <v>1288</v>
      </c>
      <c r="Q216" s="99"/>
      <c r="R216" s="99" t="s">
        <v>1032</v>
      </c>
    </row>
    <row r="217" spans="2:18" ht="25.5">
      <c r="B217" s="199"/>
      <c r="C217" s="199"/>
      <c r="D217" s="99">
        <v>210</v>
      </c>
      <c r="E217" s="99" t="s">
        <v>1418</v>
      </c>
      <c r="F217" s="99" t="s">
        <v>21</v>
      </c>
      <c r="G217" s="140" t="s">
        <v>1420</v>
      </c>
      <c r="H217" s="99" t="s">
        <v>1</v>
      </c>
      <c r="I217" s="99" t="s">
        <v>9</v>
      </c>
      <c r="J217" s="102" t="s">
        <v>993</v>
      </c>
      <c r="K217" s="100">
        <v>29403</v>
      </c>
      <c r="L217" s="101">
        <v>1980</v>
      </c>
      <c r="M217" s="140">
        <f t="shared" si="6"/>
        <v>39</v>
      </c>
      <c r="N217" s="99" t="s">
        <v>3</v>
      </c>
      <c r="O217" s="99" t="s">
        <v>1004</v>
      </c>
      <c r="P217" s="99" t="s">
        <v>1274</v>
      </c>
      <c r="Q217" s="99"/>
      <c r="R217" s="99" t="s">
        <v>1276</v>
      </c>
    </row>
    <row r="218" spans="2:18">
      <c r="B218" s="199"/>
      <c r="C218" s="199"/>
      <c r="D218" s="99">
        <v>211</v>
      </c>
      <c r="E218" s="99" t="s">
        <v>278</v>
      </c>
      <c r="F218" s="99" t="s">
        <v>12</v>
      </c>
      <c r="G218" s="140" t="s">
        <v>1421</v>
      </c>
      <c r="H218" s="99" t="s">
        <v>1</v>
      </c>
      <c r="I218" s="99" t="s">
        <v>15</v>
      </c>
      <c r="J218" s="102" t="s">
        <v>1072</v>
      </c>
      <c r="K218" s="100">
        <v>38149</v>
      </c>
      <c r="L218" s="101" t="s">
        <v>1073</v>
      </c>
      <c r="M218" s="140">
        <f t="shared" si="6"/>
        <v>15</v>
      </c>
      <c r="N218" s="99" t="s">
        <v>3</v>
      </c>
      <c r="O218" s="99" t="s">
        <v>1004</v>
      </c>
      <c r="P218" s="99" t="s">
        <v>1272</v>
      </c>
      <c r="Q218" s="99"/>
      <c r="R218" s="99" t="s">
        <v>1309</v>
      </c>
    </row>
    <row r="219" spans="2:18" ht="25.5">
      <c r="B219" s="199"/>
      <c r="C219" s="199"/>
      <c r="D219" s="99">
        <v>212</v>
      </c>
      <c r="E219" s="99" t="s">
        <v>279</v>
      </c>
      <c r="F219" s="99" t="s">
        <v>12</v>
      </c>
      <c r="G219" s="140" t="s">
        <v>1422</v>
      </c>
      <c r="H219" s="99" t="s">
        <v>1</v>
      </c>
      <c r="I219" s="99" t="s">
        <v>280</v>
      </c>
      <c r="J219" s="102" t="s">
        <v>1016</v>
      </c>
      <c r="K219" s="100">
        <v>40405</v>
      </c>
      <c r="L219" s="101" t="s">
        <v>1066</v>
      </c>
      <c r="M219" s="140">
        <f t="shared" si="6"/>
        <v>9</v>
      </c>
      <c r="N219" s="99" t="s">
        <v>3</v>
      </c>
      <c r="O219" s="99" t="s">
        <v>1004</v>
      </c>
      <c r="P219" s="99" t="s">
        <v>1288</v>
      </c>
      <c r="Q219" s="99"/>
      <c r="R219" s="99" t="s">
        <v>1277</v>
      </c>
    </row>
    <row r="220" spans="2:18">
      <c r="B220" s="199">
        <v>60</v>
      </c>
      <c r="C220" s="202" t="s">
        <v>1105</v>
      </c>
      <c r="D220" s="99">
        <v>213</v>
      </c>
      <c r="E220" s="99" t="s">
        <v>281</v>
      </c>
      <c r="F220" s="99" t="s">
        <v>6</v>
      </c>
      <c r="G220" s="101" t="s">
        <v>1499</v>
      </c>
      <c r="H220" s="99" t="s">
        <v>18</v>
      </c>
      <c r="I220" s="99" t="s">
        <v>9</v>
      </c>
      <c r="J220" s="102" t="s">
        <v>993</v>
      </c>
      <c r="K220" s="100">
        <v>30702</v>
      </c>
      <c r="L220" s="101" t="s">
        <v>1107</v>
      </c>
      <c r="M220" s="140">
        <f t="shared" si="6"/>
        <v>35</v>
      </c>
      <c r="N220" s="99" t="s">
        <v>3</v>
      </c>
      <c r="O220" s="99" t="s">
        <v>1004</v>
      </c>
      <c r="P220" s="99" t="s">
        <v>1273</v>
      </c>
      <c r="Q220" s="99"/>
      <c r="R220" s="99" t="s">
        <v>23</v>
      </c>
    </row>
    <row r="221" spans="2:18" ht="25.5">
      <c r="B221" s="199"/>
      <c r="C221" s="202"/>
      <c r="D221" s="99">
        <v>214</v>
      </c>
      <c r="E221" s="99" t="s">
        <v>1106</v>
      </c>
      <c r="F221" s="99" t="s">
        <v>21</v>
      </c>
      <c r="G221" s="101" t="s">
        <v>1500</v>
      </c>
      <c r="H221" s="99" t="s">
        <v>1</v>
      </c>
      <c r="I221" s="99" t="s">
        <v>9</v>
      </c>
      <c r="J221" s="102" t="s">
        <v>993</v>
      </c>
      <c r="K221" s="100">
        <v>33703</v>
      </c>
      <c r="L221" s="101" t="s">
        <v>1108</v>
      </c>
      <c r="M221" s="140">
        <f t="shared" si="6"/>
        <v>27</v>
      </c>
      <c r="N221" s="99" t="s">
        <v>3</v>
      </c>
      <c r="O221" s="99" t="s">
        <v>1004</v>
      </c>
      <c r="P221" s="99" t="s">
        <v>1287</v>
      </c>
      <c r="Q221" s="99"/>
      <c r="R221" s="99" t="s">
        <v>1277</v>
      </c>
    </row>
    <row r="222" spans="2:18" ht="25.5">
      <c r="B222" s="199"/>
      <c r="C222" s="202"/>
      <c r="D222" s="99">
        <v>215</v>
      </c>
      <c r="E222" s="99" t="s">
        <v>283</v>
      </c>
      <c r="F222" s="99" t="s">
        <v>12</v>
      </c>
      <c r="G222" s="101" t="s">
        <v>1501</v>
      </c>
      <c r="H222" s="99" t="s">
        <v>18</v>
      </c>
      <c r="I222" s="99" t="s">
        <v>15</v>
      </c>
      <c r="J222" s="102" t="s">
        <v>993</v>
      </c>
      <c r="K222" s="100">
        <v>41497</v>
      </c>
      <c r="L222" s="101" t="s">
        <v>1109</v>
      </c>
      <c r="M222" s="140">
        <f t="shared" si="6"/>
        <v>6</v>
      </c>
      <c r="N222" s="99" t="s">
        <v>3</v>
      </c>
      <c r="O222" s="99" t="s">
        <v>1004</v>
      </c>
      <c r="P222" s="99" t="s">
        <v>1288</v>
      </c>
      <c r="Q222" s="99"/>
      <c r="R222" s="99" t="s">
        <v>1277</v>
      </c>
    </row>
    <row r="223" spans="2:18" ht="25.5">
      <c r="B223" s="199"/>
      <c r="C223" s="202"/>
      <c r="D223" s="99">
        <v>216</v>
      </c>
      <c r="E223" s="99" t="s">
        <v>1498</v>
      </c>
      <c r="F223" s="99" t="s">
        <v>12</v>
      </c>
      <c r="G223" s="101" t="s">
        <v>1502</v>
      </c>
      <c r="H223" s="99" t="s">
        <v>18</v>
      </c>
      <c r="I223" s="99" t="s">
        <v>15</v>
      </c>
      <c r="J223" s="102" t="s">
        <v>1503</v>
      </c>
      <c r="K223" s="100">
        <v>43264</v>
      </c>
      <c r="L223" s="101">
        <v>2018</v>
      </c>
      <c r="M223" s="140">
        <f t="shared" si="6"/>
        <v>1</v>
      </c>
      <c r="N223" s="99" t="s">
        <v>3</v>
      </c>
      <c r="O223" s="99" t="s">
        <v>1004</v>
      </c>
      <c r="P223" s="99" t="s">
        <v>1288</v>
      </c>
      <c r="Q223" s="99"/>
      <c r="R223" s="99" t="s">
        <v>1277</v>
      </c>
    </row>
    <row r="224" spans="2:18">
      <c r="B224" s="195">
        <v>61</v>
      </c>
      <c r="C224" s="195"/>
      <c r="D224" s="99">
        <v>217</v>
      </c>
      <c r="E224" s="99" t="s">
        <v>284</v>
      </c>
      <c r="F224" s="99" t="s">
        <v>6</v>
      </c>
      <c r="G224" s="140" t="s">
        <v>285</v>
      </c>
      <c r="H224" s="99" t="s">
        <v>1</v>
      </c>
      <c r="I224" s="99" t="s">
        <v>9</v>
      </c>
      <c r="J224" s="102"/>
      <c r="K224" s="100">
        <v>26305</v>
      </c>
      <c r="L224" s="140">
        <v>1972</v>
      </c>
      <c r="M224" s="140">
        <f t="shared" si="6"/>
        <v>47</v>
      </c>
      <c r="N224" s="99" t="s">
        <v>3</v>
      </c>
      <c r="O224" s="99" t="s">
        <v>1004</v>
      </c>
      <c r="P224" s="99" t="s">
        <v>1272</v>
      </c>
      <c r="Q224" s="99"/>
      <c r="R224" s="99" t="s">
        <v>39</v>
      </c>
    </row>
    <row r="225" spans="2:18">
      <c r="B225" s="196"/>
      <c r="C225" s="196"/>
      <c r="D225" s="99">
        <v>218</v>
      </c>
      <c r="E225" s="99" t="s">
        <v>286</v>
      </c>
      <c r="F225" s="99" t="s">
        <v>16</v>
      </c>
      <c r="G225" s="140" t="s">
        <v>287</v>
      </c>
      <c r="H225" s="99" t="s">
        <v>18</v>
      </c>
      <c r="I225" s="99" t="s">
        <v>9</v>
      </c>
      <c r="J225" s="102"/>
      <c r="K225" s="100">
        <v>28855</v>
      </c>
      <c r="L225" s="140">
        <v>1978</v>
      </c>
      <c r="M225" s="140">
        <f t="shared" si="6"/>
        <v>41</v>
      </c>
      <c r="N225" s="99" t="s">
        <v>3</v>
      </c>
      <c r="O225" s="99" t="s">
        <v>1004</v>
      </c>
      <c r="P225" s="99" t="s">
        <v>1273</v>
      </c>
      <c r="Q225" s="99"/>
      <c r="R225" s="99" t="s">
        <v>39</v>
      </c>
    </row>
    <row r="226" spans="2:18" ht="25.5">
      <c r="B226" s="199">
        <v>62</v>
      </c>
      <c r="C226" s="202" t="s">
        <v>1401</v>
      </c>
      <c r="D226" s="99">
        <v>219</v>
      </c>
      <c r="E226" s="99" t="s">
        <v>1049</v>
      </c>
      <c r="F226" s="99" t="s">
        <v>6</v>
      </c>
      <c r="G226" s="101" t="s">
        <v>1402</v>
      </c>
      <c r="H226" s="99" t="s">
        <v>18</v>
      </c>
      <c r="I226" s="99" t="s">
        <v>9</v>
      </c>
      <c r="J226" s="102" t="s">
        <v>993</v>
      </c>
      <c r="K226" s="100">
        <v>21915</v>
      </c>
      <c r="L226" s="101" t="s">
        <v>1031</v>
      </c>
      <c r="M226" s="140">
        <f t="shared" si="6"/>
        <v>60</v>
      </c>
      <c r="N226" s="99" t="s">
        <v>3</v>
      </c>
      <c r="O226" s="99" t="s">
        <v>1004</v>
      </c>
      <c r="P226" s="99" t="s">
        <v>1288</v>
      </c>
      <c r="Q226" s="99"/>
      <c r="R226" s="99" t="s">
        <v>1318</v>
      </c>
    </row>
    <row r="227" spans="2:18" ht="25.5">
      <c r="B227" s="199"/>
      <c r="C227" s="199"/>
      <c r="D227" s="99">
        <v>220</v>
      </c>
      <c r="E227" s="99" t="s">
        <v>1050</v>
      </c>
      <c r="F227" s="99" t="s">
        <v>21</v>
      </c>
      <c r="G227" s="101" t="s">
        <v>1403</v>
      </c>
      <c r="H227" s="99" t="s">
        <v>1</v>
      </c>
      <c r="I227" s="99" t="s">
        <v>9</v>
      </c>
      <c r="J227" s="102" t="s">
        <v>993</v>
      </c>
      <c r="K227" s="100">
        <v>22109</v>
      </c>
      <c r="L227" s="101" t="s">
        <v>1051</v>
      </c>
      <c r="M227" s="140">
        <f t="shared" si="6"/>
        <v>59</v>
      </c>
      <c r="N227" s="99" t="s">
        <v>3</v>
      </c>
      <c r="O227" s="99" t="s">
        <v>1004</v>
      </c>
      <c r="P227" s="99" t="s">
        <v>1274</v>
      </c>
      <c r="Q227" s="99"/>
      <c r="R227" s="99" t="s">
        <v>1276</v>
      </c>
    </row>
    <row r="228" spans="2:18" ht="25.5">
      <c r="B228" s="199"/>
      <c r="C228" s="199"/>
      <c r="D228" s="99">
        <v>221</v>
      </c>
      <c r="E228" s="99" t="s">
        <v>288</v>
      </c>
      <c r="F228" s="99" t="s">
        <v>12</v>
      </c>
      <c r="G228" s="101" t="s">
        <v>1404</v>
      </c>
      <c r="H228" s="99" t="s">
        <v>1</v>
      </c>
      <c r="I228" s="99" t="s">
        <v>15</v>
      </c>
      <c r="J228" s="102" t="s">
        <v>1016</v>
      </c>
      <c r="K228" s="100">
        <v>36659</v>
      </c>
      <c r="L228" s="101" t="s">
        <v>1002</v>
      </c>
      <c r="M228" s="140">
        <f t="shared" si="6"/>
        <v>19</v>
      </c>
      <c r="N228" s="99" t="s">
        <v>3</v>
      </c>
      <c r="O228" s="99" t="s">
        <v>1004</v>
      </c>
      <c r="P228" s="99" t="s">
        <v>1274</v>
      </c>
      <c r="Q228" s="99"/>
      <c r="R228" s="99" t="s">
        <v>1309</v>
      </c>
    </row>
    <row r="229" spans="2:18" ht="25.5">
      <c r="B229" s="199">
        <v>63</v>
      </c>
      <c r="C229" s="202" t="s">
        <v>1575</v>
      </c>
      <c r="D229" s="99">
        <v>222</v>
      </c>
      <c r="E229" s="99" t="s">
        <v>289</v>
      </c>
      <c r="F229" s="99" t="s">
        <v>6</v>
      </c>
      <c r="G229" s="140" t="s">
        <v>290</v>
      </c>
      <c r="H229" s="99" t="s">
        <v>18</v>
      </c>
      <c r="I229" s="99" t="s">
        <v>9</v>
      </c>
      <c r="J229" s="102" t="s">
        <v>1016</v>
      </c>
      <c r="K229" s="100">
        <v>32005</v>
      </c>
      <c r="L229" s="101" t="s">
        <v>991</v>
      </c>
      <c r="M229" s="140">
        <f t="shared" si="6"/>
        <v>32</v>
      </c>
      <c r="N229" s="99" t="s">
        <v>3</v>
      </c>
      <c r="O229" s="99" t="s">
        <v>1004</v>
      </c>
      <c r="P229" s="99" t="s">
        <v>1287</v>
      </c>
      <c r="Q229" s="99"/>
      <c r="R229" s="99" t="s">
        <v>23</v>
      </c>
    </row>
    <row r="230" spans="2:18" ht="25.5">
      <c r="B230" s="199"/>
      <c r="C230" s="202"/>
      <c r="D230" s="99">
        <v>223</v>
      </c>
      <c r="E230" s="99" t="s">
        <v>1576</v>
      </c>
      <c r="F230" s="99" t="s">
        <v>21</v>
      </c>
      <c r="G230" s="140" t="s">
        <v>1578</v>
      </c>
      <c r="H230" s="99" t="s">
        <v>1</v>
      </c>
      <c r="I230" s="99" t="s">
        <v>9</v>
      </c>
      <c r="J230" s="102" t="s">
        <v>1065</v>
      </c>
      <c r="K230" s="100">
        <v>33237</v>
      </c>
      <c r="L230" s="101" t="s">
        <v>990</v>
      </c>
      <c r="M230" s="140">
        <f t="shared" si="6"/>
        <v>39</v>
      </c>
      <c r="N230" s="99" t="s">
        <v>3</v>
      </c>
      <c r="O230" s="99" t="s">
        <v>1004</v>
      </c>
      <c r="P230" s="99" t="s">
        <v>1287</v>
      </c>
      <c r="Q230" s="99"/>
      <c r="R230" s="99" t="s">
        <v>23</v>
      </c>
    </row>
    <row r="231" spans="2:18" ht="25.5">
      <c r="B231" s="199"/>
      <c r="C231" s="202"/>
      <c r="D231" s="99">
        <v>224</v>
      </c>
      <c r="E231" s="99" t="s">
        <v>291</v>
      </c>
      <c r="F231" s="99" t="s">
        <v>12</v>
      </c>
      <c r="G231" s="140" t="s">
        <v>292</v>
      </c>
      <c r="H231" s="99" t="s">
        <v>18</v>
      </c>
      <c r="I231" s="99" t="s">
        <v>15</v>
      </c>
      <c r="J231" s="102" t="s">
        <v>1045</v>
      </c>
      <c r="K231" s="100">
        <v>40261</v>
      </c>
      <c r="L231" s="101" t="s">
        <v>1066</v>
      </c>
      <c r="M231" s="140">
        <f t="shared" si="6"/>
        <v>9</v>
      </c>
      <c r="N231" s="99" t="s">
        <v>3</v>
      </c>
      <c r="O231" s="99" t="s">
        <v>1004</v>
      </c>
      <c r="P231" s="99" t="s">
        <v>1288</v>
      </c>
      <c r="Q231" s="99"/>
      <c r="R231" s="99" t="s">
        <v>1277</v>
      </c>
    </row>
    <row r="232" spans="2:18" ht="25.5">
      <c r="B232" s="199"/>
      <c r="C232" s="202"/>
      <c r="D232" s="99">
        <v>225</v>
      </c>
      <c r="E232" s="99" t="s">
        <v>1577</v>
      </c>
      <c r="F232" s="99" t="s">
        <v>12</v>
      </c>
      <c r="G232" s="140" t="s">
        <v>1579</v>
      </c>
      <c r="H232" s="99" t="s">
        <v>1</v>
      </c>
      <c r="I232" s="99" t="s">
        <v>15</v>
      </c>
      <c r="J232" s="102" t="s">
        <v>1072</v>
      </c>
      <c r="K232" s="100">
        <v>43002</v>
      </c>
      <c r="L232" s="101">
        <v>2017</v>
      </c>
      <c r="M232" s="140">
        <f t="shared" si="6"/>
        <v>2</v>
      </c>
      <c r="N232" s="99" t="s">
        <v>3</v>
      </c>
      <c r="O232" s="99" t="s">
        <v>1004</v>
      </c>
      <c r="P232" s="99" t="s">
        <v>1288</v>
      </c>
      <c r="Q232" s="99"/>
      <c r="R232" s="99" t="s">
        <v>1277</v>
      </c>
    </row>
    <row r="233" spans="2:18" ht="25.5">
      <c r="B233" s="199">
        <v>64</v>
      </c>
      <c r="C233" s="199" t="s">
        <v>1603</v>
      </c>
      <c r="D233" s="99">
        <v>226</v>
      </c>
      <c r="E233" s="99" t="s">
        <v>1602</v>
      </c>
      <c r="F233" s="99" t="s">
        <v>6</v>
      </c>
      <c r="G233" s="140" t="s">
        <v>293</v>
      </c>
      <c r="H233" s="99" t="s">
        <v>18</v>
      </c>
      <c r="I233" s="99" t="s">
        <v>9</v>
      </c>
      <c r="J233" s="102" t="s">
        <v>1016</v>
      </c>
      <c r="K233" s="100">
        <v>13697</v>
      </c>
      <c r="L233" s="140">
        <v>1937</v>
      </c>
      <c r="M233" s="140">
        <f t="shared" si="6"/>
        <v>82</v>
      </c>
      <c r="N233" s="99" t="s">
        <v>3</v>
      </c>
      <c r="O233" s="99" t="s">
        <v>1004</v>
      </c>
      <c r="P233" s="99" t="s">
        <v>1272</v>
      </c>
      <c r="Q233" s="99"/>
      <c r="R233" s="99" t="s">
        <v>23</v>
      </c>
    </row>
    <row r="234" spans="2:18" ht="25.5">
      <c r="B234" s="199"/>
      <c r="C234" s="199"/>
      <c r="D234" s="99">
        <v>227</v>
      </c>
      <c r="E234" s="99" t="s">
        <v>294</v>
      </c>
      <c r="F234" s="99" t="s">
        <v>21</v>
      </c>
      <c r="G234" s="140" t="s">
        <v>295</v>
      </c>
      <c r="H234" s="99" t="s">
        <v>1</v>
      </c>
      <c r="I234" s="99" t="s">
        <v>9</v>
      </c>
      <c r="J234" s="102" t="s">
        <v>1016</v>
      </c>
      <c r="K234" s="100">
        <v>25020</v>
      </c>
      <c r="L234" s="140">
        <v>1968</v>
      </c>
      <c r="M234" s="140">
        <f t="shared" si="6"/>
        <v>51</v>
      </c>
      <c r="N234" s="99" t="s">
        <v>3</v>
      </c>
      <c r="O234" s="99" t="s">
        <v>1004</v>
      </c>
      <c r="P234" s="99" t="s">
        <v>1272</v>
      </c>
      <c r="Q234" s="99"/>
      <c r="R234" s="99" t="s">
        <v>81</v>
      </c>
    </row>
    <row r="235" spans="2:18" ht="25.5">
      <c r="B235" s="199"/>
      <c r="C235" s="199"/>
      <c r="D235" s="99">
        <v>228</v>
      </c>
      <c r="E235" s="99" t="s">
        <v>297</v>
      </c>
      <c r="F235" s="99" t="s">
        <v>12</v>
      </c>
      <c r="G235" s="140" t="s">
        <v>298</v>
      </c>
      <c r="H235" s="99" t="s">
        <v>1</v>
      </c>
      <c r="I235" s="99" t="s">
        <v>15</v>
      </c>
      <c r="J235" s="102" t="s">
        <v>1016</v>
      </c>
      <c r="K235" s="100">
        <v>33637</v>
      </c>
      <c r="L235" s="140">
        <v>1992</v>
      </c>
      <c r="M235" s="140">
        <f t="shared" si="6"/>
        <v>27</v>
      </c>
      <c r="N235" s="99" t="s">
        <v>3</v>
      </c>
      <c r="O235" s="99" t="s">
        <v>1004</v>
      </c>
      <c r="P235" s="99" t="s">
        <v>1287</v>
      </c>
      <c r="Q235" s="99"/>
      <c r="R235" s="99" t="s">
        <v>1309</v>
      </c>
    </row>
    <row r="236" spans="2:18" ht="25.5">
      <c r="B236" s="199"/>
      <c r="C236" s="199"/>
      <c r="D236" s="99">
        <v>229</v>
      </c>
      <c r="E236" s="99" t="s">
        <v>299</v>
      </c>
      <c r="F236" s="99" t="s">
        <v>12</v>
      </c>
      <c r="G236" s="140" t="s">
        <v>300</v>
      </c>
      <c r="H236" s="99" t="s">
        <v>18</v>
      </c>
      <c r="I236" s="99" t="s">
        <v>15</v>
      </c>
      <c r="J236" s="102" t="s">
        <v>1016</v>
      </c>
      <c r="K236" s="100">
        <v>34385</v>
      </c>
      <c r="L236" s="140">
        <v>1994</v>
      </c>
      <c r="M236" s="140">
        <f t="shared" si="6"/>
        <v>25</v>
      </c>
      <c r="N236" s="99" t="s">
        <v>3</v>
      </c>
      <c r="O236" s="99" t="s">
        <v>1004</v>
      </c>
      <c r="P236" s="99" t="s">
        <v>1287</v>
      </c>
      <c r="Q236" s="99"/>
      <c r="R236" s="99" t="s">
        <v>1309</v>
      </c>
    </row>
    <row r="237" spans="2:18" ht="25.5">
      <c r="B237" s="99">
        <v>65</v>
      </c>
      <c r="C237" s="99" t="s">
        <v>1382</v>
      </c>
      <c r="D237" s="99">
        <v>230</v>
      </c>
      <c r="E237" s="99" t="s">
        <v>302</v>
      </c>
      <c r="F237" s="99" t="s">
        <v>6</v>
      </c>
      <c r="G237" s="140" t="s">
        <v>303</v>
      </c>
      <c r="H237" s="99" t="s">
        <v>18</v>
      </c>
      <c r="I237" s="99" t="s">
        <v>15</v>
      </c>
      <c r="J237" s="102" t="s">
        <v>1016</v>
      </c>
      <c r="K237" s="100">
        <v>19906</v>
      </c>
      <c r="L237" s="140">
        <v>1954</v>
      </c>
      <c r="M237" s="140">
        <f t="shared" si="6"/>
        <v>65</v>
      </c>
      <c r="N237" s="99" t="s">
        <v>3</v>
      </c>
      <c r="O237" s="99" t="s">
        <v>1004</v>
      </c>
      <c r="P237" s="99" t="s">
        <v>1288</v>
      </c>
      <c r="Q237" s="99"/>
      <c r="R237" s="99" t="s">
        <v>1032</v>
      </c>
    </row>
    <row r="238" spans="2:18">
      <c r="B238" s="203">
        <v>66</v>
      </c>
      <c r="C238" s="205" t="s">
        <v>1412</v>
      </c>
      <c r="D238" s="99">
        <v>231</v>
      </c>
      <c r="E238" s="99" t="s">
        <v>45</v>
      </c>
      <c r="F238" s="99" t="s">
        <v>6</v>
      </c>
      <c r="G238" s="101" t="s">
        <v>1413</v>
      </c>
      <c r="H238" s="99" t="s">
        <v>18</v>
      </c>
      <c r="I238" s="99" t="s">
        <v>9</v>
      </c>
      <c r="J238" s="102" t="s">
        <v>1416</v>
      </c>
      <c r="K238" s="100">
        <v>31777</v>
      </c>
      <c r="L238" s="101" t="s">
        <v>1012</v>
      </c>
      <c r="M238" s="140">
        <f t="shared" ref="M238:M252" si="7">2019-L238</f>
        <v>33</v>
      </c>
      <c r="N238" s="99" t="s">
        <v>3</v>
      </c>
      <c r="O238" s="99" t="s">
        <v>1004</v>
      </c>
      <c r="P238" s="99" t="s">
        <v>1088</v>
      </c>
      <c r="Q238" s="99"/>
      <c r="R238" s="99" t="s">
        <v>23</v>
      </c>
    </row>
    <row r="239" spans="2:18">
      <c r="B239" s="203"/>
      <c r="C239" s="205"/>
      <c r="D239" s="99">
        <v>232</v>
      </c>
      <c r="E239" s="99" t="s">
        <v>1009</v>
      </c>
      <c r="F239" s="135" t="s">
        <v>21</v>
      </c>
      <c r="G239" s="92" t="s">
        <v>1414</v>
      </c>
      <c r="H239" s="135" t="s">
        <v>1</v>
      </c>
      <c r="I239" s="135" t="s">
        <v>9</v>
      </c>
      <c r="J239" s="102" t="s">
        <v>993</v>
      </c>
      <c r="K239" s="91">
        <v>32421</v>
      </c>
      <c r="L239" s="92" t="s">
        <v>1013</v>
      </c>
      <c r="M239" s="140">
        <f t="shared" si="7"/>
        <v>31</v>
      </c>
      <c r="N239" s="135" t="s">
        <v>3</v>
      </c>
      <c r="O239" s="135" t="s">
        <v>1004</v>
      </c>
      <c r="P239" s="99" t="s">
        <v>1287</v>
      </c>
      <c r="Q239" s="135"/>
      <c r="R239" s="99" t="s">
        <v>1015</v>
      </c>
    </row>
    <row r="240" spans="2:18" ht="25.5">
      <c r="B240" s="203"/>
      <c r="C240" s="205"/>
      <c r="D240" s="99">
        <v>233</v>
      </c>
      <c r="E240" s="99" t="s">
        <v>1010</v>
      </c>
      <c r="F240" s="135" t="s">
        <v>12</v>
      </c>
      <c r="G240" s="92" t="s">
        <v>1415</v>
      </c>
      <c r="H240" s="135" t="s">
        <v>18</v>
      </c>
      <c r="I240" s="135" t="s">
        <v>1011</v>
      </c>
      <c r="J240" s="102" t="s">
        <v>993</v>
      </c>
      <c r="K240" s="91">
        <v>42555</v>
      </c>
      <c r="L240" s="92" t="s">
        <v>1014</v>
      </c>
      <c r="M240" s="140">
        <f t="shared" si="7"/>
        <v>3</v>
      </c>
      <c r="N240" s="135" t="s">
        <v>3</v>
      </c>
      <c r="O240" s="135" t="s">
        <v>1004</v>
      </c>
      <c r="P240" s="99" t="s">
        <v>1288</v>
      </c>
      <c r="Q240" s="135"/>
      <c r="R240" s="99" t="s">
        <v>1277</v>
      </c>
    </row>
    <row r="241" spans="1:46" ht="25.5">
      <c r="B241" s="199">
        <v>67</v>
      </c>
      <c r="C241" s="202" t="s">
        <v>1405</v>
      </c>
      <c r="D241" s="99">
        <v>234</v>
      </c>
      <c r="E241" s="99" t="s">
        <v>732</v>
      </c>
      <c r="F241" s="99" t="s">
        <v>6</v>
      </c>
      <c r="G241" s="140" t="s">
        <v>248</v>
      </c>
      <c r="H241" s="99" t="s">
        <v>18</v>
      </c>
      <c r="I241" s="99" t="s">
        <v>9</v>
      </c>
      <c r="J241" s="102" t="s">
        <v>1016</v>
      </c>
      <c r="K241" s="100">
        <v>32874</v>
      </c>
      <c r="L241" s="101" t="s">
        <v>1046</v>
      </c>
      <c r="M241" s="140">
        <f t="shared" si="7"/>
        <v>29</v>
      </c>
      <c r="N241" s="99" t="s">
        <v>3</v>
      </c>
      <c r="O241" s="99" t="s">
        <v>1004</v>
      </c>
      <c r="P241" s="99" t="s">
        <v>1287</v>
      </c>
      <c r="Q241" s="99"/>
      <c r="R241" s="99" t="s">
        <v>23</v>
      </c>
    </row>
    <row r="242" spans="1:46" ht="25.5">
      <c r="B242" s="199"/>
      <c r="C242" s="199"/>
      <c r="D242" s="99">
        <v>235</v>
      </c>
      <c r="E242" s="99" t="s">
        <v>1042</v>
      </c>
      <c r="F242" s="135" t="s">
        <v>21</v>
      </c>
      <c r="G242" s="92" t="s">
        <v>1406</v>
      </c>
      <c r="H242" s="135" t="s">
        <v>1</v>
      </c>
      <c r="I242" s="135" t="s">
        <v>9</v>
      </c>
      <c r="J242" s="102" t="s">
        <v>1044</v>
      </c>
      <c r="K242" s="91">
        <v>33361</v>
      </c>
      <c r="L242" s="92" t="s">
        <v>1047</v>
      </c>
      <c r="M242" s="140">
        <f t="shared" si="7"/>
        <v>28</v>
      </c>
      <c r="N242" s="135" t="s">
        <v>3</v>
      </c>
      <c r="O242" s="135" t="s">
        <v>1004</v>
      </c>
      <c r="P242" s="99" t="s">
        <v>1287</v>
      </c>
      <c r="Q242" s="135"/>
      <c r="R242" s="99" t="s">
        <v>1276</v>
      </c>
    </row>
    <row r="243" spans="1:46" ht="25.5">
      <c r="B243" s="199"/>
      <c r="C243" s="199"/>
      <c r="D243" s="99">
        <v>236</v>
      </c>
      <c r="E243" s="99" t="s">
        <v>1043</v>
      </c>
      <c r="F243" s="135" t="s">
        <v>12</v>
      </c>
      <c r="G243" s="92" t="s">
        <v>1407</v>
      </c>
      <c r="H243" s="135" t="s">
        <v>1</v>
      </c>
      <c r="I243" s="135" t="s">
        <v>15</v>
      </c>
      <c r="J243" s="102" t="s">
        <v>1045</v>
      </c>
      <c r="K243" s="91">
        <v>42836</v>
      </c>
      <c r="L243" s="92" t="s">
        <v>1048</v>
      </c>
      <c r="M243" s="140">
        <f t="shared" si="7"/>
        <v>2</v>
      </c>
      <c r="N243" s="135" t="s">
        <v>3</v>
      </c>
      <c r="O243" s="135" t="s">
        <v>1004</v>
      </c>
      <c r="P243" s="99" t="s">
        <v>1288</v>
      </c>
      <c r="Q243" s="135"/>
      <c r="R243" s="99" t="s">
        <v>1277</v>
      </c>
    </row>
    <row r="244" spans="1:46">
      <c r="B244" s="203">
        <v>68</v>
      </c>
      <c r="C244" s="205" t="s">
        <v>1610</v>
      </c>
      <c r="D244" s="99">
        <v>237</v>
      </c>
      <c r="E244" s="99" t="s">
        <v>376</v>
      </c>
      <c r="F244" s="135" t="s">
        <v>6</v>
      </c>
      <c r="G244" s="92" t="s">
        <v>513</v>
      </c>
      <c r="H244" s="135" t="s">
        <v>18</v>
      </c>
      <c r="I244" s="135" t="s">
        <v>9</v>
      </c>
      <c r="J244" s="102" t="s">
        <v>993</v>
      </c>
      <c r="K244" s="91">
        <v>30969</v>
      </c>
      <c r="L244" s="92" t="s">
        <v>1107</v>
      </c>
      <c r="M244" s="90">
        <f t="shared" si="7"/>
        <v>35</v>
      </c>
      <c r="N244" s="135" t="s">
        <v>3</v>
      </c>
      <c r="O244" s="135" t="s">
        <v>1004</v>
      </c>
      <c r="P244" s="99" t="s">
        <v>1287</v>
      </c>
      <c r="Q244" s="135"/>
      <c r="R244" s="99" t="s">
        <v>23</v>
      </c>
    </row>
    <row r="245" spans="1:46" ht="25.5">
      <c r="B245" s="203"/>
      <c r="C245" s="205"/>
      <c r="D245" s="99">
        <v>238</v>
      </c>
      <c r="E245" s="99" t="s">
        <v>377</v>
      </c>
      <c r="F245" s="135" t="s">
        <v>21</v>
      </c>
      <c r="G245" s="92" t="s">
        <v>1612</v>
      </c>
      <c r="H245" s="135" t="s">
        <v>1</v>
      </c>
      <c r="I245" s="135" t="s">
        <v>9</v>
      </c>
      <c r="J245" s="102" t="s">
        <v>1110</v>
      </c>
      <c r="K245" s="91">
        <v>34444</v>
      </c>
      <c r="L245" s="92" t="s">
        <v>1061</v>
      </c>
      <c r="M245" s="90">
        <f t="shared" si="7"/>
        <v>25</v>
      </c>
      <c r="N245" s="135" t="s">
        <v>3</v>
      </c>
      <c r="O245" s="135" t="s">
        <v>1004</v>
      </c>
      <c r="P245" s="99" t="s">
        <v>1287</v>
      </c>
      <c r="Q245" s="135"/>
      <c r="R245" s="99" t="s">
        <v>1276</v>
      </c>
    </row>
    <row r="246" spans="1:46" ht="25.5">
      <c r="B246" s="203"/>
      <c r="C246" s="205"/>
      <c r="D246" s="99">
        <v>239</v>
      </c>
      <c r="E246" s="99" t="s">
        <v>1611</v>
      </c>
      <c r="F246" s="135" t="s">
        <v>12</v>
      </c>
      <c r="G246" s="92" t="s">
        <v>515</v>
      </c>
      <c r="H246" s="135" t="s">
        <v>18</v>
      </c>
      <c r="I246" s="135" t="s">
        <v>15</v>
      </c>
      <c r="J246" s="102" t="s">
        <v>993</v>
      </c>
      <c r="K246" s="91">
        <v>41961</v>
      </c>
      <c r="L246" s="92" t="s">
        <v>998</v>
      </c>
      <c r="M246" s="90">
        <f t="shared" si="7"/>
        <v>5</v>
      </c>
      <c r="N246" s="135" t="s">
        <v>3</v>
      </c>
      <c r="O246" s="135" t="s">
        <v>1004</v>
      </c>
      <c r="P246" s="99" t="s">
        <v>1288</v>
      </c>
      <c r="Q246" s="135"/>
      <c r="R246" s="99" t="s">
        <v>1277</v>
      </c>
    </row>
    <row r="247" spans="1:46" ht="25.5">
      <c r="B247" s="135">
        <v>69</v>
      </c>
      <c r="C247" s="135" t="s">
        <v>1426</v>
      </c>
      <c r="D247" s="99">
        <v>240</v>
      </c>
      <c r="E247" s="99" t="s">
        <v>423</v>
      </c>
      <c r="F247" s="135" t="s">
        <v>6</v>
      </c>
      <c r="G247" s="90" t="s">
        <v>1433</v>
      </c>
      <c r="H247" s="135" t="s">
        <v>1</v>
      </c>
      <c r="I247" s="135" t="s">
        <v>1020</v>
      </c>
      <c r="J247" s="102" t="s">
        <v>993</v>
      </c>
      <c r="K247" s="91">
        <v>18271</v>
      </c>
      <c r="L247" s="90">
        <v>1950</v>
      </c>
      <c r="M247" s="90">
        <f t="shared" si="7"/>
        <v>69</v>
      </c>
      <c r="N247" s="135" t="s">
        <v>3</v>
      </c>
      <c r="O247" s="135" t="s">
        <v>1004</v>
      </c>
      <c r="P247" s="99" t="s">
        <v>1288</v>
      </c>
      <c r="Q247" s="135"/>
      <c r="R247" s="99" t="s">
        <v>1276</v>
      </c>
    </row>
    <row r="248" spans="1:46" s="135" customFormat="1">
      <c r="A248" s="136"/>
      <c r="B248" s="203">
        <v>70</v>
      </c>
      <c r="C248" s="203" t="s">
        <v>1487</v>
      </c>
      <c r="D248" s="99">
        <v>241</v>
      </c>
      <c r="E248" s="99" t="s">
        <v>1488</v>
      </c>
      <c r="F248" s="135" t="s">
        <v>6</v>
      </c>
      <c r="G248" s="90" t="s">
        <v>1490</v>
      </c>
      <c r="H248" s="135" t="s">
        <v>1</v>
      </c>
      <c r="I248" s="135" t="s">
        <v>1020</v>
      </c>
      <c r="J248" s="102" t="s">
        <v>993</v>
      </c>
      <c r="K248" s="91">
        <v>33055</v>
      </c>
      <c r="L248" s="90">
        <v>1990</v>
      </c>
      <c r="M248" s="90">
        <f t="shared" si="7"/>
        <v>29</v>
      </c>
      <c r="N248" s="135" t="s">
        <v>3</v>
      </c>
      <c r="O248" s="135" t="s">
        <v>1004</v>
      </c>
      <c r="P248" s="99" t="s">
        <v>1287</v>
      </c>
      <c r="R248" s="99" t="s">
        <v>23</v>
      </c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  <c r="AQ248" s="88"/>
      <c r="AR248" s="88"/>
      <c r="AS248" s="88"/>
      <c r="AT248" s="89"/>
    </row>
    <row r="249" spans="1:46" s="136" customFormat="1" ht="25.5">
      <c r="A249" s="137"/>
      <c r="B249" s="203"/>
      <c r="C249" s="203"/>
      <c r="D249" s="99">
        <v>242</v>
      </c>
      <c r="E249" s="99" t="s">
        <v>1489</v>
      </c>
      <c r="F249" s="135" t="s">
        <v>12</v>
      </c>
      <c r="G249" s="90" t="s">
        <v>1491</v>
      </c>
      <c r="H249" s="135" t="s">
        <v>18</v>
      </c>
      <c r="I249" s="135" t="s">
        <v>15</v>
      </c>
      <c r="J249" s="102" t="s">
        <v>993</v>
      </c>
      <c r="K249" s="91">
        <v>41365</v>
      </c>
      <c r="L249" s="90">
        <v>2013</v>
      </c>
      <c r="M249" s="90">
        <f t="shared" si="7"/>
        <v>6</v>
      </c>
      <c r="N249" s="135" t="s">
        <v>3</v>
      </c>
      <c r="O249" s="135" t="s">
        <v>1004</v>
      </c>
      <c r="P249" s="99" t="s">
        <v>1288</v>
      </c>
      <c r="Q249" s="135"/>
      <c r="R249" s="99" t="s">
        <v>1277</v>
      </c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  <c r="AQ249" s="88"/>
      <c r="AR249" s="88"/>
      <c r="AS249" s="88"/>
      <c r="AT249" s="144"/>
    </row>
    <row r="250" spans="1:46" s="135" customFormat="1" ht="25.5">
      <c r="A250" s="136"/>
      <c r="B250" s="203">
        <v>71</v>
      </c>
      <c r="C250" s="203" t="s">
        <v>1517</v>
      </c>
      <c r="D250" s="99">
        <v>243</v>
      </c>
      <c r="E250" s="99" t="s">
        <v>1518</v>
      </c>
      <c r="F250" s="135" t="s">
        <v>6</v>
      </c>
      <c r="G250" s="90" t="s">
        <v>1521</v>
      </c>
      <c r="H250" s="135" t="s">
        <v>18</v>
      </c>
      <c r="I250" s="135" t="s">
        <v>9</v>
      </c>
      <c r="J250" s="102" t="s">
        <v>993</v>
      </c>
      <c r="K250" s="91">
        <v>25020</v>
      </c>
      <c r="L250" s="90">
        <v>1963</v>
      </c>
      <c r="M250" s="90">
        <f t="shared" si="7"/>
        <v>56</v>
      </c>
      <c r="N250" s="135" t="s">
        <v>3</v>
      </c>
      <c r="O250" s="135" t="s">
        <v>1004</v>
      </c>
      <c r="P250" s="99" t="s">
        <v>1288</v>
      </c>
      <c r="R250" s="99" t="s">
        <v>81</v>
      </c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  <c r="AQ250" s="88"/>
      <c r="AR250" s="88"/>
      <c r="AS250" s="88"/>
      <c r="AT250" s="89"/>
    </row>
    <row r="251" spans="1:46" s="135" customFormat="1" ht="25.5">
      <c r="A251" s="137"/>
      <c r="B251" s="203"/>
      <c r="C251" s="203"/>
      <c r="D251" s="99">
        <v>244</v>
      </c>
      <c r="E251" s="99" t="s">
        <v>1519</v>
      </c>
      <c r="F251" s="135" t="s">
        <v>21</v>
      </c>
      <c r="G251" s="90" t="s">
        <v>1522</v>
      </c>
      <c r="H251" s="135" t="s">
        <v>1</v>
      </c>
      <c r="I251" s="135" t="s">
        <v>9</v>
      </c>
      <c r="J251" s="102" t="s">
        <v>993</v>
      </c>
      <c r="K251" s="91">
        <v>26846</v>
      </c>
      <c r="L251" s="90">
        <v>1973</v>
      </c>
      <c r="M251" s="90">
        <f t="shared" si="7"/>
        <v>46</v>
      </c>
      <c r="N251" s="135" t="s">
        <v>3</v>
      </c>
      <c r="O251" s="135" t="s">
        <v>1004</v>
      </c>
      <c r="P251" s="99" t="s">
        <v>1274</v>
      </c>
      <c r="R251" s="99" t="s">
        <v>1276</v>
      </c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  <c r="AQ251" s="88"/>
      <c r="AR251" s="88"/>
      <c r="AS251" s="88"/>
      <c r="AT251" s="89"/>
    </row>
    <row r="252" spans="1:46" s="135" customFormat="1" ht="25.5">
      <c r="A252" s="138"/>
      <c r="B252" s="203"/>
      <c r="C252" s="203"/>
      <c r="D252" s="99">
        <v>245</v>
      </c>
      <c r="E252" s="99" t="s">
        <v>1520</v>
      </c>
      <c r="F252" s="135" t="s">
        <v>12</v>
      </c>
      <c r="G252" s="90" t="s">
        <v>1523</v>
      </c>
      <c r="H252" s="135" t="s">
        <v>18</v>
      </c>
      <c r="I252" s="135" t="s">
        <v>15</v>
      </c>
      <c r="J252" s="102" t="s">
        <v>993</v>
      </c>
      <c r="K252" s="91">
        <v>39161</v>
      </c>
      <c r="L252" s="90">
        <v>2007</v>
      </c>
      <c r="M252" s="90">
        <f t="shared" si="7"/>
        <v>12</v>
      </c>
      <c r="N252" s="135" t="s">
        <v>3</v>
      </c>
      <c r="O252" s="135" t="s">
        <v>1004</v>
      </c>
      <c r="P252" s="99" t="s">
        <v>1288</v>
      </c>
      <c r="R252" s="99" t="s">
        <v>1277</v>
      </c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  <c r="AQ252" s="88"/>
      <c r="AR252" s="88"/>
      <c r="AS252" s="88"/>
      <c r="AT252" s="89"/>
    </row>
    <row r="253" spans="1:46" ht="25.5">
      <c r="B253" s="199">
        <v>72</v>
      </c>
      <c r="C253" s="199" t="s">
        <v>1553</v>
      </c>
      <c r="D253" s="99">
        <v>246</v>
      </c>
      <c r="E253" s="99" t="s">
        <v>1548</v>
      </c>
      <c r="F253" s="99" t="s">
        <v>6</v>
      </c>
      <c r="G253" s="101" t="s">
        <v>1551</v>
      </c>
      <c r="H253" s="99" t="s">
        <v>18</v>
      </c>
      <c r="I253" s="99" t="s">
        <v>9</v>
      </c>
      <c r="J253" s="102" t="s">
        <v>993</v>
      </c>
      <c r="K253" s="100">
        <v>34543</v>
      </c>
      <c r="L253" s="101" t="s">
        <v>1061</v>
      </c>
      <c r="M253" s="140">
        <f>2019-L253</f>
        <v>25</v>
      </c>
      <c r="N253" s="99" t="s">
        <v>3</v>
      </c>
      <c r="O253" s="99" t="s">
        <v>1004</v>
      </c>
      <c r="P253" s="99" t="s">
        <v>1273</v>
      </c>
      <c r="Q253" s="99"/>
      <c r="R253" s="99" t="s">
        <v>23</v>
      </c>
    </row>
    <row r="254" spans="1:46" s="135" customFormat="1" ht="25.5">
      <c r="A254" s="137"/>
      <c r="B254" s="199"/>
      <c r="C254" s="199"/>
      <c r="D254" s="99">
        <v>247</v>
      </c>
      <c r="E254" s="99" t="s">
        <v>1554</v>
      </c>
      <c r="F254" s="135" t="s">
        <v>21</v>
      </c>
      <c r="G254" s="90" t="s">
        <v>1556</v>
      </c>
      <c r="H254" s="135" t="s">
        <v>1</v>
      </c>
      <c r="I254" s="135" t="s">
        <v>9</v>
      </c>
      <c r="J254" s="102" t="s">
        <v>1558</v>
      </c>
      <c r="K254" s="91">
        <v>34617</v>
      </c>
      <c r="L254" s="90">
        <v>1994</v>
      </c>
      <c r="M254" s="140">
        <f t="shared" ref="M254:M255" si="8">2019-L254</f>
        <v>25</v>
      </c>
      <c r="N254" s="99" t="s">
        <v>3</v>
      </c>
      <c r="O254" s="99" t="s">
        <v>1004</v>
      </c>
      <c r="P254" s="99" t="s">
        <v>1287</v>
      </c>
      <c r="Q254" s="99"/>
      <c r="R254" s="99" t="s">
        <v>1276</v>
      </c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  <c r="AQ254" s="88"/>
      <c r="AR254" s="88"/>
      <c r="AS254" s="88"/>
      <c r="AT254" s="89"/>
    </row>
    <row r="255" spans="1:46" s="135" customFormat="1" ht="25.5">
      <c r="A255" s="138"/>
      <c r="B255" s="199"/>
      <c r="C255" s="199"/>
      <c r="D255" s="99">
        <v>248</v>
      </c>
      <c r="E255" s="99" t="s">
        <v>1555</v>
      </c>
      <c r="F255" s="135" t="s">
        <v>12</v>
      </c>
      <c r="G255" s="90" t="s">
        <v>1557</v>
      </c>
      <c r="H255" s="135" t="s">
        <v>1</v>
      </c>
      <c r="I255" s="135" t="s">
        <v>15</v>
      </c>
      <c r="J255" s="102" t="s">
        <v>1045</v>
      </c>
      <c r="K255" s="91">
        <v>43252</v>
      </c>
      <c r="L255" s="90">
        <v>2018</v>
      </c>
      <c r="M255" s="140">
        <f t="shared" si="8"/>
        <v>1</v>
      </c>
      <c r="N255" s="99" t="s">
        <v>3</v>
      </c>
      <c r="O255" s="99" t="s">
        <v>1004</v>
      </c>
      <c r="P255" s="99" t="s">
        <v>1288</v>
      </c>
      <c r="Q255" s="99"/>
      <c r="R255" s="99" t="s">
        <v>1277</v>
      </c>
      <c r="S255" s="88"/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  <c r="AQ255" s="88"/>
      <c r="AR255" s="88"/>
      <c r="AS255" s="88"/>
      <c r="AT255" s="89"/>
    </row>
    <row r="256" spans="1:46" s="135" customFormat="1">
      <c r="A256" s="136"/>
      <c r="B256" s="199">
        <v>73</v>
      </c>
      <c r="C256" s="199" t="s">
        <v>1567</v>
      </c>
      <c r="D256" s="99">
        <v>249</v>
      </c>
      <c r="E256" s="99" t="s">
        <v>1568</v>
      </c>
      <c r="F256" s="99" t="s">
        <v>6</v>
      </c>
      <c r="G256" s="140" t="s">
        <v>296</v>
      </c>
      <c r="H256" s="99" t="s">
        <v>18</v>
      </c>
      <c r="I256" s="99" t="s">
        <v>9</v>
      </c>
      <c r="J256" s="102" t="s">
        <v>993</v>
      </c>
      <c r="K256" s="100">
        <v>32521</v>
      </c>
      <c r="L256" s="140">
        <v>1989</v>
      </c>
      <c r="M256" s="140">
        <f>2019-L256</f>
        <v>30</v>
      </c>
      <c r="N256" s="99" t="s">
        <v>3</v>
      </c>
      <c r="O256" s="99" t="s">
        <v>1004</v>
      </c>
      <c r="P256" s="99" t="s">
        <v>1572</v>
      </c>
      <c r="Q256" s="99"/>
      <c r="R256" s="99" t="s">
        <v>1573</v>
      </c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  <c r="AQ256" s="88"/>
      <c r="AR256" s="88"/>
      <c r="AS256" s="88"/>
      <c r="AT256" s="89"/>
    </row>
    <row r="257" spans="1:46" s="135" customFormat="1" ht="25.5">
      <c r="A257" s="138"/>
      <c r="B257" s="199"/>
      <c r="C257" s="199"/>
      <c r="D257" s="99">
        <v>250</v>
      </c>
      <c r="E257" s="99" t="s">
        <v>1569</v>
      </c>
      <c r="F257" s="135" t="s">
        <v>21</v>
      </c>
      <c r="G257" s="90" t="s">
        <v>1570</v>
      </c>
      <c r="H257" s="135" t="s">
        <v>1</v>
      </c>
      <c r="I257" s="135" t="s">
        <v>9</v>
      </c>
      <c r="J257" s="102" t="s">
        <v>1571</v>
      </c>
      <c r="K257" s="91">
        <v>35320</v>
      </c>
      <c r="L257" s="90">
        <v>1996</v>
      </c>
      <c r="M257" s="90">
        <f>2019-L257</f>
        <v>23</v>
      </c>
      <c r="N257" s="135" t="s">
        <v>3</v>
      </c>
      <c r="O257" s="135" t="s">
        <v>1004</v>
      </c>
      <c r="P257" s="99" t="s">
        <v>1088</v>
      </c>
      <c r="R257" s="99" t="s">
        <v>1185</v>
      </c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  <c r="AQ257" s="88"/>
      <c r="AR257" s="88"/>
      <c r="AS257" s="88"/>
      <c r="AT257" s="89"/>
    </row>
    <row r="258" spans="1:46" ht="25.5">
      <c r="B258" s="203">
        <v>74</v>
      </c>
      <c r="C258" s="203" t="s">
        <v>1592</v>
      </c>
      <c r="D258" s="99">
        <v>251</v>
      </c>
      <c r="E258" s="99" t="s">
        <v>1593</v>
      </c>
      <c r="F258" s="135" t="s">
        <v>6</v>
      </c>
      <c r="G258" s="90" t="s">
        <v>1596</v>
      </c>
      <c r="H258" s="135" t="s">
        <v>18</v>
      </c>
      <c r="I258" s="135" t="s">
        <v>9</v>
      </c>
      <c r="J258" s="102" t="s">
        <v>1016</v>
      </c>
      <c r="K258" s="91">
        <v>24107</v>
      </c>
      <c r="L258" s="90">
        <v>1965</v>
      </c>
      <c r="M258" s="90">
        <f>2019-L258</f>
        <v>54</v>
      </c>
      <c r="N258" s="135" t="s">
        <v>3</v>
      </c>
      <c r="O258" s="135" t="s">
        <v>1004</v>
      </c>
      <c r="P258" s="99" t="s">
        <v>1273</v>
      </c>
      <c r="Q258" s="135"/>
      <c r="R258" s="99" t="s">
        <v>23</v>
      </c>
    </row>
    <row r="259" spans="1:46" ht="25.5">
      <c r="B259" s="203"/>
      <c r="C259" s="203"/>
      <c r="D259" s="99">
        <v>252</v>
      </c>
      <c r="E259" s="99" t="s">
        <v>1594</v>
      </c>
      <c r="F259" s="135" t="s">
        <v>12</v>
      </c>
      <c r="G259" s="90" t="s">
        <v>1597</v>
      </c>
      <c r="H259" s="135" t="s">
        <v>18</v>
      </c>
      <c r="I259" s="135" t="s">
        <v>15</v>
      </c>
      <c r="J259" s="102" t="s">
        <v>1016</v>
      </c>
      <c r="K259" s="91">
        <v>40828</v>
      </c>
      <c r="L259" s="90">
        <v>2011</v>
      </c>
      <c r="M259" s="90">
        <f>2019-L259</f>
        <v>8</v>
      </c>
      <c r="N259" s="135" t="s">
        <v>3</v>
      </c>
      <c r="O259" s="135" t="s">
        <v>1004</v>
      </c>
      <c r="P259" s="99" t="s">
        <v>1288</v>
      </c>
      <c r="Q259" s="135"/>
      <c r="R259" s="99" t="s">
        <v>1309</v>
      </c>
    </row>
    <row r="260" spans="1:46" ht="25.5">
      <c r="B260" s="203"/>
      <c r="C260" s="203"/>
      <c r="D260" s="99">
        <v>253</v>
      </c>
      <c r="E260" s="99" t="s">
        <v>1595</v>
      </c>
      <c r="F260" s="135" t="s">
        <v>16</v>
      </c>
      <c r="G260" s="90" t="s">
        <v>1598</v>
      </c>
      <c r="H260" s="135" t="s">
        <v>1</v>
      </c>
      <c r="I260" s="135" t="s">
        <v>15</v>
      </c>
      <c r="J260" s="102" t="s">
        <v>1016</v>
      </c>
      <c r="K260" s="91">
        <v>30133</v>
      </c>
      <c r="L260" s="90">
        <v>1982</v>
      </c>
      <c r="M260" s="90">
        <f>2019-L260</f>
        <v>37</v>
      </c>
      <c r="N260" s="135" t="s">
        <v>3</v>
      </c>
      <c r="O260" s="135" t="s">
        <v>1004</v>
      </c>
      <c r="P260" s="99" t="s">
        <v>1288</v>
      </c>
      <c r="Q260" s="135"/>
      <c r="R260" s="99" t="s">
        <v>1277</v>
      </c>
    </row>
    <row r="264" spans="1:46" s="88" customFormat="1" ht="15">
      <c r="D264" s="206" t="s">
        <v>2251</v>
      </c>
      <c r="E264" s="206"/>
      <c r="F264" s="206"/>
      <c r="L264" s="174"/>
      <c r="P264" s="175"/>
      <c r="R264" s="175"/>
    </row>
    <row r="265" spans="1:46" s="88" customFormat="1" ht="15">
      <c r="D265" s="206" t="s">
        <v>2252</v>
      </c>
      <c r="E265" s="206"/>
      <c r="F265" s="206"/>
      <c r="L265" s="174"/>
      <c r="P265" s="185" t="s">
        <v>2253</v>
      </c>
      <c r="Q265" s="185"/>
      <c r="R265" s="175"/>
    </row>
    <row r="266" spans="1:46" s="88" customFormat="1" ht="15">
      <c r="D266" s="176"/>
      <c r="E266" s="177"/>
      <c r="F266" s="176"/>
      <c r="L266" s="174"/>
      <c r="P266" s="98"/>
      <c r="Q266" s="108"/>
      <c r="R266" s="175"/>
    </row>
    <row r="267" spans="1:46" s="88" customFormat="1" ht="15">
      <c r="D267" s="176"/>
      <c r="E267" s="177"/>
      <c r="F267" s="176"/>
      <c r="L267" s="174"/>
      <c r="P267" s="98"/>
      <c r="Q267" s="108"/>
      <c r="R267" s="175"/>
    </row>
    <row r="268" spans="1:46" s="88" customFormat="1" ht="15">
      <c r="D268" s="176"/>
      <c r="E268" s="177"/>
      <c r="F268" s="176"/>
      <c r="L268" s="174"/>
      <c r="P268" s="98"/>
      <c r="Q268" s="108"/>
      <c r="R268" s="175"/>
    </row>
    <row r="269" spans="1:46" s="88" customFormat="1" ht="14.25">
      <c r="D269" s="207" t="s">
        <v>2254</v>
      </c>
      <c r="E269" s="207"/>
      <c r="F269" s="207"/>
      <c r="L269" s="174"/>
      <c r="P269" s="178" t="s">
        <v>2256</v>
      </c>
      <c r="Q269" s="178"/>
      <c r="R269" s="175"/>
    </row>
    <row r="270" spans="1:46" s="88" customFormat="1" ht="14.25">
      <c r="D270" s="207" t="s">
        <v>2255</v>
      </c>
      <c r="E270" s="207"/>
      <c r="F270" s="207"/>
      <c r="L270" s="174"/>
      <c r="P270" s="175"/>
      <c r="R270" s="175"/>
    </row>
  </sheetData>
  <autoFilter ref="B7:R260"/>
  <mergeCells count="163">
    <mergeCell ref="D265:F265"/>
    <mergeCell ref="P265:Q265"/>
    <mergeCell ref="D269:F269"/>
    <mergeCell ref="P269:Q269"/>
    <mergeCell ref="D270:F270"/>
    <mergeCell ref="C84:C87"/>
    <mergeCell ref="B93:B98"/>
    <mergeCell ref="C93:C98"/>
    <mergeCell ref="B99:B100"/>
    <mergeCell ref="C99:C100"/>
    <mergeCell ref="B105:B109"/>
    <mergeCell ref="C105:C109"/>
    <mergeCell ref="B123:B124"/>
    <mergeCell ref="D264:F264"/>
    <mergeCell ref="B258:B260"/>
    <mergeCell ref="C258:C260"/>
    <mergeCell ref="C198:C199"/>
    <mergeCell ref="B198:B199"/>
    <mergeCell ref="C233:C236"/>
    <mergeCell ref="B233:B236"/>
    <mergeCell ref="C177:C180"/>
    <mergeCell ref="B177:B180"/>
    <mergeCell ref="B144:B146"/>
    <mergeCell ref="B175:B176"/>
    <mergeCell ref="C244:C246"/>
    <mergeCell ref="B244:B246"/>
    <mergeCell ref="C88:C91"/>
    <mergeCell ref="C80:C83"/>
    <mergeCell ref="B181:B186"/>
    <mergeCell ref="C181:C186"/>
    <mergeCell ref="B88:B91"/>
    <mergeCell ref="B131:B132"/>
    <mergeCell ref="C131:C132"/>
    <mergeCell ref="C211:C213"/>
    <mergeCell ref="B238:B240"/>
    <mergeCell ref="C238:C240"/>
    <mergeCell ref="B133:B136"/>
    <mergeCell ref="C133:C136"/>
    <mergeCell ref="C127:C130"/>
    <mergeCell ref="B127:B130"/>
    <mergeCell ref="B193:B195"/>
    <mergeCell ref="C193:C195"/>
    <mergeCell ref="B211:B213"/>
    <mergeCell ref="C137:C140"/>
    <mergeCell ref="B137:B140"/>
    <mergeCell ref="C144:C146"/>
    <mergeCell ref="C175:C176"/>
    <mergeCell ref="B171:B174"/>
    <mergeCell ref="C171:C174"/>
    <mergeCell ref="I5:I6"/>
    <mergeCell ref="J5:L5"/>
    <mergeCell ref="M5:M6"/>
    <mergeCell ref="Q5:Q6"/>
    <mergeCell ref="P5:P6"/>
    <mergeCell ref="O5:O6"/>
    <mergeCell ref="N5:N6"/>
    <mergeCell ref="B157:B161"/>
    <mergeCell ref="C157:C161"/>
    <mergeCell ref="B125:B126"/>
    <mergeCell ref="C125:C126"/>
    <mergeCell ref="B37:B40"/>
    <mergeCell ref="B41:B44"/>
    <mergeCell ref="C41:C44"/>
    <mergeCell ref="C55:C57"/>
    <mergeCell ref="C37:C40"/>
    <mergeCell ref="C119:C122"/>
    <mergeCell ref="C101:C104"/>
    <mergeCell ref="B101:B104"/>
    <mergeCell ref="C61:C63"/>
    <mergeCell ref="B61:B63"/>
    <mergeCell ref="B115:B118"/>
    <mergeCell ref="C115:C118"/>
    <mergeCell ref="B84:B87"/>
    <mergeCell ref="D5:D6"/>
    <mergeCell ref="C5:C6"/>
    <mergeCell ref="H5:H6"/>
    <mergeCell ref="C22:C25"/>
    <mergeCell ref="B47:B51"/>
    <mergeCell ref="C47:C51"/>
    <mergeCell ref="B72:B75"/>
    <mergeCell ref="B45:B46"/>
    <mergeCell ref="B32:B36"/>
    <mergeCell ref="C32:C36"/>
    <mergeCell ref="C26:C27"/>
    <mergeCell ref="B28:B31"/>
    <mergeCell ref="C28:C31"/>
    <mergeCell ref="B26:B27"/>
    <mergeCell ref="F5:F6"/>
    <mergeCell ref="B8:B10"/>
    <mergeCell ref="C11:C14"/>
    <mergeCell ref="B11:B14"/>
    <mergeCell ref="C253:C255"/>
    <mergeCell ref="C68:C71"/>
    <mergeCell ref="B68:B71"/>
    <mergeCell ref="B15:B21"/>
    <mergeCell ref="B55:B57"/>
    <mergeCell ref="B80:B83"/>
    <mergeCell ref="B22:B25"/>
    <mergeCell ref="C15:C21"/>
    <mergeCell ref="C110:C114"/>
    <mergeCell ref="B110:B114"/>
    <mergeCell ref="B248:B249"/>
    <mergeCell ref="C248:C249"/>
    <mergeCell ref="C76:C78"/>
    <mergeCell ref="B76:B78"/>
    <mergeCell ref="B220:B223"/>
    <mergeCell ref="C220:C223"/>
    <mergeCell ref="C187:C188"/>
    <mergeCell ref="B187:B188"/>
    <mergeCell ref="C216:C219"/>
    <mergeCell ref="B189:B192"/>
    <mergeCell ref="C189:C192"/>
    <mergeCell ref="B204:B208"/>
    <mergeCell ref="C204:C208"/>
    <mergeCell ref="B119:B122"/>
    <mergeCell ref="C256:C257"/>
    <mergeCell ref="B256:B257"/>
    <mergeCell ref="C64:C67"/>
    <mergeCell ref="B64:B67"/>
    <mergeCell ref="C229:C232"/>
    <mergeCell ref="B229:B232"/>
    <mergeCell ref="C166:C170"/>
    <mergeCell ref="B166:B170"/>
    <mergeCell ref="C250:C252"/>
    <mergeCell ref="B250:B252"/>
    <mergeCell ref="B196:B197"/>
    <mergeCell ref="C196:C197"/>
    <mergeCell ref="C214:C215"/>
    <mergeCell ref="B214:B215"/>
    <mergeCell ref="C241:C243"/>
    <mergeCell ref="B241:B243"/>
    <mergeCell ref="C226:C228"/>
    <mergeCell ref="B226:B228"/>
    <mergeCell ref="B141:B143"/>
    <mergeCell ref="C141:C143"/>
    <mergeCell ref="B162:B165"/>
    <mergeCell ref="C162:C165"/>
    <mergeCell ref="B216:B219"/>
    <mergeCell ref="B253:B255"/>
    <mergeCell ref="B224:B225"/>
    <mergeCell ref="C224:C225"/>
    <mergeCell ref="B1:R1"/>
    <mergeCell ref="B2:R2"/>
    <mergeCell ref="C123:C124"/>
    <mergeCell ref="B147:B151"/>
    <mergeCell ref="C147:C151"/>
    <mergeCell ref="B152:B156"/>
    <mergeCell ref="C152:C156"/>
    <mergeCell ref="B200:B203"/>
    <mergeCell ref="C200:C203"/>
    <mergeCell ref="B209:B210"/>
    <mergeCell ref="C209:C210"/>
    <mergeCell ref="C8:C10"/>
    <mergeCell ref="C45:C46"/>
    <mergeCell ref="B52:B54"/>
    <mergeCell ref="C52:C54"/>
    <mergeCell ref="B58:B60"/>
    <mergeCell ref="C58:C60"/>
    <mergeCell ref="C72:C75"/>
    <mergeCell ref="B5:B6"/>
    <mergeCell ref="E5:E6"/>
    <mergeCell ref="G5:G6"/>
    <mergeCell ref="R5:R6"/>
  </mergeCells>
  <pageMargins left="1.37795275590551" right="0.196850393700787" top="0.39370078740157499" bottom="0.643700787" header="0.31496062992126" footer="0.31496062992126"/>
  <pageSetup paperSize="10000" scale="82" orientation="landscape" horizontalDpi="4294967293" verticalDpi="300" r:id="rId1"/>
  <headerFooter>
    <oddFooter>&amp;C&amp;"-,Bold"&amp;12&amp;P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AU250"/>
  <sheetViews>
    <sheetView workbookViewId="0">
      <pane ySplit="6" topLeftCell="A7" activePane="bottomLeft" state="frozen"/>
      <selection pane="bottomLeft" activeCell="H7" sqref="H7"/>
    </sheetView>
  </sheetViews>
  <sheetFormatPr defaultRowHeight="12.75"/>
  <cols>
    <col min="1" max="1" width="9.140625" style="87"/>
    <col min="2" max="2" width="3.7109375" style="87" customWidth="1"/>
    <col min="3" max="3" width="15.7109375" style="87" customWidth="1"/>
    <col min="4" max="4" width="6.7109375" style="87" customWidth="1"/>
    <col min="5" max="5" width="12.7109375" style="145" customWidth="1"/>
    <col min="6" max="6" width="9.7109375" style="87" customWidth="1"/>
    <col min="7" max="7" width="15.7109375" style="146" customWidth="1"/>
    <col min="8" max="8" width="7.7109375" style="87" customWidth="1"/>
    <col min="9" max="9" width="10.7109375" style="87" customWidth="1"/>
    <col min="10" max="10" width="13.7109375" style="154" customWidth="1"/>
    <col min="11" max="11" width="15.140625" style="148" customWidth="1"/>
    <col min="12" max="12" width="7.28515625" style="146" bestFit="1" customWidth="1"/>
    <col min="13" max="13" width="4.42578125" style="146" customWidth="1"/>
    <col min="14" max="14" width="6.85546875" style="87" customWidth="1"/>
    <col min="15" max="15" width="5" style="87" customWidth="1"/>
    <col min="16" max="16" width="16.7109375" style="145" customWidth="1"/>
    <col min="17" max="17" width="7.5703125" style="87" customWidth="1"/>
    <col min="18" max="18" width="15.7109375" style="145" customWidth="1"/>
    <col min="19" max="46" width="9.140625" style="88"/>
    <col min="47" max="16384" width="9.140625" style="87"/>
  </cols>
  <sheetData>
    <row r="1" spans="2:18" s="97" customFormat="1" ht="15.75">
      <c r="B1" s="197" t="s">
        <v>2244</v>
      </c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</row>
    <row r="2" spans="2:18" s="97" customFormat="1" ht="15.75">
      <c r="B2" s="197" t="s">
        <v>2245</v>
      </c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</row>
    <row r="3" spans="2:18" s="97" customFormat="1" ht="15.75">
      <c r="B3" s="172" t="s">
        <v>2246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</row>
    <row r="4" spans="2:18" ht="15.75">
      <c r="B4" s="172" t="s">
        <v>2250</v>
      </c>
    </row>
    <row r="5" spans="2:18" ht="20.100000000000001" customHeight="1">
      <c r="B5" s="209" t="s">
        <v>306</v>
      </c>
      <c r="C5" s="209" t="s">
        <v>2235</v>
      </c>
      <c r="D5" s="200" t="s">
        <v>1259</v>
      </c>
      <c r="E5" s="200" t="s">
        <v>307</v>
      </c>
      <c r="F5" s="200" t="s">
        <v>312</v>
      </c>
      <c r="G5" s="213" t="s">
        <v>313</v>
      </c>
      <c r="H5" s="200" t="s">
        <v>309</v>
      </c>
      <c r="I5" s="200" t="s">
        <v>308</v>
      </c>
      <c r="J5" s="208" t="s">
        <v>977</v>
      </c>
      <c r="K5" s="208"/>
      <c r="L5" s="208"/>
      <c r="M5" s="213" t="s">
        <v>981</v>
      </c>
      <c r="N5" s="209" t="s">
        <v>310</v>
      </c>
      <c r="O5" s="209" t="s">
        <v>982</v>
      </c>
      <c r="P5" s="200" t="s">
        <v>562</v>
      </c>
      <c r="Q5" s="209" t="s">
        <v>983</v>
      </c>
      <c r="R5" s="200" t="s">
        <v>311</v>
      </c>
    </row>
    <row r="6" spans="2:18" ht="20.100000000000001" customHeight="1">
      <c r="B6" s="209"/>
      <c r="C6" s="209"/>
      <c r="D6" s="200"/>
      <c r="E6" s="200"/>
      <c r="F6" s="200"/>
      <c r="G6" s="213"/>
      <c r="H6" s="200"/>
      <c r="I6" s="200"/>
      <c r="J6" s="150" t="s">
        <v>1114</v>
      </c>
      <c r="K6" s="155" t="s">
        <v>1115</v>
      </c>
      <c r="L6" s="156" t="s">
        <v>980</v>
      </c>
      <c r="M6" s="213"/>
      <c r="N6" s="209"/>
      <c r="O6" s="209"/>
      <c r="P6" s="200"/>
      <c r="Q6" s="209"/>
      <c r="R6" s="200"/>
    </row>
    <row r="7" spans="2:18">
      <c r="B7" s="157"/>
      <c r="C7" s="157"/>
      <c r="D7" s="157"/>
      <c r="E7" s="152"/>
      <c r="F7" s="157"/>
      <c r="G7" s="156"/>
      <c r="H7" s="157"/>
      <c r="I7" s="157"/>
      <c r="J7" s="150"/>
      <c r="K7" s="155"/>
      <c r="L7" s="156"/>
      <c r="M7" s="156"/>
      <c r="N7" s="157"/>
      <c r="O7" s="157"/>
      <c r="P7" s="152"/>
      <c r="Q7" s="157"/>
      <c r="R7" s="152"/>
    </row>
    <row r="8" spans="2:18" ht="25.5">
      <c r="B8" s="203">
        <v>1</v>
      </c>
      <c r="C8" s="205" t="s">
        <v>1809</v>
      </c>
      <c r="D8" s="135">
        <v>1</v>
      </c>
      <c r="E8" s="99" t="s">
        <v>316</v>
      </c>
      <c r="F8" s="135" t="s">
        <v>6</v>
      </c>
      <c r="G8" s="92" t="s">
        <v>1811</v>
      </c>
      <c r="H8" s="135" t="s">
        <v>18</v>
      </c>
      <c r="I8" s="135" t="s">
        <v>9</v>
      </c>
      <c r="J8" s="100" t="s">
        <v>1016</v>
      </c>
      <c r="K8" s="91">
        <v>29504</v>
      </c>
      <c r="L8" s="92" t="s">
        <v>990</v>
      </c>
      <c r="M8" s="90">
        <f t="shared" ref="M8:M15" si="0">2019-L8</f>
        <v>39</v>
      </c>
      <c r="N8" s="135" t="s">
        <v>3</v>
      </c>
      <c r="O8" s="135" t="s">
        <v>1004</v>
      </c>
      <c r="P8" s="99" t="s">
        <v>1272</v>
      </c>
      <c r="Q8" s="135"/>
      <c r="R8" s="99" t="s">
        <v>23</v>
      </c>
    </row>
    <row r="9" spans="2:18" ht="25.5">
      <c r="B9" s="203"/>
      <c r="C9" s="203"/>
      <c r="D9" s="135">
        <v>2</v>
      </c>
      <c r="E9" s="99" t="s">
        <v>1810</v>
      </c>
      <c r="F9" s="135" t="s">
        <v>21</v>
      </c>
      <c r="G9" s="92" t="s">
        <v>1812</v>
      </c>
      <c r="H9" s="135" t="s">
        <v>1</v>
      </c>
      <c r="I9" s="135" t="s">
        <v>9</v>
      </c>
      <c r="J9" s="100" t="s">
        <v>1181</v>
      </c>
      <c r="K9" s="91">
        <v>28491</v>
      </c>
      <c r="L9" s="92" t="s">
        <v>1006</v>
      </c>
      <c r="M9" s="90">
        <f t="shared" si="0"/>
        <v>41</v>
      </c>
      <c r="N9" s="135" t="s">
        <v>3</v>
      </c>
      <c r="O9" s="135" t="s">
        <v>1004</v>
      </c>
      <c r="P9" s="99" t="s">
        <v>1273</v>
      </c>
      <c r="Q9" s="135"/>
      <c r="R9" s="99" t="s">
        <v>1276</v>
      </c>
    </row>
    <row r="10" spans="2:18">
      <c r="B10" s="203">
        <v>2</v>
      </c>
      <c r="C10" s="203"/>
      <c r="D10" s="135">
        <v>3</v>
      </c>
      <c r="E10" s="99" t="s">
        <v>317</v>
      </c>
      <c r="F10" s="135" t="s">
        <v>6</v>
      </c>
      <c r="G10" s="90" t="s">
        <v>464</v>
      </c>
      <c r="H10" s="135" t="s">
        <v>18</v>
      </c>
      <c r="I10" s="135" t="s">
        <v>9</v>
      </c>
      <c r="J10" s="100"/>
      <c r="K10" s="100">
        <v>34521</v>
      </c>
      <c r="L10" s="90">
        <v>1994</v>
      </c>
      <c r="M10" s="90">
        <f t="shared" si="0"/>
        <v>25</v>
      </c>
      <c r="N10" s="135" t="s">
        <v>3</v>
      </c>
      <c r="O10" s="135"/>
      <c r="P10" s="99" t="s">
        <v>1273</v>
      </c>
      <c r="Q10" s="135"/>
      <c r="R10" s="99" t="s">
        <v>39</v>
      </c>
    </row>
    <row r="11" spans="2:18" ht="25.5">
      <c r="B11" s="203"/>
      <c r="C11" s="203"/>
      <c r="D11" s="135">
        <v>4</v>
      </c>
      <c r="E11" s="99" t="s">
        <v>318</v>
      </c>
      <c r="F11" s="135" t="s">
        <v>21</v>
      </c>
      <c r="G11" s="90" t="s">
        <v>465</v>
      </c>
      <c r="H11" s="135" t="s">
        <v>1</v>
      </c>
      <c r="I11" s="135" t="s">
        <v>9</v>
      </c>
      <c r="J11" s="100"/>
      <c r="K11" s="100">
        <v>43493</v>
      </c>
      <c r="L11" s="90">
        <v>1994</v>
      </c>
      <c r="M11" s="90">
        <f t="shared" si="0"/>
        <v>25</v>
      </c>
      <c r="N11" s="135" t="s">
        <v>3</v>
      </c>
      <c r="O11" s="135"/>
      <c r="P11" s="99" t="s">
        <v>1273</v>
      </c>
      <c r="Q11" s="135"/>
      <c r="R11" s="99" t="s">
        <v>5</v>
      </c>
    </row>
    <row r="12" spans="2:18" ht="25.5">
      <c r="B12" s="203"/>
      <c r="C12" s="203"/>
      <c r="D12" s="135">
        <v>5</v>
      </c>
      <c r="E12" s="99" t="s">
        <v>319</v>
      </c>
      <c r="F12" s="135" t="s">
        <v>12</v>
      </c>
      <c r="G12" s="90" t="s">
        <v>466</v>
      </c>
      <c r="H12" s="135" t="s">
        <v>1</v>
      </c>
      <c r="I12" s="135" t="s">
        <v>15</v>
      </c>
      <c r="J12" s="100"/>
      <c r="K12" s="100">
        <v>40978</v>
      </c>
      <c r="L12" s="90">
        <v>2012</v>
      </c>
      <c r="M12" s="90">
        <f t="shared" si="0"/>
        <v>7</v>
      </c>
      <c r="N12" s="135" t="s">
        <v>3</v>
      </c>
      <c r="O12" s="135"/>
      <c r="P12" s="99" t="s">
        <v>11</v>
      </c>
      <c r="Q12" s="135"/>
      <c r="R12" s="99" t="s">
        <v>11</v>
      </c>
    </row>
    <row r="13" spans="2:18" ht="25.5">
      <c r="B13" s="203">
        <v>3</v>
      </c>
      <c r="C13" s="203" t="s">
        <v>1796</v>
      </c>
      <c r="D13" s="135">
        <v>6</v>
      </c>
      <c r="E13" s="99" t="s">
        <v>320</v>
      </c>
      <c r="F13" s="135" t="s">
        <v>6</v>
      </c>
      <c r="G13" s="90" t="s">
        <v>1797</v>
      </c>
      <c r="H13" s="135" t="s">
        <v>18</v>
      </c>
      <c r="I13" s="135" t="s">
        <v>9</v>
      </c>
      <c r="J13" s="100" t="s">
        <v>993</v>
      </c>
      <c r="K13" s="91">
        <v>21002</v>
      </c>
      <c r="L13" s="90">
        <v>1957</v>
      </c>
      <c r="M13" s="90">
        <f t="shared" si="0"/>
        <v>62</v>
      </c>
      <c r="N13" s="135" t="s">
        <v>3</v>
      </c>
      <c r="O13" s="135" t="s">
        <v>1004</v>
      </c>
      <c r="P13" s="99" t="s">
        <v>1272</v>
      </c>
      <c r="Q13" s="135"/>
      <c r="R13" s="99" t="s">
        <v>1128</v>
      </c>
    </row>
    <row r="14" spans="2:18" ht="25.5">
      <c r="B14" s="203"/>
      <c r="C14" s="203"/>
      <c r="D14" s="135">
        <v>7</v>
      </c>
      <c r="E14" s="99" t="s">
        <v>321</v>
      </c>
      <c r="F14" s="135" t="s">
        <v>21</v>
      </c>
      <c r="G14" s="90" t="s">
        <v>467</v>
      </c>
      <c r="H14" s="135" t="s">
        <v>1</v>
      </c>
      <c r="I14" s="135" t="s">
        <v>9</v>
      </c>
      <c r="J14" s="100" t="s">
        <v>1063</v>
      </c>
      <c r="K14" s="91">
        <v>22463</v>
      </c>
      <c r="L14" s="90">
        <v>1961</v>
      </c>
      <c r="M14" s="90">
        <f t="shared" si="0"/>
        <v>58</v>
      </c>
      <c r="N14" s="135" t="s">
        <v>3</v>
      </c>
      <c r="O14" s="135" t="s">
        <v>1004</v>
      </c>
      <c r="P14" s="99" t="s">
        <v>1272</v>
      </c>
      <c r="Q14" s="135"/>
      <c r="R14" s="99" t="s">
        <v>1275</v>
      </c>
    </row>
    <row r="15" spans="2:18" ht="25.5">
      <c r="B15" s="203">
        <v>4</v>
      </c>
      <c r="C15" s="203" t="s">
        <v>1781</v>
      </c>
      <c r="D15" s="135">
        <v>8</v>
      </c>
      <c r="E15" s="99" t="s">
        <v>322</v>
      </c>
      <c r="F15" s="135" t="s">
        <v>6</v>
      </c>
      <c r="G15" s="90" t="s">
        <v>468</v>
      </c>
      <c r="H15" s="135" t="s">
        <v>18</v>
      </c>
      <c r="I15" s="135" t="s">
        <v>9</v>
      </c>
      <c r="J15" s="100" t="s">
        <v>1016</v>
      </c>
      <c r="K15" s="91">
        <v>31266</v>
      </c>
      <c r="L15" s="90">
        <v>1985</v>
      </c>
      <c r="M15" s="90">
        <f t="shared" si="0"/>
        <v>34</v>
      </c>
      <c r="N15" s="135" t="s">
        <v>3</v>
      </c>
      <c r="O15" s="135" t="s">
        <v>1004</v>
      </c>
      <c r="P15" s="99" t="s">
        <v>1273</v>
      </c>
      <c r="Q15" s="135"/>
      <c r="R15" s="99" t="s">
        <v>23</v>
      </c>
    </row>
    <row r="16" spans="2:18">
      <c r="B16" s="203"/>
      <c r="C16" s="203"/>
      <c r="D16" s="135">
        <v>9</v>
      </c>
      <c r="E16" s="99" t="s">
        <v>323</v>
      </c>
      <c r="F16" s="135" t="s">
        <v>21</v>
      </c>
      <c r="G16" s="90" t="s">
        <v>469</v>
      </c>
      <c r="H16" s="135" t="s">
        <v>1</v>
      </c>
      <c r="I16" s="135" t="s">
        <v>9</v>
      </c>
      <c r="J16" s="100"/>
      <c r="K16" s="91"/>
      <c r="L16" s="90"/>
      <c r="M16" s="90"/>
      <c r="N16" s="135" t="s">
        <v>3</v>
      </c>
      <c r="O16" s="135"/>
      <c r="P16" s="99"/>
      <c r="Q16" s="135"/>
      <c r="R16" s="99"/>
    </row>
    <row r="17" spans="2:18" ht="25.5">
      <c r="B17" s="203"/>
      <c r="C17" s="203"/>
      <c r="D17" s="135">
        <v>10</v>
      </c>
      <c r="E17" s="99" t="s">
        <v>1782</v>
      </c>
      <c r="F17" s="135" t="s">
        <v>12</v>
      </c>
      <c r="G17" s="90" t="s">
        <v>470</v>
      </c>
      <c r="H17" s="135" t="s">
        <v>1</v>
      </c>
      <c r="I17" s="135" t="s">
        <v>15</v>
      </c>
      <c r="J17" s="100" t="s">
        <v>1016</v>
      </c>
      <c r="K17" s="91">
        <v>40834</v>
      </c>
      <c r="L17" s="90">
        <v>2011</v>
      </c>
      <c r="M17" s="90">
        <f t="shared" ref="M17:M31" si="1">2019-L17</f>
        <v>8</v>
      </c>
      <c r="N17" s="135" t="s">
        <v>3</v>
      </c>
      <c r="O17" s="135" t="s">
        <v>1004</v>
      </c>
      <c r="P17" s="99" t="s">
        <v>1288</v>
      </c>
      <c r="Q17" s="135"/>
      <c r="R17" s="99" t="s">
        <v>1277</v>
      </c>
    </row>
    <row r="18" spans="2:18">
      <c r="B18" s="203">
        <v>5</v>
      </c>
      <c r="C18" s="205" t="s">
        <v>1770</v>
      </c>
      <c r="D18" s="135">
        <v>11</v>
      </c>
      <c r="E18" s="99" t="s">
        <v>324</v>
      </c>
      <c r="F18" s="135" t="s">
        <v>6</v>
      </c>
      <c r="G18" s="92" t="s">
        <v>1771</v>
      </c>
      <c r="H18" s="135" t="s">
        <v>18</v>
      </c>
      <c r="I18" s="135" t="s">
        <v>9</v>
      </c>
      <c r="J18" s="100" t="s">
        <v>993</v>
      </c>
      <c r="K18" s="91">
        <v>28206</v>
      </c>
      <c r="L18" s="92" t="s">
        <v>1005</v>
      </c>
      <c r="M18" s="90">
        <f t="shared" si="1"/>
        <v>42</v>
      </c>
      <c r="N18" s="135" t="s">
        <v>3</v>
      </c>
      <c r="O18" s="135" t="s">
        <v>1004</v>
      </c>
      <c r="P18" s="100" t="s">
        <v>1287</v>
      </c>
      <c r="Q18" s="91"/>
      <c r="R18" s="100" t="s">
        <v>23</v>
      </c>
    </row>
    <row r="19" spans="2:18" ht="25.5">
      <c r="B19" s="203"/>
      <c r="C19" s="203"/>
      <c r="D19" s="135">
        <v>12</v>
      </c>
      <c r="E19" s="99" t="s">
        <v>325</v>
      </c>
      <c r="F19" s="135" t="s">
        <v>21</v>
      </c>
      <c r="G19" s="92" t="s">
        <v>1772</v>
      </c>
      <c r="H19" s="135" t="s">
        <v>1</v>
      </c>
      <c r="I19" s="135" t="s">
        <v>9</v>
      </c>
      <c r="J19" s="100" t="s">
        <v>1150</v>
      </c>
      <c r="K19" s="91">
        <v>29695</v>
      </c>
      <c r="L19" s="92" t="s">
        <v>1074</v>
      </c>
      <c r="M19" s="90">
        <f t="shared" si="1"/>
        <v>38</v>
      </c>
      <c r="N19" s="135" t="s">
        <v>3</v>
      </c>
      <c r="O19" s="135" t="s">
        <v>1004</v>
      </c>
      <c r="P19" s="100" t="s">
        <v>1272</v>
      </c>
      <c r="Q19" s="91"/>
      <c r="R19" s="100" t="s">
        <v>1276</v>
      </c>
    </row>
    <row r="20" spans="2:18" ht="25.5">
      <c r="B20" s="203">
        <v>6</v>
      </c>
      <c r="C20" s="203" t="s">
        <v>1783</v>
      </c>
      <c r="D20" s="135">
        <v>13</v>
      </c>
      <c r="E20" s="99" t="s">
        <v>326</v>
      </c>
      <c r="F20" s="135" t="s">
        <v>6</v>
      </c>
      <c r="G20" s="90" t="s">
        <v>1785</v>
      </c>
      <c r="H20" s="135" t="s">
        <v>18</v>
      </c>
      <c r="I20" s="135" t="s">
        <v>9</v>
      </c>
      <c r="J20" s="100" t="s">
        <v>993</v>
      </c>
      <c r="K20" s="91">
        <v>31047</v>
      </c>
      <c r="L20" s="90">
        <v>1984</v>
      </c>
      <c r="M20" s="90">
        <f t="shared" si="1"/>
        <v>35</v>
      </c>
      <c r="N20" s="135" t="s">
        <v>3</v>
      </c>
      <c r="O20" s="135" t="s">
        <v>1004</v>
      </c>
      <c r="P20" s="99" t="s">
        <v>1272</v>
      </c>
      <c r="Q20" s="135"/>
      <c r="R20" s="99" t="s">
        <v>23</v>
      </c>
    </row>
    <row r="21" spans="2:18" ht="25.5">
      <c r="B21" s="203"/>
      <c r="C21" s="203"/>
      <c r="D21" s="135">
        <v>14</v>
      </c>
      <c r="E21" s="99" t="s">
        <v>1784</v>
      </c>
      <c r="F21" s="135" t="s">
        <v>21</v>
      </c>
      <c r="G21" s="90" t="s">
        <v>1786</v>
      </c>
      <c r="H21" s="135" t="s">
        <v>1</v>
      </c>
      <c r="I21" s="135" t="s">
        <v>9</v>
      </c>
      <c r="J21" s="100" t="s">
        <v>1788</v>
      </c>
      <c r="K21" s="91">
        <v>26481</v>
      </c>
      <c r="L21" s="90">
        <v>1972</v>
      </c>
      <c r="M21" s="90">
        <f t="shared" si="1"/>
        <v>47</v>
      </c>
      <c r="N21" s="135" t="s">
        <v>3</v>
      </c>
      <c r="O21" s="135" t="s">
        <v>1004</v>
      </c>
      <c r="P21" s="99" t="s">
        <v>1272</v>
      </c>
      <c r="Q21" s="135"/>
      <c r="R21" s="99" t="s">
        <v>1276</v>
      </c>
    </row>
    <row r="22" spans="2:18">
      <c r="B22" s="203"/>
      <c r="C22" s="203"/>
      <c r="D22" s="135">
        <v>15</v>
      </c>
      <c r="E22" s="99" t="s">
        <v>327</v>
      </c>
      <c r="F22" s="135" t="s">
        <v>12</v>
      </c>
      <c r="G22" s="90" t="s">
        <v>1787</v>
      </c>
      <c r="H22" s="135" t="s">
        <v>1</v>
      </c>
      <c r="I22" s="135" t="s">
        <v>15</v>
      </c>
      <c r="J22" s="100" t="s">
        <v>993</v>
      </c>
      <c r="K22" s="91">
        <v>33797</v>
      </c>
      <c r="L22" s="90">
        <v>1992</v>
      </c>
      <c r="M22" s="90">
        <f t="shared" si="1"/>
        <v>27</v>
      </c>
      <c r="N22" s="135" t="s">
        <v>3</v>
      </c>
      <c r="O22" s="135" t="s">
        <v>1004</v>
      </c>
      <c r="P22" s="99" t="s">
        <v>1088</v>
      </c>
      <c r="Q22" s="135"/>
      <c r="R22" s="99" t="s">
        <v>1309</v>
      </c>
    </row>
    <row r="23" spans="2:18">
      <c r="B23" s="203">
        <v>7</v>
      </c>
      <c r="C23" s="205" t="s">
        <v>1720</v>
      </c>
      <c r="D23" s="135">
        <v>16</v>
      </c>
      <c r="E23" s="99" t="s">
        <v>1376</v>
      </c>
      <c r="F23" s="135" t="s">
        <v>6</v>
      </c>
      <c r="G23" s="92" t="s">
        <v>1377</v>
      </c>
      <c r="H23" s="135" t="s">
        <v>1</v>
      </c>
      <c r="I23" s="135" t="s">
        <v>1020</v>
      </c>
      <c r="J23" s="100" t="s">
        <v>1132</v>
      </c>
      <c r="K23" s="91">
        <v>27029</v>
      </c>
      <c r="L23" s="92" t="s">
        <v>1035</v>
      </c>
      <c r="M23" s="90">
        <f t="shared" si="1"/>
        <v>46</v>
      </c>
      <c r="N23" s="135" t="s">
        <v>3</v>
      </c>
      <c r="O23" s="135" t="s">
        <v>1004</v>
      </c>
      <c r="P23" s="99" t="s">
        <v>1273</v>
      </c>
      <c r="Q23" s="135"/>
      <c r="R23" s="99" t="s">
        <v>1318</v>
      </c>
    </row>
    <row r="24" spans="2:18" ht="25.5">
      <c r="B24" s="203"/>
      <c r="C24" s="203"/>
      <c r="D24" s="135">
        <v>17</v>
      </c>
      <c r="E24" s="99" t="s">
        <v>1130</v>
      </c>
      <c r="F24" s="135" t="s">
        <v>12</v>
      </c>
      <c r="G24" s="92" t="s">
        <v>1378</v>
      </c>
      <c r="H24" s="135" t="s">
        <v>1</v>
      </c>
      <c r="I24" s="135" t="s">
        <v>15</v>
      </c>
      <c r="J24" s="100" t="s">
        <v>1016</v>
      </c>
      <c r="K24" s="91">
        <v>34073</v>
      </c>
      <c r="L24" s="92" t="s">
        <v>1133</v>
      </c>
      <c r="M24" s="90">
        <f t="shared" si="1"/>
        <v>26</v>
      </c>
      <c r="N24" s="135" t="s">
        <v>3</v>
      </c>
      <c r="O24" s="135" t="s">
        <v>1004</v>
      </c>
      <c r="P24" s="99" t="s">
        <v>1287</v>
      </c>
      <c r="Q24" s="135"/>
      <c r="R24" s="99" t="s">
        <v>1309</v>
      </c>
    </row>
    <row r="25" spans="2:18" ht="25.5">
      <c r="B25" s="203"/>
      <c r="C25" s="203"/>
      <c r="D25" s="135">
        <v>18</v>
      </c>
      <c r="E25" s="99" t="s">
        <v>1131</v>
      </c>
      <c r="F25" s="135" t="s">
        <v>12</v>
      </c>
      <c r="G25" s="92" t="s">
        <v>1379</v>
      </c>
      <c r="H25" s="135" t="s">
        <v>1</v>
      </c>
      <c r="I25" s="135" t="s">
        <v>15</v>
      </c>
      <c r="J25" s="100" t="s">
        <v>1016</v>
      </c>
      <c r="K25" s="91">
        <v>34963</v>
      </c>
      <c r="L25" s="92" t="s">
        <v>997</v>
      </c>
      <c r="M25" s="90">
        <f t="shared" si="1"/>
        <v>24</v>
      </c>
      <c r="N25" s="135" t="s">
        <v>3</v>
      </c>
      <c r="O25" s="135" t="s">
        <v>1004</v>
      </c>
      <c r="P25" s="99" t="s">
        <v>1287</v>
      </c>
      <c r="Q25" s="135"/>
      <c r="R25" s="99" t="s">
        <v>1309</v>
      </c>
    </row>
    <row r="26" spans="2:18" ht="25.5">
      <c r="B26" s="203"/>
      <c r="C26" s="203"/>
      <c r="D26" s="135">
        <v>19</v>
      </c>
      <c r="E26" s="99" t="s">
        <v>328</v>
      </c>
      <c r="F26" s="135" t="s">
        <v>12</v>
      </c>
      <c r="G26" s="92" t="s">
        <v>1380</v>
      </c>
      <c r="H26" s="135" t="s">
        <v>18</v>
      </c>
      <c r="I26" s="135" t="s">
        <v>15</v>
      </c>
      <c r="J26" s="100" t="s">
        <v>1016</v>
      </c>
      <c r="K26" s="91">
        <v>36243</v>
      </c>
      <c r="L26" s="92" t="s">
        <v>1090</v>
      </c>
      <c r="M26" s="90">
        <f t="shared" si="1"/>
        <v>21</v>
      </c>
      <c r="N26" s="135" t="s">
        <v>3</v>
      </c>
      <c r="O26" s="135" t="s">
        <v>1004</v>
      </c>
      <c r="P26" s="99" t="s">
        <v>1273</v>
      </c>
      <c r="Q26" s="135"/>
      <c r="R26" s="99" t="s">
        <v>1309</v>
      </c>
    </row>
    <row r="27" spans="2:18" ht="25.5">
      <c r="B27" s="203"/>
      <c r="C27" s="203"/>
      <c r="D27" s="135">
        <v>20</v>
      </c>
      <c r="E27" s="99" t="s">
        <v>329</v>
      </c>
      <c r="F27" s="135" t="s">
        <v>12</v>
      </c>
      <c r="G27" s="92" t="s">
        <v>1381</v>
      </c>
      <c r="H27" s="135" t="s">
        <v>1</v>
      </c>
      <c r="I27" s="135" t="s">
        <v>15</v>
      </c>
      <c r="J27" s="100" t="s">
        <v>1016</v>
      </c>
      <c r="K27" s="91">
        <v>37850</v>
      </c>
      <c r="L27" s="92" t="s">
        <v>1104</v>
      </c>
      <c r="M27" s="90">
        <f t="shared" si="1"/>
        <v>16</v>
      </c>
      <c r="N27" s="135" t="s">
        <v>3</v>
      </c>
      <c r="O27" s="135" t="s">
        <v>1004</v>
      </c>
      <c r="P27" s="99" t="s">
        <v>1274</v>
      </c>
      <c r="Q27" s="135"/>
      <c r="R27" s="99" t="s">
        <v>1309</v>
      </c>
    </row>
    <row r="28" spans="2:18">
      <c r="B28" s="203">
        <v>8</v>
      </c>
      <c r="C28" s="203"/>
      <c r="D28" s="135">
        <v>21</v>
      </c>
      <c r="E28" s="99" t="s">
        <v>330</v>
      </c>
      <c r="F28" s="135" t="s">
        <v>6</v>
      </c>
      <c r="G28" s="90" t="s">
        <v>471</v>
      </c>
      <c r="H28" s="135" t="s">
        <v>18</v>
      </c>
      <c r="I28" s="135" t="s">
        <v>9</v>
      </c>
      <c r="J28" s="100"/>
      <c r="K28" s="100">
        <v>11112</v>
      </c>
      <c r="L28" s="90">
        <v>1930</v>
      </c>
      <c r="M28" s="90">
        <f t="shared" si="1"/>
        <v>89</v>
      </c>
      <c r="N28" s="135" t="s">
        <v>3</v>
      </c>
      <c r="O28" s="135"/>
      <c r="P28" s="99" t="s">
        <v>11</v>
      </c>
      <c r="Q28" s="135"/>
      <c r="R28" s="99" t="s">
        <v>39</v>
      </c>
    </row>
    <row r="29" spans="2:18" ht="25.5">
      <c r="B29" s="203"/>
      <c r="C29" s="203"/>
      <c r="D29" s="135">
        <v>22</v>
      </c>
      <c r="E29" s="99" t="s">
        <v>331</v>
      </c>
      <c r="F29" s="135" t="s">
        <v>21</v>
      </c>
      <c r="G29" s="90"/>
      <c r="H29" s="135" t="s">
        <v>1</v>
      </c>
      <c r="I29" s="135" t="s">
        <v>9</v>
      </c>
      <c r="J29" s="100"/>
      <c r="K29" s="100">
        <v>11116</v>
      </c>
      <c r="L29" s="90">
        <v>1930</v>
      </c>
      <c r="M29" s="90">
        <f t="shared" si="1"/>
        <v>89</v>
      </c>
      <c r="N29" s="135" t="s">
        <v>3</v>
      </c>
      <c r="O29" s="135"/>
      <c r="P29" s="99" t="s">
        <v>11</v>
      </c>
      <c r="Q29" s="135"/>
      <c r="R29" s="99" t="s">
        <v>5</v>
      </c>
    </row>
    <row r="30" spans="2:18" ht="25.5">
      <c r="B30" s="203">
        <v>9</v>
      </c>
      <c r="C30" s="203" t="s">
        <v>1789</v>
      </c>
      <c r="D30" s="135">
        <v>23</v>
      </c>
      <c r="E30" s="99" t="s">
        <v>332</v>
      </c>
      <c r="F30" s="135" t="s">
        <v>6</v>
      </c>
      <c r="G30" s="90" t="s">
        <v>472</v>
      </c>
      <c r="H30" s="135" t="s">
        <v>18</v>
      </c>
      <c r="I30" s="135" t="s">
        <v>9</v>
      </c>
      <c r="J30" s="100" t="s">
        <v>1016</v>
      </c>
      <c r="K30" s="100">
        <v>18270</v>
      </c>
      <c r="L30" s="90">
        <v>1986</v>
      </c>
      <c r="M30" s="90">
        <f t="shared" si="1"/>
        <v>33</v>
      </c>
      <c r="N30" s="135" t="s">
        <v>3</v>
      </c>
      <c r="O30" s="135" t="s">
        <v>1004</v>
      </c>
      <c r="P30" s="99" t="s">
        <v>1273</v>
      </c>
      <c r="Q30" s="135"/>
      <c r="R30" s="99" t="s">
        <v>23</v>
      </c>
    </row>
    <row r="31" spans="2:18" ht="25.5">
      <c r="B31" s="203"/>
      <c r="C31" s="203"/>
      <c r="D31" s="135">
        <v>24</v>
      </c>
      <c r="E31" s="99" t="s">
        <v>183</v>
      </c>
      <c r="F31" s="135" t="s">
        <v>21</v>
      </c>
      <c r="G31" s="90" t="s">
        <v>1792</v>
      </c>
      <c r="H31" s="135" t="s">
        <v>1</v>
      </c>
      <c r="I31" s="135" t="s">
        <v>9</v>
      </c>
      <c r="J31" s="100" t="s">
        <v>1795</v>
      </c>
      <c r="K31" s="91">
        <v>29648</v>
      </c>
      <c r="L31" s="90">
        <v>1981</v>
      </c>
      <c r="M31" s="90">
        <f t="shared" si="1"/>
        <v>38</v>
      </c>
      <c r="N31" s="135" t="s">
        <v>3</v>
      </c>
      <c r="O31" s="135" t="s">
        <v>1004</v>
      </c>
      <c r="P31" s="99" t="s">
        <v>1272</v>
      </c>
      <c r="Q31" s="135"/>
      <c r="R31" s="99" t="s">
        <v>1276</v>
      </c>
    </row>
    <row r="32" spans="2:18" ht="25.5">
      <c r="B32" s="203"/>
      <c r="C32" s="203"/>
      <c r="D32" s="135">
        <v>25</v>
      </c>
      <c r="E32" s="99" t="s">
        <v>1790</v>
      </c>
      <c r="F32" s="135" t="s">
        <v>12</v>
      </c>
      <c r="G32" s="90" t="s">
        <v>1793</v>
      </c>
      <c r="H32" s="135" t="s">
        <v>1</v>
      </c>
      <c r="I32" s="135" t="s">
        <v>15</v>
      </c>
      <c r="J32" s="100" t="s">
        <v>1795</v>
      </c>
      <c r="K32" s="91">
        <v>38158</v>
      </c>
      <c r="L32" s="90">
        <v>2004</v>
      </c>
      <c r="M32" s="90">
        <f t="shared" ref="M32:M33" si="2">2019-L32</f>
        <v>15</v>
      </c>
      <c r="N32" s="135" t="s">
        <v>3</v>
      </c>
      <c r="O32" s="135" t="s">
        <v>1004</v>
      </c>
      <c r="P32" s="99" t="s">
        <v>1274</v>
      </c>
      <c r="Q32" s="135"/>
      <c r="R32" s="99" t="s">
        <v>1309</v>
      </c>
    </row>
    <row r="33" spans="2:18" ht="25.5">
      <c r="B33" s="203"/>
      <c r="C33" s="203"/>
      <c r="D33" s="135">
        <v>26</v>
      </c>
      <c r="E33" s="99" t="s">
        <v>1791</v>
      </c>
      <c r="F33" s="135" t="s">
        <v>12</v>
      </c>
      <c r="G33" s="90" t="s">
        <v>1794</v>
      </c>
      <c r="H33" s="135" t="s">
        <v>18</v>
      </c>
      <c r="I33" s="135" t="s">
        <v>15</v>
      </c>
      <c r="J33" s="100" t="s">
        <v>1016</v>
      </c>
      <c r="K33" s="91">
        <v>40209</v>
      </c>
      <c r="L33" s="90">
        <v>2010</v>
      </c>
      <c r="M33" s="90">
        <f t="shared" si="2"/>
        <v>9</v>
      </c>
      <c r="N33" s="135" t="s">
        <v>3</v>
      </c>
      <c r="O33" s="135" t="s">
        <v>1004</v>
      </c>
      <c r="P33" s="99" t="s">
        <v>1288</v>
      </c>
      <c r="Q33" s="135"/>
      <c r="R33" s="99" t="s">
        <v>1277</v>
      </c>
    </row>
    <row r="34" spans="2:18">
      <c r="B34" s="203">
        <v>10</v>
      </c>
      <c r="C34" s="203" t="s">
        <v>1673</v>
      </c>
      <c r="D34" s="135">
        <v>27</v>
      </c>
      <c r="E34" s="99" t="s">
        <v>1671</v>
      </c>
      <c r="F34" s="135" t="s">
        <v>6</v>
      </c>
      <c r="G34" s="90" t="s">
        <v>473</v>
      </c>
      <c r="H34" s="135" t="s">
        <v>1</v>
      </c>
      <c r="I34" s="135" t="s">
        <v>1020</v>
      </c>
      <c r="J34" s="100" t="s">
        <v>1087</v>
      </c>
      <c r="K34" s="91">
        <v>23712</v>
      </c>
      <c r="L34" s="90">
        <v>1964</v>
      </c>
      <c r="M34" s="90">
        <f t="shared" ref="M34:M65" si="3">2019-L34</f>
        <v>55</v>
      </c>
      <c r="N34" s="135" t="s">
        <v>3</v>
      </c>
      <c r="O34" s="135" t="s">
        <v>1004</v>
      </c>
      <c r="P34" s="99" t="s">
        <v>1273</v>
      </c>
      <c r="Q34" s="135"/>
      <c r="R34" s="99" t="s">
        <v>81</v>
      </c>
    </row>
    <row r="35" spans="2:18" ht="25.5">
      <c r="B35" s="203"/>
      <c r="C35" s="203"/>
      <c r="D35" s="135">
        <v>28</v>
      </c>
      <c r="E35" s="99" t="s">
        <v>334</v>
      </c>
      <c r="F35" s="135" t="s">
        <v>12</v>
      </c>
      <c r="G35" s="90" t="s">
        <v>474</v>
      </c>
      <c r="H35" s="135" t="s">
        <v>18</v>
      </c>
      <c r="I35" s="135" t="s">
        <v>15</v>
      </c>
      <c r="J35" s="100" t="s">
        <v>993</v>
      </c>
      <c r="K35" s="91">
        <v>36399</v>
      </c>
      <c r="L35" s="90">
        <v>1999</v>
      </c>
      <c r="M35" s="90">
        <f t="shared" si="3"/>
        <v>20</v>
      </c>
      <c r="N35" s="135" t="s">
        <v>3</v>
      </c>
      <c r="O35" s="135" t="s">
        <v>1004</v>
      </c>
      <c r="P35" s="99" t="s">
        <v>1272</v>
      </c>
      <c r="Q35" s="135"/>
      <c r="R35" s="99" t="s">
        <v>1309</v>
      </c>
    </row>
    <row r="36" spans="2:18" ht="25.5">
      <c r="B36" s="203"/>
      <c r="C36" s="203"/>
      <c r="D36" s="135">
        <v>29</v>
      </c>
      <c r="E36" s="99" t="s">
        <v>335</v>
      </c>
      <c r="F36" s="135" t="s">
        <v>12</v>
      </c>
      <c r="G36" s="90" t="s">
        <v>475</v>
      </c>
      <c r="H36" s="135" t="s">
        <v>1</v>
      </c>
      <c r="I36" s="135" t="s">
        <v>15</v>
      </c>
      <c r="J36" s="100" t="s">
        <v>993</v>
      </c>
      <c r="K36" s="91">
        <v>39083</v>
      </c>
      <c r="L36" s="90">
        <v>2007</v>
      </c>
      <c r="M36" s="90">
        <f t="shared" si="3"/>
        <v>12</v>
      </c>
      <c r="N36" s="135" t="s">
        <v>3</v>
      </c>
      <c r="O36" s="135" t="s">
        <v>1004</v>
      </c>
      <c r="P36" s="99" t="s">
        <v>1274</v>
      </c>
      <c r="Q36" s="135"/>
      <c r="R36" s="99" t="s">
        <v>1309</v>
      </c>
    </row>
    <row r="37" spans="2:18" ht="25.5">
      <c r="B37" s="203">
        <v>11</v>
      </c>
      <c r="C37" s="203" t="s">
        <v>1684</v>
      </c>
      <c r="D37" s="135">
        <v>30</v>
      </c>
      <c r="E37" s="99" t="s">
        <v>336</v>
      </c>
      <c r="F37" s="135" t="s">
        <v>6</v>
      </c>
      <c r="G37" s="92" t="s">
        <v>1672</v>
      </c>
      <c r="H37" s="135" t="s">
        <v>18</v>
      </c>
      <c r="I37" s="135" t="s">
        <v>9</v>
      </c>
      <c r="J37" s="100" t="s">
        <v>1016</v>
      </c>
      <c r="K37" s="91">
        <v>33311</v>
      </c>
      <c r="L37" s="92" t="s">
        <v>1047</v>
      </c>
      <c r="M37" s="90">
        <f t="shared" si="3"/>
        <v>28</v>
      </c>
      <c r="N37" s="135" t="s">
        <v>3</v>
      </c>
      <c r="O37" s="90" t="s">
        <v>1004</v>
      </c>
      <c r="P37" s="140" t="s">
        <v>1273</v>
      </c>
      <c r="Q37" s="90"/>
      <c r="R37" s="140" t="s">
        <v>23</v>
      </c>
    </row>
    <row r="38" spans="2:18" ht="25.5">
      <c r="B38" s="203"/>
      <c r="C38" s="203"/>
      <c r="D38" s="135">
        <v>31</v>
      </c>
      <c r="E38" s="99" t="s">
        <v>337</v>
      </c>
      <c r="F38" s="135" t="s">
        <v>21</v>
      </c>
      <c r="G38" s="92" t="s">
        <v>1685</v>
      </c>
      <c r="H38" s="135" t="s">
        <v>1</v>
      </c>
      <c r="I38" s="135" t="s">
        <v>9</v>
      </c>
      <c r="J38" s="100" t="s">
        <v>1143</v>
      </c>
      <c r="K38" s="91">
        <v>34334</v>
      </c>
      <c r="L38" s="92" t="s">
        <v>1133</v>
      </c>
      <c r="M38" s="90">
        <f t="shared" si="3"/>
        <v>26</v>
      </c>
      <c r="N38" s="135" t="s">
        <v>3</v>
      </c>
      <c r="O38" s="90" t="s">
        <v>1004</v>
      </c>
      <c r="P38" s="140" t="s">
        <v>1272</v>
      </c>
      <c r="Q38" s="90"/>
      <c r="R38" s="140" t="s">
        <v>1276</v>
      </c>
    </row>
    <row r="39" spans="2:18" ht="25.5">
      <c r="B39" s="203"/>
      <c r="C39" s="203"/>
      <c r="D39" s="135">
        <v>32</v>
      </c>
      <c r="E39" s="99" t="s">
        <v>1142</v>
      </c>
      <c r="F39" s="135" t="s">
        <v>12</v>
      </c>
      <c r="G39" s="92" t="s">
        <v>1686</v>
      </c>
      <c r="H39" s="135" t="s">
        <v>18</v>
      </c>
      <c r="I39" s="135" t="s">
        <v>15</v>
      </c>
      <c r="J39" s="100" t="s">
        <v>1144</v>
      </c>
      <c r="K39" s="91">
        <v>42183</v>
      </c>
      <c r="L39" s="92" t="s">
        <v>1024</v>
      </c>
      <c r="M39" s="90">
        <f t="shared" si="3"/>
        <v>4</v>
      </c>
      <c r="N39" s="135" t="s">
        <v>3</v>
      </c>
      <c r="O39" s="90" t="s">
        <v>1004</v>
      </c>
      <c r="P39" s="140" t="s">
        <v>1288</v>
      </c>
      <c r="Q39" s="90"/>
      <c r="R39" s="140" t="s">
        <v>1277</v>
      </c>
    </row>
    <row r="40" spans="2:18" ht="25.5">
      <c r="B40" s="203">
        <v>12</v>
      </c>
      <c r="C40" s="205" t="s">
        <v>1658</v>
      </c>
      <c r="D40" s="135">
        <v>33</v>
      </c>
      <c r="E40" s="99" t="s">
        <v>338</v>
      </c>
      <c r="F40" s="135" t="s">
        <v>6</v>
      </c>
      <c r="G40" s="90" t="s">
        <v>476</v>
      </c>
      <c r="H40" s="135" t="s">
        <v>18</v>
      </c>
      <c r="I40" s="135" t="s">
        <v>9</v>
      </c>
      <c r="J40" s="100" t="s">
        <v>993</v>
      </c>
      <c r="K40" s="91">
        <v>28201</v>
      </c>
      <c r="L40" s="92" t="s">
        <v>1005</v>
      </c>
      <c r="M40" s="90">
        <f t="shared" si="3"/>
        <v>42</v>
      </c>
      <c r="N40" s="135" t="s">
        <v>3</v>
      </c>
      <c r="O40" s="90" t="s">
        <v>1004</v>
      </c>
      <c r="P40" s="140" t="s">
        <v>1287</v>
      </c>
      <c r="Q40" s="90"/>
      <c r="R40" s="140" t="s">
        <v>1128</v>
      </c>
    </row>
    <row r="41" spans="2:18" ht="25.5">
      <c r="B41" s="203"/>
      <c r="C41" s="205"/>
      <c r="D41" s="135">
        <v>34</v>
      </c>
      <c r="E41" s="99" t="s">
        <v>339</v>
      </c>
      <c r="F41" s="135" t="s">
        <v>21</v>
      </c>
      <c r="G41" s="90" t="s">
        <v>477</v>
      </c>
      <c r="H41" s="135" t="s">
        <v>1</v>
      </c>
      <c r="I41" s="135" t="s">
        <v>9</v>
      </c>
      <c r="J41" s="100" t="s">
        <v>1180</v>
      </c>
      <c r="K41" s="91">
        <v>30559</v>
      </c>
      <c r="L41" s="92" t="s">
        <v>1040</v>
      </c>
      <c r="M41" s="90">
        <f t="shared" si="3"/>
        <v>36</v>
      </c>
      <c r="N41" s="135" t="s">
        <v>3</v>
      </c>
      <c r="O41" s="90" t="s">
        <v>1004</v>
      </c>
      <c r="P41" s="140" t="s">
        <v>1273</v>
      </c>
      <c r="Q41" s="90"/>
      <c r="R41" s="140" t="s">
        <v>1276</v>
      </c>
    </row>
    <row r="42" spans="2:18" ht="25.5">
      <c r="B42" s="203"/>
      <c r="C42" s="205"/>
      <c r="D42" s="135">
        <v>35</v>
      </c>
      <c r="E42" s="99" t="s">
        <v>340</v>
      </c>
      <c r="F42" s="135" t="s">
        <v>12</v>
      </c>
      <c r="G42" s="90" t="s">
        <v>478</v>
      </c>
      <c r="H42" s="135" t="s">
        <v>18</v>
      </c>
      <c r="I42" s="135" t="s">
        <v>15</v>
      </c>
      <c r="J42" s="100" t="s">
        <v>1016</v>
      </c>
      <c r="K42" s="91">
        <v>38988</v>
      </c>
      <c r="L42" s="92" t="s">
        <v>1003</v>
      </c>
      <c r="M42" s="90">
        <f t="shared" si="3"/>
        <v>13</v>
      </c>
      <c r="N42" s="135" t="s">
        <v>3</v>
      </c>
      <c r="O42" s="90" t="s">
        <v>1004</v>
      </c>
      <c r="P42" s="140" t="s">
        <v>1274</v>
      </c>
      <c r="Q42" s="90"/>
      <c r="R42" s="140" t="s">
        <v>1309</v>
      </c>
    </row>
    <row r="43" spans="2:18" ht="25.5">
      <c r="B43" s="203"/>
      <c r="C43" s="205"/>
      <c r="D43" s="135">
        <v>36</v>
      </c>
      <c r="E43" s="99" t="s">
        <v>341</v>
      </c>
      <c r="F43" s="135" t="s">
        <v>12</v>
      </c>
      <c r="G43" s="90" t="s">
        <v>479</v>
      </c>
      <c r="H43" s="135" t="s">
        <v>1</v>
      </c>
      <c r="I43" s="135" t="s">
        <v>15</v>
      </c>
      <c r="J43" s="100" t="s">
        <v>1016</v>
      </c>
      <c r="K43" s="91">
        <v>41690</v>
      </c>
      <c r="L43" s="92" t="s">
        <v>998</v>
      </c>
      <c r="M43" s="90">
        <f t="shared" si="3"/>
        <v>5</v>
      </c>
      <c r="N43" s="135" t="s">
        <v>3</v>
      </c>
      <c r="O43" s="90" t="s">
        <v>1004</v>
      </c>
      <c r="P43" s="140" t="s">
        <v>1288</v>
      </c>
      <c r="Q43" s="90"/>
      <c r="R43" s="140" t="s">
        <v>1277</v>
      </c>
    </row>
    <row r="44" spans="2:18" ht="25.5">
      <c r="B44" s="203"/>
      <c r="C44" s="205"/>
      <c r="D44" s="135">
        <v>37</v>
      </c>
      <c r="E44" s="99" t="s">
        <v>1659</v>
      </c>
      <c r="F44" s="135" t="s">
        <v>12</v>
      </c>
      <c r="G44" s="90" t="s">
        <v>1660</v>
      </c>
      <c r="H44" s="135" t="s">
        <v>1</v>
      </c>
      <c r="I44" s="135" t="s">
        <v>15</v>
      </c>
      <c r="J44" s="100" t="s">
        <v>993</v>
      </c>
      <c r="K44" s="91">
        <v>43595</v>
      </c>
      <c r="L44" s="92">
        <v>2019</v>
      </c>
      <c r="M44" s="90">
        <f t="shared" si="3"/>
        <v>0</v>
      </c>
      <c r="N44" s="135" t="s">
        <v>3</v>
      </c>
      <c r="O44" s="90" t="s">
        <v>1004</v>
      </c>
      <c r="P44" s="140" t="s">
        <v>1288</v>
      </c>
      <c r="Q44" s="90"/>
      <c r="R44" s="140" t="s">
        <v>1277</v>
      </c>
    </row>
    <row r="45" spans="2:18">
      <c r="B45" s="203">
        <v>13</v>
      </c>
      <c r="C45" s="205" t="s">
        <v>1175</v>
      </c>
      <c r="D45" s="135">
        <v>38</v>
      </c>
      <c r="E45" s="99" t="s">
        <v>342</v>
      </c>
      <c r="F45" s="135" t="s">
        <v>6</v>
      </c>
      <c r="G45" s="90" t="s">
        <v>480</v>
      </c>
      <c r="H45" s="135" t="s">
        <v>18</v>
      </c>
      <c r="I45" s="135" t="s">
        <v>9</v>
      </c>
      <c r="J45" s="100" t="s">
        <v>993</v>
      </c>
      <c r="K45" s="91">
        <v>30003</v>
      </c>
      <c r="L45" s="92" t="s">
        <v>1039</v>
      </c>
      <c r="M45" s="90">
        <f t="shared" si="3"/>
        <v>37</v>
      </c>
      <c r="N45" s="135" t="s">
        <v>3</v>
      </c>
      <c r="O45" s="90" t="s">
        <v>1004</v>
      </c>
      <c r="P45" s="140" t="s">
        <v>1287</v>
      </c>
      <c r="Q45" s="90"/>
      <c r="R45" s="140" t="s">
        <v>1015</v>
      </c>
    </row>
    <row r="46" spans="2:18">
      <c r="B46" s="203"/>
      <c r="C46" s="205"/>
      <c r="D46" s="135">
        <v>39</v>
      </c>
      <c r="E46" s="99" t="s">
        <v>343</v>
      </c>
      <c r="F46" s="135" t="s">
        <v>21</v>
      </c>
      <c r="G46" s="92" t="s">
        <v>1177</v>
      </c>
      <c r="H46" s="135" t="s">
        <v>1</v>
      </c>
      <c r="I46" s="135" t="s">
        <v>9</v>
      </c>
      <c r="J46" s="100" t="s">
        <v>993</v>
      </c>
      <c r="K46" s="91">
        <v>30968</v>
      </c>
      <c r="L46" s="92" t="s">
        <v>1107</v>
      </c>
      <c r="M46" s="90">
        <f t="shared" si="3"/>
        <v>35</v>
      </c>
      <c r="N46" s="135" t="s">
        <v>3</v>
      </c>
      <c r="O46" s="90" t="s">
        <v>1004</v>
      </c>
      <c r="P46" s="140" t="s">
        <v>1287</v>
      </c>
      <c r="Q46" s="90"/>
      <c r="R46" s="140" t="s">
        <v>23</v>
      </c>
    </row>
    <row r="47" spans="2:18" ht="25.5">
      <c r="B47" s="203"/>
      <c r="C47" s="205"/>
      <c r="D47" s="135">
        <v>40</v>
      </c>
      <c r="E47" s="99" t="s">
        <v>344</v>
      </c>
      <c r="F47" s="135" t="s">
        <v>12</v>
      </c>
      <c r="G47" s="92" t="s">
        <v>1688</v>
      </c>
      <c r="H47" s="135" t="s">
        <v>18</v>
      </c>
      <c r="I47" s="135" t="s">
        <v>15</v>
      </c>
      <c r="J47" s="100" t="s">
        <v>993</v>
      </c>
      <c r="K47" s="91">
        <v>40618</v>
      </c>
      <c r="L47" s="92" t="s">
        <v>1096</v>
      </c>
      <c r="M47" s="90">
        <f t="shared" si="3"/>
        <v>8</v>
      </c>
      <c r="N47" s="135" t="s">
        <v>3</v>
      </c>
      <c r="O47" s="90" t="s">
        <v>1004</v>
      </c>
      <c r="P47" s="140" t="s">
        <v>1288</v>
      </c>
      <c r="Q47" s="90"/>
      <c r="R47" s="140" t="s">
        <v>1277</v>
      </c>
    </row>
    <row r="48" spans="2:18" ht="25.5">
      <c r="B48" s="203"/>
      <c r="C48" s="205"/>
      <c r="D48" s="135">
        <v>41</v>
      </c>
      <c r="E48" s="99" t="s">
        <v>1176</v>
      </c>
      <c r="F48" s="135" t="s">
        <v>12</v>
      </c>
      <c r="G48" s="92" t="s">
        <v>1689</v>
      </c>
      <c r="H48" s="135" t="s">
        <v>1</v>
      </c>
      <c r="I48" s="135" t="s">
        <v>15</v>
      </c>
      <c r="J48" s="100" t="s">
        <v>993</v>
      </c>
      <c r="K48" s="91">
        <v>42670</v>
      </c>
      <c r="L48" s="92" t="s">
        <v>1014</v>
      </c>
      <c r="M48" s="90">
        <f t="shared" si="3"/>
        <v>3</v>
      </c>
      <c r="N48" s="135" t="s">
        <v>3</v>
      </c>
      <c r="O48" s="135" t="s">
        <v>1004</v>
      </c>
      <c r="P48" s="99" t="s">
        <v>1288</v>
      </c>
      <c r="Q48" s="135"/>
      <c r="R48" s="99" t="s">
        <v>1277</v>
      </c>
    </row>
    <row r="49" spans="2:18">
      <c r="B49" s="135">
        <v>14</v>
      </c>
      <c r="C49" s="135"/>
      <c r="D49" s="135">
        <v>42</v>
      </c>
      <c r="E49" s="99" t="s">
        <v>345</v>
      </c>
      <c r="F49" s="135" t="s">
        <v>6</v>
      </c>
      <c r="G49" s="90" t="s">
        <v>481</v>
      </c>
      <c r="H49" s="135" t="s">
        <v>1</v>
      </c>
      <c r="I49" s="135" t="s">
        <v>2</v>
      </c>
      <c r="J49" s="100"/>
      <c r="K49" s="100">
        <v>18270</v>
      </c>
      <c r="L49" s="90">
        <v>1950</v>
      </c>
      <c r="M49" s="90">
        <f t="shared" si="3"/>
        <v>69</v>
      </c>
      <c r="N49" s="135" t="s">
        <v>3</v>
      </c>
      <c r="O49" s="135"/>
      <c r="P49" s="99" t="s">
        <v>4</v>
      </c>
      <c r="Q49" s="135"/>
      <c r="R49" s="99" t="s">
        <v>91</v>
      </c>
    </row>
    <row r="50" spans="2:18" ht="25.5">
      <c r="B50" s="135">
        <v>15</v>
      </c>
      <c r="C50" s="135"/>
      <c r="D50" s="135">
        <v>43</v>
      </c>
      <c r="E50" s="99" t="s">
        <v>346</v>
      </c>
      <c r="F50" s="135" t="s">
        <v>6</v>
      </c>
      <c r="G50" s="90" t="s">
        <v>482</v>
      </c>
      <c r="H50" s="135" t="s">
        <v>1</v>
      </c>
      <c r="I50" s="135" t="s">
        <v>2</v>
      </c>
      <c r="J50" s="100"/>
      <c r="K50" s="100">
        <v>18270</v>
      </c>
      <c r="L50" s="90">
        <v>1950</v>
      </c>
      <c r="M50" s="90">
        <f t="shared" si="3"/>
        <v>69</v>
      </c>
      <c r="N50" s="135" t="s">
        <v>3</v>
      </c>
      <c r="O50" s="135"/>
      <c r="P50" s="99" t="s">
        <v>11</v>
      </c>
      <c r="Q50" s="135"/>
      <c r="R50" s="99" t="s">
        <v>5</v>
      </c>
    </row>
    <row r="51" spans="2:18" ht="25.5">
      <c r="B51" s="203">
        <v>16</v>
      </c>
      <c r="C51" s="203" t="s">
        <v>1696</v>
      </c>
      <c r="D51" s="135">
        <v>44</v>
      </c>
      <c r="E51" s="99" t="s">
        <v>45</v>
      </c>
      <c r="F51" s="135" t="s">
        <v>6</v>
      </c>
      <c r="G51" s="90" t="s">
        <v>483</v>
      </c>
      <c r="H51" s="135" t="s">
        <v>18</v>
      </c>
      <c r="I51" s="135" t="s">
        <v>9</v>
      </c>
      <c r="J51" s="100" t="s">
        <v>1016</v>
      </c>
      <c r="K51" s="91">
        <v>28490</v>
      </c>
      <c r="L51" s="90">
        <v>1977</v>
      </c>
      <c r="M51" s="90">
        <f t="shared" si="3"/>
        <v>42</v>
      </c>
      <c r="N51" s="135" t="s">
        <v>3</v>
      </c>
      <c r="O51" s="135" t="s">
        <v>1004</v>
      </c>
      <c r="P51" s="99" t="s">
        <v>1287</v>
      </c>
      <c r="Q51" s="135"/>
      <c r="R51" s="99" t="s">
        <v>1318</v>
      </c>
    </row>
    <row r="52" spans="2:18" ht="25.5">
      <c r="B52" s="203"/>
      <c r="C52" s="203"/>
      <c r="D52" s="135">
        <v>45</v>
      </c>
      <c r="E52" s="99" t="s">
        <v>347</v>
      </c>
      <c r="F52" s="135" t="s">
        <v>21</v>
      </c>
      <c r="G52" s="90" t="s">
        <v>484</v>
      </c>
      <c r="H52" s="135" t="s">
        <v>1</v>
      </c>
      <c r="I52" s="135" t="s">
        <v>9</v>
      </c>
      <c r="J52" s="100" t="s">
        <v>1016</v>
      </c>
      <c r="K52" s="91">
        <v>29403</v>
      </c>
      <c r="L52" s="90">
        <v>1980</v>
      </c>
      <c r="M52" s="90">
        <f t="shared" si="3"/>
        <v>39</v>
      </c>
      <c r="N52" s="135" t="s">
        <v>3</v>
      </c>
      <c r="O52" s="135" t="s">
        <v>1004</v>
      </c>
      <c r="P52" s="99" t="s">
        <v>1272</v>
      </c>
      <c r="Q52" s="135"/>
      <c r="R52" s="99" t="s">
        <v>1276</v>
      </c>
    </row>
    <row r="53" spans="2:18" ht="25.5">
      <c r="B53" s="203"/>
      <c r="C53" s="203"/>
      <c r="D53" s="135">
        <v>46</v>
      </c>
      <c r="E53" s="99" t="s">
        <v>1697</v>
      </c>
      <c r="F53" s="135" t="s">
        <v>12</v>
      </c>
      <c r="G53" s="90" t="s">
        <v>485</v>
      </c>
      <c r="H53" s="135" t="s">
        <v>18</v>
      </c>
      <c r="I53" s="135" t="s">
        <v>15</v>
      </c>
      <c r="J53" s="100" t="s">
        <v>993</v>
      </c>
      <c r="K53" s="91">
        <v>38562</v>
      </c>
      <c r="L53" s="90">
        <v>2005</v>
      </c>
      <c r="M53" s="90">
        <f t="shared" si="3"/>
        <v>14</v>
      </c>
      <c r="N53" s="135" t="s">
        <v>3</v>
      </c>
      <c r="O53" s="135" t="s">
        <v>1004</v>
      </c>
      <c r="P53" s="99" t="s">
        <v>1274</v>
      </c>
      <c r="Q53" s="135"/>
      <c r="R53" s="99" t="s">
        <v>1309</v>
      </c>
    </row>
    <row r="54" spans="2:18">
      <c r="B54" s="203">
        <v>17</v>
      </c>
      <c r="C54" s="205" t="s">
        <v>1700</v>
      </c>
      <c r="D54" s="135">
        <v>47</v>
      </c>
      <c r="E54" s="99" t="s">
        <v>1698</v>
      </c>
      <c r="F54" s="135" t="s">
        <v>6</v>
      </c>
      <c r="G54" s="90" t="s">
        <v>486</v>
      </c>
      <c r="H54" s="135" t="s">
        <v>18</v>
      </c>
      <c r="I54" s="135" t="s">
        <v>15</v>
      </c>
      <c r="J54" s="100" t="s">
        <v>993</v>
      </c>
      <c r="K54" s="91">
        <v>21002</v>
      </c>
      <c r="L54" s="92" t="s">
        <v>1021</v>
      </c>
      <c r="M54" s="90">
        <f t="shared" si="3"/>
        <v>62</v>
      </c>
      <c r="N54" s="135" t="s">
        <v>3</v>
      </c>
      <c r="O54" s="135" t="s">
        <v>1004</v>
      </c>
      <c r="P54" s="99" t="s">
        <v>1273</v>
      </c>
      <c r="Q54" s="135"/>
      <c r="R54" s="99" t="s">
        <v>1318</v>
      </c>
    </row>
    <row r="55" spans="2:18">
      <c r="B55" s="203"/>
      <c r="C55" s="203"/>
      <c r="D55" s="135">
        <v>48</v>
      </c>
      <c r="E55" s="99" t="s">
        <v>1699</v>
      </c>
      <c r="F55" s="135" t="s">
        <v>1701</v>
      </c>
      <c r="G55" s="90" t="s">
        <v>487</v>
      </c>
      <c r="H55" s="135" t="s">
        <v>1</v>
      </c>
      <c r="I55" s="135" t="s">
        <v>15</v>
      </c>
      <c r="J55" s="100" t="s">
        <v>993</v>
      </c>
      <c r="K55" s="91">
        <v>22098</v>
      </c>
      <c r="L55" s="92" t="s">
        <v>1051</v>
      </c>
      <c r="M55" s="90">
        <f t="shared" si="3"/>
        <v>59</v>
      </c>
      <c r="N55" s="135" t="s">
        <v>3</v>
      </c>
      <c r="O55" s="135" t="s">
        <v>1004</v>
      </c>
      <c r="P55" s="99" t="s">
        <v>1272</v>
      </c>
      <c r="Q55" s="135"/>
      <c r="R55" s="99" t="s">
        <v>1318</v>
      </c>
    </row>
    <row r="56" spans="2:18">
      <c r="B56" s="135">
        <v>18</v>
      </c>
      <c r="C56" s="135"/>
      <c r="D56" s="135">
        <v>49</v>
      </c>
      <c r="E56" s="99" t="s">
        <v>348</v>
      </c>
      <c r="F56" s="135" t="s">
        <v>6</v>
      </c>
      <c r="G56" s="90" t="s">
        <v>488</v>
      </c>
      <c r="H56" s="135" t="s">
        <v>1</v>
      </c>
      <c r="I56" s="135" t="s">
        <v>2</v>
      </c>
      <c r="J56" s="100"/>
      <c r="K56" s="100">
        <v>18270</v>
      </c>
      <c r="L56" s="90">
        <v>1950</v>
      </c>
      <c r="M56" s="90">
        <f t="shared" si="3"/>
        <v>69</v>
      </c>
      <c r="N56" s="135" t="s">
        <v>3</v>
      </c>
      <c r="O56" s="135"/>
      <c r="P56" s="99" t="s">
        <v>11</v>
      </c>
      <c r="Q56" s="135"/>
      <c r="R56" s="99" t="s">
        <v>5</v>
      </c>
    </row>
    <row r="57" spans="2:18">
      <c r="B57" s="203">
        <v>19</v>
      </c>
      <c r="C57" s="205" t="s">
        <v>1721</v>
      </c>
      <c r="D57" s="135">
        <v>50</v>
      </c>
      <c r="E57" s="99" t="s">
        <v>349</v>
      </c>
      <c r="F57" s="135" t="s">
        <v>6</v>
      </c>
      <c r="G57" s="92" t="s">
        <v>1723</v>
      </c>
      <c r="H57" s="135" t="s">
        <v>18</v>
      </c>
      <c r="I57" s="135" t="s">
        <v>9</v>
      </c>
      <c r="J57" s="100" t="s">
        <v>993</v>
      </c>
      <c r="K57" s="91">
        <v>29403</v>
      </c>
      <c r="L57" s="92">
        <v>1980</v>
      </c>
      <c r="M57" s="90">
        <f t="shared" si="3"/>
        <v>39</v>
      </c>
      <c r="N57" s="135" t="s">
        <v>3</v>
      </c>
      <c r="O57" s="135" t="s">
        <v>1004</v>
      </c>
      <c r="P57" s="99" t="s">
        <v>1272</v>
      </c>
      <c r="Q57" s="135"/>
      <c r="R57" s="99" t="s">
        <v>23</v>
      </c>
    </row>
    <row r="58" spans="2:18" ht="25.5">
      <c r="B58" s="203"/>
      <c r="C58" s="203"/>
      <c r="D58" s="135">
        <v>51</v>
      </c>
      <c r="E58" s="99" t="s">
        <v>350</v>
      </c>
      <c r="F58" s="135" t="s">
        <v>21</v>
      </c>
      <c r="G58" s="92" t="s">
        <v>1724</v>
      </c>
      <c r="H58" s="135" t="s">
        <v>1</v>
      </c>
      <c r="I58" s="135" t="s">
        <v>9</v>
      </c>
      <c r="J58" s="100" t="s">
        <v>993</v>
      </c>
      <c r="K58" s="91">
        <v>29768</v>
      </c>
      <c r="L58" s="92" t="s">
        <v>1074</v>
      </c>
      <c r="M58" s="90">
        <f t="shared" si="3"/>
        <v>38</v>
      </c>
      <c r="N58" s="135" t="s">
        <v>3</v>
      </c>
      <c r="O58" s="135" t="s">
        <v>1004</v>
      </c>
      <c r="P58" s="99" t="s">
        <v>1274</v>
      </c>
      <c r="Q58" s="135"/>
      <c r="R58" s="99" t="s">
        <v>1276</v>
      </c>
    </row>
    <row r="59" spans="2:18" ht="25.5">
      <c r="B59" s="203"/>
      <c r="C59" s="203"/>
      <c r="D59" s="135">
        <v>52</v>
      </c>
      <c r="E59" s="99" t="s">
        <v>1171</v>
      </c>
      <c r="F59" s="135" t="s">
        <v>12</v>
      </c>
      <c r="G59" s="92" t="s">
        <v>1725</v>
      </c>
      <c r="H59" s="135" t="s">
        <v>18</v>
      </c>
      <c r="I59" s="135" t="s">
        <v>15</v>
      </c>
      <c r="J59" s="100" t="s">
        <v>1016</v>
      </c>
      <c r="K59" s="91">
        <v>36604</v>
      </c>
      <c r="L59" s="92" t="s">
        <v>1002</v>
      </c>
      <c r="M59" s="90">
        <f t="shared" si="3"/>
        <v>19</v>
      </c>
      <c r="N59" s="135" t="s">
        <v>3</v>
      </c>
      <c r="O59" s="135" t="s">
        <v>1004</v>
      </c>
      <c r="P59" s="99" t="s">
        <v>1272</v>
      </c>
      <c r="Q59" s="135"/>
      <c r="R59" s="99" t="s">
        <v>1309</v>
      </c>
    </row>
    <row r="60" spans="2:18" ht="25.5">
      <c r="B60" s="203"/>
      <c r="C60" s="203"/>
      <c r="D60" s="135">
        <v>53</v>
      </c>
      <c r="E60" s="99" t="s">
        <v>1722</v>
      </c>
      <c r="F60" s="135" t="s">
        <v>12</v>
      </c>
      <c r="G60" s="92" t="s">
        <v>1726</v>
      </c>
      <c r="H60" s="135" t="s">
        <v>18</v>
      </c>
      <c r="I60" s="135" t="s">
        <v>15</v>
      </c>
      <c r="J60" s="100" t="s">
        <v>1161</v>
      </c>
      <c r="K60" s="91">
        <v>39018</v>
      </c>
      <c r="L60" s="92" t="s">
        <v>1003</v>
      </c>
      <c r="M60" s="90">
        <f t="shared" si="3"/>
        <v>13</v>
      </c>
      <c r="N60" s="135" t="s">
        <v>3</v>
      </c>
      <c r="O60" s="135" t="s">
        <v>1004</v>
      </c>
      <c r="P60" s="99" t="s">
        <v>1288</v>
      </c>
      <c r="Q60" s="135"/>
      <c r="R60" s="99" t="s">
        <v>1277</v>
      </c>
    </row>
    <row r="61" spans="2:18" ht="25.5">
      <c r="B61" s="203">
        <v>20</v>
      </c>
      <c r="C61" s="205" t="s">
        <v>1687</v>
      </c>
      <c r="D61" s="135">
        <v>54</v>
      </c>
      <c r="E61" s="99" t="s">
        <v>352</v>
      </c>
      <c r="F61" s="135" t="s">
        <v>6</v>
      </c>
      <c r="G61" s="90" t="s">
        <v>489</v>
      </c>
      <c r="H61" s="135" t="s">
        <v>18</v>
      </c>
      <c r="I61" s="135" t="s">
        <v>9</v>
      </c>
      <c r="J61" s="100" t="s">
        <v>1016</v>
      </c>
      <c r="K61" s="91">
        <v>29176</v>
      </c>
      <c r="L61" s="92" t="s">
        <v>996</v>
      </c>
      <c r="M61" s="90">
        <f t="shared" si="3"/>
        <v>40</v>
      </c>
      <c r="N61" s="135" t="s">
        <v>3</v>
      </c>
      <c r="O61" s="135" t="s">
        <v>1004</v>
      </c>
      <c r="P61" s="99" t="s">
        <v>1287</v>
      </c>
      <c r="Q61" s="135"/>
      <c r="R61" s="99" t="s">
        <v>23</v>
      </c>
    </row>
    <row r="62" spans="2:18" ht="25.5">
      <c r="B62" s="203"/>
      <c r="C62" s="203"/>
      <c r="D62" s="135">
        <v>55</v>
      </c>
      <c r="E62" s="99" t="s">
        <v>353</v>
      </c>
      <c r="F62" s="135" t="s">
        <v>21</v>
      </c>
      <c r="G62" s="90" t="s">
        <v>490</v>
      </c>
      <c r="H62" s="135" t="s">
        <v>1</v>
      </c>
      <c r="I62" s="135" t="s">
        <v>9</v>
      </c>
      <c r="J62" s="100" t="s">
        <v>1178</v>
      </c>
      <c r="K62" s="91">
        <v>32142</v>
      </c>
      <c r="L62" s="92" t="s">
        <v>991</v>
      </c>
      <c r="M62" s="90">
        <f t="shared" si="3"/>
        <v>32</v>
      </c>
      <c r="N62" s="135" t="s">
        <v>3</v>
      </c>
      <c r="O62" s="135" t="s">
        <v>1004</v>
      </c>
      <c r="P62" s="99" t="s">
        <v>1287</v>
      </c>
      <c r="Q62" s="135"/>
      <c r="R62" s="99" t="s">
        <v>1276</v>
      </c>
    </row>
    <row r="63" spans="2:18" ht="25.5">
      <c r="B63" s="203"/>
      <c r="C63" s="203"/>
      <c r="D63" s="135">
        <v>56</v>
      </c>
      <c r="E63" s="99" t="s">
        <v>354</v>
      </c>
      <c r="F63" s="135" t="s">
        <v>12</v>
      </c>
      <c r="G63" s="90" t="s">
        <v>491</v>
      </c>
      <c r="H63" s="135" t="s">
        <v>1</v>
      </c>
      <c r="I63" s="135" t="s">
        <v>15</v>
      </c>
      <c r="J63" s="100" t="s">
        <v>1016</v>
      </c>
      <c r="K63" s="91">
        <v>41433</v>
      </c>
      <c r="L63" s="92" t="s">
        <v>1109</v>
      </c>
      <c r="M63" s="90">
        <f t="shared" si="3"/>
        <v>6</v>
      </c>
      <c r="N63" s="135" t="s">
        <v>3</v>
      </c>
      <c r="O63" s="135" t="s">
        <v>1004</v>
      </c>
      <c r="P63" s="99" t="s">
        <v>1288</v>
      </c>
      <c r="Q63" s="135"/>
      <c r="R63" s="99" t="s">
        <v>1277</v>
      </c>
    </row>
    <row r="64" spans="2:18" ht="25.5">
      <c r="B64" s="203"/>
      <c r="C64" s="203"/>
      <c r="D64" s="135">
        <v>57</v>
      </c>
      <c r="E64" s="99" t="s">
        <v>297</v>
      </c>
      <c r="F64" s="135" t="s">
        <v>1243</v>
      </c>
      <c r="G64" s="90" t="s">
        <v>492</v>
      </c>
      <c r="H64" s="135" t="s">
        <v>1</v>
      </c>
      <c r="I64" s="135" t="s">
        <v>2</v>
      </c>
      <c r="J64" s="100" t="s">
        <v>1016</v>
      </c>
      <c r="K64" s="91">
        <v>15523</v>
      </c>
      <c r="L64" s="92" t="s">
        <v>1179</v>
      </c>
      <c r="M64" s="90">
        <f t="shared" si="3"/>
        <v>77</v>
      </c>
      <c r="N64" s="135" t="s">
        <v>3</v>
      </c>
      <c r="O64" s="135" t="s">
        <v>1004</v>
      </c>
      <c r="P64" s="99" t="s">
        <v>1288</v>
      </c>
      <c r="Q64" s="135"/>
      <c r="R64" s="99" t="s">
        <v>1277</v>
      </c>
    </row>
    <row r="65" spans="2:18">
      <c r="B65" s="203">
        <v>21</v>
      </c>
      <c r="C65" s="203"/>
      <c r="D65" s="135">
        <v>58</v>
      </c>
      <c r="E65" s="99" t="s">
        <v>355</v>
      </c>
      <c r="F65" s="135" t="s">
        <v>6</v>
      </c>
      <c r="G65" s="90" t="s">
        <v>493</v>
      </c>
      <c r="H65" s="135" t="s">
        <v>18</v>
      </c>
      <c r="I65" s="135" t="s">
        <v>133</v>
      </c>
      <c r="J65" s="100"/>
      <c r="K65" s="100">
        <v>19731</v>
      </c>
      <c r="L65" s="90">
        <v>1954</v>
      </c>
      <c r="M65" s="90">
        <f t="shared" si="3"/>
        <v>65</v>
      </c>
      <c r="N65" s="135" t="s">
        <v>3</v>
      </c>
      <c r="O65" s="135"/>
      <c r="P65" s="99" t="s">
        <v>1272</v>
      </c>
      <c r="Q65" s="135"/>
      <c r="R65" s="99" t="s">
        <v>39</v>
      </c>
    </row>
    <row r="66" spans="2:18">
      <c r="B66" s="203"/>
      <c r="C66" s="203"/>
      <c r="D66" s="135">
        <v>59</v>
      </c>
      <c r="E66" s="99" t="s">
        <v>356</v>
      </c>
      <c r="F66" s="135" t="s">
        <v>12</v>
      </c>
      <c r="G66" s="90" t="s">
        <v>494</v>
      </c>
      <c r="H66" s="135" t="s">
        <v>1</v>
      </c>
      <c r="I66" s="135" t="s">
        <v>15</v>
      </c>
      <c r="J66" s="100"/>
      <c r="K66" s="100">
        <v>34561</v>
      </c>
      <c r="L66" s="90">
        <v>1994</v>
      </c>
      <c r="M66" s="90">
        <f t="shared" ref="M66:M97" si="4">2019-L66</f>
        <v>25</v>
      </c>
      <c r="N66" s="135" t="s">
        <v>3</v>
      </c>
      <c r="O66" s="135"/>
      <c r="P66" s="99" t="s">
        <v>1287</v>
      </c>
      <c r="Q66" s="135"/>
      <c r="R66" s="99" t="s">
        <v>11</v>
      </c>
    </row>
    <row r="67" spans="2:18">
      <c r="B67" s="210">
        <v>22</v>
      </c>
      <c r="C67" s="205" t="s">
        <v>1183</v>
      </c>
      <c r="D67" s="135">
        <v>60</v>
      </c>
      <c r="E67" s="99" t="s">
        <v>357</v>
      </c>
      <c r="F67" s="135" t="s">
        <v>6</v>
      </c>
      <c r="G67" s="90" t="s">
        <v>495</v>
      </c>
      <c r="H67" s="135" t="s">
        <v>18</v>
      </c>
      <c r="I67" s="135" t="s">
        <v>9</v>
      </c>
      <c r="J67" s="100" t="s">
        <v>993</v>
      </c>
      <c r="K67" s="91">
        <v>43549</v>
      </c>
      <c r="L67" s="92">
        <v>1988</v>
      </c>
      <c r="M67" s="90">
        <f t="shared" si="4"/>
        <v>31</v>
      </c>
      <c r="N67" s="135" t="s">
        <v>3</v>
      </c>
      <c r="O67" s="135" t="s">
        <v>1004</v>
      </c>
      <c r="P67" s="99" t="s">
        <v>1088</v>
      </c>
      <c r="Q67" s="135"/>
      <c r="R67" s="99" t="s">
        <v>23</v>
      </c>
    </row>
    <row r="68" spans="2:18" ht="25.5">
      <c r="B68" s="211"/>
      <c r="C68" s="203"/>
      <c r="D68" s="135">
        <v>61</v>
      </c>
      <c r="E68" s="99" t="s">
        <v>358</v>
      </c>
      <c r="F68" s="135" t="s">
        <v>21</v>
      </c>
      <c r="G68" s="90" t="s">
        <v>496</v>
      </c>
      <c r="H68" s="135" t="s">
        <v>1</v>
      </c>
      <c r="I68" s="135" t="s">
        <v>9</v>
      </c>
      <c r="J68" s="100" t="s">
        <v>1150</v>
      </c>
      <c r="K68" s="91">
        <v>43830</v>
      </c>
      <c r="L68" s="92" t="s">
        <v>991</v>
      </c>
      <c r="M68" s="90">
        <f t="shared" si="4"/>
        <v>32</v>
      </c>
      <c r="N68" s="135" t="s">
        <v>3</v>
      </c>
      <c r="O68" s="135" t="s">
        <v>1004</v>
      </c>
      <c r="P68" s="99" t="s">
        <v>1088</v>
      </c>
      <c r="Q68" s="135"/>
      <c r="R68" s="99" t="s">
        <v>1185</v>
      </c>
    </row>
    <row r="69" spans="2:18" ht="38.25">
      <c r="B69" s="211"/>
      <c r="C69" s="203"/>
      <c r="D69" s="135">
        <v>62</v>
      </c>
      <c r="E69" s="99" t="s">
        <v>359</v>
      </c>
      <c r="F69" s="135" t="s">
        <v>12</v>
      </c>
      <c r="G69" s="90" t="s">
        <v>497</v>
      </c>
      <c r="H69" s="135" t="s">
        <v>18</v>
      </c>
      <c r="I69" s="135" t="s">
        <v>15</v>
      </c>
      <c r="J69" s="100" t="s">
        <v>993</v>
      </c>
      <c r="K69" s="91">
        <v>43776</v>
      </c>
      <c r="L69" s="92" t="s">
        <v>998</v>
      </c>
      <c r="M69" s="90">
        <f t="shared" si="4"/>
        <v>5</v>
      </c>
      <c r="N69" s="135" t="s">
        <v>3</v>
      </c>
      <c r="O69" s="135" t="s">
        <v>1004</v>
      </c>
      <c r="P69" s="99" t="s">
        <v>1288</v>
      </c>
      <c r="Q69" s="135"/>
      <c r="R69" s="99" t="s">
        <v>1277</v>
      </c>
    </row>
    <row r="70" spans="2:18" ht="25.5">
      <c r="B70" s="212"/>
      <c r="C70" s="203"/>
      <c r="D70" s="135">
        <v>63</v>
      </c>
      <c r="E70" s="99" t="s">
        <v>1184</v>
      </c>
      <c r="F70" s="135" t="s">
        <v>12</v>
      </c>
      <c r="G70" s="92"/>
      <c r="H70" s="135" t="s">
        <v>1</v>
      </c>
      <c r="I70" s="135" t="s">
        <v>15</v>
      </c>
      <c r="J70" s="100" t="s">
        <v>993</v>
      </c>
      <c r="K70" s="91">
        <v>43502</v>
      </c>
      <c r="L70" s="92" t="s">
        <v>1048</v>
      </c>
      <c r="M70" s="90">
        <f t="shared" si="4"/>
        <v>2</v>
      </c>
      <c r="N70" s="135"/>
      <c r="O70" s="135" t="s">
        <v>1004</v>
      </c>
      <c r="P70" s="99" t="s">
        <v>1288</v>
      </c>
      <c r="Q70" s="135"/>
      <c r="R70" s="99" t="s">
        <v>1277</v>
      </c>
    </row>
    <row r="71" spans="2:18">
      <c r="B71" s="203">
        <v>23</v>
      </c>
      <c r="C71" s="203"/>
      <c r="D71" s="135">
        <v>64</v>
      </c>
      <c r="E71" s="99" t="s">
        <v>360</v>
      </c>
      <c r="F71" s="135" t="s">
        <v>6</v>
      </c>
      <c r="G71" s="90" t="s">
        <v>498</v>
      </c>
      <c r="H71" s="135" t="s">
        <v>18</v>
      </c>
      <c r="I71" s="135" t="s">
        <v>9</v>
      </c>
      <c r="J71" s="100"/>
      <c r="K71" s="100">
        <v>26985</v>
      </c>
      <c r="L71" s="90">
        <v>1973</v>
      </c>
      <c r="M71" s="90">
        <f t="shared" si="4"/>
        <v>46</v>
      </c>
      <c r="N71" s="135" t="s">
        <v>3</v>
      </c>
      <c r="O71" s="135"/>
      <c r="P71" s="99" t="s">
        <v>1287</v>
      </c>
      <c r="Q71" s="135"/>
      <c r="R71" s="99" t="s">
        <v>39</v>
      </c>
    </row>
    <row r="72" spans="2:18">
      <c r="B72" s="203"/>
      <c r="C72" s="203"/>
      <c r="D72" s="135">
        <v>65</v>
      </c>
      <c r="E72" s="99" t="s">
        <v>361</v>
      </c>
      <c r="F72" s="135" t="s">
        <v>21</v>
      </c>
      <c r="G72" s="90" t="s">
        <v>499</v>
      </c>
      <c r="H72" s="135" t="s">
        <v>1</v>
      </c>
      <c r="I72" s="135" t="s">
        <v>9</v>
      </c>
      <c r="J72" s="100"/>
      <c r="K72" s="100">
        <v>28805</v>
      </c>
      <c r="L72" s="90">
        <v>1978</v>
      </c>
      <c r="M72" s="90">
        <f t="shared" si="4"/>
        <v>41</v>
      </c>
      <c r="N72" s="135" t="s">
        <v>3</v>
      </c>
      <c r="O72" s="135"/>
      <c r="P72" s="99" t="s">
        <v>1287</v>
      </c>
      <c r="Q72" s="135"/>
      <c r="R72" s="99" t="s">
        <v>5</v>
      </c>
    </row>
    <row r="73" spans="2:18" ht="25.5">
      <c r="B73" s="203"/>
      <c r="C73" s="203"/>
      <c r="D73" s="135">
        <v>66</v>
      </c>
      <c r="E73" s="99" t="s">
        <v>362</v>
      </c>
      <c r="F73" s="135" t="s">
        <v>12</v>
      </c>
      <c r="G73" s="90" t="s">
        <v>500</v>
      </c>
      <c r="H73" s="135" t="s">
        <v>18</v>
      </c>
      <c r="I73" s="135" t="s">
        <v>15</v>
      </c>
      <c r="J73" s="100"/>
      <c r="K73" s="100">
        <v>36961</v>
      </c>
      <c r="L73" s="90">
        <v>2001</v>
      </c>
      <c r="M73" s="90">
        <f t="shared" si="4"/>
        <v>18</v>
      </c>
      <c r="N73" s="135" t="s">
        <v>3</v>
      </c>
      <c r="O73" s="135"/>
      <c r="P73" s="99" t="s">
        <v>1272</v>
      </c>
      <c r="Q73" s="135"/>
      <c r="R73" s="99" t="s">
        <v>11</v>
      </c>
    </row>
    <row r="74" spans="2:18" ht="25.5">
      <c r="B74" s="203"/>
      <c r="C74" s="203"/>
      <c r="D74" s="135">
        <v>67</v>
      </c>
      <c r="E74" s="99" t="s">
        <v>363</v>
      </c>
      <c r="F74" s="135" t="s">
        <v>12</v>
      </c>
      <c r="G74" s="90" t="s">
        <v>501</v>
      </c>
      <c r="H74" s="135" t="s">
        <v>18</v>
      </c>
      <c r="I74" s="135" t="s">
        <v>15</v>
      </c>
      <c r="J74" s="100"/>
      <c r="K74" s="100">
        <v>39115</v>
      </c>
      <c r="L74" s="90">
        <v>2007</v>
      </c>
      <c r="M74" s="90">
        <f t="shared" si="4"/>
        <v>12</v>
      </c>
      <c r="N74" s="135" t="s">
        <v>3</v>
      </c>
      <c r="O74" s="135"/>
      <c r="P74" s="99" t="s">
        <v>11</v>
      </c>
      <c r="Q74" s="135"/>
      <c r="R74" s="99" t="s">
        <v>11</v>
      </c>
    </row>
    <row r="75" spans="2:18" ht="25.5">
      <c r="B75" s="203"/>
      <c r="C75" s="203"/>
      <c r="D75" s="135">
        <v>68</v>
      </c>
      <c r="E75" s="99" t="s">
        <v>364</v>
      </c>
      <c r="F75" s="135" t="s">
        <v>12</v>
      </c>
      <c r="G75" s="90" t="s">
        <v>502</v>
      </c>
      <c r="H75" s="135" t="s">
        <v>1</v>
      </c>
      <c r="I75" s="135" t="s">
        <v>15</v>
      </c>
      <c r="J75" s="100"/>
      <c r="K75" s="100">
        <v>41173</v>
      </c>
      <c r="L75" s="90">
        <v>2012</v>
      </c>
      <c r="M75" s="90">
        <f t="shared" si="4"/>
        <v>7</v>
      </c>
      <c r="N75" s="135" t="s">
        <v>3</v>
      </c>
      <c r="O75" s="135"/>
      <c r="P75" s="99" t="s">
        <v>11</v>
      </c>
      <c r="Q75" s="135"/>
      <c r="R75" s="99" t="s">
        <v>11</v>
      </c>
    </row>
    <row r="76" spans="2:18">
      <c r="B76" s="203">
        <v>24</v>
      </c>
      <c r="C76" s="205" t="s">
        <v>1695</v>
      </c>
      <c r="D76" s="135">
        <v>69</v>
      </c>
      <c r="E76" s="99" t="s">
        <v>365</v>
      </c>
      <c r="F76" s="135" t="s">
        <v>6</v>
      </c>
      <c r="G76" s="90" t="s">
        <v>503</v>
      </c>
      <c r="H76" s="135" t="s">
        <v>18</v>
      </c>
      <c r="I76" s="135" t="s">
        <v>9</v>
      </c>
      <c r="J76" s="100" t="s">
        <v>993</v>
      </c>
      <c r="K76" s="91">
        <v>27211</v>
      </c>
      <c r="L76" s="92" t="s">
        <v>1093</v>
      </c>
      <c r="M76" s="90">
        <f t="shared" si="4"/>
        <v>45</v>
      </c>
      <c r="N76" s="135" t="s">
        <v>3</v>
      </c>
      <c r="O76" s="135" t="s">
        <v>1004</v>
      </c>
      <c r="P76" s="99" t="s">
        <v>1272</v>
      </c>
      <c r="Q76" s="135"/>
      <c r="R76" s="99" t="s">
        <v>23</v>
      </c>
    </row>
    <row r="77" spans="2:18" ht="25.5">
      <c r="B77" s="203"/>
      <c r="C77" s="203"/>
      <c r="D77" s="135">
        <v>70</v>
      </c>
      <c r="E77" s="99" t="s">
        <v>366</v>
      </c>
      <c r="F77" s="135" t="s">
        <v>21</v>
      </c>
      <c r="G77" s="90" t="s">
        <v>504</v>
      </c>
      <c r="H77" s="135" t="s">
        <v>1</v>
      </c>
      <c r="I77" s="135" t="s">
        <v>9</v>
      </c>
      <c r="J77" s="100" t="s">
        <v>1182</v>
      </c>
      <c r="K77" s="91">
        <v>29037</v>
      </c>
      <c r="L77" s="92" t="s">
        <v>996</v>
      </c>
      <c r="M77" s="90">
        <f t="shared" si="4"/>
        <v>40</v>
      </c>
      <c r="N77" s="135" t="s">
        <v>3</v>
      </c>
      <c r="O77" s="135" t="s">
        <v>1004</v>
      </c>
      <c r="P77" s="99" t="s">
        <v>1272</v>
      </c>
      <c r="Q77" s="135"/>
      <c r="R77" s="99" t="s">
        <v>1276</v>
      </c>
    </row>
    <row r="78" spans="2:18" ht="25.5">
      <c r="B78" s="203"/>
      <c r="C78" s="203"/>
      <c r="D78" s="135">
        <v>71</v>
      </c>
      <c r="E78" s="99" t="s">
        <v>367</v>
      </c>
      <c r="F78" s="135" t="s">
        <v>12</v>
      </c>
      <c r="G78" s="90" t="s">
        <v>505</v>
      </c>
      <c r="H78" s="135" t="s">
        <v>1</v>
      </c>
      <c r="I78" s="135" t="s">
        <v>15</v>
      </c>
      <c r="J78" s="100" t="s">
        <v>993</v>
      </c>
      <c r="K78" s="91">
        <v>38799</v>
      </c>
      <c r="L78" s="92" t="s">
        <v>1003</v>
      </c>
      <c r="M78" s="90">
        <f t="shared" si="4"/>
        <v>13</v>
      </c>
      <c r="N78" s="135" t="s">
        <v>3</v>
      </c>
      <c r="O78" s="135" t="s">
        <v>1004</v>
      </c>
      <c r="P78" s="99" t="s">
        <v>1274</v>
      </c>
      <c r="Q78" s="135"/>
      <c r="R78" s="99" t="s">
        <v>1309</v>
      </c>
    </row>
    <row r="79" spans="2:18" ht="25.5">
      <c r="B79" s="203">
        <v>25</v>
      </c>
      <c r="C79" s="203" t="s">
        <v>1727</v>
      </c>
      <c r="D79" s="135">
        <v>72</v>
      </c>
      <c r="E79" s="99" t="s">
        <v>368</v>
      </c>
      <c r="F79" s="135" t="s">
        <v>6</v>
      </c>
      <c r="G79" s="90" t="s">
        <v>506</v>
      </c>
      <c r="H79" s="135" t="s">
        <v>18</v>
      </c>
      <c r="I79" s="135" t="s">
        <v>9</v>
      </c>
      <c r="J79" s="100" t="s">
        <v>1016</v>
      </c>
      <c r="K79" s="91">
        <v>28659</v>
      </c>
      <c r="L79" s="90">
        <v>1978</v>
      </c>
      <c r="M79" s="90">
        <f t="shared" si="4"/>
        <v>41</v>
      </c>
      <c r="N79" s="135" t="s">
        <v>3</v>
      </c>
      <c r="O79" s="135" t="s">
        <v>1004</v>
      </c>
      <c r="P79" s="99" t="s">
        <v>1272</v>
      </c>
      <c r="Q79" s="135"/>
      <c r="R79" s="99" t="s">
        <v>23</v>
      </c>
    </row>
    <row r="80" spans="2:18">
      <c r="B80" s="203"/>
      <c r="C80" s="203"/>
      <c r="D80" s="135">
        <v>73</v>
      </c>
      <c r="E80" s="99" t="s">
        <v>369</v>
      </c>
      <c r="F80" s="135" t="s">
        <v>21</v>
      </c>
      <c r="G80" s="90" t="s">
        <v>507</v>
      </c>
      <c r="H80" s="135" t="s">
        <v>1</v>
      </c>
      <c r="I80" s="135" t="s">
        <v>9</v>
      </c>
      <c r="J80" s="100" t="s">
        <v>1730</v>
      </c>
      <c r="K80" s="91">
        <v>28862</v>
      </c>
      <c r="L80" s="90">
        <v>1979</v>
      </c>
      <c r="M80" s="90">
        <f t="shared" si="4"/>
        <v>40</v>
      </c>
      <c r="N80" s="135" t="s">
        <v>3</v>
      </c>
      <c r="O80" s="135" t="s">
        <v>1004</v>
      </c>
      <c r="P80" s="99" t="s">
        <v>1272</v>
      </c>
      <c r="Q80" s="135"/>
      <c r="R80" s="99" t="s">
        <v>1015</v>
      </c>
    </row>
    <row r="81" spans="2:18">
      <c r="B81" s="203"/>
      <c r="C81" s="203"/>
      <c r="D81" s="135">
        <v>74</v>
      </c>
      <c r="E81" s="99" t="s">
        <v>1728</v>
      </c>
      <c r="F81" s="135" t="s">
        <v>12</v>
      </c>
      <c r="G81" s="90" t="s">
        <v>508</v>
      </c>
      <c r="H81" s="135" t="s">
        <v>18</v>
      </c>
      <c r="I81" s="135" t="s">
        <v>15</v>
      </c>
      <c r="J81" s="100" t="s">
        <v>993</v>
      </c>
      <c r="K81" s="91">
        <v>36256</v>
      </c>
      <c r="L81" s="90">
        <v>1999</v>
      </c>
      <c r="M81" s="90">
        <f t="shared" si="4"/>
        <v>20</v>
      </c>
      <c r="N81" s="135" t="s">
        <v>3</v>
      </c>
      <c r="O81" s="135" t="s">
        <v>1004</v>
      </c>
      <c r="P81" s="99" t="s">
        <v>1272</v>
      </c>
      <c r="Q81" s="135"/>
      <c r="R81" s="99" t="s">
        <v>1309</v>
      </c>
    </row>
    <row r="82" spans="2:18" ht="25.5">
      <c r="B82" s="203"/>
      <c r="C82" s="203"/>
      <c r="D82" s="135">
        <v>75</v>
      </c>
      <c r="E82" s="99" t="s">
        <v>1729</v>
      </c>
      <c r="F82" s="135" t="s">
        <v>12</v>
      </c>
      <c r="G82" s="90" t="s">
        <v>509</v>
      </c>
      <c r="H82" s="135" t="s">
        <v>18</v>
      </c>
      <c r="I82" s="135" t="s">
        <v>15</v>
      </c>
      <c r="J82" s="100" t="s">
        <v>993</v>
      </c>
      <c r="K82" s="91">
        <v>38717</v>
      </c>
      <c r="L82" s="90">
        <v>2005</v>
      </c>
      <c r="M82" s="90">
        <f t="shared" si="4"/>
        <v>14</v>
      </c>
      <c r="N82" s="135" t="s">
        <v>3</v>
      </c>
      <c r="O82" s="135" t="s">
        <v>1004</v>
      </c>
      <c r="P82" s="99" t="s">
        <v>1274</v>
      </c>
      <c r="Q82" s="135"/>
      <c r="R82" s="99" t="s">
        <v>1309</v>
      </c>
    </row>
    <row r="83" spans="2:18">
      <c r="B83" s="203">
        <v>26</v>
      </c>
      <c r="C83" s="205" t="s">
        <v>1637</v>
      </c>
      <c r="D83" s="135">
        <v>76</v>
      </c>
      <c r="E83" s="99" t="s">
        <v>171</v>
      </c>
      <c r="F83" s="135" t="s">
        <v>6</v>
      </c>
      <c r="G83" s="92" t="s">
        <v>1638</v>
      </c>
      <c r="H83" s="135" t="s">
        <v>18</v>
      </c>
      <c r="I83" s="135" t="s">
        <v>9</v>
      </c>
      <c r="J83" s="100" t="s">
        <v>993</v>
      </c>
      <c r="K83" s="91">
        <v>23376</v>
      </c>
      <c r="L83" s="92" t="s">
        <v>1187</v>
      </c>
      <c r="M83" s="90">
        <f t="shared" si="4"/>
        <v>56</v>
      </c>
      <c r="N83" s="135" t="s">
        <v>3</v>
      </c>
      <c r="O83" s="135" t="s">
        <v>1004</v>
      </c>
      <c r="P83" s="99" t="s">
        <v>1287</v>
      </c>
      <c r="Q83" s="135"/>
      <c r="R83" s="99" t="s">
        <v>23</v>
      </c>
    </row>
    <row r="84" spans="2:18" ht="25.5">
      <c r="B84" s="203"/>
      <c r="C84" s="203"/>
      <c r="D84" s="135">
        <v>77</v>
      </c>
      <c r="E84" s="99" t="s">
        <v>1636</v>
      </c>
      <c r="F84" s="135" t="s">
        <v>21</v>
      </c>
      <c r="G84" s="92" t="s">
        <v>1639</v>
      </c>
      <c r="H84" s="135" t="s">
        <v>1</v>
      </c>
      <c r="I84" s="135" t="s">
        <v>9</v>
      </c>
      <c r="J84" s="100" t="s">
        <v>1186</v>
      </c>
      <c r="K84" s="91">
        <v>28793</v>
      </c>
      <c r="L84" s="92" t="s">
        <v>1001</v>
      </c>
      <c r="M84" s="90">
        <f t="shared" si="4"/>
        <v>47</v>
      </c>
      <c r="N84" s="135" t="s">
        <v>3</v>
      </c>
      <c r="O84" s="135" t="s">
        <v>1004</v>
      </c>
      <c r="P84" s="99" t="s">
        <v>1287</v>
      </c>
      <c r="Q84" s="135"/>
      <c r="R84" s="99" t="s">
        <v>1276</v>
      </c>
    </row>
    <row r="85" spans="2:18">
      <c r="B85" s="203"/>
      <c r="C85" s="203"/>
      <c r="D85" s="135">
        <v>78</v>
      </c>
      <c r="E85" s="99" t="s">
        <v>372</v>
      </c>
      <c r="F85" s="135" t="s">
        <v>12</v>
      </c>
      <c r="G85" s="92" t="s">
        <v>1640</v>
      </c>
      <c r="H85" s="135" t="s">
        <v>1</v>
      </c>
      <c r="I85" s="135" t="s">
        <v>15</v>
      </c>
      <c r="J85" s="100" t="s">
        <v>993</v>
      </c>
      <c r="K85" s="91">
        <v>36775</v>
      </c>
      <c r="L85" s="92" t="s">
        <v>1002</v>
      </c>
      <c r="M85" s="90">
        <f t="shared" si="4"/>
        <v>19</v>
      </c>
      <c r="N85" s="135" t="s">
        <v>3</v>
      </c>
      <c r="O85" s="135" t="s">
        <v>1004</v>
      </c>
      <c r="P85" s="99" t="s">
        <v>1287</v>
      </c>
      <c r="Q85" s="135"/>
      <c r="R85" s="99" t="s">
        <v>1309</v>
      </c>
    </row>
    <row r="86" spans="2:18" ht="38.25">
      <c r="B86" s="203"/>
      <c r="C86" s="203"/>
      <c r="D86" s="135">
        <v>79</v>
      </c>
      <c r="E86" s="99" t="s">
        <v>373</v>
      </c>
      <c r="F86" s="135" t="s">
        <v>12</v>
      </c>
      <c r="G86" s="92" t="s">
        <v>1641</v>
      </c>
      <c r="H86" s="135" t="s">
        <v>18</v>
      </c>
      <c r="I86" s="135" t="s">
        <v>15</v>
      </c>
      <c r="J86" s="100" t="s">
        <v>993</v>
      </c>
      <c r="K86" s="91">
        <v>38605</v>
      </c>
      <c r="L86" s="92" t="s">
        <v>1036</v>
      </c>
      <c r="M86" s="90">
        <f t="shared" si="4"/>
        <v>14</v>
      </c>
      <c r="N86" s="135" t="s">
        <v>3</v>
      </c>
      <c r="O86" s="135" t="s">
        <v>1004</v>
      </c>
      <c r="P86" s="99" t="s">
        <v>1272</v>
      </c>
      <c r="Q86" s="135"/>
      <c r="R86" s="99" t="s">
        <v>1309</v>
      </c>
    </row>
    <row r="87" spans="2:18" ht="25.5">
      <c r="B87" s="203">
        <v>27</v>
      </c>
      <c r="C87" s="203" t="s">
        <v>1746</v>
      </c>
      <c r="D87" s="135">
        <v>80</v>
      </c>
      <c r="E87" s="99" t="s">
        <v>1127</v>
      </c>
      <c r="F87" s="135" t="s">
        <v>6</v>
      </c>
      <c r="G87" s="92" t="s">
        <v>1747</v>
      </c>
      <c r="H87" s="135" t="s">
        <v>18</v>
      </c>
      <c r="I87" s="135" t="s">
        <v>9</v>
      </c>
      <c r="J87" s="100" t="s">
        <v>1016</v>
      </c>
      <c r="K87" s="91">
        <v>21002</v>
      </c>
      <c r="L87" s="92" t="s">
        <v>1021</v>
      </c>
      <c r="M87" s="90">
        <f t="shared" si="4"/>
        <v>62</v>
      </c>
      <c r="N87" s="135" t="s">
        <v>3</v>
      </c>
      <c r="O87" s="135" t="s">
        <v>1004</v>
      </c>
      <c r="P87" s="99" t="s">
        <v>1272</v>
      </c>
      <c r="Q87" s="135"/>
      <c r="R87" s="99" t="s">
        <v>1128</v>
      </c>
    </row>
    <row r="88" spans="2:18" ht="25.5">
      <c r="B88" s="203"/>
      <c r="C88" s="203"/>
      <c r="D88" s="135">
        <v>81</v>
      </c>
      <c r="E88" s="99" t="s">
        <v>374</v>
      </c>
      <c r="F88" s="135" t="s">
        <v>21</v>
      </c>
      <c r="G88" s="92" t="s">
        <v>1748</v>
      </c>
      <c r="H88" s="135" t="s">
        <v>1</v>
      </c>
      <c r="I88" s="135" t="s">
        <v>9</v>
      </c>
      <c r="J88" s="100" t="s">
        <v>993</v>
      </c>
      <c r="K88" s="91">
        <v>22098</v>
      </c>
      <c r="L88" s="92" t="s">
        <v>1051</v>
      </c>
      <c r="M88" s="90">
        <f t="shared" si="4"/>
        <v>59</v>
      </c>
      <c r="N88" s="135" t="s">
        <v>3</v>
      </c>
      <c r="O88" s="135" t="s">
        <v>1004</v>
      </c>
      <c r="P88" s="99" t="s">
        <v>1288</v>
      </c>
      <c r="Q88" s="135"/>
      <c r="R88" s="99" t="s">
        <v>1276</v>
      </c>
    </row>
    <row r="89" spans="2:18">
      <c r="B89" s="203">
        <v>28</v>
      </c>
      <c r="C89" s="203" t="s">
        <v>1740</v>
      </c>
      <c r="D89" s="135">
        <v>82</v>
      </c>
      <c r="E89" s="99" t="s">
        <v>1741</v>
      </c>
      <c r="F89" s="135" t="s">
        <v>6</v>
      </c>
      <c r="G89" s="90" t="s">
        <v>512</v>
      </c>
      <c r="H89" s="135" t="s">
        <v>18</v>
      </c>
      <c r="I89" s="135" t="s">
        <v>9</v>
      </c>
      <c r="J89" s="100" t="s">
        <v>993</v>
      </c>
      <c r="K89" s="91">
        <v>28934</v>
      </c>
      <c r="L89" s="90">
        <v>1979</v>
      </c>
      <c r="M89" s="90">
        <f t="shared" si="4"/>
        <v>40</v>
      </c>
      <c r="N89" s="135" t="s">
        <v>3</v>
      </c>
      <c r="O89" s="135" t="s">
        <v>1004</v>
      </c>
      <c r="P89" s="99" t="s">
        <v>1272</v>
      </c>
      <c r="Q89" s="135"/>
      <c r="R89" s="99" t="s">
        <v>23</v>
      </c>
    </row>
    <row r="90" spans="2:18" ht="25.5">
      <c r="B90" s="203"/>
      <c r="C90" s="203"/>
      <c r="D90" s="135">
        <v>83</v>
      </c>
      <c r="E90" s="99" t="s">
        <v>1742</v>
      </c>
      <c r="F90" s="135" t="s">
        <v>21</v>
      </c>
      <c r="G90" s="90" t="s">
        <v>1744</v>
      </c>
      <c r="H90" s="135" t="s">
        <v>1</v>
      </c>
      <c r="I90" s="135" t="s">
        <v>9</v>
      </c>
      <c r="J90" s="100" t="s">
        <v>993</v>
      </c>
      <c r="K90" s="91">
        <v>29933</v>
      </c>
      <c r="L90" s="90">
        <v>1981</v>
      </c>
      <c r="M90" s="90">
        <f t="shared" si="4"/>
        <v>38</v>
      </c>
      <c r="N90" s="135" t="s">
        <v>3</v>
      </c>
      <c r="O90" s="135" t="s">
        <v>1004</v>
      </c>
      <c r="P90" s="99" t="s">
        <v>1375</v>
      </c>
      <c r="Q90" s="135"/>
      <c r="R90" s="99" t="s">
        <v>1276</v>
      </c>
    </row>
    <row r="91" spans="2:18" ht="25.5">
      <c r="B91" s="203"/>
      <c r="C91" s="203"/>
      <c r="D91" s="135">
        <v>84</v>
      </c>
      <c r="E91" s="99" t="s">
        <v>1743</v>
      </c>
      <c r="F91" s="135" t="s">
        <v>12</v>
      </c>
      <c r="G91" s="90" t="s">
        <v>1745</v>
      </c>
      <c r="H91" s="135" t="s">
        <v>1</v>
      </c>
      <c r="I91" s="135" t="s">
        <v>15</v>
      </c>
      <c r="J91" s="100" t="s">
        <v>993</v>
      </c>
      <c r="K91" s="91">
        <v>39853</v>
      </c>
      <c r="L91" s="90">
        <v>2009</v>
      </c>
      <c r="M91" s="90">
        <f t="shared" si="4"/>
        <v>10</v>
      </c>
      <c r="N91" s="135" t="s">
        <v>3</v>
      </c>
      <c r="O91" s="135" t="s">
        <v>1004</v>
      </c>
      <c r="P91" s="99" t="s">
        <v>1288</v>
      </c>
      <c r="Q91" s="135"/>
      <c r="R91" s="99" t="s">
        <v>1277</v>
      </c>
    </row>
    <row r="92" spans="2:18">
      <c r="B92" s="203">
        <v>29</v>
      </c>
      <c r="C92" s="203"/>
      <c r="D92" s="135">
        <v>85</v>
      </c>
      <c r="E92" s="99" t="s">
        <v>376</v>
      </c>
      <c r="F92" s="135" t="s">
        <v>6</v>
      </c>
      <c r="G92" s="90" t="s">
        <v>513</v>
      </c>
      <c r="H92" s="135" t="s">
        <v>18</v>
      </c>
      <c r="I92" s="135" t="s">
        <v>9</v>
      </c>
      <c r="J92" s="100"/>
      <c r="K92" s="100">
        <v>30695</v>
      </c>
      <c r="L92" s="90">
        <v>1984</v>
      </c>
      <c r="M92" s="90">
        <f t="shared" si="4"/>
        <v>35</v>
      </c>
      <c r="N92" s="135" t="s">
        <v>3</v>
      </c>
      <c r="O92" s="135"/>
      <c r="P92" s="99" t="s">
        <v>1287</v>
      </c>
      <c r="Q92" s="135"/>
      <c r="R92" s="99" t="s">
        <v>39</v>
      </c>
    </row>
    <row r="93" spans="2:18">
      <c r="B93" s="203"/>
      <c r="C93" s="203"/>
      <c r="D93" s="135">
        <v>86</v>
      </c>
      <c r="E93" s="99" t="s">
        <v>377</v>
      </c>
      <c r="F93" s="135" t="s">
        <v>21</v>
      </c>
      <c r="G93" s="90" t="s">
        <v>514</v>
      </c>
      <c r="H93" s="135" t="s">
        <v>1</v>
      </c>
      <c r="I93" s="135" t="s">
        <v>9</v>
      </c>
      <c r="J93" s="100"/>
      <c r="K93" s="100">
        <v>34444</v>
      </c>
      <c r="L93" s="90">
        <v>1994</v>
      </c>
      <c r="M93" s="90">
        <f t="shared" si="4"/>
        <v>25</v>
      </c>
      <c r="N93" s="135" t="s">
        <v>3</v>
      </c>
      <c r="O93" s="135"/>
      <c r="P93" s="99" t="s">
        <v>1287</v>
      </c>
      <c r="Q93" s="135"/>
      <c r="R93" s="99" t="s">
        <v>5</v>
      </c>
    </row>
    <row r="94" spans="2:18" ht="25.5">
      <c r="B94" s="203"/>
      <c r="C94" s="203"/>
      <c r="D94" s="135">
        <v>87</v>
      </c>
      <c r="E94" s="99" t="s">
        <v>378</v>
      </c>
      <c r="F94" s="135" t="s">
        <v>12</v>
      </c>
      <c r="G94" s="90" t="s">
        <v>515</v>
      </c>
      <c r="H94" s="135" t="s">
        <v>18</v>
      </c>
      <c r="I94" s="135" t="s">
        <v>15</v>
      </c>
      <c r="J94" s="100"/>
      <c r="K94" s="100">
        <v>41961</v>
      </c>
      <c r="L94" s="90">
        <v>2014</v>
      </c>
      <c r="M94" s="90">
        <f t="shared" si="4"/>
        <v>5</v>
      </c>
      <c r="N94" s="135" t="s">
        <v>3</v>
      </c>
      <c r="O94" s="135"/>
      <c r="P94" s="99" t="s">
        <v>11</v>
      </c>
      <c r="Q94" s="135"/>
      <c r="R94" s="99" t="s">
        <v>11</v>
      </c>
    </row>
    <row r="95" spans="2:18">
      <c r="B95" s="203">
        <v>30</v>
      </c>
      <c r="C95" s="205" t="s">
        <v>1121</v>
      </c>
      <c r="D95" s="135">
        <v>88</v>
      </c>
      <c r="E95" s="99" t="s">
        <v>379</v>
      </c>
      <c r="F95" s="135" t="s">
        <v>6</v>
      </c>
      <c r="G95" s="92" t="s">
        <v>1122</v>
      </c>
      <c r="H95" s="135" t="s">
        <v>18</v>
      </c>
      <c r="I95" s="135" t="s">
        <v>9</v>
      </c>
      <c r="J95" s="100" t="s">
        <v>993</v>
      </c>
      <c r="K95" s="91">
        <v>43830</v>
      </c>
      <c r="L95" s="92" t="s">
        <v>1034</v>
      </c>
      <c r="M95" s="90">
        <f t="shared" si="4"/>
        <v>50</v>
      </c>
      <c r="N95" s="135" t="s">
        <v>3</v>
      </c>
      <c r="O95" s="135" t="s">
        <v>1004</v>
      </c>
      <c r="P95" s="99" t="s">
        <v>1273</v>
      </c>
      <c r="Q95" s="135"/>
      <c r="R95" s="99" t="s">
        <v>1126</v>
      </c>
    </row>
    <row r="96" spans="2:18" ht="25.5">
      <c r="B96" s="203"/>
      <c r="C96" s="203"/>
      <c r="D96" s="135">
        <v>89</v>
      </c>
      <c r="E96" s="99" t="s">
        <v>380</v>
      </c>
      <c r="F96" s="135" t="s">
        <v>21</v>
      </c>
      <c r="G96" s="92" t="s">
        <v>1123</v>
      </c>
      <c r="H96" s="135" t="s">
        <v>1</v>
      </c>
      <c r="I96" s="135" t="s">
        <v>9</v>
      </c>
      <c r="J96" s="100" t="s">
        <v>1062</v>
      </c>
      <c r="K96" s="91">
        <v>43830</v>
      </c>
      <c r="L96" s="92" t="s">
        <v>1001</v>
      </c>
      <c r="M96" s="90">
        <f t="shared" si="4"/>
        <v>47</v>
      </c>
      <c r="N96" s="135" t="s">
        <v>3</v>
      </c>
      <c r="O96" s="135" t="s">
        <v>1004</v>
      </c>
      <c r="P96" s="99" t="s">
        <v>1288</v>
      </c>
      <c r="Q96" s="135"/>
      <c r="R96" s="99" t="s">
        <v>1276</v>
      </c>
    </row>
    <row r="97" spans="2:18">
      <c r="B97" s="203"/>
      <c r="C97" s="203"/>
      <c r="D97" s="135">
        <v>90</v>
      </c>
      <c r="E97" s="99" t="s">
        <v>381</v>
      </c>
      <c r="F97" s="135" t="s">
        <v>12</v>
      </c>
      <c r="G97" s="92" t="s">
        <v>1124</v>
      </c>
      <c r="H97" s="135" t="s">
        <v>1</v>
      </c>
      <c r="I97" s="135" t="s">
        <v>15</v>
      </c>
      <c r="J97" s="100" t="s">
        <v>993</v>
      </c>
      <c r="K97" s="91">
        <v>43647</v>
      </c>
      <c r="L97" s="92" t="s">
        <v>1002</v>
      </c>
      <c r="M97" s="90">
        <f t="shared" si="4"/>
        <v>19</v>
      </c>
      <c r="N97" s="135" t="s">
        <v>3</v>
      </c>
      <c r="O97" s="135" t="s">
        <v>1004</v>
      </c>
      <c r="P97" s="99" t="s">
        <v>1273</v>
      </c>
      <c r="Q97" s="135"/>
      <c r="R97" s="99" t="s">
        <v>1309</v>
      </c>
    </row>
    <row r="98" spans="2:18" ht="25.5">
      <c r="B98" s="203"/>
      <c r="C98" s="203"/>
      <c r="D98" s="135">
        <v>91</v>
      </c>
      <c r="E98" s="99" t="s">
        <v>382</v>
      </c>
      <c r="F98" s="135" t="s">
        <v>12</v>
      </c>
      <c r="G98" s="92" t="s">
        <v>1125</v>
      </c>
      <c r="H98" s="135" t="s">
        <v>18</v>
      </c>
      <c r="I98" s="135" t="s">
        <v>15</v>
      </c>
      <c r="J98" s="100" t="s">
        <v>993</v>
      </c>
      <c r="K98" s="91">
        <v>43485</v>
      </c>
      <c r="L98" s="92" t="s">
        <v>1066</v>
      </c>
      <c r="M98" s="90">
        <f t="shared" ref="M98:M112" si="5">2019-L98</f>
        <v>9</v>
      </c>
      <c r="N98" s="135" t="s">
        <v>3</v>
      </c>
      <c r="O98" s="135" t="s">
        <v>1004</v>
      </c>
      <c r="P98" s="99" t="s">
        <v>1272</v>
      </c>
      <c r="Q98" s="135"/>
      <c r="R98" s="99" t="s">
        <v>1277</v>
      </c>
    </row>
    <row r="99" spans="2:18" ht="25.5">
      <c r="B99" s="203">
        <v>31</v>
      </c>
      <c r="C99" s="205" t="s">
        <v>1320</v>
      </c>
      <c r="D99" s="135">
        <v>92</v>
      </c>
      <c r="E99" s="99" t="s">
        <v>383</v>
      </c>
      <c r="F99" s="135" t="s">
        <v>6</v>
      </c>
      <c r="G99" s="92" t="s">
        <v>1321</v>
      </c>
      <c r="H99" s="135" t="s">
        <v>18</v>
      </c>
      <c r="I99" s="135" t="s">
        <v>9</v>
      </c>
      <c r="J99" s="100" t="s">
        <v>993</v>
      </c>
      <c r="K99" s="91">
        <v>19176</v>
      </c>
      <c r="L99" s="92" t="s">
        <v>1149</v>
      </c>
      <c r="M99" s="90">
        <f t="shared" si="5"/>
        <v>67</v>
      </c>
      <c r="N99" s="135" t="s">
        <v>3</v>
      </c>
      <c r="O99" s="135" t="s">
        <v>1004</v>
      </c>
      <c r="P99" s="99" t="s">
        <v>1288</v>
      </c>
      <c r="Q99" s="135"/>
      <c r="R99" s="99" t="s">
        <v>1128</v>
      </c>
    </row>
    <row r="100" spans="2:18" ht="25.5">
      <c r="B100" s="203"/>
      <c r="C100" s="203"/>
      <c r="D100" s="135">
        <v>93</v>
      </c>
      <c r="E100" s="99" t="s">
        <v>1319</v>
      </c>
      <c r="F100" s="135" t="s">
        <v>21</v>
      </c>
      <c r="G100" s="92" t="s">
        <v>1322</v>
      </c>
      <c r="H100" s="135" t="s">
        <v>1</v>
      </c>
      <c r="I100" s="135" t="s">
        <v>9</v>
      </c>
      <c r="J100" s="100" t="s">
        <v>1148</v>
      </c>
      <c r="K100" s="91">
        <v>24654</v>
      </c>
      <c r="L100" s="92" t="s">
        <v>1000</v>
      </c>
      <c r="M100" s="90">
        <f t="shared" si="5"/>
        <v>52</v>
      </c>
      <c r="N100" s="135" t="s">
        <v>3</v>
      </c>
      <c r="O100" s="135" t="s">
        <v>1004</v>
      </c>
      <c r="P100" s="99" t="s">
        <v>1288</v>
      </c>
      <c r="Q100" s="135"/>
      <c r="R100" s="99" t="s">
        <v>1276</v>
      </c>
    </row>
    <row r="101" spans="2:18" ht="25.5">
      <c r="B101" s="203"/>
      <c r="C101" s="203"/>
      <c r="D101" s="135">
        <v>94</v>
      </c>
      <c r="E101" s="99" t="s">
        <v>384</v>
      </c>
      <c r="F101" s="135" t="s">
        <v>12</v>
      </c>
      <c r="G101" s="92" t="s">
        <v>1323</v>
      </c>
      <c r="H101" s="135" t="s">
        <v>1</v>
      </c>
      <c r="I101" s="135" t="s">
        <v>15</v>
      </c>
      <c r="J101" s="100" t="s">
        <v>1016</v>
      </c>
      <c r="K101" s="91">
        <v>32276</v>
      </c>
      <c r="L101" s="92" t="s">
        <v>1013</v>
      </c>
      <c r="M101" s="90">
        <f t="shared" si="5"/>
        <v>31</v>
      </c>
      <c r="N101" s="135" t="s">
        <v>3</v>
      </c>
      <c r="O101" s="135" t="s">
        <v>1004</v>
      </c>
      <c r="P101" s="99" t="s">
        <v>1287</v>
      </c>
      <c r="Q101" s="135"/>
      <c r="R101" s="99" t="s">
        <v>1277</v>
      </c>
    </row>
    <row r="102" spans="2:18">
      <c r="B102" s="203"/>
      <c r="C102" s="203"/>
      <c r="D102" s="135">
        <v>95</v>
      </c>
      <c r="E102" s="99" t="s">
        <v>385</v>
      </c>
      <c r="F102" s="135" t="s">
        <v>12</v>
      </c>
      <c r="G102" s="92" t="s">
        <v>1324</v>
      </c>
      <c r="H102" s="135" t="s">
        <v>18</v>
      </c>
      <c r="I102" s="135" t="s">
        <v>15</v>
      </c>
      <c r="J102" s="100" t="s">
        <v>993</v>
      </c>
      <c r="K102" s="91">
        <v>37798</v>
      </c>
      <c r="L102" s="92" t="s">
        <v>1104</v>
      </c>
      <c r="M102" s="90">
        <f t="shared" si="5"/>
        <v>16</v>
      </c>
      <c r="N102" s="135" t="s">
        <v>3</v>
      </c>
      <c r="O102" s="135" t="s">
        <v>1004</v>
      </c>
      <c r="P102" s="99" t="s">
        <v>1272</v>
      </c>
      <c r="Q102" s="135"/>
      <c r="R102" s="99" t="s">
        <v>1309</v>
      </c>
    </row>
    <row r="103" spans="2:18" ht="25.5">
      <c r="B103" s="203"/>
      <c r="C103" s="203"/>
      <c r="D103" s="135">
        <v>96</v>
      </c>
      <c r="E103" s="99" t="s">
        <v>386</v>
      </c>
      <c r="F103" s="135" t="s">
        <v>12</v>
      </c>
      <c r="G103" s="92" t="s">
        <v>1325</v>
      </c>
      <c r="H103" s="135" t="s">
        <v>18</v>
      </c>
      <c r="I103" s="135" t="s">
        <v>15</v>
      </c>
      <c r="J103" s="100" t="s">
        <v>993</v>
      </c>
      <c r="K103" s="91">
        <v>39474</v>
      </c>
      <c r="L103" s="92" t="s">
        <v>1008</v>
      </c>
      <c r="M103" s="90">
        <f t="shared" si="5"/>
        <v>11</v>
      </c>
      <c r="N103" s="135" t="s">
        <v>3</v>
      </c>
      <c r="O103" s="135" t="s">
        <v>1004</v>
      </c>
      <c r="P103" s="99" t="s">
        <v>1272</v>
      </c>
      <c r="Q103" s="135"/>
      <c r="R103" s="99" t="s">
        <v>1277</v>
      </c>
    </row>
    <row r="104" spans="2:18" ht="25.5">
      <c r="B104" s="203">
        <v>32</v>
      </c>
      <c r="C104" s="205" t="s">
        <v>1335</v>
      </c>
      <c r="D104" s="135">
        <v>97</v>
      </c>
      <c r="E104" s="99" t="s">
        <v>387</v>
      </c>
      <c r="F104" s="135" t="s">
        <v>6</v>
      </c>
      <c r="G104" s="92" t="s">
        <v>1336</v>
      </c>
      <c r="H104" s="135" t="s">
        <v>18</v>
      </c>
      <c r="I104" s="135" t="s">
        <v>9</v>
      </c>
      <c r="J104" s="100" t="s">
        <v>993</v>
      </c>
      <c r="K104" s="91">
        <v>24654</v>
      </c>
      <c r="L104" s="92" t="s">
        <v>1000</v>
      </c>
      <c r="M104" s="90">
        <f t="shared" si="5"/>
        <v>52</v>
      </c>
      <c r="N104" s="135" t="s">
        <v>3</v>
      </c>
      <c r="O104" s="135" t="s">
        <v>1004</v>
      </c>
      <c r="P104" s="99" t="s">
        <v>1272</v>
      </c>
      <c r="Q104" s="135"/>
      <c r="R104" s="99" t="s">
        <v>1128</v>
      </c>
    </row>
    <row r="105" spans="2:18" ht="25.5">
      <c r="B105" s="203"/>
      <c r="C105" s="203"/>
      <c r="D105" s="135">
        <v>98</v>
      </c>
      <c r="E105" s="99" t="s">
        <v>388</v>
      </c>
      <c r="F105" s="135" t="s">
        <v>21</v>
      </c>
      <c r="G105" s="92" t="s">
        <v>1337</v>
      </c>
      <c r="H105" s="135" t="s">
        <v>1</v>
      </c>
      <c r="I105" s="135" t="s">
        <v>9</v>
      </c>
      <c r="J105" s="100" t="s">
        <v>993</v>
      </c>
      <c r="K105" s="91">
        <v>27029</v>
      </c>
      <c r="L105" s="92" t="s">
        <v>1035</v>
      </c>
      <c r="M105" s="90">
        <f t="shared" si="5"/>
        <v>46</v>
      </c>
      <c r="N105" s="135" t="s">
        <v>3</v>
      </c>
      <c r="O105" s="135" t="s">
        <v>1004</v>
      </c>
      <c r="P105" s="99" t="s">
        <v>1272</v>
      </c>
      <c r="Q105" s="135"/>
      <c r="R105" s="99" t="s">
        <v>1276</v>
      </c>
    </row>
    <row r="106" spans="2:18" ht="25.5">
      <c r="B106" s="203"/>
      <c r="C106" s="203"/>
      <c r="D106" s="135">
        <v>99</v>
      </c>
      <c r="E106" s="99" t="s">
        <v>389</v>
      </c>
      <c r="F106" s="135" t="s">
        <v>12</v>
      </c>
      <c r="G106" s="92" t="s">
        <v>1338</v>
      </c>
      <c r="H106" s="135" t="s">
        <v>1</v>
      </c>
      <c r="I106" s="135" t="s">
        <v>15</v>
      </c>
      <c r="J106" s="100" t="s">
        <v>993</v>
      </c>
      <c r="K106" s="91">
        <v>34569</v>
      </c>
      <c r="L106" s="92" t="s">
        <v>1061</v>
      </c>
      <c r="M106" s="90">
        <f t="shared" si="5"/>
        <v>25</v>
      </c>
      <c r="N106" s="135" t="s">
        <v>3</v>
      </c>
      <c r="O106" s="135" t="s">
        <v>1004</v>
      </c>
      <c r="P106" s="99" t="s">
        <v>1273</v>
      </c>
      <c r="Q106" s="135"/>
      <c r="R106" s="99" t="s">
        <v>1309</v>
      </c>
    </row>
    <row r="107" spans="2:18">
      <c r="B107" s="203"/>
      <c r="C107" s="203"/>
      <c r="D107" s="135">
        <v>100</v>
      </c>
      <c r="E107" s="99" t="s">
        <v>390</v>
      </c>
      <c r="F107" s="135" t="s">
        <v>12</v>
      </c>
      <c r="G107" s="92" t="s">
        <v>1339</v>
      </c>
      <c r="H107" s="135" t="s">
        <v>1</v>
      </c>
      <c r="I107" s="135" t="s">
        <v>15</v>
      </c>
      <c r="J107" s="100" t="s">
        <v>993</v>
      </c>
      <c r="K107" s="91">
        <v>37231</v>
      </c>
      <c r="L107" s="92" t="s">
        <v>1094</v>
      </c>
      <c r="M107" s="90">
        <f t="shared" si="5"/>
        <v>18</v>
      </c>
      <c r="N107" s="135" t="s">
        <v>3</v>
      </c>
      <c r="O107" s="135" t="s">
        <v>1004</v>
      </c>
      <c r="P107" s="99" t="s">
        <v>1272</v>
      </c>
      <c r="Q107" s="135"/>
      <c r="R107" s="99" t="s">
        <v>1309</v>
      </c>
    </row>
    <row r="108" spans="2:18">
      <c r="B108" s="203">
        <v>33</v>
      </c>
      <c r="C108" s="205" t="s">
        <v>1798</v>
      </c>
      <c r="D108" s="135">
        <v>101</v>
      </c>
      <c r="E108" s="99" t="s">
        <v>391</v>
      </c>
      <c r="F108" s="135" t="s">
        <v>6</v>
      </c>
      <c r="G108" s="90" t="s">
        <v>516</v>
      </c>
      <c r="H108" s="135" t="s">
        <v>18</v>
      </c>
      <c r="I108" s="135" t="s">
        <v>9</v>
      </c>
      <c r="J108" s="100" t="s">
        <v>993</v>
      </c>
      <c r="K108" s="91">
        <v>32708</v>
      </c>
      <c r="L108" s="92" t="s">
        <v>1028</v>
      </c>
      <c r="M108" s="90">
        <f t="shared" si="5"/>
        <v>30</v>
      </c>
      <c r="N108" s="135" t="s">
        <v>3</v>
      </c>
      <c r="O108" s="135" t="s">
        <v>1004</v>
      </c>
      <c r="P108" s="99" t="s">
        <v>1287</v>
      </c>
      <c r="Q108" s="135"/>
      <c r="R108" s="99" t="s">
        <v>23</v>
      </c>
    </row>
    <row r="109" spans="2:18" ht="25.5">
      <c r="B109" s="203"/>
      <c r="C109" s="203"/>
      <c r="D109" s="135">
        <v>102</v>
      </c>
      <c r="E109" s="99" t="s">
        <v>392</v>
      </c>
      <c r="F109" s="135" t="s">
        <v>21</v>
      </c>
      <c r="G109" s="90" t="s">
        <v>517</v>
      </c>
      <c r="H109" s="135" t="s">
        <v>1</v>
      </c>
      <c r="I109" s="135" t="s">
        <v>9</v>
      </c>
      <c r="J109" s="100" t="s">
        <v>1147</v>
      </c>
      <c r="K109" s="91">
        <v>33446</v>
      </c>
      <c r="L109" s="92" t="s">
        <v>1047</v>
      </c>
      <c r="M109" s="90">
        <f t="shared" si="5"/>
        <v>28</v>
      </c>
      <c r="N109" s="135" t="s">
        <v>3</v>
      </c>
      <c r="O109" s="135" t="s">
        <v>1004</v>
      </c>
      <c r="P109" s="99" t="s">
        <v>1272</v>
      </c>
      <c r="Q109" s="135"/>
      <c r="R109" s="99" t="s">
        <v>1276</v>
      </c>
    </row>
    <row r="110" spans="2:18" ht="38.25">
      <c r="B110" s="203"/>
      <c r="C110" s="203"/>
      <c r="D110" s="135">
        <v>103</v>
      </c>
      <c r="E110" s="99" t="s">
        <v>1145</v>
      </c>
      <c r="F110" s="135" t="s">
        <v>12</v>
      </c>
      <c r="G110" s="92" t="s">
        <v>1146</v>
      </c>
      <c r="H110" s="135" t="s">
        <v>18</v>
      </c>
      <c r="I110" s="135" t="s">
        <v>15</v>
      </c>
      <c r="J110" s="100" t="s">
        <v>1045</v>
      </c>
      <c r="K110" s="91">
        <v>42852</v>
      </c>
      <c r="L110" s="92" t="s">
        <v>1048</v>
      </c>
      <c r="M110" s="90">
        <f t="shared" si="5"/>
        <v>2</v>
      </c>
      <c r="N110" s="135" t="s">
        <v>3</v>
      </c>
      <c r="O110" s="135" t="s">
        <v>1004</v>
      </c>
      <c r="P110" s="99" t="s">
        <v>1288</v>
      </c>
      <c r="Q110" s="135"/>
      <c r="R110" s="99" t="s">
        <v>1277</v>
      </c>
    </row>
    <row r="111" spans="2:18" ht="25.5">
      <c r="B111" s="203">
        <v>34</v>
      </c>
      <c r="C111" s="205" t="s">
        <v>1804</v>
      </c>
      <c r="D111" s="135">
        <v>104</v>
      </c>
      <c r="E111" s="99" t="s">
        <v>393</v>
      </c>
      <c r="F111" s="135" t="s">
        <v>6</v>
      </c>
      <c r="G111" s="92" t="s">
        <v>1806</v>
      </c>
      <c r="H111" s="135" t="s">
        <v>18</v>
      </c>
      <c r="I111" s="135" t="s">
        <v>9</v>
      </c>
      <c r="J111" s="100" t="s">
        <v>993</v>
      </c>
      <c r="K111" s="91">
        <v>17532</v>
      </c>
      <c r="L111" s="92" t="s">
        <v>1129</v>
      </c>
      <c r="M111" s="90">
        <f t="shared" si="5"/>
        <v>72</v>
      </c>
      <c r="N111" s="135" t="s">
        <v>3</v>
      </c>
      <c r="O111" s="135" t="s">
        <v>1004</v>
      </c>
      <c r="P111" s="99" t="s">
        <v>1272</v>
      </c>
      <c r="Q111" s="135"/>
      <c r="R111" s="99" t="s">
        <v>1128</v>
      </c>
    </row>
    <row r="112" spans="2:18" ht="25.5">
      <c r="B112" s="203"/>
      <c r="C112" s="205"/>
      <c r="D112" s="135">
        <v>105</v>
      </c>
      <c r="E112" s="99" t="s">
        <v>284</v>
      </c>
      <c r="F112" s="135" t="s">
        <v>21</v>
      </c>
      <c r="G112" s="92" t="s">
        <v>1807</v>
      </c>
      <c r="H112" s="135" t="s">
        <v>1</v>
      </c>
      <c r="I112" s="135" t="s">
        <v>9</v>
      </c>
      <c r="J112" s="100" t="s">
        <v>993</v>
      </c>
      <c r="K112" s="91">
        <v>21185</v>
      </c>
      <c r="L112" s="92" t="s">
        <v>1021</v>
      </c>
      <c r="M112" s="90">
        <f t="shared" si="5"/>
        <v>62</v>
      </c>
      <c r="N112" s="135" t="s">
        <v>3</v>
      </c>
      <c r="O112" s="135" t="s">
        <v>1004</v>
      </c>
      <c r="P112" s="99" t="s">
        <v>1272</v>
      </c>
      <c r="Q112" s="135"/>
      <c r="R112" s="99" t="s">
        <v>1128</v>
      </c>
    </row>
    <row r="113" spans="2:18">
      <c r="B113" s="203"/>
      <c r="C113" s="205"/>
      <c r="D113" s="135">
        <v>106</v>
      </c>
      <c r="E113" s="99" t="s">
        <v>1805</v>
      </c>
      <c r="F113" s="135" t="s">
        <v>12</v>
      </c>
      <c r="G113" s="92" t="s">
        <v>1808</v>
      </c>
      <c r="H113" s="135" t="s">
        <v>1</v>
      </c>
      <c r="I113" s="135" t="s">
        <v>9</v>
      </c>
      <c r="J113" s="100" t="s">
        <v>993</v>
      </c>
      <c r="K113" s="91">
        <v>29951</v>
      </c>
      <c r="L113" s="92">
        <v>1981</v>
      </c>
      <c r="M113" s="90">
        <f t="shared" ref="M113:M114" si="6">2019-L113</f>
        <v>38</v>
      </c>
      <c r="N113" s="135" t="s">
        <v>3</v>
      </c>
      <c r="O113" s="135" t="s">
        <v>1004</v>
      </c>
      <c r="P113" s="99" t="s">
        <v>1272</v>
      </c>
      <c r="Q113" s="135"/>
      <c r="R113" s="99" t="s">
        <v>23</v>
      </c>
    </row>
    <row r="114" spans="2:18">
      <c r="B114" s="203"/>
      <c r="C114" s="205"/>
      <c r="D114" s="135">
        <v>107</v>
      </c>
      <c r="E114" s="99" t="s">
        <v>394</v>
      </c>
      <c r="F114" s="135" t="s">
        <v>12</v>
      </c>
      <c r="G114" s="92" t="s">
        <v>1632</v>
      </c>
      <c r="H114" s="135" t="s">
        <v>18</v>
      </c>
      <c r="I114" s="135" t="s">
        <v>15</v>
      </c>
      <c r="J114" s="100" t="s">
        <v>993</v>
      </c>
      <c r="K114" s="91">
        <v>34628</v>
      </c>
      <c r="L114" s="92">
        <v>1994</v>
      </c>
      <c r="M114" s="90">
        <f t="shared" si="6"/>
        <v>25</v>
      </c>
      <c r="N114" s="135" t="s">
        <v>3</v>
      </c>
      <c r="O114" s="135" t="s">
        <v>1004</v>
      </c>
      <c r="P114" s="99" t="s">
        <v>1273</v>
      </c>
      <c r="Q114" s="135"/>
      <c r="R114" s="99" t="s">
        <v>1309</v>
      </c>
    </row>
    <row r="115" spans="2:18">
      <c r="B115" s="203">
        <v>35</v>
      </c>
      <c r="C115" s="203" t="s">
        <v>1629</v>
      </c>
      <c r="D115" s="135">
        <v>108</v>
      </c>
      <c r="E115" s="99" t="s">
        <v>394</v>
      </c>
      <c r="F115" s="135" t="s">
        <v>6</v>
      </c>
      <c r="G115" s="92" t="s">
        <v>1632</v>
      </c>
      <c r="H115" s="135" t="s">
        <v>18</v>
      </c>
      <c r="I115" s="135" t="s">
        <v>9</v>
      </c>
      <c r="J115" s="100" t="s">
        <v>993</v>
      </c>
      <c r="K115" s="91">
        <v>34628</v>
      </c>
      <c r="L115" s="92" t="s">
        <v>1061</v>
      </c>
      <c r="M115" s="90">
        <f t="shared" ref="M115:M145" si="7">2019-L115</f>
        <v>25</v>
      </c>
      <c r="N115" s="135" t="s">
        <v>3</v>
      </c>
      <c r="O115" s="135" t="s">
        <v>1004</v>
      </c>
      <c r="P115" s="99" t="s">
        <v>1287</v>
      </c>
      <c r="Q115" s="135"/>
      <c r="R115" s="99" t="s">
        <v>23</v>
      </c>
    </row>
    <row r="116" spans="2:18" ht="25.5">
      <c r="B116" s="203"/>
      <c r="C116" s="203"/>
      <c r="D116" s="135">
        <v>109</v>
      </c>
      <c r="E116" s="99" t="s">
        <v>1630</v>
      </c>
      <c r="F116" s="135" t="s">
        <v>21</v>
      </c>
      <c r="G116" s="92" t="s">
        <v>1633</v>
      </c>
      <c r="H116" s="135" t="s">
        <v>1</v>
      </c>
      <c r="I116" s="135" t="s">
        <v>9</v>
      </c>
      <c r="J116" s="100" t="s">
        <v>1635</v>
      </c>
      <c r="K116" s="91">
        <v>34857</v>
      </c>
      <c r="L116" s="92">
        <v>1995</v>
      </c>
      <c r="M116" s="90">
        <f t="shared" si="7"/>
        <v>24</v>
      </c>
      <c r="N116" s="135" t="s">
        <v>3</v>
      </c>
      <c r="O116" s="135" t="s">
        <v>1004</v>
      </c>
      <c r="P116" s="99" t="s">
        <v>1287</v>
      </c>
      <c r="Q116" s="135"/>
      <c r="R116" s="99" t="s">
        <v>1276</v>
      </c>
    </row>
    <row r="117" spans="2:18" ht="25.5">
      <c r="B117" s="203"/>
      <c r="C117" s="203"/>
      <c r="D117" s="135">
        <v>110</v>
      </c>
      <c r="E117" s="99" t="s">
        <v>1631</v>
      </c>
      <c r="F117" s="135" t="s">
        <v>12</v>
      </c>
      <c r="G117" s="92" t="s">
        <v>1634</v>
      </c>
      <c r="H117" s="135" t="s">
        <v>18</v>
      </c>
      <c r="I117" s="135" t="s">
        <v>15</v>
      </c>
      <c r="J117" s="100" t="s">
        <v>1045</v>
      </c>
      <c r="K117" s="91">
        <v>42411</v>
      </c>
      <c r="L117" s="92">
        <v>2016</v>
      </c>
      <c r="M117" s="90">
        <f t="shared" si="7"/>
        <v>3</v>
      </c>
      <c r="N117" s="135" t="s">
        <v>3</v>
      </c>
      <c r="O117" s="135" t="s">
        <v>1004</v>
      </c>
      <c r="P117" s="99" t="s">
        <v>1288</v>
      </c>
      <c r="Q117" s="135"/>
      <c r="R117" s="99" t="s">
        <v>1277</v>
      </c>
    </row>
    <row r="118" spans="2:18" ht="25.5">
      <c r="B118" s="203">
        <v>36</v>
      </c>
      <c r="C118" s="203" t="s">
        <v>1799</v>
      </c>
      <c r="D118" s="135">
        <v>111</v>
      </c>
      <c r="E118" s="99" t="s">
        <v>157</v>
      </c>
      <c r="F118" s="135" t="s">
        <v>6</v>
      </c>
      <c r="G118" s="90" t="s">
        <v>1801</v>
      </c>
      <c r="H118" s="135" t="s">
        <v>18</v>
      </c>
      <c r="I118" s="135" t="s">
        <v>9</v>
      </c>
      <c r="J118" s="100" t="s">
        <v>1045</v>
      </c>
      <c r="K118" s="91">
        <v>27029</v>
      </c>
      <c r="L118" s="90">
        <v>1973</v>
      </c>
      <c r="M118" s="90">
        <f t="shared" si="7"/>
        <v>46</v>
      </c>
      <c r="N118" s="135" t="s">
        <v>3</v>
      </c>
      <c r="O118" s="135" t="s">
        <v>1004</v>
      </c>
      <c r="P118" s="99" t="s">
        <v>1273</v>
      </c>
      <c r="Q118" s="135"/>
      <c r="R118" s="99" t="s">
        <v>1128</v>
      </c>
    </row>
    <row r="119" spans="2:18" ht="25.5">
      <c r="B119" s="203"/>
      <c r="C119" s="203"/>
      <c r="D119" s="135">
        <v>112</v>
      </c>
      <c r="E119" s="99" t="s">
        <v>1800</v>
      </c>
      <c r="F119" s="135" t="s">
        <v>21</v>
      </c>
      <c r="G119" s="90" t="s">
        <v>1802</v>
      </c>
      <c r="H119" s="135" t="s">
        <v>1</v>
      </c>
      <c r="I119" s="135" t="s">
        <v>9</v>
      </c>
      <c r="J119" s="100" t="s">
        <v>993</v>
      </c>
      <c r="K119" s="91">
        <v>27394</v>
      </c>
      <c r="L119" s="90">
        <v>1974</v>
      </c>
      <c r="M119" s="90">
        <f t="shared" si="7"/>
        <v>45</v>
      </c>
      <c r="N119" s="135" t="s">
        <v>3</v>
      </c>
      <c r="O119" s="135" t="s">
        <v>1004</v>
      </c>
      <c r="P119" s="99" t="s">
        <v>1273</v>
      </c>
      <c r="Q119" s="135"/>
      <c r="R119" s="99" t="s">
        <v>1276</v>
      </c>
    </row>
    <row r="120" spans="2:18" ht="25.5">
      <c r="B120" s="203"/>
      <c r="C120" s="203"/>
      <c r="D120" s="135">
        <v>113</v>
      </c>
      <c r="E120" s="99" t="s">
        <v>395</v>
      </c>
      <c r="F120" s="135" t="s">
        <v>12</v>
      </c>
      <c r="G120" s="90" t="s">
        <v>1803</v>
      </c>
      <c r="H120" s="135" t="s">
        <v>18</v>
      </c>
      <c r="I120" s="135" t="s">
        <v>15</v>
      </c>
      <c r="J120" s="100" t="s">
        <v>993</v>
      </c>
      <c r="K120" s="91">
        <v>34623</v>
      </c>
      <c r="L120" s="90">
        <v>1994</v>
      </c>
      <c r="M120" s="90">
        <f t="shared" si="7"/>
        <v>25</v>
      </c>
      <c r="N120" s="135" t="s">
        <v>3</v>
      </c>
      <c r="O120" s="135" t="s">
        <v>1004</v>
      </c>
      <c r="P120" s="99" t="s">
        <v>1088</v>
      </c>
      <c r="Q120" s="135"/>
      <c r="R120" s="99" t="s">
        <v>1277</v>
      </c>
    </row>
    <row r="121" spans="2:18" ht="25.5">
      <c r="B121" s="203">
        <v>37</v>
      </c>
      <c r="C121" s="203" t="s">
        <v>1705</v>
      </c>
      <c r="D121" s="135">
        <v>114</v>
      </c>
      <c r="E121" s="99" t="s">
        <v>396</v>
      </c>
      <c r="F121" s="135" t="s">
        <v>6</v>
      </c>
      <c r="G121" s="90" t="s">
        <v>1706</v>
      </c>
      <c r="H121" s="135" t="s">
        <v>1</v>
      </c>
      <c r="I121" s="135" t="s">
        <v>1020</v>
      </c>
      <c r="J121" s="100" t="s">
        <v>993</v>
      </c>
      <c r="K121" s="91">
        <v>21367</v>
      </c>
      <c r="L121" s="90">
        <v>1958</v>
      </c>
      <c r="M121" s="90">
        <f t="shared" si="7"/>
        <v>61</v>
      </c>
      <c r="N121" s="135" t="s">
        <v>3</v>
      </c>
      <c r="O121" s="135" t="s">
        <v>1004</v>
      </c>
      <c r="P121" s="99" t="s">
        <v>1272</v>
      </c>
      <c r="Q121" s="135"/>
      <c r="R121" s="99" t="s">
        <v>1276</v>
      </c>
    </row>
    <row r="122" spans="2:18" ht="25.5">
      <c r="B122" s="203"/>
      <c r="C122" s="203"/>
      <c r="D122" s="135">
        <v>115</v>
      </c>
      <c r="E122" s="99" t="s">
        <v>397</v>
      </c>
      <c r="F122" s="135" t="s">
        <v>12</v>
      </c>
      <c r="G122" s="90" t="s">
        <v>1707</v>
      </c>
      <c r="H122" s="135" t="s">
        <v>1</v>
      </c>
      <c r="I122" s="135" t="s">
        <v>15</v>
      </c>
      <c r="J122" s="100" t="s">
        <v>1670</v>
      </c>
      <c r="K122" s="91">
        <v>29739</v>
      </c>
      <c r="L122" s="90">
        <v>1981</v>
      </c>
      <c r="M122" s="90">
        <f t="shared" si="7"/>
        <v>38</v>
      </c>
      <c r="N122" s="135" t="s">
        <v>3</v>
      </c>
      <c r="O122" s="135" t="s">
        <v>1004</v>
      </c>
      <c r="P122" s="99" t="s">
        <v>1273</v>
      </c>
      <c r="Q122" s="135"/>
      <c r="R122" s="99" t="s">
        <v>1128</v>
      </c>
    </row>
    <row r="123" spans="2:18">
      <c r="B123" s="203">
        <v>38</v>
      </c>
      <c r="C123" s="203"/>
      <c r="D123" s="135">
        <v>116</v>
      </c>
      <c r="E123" s="99" t="s">
        <v>398</v>
      </c>
      <c r="F123" s="135" t="s">
        <v>6</v>
      </c>
      <c r="G123" s="90" t="s">
        <v>518</v>
      </c>
      <c r="H123" s="135" t="s">
        <v>18</v>
      </c>
      <c r="I123" s="135" t="s">
        <v>9</v>
      </c>
      <c r="J123" s="100"/>
      <c r="K123" s="100">
        <v>14976</v>
      </c>
      <c r="L123" s="90">
        <v>1940</v>
      </c>
      <c r="M123" s="90">
        <f t="shared" si="7"/>
        <v>79</v>
      </c>
      <c r="N123" s="135" t="s">
        <v>3</v>
      </c>
      <c r="O123" s="135"/>
      <c r="P123" s="99" t="s">
        <v>11</v>
      </c>
      <c r="Q123" s="135"/>
      <c r="R123" s="99" t="s">
        <v>39</v>
      </c>
    </row>
    <row r="124" spans="2:18">
      <c r="B124" s="203"/>
      <c r="C124" s="203"/>
      <c r="D124" s="135">
        <v>117</v>
      </c>
      <c r="E124" s="99" t="s">
        <v>399</v>
      </c>
      <c r="F124" s="135" t="s">
        <v>21</v>
      </c>
      <c r="G124" s="90" t="s">
        <v>519</v>
      </c>
      <c r="H124" s="135" t="s">
        <v>1</v>
      </c>
      <c r="I124" s="135" t="s">
        <v>9</v>
      </c>
      <c r="J124" s="100"/>
      <c r="K124" s="100">
        <v>24837</v>
      </c>
      <c r="L124" s="90">
        <v>1967</v>
      </c>
      <c r="M124" s="90">
        <f t="shared" si="7"/>
        <v>52</v>
      </c>
      <c r="N124" s="135" t="s">
        <v>3</v>
      </c>
      <c r="O124" s="135"/>
      <c r="P124" s="99" t="s">
        <v>11</v>
      </c>
      <c r="Q124" s="135"/>
      <c r="R124" s="99" t="s">
        <v>5</v>
      </c>
    </row>
    <row r="125" spans="2:18">
      <c r="B125" s="203"/>
      <c r="C125" s="203"/>
      <c r="D125" s="135">
        <v>118</v>
      </c>
      <c r="E125" s="99" t="s">
        <v>400</v>
      </c>
      <c r="F125" s="135" t="s">
        <v>12</v>
      </c>
      <c r="G125" s="90"/>
      <c r="H125" s="135" t="s">
        <v>18</v>
      </c>
      <c r="I125" s="135" t="s">
        <v>15</v>
      </c>
      <c r="J125" s="100"/>
      <c r="K125" s="100">
        <v>40915</v>
      </c>
      <c r="L125" s="90">
        <v>2012</v>
      </c>
      <c r="M125" s="90">
        <f t="shared" si="7"/>
        <v>7</v>
      </c>
      <c r="N125" s="135" t="s">
        <v>3</v>
      </c>
      <c r="O125" s="135"/>
      <c r="P125" s="99" t="s">
        <v>11</v>
      </c>
      <c r="Q125" s="135"/>
      <c r="R125" s="99" t="s">
        <v>11</v>
      </c>
    </row>
    <row r="126" spans="2:18" ht="25.5">
      <c r="B126" s="135">
        <v>39</v>
      </c>
      <c r="C126" s="135" t="s">
        <v>1719</v>
      </c>
      <c r="D126" s="135">
        <v>119</v>
      </c>
      <c r="E126" s="99" t="s">
        <v>380</v>
      </c>
      <c r="F126" s="135" t="s">
        <v>6</v>
      </c>
      <c r="G126" s="90" t="s">
        <v>520</v>
      </c>
      <c r="H126" s="135" t="s">
        <v>18</v>
      </c>
      <c r="I126" s="135" t="s">
        <v>1235</v>
      </c>
      <c r="J126" s="100" t="s">
        <v>993</v>
      </c>
      <c r="K126" s="91">
        <v>28307</v>
      </c>
      <c r="L126" s="90">
        <v>1977</v>
      </c>
      <c r="M126" s="90">
        <f t="shared" si="7"/>
        <v>42</v>
      </c>
      <c r="N126" s="135" t="s">
        <v>3</v>
      </c>
      <c r="O126" s="135" t="s">
        <v>1004</v>
      </c>
      <c r="P126" s="99" t="s">
        <v>1288</v>
      </c>
      <c r="Q126" s="135"/>
      <c r="R126" s="99" t="s">
        <v>39</v>
      </c>
    </row>
    <row r="127" spans="2:18" ht="25.5">
      <c r="B127" s="203">
        <v>40</v>
      </c>
      <c r="C127" s="203" t="s">
        <v>1661</v>
      </c>
      <c r="D127" s="135">
        <v>120</v>
      </c>
      <c r="E127" s="99" t="s">
        <v>401</v>
      </c>
      <c r="F127" s="135" t="s">
        <v>6</v>
      </c>
      <c r="G127" s="90" t="s">
        <v>1664</v>
      </c>
      <c r="H127" s="135" t="s">
        <v>18</v>
      </c>
      <c r="I127" s="135" t="s">
        <v>9</v>
      </c>
      <c r="J127" s="100" t="s">
        <v>993</v>
      </c>
      <c r="K127" s="91">
        <v>28125</v>
      </c>
      <c r="L127" s="90">
        <v>1976</v>
      </c>
      <c r="M127" s="90">
        <f t="shared" si="7"/>
        <v>43</v>
      </c>
      <c r="N127" s="135" t="s">
        <v>3</v>
      </c>
      <c r="O127" s="135" t="s">
        <v>1004</v>
      </c>
      <c r="P127" s="99" t="s">
        <v>1288</v>
      </c>
      <c r="Q127" s="135"/>
      <c r="R127" s="99" t="s">
        <v>1318</v>
      </c>
    </row>
    <row r="128" spans="2:18" ht="25.5">
      <c r="B128" s="203"/>
      <c r="C128" s="203"/>
      <c r="D128" s="135">
        <v>121</v>
      </c>
      <c r="E128" s="99" t="s">
        <v>403</v>
      </c>
      <c r="F128" s="135" t="s">
        <v>21</v>
      </c>
      <c r="G128" s="90" t="s">
        <v>1665</v>
      </c>
      <c r="H128" s="135" t="s">
        <v>1</v>
      </c>
      <c r="I128" s="135" t="s">
        <v>9</v>
      </c>
      <c r="J128" s="100" t="s">
        <v>1669</v>
      </c>
      <c r="K128" s="91">
        <v>28307</v>
      </c>
      <c r="L128" s="90">
        <v>1977</v>
      </c>
      <c r="M128" s="90">
        <f t="shared" si="7"/>
        <v>42</v>
      </c>
      <c r="N128" s="135" t="s">
        <v>3</v>
      </c>
      <c r="O128" s="135" t="s">
        <v>1004</v>
      </c>
      <c r="P128" s="99" t="s">
        <v>1288</v>
      </c>
      <c r="Q128" s="135"/>
      <c r="R128" s="99" t="s">
        <v>1276</v>
      </c>
    </row>
    <row r="129" spans="2:18" ht="25.5">
      <c r="B129" s="203"/>
      <c r="C129" s="203"/>
      <c r="D129" s="135">
        <v>122</v>
      </c>
      <c r="E129" s="99" t="s">
        <v>1662</v>
      </c>
      <c r="F129" s="135" t="s">
        <v>12</v>
      </c>
      <c r="G129" s="90" t="s">
        <v>1666</v>
      </c>
      <c r="H129" s="135" t="s">
        <v>18</v>
      </c>
      <c r="I129" s="135" t="s">
        <v>15</v>
      </c>
      <c r="J129" s="100" t="s">
        <v>1670</v>
      </c>
      <c r="K129" s="91">
        <v>34975</v>
      </c>
      <c r="L129" s="90">
        <v>1995</v>
      </c>
      <c r="M129" s="90">
        <f t="shared" si="7"/>
        <v>24</v>
      </c>
      <c r="N129" s="135" t="s">
        <v>3</v>
      </c>
      <c r="O129" s="135" t="s">
        <v>1004</v>
      </c>
      <c r="P129" s="99" t="s">
        <v>1287</v>
      </c>
      <c r="Q129" s="135"/>
      <c r="R129" s="99" t="s">
        <v>1309</v>
      </c>
    </row>
    <row r="130" spans="2:18" ht="25.5">
      <c r="B130" s="203"/>
      <c r="C130" s="203"/>
      <c r="D130" s="135">
        <v>123</v>
      </c>
      <c r="E130" s="99" t="s">
        <v>404</v>
      </c>
      <c r="F130" s="135" t="s">
        <v>12</v>
      </c>
      <c r="G130" s="90" t="s">
        <v>1667</v>
      </c>
      <c r="H130" s="135" t="s">
        <v>1</v>
      </c>
      <c r="I130" s="135" t="s">
        <v>15</v>
      </c>
      <c r="J130" s="100" t="s">
        <v>993</v>
      </c>
      <c r="K130" s="91">
        <v>38994</v>
      </c>
      <c r="L130" s="90">
        <v>2006</v>
      </c>
      <c r="M130" s="90">
        <f t="shared" si="7"/>
        <v>13</v>
      </c>
      <c r="N130" s="135" t="s">
        <v>3</v>
      </c>
      <c r="O130" s="135" t="s">
        <v>1004</v>
      </c>
      <c r="P130" s="99" t="s">
        <v>1288</v>
      </c>
      <c r="Q130" s="135"/>
      <c r="R130" s="99" t="s">
        <v>1277</v>
      </c>
    </row>
    <row r="131" spans="2:18" ht="25.5">
      <c r="B131" s="203"/>
      <c r="C131" s="203"/>
      <c r="D131" s="135">
        <v>124</v>
      </c>
      <c r="E131" s="99" t="s">
        <v>1663</v>
      </c>
      <c r="F131" s="135" t="s">
        <v>12</v>
      </c>
      <c r="G131" s="90" t="s">
        <v>1668</v>
      </c>
      <c r="H131" s="135" t="s">
        <v>18</v>
      </c>
      <c r="I131" s="135" t="s">
        <v>15</v>
      </c>
      <c r="J131" s="100" t="s">
        <v>993</v>
      </c>
      <c r="K131" s="91">
        <v>42737</v>
      </c>
      <c r="L131" s="90">
        <v>2017</v>
      </c>
      <c r="M131" s="90">
        <f t="shared" si="7"/>
        <v>2</v>
      </c>
      <c r="N131" s="135" t="s">
        <v>3</v>
      </c>
      <c r="O131" s="135" t="s">
        <v>1004</v>
      </c>
      <c r="P131" s="99" t="s">
        <v>1288</v>
      </c>
      <c r="Q131" s="135"/>
      <c r="R131" s="99" t="s">
        <v>1277</v>
      </c>
    </row>
    <row r="132" spans="2:18" ht="25.5">
      <c r="B132" s="203">
        <v>41</v>
      </c>
      <c r="C132" s="205" t="s">
        <v>1715</v>
      </c>
      <c r="D132" s="135">
        <v>125</v>
      </c>
      <c r="E132" s="99" t="s">
        <v>405</v>
      </c>
      <c r="F132" s="135" t="s">
        <v>6</v>
      </c>
      <c r="G132" s="90" t="s">
        <v>1716</v>
      </c>
      <c r="H132" s="135" t="s">
        <v>1</v>
      </c>
      <c r="I132" s="135" t="s">
        <v>1020</v>
      </c>
      <c r="J132" s="100" t="s">
        <v>993</v>
      </c>
      <c r="K132" s="91">
        <v>24472</v>
      </c>
      <c r="L132" s="92" t="s">
        <v>1189</v>
      </c>
      <c r="M132" s="90">
        <f t="shared" si="7"/>
        <v>53</v>
      </c>
      <c r="N132" s="135" t="s">
        <v>3</v>
      </c>
      <c r="O132" s="135" t="s">
        <v>1004</v>
      </c>
      <c r="P132" s="99" t="s">
        <v>1288</v>
      </c>
      <c r="Q132" s="135"/>
      <c r="R132" s="99" t="s">
        <v>1276</v>
      </c>
    </row>
    <row r="133" spans="2:18" ht="25.5">
      <c r="B133" s="203"/>
      <c r="C133" s="203"/>
      <c r="D133" s="135">
        <v>126</v>
      </c>
      <c r="E133" s="99" t="s">
        <v>406</v>
      </c>
      <c r="F133" s="135" t="s">
        <v>12</v>
      </c>
      <c r="G133" s="90" t="s">
        <v>521</v>
      </c>
      <c r="H133" s="135" t="s">
        <v>1</v>
      </c>
      <c r="I133" s="135" t="s">
        <v>15</v>
      </c>
      <c r="J133" s="100" t="s">
        <v>1016</v>
      </c>
      <c r="K133" s="91">
        <v>30774</v>
      </c>
      <c r="L133" s="92" t="s">
        <v>1107</v>
      </c>
      <c r="M133" s="90">
        <f t="shared" si="7"/>
        <v>35</v>
      </c>
      <c r="N133" s="135" t="s">
        <v>3</v>
      </c>
      <c r="O133" s="135" t="s">
        <v>1004</v>
      </c>
      <c r="P133" s="99" t="s">
        <v>1273</v>
      </c>
      <c r="Q133" s="135"/>
      <c r="R133" s="99" t="s">
        <v>1277</v>
      </c>
    </row>
    <row r="134" spans="2:18" ht="25.5">
      <c r="B134" s="203"/>
      <c r="C134" s="203"/>
      <c r="D134" s="135">
        <v>127</v>
      </c>
      <c r="E134" s="99" t="s">
        <v>407</v>
      </c>
      <c r="F134" s="135" t="s">
        <v>12</v>
      </c>
      <c r="G134" s="90" t="s">
        <v>1717</v>
      </c>
      <c r="H134" s="135" t="s">
        <v>1</v>
      </c>
      <c r="I134" s="135" t="s">
        <v>15</v>
      </c>
      <c r="J134" s="100" t="s">
        <v>1016</v>
      </c>
      <c r="K134" s="91">
        <v>32431</v>
      </c>
      <c r="L134" s="92" t="s">
        <v>1012</v>
      </c>
      <c r="M134" s="90">
        <f t="shared" si="7"/>
        <v>33</v>
      </c>
      <c r="N134" s="135" t="s">
        <v>3</v>
      </c>
      <c r="O134" s="135" t="s">
        <v>1004</v>
      </c>
      <c r="P134" s="99" t="s">
        <v>1088</v>
      </c>
      <c r="Q134" s="135"/>
      <c r="R134" s="99" t="s">
        <v>23</v>
      </c>
    </row>
    <row r="135" spans="2:18" ht="25.5">
      <c r="B135" s="203"/>
      <c r="C135" s="203"/>
      <c r="D135" s="135">
        <v>128</v>
      </c>
      <c r="E135" s="99" t="s">
        <v>408</v>
      </c>
      <c r="F135" s="135" t="s">
        <v>12</v>
      </c>
      <c r="G135" s="90" t="s">
        <v>1718</v>
      </c>
      <c r="H135" s="135" t="s">
        <v>18</v>
      </c>
      <c r="I135" s="135" t="s">
        <v>15</v>
      </c>
      <c r="J135" s="100" t="s">
        <v>1016</v>
      </c>
      <c r="K135" s="91">
        <v>33521</v>
      </c>
      <c r="L135" s="92" t="s">
        <v>1047</v>
      </c>
      <c r="M135" s="90">
        <f t="shared" si="7"/>
        <v>28</v>
      </c>
      <c r="N135" s="135" t="s">
        <v>3</v>
      </c>
      <c r="O135" s="135" t="s">
        <v>1004</v>
      </c>
      <c r="P135" s="99" t="s">
        <v>1088</v>
      </c>
      <c r="Q135" s="135"/>
      <c r="R135" s="99" t="s">
        <v>23</v>
      </c>
    </row>
    <row r="136" spans="2:18">
      <c r="B136" s="135">
        <v>42</v>
      </c>
      <c r="C136" s="135"/>
      <c r="D136" s="135">
        <v>129</v>
      </c>
      <c r="E136" s="99" t="s">
        <v>409</v>
      </c>
      <c r="F136" s="135" t="s">
        <v>6</v>
      </c>
      <c r="G136" s="90" t="s">
        <v>522</v>
      </c>
      <c r="H136" s="135" t="s">
        <v>1</v>
      </c>
      <c r="I136" s="135" t="s">
        <v>2</v>
      </c>
      <c r="J136" s="100"/>
      <c r="K136" s="100">
        <v>16444</v>
      </c>
      <c r="L136" s="90">
        <v>1945</v>
      </c>
      <c r="M136" s="90">
        <f t="shared" si="7"/>
        <v>74</v>
      </c>
      <c r="N136" s="135" t="s">
        <v>3</v>
      </c>
      <c r="O136" s="135"/>
      <c r="P136" s="99" t="s">
        <v>11</v>
      </c>
      <c r="Q136" s="135"/>
      <c r="R136" s="99" t="s">
        <v>91</v>
      </c>
    </row>
    <row r="137" spans="2:18">
      <c r="B137" s="203">
        <v>43</v>
      </c>
      <c r="C137" s="203" t="s">
        <v>1681</v>
      </c>
      <c r="D137" s="135">
        <v>130</v>
      </c>
      <c r="E137" s="99" t="s">
        <v>410</v>
      </c>
      <c r="F137" s="135" t="s">
        <v>6</v>
      </c>
      <c r="G137" s="90" t="s">
        <v>523</v>
      </c>
      <c r="H137" s="135" t="s">
        <v>18</v>
      </c>
      <c r="I137" s="135" t="s">
        <v>9</v>
      </c>
      <c r="J137" s="99" t="s">
        <v>993</v>
      </c>
      <c r="K137" s="91">
        <v>27501</v>
      </c>
      <c r="L137" s="90">
        <v>1975</v>
      </c>
      <c r="M137" s="90">
        <f t="shared" si="7"/>
        <v>44</v>
      </c>
      <c r="N137" s="135" t="s">
        <v>3</v>
      </c>
      <c r="O137" s="135" t="s">
        <v>1004</v>
      </c>
      <c r="P137" s="99" t="s">
        <v>1272</v>
      </c>
      <c r="Q137" s="135"/>
      <c r="R137" s="99" t="s">
        <v>23</v>
      </c>
    </row>
    <row r="138" spans="2:18">
      <c r="B138" s="203"/>
      <c r="C138" s="203"/>
      <c r="D138" s="135">
        <v>131</v>
      </c>
      <c r="E138" s="99" t="s">
        <v>130</v>
      </c>
      <c r="F138" s="135" t="s">
        <v>21</v>
      </c>
      <c r="G138" s="90" t="s">
        <v>524</v>
      </c>
      <c r="H138" s="135" t="s">
        <v>1</v>
      </c>
      <c r="I138" s="135" t="s">
        <v>9</v>
      </c>
      <c r="J138" s="99" t="s">
        <v>993</v>
      </c>
      <c r="K138" s="91">
        <v>28990</v>
      </c>
      <c r="L138" s="90">
        <v>1979</v>
      </c>
      <c r="M138" s="90">
        <f t="shared" si="7"/>
        <v>40</v>
      </c>
      <c r="N138" s="135" t="s">
        <v>3</v>
      </c>
      <c r="O138" s="135" t="s">
        <v>1004</v>
      </c>
      <c r="P138" s="99" t="s">
        <v>1272</v>
      </c>
      <c r="Q138" s="135"/>
      <c r="R138" s="99" t="s">
        <v>23</v>
      </c>
    </row>
    <row r="139" spans="2:18" ht="25.5">
      <c r="B139" s="203"/>
      <c r="C139" s="203"/>
      <c r="D139" s="135">
        <v>132</v>
      </c>
      <c r="E139" s="99" t="s">
        <v>1682</v>
      </c>
      <c r="F139" s="135" t="s">
        <v>12</v>
      </c>
      <c r="G139" s="90" t="s">
        <v>1683</v>
      </c>
      <c r="H139" s="135" t="s">
        <v>18</v>
      </c>
      <c r="I139" s="135" t="s">
        <v>15</v>
      </c>
      <c r="J139" s="99" t="s">
        <v>993</v>
      </c>
      <c r="K139" s="91">
        <v>42067</v>
      </c>
      <c r="L139" s="90">
        <v>2015</v>
      </c>
      <c r="M139" s="90">
        <f t="shared" si="7"/>
        <v>4</v>
      </c>
      <c r="N139" s="135" t="s">
        <v>3</v>
      </c>
      <c r="O139" s="135" t="s">
        <v>1004</v>
      </c>
      <c r="P139" s="99" t="s">
        <v>1288</v>
      </c>
      <c r="Q139" s="135"/>
      <c r="R139" s="99" t="s">
        <v>1277</v>
      </c>
    </row>
    <row r="140" spans="2:18" ht="25.5">
      <c r="B140" s="203">
        <v>44</v>
      </c>
      <c r="C140" s="203" t="s">
        <v>1652</v>
      </c>
      <c r="D140" s="135">
        <v>133</v>
      </c>
      <c r="E140" s="99" t="s">
        <v>1651</v>
      </c>
      <c r="F140" s="135" t="s">
        <v>6</v>
      </c>
      <c r="G140" s="90" t="s">
        <v>1653</v>
      </c>
      <c r="H140" s="135" t="s">
        <v>1</v>
      </c>
      <c r="I140" s="135" t="s">
        <v>1020</v>
      </c>
      <c r="J140" s="99" t="s">
        <v>993</v>
      </c>
      <c r="K140" s="91">
        <v>28307</v>
      </c>
      <c r="L140" s="90">
        <v>1977</v>
      </c>
      <c r="M140" s="90">
        <f t="shared" si="7"/>
        <v>42</v>
      </c>
      <c r="N140" s="135" t="s">
        <v>3</v>
      </c>
      <c r="O140" s="135" t="s">
        <v>1004</v>
      </c>
      <c r="P140" s="99" t="s">
        <v>1288</v>
      </c>
      <c r="Q140" s="135"/>
      <c r="R140" s="99" t="s">
        <v>1128</v>
      </c>
    </row>
    <row r="141" spans="2:18" ht="25.5">
      <c r="B141" s="203"/>
      <c r="C141" s="203"/>
      <c r="D141" s="135">
        <v>134</v>
      </c>
      <c r="E141" s="99" t="s">
        <v>411</v>
      </c>
      <c r="F141" s="135" t="s">
        <v>12</v>
      </c>
      <c r="G141" s="90" t="s">
        <v>1654</v>
      </c>
      <c r="H141" s="135" t="s">
        <v>1</v>
      </c>
      <c r="I141" s="135" t="s">
        <v>15</v>
      </c>
      <c r="J141" s="99" t="s">
        <v>993</v>
      </c>
      <c r="K141" s="91">
        <v>35592</v>
      </c>
      <c r="L141" s="90">
        <v>1997</v>
      </c>
      <c r="M141" s="90">
        <f t="shared" si="7"/>
        <v>22</v>
      </c>
      <c r="N141" s="135" t="s">
        <v>3</v>
      </c>
      <c r="O141" s="135" t="s">
        <v>1004</v>
      </c>
      <c r="P141" s="99" t="s">
        <v>1287</v>
      </c>
      <c r="Q141" s="135"/>
      <c r="R141" s="99" t="s">
        <v>1015</v>
      </c>
    </row>
    <row r="142" spans="2:18" ht="25.5">
      <c r="B142" s="203"/>
      <c r="C142" s="203"/>
      <c r="D142" s="135">
        <v>135</v>
      </c>
      <c r="E142" s="99" t="s">
        <v>412</v>
      </c>
      <c r="F142" s="135" t="s">
        <v>12</v>
      </c>
      <c r="G142" s="90" t="s">
        <v>1655</v>
      </c>
      <c r="H142" s="135" t="s">
        <v>18</v>
      </c>
      <c r="I142" s="135" t="s">
        <v>15</v>
      </c>
      <c r="J142" s="99" t="s">
        <v>993</v>
      </c>
      <c r="K142" s="91">
        <v>36547</v>
      </c>
      <c r="L142" s="90">
        <v>2000</v>
      </c>
      <c r="M142" s="90">
        <f t="shared" si="7"/>
        <v>19</v>
      </c>
      <c r="N142" s="135" t="s">
        <v>3</v>
      </c>
      <c r="O142" s="135" t="s">
        <v>1004</v>
      </c>
      <c r="P142" s="99" t="s">
        <v>1272</v>
      </c>
      <c r="Q142" s="135"/>
      <c r="R142" s="99" t="s">
        <v>1309</v>
      </c>
    </row>
    <row r="143" spans="2:18" ht="25.5">
      <c r="B143" s="203"/>
      <c r="C143" s="203"/>
      <c r="D143" s="135">
        <v>136</v>
      </c>
      <c r="E143" s="99" t="s">
        <v>413</v>
      </c>
      <c r="F143" s="135" t="s">
        <v>12</v>
      </c>
      <c r="G143" s="90" t="s">
        <v>1656</v>
      </c>
      <c r="H143" s="135" t="s">
        <v>1</v>
      </c>
      <c r="I143" s="135" t="s">
        <v>15</v>
      </c>
      <c r="J143" s="99" t="s">
        <v>993</v>
      </c>
      <c r="K143" s="91">
        <v>41301</v>
      </c>
      <c r="L143" s="90">
        <v>2013</v>
      </c>
      <c r="M143" s="90">
        <f t="shared" si="7"/>
        <v>6</v>
      </c>
      <c r="N143" s="135" t="s">
        <v>3</v>
      </c>
      <c r="O143" s="135" t="s">
        <v>1004</v>
      </c>
      <c r="P143" s="99" t="s">
        <v>1288</v>
      </c>
      <c r="Q143" s="135"/>
      <c r="R143" s="99" t="s">
        <v>1277</v>
      </c>
    </row>
    <row r="144" spans="2:18" ht="25.5">
      <c r="B144" s="203"/>
      <c r="C144" s="203"/>
      <c r="D144" s="135">
        <v>137</v>
      </c>
      <c r="E144" s="99" t="s">
        <v>273</v>
      </c>
      <c r="F144" s="135" t="s">
        <v>1243</v>
      </c>
      <c r="G144" s="90" t="s">
        <v>1657</v>
      </c>
      <c r="H144" s="135" t="s">
        <v>1</v>
      </c>
      <c r="I144" s="135" t="s">
        <v>1020</v>
      </c>
      <c r="J144" s="99" t="s">
        <v>993</v>
      </c>
      <c r="K144" s="91">
        <v>20271</v>
      </c>
      <c r="L144" s="90">
        <v>1955</v>
      </c>
      <c r="M144" s="90">
        <f t="shared" si="7"/>
        <v>64</v>
      </c>
      <c r="N144" s="135" t="s">
        <v>3</v>
      </c>
      <c r="O144" s="135" t="s">
        <v>1004</v>
      </c>
      <c r="P144" s="99" t="s">
        <v>1288</v>
      </c>
      <c r="Q144" s="135"/>
      <c r="R144" s="99" t="s">
        <v>1277</v>
      </c>
    </row>
    <row r="145" spans="2:18" ht="25.5">
      <c r="B145" s="153">
        <v>45</v>
      </c>
      <c r="C145" s="135" t="s">
        <v>1731</v>
      </c>
      <c r="D145" s="135">
        <v>138</v>
      </c>
      <c r="E145" s="99" t="s">
        <v>414</v>
      </c>
      <c r="F145" s="135" t="s">
        <v>6</v>
      </c>
      <c r="G145" s="90" t="s">
        <v>526</v>
      </c>
      <c r="H145" s="135" t="s">
        <v>1</v>
      </c>
      <c r="I145" s="135" t="s">
        <v>1235</v>
      </c>
      <c r="J145" s="99" t="s">
        <v>1016</v>
      </c>
      <c r="K145" s="91">
        <v>27029</v>
      </c>
      <c r="L145" s="90">
        <v>1963</v>
      </c>
      <c r="M145" s="90">
        <f t="shared" si="7"/>
        <v>56</v>
      </c>
      <c r="N145" s="135" t="s">
        <v>3</v>
      </c>
      <c r="O145" s="135" t="s">
        <v>1004</v>
      </c>
      <c r="P145" s="99" t="s">
        <v>1288</v>
      </c>
      <c r="Q145" s="135"/>
      <c r="R145" s="99" t="s">
        <v>23</v>
      </c>
    </row>
    <row r="146" spans="2:18">
      <c r="B146" s="203">
        <v>46</v>
      </c>
      <c r="C146" s="205" t="s">
        <v>1732</v>
      </c>
      <c r="D146" s="135">
        <v>139</v>
      </c>
      <c r="E146" s="99" t="s">
        <v>416</v>
      </c>
      <c r="F146" s="135" t="s">
        <v>6</v>
      </c>
      <c r="G146" s="90" t="s">
        <v>528</v>
      </c>
      <c r="H146" s="135" t="s">
        <v>18</v>
      </c>
      <c r="I146" s="135" t="s">
        <v>9</v>
      </c>
      <c r="J146" s="100" t="s">
        <v>993</v>
      </c>
      <c r="K146" s="91">
        <v>27759</v>
      </c>
      <c r="L146" s="92" t="s">
        <v>1053</v>
      </c>
      <c r="M146" s="90">
        <f t="shared" ref="M146:M177" si="8">2019-L146</f>
        <v>44</v>
      </c>
      <c r="N146" s="135" t="s">
        <v>3</v>
      </c>
      <c r="O146" s="90" t="s">
        <v>1004</v>
      </c>
      <c r="P146" s="140" t="s">
        <v>1273</v>
      </c>
      <c r="Q146" s="90"/>
      <c r="R146" s="99" t="s">
        <v>23</v>
      </c>
    </row>
    <row r="147" spans="2:18">
      <c r="B147" s="203"/>
      <c r="C147" s="203"/>
      <c r="D147" s="135">
        <v>140</v>
      </c>
      <c r="E147" s="99" t="s">
        <v>399</v>
      </c>
      <c r="F147" s="135" t="s">
        <v>21</v>
      </c>
      <c r="G147" s="90" t="s">
        <v>1734</v>
      </c>
      <c r="H147" s="135" t="s">
        <v>1</v>
      </c>
      <c r="I147" s="135" t="s">
        <v>9</v>
      </c>
      <c r="J147" s="100" t="s">
        <v>1174</v>
      </c>
      <c r="K147" s="91">
        <v>27942</v>
      </c>
      <c r="L147" s="92" t="s">
        <v>1023</v>
      </c>
      <c r="M147" s="90">
        <f t="shared" si="8"/>
        <v>43</v>
      </c>
      <c r="N147" s="135" t="s">
        <v>3</v>
      </c>
      <c r="O147" s="90" t="s">
        <v>1004</v>
      </c>
      <c r="P147" s="140" t="s">
        <v>1273</v>
      </c>
      <c r="Q147" s="90"/>
      <c r="R147" s="99" t="s">
        <v>23</v>
      </c>
    </row>
    <row r="148" spans="2:18" ht="25.5">
      <c r="B148" s="203"/>
      <c r="C148" s="203"/>
      <c r="D148" s="135">
        <v>141</v>
      </c>
      <c r="E148" s="99" t="s">
        <v>1733</v>
      </c>
      <c r="F148" s="135" t="s">
        <v>12</v>
      </c>
      <c r="G148" s="90" t="s">
        <v>529</v>
      </c>
      <c r="H148" s="135" t="s">
        <v>18</v>
      </c>
      <c r="I148" s="135" t="s">
        <v>15</v>
      </c>
      <c r="J148" s="100" t="s">
        <v>993</v>
      </c>
      <c r="K148" s="91">
        <v>37735</v>
      </c>
      <c r="L148" s="92" t="s">
        <v>1104</v>
      </c>
      <c r="M148" s="90">
        <f t="shared" si="8"/>
        <v>16</v>
      </c>
      <c r="N148" s="135" t="s">
        <v>3</v>
      </c>
      <c r="O148" s="90" t="s">
        <v>1004</v>
      </c>
      <c r="P148" s="140" t="s">
        <v>1274</v>
      </c>
      <c r="Q148" s="90"/>
      <c r="R148" s="99" t="s">
        <v>1309</v>
      </c>
    </row>
    <row r="149" spans="2:18" ht="25.5">
      <c r="B149" s="203">
        <v>47</v>
      </c>
      <c r="C149" s="203" t="s">
        <v>1645</v>
      </c>
      <c r="D149" s="135">
        <v>142</v>
      </c>
      <c r="E149" s="99" t="s">
        <v>418</v>
      </c>
      <c r="F149" s="135" t="s">
        <v>6</v>
      </c>
      <c r="G149" s="90" t="s">
        <v>1646</v>
      </c>
      <c r="H149" s="135" t="s">
        <v>18</v>
      </c>
      <c r="I149" s="135" t="s">
        <v>9</v>
      </c>
      <c r="J149" s="99" t="s">
        <v>1016</v>
      </c>
      <c r="K149" s="91">
        <v>23357</v>
      </c>
      <c r="L149" s="90">
        <v>1963</v>
      </c>
      <c r="M149" s="90">
        <f t="shared" si="8"/>
        <v>56</v>
      </c>
      <c r="N149" s="135" t="s">
        <v>3</v>
      </c>
      <c r="O149" s="135" t="s">
        <v>1004</v>
      </c>
      <c r="P149" s="99" t="s">
        <v>1287</v>
      </c>
      <c r="Q149" s="135"/>
      <c r="R149" s="99" t="s">
        <v>1275</v>
      </c>
    </row>
    <row r="150" spans="2:18" ht="25.5">
      <c r="B150" s="203"/>
      <c r="C150" s="203"/>
      <c r="D150" s="135">
        <v>143</v>
      </c>
      <c r="E150" s="99" t="s">
        <v>1642</v>
      </c>
      <c r="F150" s="135" t="s">
        <v>21</v>
      </c>
      <c r="G150" s="90" t="s">
        <v>1647</v>
      </c>
      <c r="H150" s="135" t="s">
        <v>1</v>
      </c>
      <c r="I150" s="135" t="s">
        <v>9</v>
      </c>
      <c r="J150" s="99" t="s">
        <v>1016</v>
      </c>
      <c r="K150" s="91">
        <v>23193</v>
      </c>
      <c r="L150" s="90">
        <v>1963</v>
      </c>
      <c r="M150" s="90">
        <f t="shared" si="8"/>
        <v>56</v>
      </c>
      <c r="N150" s="135" t="s">
        <v>3</v>
      </c>
      <c r="O150" s="135" t="s">
        <v>1004</v>
      </c>
      <c r="P150" s="99" t="s">
        <v>1272</v>
      </c>
      <c r="Q150" s="135"/>
      <c r="R150" s="99" t="s">
        <v>1275</v>
      </c>
    </row>
    <row r="151" spans="2:18" ht="25.5">
      <c r="B151" s="203"/>
      <c r="C151" s="203"/>
      <c r="D151" s="135">
        <v>144</v>
      </c>
      <c r="E151" s="99" t="s">
        <v>421</v>
      </c>
      <c r="F151" s="135" t="s">
        <v>12</v>
      </c>
      <c r="G151" s="90" t="s">
        <v>1648</v>
      </c>
      <c r="H151" s="135" t="s">
        <v>18</v>
      </c>
      <c r="I151" s="135" t="s">
        <v>15</v>
      </c>
      <c r="J151" s="99" t="s">
        <v>1016</v>
      </c>
      <c r="K151" s="91">
        <v>36126</v>
      </c>
      <c r="L151" s="90">
        <v>1998</v>
      </c>
      <c r="M151" s="90">
        <f t="shared" si="8"/>
        <v>21</v>
      </c>
      <c r="N151" s="135" t="s">
        <v>3</v>
      </c>
      <c r="O151" s="135" t="s">
        <v>1004</v>
      </c>
      <c r="P151" s="99" t="s">
        <v>1273</v>
      </c>
      <c r="Q151" s="135"/>
      <c r="R151" s="99" t="s">
        <v>23</v>
      </c>
    </row>
    <row r="152" spans="2:18" ht="25.5">
      <c r="B152" s="203"/>
      <c r="C152" s="203"/>
      <c r="D152" s="135">
        <v>145</v>
      </c>
      <c r="E152" s="99" t="s">
        <v>1643</v>
      </c>
      <c r="F152" s="135" t="s">
        <v>12</v>
      </c>
      <c r="G152" s="90" t="s">
        <v>1649</v>
      </c>
      <c r="H152" s="135" t="s">
        <v>1</v>
      </c>
      <c r="I152" s="135" t="s">
        <v>15</v>
      </c>
      <c r="J152" s="99" t="s">
        <v>1016</v>
      </c>
      <c r="K152" s="91">
        <v>37766</v>
      </c>
      <c r="L152" s="90">
        <v>2003</v>
      </c>
      <c r="M152" s="90">
        <f t="shared" si="8"/>
        <v>16</v>
      </c>
      <c r="N152" s="135" t="s">
        <v>3</v>
      </c>
      <c r="O152" s="135" t="s">
        <v>1004</v>
      </c>
      <c r="P152" s="99" t="s">
        <v>1273</v>
      </c>
      <c r="Q152" s="135"/>
      <c r="R152" s="99" t="s">
        <v>1309</v>
      </c>
    </row>
    <row r="153" spans="2:18" ht="25.5">
      <c r="B153" s="203"/>
      <c r="C153" s="203"/>
      <c r="D153" s="135">
        <v>146</v>
      </c>
      <c r="E153" s="99" t="s">
        <v>1644</v>
      </c>
      <c r="F153" s="135" t="s">
        <v>12</v>
      </c>
      <c r="G153" s="90" t="s">
        <v>1650</v>
      </c>
      <c r="H153" s="135" t="s">
        <v>1</v>
      </c>
      <c r="I153" s="135" t="s">
        <v>15</v>
      </c>
      <c r="J153" s="99" t="s">
        <v>1016</v>
      </c>
      <c r="K153" s="91">
        <v>38462</v>
      </c>
      <c r="L153" s="90">
        <v>2005</v>
      </c>
      <c r="M153" s="90">
        <f t="shared" si="8"/>
        <v>14</v>
      </c>
      <c r="N153" s="135" t="s">
        <v>3</v>
      </c>
      <c r="O153" s="135" t="s">
        <v>1004</v>
      </c>
      <c r="P153" s="99" t="s">
        <v>1272</v>
      </c>
      <c r="Q153" s="135"/>
      <c r="R153" s="99" t="s">
        <v>1309</v>
      </c>
    </row>
    <row r="154" spans="2:18" ht="25.5">
      <c r="B154" s="153">
        <v>48</v>
      </c>
      <c r="C154" s="135" t="s">
        <v>1426</v>
      </c>
      <c r="D154" s="135">
        <v>147</v>
      </c>
      <c r="E154" s="99" t="s">
        <v>423</v>
      </c>
      <c r="F154" s="135" t="s">
        <v>6</v>
      </c>
      <c r="G154" s="90" t="s">
        <v>531</v>
      </c>
      <c r="H154" s="135" t="s">
        <v>1</v>
      </c>
      <c r="I154" s="135" t="s">
        <v>1020</v>
      </c>
      <c r="J154" s="100" t="s">
        <v>993</v>
      </c>
      <c r="K154" s="91">
        <v>18269</v>
      </c>
      <c r="L154" s="90">
        <v>1950</v>
      </c>
      <c r="M154" s="90">
        <f t="shared" si="8"/>
        <v>69</v>
      </c>
      <c r="N154" s="135" t="s">
        <v>3</v>
      </c>
      <c r="O154" s="135" t="s">
        <v>1004</v>
      </c>
      <c r="P154" s="99" t="s">
        <v>1288</v>
      </c>
      <c r="Q154" s="135"/>
      <c r="R154" s="99" t="s">
        <v>1276</v>
      </c>
    </row>
    <row r="155" spans="2:18" ht="25.5">
      <c r="B155" s="203">
        <v>49</v>
      </c>
      <c r="C155" s="203" t="s">
        <v>1735</v>
      </c>
      <c r="D155" s="135">
        <v>148</v>
      </c>
      <c r="E155" s="99" t="s">
        <v>424</v>
      </c>
      <c r="F155" s="135" t="s">
        <v>6</v>
      </c>
      <c r="G155" s="90" t="s">
        <v>1737</v>
      </c>
      <c r="H155" s="135" t="s">
        <v>18</v>
      </c>
      <c r="I155" s="135" t="s">
        <v>9</v>
      </c>
      <c r="J155" s="99" t="s">
        <v>1016</v>
      </c>
      <c r="K155" s="91">
        <v>28923</v>
      </c>
      <c r="L155" s="90">
        <v>1979</v>
      </c>
      <c r="M155" s="90">
        <f t="shared" si="8"/>
        <v>40</v>
      </c>
      <c r="N155" s="135" t="s">
        <v>3</v>
      </c>
      <c r="O155" s="135" t="s">
        <v>1004</v>
      </c>
      <c r="P155" s="99" t="s">
        <v>1272</v>
      </c>
      <c r="Q155" s="135"/>
      <c r="R155" s="99" t="s">
        <v>23</v>
      </c>
    </row>
    <row r="156" spans="2:18">
      <c r="B156" s="203"/>
      <c r="C156" s="203"/>
      <c r="D156" s="135">
        <v>149</v>
      </c>
      <c r="E156" s="99" t="s">
        <v>1736</v>
      </c>
      <c r="F156" s="135" t="s">
        <v>21</v>
      </c>
      <c r="G156" s="90" t="s">
        <v>1738</v>
      </c>
      <c r="H156" s="135" t="s">
        <v>1</v>
      </c>
      <c r="I156" s="135" t="s">
        <v>9</v>
      </c>
      <c r="J156" s="100" t="s">
        <v>1739</v>
      </c>
      <c r="K156" s="91">
        <v>27581</v>
      </c>
      <c r="L156" s="90">
        <v>1975</v>
      </c>
      <c r="M156" s="90">
        <f t="shared" si="8"/>
        <v>44</v>
      </c>
      <c r="N156" s="135" t="s">
        <v>3</v>
      </c>
      <c r="O156" s="135" t="s">
        <v>1004</v>
      </c>
      <c r="P156" s="99" t="s">
        <v>1287</v>
      </c>
      <c r="Q156" s="135"/>
      <c r="R156" s="99" t="s">
        <v>23</v>
      </c>
    </row>
    <row r="157" spans="2:18" ht="25.5">
      <c r="B157" s="203">
        <v>50</v>
      </c>
      <c r="C157" s="203" t="s">
        <v>1766</v>
      </c>
      <c r="D157" s="135">
        <v>150</v>
      </c>
      <c r="E157" s="99" t="s">
        <v>425</v>
      </c>
      <c r="F157" s="135" t="s">
        <v>6</v>
      </c>
      <c r="G157" s="90" t="s">
        <v>1768</v>
      </c>
      <c r="H157" s="135" t="s">
        <v>18</v>
      </c>
      <c r="I157" s="135" t="s">
        <v>9</v>
      </c>
      <c r="J157" s="100" t="s">
        <v>993</v>
      </c>
      <c r="K157" s="91">
        <v>23011</v>
      </c>
      <c r="L157" s="90">
        <v>1962</v>
      </c>
      <c r="M157" s="90">
        <f t="shared" si="8"/>
        <v>57</v>
      </c>
      <c r="N157" s="135" t="s">
        <v>3</v>
      </c>
      <c r="O157" s="135" t="s">
        <v>1004</v>
      </c>
      <c r="P157" s="99" t="s">
        <v>1272</v>
      </c>
      <c r="Q157" s="135"/>
      <c r="R157" s="99" t="s">
        <v>1128</v>
      </c>
    </row>
    <row r="158" spans="2:18" ht="25.5">
      <c r="B158" s="203"/>
      <c r="C158" s="203"/>
      <c r="D158" s="135">
        <v>151</v>
      </c>
      <c r="E158" s="99" t="s">
        <v>426</v>
      </c>
      <c r="F158" s="135" t="s">
        <v>21</v>
      </c>
      <c r="G158" s="90" t="s">
        <v>532</v>
      </c>
      <c r="H158" s="135" t="s">
        <v>1</v>
      </c>
      <c r="I158" s="135" t="s">
        <v>9</v>
      </c>
      <c r="J158" s="100" t="s">
        <v>993</v>
      </c>
      <c r="K158" s="91">
        <v>28058</v>
      </c>
      <c r="L158" s="90">
        <v>1976</v>
      </c>
      <c r="M158" s="90">
        <f t="shared" si="8"/>
        <v>43</v>
      </c>
      <c r="N158" s="135" t="s">
        <v>3</v>
      </c>
      <c r="O158" s="135" t="s">
        <v>1004</v>
      </c>
      <c r="P158" s="99" t="s">
        <v>1272</v>
      </c>
      <c r="Q158" s="135"/>
      <c r="R158" s="99" t="s">
        <v>1128</v>
      </c>
    </row>
    <row r="159" spans="2:18">
      <c r="B159" s="203"/>
      <c r="C159" s="203"/>
      <c r="D159" s="135">
        <v>152</v>
      </c>
      <c r="E159" s="99" t="s">
        <v>1767</v>
      </c>
      <c r="F159" s="135" t="s">
        <v>12</v>
      </c>
      <c r="G159" s="90" t="s">
        <v>1769</v>
      </c>
      <c r="H159" s="135" t="s">
        <v>1</v>
      </c>
      <c r="I159" s="135" t="s">
        <v>15</v>
      </c>
      <c r="J159" s="100" t="s">
        <v>993</v>
      </c>
      <c r="K159" s="91">
        <v>33466</v>
      </c>
      <c r="L159" s="90">
        <v>1991</v>
      </c>
      <c r="M159" s="90">
        <f t="shared" si="8"/>
        <v>28</v>
      </c>
      <c r="N159" s="135" t="s">
        <v>3</v>
      </c>
      <c r="O159" s="135" t="s">
        <v>1004</v>
      </c>
      <c r="P159" s="99" t="s">
        <v>1287</v>
      </c>
      <c r="Q159" s="135"/>
      <c r="R159" s="99" t="s">
        <v>1309</v>
      </c>
    </row>
    <row r="160" spans="2:18" ht="25.5">
      <c r="B160" s="203"/>
      <c r="C160" s="203"/>
      <c r="D160" s="135">
        <v>153</v>
      </c>
      <c r="E160" s="99" t="s">
        <v>427</v>
      </c>
      <c r="F160" s="135" t="s">
        <v>12</v>
      </c>
      <c r="G160" s="90" t="s">
        <v>533</v>
      </c>
      <c r="H160" s="135" t="s">
        <v>18</v>
      </c>
      <c r="I160" s="135" t="s">
        <v>15</v>
      </c>
      <c r="J160" s="99" t="s">
        <v>1016</v>
      </c>
      <c r="K160" s="91">
        <v>33702</v>
      </c>
      <c r="L160" s="90">
        <v>1992</v>
      </c>
      <c r="M160" s="90">
        <f t="shared" si="8"/>
        <v>27</v>
      </c>
      <c r="N160" s="135" t="s">
        <v>3</v>
      </c>
      <c r="O160" s="135" t="s">
        <v>1004</v>
      </c>
      <c r="P160" s="99" t="s">
        <v>1287</v>
      </c>
      <c r="Q160" s="135"/>
      <c r="R160" s="99" t="s">
        <v>1309</v>
      </c>
    </row>
    <row r="161" spans="2:18" ht="25.5">
      <c r="B161" s="210">
        <v>51</v>
      </c>
      <c r="C161" s="210"/>
      <c r="D161" s="135">
        <v>154</v>
      </c>
      <c r="E161" s="99" t="s">
        <v>1163</v>
      </c>
      <c r="F161" s="135" t="s">
        <v>6</v>
      </c>
      <c r="G161" s="92" t="s">
        <v>1164</v>
      </c>
      <c r="H161" s="135" t="s">
        <v>18</v>
      </c>
      <c r="I161" s="135" t="s">
        <v>9</v>
      </c>
      <c r="J161" s="100" t="s">
        <v>993</v>
      </c>
      <c r="K161" s="91">
        <v>43647</v>
      </c>
      <c r="L161" s="92" t="s">
        <v>1165</v>
      </c>
      <c r="M161" s="90">
        <f t="shared" si="8"/>
        <v>54</v>
      </c>
      <c r="N161" s="135" t="s">
        <v>3</v>
      </c>
      <c r="O161" s="92" t="s">
        <v>1004</v>
      </c>
      <c r="P161" s="101" t="s">
        <v>1272</v>
      </c>
      <c r="Q161" s="92"/>
      <c r="R161" s="101" t="s">
        <v>1128</v>
      </c>
    </row>
    <row r="162" spans="2:18" ht="25.5">
      <c r="B162" s="211"/>
      <c r="C162" s="211"/>
      <c r="D162" s="135">
        <v>155</v>
      </c>
      <c r="E162" s="99" t="s">
        <v>428</v>
      </c>
      <c r="F162" s="135" t="s">
        <v>21</v>
      </c>
      <c r="G162" s="90" t="s">
        <v>534</v>
      </c>
      <c r="H162" s="135" t="s">
        <v>1</v>
      </c>
      <c r="I162" s="135" t="s">
        <v>9</v>
      </c>
      <c r="J162" s="100" t="s">
        <v>993</v>
      </c>
      <c r="K162" s="91">
        <v>43503</v>
      </c>
      <c r="L162" s="92" t="s">
        <v>1166</v>
      </c>
      <c r="M162" s="90">
        <f t="shared" si="8"/>
        <v>51</v>
      </c>
      <c r="N162" s="135" t="s">
        <v>3</v>
      </c>
      <c r="O162" s="92" t="s">
        <v>1004</v>
      </c>
      <c r="P162" s="101" t="s">
        <v>1288</v>
      </c>
      <c r="Q162" s="92"/>
      <c r="R162" s="101" t="s">
        <v>1128</v>
      </c>
    </row>
    <row r="163" spans="2:18">
      <c r="B163" s="211"/>
      <c r="C163" s="211"/>
      <c r="D163" s="135">
        <v>156</v>
      </c>
      <c r="E163" s="99" t="s">
        <v>70</v>
      </c>
      <c r="F163" s="135" t="s">
        <v>12</v>
      </c>
      <c r="G163" s="90" t="s">
        <v>535</v>
      </c>
      <c r="H163" s="135" t="s">
        <v>1</v>
      </c>
      <c r="I163" s="135" t="s">
        <v>15</v>
      </c>
      <c r="J163" s="100" t="s">
        <v>993</v>
      </c>
      <c r="K163" s="91">
        <v>43785</v>
      </c>
      <c r="L163" s="92" t="s">
        <v>1108</v>
      </c>
      <c r="M163" s="90">
        <f t="shared" si="8"/>
        <v>27</v>
      </c>
      <c r="N163" s="135" t="s">
        <v>3</v>
      </c>
      <c r="O163" s="92" t="s">
        <v>1004</v>
      </c>
      <c r="P163" s="101" t="s">
        <v>1287</v>
      </c>
      <c r="Q163" s="92"/>
      <c r="R163" s="101" t="s">
        <v>23</v>
      </c>
    </row>
    <row r="164" spans="2:18" ht="25.5">
      <c r="B164" s="212"/>
      <c r="C164" s="212"/>
      <c r="D164" s="135">
        <v>157</v>
      </c>
      <c r="E164" s="99" t="s">
        <v>429</v>
      </c>
      <c r="F164" s="135" t="s">
        <v>12</v>
      </c>
      <c r="G164" s="90" t="s">
        <v>536</v>
      </c>
      <c r="H164" s="135" t="s">
        <v>1</v>
      </c>
      <c r="I164" s="135" t="s">
        <v>15</v>
      </c>
      <c r="J164" s="100" t="s">
        <v>993</v>
      </c>
      <c r="K164" s="91">
        <v>43767</v>
      </c>
      <c r="L164" s="92" t="s">
        <v>1061</v>
      </c>
      <c r="M164" s="90">
        <f t="shared" si="8"/>
        <v>25</v>
      </c>
      <c r="N164" s="135" t="s">
        <v>3</v>
      </c>
      <c r="O164" s="92" t="s">
        <v>1004</v>
      </c>
      <c r="P164" s="101" t="s">
        <v>1287</v>
      </c>
      <c r="Q164" s="92"/>
      <c r="R164" s="101" t="s">
        <v>1277</v>
      </c>
    </row>
    <row r="165" spans="2:18" ht="25.5">
      <c r="B165" s="203">
        <v>52</v>
      </c>
      <c r="C165" s="205" t="s">
        <v>1690</v>
      </c>
      <c r="D165" s="135">
        <v>158</v>
      </c>
      <c r="E165" s="99" t="s">
        <v>1167</v>
      </c>
      <c r="F165" s="135" t="s">
        <v>6</v>
      </c>
      <c r="G165" s="92" t="s">
        <v>1691</v>
      </c>
      <c r="H165" s="135" t="s">
        <v>18</v>
      </c>
      <c r="I165" s="135" t="s">
        <v>9</v>
      </c>
      <c r="J165" s="100" t="s">
        <v>1169</v>
      </c>
      <c r="K165" s="91">
        <v>20271</v>
      </c>
      <c r="L165" s="92" t="s">
        <v>1170</v>
      </c>
      <c r="M165" s="90">
        <f t="shared" si="8"/>
        <v>64</v>
      </c>
      <c r="N165" s="135" t="s">
        <v>3</v>
      </c>
      <c r="O165" s="92" t="s">
        <v>1004</v>
      </c>
      <c r="P165" s="101" t="s">
        <v>1272</v>
      </c>
      <c r="Q165" s="92"/>
      <c r="R165" s="101" t="s">
        <v>1318</v>
      </c>
    </row>
    <row r="166" spans="2:18" ht="25.5">
      <c r="B166" s="203"/>
      <c r="C166" s="203"/>
      <c r="D166" s="135">
        <v>159</v>
      </c>
      <c r="E166" s="99" t="s">
        <v>430</v>
      </c>
      <c r="F166" s="135" t="s">
        <v>21</v>
      </c>
      <c r="G166" s="92" t="s">
        <v>1692</v>
      </c>
      <c r="H166" s="135" t="s">
        <v>1</v>
      </c>
      <c r="I166" s="135" t="s">
        <v>9</v>
      </c>
      <c r="J166" s="100" t="s">
        <v>1101</v>
      </c>
      <c r="K166" s="91">
        <v>22148</v>
      </c>
      <c r="L166" s="92" t="s">
        <v>1051</v>
      </c>
      <c r="M166" s="90">
        <f t="shared" si="8"/>
        <v>59</v>
      </c>
      <c r="N166" s="135" t="s">
        <v>3</v>
      </c>
      <c r="O166" s="92" t="s">
        <v>1004</v>
      </c>
      <c r="P166" s="101" t="s">
        <v>1274</v>
      </c>
      <c r="Q166" s="92"/>
      <c r="R166" s="101" t="s">
        <v>1276</v>
      </c>
    </row>
    <row r="167" spans="2:18" ht="25.5">
      <c r="B167" s="203"/>
      <c r="C167" s="203"/>
      <c r="D167" s="135">
        <v>160</v>
      </c>
      <c r="E167" s="99" t="s">
        <v>1168</v>
      </c>
      <c r="F167" s="135" t="s">
        <v>12</v>
      </c>
      <c r="G167" s="92" t="s">
        <v>1693</v>
      </c>
      <c r="H167" s="135" t="s">
        <v>1</v>
      </c>
      <c r="I167" s="135" t="s">
        <v>15</v>
      </c>
      <c r="J167" s="100" t="s">
        <v>1016</v>
      </c>
      <c r="K167" s="91">
        <v>30004</v>
      </c>
      <c r="L167" s="92" t="s">
        <v>1039</v>
      </c>
      <c r="M167" s="90">
        <f t="shared" si="8"/>
        <v>37</v>
      </c>
      <c r="N167" s="135" t="s">
        <v>3</v>
      </c>
      <c r="O167" s="92" t="s">
        <v>1004</v>
      </c>
      <c r="P167" s="101" t="s">
        <v>1287</v>
      </c>
      <c r="Q167" s="92"/>
      <c r="R167" s="101" t="s">
        <v>23</v>
      </c>
    </row>
    <row r="168" spans="2:18" ht="25.5">
      <c r="B168" s="203"/>
      <c r="C168" s="203"/>
      <c r="D168" s="135">
        <v>161</v>
      </c>
      <c r="E168" s="99" t="s">
        <v>431</v>
      </c>
      <c r="F168" s="135" t="s">
        <v>12</v>
      </c>
      <c r="G168" s="92" t="s">
        <v>1694</v>
      </c>
      <c r="H168" s="135" t="s">
        <v>18</v>
      </c>
      <c r="I168" s="135" t="s">
        <v>15</v>
      </c>
      <c r="J168" s="100" t="s">
        <v>1016</v>
      </c>
      <c r="K168" s="91">
        <v>32849</v>
      </c>
      <c r="L168" s="92" t="s">
        <v>1028</v>
      </c>
      <c r="M168" s="90">
        <f t="shared" si="8"/>
        <v>30</v>
      </c>
      <c r="N168" s="135" t="s">
        <v>3</v>
      </c>
      <c r="O168" s="135" t="s">
        <v>1004</v>
      </c>
      <c r="P168" s="99" t="s">
        <v>1272</v>
      </c>
      <c r="Q168" s="135"/>
      <c r="R168" s="99" t="s">
        <v>1309</v>
      </c>
    </row>
    <row r="169" spans="2:18">
      <c r="B169" s="203">
        <v>53</v>
      </c>
      <c r="C169" s="203"/>
      <c r="D169" s="135">
        <v>162</v>
      </c>
      <c r="E169" s="99" t="s">
        <v>432</v>
      </c>
      <c r="F169" s="135" t="s">
        <v>6</v>
      </c>
      <c r="G169" s="90" t="s">
        <v>537</v>
      </c>
      <c r="H169" s="135" t="s">
        <v>18</v>
      </c>
      <c r="I169" s="135" t="s">
        <v>9</v>
      </c>
      <c r="J169" s="100"/>
      <c r="K169" s="100">
        <v>31560</v>
      </c>
      <c r="L169" s="90">
        <v>1986</v>
      </c>
      <c r="M169" s="90">
        <f t="shared" si="8"/>
        <v>33</v>
      </c>
      <c r="N169" s="135" t="s">
        <v>3</v>
      </c>
      <c r="O169" s="135" t="s">
        <v>1004</v>
      </c>
      <c r="P169" s="99" t="s">
        <v>10</v>
      </c>
      <c r="Q169" s="135"/>
      <c r="R169" s="99" t="s">
        <v>19</v>
      </c>
    </row>
    <row r="170" spans="2:18" ht="25.5">
      <c r="B170" s="203"/>
      <c r="C170" s="203"/>
      <c r="D170" s="135">
        <v>163</v>
      </c>
      <c r="E170" s="99" t="s">
        <v>433</v>
      </c>
      <c r="F170" s="135" t="s">
        <v>21</v>
      </c>
      <c r="G170" s="90" t="s">
        <v>538</v>
      </c>
      <c r="H170" s="135" t="s">
        <v>1</v>
      </c>
      <c r="I170" s="135" t="s">
        <v>9</v>
      </c>
      <c r="J170" s="100"/>
      <c r="K170" s="100">
        <v>32789</v>
      </c>
      <c r="L170" s="90">
        <v>1989</v>
      </c>
      <c r="M170" s="90">
        <f t="shared" si="8"/>
        <v>30</v>
      </c>
      <c r="N170" s="135" t="s">
        <v>3</v>
      </c>
      <c r="O170" s="135" t="s">
        <v>1004</v>
      </c>
      <c r="P170" s="99" t="s">
        <v>10</v>
      </c>
      <c r="Q170" s="135"/>
      <c r="R170" s="99" t="s">
        <v>29</v>
      </c>
    </row>
    <row r="171" spans="2:18" ht="38.25">
      <c r="B171" s="203"/>
      <c r="C171" s="203"/>
      <c r="D171" s="135">
        <v>164</v>
      </c>
      <c r="E171" s="99" t="s">
        <v>434</v>
      </c>
      <c r="F171" s="135" t="s">
        <v>12</v>
      </c>
      <c r="G171" s="90" t="s">
        <v>539</v>
      </c>
      <c r="H171" s="135" t="s">
        <v>18</v>
      </c>
      <c r="I171" s="135" t="s">
        <v>15</v>
      </c>
      <c r="J171" s="100"/>
      <c r="K171" s="100">
        <v>40479</v>
      </c>
      <c r="L171" s="90">
        <v>2010</v>
      </c>
      <c r="M171" s="90">
        <f t="shared" si="8"/>
        <v>9</v>
      </c>
      <c r="N171" s="135" t="s">
        <v>3</v>
      </c>
      <c r="O171" s="135" t="s">
        <v>1004</v>
      </c>
      <c r="P171" s="99" t="s">
        <v>11</v>
      </c>
      <c r="Q171" s="135"/>
      <c r="R171" s="99" t="s">
        <v>11</v>
      </c>
    </row>
    <row r="172" spans="2:18" ht="25.5">
      <c r="B172" s="203">
        <v>54</v>
      </c>
      <c r="C172" s="203" t="s">
        <v>1754</v>
      </c>
      <c r="D172" s="135">
        <v>165</v>
      </c>
      <c r="E172" s="99" t="s">
        <v>435</v>
      </c>
      <c r="F172" s="135" t="s">
        <v>6</v>
      </c>
      <c r="G172" s="90" t="s">
        <v>1759</v>
      </c>
      <c r="H172" s="135" t="s">
        <v>18</v>
      </c>
      <c r="I172" s="135" t="s">
        <v>9</v>
      </c>
      <c r="J172" s="100" t="s">
        <v>993</v>
      </c>
      <c r="K172" s="91">
        <v>26481</v>
      </c>
      <c r="L172" s="90">
        <v>1972</v>
      </c>
      <c r="M172" s="90">
        <f t="shared" si="8"/>
        <v>47</v>
      </c>
      <c r="N172" s="135" t="s">
        <v>3</v>
      </c>
      <c r="O172" s="135" t="s">
        <v>1004</v>
      </c>
      <c r="P172" s="99" t="s">
        <v>1288</v>
      </c>
      <c r="Q172" s="135"/>
      <c r="R172" s="99" t="s">
        <v>1128</v>
      </c>
    </row>
    <row r="173" spans="2:18" ht="25.5">
      <c r="B173" s="203"/>
      <c r="C173" s="203"/>
      <c r="D173" s="135">
        <v>166</v>
      </c>
      <c r="E173" s="99" t="s">
        <v>130</v>
      </c>
      <c r="F173" s="135" t="s">
        <v>21</v>
      </c>
      <c r="G173" s="90" t="s">
        <v>1760</v>
      </c>
      <c r="H173" s="135" t="s">
        <v>1</v>
      </c>
      <c r="I173" s="135" t="s">
        <v>9</v>
      </c>
      <c r="J173" s="100" t="s">
        <v>993</v>
      </c>
      <c r="K173" s="91">
        <v>27030</v>
      </c>
      <c r="L173" s="90">
        <v>1974</v>
      </c>
      <c r="M173" s="90">
        <f t="shared" si="8"/>
        <v>45</v>
      </c>
      <c r="N173" s="135" t="s">
        <v>3</v>
      </c>
      <c r="O173" s="135" t="s">
        <v>1004</v>
      </c>
      <c r="P173" s="99" t="s">
        <v>1274</v>
      </c>
      <c r="Q173" s="135"/>
      <c r="R173" s="99" t="s">
        <v>1276</v>
      </c>
    </row>
    <row r="174" spans="2:18" ht="25.5">
      <c r="B174" s="203"/>
      <c r="C174" s="203"/>
      <c r="D174" s="135">
        <v>167</v>
      </c>
      <c r="E174" s="99" t="s">
        <v>1755</v>
      </c>
      <c r="F174" s="135" t="s">
        <v>12</v>
      </c>
      <c r="G174" s="90" t="s">
        <v>1761</v>
      </c>
      <c r="H174" s="135" t="s">
        <v>18</v>
      </c>
      <c r="I174" s="135" t="s">
        <v>15</v>
      </c>
      <c r="J174" s="100" t="s">
        <v>1016</v>
      </c>
      <c r="K174" s="91">
        <v>34569</v>
      </c>
      <c r="L174" s="90">
        <v>1994</v>
      </c>
      <c r="M174" s="90">
        <f t="shared" si="8"/>
        <v>25</v>
      </c>
      <c r="N174" s="135" t="s">
        <v>3</v>
      </c>
      <c r="O174" s="135" t="s">
        <v>1004</v>
      </c>
      <c r="P174" s="99" t="s">
        <v>1287</v>
      </c>
      <c r="Q174" s="135"/>
      <c r="R174" s="99" t="s">
        <v>23</v>
      </c>
    </row>
    <row r="175" spans="2:18" ht="25.5">
      <c r="B175" s="203"/>
      <c r="C175" s="203"/>
      <c r="D175" s="135">
        <v>168</v>
      </c>
      <c r="E175" s="99" t="s">
        <v>1756</v>
      </c>
      <c r="F175" s="135" t="s">
        <v>12</v>
      </c>
      <c r="G175" s="90" t="s">
        <v>1762</v>
      </c>
      <c r="H175" s="135" t="s">
        <v>18</v>
      </c>
      <c r="I175" s="135" t="s">
        <v>15</v>
      </c>
      <c r="J175" s="100" t="s">
        <v>1016</v>
      </c>
      <c r="K175" s="91">
        <v>35463</v>
      </c>
      <c r="L175" s="90">
        <v>1997</v>
      </c>
      <c r="M175" s="90">
        <f t="shared" si="8"/>
        <v>22</v>
      </c>
      <c r="N175" s="135" t="s">
        <v>3</v>
      </c>
      <c r="O175" s="135" t="s">
        <v>1004</v>
      </c>
      <c r="P175" s="99" t="s">
        <v>1287</v>
      </c>
      <c r="Q175" s="135"/>
      <c r="R175" s="99" t="s">
        <v>23</v>
      </c>
    </row>
    <row r="176" spans="2:18" ht="25.5">
      <c r="B176" s="203"/>
      <c r="C176" s="203"/>
      <c r="D176" s="135">
        <v>169</v>
      </c>
      <c r="E176" s="99" t="s">
        <v>436</v>
      </c>
      <c r="F176" s="135" t="s">
        <v>12</v>
      </c>
      <c r="G176" s="90" t="s">
        <v>1763</v>
      </c>
      <c r="H176" s="135" t="s">
        <v>1</v>
      </c>
      <c r="I176" s="135" t="s">
        <v>15</v>
      </c>
      <c r="J176" s="100" t="s">
        <v>1016</v>
      </c>
      <c r="K176" s="91">
        <v>37272</v>
      </c>
      <c r="L176" s="90">
        <v>2002</v>
      </c>
      <c r="M176" s="90">
        <f t="shared" si="8"/>
        <v>17</v>
      </c>
      <c r="N176" s="135" t="s">
        <v>3</v>
      </c>
      <c r="O176" s="135" t="s">
        <v>1004</v>
      </c>
      <c r="P176" s="99" t="s">
        <v>1272</v>
      </c>
      <c r="Q176" s="135"/>
      <c r="R176" s="99" t="s">
        <v>1309</v>
      </c>
    </row>
    <row r="177" spans="2:18" ht="25.5">
      <c r="B177" s="203"/>
      <c r="C177" s="203"/>
      <c r="D177" s="135">
        <v>170</v>
      </c>
      <c r="E177" s="99" t="s">
        <v>1757</v>
      </c>
      <c r="F177" s="135" t="s">
        <v>12</v>
      </c>
      <c r="G177" s="90" t="s">
        <v>540</v>
      </c>
      <c r="H177" s="135" t="s">
        <v>18</v>
      </c>
      <c r="I177" s="135" t="s">
        <v>15</v>
      </c>
      <c r="J177" s="100" t="s">
        <v>1016</v>
      </c>
      <c r="K177" s="91">
        <v>40320</v>
      </c>
      <c r="L177" s="90">
        <v>2010</v>
      </c>
      <c r="M177" s="90">
        <f t="shared" si="8"/>
        <v>9</v>
      </c>
      <c r="N177" s="135" t="s">
        <v>3</v>
      </c>
      <c r="O177" s="135" t="s">
        <v>1004</v>
      </c>
      <c r="P177" s="99" t="s">
        <v>1288</v>
      </c>
      <c r="Q177" s="135"/>
      <c r="R177" s="99" t="s">
        <v>1277</v>
      </c>
    </row>
    <row r="178" spans="2:18" ht="25.5">
      <c r="B178" s="203"/>
      <c r="C178" s="203"/>
      <c r="D178" s="135">
        <v>171</v>
      </c>
      <c r="E178" s="99" t="s">
        <v>438</v>
      </c>
      <c r="F178" s="135" t="s">
        <v>1701</v>
      </c>
      <c r="G178" s="90" t="s">
        <v>1764</v>
      </c>
      <c r="H178" s="135" t="s">
        <v>1</v>
      </c>
      <c r="I178" s="135" t="s">
        <v>15</v>
      </c>
      <c r="J178" s="100" t="s">
        <v>1016</v>
      </c>
      <c r="K178" s="91">
        <v>37627</v>
      </c>
      <c r="L178" s="90">
        <v>2003</v>
      </c>
      <c r="M178" s="90">
        <f t="shared" ref="M178:M202" si="9">2019-L178</f>
        <v>16</v>
      </c>
      <c r="N178" s="135" t="s">
        <v>3</v>
      </c>
      <c r="O178" s="135" t="s">
        <v>1004</v>
      </c>
      <c r="P178" s="99" t="s">
        <v>1272</v>
      </c>
      <c r="Q178" s="135"/>
      <c r="R178" s="99" t="s">
        <v>1309</v>
      </c>
    </row>
    <row r="179" spans="2:18" ht="25.5">
      <c r="B179" s="203"/>
      <c r="C179" s="203"/>
      <c r="D179" s="135">
        <v>172</v>
      </c>
      <c r="E179" s="99" t="s">
        <v>1758</v>
      </c>
      <c r="F179" s="135" t="s">
        <v>1701</v>
      </c>
      <c r="G179" s="90" t="s">
        <v>1765</v>
      </c>
      <c r="H179" s="135" t="s">
        <v>18</v>
      </c>
      <c r="I179" s="135" t="s">
        <v>15</v>
      </c>
      <c r="J179" s="100" t="s">
        <v>1016</v>
      </c>
      <c r="K179" s="91">
        <v>38414</v>
      </c>
      <c r="L179" s="90">
        <v>2005</v>
      </c>
      <c r="M179" s="90">
        <f t="shared" si="9"/>
        <v>14</v>
      </c>
      <c r="N179" s="135" t="s">
        <v>3</v>
      </c>
      <c r="O179" s="135" t="s">
        <v>1004</v>
      </c>
      <c r="P179" s="99" t="s">
        <v>1274</v>
      </c>
      <c r="Q179" s="135"/>
      <c r="R179" s="99" t="s">
        <v>1309</v>
      </c>
    </row>
    <row r="180" spans="2:18" ht="25.5">
      <c r="B180" s="203">
        <v>55</v>
      </c>
      <c r="C180" s="205" t="s">
        <v>1134</v>
      </c>
      <c r="D180" s="135">
        <v>173</v>
      </c>
      <c r="E180" s="99" t="s">
        <v>439</v>
      </c>
      <c r="F180" s="135" t="s">
        <v>6</v>
      </c>
      <c r="G180" s="90" t="s">
        <v>541</v>
      </c>
      <c r="H180" s="135" t="s">
        <v>18</v>
      </c>
      <c r="I180" s="135" t="s">
        <v>9</v>
      </c>
      <c r="J180" s="100" t="s">
        <v>993</v>
      </c>
      <c r="K180" s="91">
        <v>43830</v>
      </c>
      <c r="L180" s="92" t="s">
        <v>1021</v>
      </c>
      <c r="M180" s="90">
        <f t="shared" si="9"/>
        <v>62</v>
      </c>
      <c r="N180" s="135" t="s">
        <v>3</v>
      </c>
      <c r="O180" s="135" t="s">
        <v>1004</v>
      </c>
      <c r="P180" s="101" t="s">
        <v>1272</v>
      </c>
      <c r="Q180" s="92"/>
      <c r="R180" s="101" t="s">
        <v>1128</v>
      </c>
    </row>
    <row r="181" spans="2:18" ht="25.5">
      <c r="B181" s="203"/>
      <c r="C181" s="203"/>
      <c r="D181" s="135">
        <v>174</v>
      </c>
      <c r="E181" s="99" t="s">
        <v>440</v>
      </c>
      <c r="F181" s="135" t="s">
        <v>21</v>
      </c>
      <c r="G181" s="90" t="s">
        <v>542</v>
      </c>
      <c r="H181" s="135" t="s">
        <v>1</v>
      </c>
      <c r="I181" s="135" t="s">
        <v>9</v>
      </c>
      <c r="J181" s="100" t="s">
        <v>993</v>
      </c>
      <c r="K181" s="91">
        <v>43647</v>
      </c>
      <c r="L181" s="92" t="s">
        <v>1001</v>
      </c>
      <c r="M181" s="90">
        <f t="shared" si="9"/>
        <v>47</v>
      </c>
      <c r="N181" s="135" t="s">
        <v>3</v>
      </c>
      <c r="O181" s="135" t="s">
        <v>1004</v>
      </c>
      <c r="P181" s="101" t="s">
        <v>1272</v>
      </c>
      <c r="Q181" s="92"/>
      <c r="R181" s="101" t="s">
        <v>1276</v>
      </c>
    </row>
    <row r="182" spans="2:18">
      <c r="B182" s="203"/>
      <c r="C182" s="203"/>
      <c r="D182" s="135">
        <v>175</v>
      </c>
      <c r="E182" s="99" t="s">
        <v>441</v>
      </c>
      <c r="F182" s="135" t="s">
        <v>12</v>
      </c>
      <c r="G182" s="90" t="s">
        <v>543</v>
      </c>
      <c r="H182" s="135" t="s">
        <v>18</v>
      </c>
      <c r="I182" s="135" t="s">
        <v>15</v>
      </c>
      <c r="J182" s="100" t="s">
        <v>993</v>
      </c>
      <c r="K182" s="91">
        <v>43526</v>
      </c>
      <c r="L182" s="92" t="s">
        <v>1028</v>
      </c>
      <c r="M182" s="90">
        <f t="shared" si="9"/>
        <v>30</v>
      </c>
      <c r="N182" s="135" t="s">
        <v>3</v>
      </c>
      <c r="O182" s="135" t="s">
        <v>1004</v>
      </c>
      <c r="P182" s="101" t="s">
        <v>1140</v>
      </c>
      <c r="Q182" s="92"/>
      <c r="R182" s="101" t="s">
        <v>23</v>
      </c>
    </row>
    <row r="183" spans="2:18">
      <c r="B183" s="203"/>
      <c r="C183" s="203"/>
      <c r="D183" s="135">
        <v>176</v>
      </c>
      <c r="E183" s="99" t="s">
        <v>443</v>
      </c>
      <c r="F183" s="135" t="s">
        <v>12</v>
      </c>
      <c r="G183" s="90" t="s">
        <v>545</v>
      </c>
      <c r="H183" s="135" t="s">
        <v>18</v>
      </c>
      <c r="I183" s="135" t="s">
        <v>15</v>
      </c>
      <c r="J183" s="100" t="s">
        <v>993</v>
      </c>
      <c r="K183" s="91">
        <v>43565</v>
      </c>
      <c r="L183" s="92" t="s">
        <v>1108</v>
      </c>
      <c r="M183" s="90">
        <f t="shared" si="9"/>
        <v>27</v>
      </c>
      <c r="N183" s="135" t="s">
        <v>3</v>
      </c>
      <c r="O183" s="135" t="s">
        <v>1004</v>
      </c>
      <c r="P183" s="99" t="s">
        <v>1287</v>
      </c>
      <c r="Q183" s="135"/>
      <c r="R183" s="99" t="s">
        <v>1141</v>
      </c>
    </row>
    <row r="184" spans="2:18">
      <c r="B184" s="203"/>
      <c r="C184" s="203"/>
      <c r="D184" s="135">
        <v>177</v>
      </c>
      <c r="E184" s="99" t="s">
        <v>444</v>
      </c>
      <c r="F184" s="135" t="s">
        <v>12</v>
      </c>
      <c r="G184" s="92" t="s">
        <v>1136</v>
      </c>
      <c r="H184" s="135" t="s">
        <v>18</v>
      </c>
      <c r="I184" s="135" t="s">
        <v>15</v>
      </c>
      <c r="J184" s="100" t="s">
        <v>993</v>
      </c>
      <c r="K184" s="91">
        <v>43485</v>
      </c>
      <c r="L184" s="92" t="s">
        <v>997</v>
      </c>
      <c r="M184" s="90">
        <f t="shared" si="9"/>
        <v>24</v>
      </c>
      <c r="N184" s="135" t="s">
        <v>3</v>
      </c>
      <c r="O184" s="135" t="s">
        <v>1004</v>
      </c>
      <c r="P184" s="99" t="s">
        <v>1287</v>
      </c>
      <c r="Q184" s="135"/>
      <c r="R184" s="99" t="s">
        <v>1309</v>
      </c>
    </row>
    <row r="185" spans="2:18">
      <c r="B185" s="203"/>
      <c r="C185" s="203"/>
      <c r="D185" s="135">
        <v>178</v>
      </c>
      <c r="E185" s="99" t="s">
        <v>445</v>
      </c>
      <c r="F185" s="135" t="s">
        <v>12</v>
      </c>
      <c r="G185" s="92" t="s">
        <v>1137</v>
      </c>
      <c r="H185" s="135" t="s">
        <v>1</v>
      </c>
      <c r="I185" s="135" t="s">
        <v>15</v>
      </c>
      <c r="J185" s="100" t="s">
        <v>993</v>
      </c>
      <c r="K185" s="91">
        <v>43729</v>
      </c>
      <c r="L185" s="92" t="s">
        <v>1094</v>
      </c>
      <c r="M185" s="90">
        <f t="shared" si="9"/>
        <v>18</v>
      </c>
      <c r="N185" s="135" t="s">
        <v>3</v>
      </c>
      <c r="O185" s="135" t="s">
        <v>1004</v>
      </c>
      <c r="P185" s="99" t="s">
        <v>1272</v>
      </c>
      <c r="Q185" s="135"/>
      <c r="R185" s="99" t="s">
        <v>1309</v>
      </c>
    </row>
    <row r="186" spans="2:18">
      <c r="B186" s="203"/>
      <c r="C186" s="203"/>
      <c r="D186" s="135">
        <v>179</v>
      </c>
      <c r="E186" s="99" t="s">
        <v>446</v>
      </c>
      <c r="F186" s="135" t="s">
        <v>12</v>
      </c>
      <c r="G186" s="92" t="s">
        <v>1138</v>
      </c>
      <c r="H186" s="135" t="s">
        <v>18</v>
      </c>
      <c r="I186" s="135" t="s">
        <v>15</v>
      </c>
      <c r="J186" s="100" t="s">
        <v>993</v>
      </c>
      <c r="K186" s="91">
        <v>43688</v>
      </c>
      <c r="L186" s="92" t="s">
        <v>1003</v>
      </c>
      <c r="M186" s="90">
        <f t="shared" si="9"/>
        <v>13</v>
      </c>
      <c r="N186" s="135" t="s">
        <v>3</v>
      </c>
      <c r="O186" s="135" t="s">
        <v>1004</v>
      </c>
      <c r="P186" s="99" t="s">
        <v>1272</v>
      </c>
      <c r="Q186" s="135"/>
      <c r="R186" s="99" t="s">
        <v>1309</v>
      </c>
    </row>
    <row r="187" spans="2:18" ht="25.5">
      <c r="B187" s="203"/>
      <c r="C187" s="203"/>
      <c r="D187" s="135">
        <v>180</v>
      </c>
      <c r="E187" s="99" t="s">
        <v>1135</v>
      </c>
      <c r="F187" s="135" t="s">
        <v>12</v>
      </c>
      <c r="G187" s="92" t="s">
        <v>1139</v>
      </c>
      <c r="H187" s="135" t="s">
        <v>18</v>
      </c>
      <c r="I187" s="135" t="s">
        <v>15</v>
      </c>
      <c r="J187" s="100" t="s">
        <v>993</v>
      </c>
      <c r="K187" s="91">
        <v>43792</v>
      </c>
      <c r="L187" s="92" t="s">
        <v>1066</v>
      </c>
      <c r="M187" s="90">
        <f t="shared" si="9"/>
        <v>9</v>
      </c>
      <c r="N187" s="135" t="s">
        <v>3</v>
      </c>
      <c r="O187" s="135" t="s">
        <v>1004</v>
      </c>
      <c r="P187" s="99" t="s">
        <v>1272</v>
      </c>
      <c r="Q187" s="135"/>
      <c r="R187" s="99" t="s">
        <v>1309</v>
      </c>
    </row>
    <row r="188" spans="2:18" ht="25.5">
      <c r="B188" s="203">
        <v>56</v>
      </c>
      <c r="C188" s="205" t="s">
        <v>1750</v>
      </c>
      <c r="D188" s="135">
        <v>181</v>
      </c>
      <c r="E188" s="99" t="s">
        <v>447</v>
      </c>
      <c r="F188" s="135" t="s">
        <v>6</v>
      </c>
      <c r="G188" s="90" t="s">
        <v>546</v>
      </c>
      <c r="H188" s="135" t="s">
        <v>18</v>
      </c>
      <c r="I188" s="135" t="s">
        <v>9</v>
      </c>
      <c r="J188" s="100" t="s">
        <v>993</v>
      </c>
      <c r="K188" s="91">
        <v>20089</v>
      </c>
      <c r="L188" s="92" t="s">
        <v>1154</v>
      </c>
      <c r="M188" s="90">
        <f t="shared" si="9"/>
        <v>65</v>
      </c>
      <c r="N188" s="135" t="s">
        <v>3</v>
      </c>
      <c r="O188" s="135" t="s">
        <v>1004</v>
      </c>
      <c r="P188" s="99" t="s">
        <v>1272</v>
      </c>
      <c r="Q188" s="135"/>
      <c r="R188" s="99" t="s">
        <v>1128</v>
      </c>
    </row>
    <row r="189" spans="2:18" ht="25.5">
      <c r="B189" s="203"/>
      <c r="C189" s="203"/>
      <c r="D189" s="135">
        <v>182</v>
      </c>
      <c r="E189" s="99" t="s">
        <v>448</v>
      </c>
      <c r="F189" s="135" t="s">
        <v>21</v>
      </c>
      <c r="G189" s="90" t="s">
        <v>547</v>
      </c>
      <c r="H189" s="135" t="s">
        <v>1</v>
      </c>
      <c r="I189" s="135" t="s">
        <v>9</v>
      </c>
      <c r="J189" s="100" t="s">
        <v>993</v>
      </c>
      <c r="K189" s="91">
        <v>22982</v>
      </c>
      <c r="L189" s="92" t="s">
        <v>1155</v>
      </c>
      <c r="M189" s="90">
        <f t="shared" si="9"/>
        <v>57</v>
      </c>
      <c r="N189" s="135" t="s">
        <v>3</v>
      </c>
      <c r="O189" s="135" t="s">
        <v>1004</v>
      </c>
      <c r="P189" s="99" t="s">
        <v>1272</v>
      </c>
      <c r="Q189" s="135"/>
      <c r="R189" s="99" t="s">
        <v>1276</v>
      </c>
    </row>
    <row r="190" spans="2:18" ht="25.5">
      <c r="B190" s="203"/>
      <c r="C190" s="203"/>
      <c r="D190" s="135">
        <v>183</v>
      </c>
      <c r="E190" s="99" t="s">
        <v>1751</v>
      </c>
      <c r="F190" s="135" t="s">
        <v>12</v>
      </c>
      <c r="G190" s="90" t="s">
        <v>548</v>
      </c>
      <c r="H190" s="135" t="s">
        <v>18</v>
      </c>
      <c r="I190" s="135" t="s">
        <v>15</v>
      </c>
      <c r="J190" s="100" t="s">
        <v>1016</v>
      </c>
      <c r="K190" s="91">
        <v>34617</v>
      </c>
      <c r="L190" s="92" t="s">
        <v>1061</v>
      </c>
      <c r="M190" s="90">
        <f t="shared" si="9"/>
        <v>25</v>
      </c>
      <c r="N190" s="135" t="s">
        <v>3</v>
      </c>
      <c r="O190" s="135" t="s">
        <v>1004</v>
      </c>
      <c r="P190" s="99" t="s">
        <v>1287</v>
      </c>
      <c r="Q190" s="135"/>
      <c r="R190" s="99" t="s">
        <v>1309</v>
      </c>
    </row>
    <row r="191" spans="2:18">
      <c r="B191" s="203">
        <v>57</v>
      </c>
      <c r="C191" s="203"/>
      <c r="D191" s="135">
        <v>184</v>
      </c>
      <c r="E191" s="99" t="s">
        <v>450</v>
      </c>
      <c r="F191" s="135" t="s">
        <v>6</v>
      </c>
      <c r="G191" s="90" t="s">
        <v>551</v>
      </c>
      <c r="H191" s="135" t="s">
        <v>18</v>
      </c>
      <c r="I191" s="135" t="s">
        <v>9</v>
      </c>
      <c r="J191" s="100"/>
      <c r="K191" s="100">
        <v>24479</v>
      </c>
      <c r="L191" s="90">
        <v>1967</v>
      </c>
      <c r="M191" s="90">
        <f t="shared" si="9"/>
        <v>52</v>
      </c>
      <c r="N191" s="135" t="s">
        <v>3</v>
      </c>
      <c r="O191" s="135"/>
      <c r="P191" s="99" t="s">
        <v>1272</v>
      </c>
      <c r="Q191" s="135"/>
      <c r="R191" s="99" t="s">
        <v>81</v>
      </c>
    </row>
    <row r="192" spans="2:18">
      <c r="B192" s="203"/>
      <c r="C192" s="203"/>
      <c r="D192" s="135">
        <v>185</v>
      </c>
      <c r="E192" s="99" t="s">
        <v>426</v>
      </c>
      <c r="F192" s="135" t="s">
        <v>21</v>
      </c>
      <c r="G192" s="90" t="s">
        <v>552</v>
      </c>
      <c r="H192" s="135" t="s">
        <v>1</v>
      </c>
      <c r="I192" s="135" t="s">
        <v>9</v>
      </c>
      <c r="J192" s="100"/>
      <c r="K192" s="100">
        <v>24479</v>
      </c>
      <c r="L192" s="90">
        <v>1967</v>
      </c>
      <c r="M192" s="90">
        <f t="shared" si="9"/>
        <v>52</v>
      </c>
      <c r="N192" s="135" t="s">
        <v>3</v>
      </c>
      <c r="O192" s="135"/>
      <c r="P192" s="99" t="s">
        <v>11</v>
      </c>
      <c r="Q192" s="135"/>
      <c r="R192" s="99" t="s">
        <v>81</v>
      </c>
    </row>
    <row r="193" spans="2:18">
      <c r="B193" s="203">
        <v>58</v>
      </c>
      <c r="C193" s="205" t="s">
        <v>1623</v>
      </c>
      <c r="D193" s="135">
        <v>186</v>
      </c>
      <c r="E193" s="99" t="s">
        <v>451</v>
      </c>
      <c r="F193" s="135" t="s">
        <v>6</v>
      </c>
      <c r="G193" s="90" t="s">
        <v>1624</v>
      </c>
      <c r="H193" s="135" t="s">
        <v>18</v>
      </c>
      <c r="I193" s="135" t="s">
        <v>9</v>
      </c>
      <c r="J193" s="100" t="s">
        <v>1092</v>
      </c>
      <c r="K193" s="142">
        <v>32180</v>
      </c>
      <c r="L193" s="92" t="s">
        <v>1013</v>
      </c>
      <c r="M193" s="90">
        <f t="shared" si="9"/>
        <v>31</v>
      </c>
      <c r="N193" s="135" t="s">
        <v>3</v>
      </c>
      <c r="O193" s="135" t="s">
        <v>1004</v>
      </c>
      <c r="P193" s="99" t="s">
        <v>1287</v>
      </c>
      <c r="Q193" s="135"/>
      <c r="R193" s="99" t="s">
        <v>23</v>
      </c>
    </row>
    <row r="194" spans="2:18" ht="25.5">
      <c r="B194" s="203"/>
      <c r="C194" s="203"/>
      <c r="D194" s="135">
        <v>187</v>
      </c>
      <c r="E194" s="99" t="s">
        <v>452</v>
      </c>
      <c r="F194" s="135" t="s">
        <v>21</v>
      </c>
      <c r="G194" s="90" t="s">
        <v>1625</v>
      </c>
      <c r="H194" s="135" t="s">
        <v>1</v>
      </c>
      <c r="I194" s="135" t="s">
        <v>9</v>
      </c>
      <c r="J194" s="100" t="s">
        <v>993</v>
      </c>
      <c r="K194" s="91">
        <v>32798</v>
      </c>
      <c r="L194" s="92" t="s">
        <v>1028</v>
      </c>
      <c r="M194" s="90">
        <f t="shared" si="9"/>
        <v>30</v>
      </c>
      <c r="N194" s="135" t="s">
        <v>3</v>
      </c>
      <c r="O194" s="135" t="s">
        <v>1004</v>
      </c>
      <c r="P194" s="99" t="s">
        <v>1287</v>
      </c>
      <c r="Q194" s="135"/>
      <c r="R194" s="99" t="s">
        <v>1276</v>
      </c>
    </row>
    <row r="195" spans="2:18" ht="25.5">
      <c r="B195" s="203"/>
      <c r="C195" s="203"/>
      <c r="D195" s="135">
        <v>188</v>
      </c>
      <c r="E195" s="99" t="s">
        <v>453</v>
      </c>
      <c r="F195" s="135" t="s">
        <v>12</v>
      </c>
      <c r="G195" s="90" t="s">
        <v>1626</v>
      </c>
      <c r="H195" s="135" t="s">
        <v>18</v>
      </c>
      <c r="I195" s="135" t="s">
        <v>15</v>
      </c>
      <c r="J195" s="100" t="s">
        <v>1045</v>
      </c>
      <c r="K195" s="91">
        <v>40778</v>
      </c>
      <c r="L195" s="92" t="s">
        <v>1096</v>
      </c>
      <c r="M195" s="90">
        <f t="shared" si="9"/>
        <v>8</v>
      </c>
      <c r="N195" s="135" t="s">
        <v>3</v>
      </c>
      <c r="O195" s="135" t="s">
        <v>1004</v>
      </c>
      <c r="P195" s="99" t="s">
        <v>1288</v>
      </c>
      <c r="Q195" s="135"/>
      <c r="R195" s="99" t="s">
        <v>1277</v>
      </c>
    </row>
    <row r="196" spans="2:18" ht="25.5">
      <c r="B196" s="203"/>
      <c r="C196" s="203"/>
      <c r="D196" s="135">
        <v>189</v>
      </c>
      <c r="E196" s="99" t="s">
        <v>1188</v>
      </c>
      <c r="F196" s="135" t="s">
        <v>12</v>
      </c>
      <c r="G196" s="92" t="s">
        <v>1627</v>
      </c>
      <c r="H196" s="135" t="s">
        <v>1</v>
      </c>
      <c r="I196" s="135" t="s">
        <v>15</v>
      </c>
      <c r="J196" s="100" t="s">
        <v>993</v>
      </c>
      <c r="K196" s="91">
        <v>42668</v>
      </c>
      <c r="L196" s="92" t="s">
        <v>1014</v>
      </c>
      <c r="M196" s="90">
        <f t="shared" si="9"/>
        <v>3</v>
      </c>
      <c r="N196" s="135" t="s">
        <v>3</v>
      </c>
      <c r="O196" s="135" t="s">
        <v>1004</v>
      </c>
      <c r="P196" s="99" t="s">
        <v>1288</v>
      </c>
      <c r="Q196" s="135"/>
      <c r="R196" s="99" t="s">
        <v>1277</v>
      </c>
    </row>
    <row r="197" spans="2:18" ht="25.5">
      <c r="B197" s="203">
        <v>59</v>
      </c>
      <c r="C197" s="205" t="s">
        <v>1773</v>
      </c>
      <c r="D197" s="135">
        <v>190</v>
      </c>
      <c r="E197" s="99" t="s">
        <v>1118</v>
      </c>
      <c r="F197" s="135" t="s">
        <v>6</v>
      </c>
      <c r="G197" s="92" t="s">
        <v>1775</v>
      </c>
      <c r="H197" s="135" t="s">
        <v>18</v>
      </c>
      <c r="I197" s="135" t="s">
        <v>9</v>
      </c>
      <c r="J197" s="100" t="s">
        <v>993</v>
      </c>
      <c r="K197" s="91">
        <v>26664</v>
      </c>
      <c r="L197" s="92" t="s">
        <v>1001</v>
      </c>
      <c r="M197" s="90">
        <f t="shared" si="9"/>
        <v>47</v>
      </c>
      <c r="N197" s="135" t="s">
        <v>3</v>
      </c>
      <c r="O197" s="135" t="s">
        <v>1004</v>
      </c>
      <c r="P197" s="99" t="s">
        <v>1287</v>
      </c>
      <c r="Q197" s="135"/>
      <c r="R197" s="99" t="s">
        <v>1318</v>
      </c>
    </row>
    <row r="198" spans="2:18" ht="25.5">
      <c r="B198" s="203"/>
      <c r="C198" s="203"/>
      <c r="D198" s="135">
        <v>191</v>
      </c>
      <c r="E198" s="99" t="s">
        <v>1119</v>
      </c>
      <c r="F198" s="135" t="s">
        <v>21</v>
      </c>
      <c r="G198" s="92" t="s">
        <v>1776</v>
      </c>
      <c r="H198" s="135" t="s">
        <v>1</v>
      </c>
      <c r="I198" s="135" t="s">
        <v>9</v>
      </c>
      <c r="J198" s="100" t="s">
        <v>1063</v>
      </c>
      <c r="K198" s="91">
        <v>30494</v>
      </c>
      <c r="L198" s="92" t="s">
        <v>1040</v>
      </c>
      <c r="M198" s="90">
        <f t="shared" si="9"/>
        <v>36</v>
      </c>
      <c r="N198" s="135" t="s">
        <v>3</v>
      </c>
      <c r="O198" s="135" t="s">
        <v>1004</v>
      </c>
      <c r="P198" s="99" t="s">
        <v>1287</v>
      </c>
      <c r="Q198" s="135"/>
      <c r="R198" s="99" t="s">
        <v>1276</v>
      </c>
    </row>
    <row r="199" spans="2:18" ht="25.5">
      <c r="B199" s="203"/>
      <c r="C199" s="203"/>
      <c r="D199" s="135">
        <v>192</v>
      </c>
      <c r="E199" s="99" t="s">
        <v>454</v>
      </c>
      <c r="F199" s="135" t="s">
        <v>12</v>
      </c>
      <c r="G199" s="92" t="s">
        <v>1777</v>
      </c>
      <c r="H199" s="135" t="s">
        <v>18</v>
      </c>
      <c r="I199" s="135" t="s">
        <v>1011</v>
      </c>
      <c r="J199" s="100" t="s">
        <v>993</v>
      </c>
      <c r="K199" s="91">
        <v>36411</v>
      </c>
      <c r="L199" s="92" t="s">
        <v>1055</v>
      </c>
      <c r="M199" s="90">
        <f t="shared" si="9"/>
        <v>20</v>
      </c>
      <c r="N199" s="135" t="s">
        <v>3</v>
      </c>
      <c r="O199" s="135" t="s">
        <v>1004</v>
      </c>
      <c r="P199" s="99" t="s">
        <v>1273</v>
      </c>
      <c r="Q199" s="135"/>
      <c r="R199" s="99" t="s">
        <v>1309</v>
      </c>
    </row>
    <row r="200" spans="2:18" ht="25.5">
      <c r="B200" s="203"/>
      <c r="C200" s="203"/>
      <c r="D200" s="135">
        <v>193</v>
      </c>
      <c r="E200" s="99" t="s">
        <v>455</v>
      </c>
      <c r="F200" s="135" t="s">
        <v>12</v>
      </c>
      <c r="G200" s="92" t="s">
        <v>1778</v>
      </c>
      <c r="H200" s="135" t="s">
        <v>18</v>
      </c>
      <c r="I200" s="135" t="s">
        <v>1011</v>
      </c>
      <c r="J200" s="100" t="s">
        <v>993</v>
      </c>
      <c r="K200" s="91">
        <v>38301</v>
      </c>
      <c r="L200" s="92" t="s">
        <v>1073</v>
      </c>
      <c r="M200" s="90">
        <f t="shared" si="9"/>
        <v>15</v>
      </c>
      <c r="N200" s="135" t="s">
        <v>3</v>
      </c>
      <c r="O200" s="135" t="s">
        <v>1004</v>
      </c>
      <c r="P200" s="99" t="s">
        <v>1274</v>
      </c>
      <c r="Q200" s="135"/>
      <c r="R200" s="99" t="s">
        <v>1277</v>
      </c>
    </row>
    <row r="201" spans="2:18" ht="25.5">
      <c r="B201" s="203"/>
      <c r="C201" s="203"/>
      <c r="D201" s="135">
        <v>194</v>
      </c>
      <c r="E201" s="99" t="s">
        <v>1774</v>
      </c>
      <c r="F201" s="135" t="s">
        <v>12</v>
      </c>
      <c r="G201" s="92" t="s">
        <v>1780</v>
      </c>
      <c r="H201" s="135" t="s">
        <v>18</v>
      </c>
      <c r="I201" s="135" t="s">
        <v>1011</v>
      </c>
      <c r="J201" s="100" t="s">
        <v>993</v>
      </c>
      <c r="K201" s="91">
        <v>39713</v>
      </c>
      <c r="L201" s="92" t="s">
        <v>1008</v>
      </c>
      <c r="M201" s="90">
        <f t="shared" si="9"/>
        <v>11</v>
      </c>
      <c r="N201" s="135" t="s">
        <v>3</v>
      </c>
      <c r="O201" s="135" t="s">
        <v>1004</v>
      </c>
      <c r="P201" s="99" t="s">
        <v>1274</v>
      </c>
      <c r="Q201" s="135"/>
      <c r="R201" s="99" t="s">
        <v>1277</v>
      </c>
    </row>
    <row r="202" spans="2:18" ht="25.5">
      <c r="B202" s="203"/>
      <c r="C202" s="203"/>
      <c r="D202" s="135">
        <v>195</v>
      </c>
      <c r="E202" s="99" t="s">
        <v>1120</v>
      </c>
      <c r="F202" s="135" t="s">
        <v>12</v>
      </c>
      <c r="G202" s="92" t="s">
        <v>1779</v>
      </c>
      <c r="H202" s="135" t="s">
        <v>1</v>
      </c>
      <c r="I202" s="135" t="s">
        <v>1011</v>
      </c>
      <c r="J202" s="100" t="s">
        <v>993</v>
      </c>
      <c r="K202" s="91">
        <v>41774</v>
      </c>
      <c r="L202" s="92" t="s">
        <v>998</v>
      </c>
      <c r="M202" s="90">
        <f t="shared" si="9"/>
        <v>5</v>
      </c>
      <c r="N202" s="135" t="s">
        <v>3</v>
      </c>
      <c r="O202" s="135" t="s">
        <v>1004</v>
      </c>
      <c r="P202" s="99" t="s">
        <v>1288</v>
      </c>
      <c r="Q202" s="135"/>
      <c r="R202" s="99" t="s">
        <v>1277</v>
      </c>
    </row>
    <row r="203" spans="2:18" ht="25.5">
      <c r="B203" s="203">
        <v>60</v>
      </c>
      <c r="C203" s="203" t="s">
        <v>1752</v>
      </c>
      <c r="D203" s="135">
        <v>196</v>
      </c>
      <c r="E203" s="99" t="s">
        <v>457</v>
      </c>
      <c r="F203" s="135" t="s">
        <v>6</v>
      </c>
      <c r="G203" s="90" t="s">
        <v>1753</v>
      </c>
      <c r="H203" s="135" t="s">
        <v>1</v>
      </c>
      <c r="I203" s="135" t="s">
        <v>1020</v>
      </c>
      <c r="J203" s="100" t="s">
        <v>993</v>
      </c>
      <c r="K203" s="91">
        <v>26664</v>
      </c>
      <c r="L203" s="90">
        <v>1972</v>
      </c>
      <c r="M203" s="90">
        <f t="shared" ref="M203:M240" si="10">2019-L203</f>
        <v>47</v>
      </c>
      <c r="N203" s="135" t="s">
        <v>3</v>
      </c>
      <c r="O203" s="135" t="s">
        <v>1004</v>
      </c>
      <c r="P203" s="99" t="s">
        <v>1273</v>
      </c>
      <c r="Q203" s="135"/>
      <c r="R203" s="99" t="s">
        <v>1276</v>
      </c>
    </row>
    <row r="204" spans="2:18" ht="25.5">
      <c r="B204" s="203"/>
      <c r="C204" s="203"/>
      <c r="D204" s="135">
        <v>197</v>
      </c>
      <c r="E204" s="99" t="s">
        <v>458</v>
      </c>
      <c r="F204" s="135" t="s">
        <v>12</v>
      </c>
      <c r="G204" s="90" t="s">
        <v>554</v>
      </c>
      <c r="H204" s="135" t="s">
        <v>18</v>
      </c>
      <c r="I204" s="135" t="s">
        <v>15</v>
      </c>
      <c r="J204" s="100" t="s">
        <v>993</v>
      </c>
      <c r="K204" s="91">
        <v>37859</v>
      </c>
      <c r="L204" s="90">
        <v>2003</v>
      </c>
      <c r="M204" s="90">
        <f t="shared" si="10"/>
        <v>16</v>
      </c>
      <c r="N204" s="135" t="s">
        <v>3</v>
      </c>
      <c r="O204" s="135" t="s">
        <v>1004</v>
      </c>
      <c r="P204" s="99" t="s">
        <v>1272</v>
      </c>
      <c r="Q204" s="135"/>
      <c r="R204" s="99" t="s">
        <v>1309</v>
      </c>
    </row>
    <row r="205" spans="2:18" ht="25.5">
      <c r="B205" s="203">
        <v>61</v>
      </c>
      <c r="C205" s="203" t="s">
        <v>1708</v>
      </c>
      <c r="D205" s="135">
        <v>198</v>
      </c>
      <c r="E205" s="99" t="s">
        <v>459</v>
      </c>
      <c r="F205" s="135" t="s">
        <v>6</v>
      </c>
      <c r="G205" s="90" t="s">
        <v>555</v>
      </c>
      <c r="H205" s="135" t="s">
        <v>18</v>
      </c>
      <c r="I205" s="135" t="s">
        <v>9</v>
      </c>
      <c r="J205" s="100" t="s">
        <v>1016</v>
      </c>
      <c r="K205" s="91">
        <v>22656</v>
      </c>
      <c r="L205" s="90">
        <v>1962</v>
      </c>
      <c r="M205" s="90">
        <f t="shared" si="10"/>
        <v>57</v>
      </c>
      <c r="N205" s="135" t="s">
        <v>3</v>
      </c>
      <c r="O205" s="135" t="s">
        <v>1004</v>
      </c>
      <c r="P205" s="99" t="s">
        <v>1287</v>
      </c>
      <c r="Q205" s="135"/>
      <c r="R205" s="99" t="s">
        <v>1622</v>
      </c>
    </row>
    <row r="206" spans="2:18" ht="25.5">
      <c r="B206" s="203"/>
      <c r="C206" s="203"/>
      <c r="D206" s="135">
        <v>199</v>
      </c>
      <c r="E206" s="99" t="s">
        <v>1709</v>
      </c>
      <c r="F206" s="135" t="s">
        <v>21</v>
      </c>
      <c r="G206" s="90" t="s">
        <v>556</v>
      </c>
      <c r="H206" s="135" t="s">
        <v>1</v>
      </c>
      <c r="I206" s="135" t="s">
        <v>9</v>
      </c>
      <c r="J206" s="100" t="s">
        <v>1710</v>
      </c>
      <c r="K206" s="91">
        <v>23943</v>
      </c>
      <c r="L206" s="90">
        <v>1965</v>
      </c>
      <c r="M206" s="90">
        <f t="shared" si="10"/>
        <v>54</v>
      </c>
      <c r="N206" s="135" t="s">
        <v>3</v>
      </c>
      <c r="O206" s="135" t="s">
        <v>1004</v>
      </c>
      <c r="P206" s="99" t="s">
        <v>1272</v>
      </c>
      <c r="Q206" s="135"/>
      <c r="R206" s="99" t="s">
        <v>1276</v>
      </c>
    </row>
    <row r="207" spans="2:18" ht="25.5">
      <c r="B207" s="203"/>
      <c r="C207" s="203"/>
      <c r="D207" s="135">
        <v>200</v>
      </c>
      <c r="E207" s="99" t="s">
        <v>460</v>
      </c>
      <c r="F207" s="135" t="s">
        <v>1243</v>
      </c>
      <c r="G207" s="90" t="s">
        <v>558</v>
      </c>
      <c r="H207" s="135" t="s">
        <v>1</v>
      </c>
      <c r="I207" s="135" t="s">
        <v>1020</v>
      </c>
      <c r="J207" s="100" t="s">
        <v>1711</v>
      </c>
      <c r="K207" s="91">
        <v>12985</v>
      </c>
      <c r="L207" s="90">
        <v>1935</v>
      </c>
      <c r="M207" s="90">
        <f t="shared" si="10"/>
        <v>84</v>
      </c>
      <c r="N207" s="135" t="s">
        <v>3</v>
      </c>
      <c r="O207" s="135" t="s">
        <v>1004</v>
      </c>
      <c r="P207" s="99" t="s">
        <v>1288</v>
      </c>
      <c r="Q207" s="135"/>
      <c r="R207" s="99" t="s">
        <v>1277</v>
      </c>
    </row>
    <row r="208" spans="2:18">
      <c r="B208" s="135">
        <v>62</v>
      </c>
      <c r="C208" s="135" t="s">
        <v>1712</v>
      </c>
      <c r="D208" s="135">
        <v>201</v>
      </c>
      <c r="E208" s="99" t="s">
        <v>1713</v>
      </c>
      <c r="F208" s="135" t="s">
        <v>6</v>
      </c>
      <c r="G208" s="90" t="s">
        <v>557</v>
      </c>
      <c r="H208" s="135" t="s">
        <v>18</v>
      </c>
      <c r="I208" s="135" t="s">
        <v>1235</v>
      </c>
      <c r="J208" s="100" t="s">
        <v>1714</v>
      </c>
      <c r="K208" s="91">
        <v>31209</v>
      </c>
      <c r="L208" s="90">
        <v>1985</v>
      </c>
      <c r="M208" s="90">
        <f t="shared" si="10"/>
        <v>34</v>
      </c>
      <c r="N208" s="135" t="s">
        <v>3</v>
      </c>
      <c r="O208" s="135" t="s">
        <v>1004</v>
      </c>
      <c r="P208" s="99" t="s">
        <v>1287</v>
      </c>
      <c r="Q208" s="135"/>
      <c r="R208" s="99" t="s">
        <v>23</v>
      </c>
    </row>
    <row r="209" spans="1:47" ht="25.5">
      <c r="B209" s="203">
        <v>63</v>
      </c>
      <c r="C209" s="205" t="s">
        <v>1160</v>
      </c>
      <c r="D209" s="135">
        <v>202</v>
      </c>
      <c r="E209" s="99" t="s">
        <v>1618</v>
      </c>
      <c r="F209" s="135" t="s">
        <v>6</v>
      </c>
      <c r="G209" s="90" t="s">
        <v>1620</v>
      </c>
      <c r="H209" s="135" t="s">
        <v>18</v>
      </c>
      <c r="I209" s="135" t="s">
        <v>9</v>
      </c>
      <c r="J209" s="100" t="s">
        <v>1161</v>
      </c>
      <c r="K209" s="91">
        <v>29656</v>
      </c>
      <c r="L209" s="92" t="s">
        <v>1074</v>
      </c>
      <c r="M209" s="90">
        <f t="shared" si="10"/>
        <v>38</v>
      </c>
      <c r="N209" s="135" t="s">
        <v>3</v>
      </c>
      <c r="O209" s="135" t="s">
        <v>1004</v>
      </c>
      <c r="P209" s="99" t="s">
        <v>1287</v>
      </c>
      <c r="Q209" s="135"/>
      <c r="R209" s="99" t="s">
        <v>1622</v>
      </c>
    </row>
    <row r="210" spans="1:47" ht="25.5">
      <c r="B210" s="203"/>
      <c r="C210" s="203"/>
      <c r="D210" s="135">
        <v>203</v>
      </c>
      <c r="E210" s="99" t="s">
        <v>461</v>
      </c>
      <c r="F210" s="135" t="s">
        <v>21</v>
      </c>
      <c r="G210" s="90" t="s">
        <v>559</v>
      </c>
      <c r="H210" s="135" t="s">
        <v>1</v>
      </c>
      <c r="I210" s="135" t="s">
        <v>9</v>
      </c>
      <c r="J210" s="100" t="s">
        <v>1161</v>
      </c>
      <c r="K210" s="91">
        <v>30223</v>
      </c>
      <c r="L210" s="92" t="s">
        <v>1039</v>
      </c>
      <c r="M210" s="90">
        <f t="shared" si="10"/>
        <v>37</v>
      </c>
      <c r="N210" s="135" t="s">
        <v>3</v>
      </c>
      <c r="O210" s="135" t="s">
        <v>1004</v>
      </c>
      <c r="P210" s="99" t="s">
        <v>1088</v>
      </c>
      <c r="Q210" s="135"/>
      <c r="R210" s="99" t="s">
        <v>1162</v>
      </c>
    </row>
    <row r="211" spans="1:47" ht="25.5">
      <c r="B211" s="203"/>
      <c r="C211" s="203"/>
      <c r="D211" s="135">
        <v>204</v>
      </c>
      <c r="E211" s="99" t="s">
        <v>462</v>
      </c>
      <c r="F211" s="135" t="s">
        <v>12</v>
      </c>
      <c r="G211" s="90" t="s">
        <v>560</v>
      </c>
      <c r="H211" s="135" t="s">
        <v>1</v>
      </c>
      <c r="I211" s="135" t="s">
        <v>15</v>
      </c>
      <c r="J211" s="100" t="s">
        <v>1161</v>
      </c>
      <c r="K211" s="91">
        <v>41095</v>
      </c>
      <c r="L211" s="92" t="s">
        <v>1075</v>
      </c>
      <c r="M211" s="90">
        <f t="shared" si="10"/>
        <v>7</v>
      </c>
      <c r="N211" s="135" t="s">
        <v>3</v>
      </c>
      <c r="O211" s="135" t="s">
        <v>1004</v>
      </c>
      <c r="P211" s="99" t="s">
        <v>1288</v>
      </c>
      <c r="Q211" s="135"/>
      <c r="R211" s="99" t="s">
        <v>1277</v>
      </c>
    </row>
    <row r="212" spans="1:47" ht="25.5">
      <c r="B212" s="203"/>
      <c r="C212" s="203"/>
      <c r="D212" s="135">
        <v>205</v>
      </c>
      <c r="E212" s="99" t="s">
        <v>463</v>
      </c>
      <c r="F212" s="135" t="s">
        <v>12</v>
      </c>
      <c r="G212" s="90" t="s">
        <v>561</v>
      </c>
      <c r="H212" s="135" t="s">
        <v>1</v>
      </c>
      <c r="I212" s="135" t="s">
        <v>15</v>
      </c>
      <c r="J212" s="100" t="s">
        <v>1161</v>
      </c>
      <c r="K212" s="91">
        <v>42006</v>
      </c>
      <c r="L212" s="92" t="s">
        <v>1024</v>
      </c>
      <c r="M212" s="90">
        <f t="shared" si="10"/>
        <v>4</v>
      </c>
      <c r="N212" s="135" t="s">
        <v>3</v>
      </c>
      <c r="O212" s="135" t="s">
        <v>1004</v>
      </c>
      <c r="P212" s="99" t="s">
        <v>1288</v>
      </c>
      <c r="Q212" s="135"/>
      <c r="R212" s="99" t="s">
        <v>1277</v>
      </c>
    </row>
    <row r="213" spans="1:47" ht="25.5">
      <c r="B213" s="203"/>
      <c r="C213" s="203"/>
      <c r="D213" s="135">
        <v>206</v>
      </c>
      <c r="E213" s="99" t="s">
        <v>1619</v>
      </c>
      <c r="F213" s="135" t="s">
        <v>12</v>
      </c>
      <c r="G213" s="92" t="s">
        <v>1621</v>
      </c>
      <c r="H213" s="135" t="s">
        <v>1</v>
      </c>
      <c r="I213" s="135" t="s">
        <v>15</v>
      </c>
      <c r="J213" s="100" t="s">
        <v>1161</v>
      </c>
      <c r="K213" s="91">
        <v>42847</v>
      </c>
      <c r="L213" s="92" t="s">
        <v>1048</v>
      </c>
      <c r="M213" s="90">
        <f t="shared" si="10"/>
        <v>2</v>
      </c>
      <c r="N213" s="135" t="s">
        <v>3</v>
      </c>
      <c r="O213" s="135" t="s">
        <v>1004</v>
      </c>
      <c r="P213" s="99" t="s">
        <v>1288</v>
      </c>
      <c r="Q213" s="135"/>
      <c r="R213" s="99" t="s">
        <v>1277</v>
      </c>
    </row>
    <row r="214" spans="1:47">
      <c r="B214" s="210">
        <v>64</v>
      </c>
      <c r="C214" s="214" t="s">
        <v>1628</v>
      </c>
      <c r="D214" s="135">
        <v>207</v>
      </c>
      <c r="E214" s="99" t="s">
        <v>103</v>
      </c>
      <c r="F214" s="135" t="s">
        <v>6</v>
      </c>
      <c r="G214" s="92" t="s">
        <v>104</v>
      </c>
      <c r="H214" s="135" t="s">
        <v>18</v>
      </c>
      <c r="I214" s="135" t="s">
        <v>9</v>
      </c>
      <c r="J214" s="100" t="s">
        <v>993</v>
      </c>
      <c r="K214" s="91">
        <v>27394</v>
      </c>
      <c r="L214" s="92" t="s">
        <v>1093</v>
      </c>
      <c r="M214" s="90">
        <f t="shared" si="10"/>
        <v>45</v>
      </c>
      <c r="N214" s="135" t="s">
        <v>3</v>
      </c>
      <c r="O214" s="135" t="s">
        <v>1004</v>
      </c>
      <c r="P214" s="99" t="s">
        <v>1287</v>
      </c>
      <c r="Q214" s="135"/>
      <c r="R214" s="99" t="s">
        <v>23</v>
      </c>
    </row>
    <row r="215" spans="1:47">
      <c r="B215" s="211"/>
      <c r="C215" s="215"/>
      <c r="D215" s="135">
        <v>208</v>
      </c>
      <c r="E215" s="99" t="s">
        <v>105</v>
      </c>
      <c r="F215" s="135" t="s">
        <v>21</v>
      </c>
      <c r="G215" s="92" t="s">
        <v>106</v>
      </c>
      <c r="H215" s="135" t="s">
        <v>1</v>
      </c>
      <c r="I215" s="135" t="s">
        <v>9</v>
      </c>
      <c r="J215" s="100" t="s">
        <v>1017</v>
      </c>
      <c r="K215" s="91">
        <v>27394</v>
      </c>
      <c r="L215" s="92" t="s">
        <v>1093</v>
      </c>
      <c r="M215" s="90">
        <f t="shared" si="10"/>
        <v>45</v>
      </c>
      <c r="N215" s="135" t="s">
        <v>3</v>
      </c>
      <c r="O215" s="135" t="s">
        <v>1004</v>
      </c>
      <c r="P215" s="99" t="s">
        <v>1273</v>
      </c>
      <c r="Q215" s="135"/>
      <c r="R215" s="99" t="s">
        <v>23</v>
      </c>
    </row>
    <row r="216" spans="1:47">
      <c r="B216" s="211"/>
      <c r="C216" s="215"/>
      <c r="D216" s="135">
        <v>209</v>
      </c>
      <c r="E216" s="99" t="s">
        <v>107</v>
      </c>
      <c r="F216" s="135" t="s">
        <v>12</v>
      </c>
      <c r="G216" s="92" t="s">
        <v>108</v>
      </c>
      <c r="H216" s="135" t="s">
        <v>1</v>
      </c>
      <c r="I216" s="135" t="s">
        <v>15</v>
      </c>
      <c r="J216" s="100" t="s">
        <v>993</v>
      </c>
      <c r="K216" s="91">
        <v>37008</v>
      </c>
      <c r="L216" s="92" t="s">
        <v>1094</v>
      </c>
      <c r="M216" s="90">
        <f t="shared" si="10"/>
        <v>18</v>
      </c>
      <c r="N216" s="135" t="s">
        <v>3</v>
      </c>
      <c r="O216" s="135" t="s">
        <v>1004</v>
      </c>
      <c r="P216" s="99" t="s">
        <v>1272</v>
      </c>
      <c r="Q216" s="135"/>
      <c r="R216" s="99" t="s">
        <v>1309</v>
      </c>
    </row>
    <row r="217" spans="1:47">
      <c r="B217" s="211"/>
      <c r="C217" s="215"/>
      <c r="D217" s="135">
        <v>210</v>
      </c>
      <c r="E217" s="99" t="s">
        <v>109</v>
      </c>
      <c r="F217" s="135" t="s">
        <v>12</v>
      </c>
      <c r="G217" s="92" t="s">
        <v>110</v>
      </c>
      <c r="H217" s="135" t="s">
        <v>18</v>
      </c>
      <c r="I217" s="135" t="s">
        <v>15</v>
      </c>
      <c r="J217" s="100" t="s">
        <v>993</v>
      </c>
      <c r="K217" s="91">
        <v>38894</v>
      </c>
      <c r="L217" s="92" t="s">
        <v>1003</v>
      </c>
      <c r="M217" s="90">
        <f t="shared" si="10"/>
        <v>13</v>
      </c>
      <c r="N217" s="135" t="s">
        <v>3</v>
      </c>
      <c r="O217" s="135" t="s">
        <v>1004</v>
      </c>
      <c r="P217" s="99" t="s">
        <v>1272</v>
      </c>
      <c r="Q217" s="135"/>
      <c r="R217" s="99" t="s">
        <v>1309</v>
      </c>
    </row>
    <row r="218" spans="1:47">
      <c r="B218" s="212"/>
      <c r="C218" s="216"/>
      <c r="D218" s="135">
        <v>211</v>
      </c>
      <c r="E218" s="99" t="s">
        <v>375</v>
      </c>
      <c r="F218" s="135" t="s">
        <v>12</v>
      </c>
      <c r="G218" s="90" t="s">
        <v>511</v>
      </c>
      <c r="H218" s="135" t="s">
        <v>18</v>
      </c>
      <c r="I218" s="135" t="s">
        <v>15</v>
      </c>
      <c r="J218" s="100"/>
      <c r="K218" s="100">
        <v>33416</v>
      </c>
      <c r="L218" s="90">
        <v>1991</v>
      </c>
      <c r="M218" s="90">
        <f t="shared" si="10"/>
        <v>28</v>
      </c>
      <c r="N218" s="135" t="s">
        <v>3</v>
      </c>
      <c r="O218" s="135"/>
      <c r="P218" s="99" t="s">
        <v>1273</v>
      </c>
      <c r="Q218" s="135"/>
      <c r="R218" s="99" t="s">
        <v>11</v>
      </c>
    </row>
    <row r="219" spans="1:47" ht="25.5">
      <c r="B219" s="203">
        <v>65</v>
      </c>
      <c r="C219" s="205" t="s">
        <v>1153</v>
      </c>
      <c r="D219" s="135">
        <v>212</v>
      </c>
      <c r="E219" s="99" t="s">
        <v>442</v>
      </c>
      <c r="F219" s="135" t="s">
        <v>6</v>
      </c>
      <c r="G219" s="90" t="s">
        <v>544</v>
      </c>
      <c r="H219" s="135" t="s">
        <v>18</v>
      </c>
      <c r="I219" s="135" t="s">
        <v>9</v>
      </c>
      <c r="J219" s="100" t="s">
        <v>993</v>
      </c>
      <c r="K219" s="91">
        <v>43587</v>
      </c>
      <c r="L219" s="92" t="s">
        <v>1046</v>
      </c>
      <c r="M219" s="90">
        <f t="shared" si="10"/>
        <v>29</v>
      </c>
      <c r="N219" s="135" t="s">
        <v>3</v>
      </c>
      <c r="O219" s="135" t="s">
        <v>1004</v>
      </c>
      <c r="P219" s="99" t="s">
        <v>1287</v>
      </c>
      <c r="Q219" s="135"/>
      <c r="R219" s="99" t="s">
        <v>1128</v>
      </c>
    </row>
    <row r="220" spans="1:47" ht="25.5">
      <c r="B220" s="203"/>
      <c r="C220" s="203"/>
      <c r="D220" s="135">
        <v>213</v>
      </c>
      <c r="E220" s="99" t="s">
        <v>1151</v>
      </c>
      <c r="F220" s="135" t="s">
        <v>21</v>
      </c>
      <c r="G220" s="92" t="s">
        <v>1152</v>
      </c>
      <c r="H220" s="135" t="s">
        <v>1</v>
      </c>
      <c r="I220" s="135" t="s">
        <v>9</v>
      </c>
      <c r="J220" s="100" t="s">
        <v>1144</v>
      </c>
      <c r="K220" s="91">
        <v>43496</v>
      </c>
      <c r="L220" s="92" t="s">
        <v>1133</v>
      </c>
      <c r="M220" s="90">
        <f t="shared" si="10"/>
        <v>26</v>
      </c>
      <c r="N220" s="135" t="s">
        <v>3</v>
      </c>
      <c r="O220" s="135" t="s">
        <v>1004</v>
      </c>
      <c r="P220" s="99" t="s">
        <v>1287</v>
      </c>
      <c r="Q220" s="135"/>
      <c r="R220" s="99" t="s">
        <v>1276</v>
      </c>
    </row>
    <row r="221" spans="1:47" s="135" customFormat="1" ht="25.5">
      <c r="A221" s="136"/>
      <c r="B221" s="203">
        <v>66</v>
      </c>
      <c r="C221" s="205" t="s">
        <v>1702</v>
      </c>
      <c r="D221" s="135">
        <v>214</v>
      </c>
      <c r="E221" s="99" t="s">
        <v>1156</v>
      </c>
      <c r="F221" s="135" t="s">
        <v>6</v>
      </c>
      <c r="G221" s="92" t="s">
        <v>1703</v>
      </c>
      <c r="H221" s="135" t="s">
        <v>18</v>
      </c>
      <c r="I221" s="135" t="s">
        <v>9</v>
      </c>
      <c r="J221" s="100" t="s">
        <v>1016</v>
      </c>
      <c r="K221" s="91">
        <v>33237</v>
      </c>
      <c r="L221" s="92" t="s">
        <v>1046</v>
      </c>
      <c r="M221" s="90">
        <f t="shared" si="10"/>
        <v>29</v>
      </c>
      <c r="N221" s="135" t="s">
        <v>3</v>
      </c>
      <c r="O221" s="135" t="s">
        <v>1004</v>
      </c>
      <c r="P221" s="99" t="s">
        <v>1287</v>
      </c>
      <c r="R221" s="99" t="s">
        <v>23</v>
      </c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  <c r="AQ221" s="88"/>
      <c r="AR221" s="88"/>
      <c r="AS221" s="88"/>
      <c r="AT221" s="88"/>
      <c r="AU221" s="89"/>
    </row>
    <row r="222" spans="1:47" s="135" customFormat="1" ht="25.5">
      <c r="A222" s="138"/>
      <c r="B222" s="203"/>
      <c r="C222" s="205"/>
      <c r="D222" s="135">
        <v>215</v>
      </c>
      <c r="E222" s="99" t="s">
        <v>1157</v>
      </c>
      <c r="F222" s="135" t="s">
        <v>21</v>
      </c>
      <c r="G222" s="92" t="s">
        <v>1704</v>
      </c>
      <c r="H222" s="135" t="s">
        <v>1</v>
      </c>
      <c r="I222" s="135" t="s">
        <v>9</v>
      </c>
      <c r="J222" s="100" t="s">
        <v>1159</v>
      </c>
      <c r="K222" s="91">
        <v>34525</v>
      </c>
      <c r="L222" s="92" t="s">
        <v>1061</v>
      </c>
      <c r="M222" s="90">
        <f t="shared" si="10"/>
        <v>25</v>
      </c>
      <c r="N222" s="135" t="s">
        <v>3</v>
      </c>
      <c r="O222" s="135" t="s">
        <v>1004</v>
      </c>
      <c r="P222" s="99" t="s">
        <v>1287</v>
      </c>
      <c r="R222" s="99" t="s">
        <v>1276</v>
      </c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  <c r="AQ222" s="88"/>
      <c r="AR222" s="88"/>
      <c r="AS222" s="88"/>
      <c r="AT222" s="88"/>
      <c r="AU222" s="89"/>
    </row>
    <row r="223" spans="1:47" s="135" customFormat="1" ht="25.5">
      <c r="B223" s="203">
        <v>67</v>
      </c>
      <c r="C223" s="203" t="s">
        <v>1289</v>
      </c>
      <c r="D223" s="135">
        <v>216</v>
      </c>
      <c r="E223" s="99" t="s">
        <v>1290</v>
      </c>
      <c r="F223" s="135" t="s">
        <v>6</v>
      </c>
      <c r="G223" s="90" t="s">
        <v>1295</v>
      </c>
      <c r="H223" s="135" t="s">
        <v>18</v>
      </c>
      <c r="I223" s="135" t="s">
        <v>9</v>
      </c>
      <c r="J223" s="100" t="s">
        <v>993</v>
      </c>
      <c r="K223" s="91">
        <v>26115</v>
      </c>
      <c r="L223" s="90">
        <v>1971</v>
      </c>
      <c r="M223" s="90">
        <f t="shared" si="10"/>
        <v>48</v>
      </c>
      <c r="N223" s="135" t="s">
        <v>3</v>
      </c>
      <c r="O223" s="135" t="s">
        <v>1004</v>
      </c>
      <c r="P223" s="99" t="s">
        <v>1272</v>
      </c>
      <c r="R223" s="99" t="s">
        <v>1276</v>
      </c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  <c r="AQ223" s="88"/>
      <c r="AR223" s="88"/>
      <c r="AS223" s="88"/>
      <c r="AT223" s="88"/>
      <c r="AU223" s="89"/>
    </row>
    <row r="224" spans="1:47" s="135" customFormat="1" ht="25.5">
      <c r="B224" s="203"/>
      <c r="C224" s="203"/>
      <c r="D224" s="135">
        <v>217</v>
      </c>
      <c r="E224" s="99" t="s">
        <v>1291</v>
      </c>
      <c r="F224" s="135" t="s">
        <v>21</v>
      </c>
      <c r="G224" s="90" t="s">
        <v>1296</v>
      </c>
      <c r="H224" s="135" t="s">
        <v>1</v>
      </c>
      <c r="I224" s="135" t="s">
        <v>9</v>
      </c>
      <c r="J224" s="100" t="s">
        <v>1300</v>
      </c>
      <c r="K224" s="91">
        <v>27029</v>
      </c>
      <c r="L224" s="90">
        <v>1973</v>
      </c>
      <c r="M224" s="90">
        <f t="shared" si="10"/>
        <v>46</v>
      </c>
      <c r="N224" s="135" t="s">
        <v>3</v>
      </c>
      <c r="O224" s="135" t="s">
        <v>1004</v>
      </c>
      <c r="P224" s="99" t="s">
        <v>1272</v>
      </c>
      <c r="R224" s="99" t="s">
        <v>1277</v>
      </c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  <c r="AQ224" s="88"/>
      <c r="AR224" s="88"/>
      <c r="AS224" s="88"/>
      <c r="AT224" s="88"/>
      <c r="AU224" s="89"/>
    </row>
    <row r="225" spans="1:47" s="135" customFormat="1" ht="25.5">
      <c r="B225" s="203"/>
      <c r="C225" s="203"/>
      <c r="D225" s="135">
        <v>218</v>
      </c>
      <c r="E225" s="99" t="s">
        <v>1292</v>
      </c>
      <c r="F225" s="135" t="s">
        <v>12</v>
      </c>
      <c r="G225" s="90" t="s">
        <v>1297</v>
      </c>
      <c r="H225" s="135" t="s">
        <v>18</v>
      </c>
      <c r="I225" s="135" t="s">
        <v>1011</v>
      </c>
      <c r="J225" s="100" t="s">
        <v>993</v>
      </c>
      <c r="K225" s="91">
        <v>33724</v>
      </c>
      <c r="L225" s="90">
        <v>1992</v>
      </c>
      <c r="M225" s="90">
        <f t="shared" si="10"/>
        <v>27</v>
      </c>
      <c r="N225" s="135" t="s">
        <v>3</v>
      </c>
      <c r="O225" s="135" t="s">
        <v>1004</v>
      </c>
      <c r="P225" s="99" t="s">
        <v>1273</v>
      </c>
      <c r="R225" s="99" t="s">
        <v>1277</v>
      </c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  <c r="AQ225" s="88"/>
      <c r="AR225" s="88"/>
      <c r="AS225" s="88"/>
      <c r="AT225" s="88"/>
      <c r="AU225" s="89"/>
    </row>
    <row r="226" spans="1:47" s="135" customFormat="1" ht="25.5">
      <c r="B226" s="203"/>
      <c r="C226" s="203"/>
      <c r="D226" s="135">
        <v>219</v>
      </c>
      <c r="E226" s="99" t="s">
        <v>1293</v>
      </c>
      <c r="F226" s="135" t="s">
        <v>12</v>
      </c>
      <c r="G226" s="90" t="s">
        <v>1298</v>
      </c>
      <c r="H226" s="135" t="s">
        <v>18</v>
      </c>
      <c r="I226" s="135" t="s">
        <v>1011</v>
      </c>
      <c r="J226" s="100" t="s">
        <v>1016</v>
      </c>
      <c r="K226" s="91">
        <v>34699</v>
      </c>
      <c r="L226" s="90">
        <v>1994</v>
      </c>
      <c r="M226" s="90">
        <f t="shared" si="10"/>
        <v>25</v>
      </c>
      <c r="N226" s="135" t="s">
        <v>3</v>
      </c>
      <c r="O226" s="135" t="s">
        <v>1004</v>
      </c>
      <c r="P226" s="99" t="s">
        <v>1273</v>
      </c>
      <c r="R226" s="99" t="s">
        <v>1277</v>
      </c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  <c r="AQ226" s="88"/>
      <c r="AR226" s="88"/>
      <c r="AS226" s="88"/>
      <c r="AT226" s="88"/>
      <c r="AU226" s="89"/>
    </row>
    <row r="227" spans="1:47" s="135" customFormat="1" ht="25.5">
      <c r="B227" s="203"/>
      <c r="C227" s="203"/>
      <c r="D227" s="135">
        <v>220</v>
      </c>
      <c r="E227" s="99" t="s">
        <v>1294</v>
      </c>
      <c r="F227" s="135" t="s">
        <v>12</v>
      </c>
      <c r="G227" s="90" t="s">
        <v>1299</v>
      </c>
      <c r="H227" s="135" t="s">
        <v>18</v>
      </c>
      <c r="I227" s="135" t="s">
        <v>1011</v>
      </c>
      <c r="J227" s="100" t="s">
        <v>1016</v>
      </c>
      <c r="K227" s="91">
        <v>41036</v>
      </c>
      <c r="L227" s="90">
        <v>2012</v>
      </c>
      <c r="M227" s="90">
        <f t="shared" si="10"/>
        <v>7</v>
      </c>
      <c r="N227" s="135" t="s">
        <v>3</v>
      </c>
      <c r="O227" s="135" t="s">
        <v>1004</v>
      </c>
      <c r="P227" s="99" t="s">
        <v>1288</v>
      </c>
      <c r="R227" s="99" t="s">
        <v>1277</v>
      </c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  <c r="AQ227" s="88"/>
      <c r="AR227" s="88"/>
      <c r="AS227" s="88"/>
      <c r="AT227" s="88"/>
      <c r="AU227" s="89"/>
    </row>
    <row r="228" spans="1:47" s="135" customFormat="1" ht="25.5">
      <c r="A228" s="136"/>
      <c r="B228" s="203">
        <v>68</v>
      </c>
      <c r="C228" s="203" t="s">
        <v>1310</v>
      </c>
      <c r="D228" s="135">
        <v>221</v>
      </c>
      <c r="E228" s="99" t="s">
        <v>425</v>
      </c>
      <c r="F228" s="135" t="s">
        <v>6</v>
      </c>
      <c r="G228" s="90" t="s">
        <v>1313</v>
      </c>
      <c r="H228" s="135" t="s">
        <v>18</v>
      </c>
      <c r="I228" s="135" t="s">
        <v>9</v>
      </c>
      <c r="J228" s="100" t="s">
        <v>993</v>
      </c>
      <c r="K228" s="91">
        <v>24289</v>
      </c>
      <c r="L228" s="90">
        <v>1966</v>
      </c>
      <c r="M228" s="90">
        <f t="shared" si="10"/>
        <v>53</v>
      </c>
      <c r="N228" s="135" t="s">
        <v>3</v>
      </c>
      <c r="O228" s="135" t="s">
        <v>1004</v>
      </c>
      <c r="P228" s="99" t="s">
        <v>1288</v>
      </c>
      <c r="R228" s="99" t="s">
        <v>1318</v>
      </c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  <c r="AQ228" s="88"/>
      <c r="AR228" s="88"/>
      <c r="AS228" s="88"/>
      <c r="AT228" s="88"/>
      <c r="AU228" s="89"/>
    </row>
    <row r="229" spans="1:47" s="135" customFormat="1" ht="25.5">
      <c r="A229" s="137"/>
      <c r="B229" s="203"/>
      <c r="C229" s="203"/>
      <c r="D229" s="135">
        <v>222</v>
      </c>
      <c r="E229" s="99" t="s">
        <v>1311</v>
      </c>
      <c r="F229" s="135" t="s">
        <v>21</v>
      </c>
      <c r="G229" s="90" t="s">
        <v>1314</v>
      </c>
      <c r="H229" s="135" t="s">
        <v>1</v>
      </c>
      <c r="I229" s="135" t="s">
        <v>9</v>
      </c>
      <c r="J229" s="100" t="s">
        <v>1317</v>
      </c>
      <c r="K229" s="91">
        <v>28307</v>
      </c>
      <c r="L229" s="90">
        <v>1977</v>
      </c>
      <c r="M229" s="90">
        <f t="shared" si="10"/>
        <v>42</v>
      </c>
      <c r="N229" s="135" t="s">
        <v>3</v>
      </c>
      <c r="O229" s="135" t="s">
        <v>1004</v>
      </c>
      <c r="P229" s="99" t="s">
        <v>1288</v>
      </c>
      <c r="R229" s="99" t="s">
        <v>1318</v>
      </c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  <c r="AQ229" s="88"/>
      <c r="AR229" s="88"/>
      <c r="AS229" s="88"/>
      <c r="AT229" s="88"/>
      <c r="AU229" s="89"/>
    </row>
    <row r="230" spans="1:47" s="135" customFormat="1" ht="25.5">
      <c r="A230" s="137"/>
      <c r="B230" s="203"/>
      <c r="C230" s="203"/>
      <c r="D230" s="135">
        <v>223</v>
      </c>
      <c r="E230" s="99" t="s">
        <v>417</v>
      </c>
      <c r="F230" s="135" t="s">
        <v>12</v>
      </c>
      <c r="G230" s="90" t="s">
        <v>1315</v>
      </c>
      <c r="H230" s="135" t="s">
        <v>18</v>
      </c>
      <c r="I230" s="135" t="s">
        <v>1011</v>
      </c>
      <c r="J230" s="100" t="s">
        <v>993</v>
      </c>
      <c r="K230" s="91">
        <v>33439</v>
      </c>
      <c r="L230" s="90">
        <v>1991</v>
      </c>
      <c r="M230" s="90">
        <f t="shared" si="10"/>
        <v>28</v>
      </c>
      <c r="N230" s="135" t="s">
        <v>3</v>
      </c>
      <c r="O230" s="135" t="s">
        <v>1004</v>
      </c>
      <c r="P230" s="99" t="s">
        <v>1287</v>
      </c>
      <c r="R230" s="99" t="s">
        <v>1277</v>
      </c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  <c r="AQ230" s="88"/>
      <c r="AR230" s="88"/>
      <c r="AS230" s="88"/>
      <c r="AT230" s="88"/>
      <c r="AU230" s="89"/>
    </row>
    <row r="231" spans="1:47" s="135" customFormat="1" ht="25.5">
      <c r="A231" s="138"/>
      <c r="B231" s="203"/>
      <c r="C231" s="203"/>
      <c r="D231" s="135">
        <v>224</v>
      </c>
      <c r="E231" s="99" t="s">
        <v>1312</v>
      </c>
      <c r="F231" s="135" t="s">
        <v>12</v>
      </c>
      <c r="G231" s="90" t="s">
        <v>1316</v>
      </c>
      <c r="H231" s="135" t="s">
        <v>1</v>
      </c>
      <c r="I231" s="135" t="s">
        <v>1011</v>
      </c>
      <c r="J231" s="100" t="s">
        <v>993</v>
      </c>
      <c r="K231" s="91">
        <v>37438</v>
      </c>
      <c r="L231" s="90">
        <v>2002</v>
      </c>
      <c r="M231" s="90">
        <f t="shared" si="10"/>
        <v>17</v>
      </c>
      <c r="N231" s="135" t="s">
        <v>3</v>
      </c>
      <c r="O231" s="135" t="s">
        <v>1004</v>
      </c>
      <c r="P231" s="99" t="s">
        <v>1274</v>
      </c>
      <c r="R231" s="99" t="s">
        <v>1309</v>
      </c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  <c r="AQ231" s="88"/>
      <c r="AR231" s="88"/>
      <c r="AS231" s="88"/>
      <c r="AT231" s="88"/>
      <c r="AU231" s="89"/>
    </row>
    <row r="232" spans="1:47" s="135" customFormat="1" ht="25.5">
      <c r="A232" s="136"/>
      <c r="B232" s="203">
        <v>69</v>
      </c>
      <c r="C232" s="203" t="s">
        <v>1340</v>
      </c>
      <c r="D232" s="135">
        <v>225</v>
      </c>
      <c r="E232" s="99" t="s">
        <v>1341</v>
      </c>
      <c r="F232" s="135" t="s">
        <v>6</v>
      </c>
      <c r="G232" s="90" t="s">
        <v>1345</v>
      </c>
      <c r="H232" s="135" t="s">
        <v>18</v>
      </c>
      <c r="I232" s="135" t="s">
        <v>9</v>
      </c>
      <c r="J232" s="100" t="s">
        <v>993</v>
      </c>
      <c r="K232" s="91">
        <v>19906</v>
      </c>
      <c r="L232" s="90">
        <v>1964</v>
      </c>
      <c r="M232" s="90">
        <f t="shared" si="10"/>
        <v>55</v>
      </c>
      <c r="N232" s="135" t="s">
        <v>3</v>
      </c>
      <c r="O232" s="135" t="s">
        <v>1004</v>
      </c>
      <c r="P232" s="99" t="s">
        <v>1272</v>
      </c>
      <c r="R232" s="99" t="s">
        <v>1128</v>
      </c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  <c r="AQ232" s="88"/>
      <c r="AR232" s="88"/>
      <c r="AS232" s="88"/>
      <c r="AT232" s="88"/>
      <c r="AU232" s="89"/>
    </row>
    <row r="233" spans="1:47" s="135" customFormat="1" ht="25.5">
      <c r="A233" s="137"/>
      <c r="B233" s="203"/>
      <c r="C233" s="203"/>
      <c r="D233" s="135">
        <v>226</v>
      </c>
      <c r="E233" s="99" t="s">
        <v>1342</v>
      </c>
      <c r="F233" s="135" t="s">
        <v>21</v>
      </c>
      <c r="G233" s="90" t="s">
        <v>1346</v>
      </c>
      <c r="H233" s="135" t="s">
        <v>1</v>
      </c>
      <c r="I233" s="135" t="s">
        <v>9</v>
      </c>
      <c r="J233" s="100" t="s">
        <v>993</v>
      </c>
      <c r="K233" s="91">
        <v>23924</v>
      </c>
      <c r="L233" s="90">
        <v>1965</v>
      </c>
      <c r="M233" s="90">
        <f t="shared" si="10"/>
        <v>54</v>
      </c>
      <c r="N233" s="135" t="s">
        <v>3</v>
      </c>
      <c r="O233" s="135" t="s">
        <v>1004</v>
      </c>
      <c r="P233" s="99" t="s">
        <v>1272</v>
      </c>
      <c r="R233" s="99" t="s">
        <v>1128</v>
      </c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  <c r="AQ233" s="88"/>
      <c r="AR233" s="88"/>
      <c r="AS233" s="88"/>
      <c r="AT233" s="88"/>
      <c r="AU233" s="89"/>
    </row>
    <row r="234" spans="1:47" s="135" customFormat="1">
      <c r="A234" s="137"/>
      <c r="B234" s="203"/>
      <c r="C234" s="203"/>
      <c r="D234" s="135">
        <v>227</v>
      </c>
      <c r="E234" s="99" t="s">
        <v>1343</v>
      </c>
      <c r="F234" s="135" t="s">
        <v>12</v>
      </c>
      <c r="G234" s="90" t="s">
        <v>1347</v>
      </c>
      <c r="H234" s="135" t="s">
        <v>18</v>
      </c>
      <c r="I234" s="135" t="s">
        <v>15</v>
      </c>
      <c r="J234" s="100" t="s">
        <v>993</v>
      </c>
      <c r="K234" s="91">
        <v>35064</v>
      </c>
      <c r="L234" s="90">
        <v>1995</v>
      </c>
      <c r="M234" s="90">
        <f t="shared" si="10"/>
        <v>24</v>
      </c>
      <c r="N234" s="135" t="s">
        <v>3</v>
      </c>
      <c r="O234" s="135" t="s">
        <v>1004</v>
      </c>
      <c r="P234" s="99" t="s">
        <v>1287</v>
      </c>
      <c r="R234" s="99" t="s">
        <v>1015</v>
      </c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  <c r="AQ234" s="88"/>
      <c r="AR234" s="88"/>
      <c r="AS234" s="88"/>
      <c r="AT234" s="88"/>
      <c r="AU234" s="89"/>
    </row>
    <row r="235" spans="1:47" s="135" customFormat="1" ht="25.5">
      <c r="A235" s="138"/>
      <c r="B235" s="203"/>
      <c r="C235" s="203"/>
      <c r="D235" s="135">
        <v>228</v>
      </c>
      <c r="E235" s="99" t="s">
        <v>1344</v>
      </c>
      <c r="F235" s="135" t="s">
        <v>12</v>
      </c>
      <c r="G235" s="90" t="s">
        <v>1348</v>
      </c>
      <c r="H235" s="135" t="s">
        <v>1</v>
      </c>
      <c r="I235" s="135" t="s">
        <v>15</v>
      </c>
      <c r="J235" s="100" t="s">
        <v>993</v>
      </c>
      <c r="K235" s="91">
        <v>37353</v>
      </c>
      <c r="L235" s="90">
        <v>2002</v>
      </c>
      <c r="M235" s="90">
        <f t="shared" si="10"/>
        <v>17</v>
      </c>
      <c r="N235" s="135" t="s">
        <v>3</v>
      </c>
      <c r="O235" s="135" t="s">
        <v>1004</v>
      </c>
      <c r="P235" s="99" t="s">
        <v>1274</v>
      </c>
      <c r="R235" s="99" t="s">
        <v>1309</v>
      </c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  <c r="AQ235" s="88"/>
      <c r="AR235" s="88"/>
      <c r="AS235" s="88"/>
      <c r="AT235" s="88"/>
      <c r="AU235" s="89"/>
    </row>
    <row r="236" spans="1:47" s="135" customFormat="1" ht="25.5">
      <c r="A236" s="136"/>
      <c r="B236" s="203">
        <v>70</v>
      </c>
      <c r="C236" s="203" t="s">
        <v>1674</v>
      </c>
      <c r="D236" s="135">
        <v>229</v>
      </c>
      <c r="E236" s="99" t="s">
        <v>55</v>
      </c>
      <c r="F236" s="135" t="s">
        <v>6</v>
      </c>
      <c r="G236" s="90" t="s">
        <v>1676</v>
      </c>
      <c r="H236" s="135" t="s">
        <v>18</v>
      </c>
      <c r="I236" s="135" t="s">
        <v>9</v>
      </c>
      <c r="J236" s="100" t="s">
        <v>1016</v>
      </c>
      <c r="K236" s="91">
        <v>27473</v>
      </c>
      <c r="L236" s="90">
        <v>1975</v>
      </c>
      <c r="M236" s="90">
        <f t="shared" si="10"/>
        <v>44</v>
      </c>
      <c r="N236" s="135" t="s">
        <v>3</v>
      </c>
      <c r="O236" s="135" t="s">
        <v>1004</v>
      </c>
      <c r="P236" s="99" t="s">
        <v>1273</v>
      </c>
      <c r="R236" s="99" t="s">
        <v>23</v>
      </c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  <c r="AQ236" s="88"/>
      <c r="AR236" s="88"/>
      <c r="AS236" s="88"/>
      <c r="AT236" s="88"/>
      <c r="AU236" s="89"/>
    </row>
    <row r="237" spans="1:47" s="135" customFormat="1" ht="25.5">
      <c r="A237" s="137"/>
      <c r="B237" s="203"/>
      <c r="C237" s="203"/>
      <c r="D237" s="135">
        <v>230</v>
      </c>
      <c r="E237" s="99" t="s">
        <v>56</v>
      </c>
      <c r="F237" s="135" t="s">
        <v>21</v>
      </c>
      <c r="G237" s="90" t="s">
        <v>1677</v>
      </c>
      <c r="H237" s="135" t="s">
        <v>1</v>
      </c>
      <c r="I237" s="135" t="s">
        <v>9</v>
      </c>
      <c r="J237" s="100" t="s">
        <v>1679</v>
      </c>
      <c r="K237" s="91">
        <v>32263</v>
      </c>
      <c r="L237" s="90">
        <v>1988</v>
      </c>
      <c r="M237" s="90">
        <f t="shared" si="10"/>
        <v>31</v>
      </c>
      <c r="N237" s="135" t="s">
        <v>3</v>
      </c>
      <c r="O237" s="135" t="s">
        <v>1004</v>
      </c>
      <c r="P237" s="99" t="s">
        <v>1287</v>
      </c>
      <c r="R237" s="99" t="s">
        <v>1276</v>
      </c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  <c r="AQ237" s="88"/>
      <c r="AR237" s="88"/>
      <c r="AS237" s="88"/>
      <c r="AT237" s="88"/>
      <c r="AU237" s="89"/>
    </row>
    <row r="238" spans="1:47" s="135" customFormat="1" ht="25.5">
      <c r="A238" s="138"/>
      <c r="B238" s="203"/>
      <c r="C238" s="203"/>
      <c r="D238" s="135">
        <v>231</v>
      </c>
      <c r="E238" s="99" t="s">
        <v>1675</v>
      </c>
      <c r="F238" s="135" t="s">
        <v>12</v>
      </c>
      <c r="G238" s="90" t="s">
        <v>1678</v>
      </c>
      <c r="H238" s="135" t="s">
        <v>18</v>
      </c>
      <c r="I238" s="135" t="s">
        <v>15</v>
      </c>
      <c r="J238" s="100" t="s">
        <v>1680</v>
      </c>
      <c r="K238" s="91">
        <v>42194</v>
      </c>
      <c r="L238" s="90">
        <v>2016</v>
      </c>
      <c r="M238" s="90">
        <f t="shared" si="10"/>
        <v>3</v>
      </c>
      <c r="N238" s="135" t="s">
        <v>3</v>
      </c>
      <c r="O238" s="135" t="s">
        <v>1004</v>
      </c>
      <c r="P238" s="99" t="s">
        <v>1288</v>
      </c>
      <c r="R238" s="99" t="s">
        <v>1277</v>
      </c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  <c r="AQ238" s="88"/>
      <c r="AR238" s="88"/>
      <c r="AS238" s="88"/>
      <c r="AT238" s="88"/>
      <c r="AU238" s="89"/>
    </row>
    <row r="239" spans="1:47" s="135" customFormat="1" ht="25.5">
      <c r="A239" s="136"/>
      <c r="B239" s="203">
        <v>71</v>
      </c>
      <c r="C239" s="203" t="s">
        <v>1749</v>
      </c>
      <c r="D239" s="135">
        <v>232</v>
      </c>
      <c r="E239" s="99" t="s">
        <v>1106</v>
      </c>
      <c r="F239" s="135" t="s">
        <v>6</v>
      </c>
      <c r="G239" s="90" t="s">
        <v>549</v>
      </c>
      <c r="H239" s="135" t="s">
        <v>1</v>
      </c>
      <c r="I239" s="135" t="s">
        <v>1235</v>
      </c>
      <c r="J239" s="100" t="s">
        <v>993</v>
      </c>
      <c r="K239" s="91">
        <v>32508</v>
      </c>
      <c r="L239" s="90">
        <v>1988</v>
      </c>
      <c r="M239" s="90">
        <f t="shared" si="10"/>
        <v>31</v>
      </c>
      <c r="N239" s="135" t="s">
        <v>3</v>
      </c>
      <c r="O239" s="135" t="s">
        <v>1004</v>
      </c>
      <c r="P239" s="99" t="s">
        <v>1273</v>
      </c>
      <c r="R239" s="99" t="s">
        <v>1276</v>
      </c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  <c r="AQ239" s="88"/>
      <c r="AR239" s="88"/>
      <c r="AS239" s="88"/>
      <c r="AT239" s="88"/>
      <c r="AU239" s="89"/>
    </row>
    <row r="240" spans="1:47" ht="25.5">
      <c r="B240" s="203"/>
      <c r="C240" s="203"/>
      <c r="D240" s="135">
        <v>233</v>
      </c>
      <c r="E240" s="99" t="s">
        <v>449</v>
      </c>
      <c r="F240" s="135" t="s">
        <v>12</v>
      </c>
      <c r="G240" s="90" t="s">
        <v>550</v>
      </c>
      <c r="H240" s="135" t="s">
        <v>1</v>
      </c>
      <c r="I240" s="135" t="s">
        <v>15</v>
      </c>
      <c r="J240" s="100" t="s">
        <v>993</v>
      </c>
      <c r="K240" s="91">
        <v>41466</v>
      </c>
      <c r="L240" s="90">
        <v>2013</v>
      </c>
      <c r="M240" s="90">
        <f t="shared" si="10"/>
        <v>6</v>
      </c>
      <c r="N240" s="135" t="s">
        <v>3</v>
      </c>
      <c r="O240" s="135" t="s">
        <v>1004</v>
      </c>
      <c r="P240" s="99" t="s">
        <v>1288</v>
      </c>
      <c r="Q240" s="135"/>
      <c r="R240" s="99" t="s">
        <v>1277</v>
      </c>
    </row>
    <row r="244" spans="4:18" s="88" customFormat="1" ht="15">
      <c r="D244" s="206" t="s">
        <v>2251</v>
      </c>
      <c r="E244" s="206"/>
      <c r="F244" s="206"/>
      <c r="L244" s="174"/>
      <c r="P244" s="175"/>
      <c r="R244" s="175"/>
    </row>
    <row r="245" spans="4:18" s="88" customFormat="1" ht="15">
      <c r="D245" s="206" t="s">
        <v>2252</v>
      </c>
      <c r="E245" s="206"/>
      <c r="F245" s="206"/>
      <c r="L245" s="174"/>
      <c r="P245" s="185" t="s">
        <v>2253</v>
      </c>
      <c r="Q245" s="185"/>
      <c r="R245" s="175"/>
    </row>
    <row r="246" spans="4:18" s="88" customFormat="1" ht="15">
      <c r="D246" s="176"/>
      <c r="E246" s="177"/>
      <c r="F246" s="176"/>
      <c r="L246" s="174"/>
      <c r="P246" s="98"/>
      <c r="Q246" s="108"/>
      <c r="R246" s="175"/>
    </row>
    <row r="247" spans="4:18" s="88" customFormat="1" ht="15">
      <c r="D247" s="176"/>
      <c r="E247" s="177"/>
      <c r="F247" s="176"/>
      <c r="L247" s="174"/>
      <c r="P247" s="98"/>
      <c r="Q247" s="108"/>
      <c r="R247" s="175"/>
    </row>
    <row r="248" spans="4:18" s="88" customFormat="1" ht="15">
      <c r="D248" s="176"/>
      <c r="E248" s="177"/>
      <c r="F248" s="176"/>
      <c r="L248" s="174"/>
      <c r="P248" s="98"/>
      <c r="Q248" s="108"/>
      <c r="R248" s="175"/>
    </row>
    <row r="249" spans="4:18" s="88" customFormat="1" ht="14.25">
      <c r="D249" s="207" t="s">
        <v>2254</v>
      </c>
      <c r="E249" s="207"/>
      <c r="F249" s="207"/>
      <c r="L249" s="174"/>
      <c r="P249" s="178" t="s">
        <v>2256</v>
      </c>
      <c r="Q249" s="178"/>
      <c r="R249" s="175"/>
    </row>
    <row r="250" spans="4:18" s="88" customFormat="1" ht="14.25">
      <c r="D250" s="207" t="s">
        <v>2255</v>
      </c>
      <c r="E250" s="207"/>
      <c r="F250" s="207"/>
      <c r="L250" s="174"/>
      <c r="P250" s="175"/>
      <c r="R250" s="175"/>
    </row>
  </sheetData>
  <autoFilter ref="A7:S240"/>
  <mergeCells count="149">
    <mergeCell ref="D250:F250"/>
    <mergeCell ref="B239:B240"/>
    <mergeCell ref="C239:C240"/>
    <mergeCell ref="B188:B190"/>
    <mergeCell ref="B203:B204"/>
    <mergeCell ref="C203:C204"/>
    <mergeCell ref="C236:C238"/>
    <mergeCell ref="B236:B238"/>
    <mergeCell ref="B223:B227"/>
    <mergeCell ref="C223:C227"/>
    <mergeCell ref="B228:B231"/>
    <mergeCell ref="C228:C231"/>
    <mergeCell ref="C221:C222"/>
    <mergeCell ref="B221:B222"/>
    <mergeCell ref="B214:B218"/>
    <mergeCell ref="C214:C218"/>
    <mergeCell ref="B232:B235"/>
    <mergeCell ref="C232:C235"/>
    <mergeCell ref="C219:C220"/>
    <mergeCell ref="B89:B91"/>
    <mergeCell ref="B92:B94"/>
    <mergeCell ref="B180:B187"/>
    <mergeCell ref="B95:B98"/>
    <mergeCell ref="B161:B164"/>
    <mergeCell ref="D244:F244"/>
    <mergeCell ref="D245:F245"/>
    <mergeCell ref="P245:Q245"/>
    <mergeCell ref="D249:F249"/>
    <mergeCell ref="P249:Q249"/>
    <mergeCell ref="B20:B22"/>
    <mergeCell ref="B8:B9"/>
    <mergeCell ref="B10:B12"/>
    <mergeCell ref="B13:B14"/>
    <mergeCell ref="B15:B17"/>
    <mergeCell ref="B18:B19"/>
    <mergeCell ref="C209:C213"/>
    <mergeCell ref="C104:C107"/>
    <mergeCell ref="C165:C168"/>
    <mergeCell ref="B137:B139"/>
    <mergeCell ref="B140:B144"/>
    <mergeCell ref="B146:B148"/>
    <mergeCell ref="B34:B36"/>
    <mergeCell ref="B121:B122"/>
    <mergeCell ref="C121:C122"/>
    <mergeCell ref="C205:C207"/>
    <mergeCell ref="C172:C179"/>
    <mergeCell ref="B172:B179"/>
    <mergeCell ref="C157:C160"/>
    <mergeCell ref="B83:B86"/>
    <mergeCell ref="B87:B88"/>
    <mergeCell ref="B197:B202"/>
    <mergeCell ref="B118:B120"/>
    <mergeCell ref="B123:B125"/>
    <mergeCell ref="B219:B220"/>
    <mergeCell ref="C188:C190"/>
    <mergeCell ref="B205:B207"/>
    <mergeCell ref="B115:B117"/>
    <mergeCell ref="C137:C139"/>
    <mergeCell ref="B37:B39"/>
    <mergeCell ref="B191:B192"/>
    <mergeCell ref="B157:B160"/>
    <mergeCell ref="B193:B196"/>
    <mergeCell ref="B209:B213"/>
    <mergeCell ref="C197:C202"/>
    <mergeCell ref="C95:C98"/>
    <mergeCell ref="C87:C88"/>
    <mergeCell ref="C57:C60"/>
    <mergeCell ref="C146:C148"/>
    <mergeCell ref="C61:C64"/>
    <mergeCell ref="B40:B44"/>
    <mergeCell ref="B61:B64"/>
    <mergeCell ref="B108:B110"/>
    <mergeCell ref="B149:B153"/>
    <mergeCell ref="C149:C153"/>
    <mergeCell ref="B104:B107"/>
    <mergeCell ref="B45:B48"/>
    <mergeCell ref="B132:B135"/>
    <mergeCell ref="C5:C6"/>
    <mergeCell ref="B30:B33"/>
    <mergeCell ref="C13:C14"/>
    <mergeCell ref="C118:C120"/>
    <mergeCell ref="C111:C114"/>
    <mergeCell ref="B111:B114"/>
    <mergeCell ref="B169:B171"/>
    <mergeCell ref="C23:C27"/>
    <mergeCell ref="B23:B27"/>
    <mergeCell ref="B28:B29"/>
    <mergeCell ref="C127:C131"/>
    <mergeCell ref="C34:C36"/>
    <mergeCell ref="B65:B66"/>
    <mergeCell ref="B51:B53"/>
    <mergeCell ref="B54:B55"/>
    <mergeCell ref="B57:B60"/>
    <mergeCell ref="B99:B103"/>
    <mergeCell ref="B165:B168"/>
    <mergeCell ref="C161:C164"/>
    <mergeCell ref="B155:B156"/>
    <mergeCell ref="B76:B78"/>
    <mergeCell ref="C18:C19"/>
    <mergeCell ref="C108:C110"/>
    <mergeCell ref="C99:C103"/>
    <mergeCell ref="N5:N6"/>
    <mergeCell ref="I5:I6"/>
    <mergeCell ref="C193:C196"/>
    <mergeCell ref="C132:C135"/>
    <mergeCell ref="C8:C9"/>
    <mergeCell ref="C76:C78"/>
    <mergeCell ref="C67:C70"/>
    <mergeCell ref="C83:C86"/>
    <mergeCell ref="C54:C55"/>
    <mergeCell ref="C40:C44"/>
    <mergeCell ref="C15:C17"/>
    <mergeCell ref="C180:C187"/>
    <mergeCell ref="C79:C82"/>
    <mergeCell ref="C155:C156"/>
    <mergeCell ref="C89:C91"/>
    <mergeCell ref="M5:M6"/>
    <mergeCell ref="C169:C171"/>
    <mergeCell ref="C191:C192"/>
    <mergeCell ref="C20:C22"/>
    <mergeCell ref="C30:C33"/>
    <mergeCell ref="C115:C117"/>
    <mergeCell ref="C37:C39"/>
    <mergeCell ref="C45:C48"/>
    <mergeCell ref="C51:C53"/>
    <mergeCell ref="J5:L5"/>
    <mergeCell ref="C140:C144"/>
    <mergeCell ref="B1:R1"/>
    <mergeCell ref="B2:R2"/>
    <mergeCell ref="C10:C12"/>
    <mergeCell ref="C28:C29"/>
    <mergeCell ref="C65:C66"/>
    <mergeCell ref="C71:C75"/>
    <mergeCell ref="C92:C94"/>
    <mergeCell ref="C123:C125"/>
    <mergeCell ref="E5:E6"/>
    <mergeCell ref="P5:P6"/>
    <mergeCell ref="R5:R6"/>
    <mergeCell ref="B79:B82"/>
    <mergeCell ref="Q5:Q6"/>
    <mergeCell ref="B67:B70"/>
    <mergeCell ref="B127:B131"/>
    <mergeCell ref="B5:B6"/>
    <mergeCell ref="D5:D6"/>
    <mergeCell ref="O5:O6"/>
    <mergeCell ref="F5:F6"/>
    <mergeCell ref="G5:G6"/>
    <mergeCell ref="H5:H6"/>
    <mergeCell ref="B71:B75"/>
  </mergeCells>
  <pageMargins left="1.37795275590551" right="0.196850393700787" top="0.39370078740157499" bottom="0.643700787" header="0.31496062992126" footer="0.31496062992126"/>
  <pageSetup paperSize="10000" scale="82" orientation="landscape" horizontalDpi="4294967293" verticalDpi="300" r:id="rId1"/>
  <headerFooter>
    <oddFooter>&amp;C&amp;"-,Bold"&amp;12&amp;P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S184"/>
  <sheetViews>
    <sheetView workbookViewId="0">
      <pane ySplit="6" topLeftCell="A87" activePane="bottomLeft" state="frozen"/>
      <selection pane="bottomLeft" activeCell="E91" sqref="E91"/>
    </sheetView>
  </sheetViews>
  <sheetFormatPr defaultRowHeight="12.75"/>
  <cols>
    <col min="1" max="1" width="9.140625" style="87"/>
    <col min="2" max="2" width="3.28515625" style="87" bestFit="1" customWidth="1"/>
    <col min="3" max="3" width="15.7109375" style="87" customWidth="1"/>
    <col min="4" max="4" width="6.7109375" style="87" customWidth="1"/>
    <col min="5" max="5" width="12.7109375" style="145" customWidth="1"/>
    <col min="6" max="6" width="9.7109375" style="87" customWidth="1"/>
    <col min="7" max="7" width="15.7109375" style="146" customWidth="1"/>
    <col min="8" max="8" width="7.7109375" style="87" customWidth="1"/>
    <col min="9" max="9" width="10.7109375" style="87" customWidth="1"/>
    <col min="10" max="10" width="13.7109375" style="147" customWidth="1"/>
    <col min="11" max="11" width="14.7109375" style="148" customWidth="1"/>
    <col min="12" max="12" width="6.140625" style="146" bestFit="1" customWidth="1"/>
    <col min="13" max="13" width="5.5703125" style="146" bestFit="1" customWidth="1"/>
    <col min="14" max="14" width="6.42578125" style="87" bestFit="1" customWidth="1"/>
    <col min="15" max="15" width="5.42578125" style="87" bestFit="1" customWidth="1"/>
    <col min="16" max="16" width="16.7109375" style="145" customWidth="1"/>
    <col min="17" max="17" width="7.5703125" style="87" bestFit="1" customWidth="1"/>
    <col min="18" max="18" width="15.7109375" style="145" customWidth="1"/>
    <col min="19" max="16384" width="9.140625" style="87"/>
  </cols>
  <sheetData>
    <row r="1" spans="2:18" s="97" customFormat="1" ht="15.75">
      <c r="B1" s="197" t="s">
        <v>2244</v>
      </c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</row>
    <row r="2" spans="2:18" s="97" customFormat="1" ht="15.75">
      <c r="B2" s="197" t="s">
        <v>2245</v>
      </c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</row>
    <row r="3" spans="2:18" s="97" customFormat="1" ht="15.75">
      <c r="B3" s="172" t="s">
        <v>2246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</row>
    <row r="4" spans="2:18" ht="15.75">
      <c r="B4" s="172" t="s">
        <v>2249</v>
      </c>
      <c r="C4" s="173"/>
      <c r="D4" s="173"/>
      <c r="E4" s="173"/>
      <c r="F4" s="173"/>
      <c r="G4" s="173"/>
      <c r="H4" s="173"/>
      <c r="I4" s="173"/>
      <c r="J4" s="173"/>
      <c r="K4" s="173"/>
      <c r="L4" s="173"/>
      <c r="M4" s="173"/>
      <c r="N4" s="173"/>
      <c r="O4" s="173"/>
      <c r="P4" s="173"/>
      <c r="Q4" s="173"/>
      <c r="R4" s="173"/>
    </row>
    <row r="5" spans="2:18" ht="20.100000000000001" customHeight="1">
      <c r="B5" s="217" t="s">
        <v>306</v>
      </c>
      <c r="C5" s="217" t="s">
        <v>2235</v>
      </c>
      <c r="D5" s="218" t="s">
        <v>1259</v>
      </c>
      <c r="E5" s="218" t="s">
        <v>314</v>
      </c>
      <c r="F5" s="218" t="s">
        <v>565</v>
      </c>
      <c r="G5" s="220" t="s">
        <v>313</v>
      </c>
      <c r="H5" s="218" t="s">
        <v>563</v>
      </c>
      <c r="I5" s="218" t="s">
        <v>308</v>
      </c>
      <c r="J5" s="219" t="s">
        <v>977</v>
      </c>
      <c r="K5" s="219"/>
      <c r="L5" s="219"/>
      <c r="M5" s="219"/>
      <c r="N5" s="217" t="s">
        <v>564</v>
      </c>
      <c r="O5" s="217" t="s">
        <v>982</v>
      </c>
      <c r="P5" s="218" t="s">
        <v>315</v>
      </c>
      <c r="Q5" s="217" t="s">
        <v>983</v>
      </c>
      <c r="R5" s="218" t="s">
        <v>311</v>
      </c>
    </row>
    <row r="6" spans="2:18" ht="20.100000000000001" customHeight="1">
      <c r="B6" s="209"/>
      <c r="C6" s="209"/>
      <c r="D6" s="200"/>
      <c r="E6" s="200"/>
      <c r="F6" s="200"/>
      <c r="G6" s="213"/>
      <c r="H6" s="200"/>
      <c r="I6" s="200"/>
      <c r="J6" s="149" t="s">
        <v>978</v>
      </c>
      <c r="K6" s="155" t="s">
        <v>979</v>
      </c>
      <c r="L6" s="156" t="s">
        <v>980</v>
      </c>
      <c r="M6" s="156" t="s">
        <v>1191</v>
      </c>
      <c r="N6" s="209"/>
      <c r="O6" s="209"/>
      <c r="P6" s="200"/>
      <c r="Q6" s="209"/>
      <c r="R6" s="200"/>
    </row>
    <row r="7" spans="2:18">
      <c r="B7" s="158"/>
      <c r="C7" s="158"/>
      <c r="D7" s="158"/>
      <c r="E7" s="159"/>
      <c r="F7" s="158"/>
      <c r="G7" s="160"/>
      <c r="H7" s="158"/>
      <c r="I7" s="158"/>
      <c r="J7" s="161"/>
      <c r="K7" s="162"/>
      <c r="L7" s="160"/>
      <c r="M7" s="160"/>
      <c r="N7" s="158"/>
      <c r="O7" s="158"/>
      <c r="P7" s="159"/>
      <c r="Q7" s="158"/>
      <c r="R7" s="159"/>
    </row>
    <row r="8" spans="2:18" ht="25.5">
      <c r="B8" s="203">
        <v>1</v>
      </c>
      <c r="C8" s="205" t="s">
        <v>1913</v>
      </c>
      <c r="D8" s="135">
        <v>1</v>
      </c>
      <c r="E8" s="99" t="s">
        <v>566</v>
      </c>
      <c r="F8" s="135" t="s">
        <v>6</v>
      </c>
      <c r="G8" s="92" t="s">
        <v>1914</v>
      </c>
      <c r="H8" s="135" t="s">
        <v>18</v>
      </c>
      <c r="I8" s="135" t="s">
        <v>9</v>
      </c>
      <c r="J8" s="102" t="s">
        <v>993</v>
      </c>
      <c r="K8" s="142">
        <v>22646</v>
      </c>
      <c r="L8" s="92" t="s">
        <v>1196</v>
      </c>
      <c r="M8" s="90">
        <f t="shared" ref="M8:M39" si="0">2019-L8</f>
        <v>58</v>
      </c>
      <c r="N8" s="135" t="s">
        <v>3</v>
      </c>
      <c r="O8" s="135" t="s">
        <v>1004</v>
      </c>
      <c r="P8" s="99" t="s">
        <v>1287</v>
      </c>
      <c r="Q8" s="135"/>
      <c r="R8" s="99" t="s">
        <v>1334</v>
      </c>
    </row>
    <row r="9" spans="2:18" ht="25.5">
      <c r="B9" s="203"/>
      <c r="C9" s="205"/>
      <c r="D9" s="135">
        <v>2</v>
      </c>
      <c r="E9" s="99" t="s">
        <v>567</v>
      </c>
      <c r="F9" s="135" t="s">
        <v>21</v>
      </c>
      <c r="G9" s="92" t="s">
        <v>1916</v>
      </c>
      <c r="H9" s="135" t="s">
        <v>1</v>
      </c>
      <c r="I9" s="135" t="s">
        <v>9</v>
      </c>
      <c r="J9" s="102" t="s">
        <v>1045</v>
      </c>
      <c r="K9" s="142">
        <v>24069</v>
      </c>
      <c r="L9" s="92" t="s">
        <v>1165</v>
      </c>
      <c r="M9" s="90">
        <f t="shared" si="0"/>
        <v>54</v>
      </c>
      <c r="N9" s="135" t="s">
        <v>3</v>
      </c>
      <c r="O9" s="135" t="s">
        <v>1004</v>
      </c>
      <c r="P9" s="99" t="s">
        <v>1287</v>
      </c>
      <c r="Q9" s="135"/>
      <c r="R9" s="99" t="s">
        <v>1276</v>
      </c>
    </row>
    <row r="10" spans="2:18" ht="25.5">
      <c r="B10" s="203"/>
      <c r="C10" s="205"/>
      <c r="D10" s="135">
        <v>3</v>
      </c>
      <c r="E10" s="99" t="s">
        <v>568</v>
      </c>
      <c r="F10" s="135" t="s">
        <v>12</v>
      </c>
      <c r="G10" s="92" t="s">
        <v>1917</v>
      </c>
      <c r="H10" s="135" t="s">
        <v>18</v>
      </c>
      <c r="I10" s="135" t="s">
        <v>15</v>
      </c>
      <c r="J10" s="102" t="s">
        <v>993</v>
      </c>
      <c r="K10" s="142">
        <v>34340</v>
      </c>
      <c r="L10" s="92" t="s">
        <v>1061</v>
      </c>
      <c r="M10" s="90">
        <f t="shared" si="0"/>
        <v>25</v>
      </c>
      <c r="N10" s="135" t="s">
        <v>3</v>
      </c>
      <c r="O10" s="135" t="s">
        <v>1004</v>
      </c>
      <c r="P10" s="99" t="s">
        <v>1287</v>
      </c>
      <c r="Q10" s="135"/>
      <c r="R10" s="99" t="s">
        <v>1309</v>
      </c>
    </row>
    <row r="11" spans="2:18" ht="38.25">
      <c r="B11" s="203"/>
      <c r="C11" s="205"/>
      <c r="D11" s="135">
        <v>4</v>
      </c>
      <c r="E11" s="99" t="s">
        <v>1912</v>
      </c>
      <c r="F11" s="135" t="s">
        <v>12</v>
      </c>
      <c r="G11" s="92" t="s">
        <v>1915</v>
      </c>
      <c r="H11" s="135" t="s">
        <v>1</v>
      </c>
      <c r="I11" s="135" t="s">
        <v>15</v>
      </c>
      <c r="J11" s="102" t="s">
        <v>993</v>
      </c>
      <c r="K11" s="142">
        <v>37231</v>
      </c>
      <c r="L11" s="92" t="s">
        <v>1094</v>
      </c>
      <c r="M11" s="90">
        <f t="shared" si="0"/>
        <v>18</v>
      </c>
      <c r="N11" s="135" t="s">
        <v>3</v>
      </c>
      <c r="O11" s="135" t="s">
        <v>1004</v>
      </c>
      <c r="P11" s="99" t="s">
        <v>1274</v>
      </c>
      <c r="Q11" s="135"/>
      <c r="R11" s="99" t="s">
        <v>1309</v>
      </c>
    </row>
    <row r="12" spans="2:18" ht="38.25">
      <c r="B12" s="203"/>
      <c r="C12" s="205"/>
      <c r="D12" s="135">
        <v>5</v>
      </c>
      <c r="E12" s="99" t="s">
        <v>569</v>
      </c>
      <c r="F12" s="135" t="s">
        <v>12</v>
      </c>
      <c r="G12" s="92" t="s">
        <v>1918</v>
      </c>
      <c r="H12" s="135" t="s">
        <v>18</v>
      </c>
      <c r="I12" s="135" t="s">
        <v>15</v>
      </c>
      <c r="J12" s="102" t="s">
        <v>993</v>
      </c>
      <c r="K12" s="142">
        <v>38043</v>
      </c>
      <c r="L12" s="92">
        <v>2004</v>
      </c>
      <c r="M12" s="90">
        <f t="shared" si="0"/>
        <v>15</v>
      </c>
      <c r="N12" s="135" t="s">
        <v>3</v>
      </c>
      <c r="O12" s="135" t="s">
        <v>1004</v>
      </c>
      <c r="P12" s="99" t="s">
        <v>1274</v>
      </c>
      <c r="Q12" s="135"/>
      <c r="R12" s="99" t="s">
        <v>1309</v>
      </c>
    </row>
    <row r="13" spans="2:18" ht="38.25">
      <c r="B13" s="203">
        <v>2</v>
      </c>
      <c r="C13" s="205" t="s">
        <v>1905</v>
      </c>
      <c r="D13" s="135">
        <v>6</v>
      </c>
      <c r="E13" s="99" t="s">
        <v>1906</v>
      </c>
      <c r="F13" s="135" t="s">
        <v>6</v>
      </c>
      <c r="G13" s="92" t="s">
        <v>1909</v>
      </c>
      <c r="H13" s="135" t="s">
        <v>18</v>
      </c>
      <c r="I13" s="135" t="s">
        <v>9</v>
      </c>
      <c r="J13" s="102" t="s">
        <v>993</v>
      </c>
      <c r="K13" s="142">
        <v>32162</v>
      </c>
      <c r="L13" s="92">
        <v>1988</v>
      </c>
      <c r="M13" s="90">
        <f t="shared" si="0"/>
        <v>31</v>
      </c>
      <c r="N13" s="135" t="s">
        <v>3</v>
      </c>
      <c r="O13" s="135" t="s">
        <v>1004</v>
      </c>
      <c r="P13" s="99" t="s">
        <v>1572</v>
      </c>
      <c r="Q13" s="135"/>
      <c r="R13" s="99" t="s">
        <v>1185</v>
      </c>
    </row>
    <row r="14" spans="2:18" ht="25.5">
      <c r="B14" s="203"/>
      <c r="C14" s="205"/>
      <c r="D14" s="135">
        <v>7</v>
      </c>
      <c r="E14" s="99" t="s">
        <v>1907</v>
      </c>
      <c r="F14" s="135" t="s">
        <v>21</v>
      </c>
      <c r="G14" s="92" t="s">
        <v>1910</v>
      </c>
      <c r="H14" s="135" t="s">
        <v>1</v>
      </c>
      <c r="I14" s="135" t="s">
        <v>9</v>
      </c>
      <c r="J14" s="102" t="s">
        <v>1072</v>
      </c>
      <c r="K14" s="142">
        <v>32169</v>
      </c>
      <c r="L14" s="92">
        <v>1988</v>
      </c>
      <c r="M14" s="90">
        <f t="shared" si="0"/>
        <v>31</v>
      </c>
      <c r="N14" s="135" t="s">
        <v>3</v>
      </c>
      <c r="O14" s="135" t="s">
        <v>1004</v>
      </c>
      <c r="P14" s="99" t="s">
        <v>1197</v>
      </c>
      <c r="Q14" s="135"/>
      <c r="R14" s="99" t="s">
        <v>1276</v>
      </c>
    </row>
    <row r="15" spans="2:18" ht="38.25">
      <c r="B15" s="203"/>
      <c r="C15" s="205"/>
      <c r="D15" s="135">
        <v>8</v>
      </c>
      <c r="E15" s="99" t="s">
        <v>1908</v>
      </c>
      <c r="F15" s="135" t="s">
        <v>12</v>
      </c>
      <c r="G15" s="92" t="s">
        <v>1911</v>
      </c>
      <c r="H15" s="135" t="s">
        <v>18</v>
      </c>
      <c r="I15" s="135" t="s">
        <v>15</v>
      </c>
      <c r="J15" s="102" t="s">
        <v>993</v>
      </c>
      <c r="K15" s="142">
        <v>43223</v>
      </c>
      <c r="L15" s="92">
        <v>2018</v>
      </c>
      <c r="M15" s="90">
        <f t="shared" si="0"/>
        <v>1</v>
      </c>
      <c r="N15" s="135" t="s">
        <v>3</v>
      </c>
      <c r="O15" s="135" t="s">
        <v>1004</v>
      </c>
      <c r="P15" s="99" t="s">
        <v>1288</v>
      </c>
      <c r="Q15" s="135"/>
      <c r="R15" s="99" t="s">
        <v>1277</v>
      </c>
    </row>
    <row r="16" spans="2:18" ht="25.5">
      <c r="B16" s="203">
        <v>3</v>
      </c>
      <c r="C16" s="203" t="s">
        <v>1919</v>
      </c>
      <c r="D16" s="135">
        <v>9</v>
      </c>
      <c r="E16" s="99" t="s">
        <v>1920</v>
      </c>
      <c r="F16" s="135" t="s">
        <v>6</v>
      </c>
      <c r="G16" s="90" t="s">
        <v>571</v>
      </c>
      <c r="H16" s="135" t="s">
        <v>18</v>
      </c>
      <c r="I16" s="135" t="s">
        <v>9</v>
      </c>
      <c r="J16" s="102" t="s">
        <v>993</v>
      </c>
      <c r="K16" s="91">
        <v>20454</v>
      </c>
      <c r="L16" s="90">
        <v>1955</v>
      </c>
      <c r="M16" s="90">
        <f t="shared" si="0"/>
        <v>64</v>
      </c>
      <c r="N16" s="135" t="s">
        <v>3</v>
      </c>
      <c r="O16" s="135" t="s">
        <v>1004</v>
      </c>
      <c r="P16" s="99" t="s">
        <v>1287</v>
      </c>
      <c r="Q16" s="135"/>
      <c r="R16" s="99" t="s">
        <v>570</v>
      </c>
    </row>
    <row r="17" spans="2:18" ht="25.5">
      <c r="B17" s="203"/>
      <c r="C17" s="203"/>
      <c r="D17" s="135">
        <v>10</v>
      </c>
      <c r="E17" s="99" t="s">
        <v>1921</v>
      </c>
      <c r="F17" s="135" t="s">
        <v>21</v>
      </c>
      <c r="G17" s="90" t="s">
        <v>1922</v>
      </c>
      <c r="H17" s="135" t="s">
        <v>1</v>
      </c>
      <c r="I17" s="135" t="s">
        <v>9</v>
      </c>
      <c r="J17" s="102" t="s">
        <v>993</v>
      </c>
      <c r="K17" s="91">
        <v>21550</v>
      </c>
      <c r="L17" s="90">
        <v>1958</v>
      </c>
      <c r="M17" s="90">
        <f t="shared" si="0"/>
        <v>61</v>
      </c>
      <c r="N17" s="135" t="s">
        <v>3</v>
      </c>
      <c r="O17" s="135" t="s">
        <v>1004</v>
      </c>
      <c r="P17" s="99" t="s">
        <v>1272</v>
      </c>
      <c r="Q17" s="135"/>
      <c r="R17" s="99" t="s">
        <v>1276</v>
      </c>
    </row>
    <row r="18" spans="2:18" ht="25.5">
      <c r="B18" s="203">
        <v>4</v>
      </c>
      <c r="C18" s="203" t="s">
        <v>1935</v>
      </c>
      <c r="D18" s="135">
        <v>11</v>
      </c>
      <c r="E18" s="99" t="s">
        <v>572</v>
      </c>
      <c r="F18" s="135" t="s">
        <v>6</v>
      </c>
      <c r="G18" s="90" t="s">
        <v>1936</v>
      </c>
      <c r="H18" s="135" t="s">
        <v>18</v>
      </c>
      <c r="I18" s="135" t="s">
        <v>9</v>
      </c>
      <c r="J18" s="102" t="s">
        <v>993</v>
      </c>
      <c r="K18" s="91">
        <v>23376</v>
      </c>
      <c r="L18" s="90">
        <v>1963</v>
      </c>
      <c r="M18" s="90">
        <f t="shared" si="0"/>
        <v>56</v>
      </c>
      <c r="N18" s="135" t="s">
        <v>3</v>
      </c>
      <c r="O18" s="135" t="s">
        <v>1004</v>
      </c>
      <c r="P18" s="99" t="s">
        <v>1287</v>
      </c>
      <c r="Q18" s="135"/>
      <c r="R18" s="99" t="s">
        <v>1334</v>
      </c>
    </row>
    <row r="19" spans="2:18" ht="25.5">
      <c r="B19" s="203"/>
      <c r="C19" s="203"/>
      <c r="D19" s="135">
        <v>12</v>
      </c>
      <c r="E19" s="99" t="s">
        <v>573</v>
      </c>
      <c r="F19" s="135" t="s">
        <v>21</v>
      </c>
      <c r="G19" s="90" t="s">
        <v>1937</v>
      </c>
      <c r="H19" s="135" t="s">
        <v>1</v>
      </c>
      <c r="I19" s="135" t="s">
        <v>9</v>
      </c>
      <c r="J19" s="102" t="s">
        <v>993</v>
      </c>
      <c r="K19" s="91">
        <v>25720</v>
      </c>
      <c r="L19" s="90">
        <v>1970</v>
      </c>
      <c r="M19" s="90">
        <f t="shared" si="0"/>
        <v>49</v>
      </c>
      <c r="N19" s="135" t="s">
        <v>3</v>
      </c>
      <c r="O19" s="135" t="s">
        <v>1004</v>
      </c>
      <c r="P19" s="99" t="s">
        <v>1287</v>
      </c>
      <c r="Q19" s="135"/>
      <c r="R19" s="99" t="s">
        <v>1276</v>
      </c>
    </row>
    <row r="20" spans="2:18" ht="38.25">
      <c r="B20" s="203"/>
      <c r="C20" s="203"/>
      <c r="D20" s="135">
        <v>13</v>
      </c>
      <c r="E20" s="99" t="s">
        <v>1933</v>
      </c>
      <c r="F20" s="135" t="s">
        <v>12</v>
      </c>
      <c r="G20" s="90" t="s">
        <v>1938</v>
      </c>
      <c r="H20" s="135" t="s">
        <v>18</v>
      </c>
      <c r="I20" s="135" t="s">
        <v>15</v>
      </c>
      <c r="J20" s="102" t="s">
        <v>993</v>
      </c>
      <c r="K20" s="91">
        <v>33315</v>
      </c>
      <c r="L20" s="90">
        <v>1991</v>
      </c>
      <c r="M20" s="90">
        <f t="shared" si="0"/>
        <v>28</v>
      </c>
      <c r="N20" s="135" t="s">
        <v>3</v>
      </c>
      <c r="O20" s="135" t="s">
        <v>1004</v>
      </c>
      <c r="P20" s="99" t="s">
        <v>1287</v>
      </c>
      <c r="Q20" s="135"/>
      <c r="R20" s="99" t="s">
        <v>23</v>
      </c>
    </row>
    <row r="21" spans="2:18" ht="25.5">
      <c r="B21" s="203"/>
      <c r="C21" s="203"/>
      <c r="D21" s="135">
        <v>14</v>
      </c>
      <c r="E21" s="99" t="s">
        <v>1934</v>
      </c>
      <c r="F21" s="135" t="s">
        <v>12</v>
      </c>
      <c r="G21" s="90" t="s">
        <v>1939</v>
      </c>
      <c r="H21" s="135" t="s">
        <v>18</v>
      </c>
      <c r="I21" s="135" t="s">
        <v>15</v>
      </c>
      <c r="J21" s="102" t="s">
        <v>1016</v>
      </c>
      <c r="K21" s="91">
        <v>36771</v>
      </c>
      <c r="L21" s="90">
        <v>2000</v>
      </c>
      <c r="M21" s="90">
        <f t="shared" si="0"/>
        <v>19</v>
      </c>
      <c r="N21" s="135" t="s">
        <v>3</v>
      </c>
      <c r="O21" s="135" t="s">
        <v>1004</v>
      </c>
      <c r="P21" s="99" t="s">
        <v>1273</v>
      </c>
      <c r="Q21" s="135"/>
      <c r="R21" s="99" t="s">
        <v>1309</v>
      </c>
    </row>
    <row r="22" spans="2:18" ht="25.5">
      <c r="B22" s="203"/>
      <c r="C22" s="203"/>
      <c r="D22" s="135">
        <v>15</v>
      </c>
      <c r="E22" s="99" t="s">
        <v>574</v>
      </c>
      <c r="F22" s="135" t="s">
        <v>12</v>
      </c>
      <c r="G22" s="90" t="s">
        <v>1940</v>
      </c>
      <c r="H22" s="135" t="s">
        <v>18</v>
      </c>
      <c r="I22" s="135" t="s">
        <v>15</v>
      </c>
      <c r="J22" s="102" t="s">
        <v>993</v>
      </c>
      <c r="K22" s="91">
        <v>39958</v>
      </c>
      <c r="L22" s="90">
        <v>2009</v>
      </c>
      <c r="M22" s="90">
        <f t="shared" si="0"/>
        <v>10</v>
      </c>
      <c r="N22" s="135" t="s">
        <v>3</v>
      </c>
      <c r="O22" s="135" t="s">
        <v>1004</v>
      </c>
      <c r="P22" s="99" t="s">
        <v>1274</v>
      </c>
      <c r="Q22" s="135"/>
      <c r="R22" s="99" t="s">
        <v>1309</v>
      </c>
    </row>
    <row r="23" spans="2:18" ht="25.5">
      <c r="B23" s="203">
        <v>5</v>
      </c>
      <c r="C23" s="205" t="s">
        <v>1326</v>
      </c>
      <c r="D23" s="135">
        <v>16</v>
      </c>
      <c r="E23" s="99" t="s">
        <v>575</v>
      </c>
      <c r="F23" s="135" t="s">
        <v>6</v>
      </c>
      <c r="G23" s="92" t="s">
        <v>1328</v>
      </c>
      <c r="H23" s="135" t="s">
        <v>18</v>
      </c>
      <c r="I23" s="135" t="s">
        <v>9</v>
      </c>
      <c r="J23" s="102" t="s">
        <v>993</v>
      </c>
      <c r="K23" s="91">
        <v>25933</v>
      </c>
      <c r="L23" s="92" t="s">
        <v>1018</v>
      </c>
      <c r="M23" s="90">
        <f t="shared" si="0"/>
        <v>49</v>
      </c>
      <c r="N23" s="135" t="s">
        <v>3</v>
      </c>
      <c r="O23" s="135" t="s">
        <v>1004</v>
      </c>
      <c r="P23" s="99" t="s">
        <v>1287</v>
      </c>
      <c r="Q23" s="135"/>
      <c r="R23" s="99" t="s">
        <v>1334</v>
      </c>
    </row>
    <row r="24" spans="2:18" ht="25.5">
      <c r="B24" s="203"/>
      <c r="C24" s="205"/>
      <c r="D24" s="135">
        <v>17</v>
      </c>
      <c r="E24" s="99" t="s">
        <v>576</v>
      </c>
      <c r="F24" s="135" t="s">
        <v>21</v>
      </c>
      <c r="G24" s="92" t="s">
        <v>1329</v>
      </c>
      <c r="H24" s="135" t="s">
        <v>1</v>
      </c>
      <c r="I24" s="135" t="s">
        <v>9</v>
      </c>
      <c r="J24" s="102" t="s">
        <v>1238</v>
      </c>
      <c r="K24" s="91">
        <v>26674</v>
      </c>
      <c r="L24" s="92" t="s">
        <v>1035</v>
      </c>
      <c r="M24" s="90">
        <f t="shared" si="0"/>
        <v>46</v>
      </c>
      <c r="N24" s="135" t="s">
        <v>3</v>
      </c>
      <c r="O24" s="135" t="s">
        <v>1004</v>
      </c>
      <c r="P24" s="99" t="s">
        <v>1287</v>
      </c>
      <c r="Q24" s="135"/>
      <c r="R24" s="99" t="s">
        <v>1276</v>
      </c>
    </row>
    <row r="25" spans="2:18" ht="25.5">
      <c r="B25" s="203"/>
      <c r="C25" s="205"/>
      <c r="D25" s="135">
        <v>18</v>
      </c>
      <c r="E25" s="99" t="s">
        <v>1327</v>
      </c>
      <c r="F25" s="135" t="s">
        <v>12</v>
      </c>
      <c r="G25" s="92" t="s">
        <v>1330</v>
      </c>
      <c r="H25" s="135" t="s">
        <v>18</v>
      </c>
      <c r="I25" s="135" t="s">
        <v>15</v>
      </c>
      <c r="J25" s="102" t="s">
        <v>1239</v>
      </c>
      <c r="K25" s="91">
        <v>34207</v>
      </c>
      <c r="L25" s="92" t="s">
        <v>1133</v>
      </c>
      <c r="M25" s="90">
        <f t="shared" si="0"/>
        <v>26</v>
      </c>
      <c r="N25" s="135" t="s">
        <v>3</v>
      </c>
      <c r="O25" s="135" t="s">
        <v>1004</v>
      </c>
      <c r="P25" s="99" t="s">
        <v>1273</v>
      </c>
      <c r="Q25" s="135"/>
      <c r="R25" s="99" t="s">
        <v>1309</v>
      </c>
    </row>
    <row r="26" spans="2:18" ht="25.5">
      <c r="B26" s="203"/>
      <c r="C26" s="205"/>
      <c r="D26" s="135">
        <v>19</v>
      </c>
      <c r="E26" s="99" t="s">
        <v>577</v>
      </c>
      <c r="F26" s="135" t="s">
        <v>12</v>
      </c>
      <c r="G26" s="92" t="s">
        <v>1331</v>
      </c>
      <c r="H26" s="135" t="s">
        <v>1</v>
      </c>
      <c r="I26" s="135" t="s">
        <v>15</v>
      </c>
      <c r="J26" s="102" t="s">
        <v>993</v>
      </c>
      <c r="K26" s="91">
        <v>36174</v>
      </c>
      <c r="L26" s="92" t="s">
        <v>1055</v>
      </c>
      <c r="M26" s="90">
        <f t="shared" si="0"/>
        <v>20</v>
      </c>
      <c r="N26" s="135" t="s">
        <v>3</v>
      </c>
      <c r="O26" s="135" t="s">
        <v>1004</v>
      </c>
      <c r="P26" s="99" t="s">
        <v>1240</v>
      </c>
      <c r="Q26" s="135"/>
      <c r="R26" s="99" t="s">
        <v>1309</v>
      </c>
    </row>
    <row r="27" spans="2:18" ht="25.5">
      <c r="B27" s="203"/>
      <c r="C27" s="205"/>
      <c r="D27" s="135">
        <v>20</v>
      </c>
      <c r="E27" s="99" t="s">
        <v>578</v>
      </c>
      <c r="F27" s="135" t="s">
        <v>12</v>
      </c>
      <c r="G27" s="92" t="s">
        <v>1332</v>
      </c>
      <c r="H27" s="135" t="s">
        <v>18</v>
      </c>
      <c r="I27" s="135" t="s">
        <v>15</v>
      </c>
      <c r="J27" s="102" t="s">
        <v>993</v>
      </c>
      <c r="K27" s="91">
        <v>38626</v>
      </c>
      <c r="L27" s="92" t="s">
        <v>1036</v>
      </c>
      <c r="M27" s="90">
        <f t="shared" si="0"/>
        <v>14</v>
      </c>
      <c r="N27" s="135" t="s">
        <v>3</v>
      </c>
      <c r="O27" s="135" t="s">
        <v>1004</v>
      </c>
      <c r="P27" s="99" t="s">
        <v>1274</v>
      </c>
      <c r="Q27" s="135"/>
      <c r="R27" s="99" t="s">
        <v>1309</v>
      </c>
    </row>
    <row r="28" spans="2:18" ht="25.5">
      <c r="B28" s="203"/>
      <c r="C28" s="205"/>
      <c r="D28" s="135">
        <v>21</v>
      </c>
      <c r="E28" s="99" t="s">
        <v>579</v>
      </c>
      <c r="F28" s="135" t="s">
        <v>12</v>
      </c>
      <c r="G28" s="92" t="s">
        <v>1333</v>
      </c>
      <c r="H28" s="135" t="s">
        <v>1</v>
      </c>
      <c r="I28" s="135" t="s">
        <v>15</v>
      </c>
      <c r="J28" s="102" t="s">
        <v>1045</v>
      </c>
      <c r="K28" s="91">
        <v>42129</v>
      </c>
      <c r="L28" s="92" t="s">
        <v>1024</v>
      </c>
      <c r="M28" s="90">
        <f t="shared" si="0"/>
        <v>4</v>
      </c>
      <c r="N28" s="135" t="s">
        <v>3</v>
      </c>
      <c r="O28" s="135" t="s">
        <v>1004</v>
      </c>
      <c r="P28" s="99" t="s">
        <v>1288</v>
      </c>
      <c r="Q28" s="135"/>
      <c r="R28" s="99" t="s">
        <v>1277</v>
      </c>
    </row>
    <row r="29" spans="2:18" ht="25.5">
      <c r="B29" s="203">
        <v>6</v>
      </c>
      <c r="C29" s="203" t="s">
        <v>1923</v>
      </c>
      <c r="D29" s="135">
        <v>22</v>
      </c>
      <c r="E29" s="99" t="s">
        <v>580</v>
      </c>
      <c r="F29" s="135" t="s">
        <v>6</v>
      </c>
      <c r="G29" s="90" t="s">
        <v>1926</v>
      </c>
      <c r="H29" s="135" t="s">
        <v>18</v>
      </c>
      <c r="I29" s="135" t="s">
        <v>9</v>
      </c>
      <c r="J29" s="102" t="s">
        <v>993</v>
      </c>
      <c r="K29" s="91">
        <v>28125</v>
      </c>
      <c r="L29" s="90">
        <v>1976</v>
      </c>
      <c r="M29" s="90">
        <f t="shared" si="0"/>
        <v>43</v>
      </c>
      <c r="N29" s="135" t="s">
        <v>3</v>
      </c>
      <c r="O29" s="135" t="s">
        <v>1004</v>
      </c>
      <c r="P29" s="99" t="s">
        <v>1287</v>
      </c>
      <c r="Q29" s="135"/>
      <c r="R29" s="99" t="s">
        <v>1334</v>
      </c>
    </row>
    <row r="30" spans="2:18" ht="25.5">
      <c r="B30" s="203"/>
      <c r="C30" s="203"/>
      <c r="D30" s="135">
        <v>23</v>
      </c>
      <c r="E30" s="99" t="s">
        <v>581</v>
      </c>
      <c r="F30" s="135" t="s">
        <v>21</v>
      </c>
      <c r="G30" s="90" t="s">
        <v>1927</v>
      </c>
      <c r="H30" s="135" t="s">
        <v>1</v>
      </c>
      <c r="I30" s="135" t="s">
        <v>9</v>
      </c>
      <c r="J30" s="102" t="s">
        <v>1930</v>
      </c>
      <c r="K30" s="91">
        <v>29869</v>
      </c>
      <c r="L30" s="90">
        <v>1981</v>
      </c>
      <c r="M30" s="90">
        <f t="shared" si="0"/>
        <v>38</v>
      </c>
      <c r="N30" s="135" t="s">
        <v>3</v>
      </c>
      <c r="O30" s="135" t="s">
        <v>1004</v>
      </c>
      <c r="P30" s="99" t="s">
        <v>1287</v>
      </c>
      <c r="Q30" s="135"/>
      <c r="R30" s="99" t="s">
        <v>1276</v>
      </c>
    </row>
    <row r="31" spans="2:18" ht="25.5">
      <c r="B31" s="203"/>
      <c r="C31" s="203"/>
      <c r="D31" s="135">
        <v>24</v>
      </c>
      <c r="E31" s="99" t="s">
        <v>1924</v>
      </c>
      <c r="F31" s="135" t="s">
        <v>12</v>
      </c>
      <c r="G31" s="90" t="s">
        <v>582</v>
      </c>
      <c r="H31" s="135" t="s">
        <v>18</v>
      </c>
      <c r="I31" s="135" t="s">
        <v>15</v>
      </c>
      <c r="J31" s="102" t="s">
        <v>993</v>
      </c>
      <c r="K31" s="91">
        <v>38486</v>
      </c>
      <c r="L31" s="90">
        <v>2005</v>
      </c>
      <c r="M31" s="90">
        <f t="shared" si="0"/>
        <v>14</v>
      </c>
      <c r="N31" s="135" t="s">
        <v>3</v>
      </c>
      <c r="O31" s="135" t="s">
        <v>1004</v>
      </c>
      <c r="P31" s="99" t="s">
        <v>1274</v>
      </c>
      <c r="Q31" s="135"/>
      <c r="R31" s="99" t="s">
        <v>1309</v>
      </c>
    </row>
    <row r="32" spans="2:18" ht="25.5">
      <c r="B32" s="203"/>
      <c r="C32" s="203"/>
      <c r="D32" s="135">
        <v>25</v>
      </c>
      <c r="E32" s="99" t="s">
        <v>583</v>
      </c>
      <c r="F32" s="135" t="s">
        <v>12</v>
      </c>
      <c r="G32" s="90" t="s">
        <v>1928</v>
      </c>
      <c r="H32" s="135" t="s">
        <v>1</v>
      </c>
      <c r="I32" s="135" t="s">
        <v>15</v>
      </c>
      <c r="J32" s="102" t="s">
        <v>993</v>
      </c>
      <c r="K32" s="91">
        <v>40132</v>
      </c>
      <c r="L32" s="90">
        <v>2009</v>
      </c>
      <c r="M32" s="90">
        <f t="shared" si="0"/>
        <v>10</v>
      </c>
      <c r="N32" s="135" t="s">
        <v>3</v>
      </c>
      <c r="O32" s="135" t="s">
        <v>1004</v>
      </c>
      <c r="P32" s="99" t="s">
        <v>1288</v>
      </c>
      <c r="Q32" s="135"/>
      <c r="R32" s="99" t="s">
        <v>1277</v>
      </c>
    </row>
    <row r="33" spans="2:18" ht="25.5">
      <c r="B33" s="203"/>
      <c r="C33" s="203"/>
      <c r="D33" s="135">
        <v>26</v>
      </c>
      <c r="E33" s="99" t="s">
        <v>1925</v>
      </c>
      <c r="F33" s="135" t="s">
        <v>12</v>
      </c>
      <c r="G33" s="90" t="s">
        <v>1929</v>
      </c>
      <c r="H33" s="135" t="s">
        <v>1</v>
      </c>
      <c r="I33" s="135" t="s">
        <v>15</v>
      </c>
      <c r="J33" s="102" t="s">
        <v>993</v>
      </c>
      <c r="K33" s="91">
        <v>42865</v>
      </c>
      <c r="L33" s="90">
        <v>2017</v>
      </c>
      <c r="M33" s="90">
        <f t="shared" si="0"/>
        <v>2</v>
      </c>
      <c r="N33" s="135" t="s">
        <v>3</v>
      </c>
      <c r="O33" s="135" t="s">
        <v>1004</v>
      </c>
      <c r="P33" s="99" t="s">
        <v>1288</v>
      </c>
      <c r="Q33" s="135"/>
      <c r="R33" s="99" t="s">
        <v>1277</v>
      </c>
    </row>
    <row r="34" spans="2:18">
      <c r="B34" s="203">
        <v>7</v>
      </c>
      <c r="C34" s="205" t="s">
        <v>1884</v>
      </c>
      <c r="D34" s="135">
        <v>27</v>
      </c>
      <c r="E34" s="99" t="s">
        <v>584</v>
      </c>
      <c r="F34" s="135" t="s">
        <v>6</v>
      </c>
      <c r="G34" s="92" t="s">
        <v>1885</v>
      </c>
      <c r="H34" s="135" t="s">
        <v>18</v>
      </c>
      <c r="I34" s="135" t="s">
        <v>1020</v>
      </c>
      <c r="J34" s="102" t="s">
        <v>993</v>
      </c>
      <c r="K34" s="91">
        <v>17898</v>
      </c>
      <c r="L34" s="92" t="s">
        <v>1225</v>
      </c>
      <c r="M34" s="90">
        <f t="shared" si="0"/>
        <v>71</v>
      </c>
      <c r="N34" s="135" t="s">
        <v>3</v>
      </c>
      <c r="O34" s="135" t="s">
        <v>1004</v>
      </c>
      <c r="P34" s="99" t="s">
        <v>1272</v>
      </c>
      <c r="Q34" s="135"/>
      <c r="R34" s="99" t="s">
        <v>570</v>
      </c>
    </row>
    <row r="35" spans="2:18" ht="25.5">
      <c r="B35" s="203"/>
      <c r="C35" s="205"/>
      <c r="D35" s="135">
        <v>28</v>
      </c>
      <c r="E35" s="99" t="s">
        <v>1224</v>
      </c>
      <c r="F35" s="135" t="s">
        <v>12</v>
      </c>
      <c r="G35" s="92" t="s">
        <v>1886</v>
      </c>
      <c r="H35" s="135" t="s">
        <v>1</v>
      </c>
      <c r="I35" s="135" t="s">
        <v>15</v>
      </c>
      <c r="J35" s="102" t="s">
        <v>993</v>
      </c>
      <c r="K35" s="91">
        <v>32250</v>
      </c>
      <c r="L35" s="92" t="s">
        <v>1013</v>
      </c>
      <c r="M35" s="90">
        <f t="shared" si="0"/>
        <v>31</v>
      </c>
      <c r="N35" s="135" t="s">
        <v>3</v>
      </c>
      <c r="O35" s="135" t="s">
        <v>1004</v>
      </c>
      <c r="P35" s="99" t="s">
        <v>1273</v>
      </c>
      <c r="Q35" s="135"/>
      <c r="R35" s="99" t="s">
        <v>1309</v>
      </c>
    </row>
    <row r="36" spans="2:18" ht="25.5">
      <c r="B36" s="203"/>
      <c r="C36" s="205"/>
      <c r="D36" s="135">
        <v>29</v>
      </c>
      <c r="E36" s="99" t="s">
        <v>585</v>
      </c>
      <c r="F36" s="135" t="s">
        <v>12</v>
      </c>
      <c r="G36" s="92" t="s">
        <v>1887</v>
      </c>
      <c r="H36" s="135" t="s">
        <v>1</v>
      </c>
      <c r="I36" s="135" t="s">
        <v>15</v>
      </c>
      <c r="J36" s="102" t="s">
        <v>993</v>
      </c>
      <c r="K36" s="91">
        <v>36009</v>
      </c>
      <c r="L36" s="92" t="s">
        <v>1090</v>
      </c>
      <c r="M36" s="90">
        <f t="shared" si="0"/>
        <v>21</v>
      </c>
      <c r="N36" s="135" t="s">
        <v>3</v>
      </c>
      <c r="O36" s="135" t="s">
        <v>1004</v>
      </c>
      <c r="P36" s="99" t="s">
        <v>1272</v>
      </c>
      <c r="Q36" s="135"/>
      <c r="R36" s="99" t="s">
        <v>1309</v>
      </c>
    </row>
    <row r="37" spans="2:18">
      <c r="B37" s="203">
        <v>8</v>
      </c>
      <c r="C37" s="205" t="s">
        <v>1871</v>
      </c>
      <c r="D37" s="135">
        <v>30</v>
      </c>
      <c r="E37" s="99" t="s">
        <v>1872</v>
      </c>
      <c r="F37" s="135" t="s">
        <v>6</v>
      </c>
      <c r="G37" s="92" t="s">
        <v>1246</v>
      </c>
      <c r="H37" s="135" t="s">
        <v>18</v>
      </c>
      <c r="I37" s="135" t="s">
        <v>9</v>
      </c>
      <c r="J37" s="102" t="s">
        <v>1250</v>
      </c>
      <c r="K37" s="91">
        <v>32508</v>
      </c>
      <c r="L37" s="92" t="s">
        <v>1013</v>
      </c>
      <c r="M37" s="90">
        <f t="shared" si="0"/>
        <v>31</v>
      </c>
      <c r="N37" s="135" t="s">
        <v>3</v>
      </c>
      <c r="O37" s="135" t="s">
        <v>1004</v>
      </c>
      <c r="P37" s="99" t="s">
        <v>1273</v>
      </c>
      <c r="Q37" s="135"/>
      <c r="R37" s="99" t="s">
        <v>23</v>
      </c>
    </row>
    <row r="38" spans="2:18" ht="25.5">
      <c r="B38" s="203"/>
      <c r="C38" s="205"/>
      <c r="D38" s="135">
        <v>31</v>
      </c>
      <c r="E38" s="99" t="s">
        <v>586</v>
      </c>
      <c r="F38" s="135" t="s">
        <v>21</v>
      </c>
      <c r="G38" s="92" t="s">
        <v>1247</v>
      </c>
      <c r="H38" s="135" t="s">
        <v>1</v>
      </c>
      <c r="I38" s="135" t="s">
        <v>9</v>
      </c>
      <c r="J38" s="102" t="s">
        <v>1251</v>
      </c>
      <c r="K38" s="91">
        <v>30002</v>
      </c>
      <c r="L38" s="92" t="s">
        <v>1039</v>
      </c>
      <c r="M38" s="90">
        <f t="shared" si="0"/>
        <v>37</v>
      </c>
      <c r="N38" s="135" t="s">
        <v>3</v>
      </c>
      <c r="O38" s="135" t="s">
        <v>1004</v>
      </c>
      <c r="P38" s="99" t="s">
        <v>1273</v>
      </c>
      <c r="Q38" s="135"/>
      <c r="R38" s="99" t="s">
        <v>1276</v>
      </c>
    </row>
    <row r="39" spans="2:18" ht="25.5">
      <c r="B39" s="203"/>
      <c r="C39" s="205"/>
      <c r="D39" s="135">
        <v>32</v>
      </c>
      <c r="E39" s="99" t="s">
        <v>1245</v>
      </c>
      <c r="F39" s="135" t="s">
        <v>12</v>
      </c>
      <c r="G39" s="92" t="s">
        <v>1248</v>
      </c>
      <c r="H39" s="135" t="s">
        <v>18</v>
      </c>
      <c r="I39" s="135" t="s">
        <v>15</v>
      </c>
      <c r="J39" s="102" t="s">
        <v>993</v>
      </c>
      <c r="K39" s="91">
        <v>40124</v>
      </c>
      <c r="L39" s="92" t="s">
        <v>992</v>
      </c>
      <c r="M39" s="90">
        <f t="shared" si="0"/>
        <v>10</v>
      </c>
      <c r="N39" s="135" t="s">
        <v>3</v>
      </c>
      <c r="O39" s="135" t="s">
        <v>1004</v>
      </c>
      <c r="P39" s="99" t="s">
        <v>1288</v>
      </c>
      <c r="Q39" s="135"/>
      <c r="R39" s="99" t="s">
        <v>1277</v>
      </c>
    </row>
    <row r="40" spans="2:18" ht="25.5">
      <c r="B40" s="203"/>
      <c r="C40" s="205"/>
      <c r="D40" s="135">
        <v>33</v>
      </c>
      <c r="E40" s="99" t="s">
        <v>1244</v>
      </c>
      <c r="F40" s="135" t="s">
        <v>12</v>
      </c>
      <c r="G40" s="92" t="s">
        <v>1249</v>
      </c>
      <c r="H40" s="135" t="s">
        <v>18</v>
      </c>
      <c r="I40" s="135" t="s">
        <v>15</v>
      </c>
      <c r="J40" s="102" t="s">
        <v>1072</v>
      </c>
      <c r="K40" s="91">
        <v>41717</v>
      </c>
      <c r="L40" s="92" t="s">
        <v>998</v>
      </c>
      <c r="M40" s="90">
        <f t="shared" ref="M40:M71" si="1">2019-L40</f>
        <v>5</v>
      </c>
      <c r="N40" s="135" t="s">
        <v>3</v>
      </c>
      <c r="O40" s="135" t="s">
        <v>1004</v>
      </c>
      <c r="P40" s="99" t="s">
        <v>1288</v>
      </c>
      <c r="Q40" s="135"/>
      <c r="R40" s="99" t="s">
        <v>1277</v>
      </c>
    </row>
    <row r="41" spans="2:18">
      <c r="B41" s="203">
        <v>9</v>
      </c>
      <c r="C41" s="205" t="s">
        <v>1855</v>
      </c>
      <c r="D41" s="135">
        <v>34</v>
      </c>
      <c r="E41" s="99" t="s">
        <v>587</v>
      </c>
      <c r="F41" s="135" t="s">
        <v>6</v>
      </c>
      <c r="G41" s="92" t="s">
        <v>1857</v>
      </c>
      <c r="H41" s="135" t="s">
        <v>18</v>
      </c>
      <c r="I41" s="135" t="s">
        <v>9</v>
      </c>
      <c r="J41" s="102" t="s">
        <v>993</v>
      </c>
      <c r="K41" s="91">
        <v>29534</v>
      </c>
      <c r="L41" s="92" t="s">
        <v>990</v>
      </c>
      <c r="M41" s="90">
        <f t="shared" si="1"/>
        <v>39</v>
      </c>
      <c r="N41" s="135" t="s">
        <v>3</v>
      </c>
      <c r="O41" s="135" t="s">
        <v>1004</v>
      </c>
      <c r="P41" s="99" t="s">
        <v>1273</v>
      </c>
      <c r="Q41" s="135"/>
      <c r="R41" s="99" t="s">
        <v>23</v>
      </c>
    </row>
    <row r="42" spans="2:18" ht="25.5">
      <c r="B42" s="203"/>
      <c r="C42" s="205"/>
      <c r="D42" s="135">
        <v>35</v>
      </c>
      <c r="E42" s="99" t="s">
        <v>1856</v>
      </c>
      <c r="F42" s="135" t="s">
        <v>21</v>
      </c>
      <c r="G42" s="92" t="s">
        <v>1858</v>
      </c>
      <c r="H42" s="135" t="s">
        <v>1</v>
      </c>
      <c r="I42" s="135" t="s">
        <v>9</v>
      </c>
      <c r="J42" s="102" t="s">
        <v>993</v>
      </c>
      <c r="K42" s="91">
        <v>31212</v>
      </c>
      <c r="L42" s="92" t="s">
        <v>1227</v>
      </c>
      <c r="M42" s="90">
        <f t="shared" si="1"/>
        <v>34</v>
      </c>
      <c r="N42" s="135" t="s">
        <v>3</v>
      </c>
      <c r="O42" s="135" t="s">
        <v>1004</v>
      </c>
      <c r="P42" s="99" t="s">
        <v>1287</v>
      </c>
      <c r="Q42" s="135"/>
      <c r="R42" s="99" t="s">
        <v>1276</v>
      </c>
    </row>
    <row r="43" spans="2:18" ht="25.5">
      <c r="B43" s="203"/>
      <c r="C43" s="205"/>
      <c r="D43" s="135">
        <v>36</v>
      </c>
      <c r="E43" s="99" t="s">
        <v>588</v>
      </c>
      <c r="F43" s="135" t="s">
        <v>12</v>
      </c>
      <c r="G43" s="92" t="s">
        <v>1859</v>
      </c>
      <c r="H43" s="135" t="s">
        <v>1</v>
      </c>
      <c r="I43" s="135" t="s">
        <v>15</v>
      </c>
      <c r="J43" s="102" t="s">
        <v>993</v>
      </c>
      <c r="K43" s="91">
        <v>38528</v>
      </c>
      <c r="L43" s="92" t="s">
        <v>1036</v>
      </c>
      <c r="M43" s="90">
        <f t="shared" si="1"/>
        <v>14</v>
      </c>
      <c r="N43" s="135" t="s">
        <v>3</v>
      </c>
      <c r="O43" s="135" t="s">
        <v>1004</v>
      </c>
      <c r="P43" s="99" t="s">
        <v>1274</v>
      </c>
      <c r="Q43" s="135"/>
      <c r="R43" s="99" t="s">
        <v>1309</v>
      </c>
    </row>
    <row r="44" spans="2:18" ht="25.5">
      <c r="B44" s="203"/>
      <c r="C44" s="205"/>
      <c r="D44" s="135">
        <v>37</v>
      </c>
      <c r="E44" s="99" t="s">
        <v>589</v>
      </c>
      <c r="F44" s="135" t="s">
        <v>12</v>
      </c>
      <c r="G44" s="92" t="s">
        <v>1860</v>
      </c>
      <c r="H44" s="135" t="s">
        <v>1</v>
      </c>
      <c r="I44" s="135" t="s">
        <v>15</v>
      </c>
      <c r="J44" s="102" t="s">
        <v>993</v>
      </c>
      <c r="K44" s="91">
        <v>40019</v>
      </c>
      <c r="L44" s="92" t="s">
        <v>992</v>
      </c>
      <c r="M44" s="90">
        <f t="shared" si="1"/>
        <v>10</v>
      </c>
      <c r="N44" s="135" t="s">
        <v>3</v>
      </c>
      <c r="O44" s="135" t="s">
        <v>1004</v>
      </c>
      <c r="P44" s="99" t="s">
        <v>1288</v>
      </c>
      <c r="Q44" s="135"/>
      <c r="R44" s="99" t="s">
        <v>1277</v>
      </c>
    </row>
    <row r="45" spans="2:18" ht="25.5">
      <c r="B45" s="203"/>
      <c r="C45" s="205"/>
      <c r="D45" s="135">
        <v>38</v>
      </c>
      <c r="E45" s="99" t="s">
        <v>1241</v>
      </c>
      <c r="F45" s="135" t="s">
        <v>12</v>
      </c>
      <c r="G45" s="92" t="s">
        <v>1861</v>
      </c>
      <c r="H45" s="135" t="s">
        <v>1</v>
      </c>
      <c r="I45" s="135" t="s">
        <v>15</v>
      </c>
      <c r="J45" s="102" t="s">
        <v>993</v>
      </c>
      <c r="K45" s="91">
        <v>42936</v>
      </c>
      <c r="L45" s="92" t="s">
        <v>1048</v>
      </c>
      <c r="M45" s="90">
        <f t="shared" si="1"/>
        <v>2</v>
      </c>
      <c r="N45" s="135" t="s">
        <v>3</v>
      </c>
      <c r="O45" s="135" t="s">
        <v>1004</v>
      </c>
      <c r="P45" s="99" t="s">
        <v>1288</v>
      </c>
      <c r="Q45" s="135"/>
      <c r="R45" s="99" t="s">
        <v>1277</v>
      </c>
    </row>
    <row r="46" spans="2:18" ht="25.5">
      <c r="B46" s="203"/>
      <c r="C46" s="205"/>
      <c r="D46" s="135">
        <v>39</v>
      </c>
      <c r="E46" s="99" t="s">
        <v>1242</v>
      </c>
      <c r="F46" s="135" t="s">
        <v>1243</v>
      </c>
      <c r="G46" s="92" t="s">
        <v>1862</v>
      </c>
      <c r="H46" s="135" t="s">
        <v>1</v>
      </c>
      <c r="I46" s="135" t="s">
        <v>1020</v>
      </c>
      <c r="J46" s="102" t="s">
        <v>993</v>
      </c>
      <c r="K46" s="91">
        <v>17715</v>
      </c>
      <c r="L46" s="92" t="s">
        <v>1225</v>
      </c>
      <c r="M46" s="90">
        <f t="shared" si="1"/>
        <v>71</v>
      </c>
      <c r="N46" s="135" t="s">
        <v>591</v>
      </c>
      <c r="O46" s="135" t="s">
        <v>1004</v>
      </c>
      <c r="P46" s="99" t="s">
        <v>1288</v>
      </c>
      <c r="Q46" s="135"/>
      <c r="R46" s="99" t="s">
        <v>1277</v>
      </c>
    </row>
    <row r="47" spans="2:18" ht="25.5">
      <c r="B47" s="203">
        <v>10</v>
      </c>
      <c r="C47" s="205" t="s">
        <v>1838</v>
      </c>
      <c r="D47" s="135">
        <v>40</v>
      </c>
      <c r="E47" s="99" t="s">
        <v>592</v>
      </c>
      <c r="F47" s="135" t="s">
        <v>6</v>
      </c>
      <c r="G47" s="90" t="s">
        <v>593</v>
      </c>
      <c r="H47" s="135" t="s">
        <v>18</v>
      </c>
      <c r="I47" s="135" t="s">
        <v>9</v>
      </c>
      <c r="J47" s="102" t="s">
        <v>993</v>
      </c>
      <c r="K47" s="91">
        <v>26331</v>
      </c>
      <c r="L47" s="92" t="s">
        <v>1001</v>
      </c>
      <c r="M47" s="90">
        <f t="shared" si="1"/>
        <v>47</v>
      </c>
      <c r="N47" s="135" t="s">
        <v>3</v>
      </c>
      <c r="O47" s="135" t="s">
        <v>1004</v>
      </c>
      <c r="P47" s="99" t="s">
        <v>1274</v>
      </c>
      <c r="Q47" s="135"/>
      <c r="R47" s="99" t="s">
        <v>1032</v>
      </c>
    </row>
    <row r="48" spans="2:18" ht="25.5">
      <c r="B48" s="203"/>
      <c r="C48" s="205"/>
      <c r="D48" s="135">
        <v>41</v>
      </c>
      <c r="E48" s="99" t="s">
        <v>1839</v>
      </c>
      <c r="F48" s="135" t="s">
        <v>21</v>
      </c>
      <c r="G48" s="90" t="s">
        <v>1841</v>
      </c>
      <c r="H48" s="135" t="s">
        <v>1</v>
      </c>
      <c r="I48" s="135" t="s">
        <v>9</v>
      </c>
      <c r="J48" s="102" t="s">
        <v>1842</v>
      </c>
      <c r="K48" s="91">
        <v>28867</v>
      </c>
      <c r="L48" s="92">
        <v>1979</v>
      </c>
      <c r="M48" s="90">
        <f t="shared" si="1"/>
        <v>40</v>
      </c>
      <c r="N48" s="135" t="s">
        <v>3</v>
      </c>
      <c r="O48" s="135" t="s">
        <v>1004</v>
      </c>
      <c r="P48" s="99" t="s">
        <v>1288</v>
      </c>
      <c r="Q48" s="135"/>
      <c r="R48" s="99" t="s">
        <v>1318</v>
      </c>
    </row>
    <row r="49" spans="2:18" ht="25.5">
      <c r="B49" s="203"/>
      <c r="C49" s="205"/>
      <c r="D49" s="135">
        <v>42</v>
      </c>
      <c r="E49" s="99" t="s">
        <v>1840</v>
      </c>
      <c r="F49" s="135" t="s">
        <v>12</v>
      </c>
      <c r="G49" s="90" t="s">
        <v>594</v>
      </c>
      <c r="H49" s="135" t="s">
        <v>1</v>
      </c>
      <c r="I49" s="135" t="s">
        <v>15</v>
      </c>
      <c r="J49" s="102" t="s">
        <v>1843</v>
      </c>
      <c r="K49" s="91">
        <v>35394</v>
      </c>
      <c r="L49" s="92" t="s">
        <v>1054</v>
      </c>
      <c r="M49" s="90">
        <f t="shared" si="1"/>
        <v>23</v>
      </c>
      <c r="N49" s="135" t="s">
        <v>3</v>
      </c>
      <c r="O49" s="135" t="s">
        <v>1004</v>
      </c>
      <c r="P49" s="99" t="s">
        <v>1287</v>
      </c>
      <c r="Q49" s="135"/>
      <c r="R49" s="99" t="s">
        <v>1309</v>
      </c>
    </row>
    <row r="50" spans="2:18" ht="25.5">
      <c r="B50" s="203"/>
      <c r="C50" s="205"/>
      <c r="D50" s="135">
        <v>43</v>
      </c>
      <c r="E50" s="99" t="s">
        <v>595</v>
      </c>
      <c r="F50" s="135" t="s">
        <v>12</v>
      </c>
      <c r="G50" s="90" t="s">
        <v>596</v>
      </c>
      <c r="H50" s="135" t="s">
        <v>18</v>
      </c>
      <c r="I50" s="135" t="s">
        <v>15</v>
      </c>
      <c r="J50" s="102" t="s">
        <v>993</v>
      </c>
      <c r="K50" s="91">
        <v>36454</v>
      </c>
      <c r="L50" s="92" t="s">
        <v>1055</v>
      </c>
      <c r="M50" s="90">
        <f t="shared" si="1"/>
        <v>20</v>
      </c>
      <c r="N50" s="135" t="s">
        <v>3</v>
      </c>
      <c r="O50" s="135" t="s">
        <v>1004</v>
      </c>
      <c r="P50" s="99" t="s">
        <v>1273</v>
      </c>
      <c r="Q50" s="135"/>
      <c r="R50" s="99" t="s">
        <v>1309</v>
      </c>
    </row>
    <row r="51" spans="2:18" ht="25.5">
      <c r="B51" s="203">
        <v>11</v>
      </c>
      <c r="C51" s="203" t="s">
        <v>1867</v>
      </c>
      <c r="D51" s="135">
        <v>44</v>
      </c>
      <c r="E51" s="99" t="s">
        <v>597</v>
      </c>
      <c r="F51" s="135" t="s">
        <v>6</v>
      </c>
      <c r="G51" s="90" t="s">
        <v>598</v>
      </c>
      <c r="H51" s="135" t="s">
        <v>18</v>
      </c>
      <c r="I51" s="135" t="s">
        <v>9</v>
      </c>
      <c r="J51" s="102" t="s">
        <v>1232</v>
      </c>
      <c r="K51" s="91">
        <v>29201</v>
      </c>
      <c r="L51" s="90">
        <v>1979</v>
      </c>
      <c r="M51" s="90">
        <f t="shared" si="1"/>
        <v>40</v>
      </c>
      <c r="N51" s="135" t="s">
        <v>3</v>
      </c>
      <c r="O51" s="135" t="s">
        <v>1004</v>
      </c>
      <c r="P51" s="99" t="s">
        <v>1287</v>
      </c>
      <c r="Q51" s="135"/>
      <c r="R51" s="99" t="s">
        <v>1162</v>
      </c>
    </row>
    <row r="52" spans="2:18" ht="25.5">
      <c r="B52" s="203"/>
      <c r="C52" s="203"/>
      <c r="D52" s="135">
        <v>45</v>
      </c>
      <c r="E52" s="99" t="s">
        <v>599</v>
      </c>
      <c r="F52" s="135" t="s">
        <v>21</v>
      </c>
      <c r="G52" s="90" t="s">
        <v>1865</v>
      </c>
      <c r="H52" s="135" t="s">
        <v>1</v>
      </c>
      <c r="I52" s="135" t="s">
        <v>9</v>
      </c>
      <c r="J52" s="102" t="s">
        <v>993</v>
      </c>
      <c r="K52" s="91">
        <v>30511</v>
      </c>
      <c r="L52" s="90">
        <v>1983</v>
      </c>
      <c r="M52" s="90">
        <f t="shared" si="1"/>
        <v>36</v>
      </c>
      <c r="N52" s="135" t="s">
        <v>3</v>
      </c>
      <c r="O52" s="135" t="s">
        <v>1004</v>
      </c>
      <c r="P52" s="99" t="s">
        <v>1272</v>
      </c>
      <c r="Q52" s="135"/>
      <c r="R52" s="99" t="s">
        <v>1276</v>
      </c>
    </row>
    <row r="53" spans="2:18" ht="38.25">
      <c r="B53" s="203"/>
      <c r="C53" s="203"/>
      <c r="D53" s="135">
        <v>46</v>
      </c>
      <c r="E53" s="99" t="s">
        <v>600</v>
      </c>
      <c r="F53" s="135" t="s">
        <v>12</v>
      </c>
      <c r="G53" s="90" t="s">
        <v>1866</v>
      </c>
      <c r="H53" s="135" t="s">
        <v>1</v>
      </c>
      <c r="I53" s="135" t="s">
        <v>15</v>
      </c>
      <c r="J53" s="102" t="s">
        <v>993</v>
      </c>
      <c r="K53" s="91">
        <v>38081</v>
      </c>
      <c r="L53" s="90">
        <v>2004</v>
      </c>
      <c r="M53" s="90">
        <f t="shared" si="1"/>
        <v>15</v>
      </c>
      <c r="N53" s="135" t="s">
        <v>3</v>
      </c>
      <c r="O53" s="135" t="s">
        <v>1004</v>
      </c>
      <c r="P53" s="99" t="s">
        <v>1274</v>
      </c>
      <c r="Q53" s="135"/>
      <c r="R53" s="99" t="s">
        <v>1309</v>
      </c>
    </row>
    <row r="54" spans="2:18" ht="25.5">
      <c r="B54" s="203"/>
      <c r="C54" s="203"/>
      <c r="D54" s="135">
        <v>47</v>
      </c>
      <c r="E54" s="99" t="s">
        <v>601</v>
      </c>
      <c r="F54" s="135" t="s">
        <v>12</v>
      </c>
      <c r="G54" s="90" t="s">
        <v>602</v>
      </c>
      <c r="H54" s="135" t="s">
        <v>1</v>
      </c>
      <c r="I54" s="135" t="s">
        <v>15</v>
      </c>
      <c r="J54" s="102" t="s">
        <v>1045</v>
      </c>
      <c r="K54" s="91">
        <v>39745</v>
      </c>
      <c r="L54" s="90">
        <v>2008</v>
      </c>
      <c r="M54" s="90">
        <f t="shared" si="1"/>
        <v>11</v>
      </c>
      <c r="N54" s="135" t="s">
        <v>3</v>
      </c>
      <c r="O54" s="135" t="s">
        <v>1004</v>
      </c>
      <c r="P54" s="99" t="s">
        <v>1274</v>
      </c>
      <c r="Q54" s="135"/>
      <c r="R54" s="99" t="s">
        <v>1309</v>
      </c>
    </row>
    <row r="55" spans="2:18" ht="38.25">
      <c r="B55" s="203"/>
      <c r="C55" s="203"/>
      <c r="D55" s="135">
        <v>48</v>
      </c>
      <c r="E55" s="99" t="s">
        <v>1863</v>
      </c>
      <c r="F55" s="135" t="s">
        <v>12</v>
      </c>
      <c r="G55" s="90" t="s">
        <v>1864</v>
      </c>
      <c r="H55" s="135" t="s">
        <v>1</v>
      </c>
      <c r="I55" s="135" t="s">
        <v>15</v>
      </c>
      <c r="J55" s="102" t="s">
        <v>1045</v>
      </c>
      <c r="K55" s="91">
        <v>42287</v>
      </c>
      <c r="L55" s="90">
        <v>2015</v>
      </c>
      <c r="M55" s="90">
        <f t="shared" si="1"/>
        <v>4</v>
      </c>
      <c r="N55" s="135" t="s">
        <v>3</v>
      </c>
      <c r="O55" s="135" t="s">
        <v>1004</v>
      </c>
      <c r="P55" s="99" t="s">
        <v>1288</v>
      </c>
      <c r="Q55" s="135"/>
      <c r="R55" s="99" t="s">
        <v>1277</v>
      </c>
    </row>
    <row r="56" spans="2:18">
      <c r="B56" s="203">
        <v>12</v>
      </c>
      <c r="C56" s="205" t="s">
        <v>1897</v>
      </c>
      <c r="D56" s="135">
        <v>49</v>
      </c>
      <c r="E56" s="99" t="s">
        <v>603</v>
      </c>
      <c r="F56" s="135" t="s">
        <v>6</v>
      </c>
      <c r="G56" s="92" t="s">
        <v>672</v>
      </c>
      <c r="H56" s="135" t="s">
        <v>18</v>
      </c>
      <c r="I56" s="135" t="s">
        <v>9</v>
      </c>
      <c r="J56" s="102" t="s">
        <v>993</v>
      </c>
      <c r="K56" s="91">
        <v>26664</v>
      </c>
      <c r="L56" s="92" t="s">
        <v>1001</v>
      </c>
      <c r="M56" s="90">
        <f t="shared" si="1"/>
        <v>47</v>
      </c>
      <c r="N56" s="135" t="s">
        <v>3</v>
      </c>
      <c r="O56" s="135" t="s">
        <v>1004</v>
      </c>
      <c r="P56" s="99" t="s">
        <v>1273</v>
      </c>
      <c r="Q56" s="135"/>
      <c r="R56" s="99" t="s">
        <v>23</v>
      </c>
    </row>
    <row r="57" spans="2:18" ht="25.5">
      <c r="B57" s="203"/>
      <c r="C57" s="205"/>
      <c r="D57" s="135">
        <v>50</v>
      </c>
      <c r="E57" s="99" t="s">
        <v>673</v>
      </c>
      <c r="F57" s="135" t="s">
        <v>21</v>
      </c>
      <c r="G57" s="92" t="s">
        <v>674</v>
      </c>
      <c r="H57" s="135" t="s">
        <v>1</v>
      </c>
      <c r="I57" s="135" t="s">
        <v>9</v>
      </c>
      <c r="J57" s="102" t="s">
        <v>1226</v>
      </c>
      <c r="K57" s="91">
        <v>31121</v>
      </c>
      <c r="L57" s="92" t="s">
        <v>1227</v>
      </c>
      <c r="M57" s="90">
        <f t="shared" si="1"/>
        <v>34</v>
      </c>
      <c r="N57" s="135" t="s">
        <v>3</v>
      </c>
      <c r="O57" s="135" t="s">
        <v>1004</v>
      </c>
      <c r="P57" s="99" t="s">
        <v>1273</v>
      </c>
      <c r="Q57" s="135"/>
      <c r="R57" s="99" t="s">
        <v>1276</v>
      </c>
    </row>
    <row r="58" spans="2:18">
      <c r="B58" s="203"/>
      <c r="C58" s="205"/>
      <c r="D58" s="135">
        <v>51</v>
      </c>
      <c r="E58" s="99" t="s">
        <v>675</v>
      </c>
      <c r="F58" s="135" t="s">
        <v>12</v>
      </c>
      <c r="G58" s="92" t="s">
        <v>676</v>
      </c>
      <c r="H58" s="135" t="s">
        <v>18</v>
      </c>
      <c r="I58" s="135" t="s">
        <v>15</v>
      </c>
      <c r="J58" s="102" t="s">
        <v>993</v>
      </c>
      <c r="K58" s="91">
        <v>37189</v>
      </c>
      <c r="L58" s="92" t="s">
        <v>1094</v>
      </c>
      <c r="M58" s="90">
        <f t="shared" si="1"/>
        <v>18</v>
      </c>
      <c r="N58" s="135" t="s">
        <v>3</v>
      </c>
      <c r="O58" s="135" t="s">
        <v>1004</v>
      </c>
      <c r="P58" s="99" t="s">
        <v>1272</v>
      </c>
      <c r="Q58" s="135"/>
      <c r="R58" s="99" t="s">
        <v>1309</v>
      </c>
    </row>
    <row r="59" spans="2:18" ht="25.5">
      <c r="B59" s="203"/>
      <c r="C59" s="205"/>
      <c r="D59" s="135">
        <v>52</v>
      </c>
      <c r="E59" s="99" t="s">
        <v>677</v>
      </c>
      <c r="F59" s="135" t="s">
        <v>12</v>
      </c>
      <c r="G59" s="92" t="s">
        <v>678</v>
      </c>
      <c r="H59" s="135" t="s">
        <v>18</v>
      </c>
      <c r="I59" s="135" t="s">
        <v>15</v>
      </c>
      <c r="J59" s="102" t="s">
        <v>993</v>
      </c>
      <c r="K59" s="91">
        <v>39706</v>
      </c>
      <c r="L59" s="92" t="s">
        <v>1008</v>
      </c>
      <c r="M59" s="90">
        <f t="shared" si="1"/>
        <v>11</v>
      </c>
      <c r="N59" s="135" t="s">
        <v>3</v>
      </c>
      <c r="O59" s="135" t="s">
        <v>1004</v>
      </c>
      <c r="P59" s="99" t="s">
        <v>1288</v>
      </c>
      <c r="Q59" s="135"/>
      <c r="R59" s="99" t="s">
        <v>1277</v>
      </c>
    </row>
    <row r="60" spans="2:18" ht="38.25">
      <c r="B60" s="203"/>
      <c r="C60" s="205"/>
      <c r="D60" s="135">
        <v>53</v>
      </c>
      <c r="E60" s="99" t="s">
        <v>1898</v>
      </c>
      <c r="F60" s="135" t="s">
        <v>12</v>
      </c>
      <c r="G60" s="92" t="s">
        <v>679</v>
      </c>
      <c r="H60" s="135" t="s">
        <v>18</v>
      </c>
      <c r="I60" s="135" t="s">
        <v>15</v>
      </c>
      <c r="J60" s="102" t="s">
        <v>993</v>
      </c>
      <c r="K60" s="91">
        <v>41561</v>
      </c>
      <c r="L60" s="92" t="s">
        <v>1109</v>
      </c>
      <c r="M60" s="90">
        <f t="shared" si="1"/>
        <v>6</v>
      </c>
      <c r="N60" s="135" t="s">
        <v>3</v>
      </c>
      <c r="O60" s="135" t="s">
        <v>1004</v>
      </c>
      <c r="P60" s="99" t="s">
        <v>1288</v>
      </c>
      <c r="Q60" s="135"/>
      <c r="R60" s="99" t="s">
        <v>1277</v>
      </c>
    </row>
    <row r="61" spans="2:18" ht="38.25">
      <c r="B61" s="203">
        <v>13</v>
      </c>
      <c r="C61" s="203"/>
      <c r="D61" s="135">
        <v>54</v>
      </c>
      <c r="E61" s="99" t="s">
        <v>604</v>
      </c>
      <c r="F61" s="135" t="s">
        <v>6</v>
      </c>
      <c r="G61" s="90" t="s">
        <v>605</v>
      </c>
      <c r="H61" s="135" t="s">
        <v>18</v>
      </c>
      <c r="I61" s="135" t="s">
        <v>9</v>
      </c>
      <c r="J61" s="102"/>
      <c r="K61" s="91">
        <v>31502</v>
      </c>
      <c r="L61" s="90">
        <v>1986</v>
      </c>
      <c r="M61" s="90">
        <f t="shared" si="1"/>
        <v>33</v>
      </c>
      <c r="N61" s="135" t="s">
        <v>3</v>
      </c>
      <c r="O61" s="135" t="s">
        <v>1004</v>
      </c>
      <c r="P61" s="99" t="s">
        <v>10</v>
      </c>
      <c r="Q61" s="135"/>
      <c r="R61" s="99" t="s">
        <v>29</v>
      </c>
    </row>
    <row r="62" spans="2:18" ht="25.5">
      <c r="B62" s="203"/>
      <c r="C62" s="203"/>
      <c r="D62" s="135">
        <v>55</v>
      </c>
      <c r="E62" s="99" t="s">
        <v>606</v>
      </c>
      <c r="F62" s="135" t="s">
        <v>21</v>
      </c>
      <c r="G62" s="90" t="s">
        <v>607</v>
      </c>
      <c r="H62" s="135" t="s">
        <v>1</v>
      </c>
      <c r="I62" s="135" t="s">
        <v>9</v>
      </c>
      <c r="J62" s="102"/>
      <c r="K62" s="91">
        <v>31669</v>
      </c>
      <c r="L62" s="90">
        <v>1986</v>
      </c>
      <c r="M62" s="90">
        <f t="shared" si="1"/>
        <v>33</v>
      </c>
      <c r="N62" s="135" t="s">
        <v>3</v>
      </c>
      <c r="O62" s="135" t="s">
        <v>1004</v>
      </c>
      <c r="P62" s="99" t="s">
        <v>10</v>
      </c>
      <c r="Q62" s="135"/>
      <c r="R62" s="99" t="s">
        <v>19</v>
      </c>
    </row>
    <row r="63" spans="2:18" ht="38.25">
      <c r="B63" s="203">
        <v>14</v>
      </c>
      <c r="C63" s="205" t="s">
        <v>1888</v>
      </c>
      <c r="D63" s="135">
        <v>56</v>
      </c>
      <c r="E63" s="99" t="s">
        <v>1228</v>
      </c>
      <c r="F63" s="135" t="s">
        <v>6</v>
      </c>
      <c r="G63" s="92" t="s">
        <v>1889</v>
      </c>
      <c r="H63" s="135" t="s">
        <v>18</v>
      </c>
      <c r="I63" s="135" t="s">
        <v>9</v>
      </c>
      <c r="J63" s="102" t="s">
        <v>993</v>
      </c>
      <c r="K63" s="91">
        <v>21185</v>
      </c>
      <c r="L63" s="92" t="s">
        <v>1021</v>
      </c>
      <c r="M63" s="90">
        <f t="shared" si="1"/>
        <v>62</v>
      </c>
      <c r="N63" s="135" t="s">
        <v>3</v>
      </c>
      <c r="O63" s="135" t="s">
        <v>1004</v>
      </c>
      <c r="P63" s="99" t="s">
        <v>1234</v>
      </c>
      <c r="Q63" s="135"/>
      <c r="R63" s="99" t="s">
        <v>570</v>
      </c>
    </row>
    <row r="64" spans="2:18">
      <c r="B64" s="203"/>
      <c r="C64" s="205"/>
      <c r="D64" s="135">
        <v>57</v>
      </c>
      <c r="E64" s="99" t="s">
        <v>608</v>
      </c>
      <c r="F64" s="135" t="s">
        <v>21</v>
      </c>
      <c r="G64" s="92" t="s">
        <v>1890</v>
      </c>
      <c r="H64" s="135" t="s">
        <v>1</v>
      </c>
      <c r="I64" s="135" t="s">
        <v>9</v>
      </c>
      <c r="J64" s="102" t="s">
        <v>1232</v>
      </c>
      <c r="K64" s="91">
        <v>22362</v>
      </c>
      <c r="L64" s="92" t="s">
        <v>1196</v>
      </c>
      <c r="M64" s="90">
        <f t="shared" si="1"/>
        <v>58</v>
      </c>
      <c r="N64" s="135" t="s">
        <v>3</v>
      </c>
      <c r="O64" s="135" t="s">
        <v>1004</v>
      </c>
      <c r="P64" s="99" t="s">
        <v>1287</v>
      </c>
      <c r="Q64" s="135"/>
      <c r="R64" s="99" t="s">
        <v>81</v>
      </c>
    </row>
    <row r="65" spans="2:18" ht="51">
      <c r="B65" s="203"/>
      <c r="C65" s="205"/>
      <c r="D65" s="135">
        <v>58</v>
      </c>
      <c r="E65" s="99" t="s">
        <v>1230</v>
      </c>
      <c r="F65" s="135" t="s">
        <v>12</v>
      </c>
      <c r="G65" s="92" t="s">
        <v>1891</v>
      </c>
      <c r="H65" s="135" t="s">
        <v>18</v>
      </c>
      <c r="I65" s="135" t="s">
        <v>15</v>
      </c>
      <c r="J65" s="102" t="s">
        <v>1072</v>
      </c>
      <c r="K65" s="91">
        <v>35915</v>
      </c>
      <c r="L65" s="92" t="s">
        <v>1090</v>
      </c>
      <c r="M65" s="90">
        <f t="shared" si="1"/>
        <v>21</v>
      </c>
      <c r="N65" s="135" t="s">
        <v>3</v>
      </c>
      <c r="O65" s="135" t="s">
        <v>1004</v>
      </c>
      <c r="P65" s="99" t="s">
        <v>1287</v>
      </c>
      <c r="Q65" s="135"/>
      <c r="R65" s="99" t="s">
        <v>1309</v>
      </c>
    </row>
    <row r="66" spans="2:18" ht="25.5">
      <c r="B66" s="203"/>
      <c r="C66" s="205"/>
      <c r="D66" s="135">
        <v>59</v>
      </c>
      <c r="E66" s="99" t="s">
        <v>610</v>
      </c>
      <c r="F66" s="135" t="s">
        <v>16</v>
      </c>
      <c r="G66" s="92" t="s">
        <v>1892</v>
      </c>
      <c r="H66" s="135" t="s">
        <v>1</v>
      </c>
      <c r="I66" s="135" t="s">
        <v>1020</v>
      </c>
      <c r="J66" s="102" t="s">
        <v>993</v>
      </c>
      <c r="K66" s="91">
        <v>14245</v>
      </c>
      <c r="L66" s="92" t="s">
        <v>1233</v>
      </c>
      <c r="M66" s="90">
        <f t="shared" si="1"/>
        <v>81</v>
      </c>
      <c r="N66" s="135" t="s">
        <v>3</v>
      </c>
      <c r="O66" s="135" t="s">
        <v>1004</v>
      </c>
      <c r="P66" s="99" t="s">
        <v>1288</v>
      </c>
      <c r="Q66" s="135"/>
      <c r="R66" s="99" t="s">
        <v>1277</v>
      </c>
    </row>
    <row r="67" spans="2:18" ht="25.5">
      <c r="B67" s="203"/>
      <c r="C67" s="205"/>
      <c r="D67" s="135">
        <v>60</v>
      </c>
      <c r="E67" s="99" t="s">
        <v>1229</v>
      </c>
      <c r="F67" s="135" t="s">
        <v>16</v>
      </c>
      <c r="G67" s="92" t="s">
        <v>1893</v>
      </c>
      <c r="H67" s="135" t="s">
        <v>1</v>
      </c>
      <c r="I67" s="135" t="s">
        <v>15</v>
      </c>
      <c r="J67" s="102" t="s">
        <v>1232</v>
      </c>
      <c r="K67" s="91">
        <v>19359</v>
      </c>
      <c r="L67" s="92" t="s">
        <v>1149</v>
      </c>
      <c r="M67" s="90">
        <f t="shared" si="1"/>
        <v>67</v>
      </c>
      <c r="N67" s="135" t="s">
        <v>3</v>
      </c>
      <c r="O67" s="135" t="s">
        <v>1004</v>
      </c>
      <c r="P67" s="99" t="s">
        <v>1272</v>
      </c>
      <c r="Q67" s="135"/>
      <c r="R67" s="99" t="s">
        <v>1277</v>
      </c>
    </row>
    <row r="68" spans="2:18">
      <c r="B68" s="203">
        <v>15</v>
      </c>
      <c r="C68" s="203" t="s">
        <v>1873</v>
      </c>
      <c r="D68" s="135">
        <v>61</v>
      </c>
      <c r="E68" s="99" t="s">
        <v>611</v>
      </c>
      <c r="F68" s="135" t="s">
        <v>6</v>
      </c>
      <c r="G68" s="90" t="s">
        <v>1876</v>
      </c>
      <c r="H68" s="135" t="s">
        <v>18</v>
      </c>
      <c r="I68" s="135" t="s">
        <v>9</v>
      </c>
      <c r="J68" s="102" t="s">
        <v>993</v>
      </c>
      <c r="K68" s="91">
        <v>22463</v>
      </c>
      <c r="L68" s="90">
        <v>1961</v>
      </c>
      <c r="M68" s="90">
        <f t="shared" si="1"/>
        <v>58</v>
      </c>
      <c r="N68" s="135" t="s">
        <v>3</v>
      </c>
      <c r="O68" s="135" t="s">
        <v>1004</v>
      </c>
      <c r="P68" s="99" t="s">
        <v>1273</v>
      </c>
      <c r="Q68" s="135"/>
      <c r="R68" s="99" t="s">
        <v>23</v>
      </c>
    </row>
    <row r="69" spans="2:18">
      <c r="B69" s="203"/>
      <c r="C69" s="203"/>
      <c r="D69" s="135">
        <v>62</v>
      </c>
      <c r="E69" s="99" t="s">
        <v>612</v>
      </c>
      <c r="F69" s="135" t="s">
        <v>21</v>
      </c>
      <c r="G69" s="90" t="s">
        <v>1877</v>
      </c>
      <c r="H69" s="135" t="s">
        <v>1</v>
      </c>
      <c r="I69" s="135" t="s">
        <v>9</v>
      </c>
      <c r="J69" s="102" t="s">
        <v>993</v>
      </c>
      <c r="K69" s="91">
        <v>23559</v>
      </c>
      <c r="L69" s="90">
        <v>1964</v>
      </c>
      <c r="M69" s="90">
        <f t="shared" si="1"/>
        <v>55</v>
      </c>
      <c r="N69" s="135" t="s">
        <v>3</v>
      </c>
      <c r="O69" s="135" t="s">
        <v>1004</v>
      </c>
      <c r="P69" s="99" t="s">
        <v>1273</v>
      </c>
      <c r="Q69" s="135"/>
      <c r="R69" s="99" t="s">
        <v>81</v>
      </c>
    </row>
    <row r="70" spans="2:18">
      <c r="B70" s="203"/>
      <c r="C70" s="203"/>
      <c r="D70" s="135">
        <v>63</v>
      </c>
      <c r="E70" s="99" t="s">
        <v>1874</v>
      </c>
      <c r="F70" s="135" t="s">
        <v>12</v>
      </c>
      <c r="G70" s="90" t="s">
        <v>1878</v>
      </c>
      <c r="H70" s="135" t="s">
        <v>18</v>
      </c>
      <c r="I70" s="135" t="s">
        <v>15</v>
      </c>
      <c r="J70" s="102" t="s">
        <v>1194</v>
      </c>
      <c r="K70" s="91">
        <v>35064</v>
      </c>
      <c r="L70" s="90">
        <v>1995</v>
      </c>
      <c r="M70" s="90">
        <f t="shared" si="1"/>
        <v>24</v>
      </c>
      <c r="N70" s="135" t="s">
        <v>3</v>
      </c>
      <c r="O70" s="135" t="s">
        <v>1004</v>
      </c>
      <c r="P70" s="99" t="s">
        <v>1272</v>
      </c>
      <c r="Q70" s="135"/>
      <c r="R70" s="99" t="s">
        <v>23</v>
      </c>
    </row>
    <row r="71" spans="2:18" ht="25.5">
      <c r="B71" s="203"/>
      <c r="C71" s="203"/>
      <c r="D71" s="135">
        <v>64</v>
      </c>
      <c r="E71" s="99" t="s">
        <v>1875</v>
      </c>
      <c r="F71" s="135" t="s">
        <v>12</v>
      </c>
      <c r="G71" s="90" t="s">
        <v>1879</v>
      </c>
      <c r="H71" s="135" t="s">
        <v>1</v>
      </c>
      <c r="I71" s="135" t="s">
        <v>15</v>
      </c>
      <c r="J71" s="102" t="s">
        <v>1072</v>
      </c>
      <c r="K71" s="91">
        <v>35899</v>
      </c>
      <c r="L71" s="90">
        <v>1998</v>
      </c>
      <c r="M71" s="90">
        <f t="shared" si="1"/>
        <v>21</v>
      </c>
      <c r="N71" s="135" t="s">
        <v>613</v>
      </c>
      <c r="O71" s="135" t="s">
        <v>1004</v>
      </c>
      <c r="P71" s="99" t="s">
        <v>1287</v>
      </c>
      <c r="Q71" s="135"/>
      <c r="R71" s="99" t="s">
        <v>1015</v>
      </c>
    </row>
    <row r="72" spans="2:18" ht="25.5">
      <c r="B72" s="203">
        <v>16</v>
      </c>
      <c r="C72" s="205" t="s">
        <v>1852</v>
      </c>
      <c r="D72" s="135">
        <v>65</v>
      </c>
      <c r="E72" s="99" t="s">
        <v>614</v>
      </c>
      <c r="F72" s="135" t="s">
        <v>6</v>
      </c>
      <c r="G72" s="90" t="s">
        <v>615</v>
      </c>
      <c r="H72" s="135" t="s">
        <v>18</v>
      </c>
      <c r="I72" s="135" t="s">
        <v>9</v>
      </c>
      <c r="J72" s="102" t="s">
        <v>1194</v>
      </c>
      <c r="K72" s="91">
        <v>31123</v>
      </c>
      <c r="L72" s="92" t="s">
        <v>997</v>
      </c>
      <c r="M72" s="90">
        <f t="shared" ref="M72:M73" si="2">2019-L72</f>
        <v>24</v>
      </c>
      <c r="N72" s="135" t="s">
        <v>3</v>
      </c>
      <c r="O72" s="135" t="s">
        <v>1004</v>
      </c>
      <c r="P72" s="99" t="s">
        <v>1273</v>
      </c>
      <c r="Q72" s="135"/>
      <c r="R72" s="99" t="s">
        <v>23</v>
      </c>
    </row>
    <row r="73" spans="2:18">
      <c r="B73" s="203"/>
      <c r="C73" s="205"/>
      <c r="D73" s="135">
        <v>66</v>
      </c>
      <c r="E73" s="99" t="s">
        <v>616</v>
      </c>
      <c r="F73" s="135" t="s">
        <v>21</v>
      </c>
      <c r="G73" s="90" t="s">
        <v>617</v>
      </c>
      <c r="H73" s="135" t="s">
        <v>1</v>
      </c>
      <c r="I73" s="135" t="s">
        <v>9</v>
      </c>
      <c r="J73" s="102" t="s">
        <v>1193</v>
      </c>
      <c r="K73" s="91">
        <v>31047</v>
      </c>
      <c r="L73" s="92" t="s">
        <v>1107</v>
      </c>
      <c r="M73" s="90">
        <f t="shared" si="2"/>
        <v>35</v>
      </c>
      <c r="N73" s="135" t="s">
        <v>3</v>
      </c>
      <c r="O73" s="135" t="s">
        <v>1004</v>
      </c>
      <c r="P73" s="99" t="s">
        <v>1287</v>
      </c>
      <c r="Q73" s="135"/>
      <c r="R73" s="99" t="s">
        <v>23</v>
      </c>
    </row>
    <row r="74" spans="2:18" ht="25.5">
      <c r="B74" s="203"/>
      <c r="C74" s="205"/>
      <c r="D74" s="135">
        <v>67</v>
      </c>
      <c r="E74" s="99" t="s">
        <v>618</v>
      </c>
      <c r="F74" s="135" t="s">
        <v>12</v>
      </c>
      <c r="G74" s="90" t="s">
        <v>619</v>
      </c>
      <c r="H74" s="135" t="s">
        <v>1</v>
      </c>
      <c r="I74" s="135" t="s">
        <v>15</v>
      </c>
      <c r="J74" s="102" t="s">
        <v>1193</v>
      </c>
      <c r="K74" s="91">
        <v>39094</v>
      </c>
      <c r="L74" s="92" t="s">
        <v>1019</v>
      </c>
      <c r="M74" s="90">
        <f t="shared" ref="M74:M139" si="3">2019-L74</f>
        <v>12</v>
      </c>
      <c r="N74" s="135" t="s">
        <v>3</v>
      </c>
      <c r="O74" s="135" t="s">
        <v>1004</v>
      </c>
      <c r="P74" s="99" t="s">
        <v>1288</v>
      </c>
      <c r="Q74" s="135"/>
      <c r="R74" s="99" t="s">
        <v>1277</v>
      </c>
    </row>
    <row r="75" spans="2:18" ht="25.5">
      <c r="B75" s="203"/>
      <c r="C75" s="205"/>
      <c r="D75" s="135">
        <v>68</v>
      </c>
      <c r="E75" s="99" t="s">
        <v>1853</v>
      </c>
      <c r="F75" s="135" t="s">
        <v>12</v>
      </c>
      <c r="G75" s="90" t="s">
        <v>1854</v>
      </c>
      <c r="H75" s="135" t="s">
        <v>1</v>
      </c>
      <c r="I75" s="135" t="s">
        <v>15</v>
      </c>
      <c r="J75" s="102" t="s">
        <v>993</v>
      </c>
      <c r="K75" s="91">
        <v>43344</v>
      </c>
      <c r="L75" s="92">
        <v>2018</v>
      </c>
      <c r="M75" s="90">
        <f>2019-L75</f>
        <v>1</v>
      </c>
      <c r="N75" s="135" t="s">
        <v>3</v>
      </c>
      <c r="O75" s="135" t="s">
        <v>1004</v>
      </c>
      <c r="P75" s="99" t="s">
        <v>1288</v>
      </c>
      <c r="Q75" s="135"/>
      <c r="R75" s="99" t="s">
        <v>1277</v>
      </c>
    </row>
    <row r="76" spans="2:18">
      <c r="B76" s="203">
        <v>17</v>
      </c>
      <c r="C76" s="203"/>
      <c r="D76" s="135">
        <v>69</v>
      </c>
      <c r="E76" s="99" t="s">
        <v>620</v>
      </c>
      <c r="F76" s="135" t="s">
        <v>6</v>
      </c>
      <c r="G76" s="90" t="s">
        <v>621</v>
      </c>
      <c r="H76" s="135" t="s">
        <v>18</v>
      </c>
      <c r="I76" s="135" t="s">
        <v>9</v>
      </c>
      <c r="J76" s="102"/>
      <c r="K76" s="91">
        <v>26362</v>
      </c>
      <c r="L76" s="90">
        <v>1972</v>
      </c>
      <c r="M76" s="90">
        <f t="shared" si="3"/>
        <v>47</v>
      </c>
      <c r="N76" s="135" t="s">
        <v>3</v>
      </c>
      <c r="O76" s="135" t="s">
        <v>1004</v>
      </c>
      <c r="P76" s="99" t="s">
        <v>1287</v>
      </c>
      <c r="Q76" s="135"/>
      <c r="R76" s="99" t="s">
        <v>23</v>
      </c>
    </row>
    <row r="77" spans="2:18" ht="25.5">
      <c r="B77" s="203"/>
      <c r="C77" s="203"/>
      <c r="D77" s="135">
        <v>70</v>
      </c>
      <c r="E77" s="99" t="s">
        <v>622</v>
      </c>
      <c r="F77" s="135" t="s">
        <v>21</v>
      </c>
      <c r="G77" s="90" t="s">
        <v>623</v>
      </c>
      <c r="H77" s="135" t="s">
        <v>1</v>
      </c>
      <c r="I77" s="135" t="s">
        <v>9</v>
      </c>
      <c r="J77" s="102"/>
      <c r="K77" s="91">
        <v>27206</v>
      </c>
      <c r="L77" s="90">
        <v>1974</v>
      </c>
      <c r="M77" s="90">
        <f t="shared" si="3"/>
        <v>45</v>
      </c>
      <c r="N77" s="135" t="s">
        <v>3</v>
      </c>
      <c r="O77" s="135" t="s">
        <v>1004</v>
      </c>
      <c r="P77" s="99" t="s">
        <v>1287</v>
      </c>
      <c r="Q77" s="135"/>
      <c r="R77" s="99" t="s">
        <v>19</v>
      </c>
    </row>
    <row r="78" spans="2:18" ht="25.5">
      <c r="B78" s="203"/>
      <c r="C78" s="203"/>
      <c r="D78" s="135">
        <v>71</v>
      </c>
      <c r="E78" s="99" t="s">
        <v>624</v>
      </c>
      <c r="F78" s="135" t="s">
        <v>12</v>
      </c>
      <c r="G78" s="90" t="s">
        <v>625</v>
      </c>
      <c r="H78" s="135" t="s">
        <v>18</v>
      </c>
      <c r="I78" s="135" t="s">
        <v>15</v>
      </c>
      <c r="J78" s="102"/>
      <c r="K78" s="91">
        <v>36043</v>
      </c>
      <c r="L78" s="90">
        <v>1998</v>
      </c>
      <c r="M78" s="90">
        <f t="shared" si="3"/>
        <v>21</v>
      </c>
      <c r="N78" s="135" t="s">
        <v>3</v>
      </c>
      <c r="O78" s="135" t="s">
        <v>1004</v>
      </c>
      <c r="P78" s="99" t="s">
        <v>1273</v>
      </c>
      <c r="Q78" s="135"/>
      <c r="R78" s="99" t="s">
        <v>11</v>
      </c>
    </row>
    <row r="79" spans="2:18" ht="25.5">
      <c r="B79" s="203"/>
      <c r="C79" s="203"/>
      <c r="D79" s="135">
        <v>72</v>
      </c>
      <c r="E79" s="99" t="s">
        <v>626</v>
      </c>
      <c r="F79" s="135" t="s">
        <v>12</v>
      </c>
      <c r="G79" s="90" t="s">
        <v>627</v>
      </c>
      <c r="H79" s="135" t="s">
        <v>18</v>
      </c>
      <c r="I79" s="135" t="s">
        <v>15</v>
      </c>
      <c r="J79" s="102"/>
      <c r="K79" s="91">
        <v>38239</v>
      </c>
      <c r="L79" s="90">
        <v>2004</v>
      </c>
      <c r="M79" s="90">
        <f t="shared" si="3"/>
        <v>15</v>
      </c>
      <c r="N79" s="135" t="s">
        <v>3</v>
      </c>
      <c r="O79" s="135" t="s">
        <v>1004</v>
      </c>
      <c r="P79" s="99" t="s">
        <v>11</v>
      </c>
      <c r="Q79" s="135"/>
      <c r="R79" s="99" t="s">
        <v>11</v>
      </c>
    </row>
    <row r="80" spans="2:18" ht="38.25">
      <c r="B80" s="203"/>
      <c r="C80" s="203"/>
      <c r="D80" s="135">
        <v>73</v>
      </c>
      <c r="E80" s="99" t="s">
        <v>628</v>
      </c>
      <c r="F80" s="135" t="s">
        <v>12</v>
      </c>
      <c r="G80" s="90" t="s">
        <v>629</v>
      </c>
      <c r="H80" s="135" t="s">
        <v>1</v>
      </c>
      <c r="I80" s="135" t="s">
        <v>15</v>
      </c>
      <c r="J80" s="102"/>
      <c r="K80" s="91">
        <v>39330</v>
      </c>
      <c r="L80" s="90">
        <v>2007</v>
      </c>
      <c r="M80" s="90">
        <f t="shared" si="3"/>
        <v>12</v>
      </c>
      <c r="N80" s="135" t="s">
        <v>3</v>
      </c>
      <c r="O80" s="135" t="s">
        <v>1004</v>
      </c>
      <c r="P80" s="99" t="s">
        <v>11</v>
      </c>
      <c r="Q80" s="135"/>
      <c r="R80" s="99" t="s">
        <v>11</v>
      </c>
    </row>
    <row r="81" spans="2:18" ht="25.5">
      <c r="B81" s="203"/>
      <c r="C81" s="203"/>
      <c r="D81" s="135">
        <v>74</v>
      </c>
      <c r="E81" s="99" t="s">
        <v>630</v>
      </c>
      <c r="F81" s="135" t="s">
        <v>12</v>
      </c>
      <c r="G81" s="90"/>
      <c r="H81" s="135" t="s">
        <v>1</v>
      </c>
      <c r="I81" s="135" t="s">
        <v>15</v>
      </c>
      <c r="J81" s="102"/>
      <c r="K81" s="91">
        <v>40609</v>
      </c>
      <c r="L81" s="90">
        <v>2011</v>
      </c>
      <c r="M81" s="90">
        <f t="shared" si="3"/>
        <v>8</v>
      </c>
      <c r="N81" s="135" t="s">
        <v>3</v>
      </c>
      <c r="O81" s="135" t="s">
        <v>1004</v>
      </c>
      <c r="P81" s="99" t="s">
        <v>11</v>
      </c>
      <c r="Q81" s="135"/>
      <c r="R81" s="99" t="s">
        <v>11</v>
      </c>
    </row>
    <row r="82" spans="2:18" ht="38.25">
      <c r="B82" s="203">
        <v>18</v>
      </c>
      <c r="C82" s="203" t="s">
        <v>1968</v>
      </c>
      <c r="D82" s="135">
        <v>75</v>
      </c>
      <c r="E82" s="99" t="s">
        <v>1967</v>
      </c>
      <c r="F82" s="135" t="s">
        <v>6</v>
      </c>
      <c r="G82" s="90" t="s">
        <v>631</v>
      </c>
      <c r="H82" s="135" t="s">
        <v>18</v>
      </c>
      <c r="I82" s="135" t="s">
        <v>9</v>
      </c>
      <c r="J82" s="102" t="s">
        <v>993</v>
      </c>
      <c r="K82" s="91">
        <v>29737</v>
      </c>
      <c r="L82" s="90">
        <v>1981</v>
      </c>
      <c r="M82" s="90">
        <f t="shared" si="3"/>
        <v>38</v>
      </c>
      <c r="N82" s="135" t="s">
        <v>3</v>
      </c>
      <c r="O82" s="135" t="s">
        <v>1004</v>
      </c>
      <c r="P82" s="99" t="s">
        <v>1197</v>
      </c>
      <c r="Q82" s="135"/>
      <c r="R82" s="99" t="s">
        <v>1162</v>
      </c>
    </row>
    <row r="83" spans="2:18" ht="38.25">
      <c r="B83" s="203"/>
      <c r="C83" s="203"/>
      <c r="D83" s="135">
        <v>76</v>
      </c>
      <c r="E83" s="99" t="s">
        <v>1963</v>
      </c>
      <c r="F83" s="135" t="s">
        <v>21</v>
      </c>
      <c r="G83" s="90" t="s">
        <v>1965</v>
      </c>
      <c r="H83" s="135" t="s">
        <v>1</v>
      </c>
      <c r="I83" s="135" t="s">
        <v>9</v>
      </c>
      <c r="J83" s="102" t="s">
        <v>1969</v>
      </c>
      <c r="K83" s="91">
        <v>29795</v>
      </c>
      <c r="L83" s="90">
        <v>1981</v>
      </c>
      <c r="M83" s="90">
        <f t="shared" si="3"/>
        <v>38</v>
      </c>
      <c r="N83" s="135" t="s">
        <v>3</v>
      </c>
      <c r="O83" s="135" t="s">
        <v>1004</v>
      </c>
      <c r="P83" s="99" t="s">
        <v>1234</v>
      </c>
      <c r="Q83" s="135"/>
      <c r="R83" s="99" t="s">
        <v>1334</v>
      </c>
    </row>
    <row r="84" spans="2:18" ht="25.5">
      <c r="B84" s="203"/>
      <c r="C84" s="203"/>
      <c r="D84" s="135">
        <v>77</v>
      </c>
      <c r="E84" s="99" t="s">
        <v>1964</v>
      </c>
      <c r="F84" s="135" t="s">
        <v>12</v>
      </c>
      <c r="G84" s="90" t="s">
        <v>632</v>
      </c>
      <c r="H84" s="135" t="s">
        <v>18</v>
      </c>
      <c r="I84" s="135" t="s">
        <v>15</v>
      </c>
      <c r="J84" s="102" t="s">
        <v>1072</v>
      </c>
      <c r="K84" s="91">
        <v>40041</v>
      </c>
      <c r="L84" s="90">
        <v>2009</v>
      </c>
      <c r="M84" s="90">
        <f t="shared" si="3"/>
        <v>10</v>
      </c>
      <c r="N84" s="135" t="s">
        <v>3</v>
      </c>
      <c r="O84" s="135" t="s">
        <v>1004</v>
      </c>
      <c r="P84" s="99" t="s">
        <v>1288</v>
      </c>
      <c r="Q84" s="135"/>
      <c r="R84" s="99" t="s">
        <v>1277</v>
      </c>
    </row>
    <row r="85" spans="2:18" ht="25.5">
      <c r="B85" s="203"/>
      <c r="C85" s="203"/>
      <c r="D85" s="135">
        <v>78</v>
      </c>
      <c r="E85" s="99" t="s">
        <v>633</v>
      </c>
      <c r="F85" s="135" t="s">
        <v>12</v>
      </c>
      <c r="G85" s="90" t="s">
        <v>1966</v>
      </c>
      <c r="H85" s="135" t="s">
        <v>18</v>
      </c>
      <c r="I85" s="135" t="s">
        <v>15</v>
      </c>
      <c r="J85" s="102" t="s">
        <v>1072</v>
      </c>
      <c r="K85" s="91">
        <v>41626</v>
      </c>
      <c r="L85" s="90">
        <v>2013</v>
      </c>
      <c r="M85" s="90">
        <f t="shared" si="3"/>
        <v>6</v>
      </c>
      <c r="N85" s="135" t="s">
        <v>3</v>
      </c>
      <c r="O85" s="135" t="s">
        <v>1004</v>
      </c>
      <c r="P85" s="99" t="s">
        <v>1288</v>
      </c>
      <c r="Q85" s="135"/>
      <c r="R85" s="99" t="s">
        <v>1277</v>
      </c>
    </row>
    <row r="86" spans="2:18" ht="38.25">
      <c r="B86" s="203">
        <v>19</v>
      </c>
      <c r="C86" s="203" t="s">
        <v>1834</v>
      </c>
      <c r="D86" s="135">
        <v>79</v>
      </c>
      <c r="E86" s="99" t="s">
        <v>634</v>
      </c>
      <c r="F86" s="135" t="s">
        <v>6</v>
      </c>
      <c r="G86" s="90" t="s">
        <v>635</v>
      </c>
      <c r="H86" s="135" t="s">
        <v>18</v>
      </c>
      <c r="I86" s="135" t="s">
        <v>9</v>
      </c>
      <c r="J86" s="102" t="s">
        <v>993</v>
      </c>
      <c r="K86" s="91">
        <v>30532</v>
      </c>
      <c r="L86" s="90">
        <v>1983</v>
      </c>
      <c r="M86" s="90">
        <f t="shared" si="3"/>
        <v>36</v>
      </c>
      <c r="N86" s="135" t="s">
        <v>3</v>
      </c>
      <c r="O86" s="135" t="s">
        <v>1004</v>
      </c>
      <c r="P86" s="99" t="s">
        <v>1197</v>
      </c>
      <c r="Q86" s="135"/>
      <c r="R86" s="99" t="s">
        <v>23</v>
      </c>
    </row>
    <row r="87" spans="2:18" ht="25.5">
      <c r="B87" s="203"/>
      <c r="C87" s="203"/>
      <c r="D87" s="135">
        <v>80</v>
      </c>
      <c r="E87" s="99" t="s">
        <v>636</v>
      </c>
      <c r="F87" s="135" t="s">
        <v>21</v>
      </c>
      <c r="G87" s="90" t="s">
        <v>637</v>
      </c>
      <c r="H87" s="135" t="s">
        <v>1</v>
      </c>
      <c r="I87" s="135" t="s">
        <v>9</v>
      </c>
      <c r="J87" s="102" t="s">
        <v>1045</v>
      </c>
      <c r="K87" s="91">
        <v>29704</v>
      </c>
      <c r="L87" s="90">
        <v>1981</v>
      </c>
      <c r="M87" s="90">
        <f t="shared" si="3"/>
        <v>38</v>
      </c>
      <c r="N87" s="135" t="s">
        <v>3</v>
      </c>
      <c r="O87" s="135" t="s">
        <v>1004</v>
      </c>
      <c r="P87" s="99" t="s">
        <v>1197</v>
      </c>
      <c r="Q87" s="135"/>
      <c r="R87" s="99" t="s">
        <v>1334</v>
      </c>
    </row>
    <row r="88" spans="2:18" ht="38.25">
      <c r="B88" s="203"/>
      <c r="C88" s="203"/>
      <c r="D88" s="135">
        <v>81</v>
      </c>
      <c r="E88" s="99" t="s">
        <v>638</v>
      </c>
      <c r="F88" s="135" t="s">
        <v>12</v>
      </c>
      <c r="G88" s="90" t="s">
        <v>639</v>
      </c>
      <c r="H88" s="135" t="s">
        <v>18</v>
      </c>
      <c r="I88" s="135" t="s">
        <v>15</v>
      </c>
      <c r="J88" s="102" t="s">
        <v>1072</v>
      </c>
      <c r="K88" s="91">
        <v>40986</v>
      </c>
      <c r="L88" s="90">
        <v>2012</v>
      </c>
      <c r="M88" s="90">
        <f t="shared" si="3"/>
        <v>7</v>
      </c>
      <c r="N88" s="135" t="s">
        <v>3</v>
      </c>
      <c r="O88" s="135" t="s">
        <v>1004</v>
      </c>
      <c r="P88" s="99" t="s">
        <v>1288</v>
      </c>
      <c r="Q88" s="135"/>
      <c r="R88" s="99" t="s">
        <v>1277</v>
      </c>
    </row>
    <row r="89" spans="2:18" ht="38.25">
      <c r="B89" s="203"/>
      <c r="C89" s="203"/>
      <c r="D89" s="135">
        <v>82</v>
      </c>
      <c r="E89" s="99" t="s">
        <v>1835</v>
      </c>
      <c r="F89" s="135" t="s">
        <v>12</v>
      </c>
      <c r="G89" s="90" t="s">
        <v>1836</v>
      </c>
      <c r="H89" s="135" t="s">
        <v>18</v>
      </c>
      <c r="I89" s="135" t="s">
        <v>15</v>
      </c>
      <c r="J89" s="102" t="s">
        <v>1045</v>
      </c>
      <c r="K89" s="91">
        <v>42844</v>
      </c>
      <c r="L89" s="90">
        <v>2017</v>
      </c>
      <c r="M89" s="90">
        <f t="shared" si="3"/>
        <v>2</v>
      </c>
      <c r="N89" s="135" t="s">
        <v>3</v>
      </c>
      <c r="O89" s="135" t="s">
        <v>1004</v>
      </c>
      <c r="P89" s="99" t="s">
        <v>1288</v>
      </c>
      <c r="Q89" s="135"/>
      <c r="R89" s="99" t="s">
        <v>1277</v>
      </c>
    </row>
    <row r="90" spans="2:18">
      <c r="B90" s="203">
        <v>20</v>
      </c>
      <c r="C90" s="205" t="s">
        <v>1880</v>
      </c>
      <c r="D90" s="135">
        <v>83</v>
      </c>
      <c r="E90" s="99" t="s">
        <v>640</v>
      </c>
      <c r="F90" s="135" t="s">
        <v>6</v>
      </c>
      <c r="G90" s="92" t="s">
        <v>1881</v>
      </c>
      <c r="H90" s="135" t="s">
        <v>18</v>
      </c>
      <c r="I90" s="135" t="s">
        <v>9</v>
      </c>
      <c r="J90" s="102" t="s">
        <v>1193</v>
      </c>
      <c r="K90" s="91">
        <v>27029</v>
      </c>
      <c r="L90" s="92" t="s">
        <v>1035</v>
      </c>
      <c r="M90" s="90">
        <f t="shared" si="3"/>
        <v>46</v>
      </c>
      <c r="N90" s="135" t="s">
        <v>3</v>
      </c>
      <c r="O90" s="135" t="s">
        <v>1004</v>
      </c>
      <c r="P90" s="99" t="s">
        <v>1272</v>
      </c>
      <c r="Q90" s="135"/>
      <c r="R90" s="99" t="s">
        <v>23</v>
      </c>
    </row>
    <row r="91" spans="2:18" ht="25.5">
      <c r="B91" s="203"/>
      <c r="C91" s="205"/>
      <c r="D91" s="135">
        <v>84</v>
      </c>
      <c r="E91" s="99" t="s">
        <v>641</v>
      </c>
      <c r="F91" s="135" t="s">
        <v>21</v>
      </c>
      <c r="G91" s="92" t="s">
        <v>1882</v>
      </c>
      <c r="H91" s="135" t="s">
        <v>1</v>
      </c>
      <c r="I91" s="135" t="s">
        <v>9</v>
      </c>
      <c r="J91" s="102" t="s">
        <v>993</v>
      </c>
      <c r="K91" s="91">
        <v>24472</v>
      </c>
      <c r="L91" s="92" t="s">
        <v>1189</v>
      </c>
      <c r="M91" s="90">
        <f t="shared" si="3"/>
        <v>53</v>
      </c>
      <c r="N91" s="135" t="s">
        <v>3</v>
      </c>
      <c r="O91" s="135" t="s">
        <v>1004</v>
      </c>
      <c r="P91" s="99" t="s">
        <v>1287</v>
      </c>
      <c r="Q91" s="135"/>
      <c r="R91" s="99" t="s">
        <v>1334</v>
      </c>
    </row>
    <row r="92" spans="2:18" ht="25.5">
      <c r="B92" s="203"/>
      <c r="C92" s="205"/>
      <c r="D92" s="135">
        <v>85</v>
      </c>
      <c r="E92" s="99" t="s">
        <v>642</v>
      </c>
      <c r="F92" s="135" t="s">
        <v>12</v>
      </c>
      <c r="G92" s="92" t="s">
        <v>1883</v>
      </c>
      <c r="H92" s="135" t="s">
        <v>1</v>
      </c>
      <c r="I92" s="135" t="s">
        <v>15</v>
      </c>
      <c r="J92" s="102" t="s">
        <v>1072</v>
      </c>
      <c r="K92" s="91">
        <v>39518</v>
      </c>
      <c r="L92" s="92" t="s">
        <v>1008</v>
      </c>
      <c r="M92" s="90">
        <f t="shared" si="3"/>
        <v>11</v>
      </c>
      <c r="N92" s="135" t="s">
        <v>3</v>
      </c>
      <c r="O92" s="135" t="s">
        <v>1004</v>
      </c>
      <c r="P92" s="99" t="s">
        <v>1274</v>
      </c>
      <c r="Q92" s="135"/>
      <c r="R92" s="99" t="s">
        <v>1309</v>
      </c>
    </row>
    <row r="93" spans="2:18">
      <c r="B93" s="203">
        <v>21</v>
      </c>
      <c r="C93" s="203" t="s">
        <v>1931</v>
      </c>
      <c r="D93" s="135">
        <v>86</v>
      </c>
      <c r="E93" s="99" t="s">
        <v>643</v>
      </c>
      <c r="F93" s="135" t="s">
        <v>6</v>
      </c>
      <c r="G93" s="90" t="s">
        <v>644</v>
      </c>
      <c r="H93" s="135" t="s">
        <v>18</v>
      </c>
      <c r="I93" s="135" t="s">
        <v>9</v>
      </c>
      <c r="J93" s="102"/>
      <c r="K93" s="91">
        <v>18628</v>
      </c>
      <c r="L93" s="90">
        <v>1950</v>
      </c>
      <c r="M93" s="90">
        <f t="shared" si="3"/>
        <v>69</v>
      </c>
      <c r="N93" s="135" t="s">
        <v>3</v>
      </c>
      <c r="O93" s="135" t="s">
        <v>1004</v>
      </c>
      <c r="P93" s="99" t="s">
        <v>11</v>
      </c>
      <c r="Q93" s="135"/>
      <c r="R93" s="99" t="s">
        <v>91</v>
      </c>
    </row>
    <row r="94" spans="2:18">
      <c r="B94" s="203"/>
      <c r="C94" s="203"/>
      <c r="D94" s="135">
        <v>87</v>
      </c>
      <c r="E94" s="99" t="s">
        <v>645</v>
      </c>
      <c r="F94" s="135" t="s">
        <v>21</v>
      </c>
      <c r="G94" s="90" t="s">
        <v>646</v>
      </c>
      <c r="H94" s="135" t="s">
        <v>1</v>
      </c>
      <c r="I94" s="135" t="s">
        <v>9</v>
      </c>
      <c r="J94" s="102"/>
      <c r="K94" s="91">
        <v>18993</v>
      </c>
      <c r="L94" s="90">
        <v>1951</v>
      </c>
      <c r="M94" s="90">
        <f t="shared" si="3"/>
        <v>68</v>
      </c>
      <c r="N94" s="135" t="s">
        <v>3</v>
      </c>
      <c r="O94" s="135" t="s">
        <v>1004</v>
      </c>
      <c r="P94" s="99" t="s">
        <v>11</v>
      </c>
      <c r="Q94" s="135"/>
      <c r="R94" s="99" t="s">
        <v>5</v>
      </c>
    </row>
    <row r="95" spans="2:18" ht="25.5">
      <c r="B95" s="203"/>
      <c r="C95" s="203"/>
      <c r="D95" s="135">
        <v>88</v>
      </c>
      <c r="E95" s="99" t="s">
        <v>648</v>
      </c>
      <c r="F95" s="135" t="s">
        <v>12</v>
      </c>
      <c r="G95" s="90" t="s">
        <v>649</v>
      </c>
      <c r="H95" s="135" t="s">
        <v>1</v>
      </c>
      <c r="I95" s="135" t="s">
        <v>15</v>
      </c>
      <c r="J95" s="102"/>
      <c r="K95" s="91">
        <v>28387</v>
      </c>
      <c r="L95" s="90">
        <v>1977</v>
      </c>
      <c r="M95" s="90">
        <f t="shared" si="3"/>
        <v>42</v>
      </c>
      <c r="N95" s="135" t="s">
        <v>3</v>
      </c>
      <c r="O95" s="135" t="s">
        <v>1004</v>
      </c>
      <c r="P95" s="99" t="s">
        <v>4</v>
      </c>
      <c r="Q95" s="135"/>
      <c r="R95" s="99" t="s">
        <v>39</v>
      </c>
    </row>
    <row r="96" spans="2:18" ht="25.5">
      <c r="B96" s="203"/>
      <c r="C96" s="203"/>
      <c r="D96" s="135">
        <v>89</v>
      </c>
      <c r="E96" s="99" t="s">
        <v>647</v>
      </c>
      <c r="F96" s="135" t="s">
        <v>1243</v>
      </c>
      <c r="G96" s="90" t="s">
        <v>1932</v>
      </c>
      <c r="H96" s="135" t="s">
        <v>1</v>
      </c>
      <c r="I96" s="135" t="s">
        <v>1235</v>
      </c>
      <c r="J96" s="102" t="s">
        <v>993</v>
      </c>
      <c r="K96" s="91">
        <v>27394</v>
      </c>
      <c r="L96" s="90">
        <v>1974</v>
      </c>
      <c r="M96" s="90">
        <f>2019-L96</f>
        <v>45</v>
      </c>
      <c r="N96" s="135" t="s">
        <v>3</v>
      </c>
      <c r="O96" s="135" t="s">
        <v>1004</v>
      </c>
      <c r="P96" s="99" t="s">
        <v>1272</v>
      </c>
      <c r="Q96" s="135"/>
      <c r="R96" s="99" t="s">
        <v>23</v>
      </c>
    </row>
    <row r="97" spans="2:18" ht="25.5">
      <c r="B97" s="203">
        <v>22</v>
      </c>
      <c r="C97" s="205" t="s">
        <v>1951</v>
      </c>
      <c r="D97" s="135">
        <v>90</v>
      </c>
      <c r="E97" s="99" t="s">
        <v>650</v>
      </c>
      <c r="F97" s="135" t="s">
        <v>6</v>
      </c>
      <c r="G97" s="92" t="s">
        <v>1952</v>
      </c>
      <c r="H97" s="135" t="s">
        <v>18</v>
      </c>
      <c r="I97" s="135" t="s">
        <v>9</v>
      </c>
      <c r="J97" s="102" t="s">
        <v>993</v>
      </c>
      <c r="K97" s="91">
        <v>28898</v>
      </c>
      <c r="L97" s="92" t="s">
        <v>996</v>
      </c>
      <c r="M97" s="90">
        <f t="shared" si="3"/>
        <v>40</v>
      </c>
      <c r="N97" s="135" t="s">
        <v>3</v>
      </c>
      <c r="O97" s="135" t="s">
        <v>1004</v>
      </c>
      <c r="P97" s="99" t="s">
        <v>1287</v>
      </c>
      <c r="Q97" s="135"/>
      <c r="R97" s="99" t="s">
        <v>23</v>
      </c>
    </row>
    <row r="98" spans="2:18" ht="25.5">
      <c r="B98" s="203"/>
      <c r="C98" s="205"/>
      <c r="D98" s="135">
        <v>91</v>
      </c>
      <c r="E98" s="99" t="s">
        <v>651</v>
      </c>
      <c r="F98" s="135" t="s">
        <v>21</v>
      </c>
      <c r="G98" s="92" t="s">
        <v>1953</v>
      </c>
      <c r="H98" s="135" t="s">
        <v>1</v>
      </c>
      <c r="I98" s="135" t="s">
        <v>9</v>
      </c>
      <c r="J98" s="102" t="s">
        <v>1237</v>
      </c>
      <c r="K98" s="91">
        <v>31935</v>
      </c>
      <c r="L98" s="92" t="s">
        <v>991</v>
      </c>
      <c r="M98" s="90">
        <f t="shared" si="3"/>
        <v>32</v>
      </c>
      <c r="N98" s="135" t="s">
        <v>3</v>
      </c>
      <c r="O98" s="135" t="s">
        <v>1004</v>
      </c>
      <c r="P98" s="99" t="s">
        <v>1272</v>
      </c>
      <c r="Q98" s="135"/>
      <c r="R98" s="99" t="s">
        <v>1032</v>
      </c>
    </row>
    <row r="99" spans="2:18" ht="25.5">
      <c r="B99" s="203"/>
      <c r="C99" s="205"/>
      <c r="D99" s="135">
        <v>92</v>
      </c>
      <c r="E99" s="99" t="s">
        <v>652</v>
      </c>
      <c r="F99" s="135" t="s">
        <v>12</v>
      </c>
      <c r="G99" s="92" t="s">
        <v>1954</v>
      </c>
      <c r="H99" s="135" t="s">
        <v>18</v>
      </c>
      <c r="I99" s="135" t="s">
        <v>15</v>
      </c>
      <c r="J99" s="102" t="s">
        <v>1237</v>
      </c>
      <c r="K99" s="91">
        <v>40465</v>
      </c>
      <c r="L99" s="92" t="s">
        <v>1066</v>
      </c>
      <c r="M99" s="90">
        <f t="shared" si="3"/>
        <v>9</v>
      </c>
      <c r="N99" s="135" t="s">
        <v>3</v>
      </c>
      <c r="O99" s="135" t="s">
        <v>1004</v>
      </c>
      <c r="P99" s="99" t="s">
        <v>1274</v>
      </c>
      <c r="Q99" s="135"/>
      <c r="R99" s="99" t="s">
        <v>1309</v>
      </c>
    </row>
    <row r="100" spans="2:18" ht="25.5">
      <c r="B100" s="203"/>
      <c r="C100" s="205"/>
      <c r="D100" s="135">
        <v>93</v>
      </c>
      <c r="E100" s="99" t="s">
        <v>1236</v>
      </c>
      <c r="F100" s="135" t="s">
        <v>12</v>
      </c>
      <c r="G100" s="92" t="s">
        <v>1955</v>
      </c>
      <c r="H100" s="135" t="s">
        <v>1</v>
      </c>
      <c r="I100" s="135" t="s">
        <v>15</v>
      </c>
      <c r="J100" s="102" t="s">
        <v>1045</v>
      </c>
      <c r="K100" s="91">
        <v>42508</v>
      </c>
      <c r="L100" s="92" t="s">
        <v>1014</v>
      </c>
      <c r="M100" s="90">
        <f t="shared" si="3"/>
        <v>3</v>
      </c>
      <c r="N100" s="135" t="s">
        <v>3</v>
      </c>
      <c r="O100" s="135" t="s">
        <v>1004</v>
      </c>
      <c r="P100" s="99" t="s">
        <v>1288</v>
      </c>
      <c r="Q100" s="135"/>
      <c r="R100" s="99" t="s">
        <v>1277</v>
      </c>
    </row>
    <row r="101" spans="2:18" ht="25.5">
      <c r="B101" s="203">
        <v>23</v>
      </c>
      <c r="C101" s="203"/>
      <c r="D101" s="135">
        <v>94</v>
      </c>
      <c r="E101" s="99" t="s">
        <v>653</v>
      </c>
      <c r="F101" s="135" t="s">
        <v>6</v>
      </c>
      <c r="G101" s="90" t="s">
        <v>654</v>
      </c>
      <c r="H101" s="135" t="s">
        <v>18</v>
      </c>
      <c r="I101" s="135" t="s">
        <v>9</v>
      </c>
      <c r="J101" s="102"/>
      <c r="K101" s="91">
        <v>15706</v>
      </c>
      <c r="L101" s="90">
        <v>1942</v>
      </c>
      <c r="M101" s="90">
        <f t="shared" si="3"/>
        <v>77</v>
      </c>
      <c r="N101" s="135" t="s">
        <v>3</v>
      </c>
      <c r="O101" s="135" t="s">
        <v>1004</v>
      </c>
      <c r="P101" s="99" t="s">
        <v>4</v>
      </c>
      <c r="Q101" s="135"/>
      <c r="R101" s="99" t="s">
        <v>91</v>
      </c>
    </row>
    <row r="102" spans="2:18">
      <c r="B102" s="203"/>
      <c r="C102" s="203"/>
      <c r="D102" s="135">
        <v>95</v>
      </c>
      <c r="E102" s="99" t="s">
        <v>655</v>
      </c>
      <c r="F102" s="135" t="s">
        <v>21</v>
      </c>
      <c r="G102" s="90" t="s">
        <v>656</v>
      </c>
      <c r="H102" s="135" t="s">
        <v>1</v>
      </c>
      <c r="I102" s="135" t="s">
        <v>9</v>
      </c>
      <c r="J102" s="102"/>
      <c r="K102" s="91">
        <v>16802</v>
      </c>
      <c r="L102" s="90">
        <v>1945</v>
      </c>
      <c r="M102" s="90">
        <f t="shared" si="3"/>
        <v>74</v>
      </c>
      <c r="N102" s="135" t="s">
        <v>3</v>
      </c>
      <c r="O102" s="135" t="s">
        <v>1004</v>
      </c>
      <c r="P102" s="99" t="s">
        <v>4</v>
      </c>
      <c r="Q102" s="135"/>
      <c r="R102" s="99" t="s">
        <v>5</v>
      </c>
    </row>
    <row r="103" spans="2:18">
      <c r="B103" s="203"/>
      <c r="C103" s="203"/>
      <c r="D103" s="135">
        <v>96</v>
      </c>
      <c r="E103" s="99" t="s">
        <v>657</v>
      </c>
      <c r="F103" s="135" t="s">
        <v>12</v>
      </c>
      <c r="G103" s="90" t="s">
        <v>658</v>
      </c>
      <c r="H103" s="135" t="s">
        <v>1</v>
      </c>
      <c r="I103" s="135" t="s">
        <v>15</v>
      </c>
      <c r="J103" s="102"/>
      <c r="K103" s="91">
        <v>28125</v>
      </c>
      <c r="L103" s="90">
        <v>1976</v>
      </c>
      <c r="M103" s="90">
        <f t="shared" si="3"/>
        <v>43</v>
      </c>
      <c r="N103" s="135" t="s">
        <v>3</v>
      </c>
      <c r="O103" s="135" t="s">
        <v>1004</v>
      </c>
      <c r="P103" s="99" t="s">
        <v>1273</v>
      </c>
      <c r="Q103" s="135"/>
      <c r="R103" s="99" t="s">
        <v>39</v>
      </c>
    </row>
    <row r="104" spans="2:18">
      <c r="B104" s="203"/>
      <c r="C104" s="203"/>
      <c r="D104" s="135">
        <v>97</v>
      </c>
      <c r="E104" s="99" t="s">
        <v>659</v>
      </c>
      <c r="F104" s="135" t="s">
        <v>12</v>
      </c>
      <c r="G104" s="90" t="s">
        <v>660</v>
      </c>
      <c r="H104" s="135" t="s">
        <v>18</v>
      </c>
      <c r="I104" s="135" t="s">
        <v>15</v>
      </c>
      <c r="J104" s="102"/>
      <c r="K104" s="91">
        <v>29220</v>
      </c>
      <c r="L104" s="90">
        <v>1979</v>
      </c>
      <c r="M104" s="90">
        <f t="shared" si="3"/>
        <v>40</v>
      </c>
      <c r="N104" s="135" t="s">
        <v>3</v>
      </c>
      <c r="O104" s="135" t="s">
        <v>1004</v>
      </c>
      <c r="P104" s="99" t="s">
        <v>1273</v>
      </c>
      <c r="Q104" s="135"/>
      <c r="R104" s="99" t="s">
        <v>39</v>
      </c>
    </row>
    <row r="105" spans="2:18" ht="25.5">
      <c r="B105" s="203"/>
      <c r="C105" s="203"/>
      <c r="D105" s="135">
        <v>98</v>
      </c>
      <c r="E105" s="99" t="s">
        <v>661</v>
      </c>
      <c r="F105" s="135" t="s">
        <v>12</v>
      </c>
      <c r="G105" s="90" t="s">
        <v>662</v>
      </c>
      <c r="H105" s="135" t="s">
        <v>18</v>
      </c>
      <c r="I105" s="135" t="s">
        <v>15</v>
      </c>
      <c r="J105" s="102"/>
      <c r="K105" s="91">
        <v>33736</v>
      </c>
      <c r="L105" s="90">
        <v>1992</v>
      </c>
      <c r="M105" s="90">
        <f t="shared" si="3"/>
        <v>27</v>
      </c>
      <c r="N105" s="135" t="s">
        <v>3</v>
      </c>
      <c r="O105" s="135" t="s">
        <v>1004</v>
      </c>
      <c r="P105" s="99" t="s">
        <v>1287</v>
      </c>
      <c r="Q105" s="135"/>
      <c r="R105" s="99" t="s">
        <v>19</v>
      </c>
    </row>
    <row r="106" spans="2:18" ht="25.5">
      <c r="B106" s="203"/>
      <c r="C106" s="203"/>
      <c r="D106" s="135">
        <v>99</v>
      </c>
      <c r="E106" s="99" t="s">
        <v>663</v>
      </c>
      <c r="F106" s="135" t="s">
        <v>12</v>
      </c>
      <c r="G106" s="90"/>
      <c r="H106" s="135" t="s">
        <v>18</v>
      </c>
      <c r="I106" s="135" t="s">
        <v>15</v>
      </c>
      <c r="J106" s="102"/>
      <c r="K106" s="91">
        <v>37187</v>
      </c>
      <c r="L106" s="90">
        <v>2001</v>
      </c>
      <c r="M106" s="90">
        <f t="shared" si="3"/>
        <v>18</v>
      </c>
      <c r="N106" s="135" t="s">
        <v>3</v>
      </c>
      <c r="O106" s="135" t="s">
        <v>1004</v>
      </c>
      <c r="P106" s="99" t="s">
        <v>4</v>
      </c>
      <c r="Q106" s="135"/>
      <c r="R106" s="99" t="s">
        <v>11</v>
      </c>
    </row>
    <row r="107" spans="2:18" ht="25.5">
      <c r="B107" s="203">
        <v>24</v>
      </c>
      <c r="C107" s="205" t="s">
        <v>1206</v>
      </c>
      <c r="D107" s="135">
        <v>100</v>
      </c>
      <c r="E107" s="99" t="s">
        <v>664</v>
      </c>
      <c r="F107" s="135" t="s">
        <v>6</v>
      </c>
      <c r="G107" s="92" t="s">
        <v>1208</v>
      </c>
      <c r="H107" s="135" t="s">
        <v>18</v>
      </c>
      <c r="I107" s="135" t="s">
        <v>9</v>
      </c>
      <c r="J107" s="102" t="s">
        <v>1016</v>
      </c>
      <c r="K107" s="91">
        <v>43595</v>
      </c>
      <c r="L107" s="92" t="s">
        <v>1213</v>
      </c>
      <c r="M107" s="90">
        <f t="shared" si="3"/>
        <v>61</v>
      </c>
      <c r="N107" s="135" t="s">
        <v>3</v>
      </c>
      <c r="O107" s="135" t="s">
        <v>1004</v>
      </c>
      <c r="P107" s="99" t="s">
        <v>4</v>
      </c>
      <c r="Q107" s="135"/>
      <c r="R107" s="99" t="s">
        <v>91</v>
      </c>
    </row>
    <row r="108" spans="2:18" ht="25.5">
      <c r="B108" s="203"/>
      <c r="C108" s="205"/>
      <c r="D108" s="135">
        <v>101</v>
      </c>
      <c r="E108" s="99" t="s">
        <v>665</v>
      </c>
      <c r="F108" s="135" t="s">
        <v>21</v>
      </c>
      <c r="G108" s="92" t="s">
        <v>1209</v>
      </c>
      <c r="H108" s="135" t="s">
        <v>1</v>
      </c>
      <c r="I108" s="135" t="s">
        <v>9</v>
      </c>
      <c r="J108" s="102" t="s">
        <v>1016</v>
      </c>
      <c r="K108" s="91">
        <v>43706</v>
      </c>
      <c r="L108" s="92" t="s">
        <v>1031</v>
      </c>
      <c r="M108" s="90">
        <f t="shared" si="3"/>
        <v>60</v>
      </c>
      <c r="N108" s="135" t="s">
        <v>3</v>
      </c>
      <c r="O108" s="135" t="s">
        <v>1004</v>
      </c>
      <c r="P108" s="99" t="s">
        <v>4</v>
      </c>
      <c r="Q108" s="135"/>
      <c r="R108" s="99" t="s">
        <v>91</v>
      </c>
    </row>
    <row r="109" spans="2:18" ht="25.5">
      <c r="B109" s="203"/>
      <c r="C109" s="205"/>
      <c r="D109" s="135">
        <v>102</v>
      </c>
      <c r="E109" s="99" t="s">
        <v>1207</v>
      </c>
      <c r="F109" s="135" t="s">
        <v>12</v>
      </c>
      <c r="G109" s="92" t="s">
        <v>1210</v>
      </c>
      <c r="H109" s="135" t="s">
        <v>18</v>
      </c>
      <c r="I109" s="135" t="s">
        <v>15</v>
      </c>
      <c r="J109" s="102" t="s">
        <v>1016</v>
      </c>
      <c r="K109" s="91">
        <v>43802</v>
      </c>
      <c r="L109" s="92" t="s">
        <v>1108</v>
      </c>
      <c r="M109" s="90">
        <f t="shared" si="3"/>
        <v>27</v>
      </c>
      <c r="N109" s="135" t="s">
        <v>3</v>
      </c>
      <c r="O109" s="135" t="s">
        <v>1004</v>
      </c>
      <c r="P109" s="99" t="s">
        <v>1197</v>
      </c>
      <c r="Q109" s="135"/>
      <c r="R109" s="99" t="s">
        <v>11</v>
      </c>
    </row>
    <row r="110" spans="2:18" ht="25.5">
      <c r="B110" s="203"/>
      <c r="C110" s="205"/>
      <c r="D110" s="135">
        <v>103</v>
      </c>
      <c r="E110" s="99" t="s">
        <v>667</v>
      </c>
      <c r="F110" s="135" t="s">
        <v>12</v>
      </c>
      <c r="G110" s="92" t="s">
        <v>1212</v>
      </c>
      <c r="H110" s="135" t="s">
        <v>18</v>
      </c>
      <c r="I110" s="135" t="s">
        <v>15</v>
      </c>
      <c r="J110" s="102" t="s">
        <v>1016</v>
      </c>
      <c r="K110" s="91">
        <v>43718</v>
      </c>
      <c r="L110" s="92" t="s">
        <v>1214</v>
      </c>
      <c r="M110" s="90">
        <f t="shared" si="3"/>
        <v>22</v>
      </c>
      <c r="N110" s="135" t="s">
        <v>3</v>
      </c>
      <c r="O110" s="135" t="s">
        <v>1004</v>
      </c>
      <c r="P110" s="99" t="s">
        <v>4</v>
      </c>
      <c r="Q110" s="135"/>
      <c r="R110" s="99" t="s">
        <v>1309</v>
      </c>
    </row>
    <row r="111" spans="2:18" ht="25.5">
      <c r="B111" s="203"/>
      <c r="C111" s="205"/>
      <c r="D111" s="135">
        <v>104</v>
      </c>
      <c r="E111" s="99" t="s">
        <v>668</v>
      </c>
      <c r="F111" s="135" t="s">
        <v>12</v>
      </c>
      <c r="G111" s="92" t="s">
        <v>1211</v>
      </c>
      <c r="H111" s="135" t="s">
        <v>18</v>
      </c>
      <c r="I111" s="135" t="s">
        <v>15</v>
      </c>
      <c r="J111" s="102" t="s">
        <v>1016</v>
      </c>
      <c r="K111" s="91">
        <v>43691</v>
      </c>
      <c r="L111" s="92" t="s">
        <v>1055</v>
      </c>
      <c r="M111" s="90">
        <f t="shared" si="3"/>
        <v>20</v>
      </c>
      <c r="N111" s="135" t="s">
        <v>3</v>
      </c>
      <c r="O111" s="135" t="s">
        <v>1004</v>
      </c>
      <c r="P111" s="99" t="s">
        <v>1287</v>
      </c>
      <c r="Q111" s="135"/>
      <c r="R111" s="99" t="s">
        <v>1309</v>
      </c>
    </row>
    <row r="112" spans="2:18" ht="25.5">
      <c r="B112" s="203">
        <v>25</v>
      </c>
      <c r="C112" s="205" t="s">
        <v>1252</v>
      </c>
      <c r="D112" s="135">
        <v>105</v>
      </c>
      <c r="E112" s="99" t="s">
        <v>669</v>
      </c>
      <c r="F112" s="135" t="s">
        <v>6</v>
      </c>
      <c r="G112" s="92" t="s">
        <v>1254</v>
      </c>
      <c r="H112" s="135" t="s">
        <v>18</v>
      </c>
      <c r="I112" s="135" t="s">
        <v>9</v>
      </c>
      <c r="J112" s="102" t="s">
        <v>1016</v>
      </c>
      <c r="K112" s="91">
        <v>43535</v>
      </c>
      <c r="L112" s="92" t="s">
        <v>1040</v>
      </c>
      <c r="M112" s="90">
        <f t="shared" si="3"/>
        <v>36</v>
      </c>
      <c r="N112" s="135" t="s">
        <v>3</v>
      </c>
      <c r="O112" s="135" t="s">
        <v>1004</v>
      </c>
      <c r="P112" s="99" t="s">
        <v>1287</v>
      </c>
      <c r="Q112" s="135"/>
      <c r="R112" s="99" t="s">
        <v>1162</v>
      </c>
    </row>
    <row r="113" spans="2:18">
      <c r="B113" s="203"/>
      <c r="C113" s="203"/>
      <c r="D113" s="135">
        <v>106</v>
      </c>
      <c r="E113" s="99" t="s">
        <v>670</v>
      </c>
      <c r="F113" s="135" t="s">
        <v>21</v>
      </c>
      <c r="G113" s="92" t="s">
        <v>1255</v>
      </c>
      <c r="H113" s="135" t="s">
        <v>1</v>
      </c>
      <c r="I113" s="135" t="s">
        <v>9</v>
      </c>
      <c r="J113" s="102" t="s">
        <v>1258</v>
      </c>
      <c r="K113" s="91">
        <v>43599</v>
      </c>
      <c r="L113" s="92" t="s">
        <v>1227</v>
      </c>
      <c r="M113" s="90">
        <f t="shared" si="3"/>
        <v>34</v>
      </c>
      <c r="N113" s="135" t="s">
        <v>3</v>
      </c>
      <c r="O113" s="135" t="s">
        <v>1004</v>
      </c>
      <c r="P113" s="99" t="s">
        <v>1287</v>
      </c>
      <c r="Q113" s="135"/>
      <c r="R113" s="99" t="s">
        <v>23</v>
      </c>
    </row>
    <row r="114" spans="2:18" ht="25.5">
      <c r="B114" s="203"/>
      <c r="C114" s="203"/>
      <c r="D114" s="135">
        <v>107</v>
      </c>
      <c r="E114" s="99" t="s">
        <v>671</v>
      </c>
      <c r="F114" s="135" t="s">
        <v>12</v>
      </c>
      <c r="G114" s="92" t="s">
        <v>1256</v>
      </c>
      <c r="H114" s="135" t="s">
        <v>18</v>
      </c>
      <c r="I114" s="135" t="s">
        <v>15</v>
      </c>
      <c r="J114" s="102" t="s">
        <v>1045</v>
      </c>
      <c r="K114" s="91">
        <v>43695</v>
      </c>
      <c r="L114" s="92" t="s">
        <v>1096</v>
      </c>
      <c r="M114" s="90">
        <f t="shared" si="3"/>
        <v>8</v>
      </c>
      <c r="N114" s="135" t="s">
        <v>3</v>
      </c>
      <c r="O114" s="135" t="s">
        <v>1004</v>
      </c>
      <c r="P114" s="99" t="s">
        <v>4</v>
      </c>
      <c r="Q114" s="135"/>
      <c r="R114" s="99" t="s">
        <v>1309</v>
      </c>
    </row>
    <row r="115" spans="2:18" ht="25.5">
      <c r="B115" s="203"/>
      <c r="C115" s="203"/>
      <c r="D115" s="135">
        <v>108</v>
      </c>
      <c r="E115" s="99" t="s">
        <v>1253</v>
      </c>
      <c r="F115" s="135" t="s">
        <v>12</v>
      </c>
      <c r="G115" s="92" t="s">
        <v>1257</v>
      </c>
      <c r="H115" s="135" t="s">
        <v>18</v>
      </c>
      <c r="I115" s="135" t="s">
        <v>15</v>
      </c>
      <c r="J115" s="102" t="s">
        <v>1045</v>
      </c>
      <c r="K115" s="91">
        <v>43475</v>
      </c>
      <c r="L115" s="92" t="s">
        <v>1202</v>
      </c>
      <c r="M115" s="90">
        <f t="shared" si="3"/>
        <v>1</v>
      </c>
      <c r="N115" s="135" t="s">
        <v>3</v>
      </c>
      <c r="O115" s="135" t="s">
        <v>1004</v>
      </c>
      <c r="P115" s="99" t="s">
        <v>1288</v>
      </c>
      <c r="Q115" s="135"/>
      <c r="R115" s="99" t="s">
        <v>1277</v>
      </c>
    </row>
    <row r="116" spans="2:18" ht="25.5">
      <c r="B116" s="203">
        <v>26</v>
      </c>
      <c r="C116" s="203" t="s">
        <v>1824</v>
      </c>
      <c r="D116" s="135">
        <v>109</v>
      </c>
      <c r="E116" s="99" t="s">
        <v>603</v>
      </c>
      <c r="F116" s="135" t="s">
        <v>6</v>
      </c>
      <c r="G116" s="90" t="s">
        <v>1829</v>
      </c>
      <c r="H116" s="135" t="s">
        <v>18</v>
      </c>
      <c r="I116" s="135" t="s">
        <v>9</v>
      </c>
      <c r="J116" s="102" t="s">
        <v>993</v>
      </c>
      <c r="K116" s="91">
        <v>21915</v>
      </c>
      <c r="L116" s="90">
        <v>1959</v>
      </c>
      <c r="M116" s="90">
        <f t="shared" si="3"/>
        <v>60</v>
      </c>
      <c r="N116" s="135" t="s">
        <v>3</v>
      </c>
      <c r="O116" s="135" t="s">
        <v>1004</v>
      </c>
      <c r="P116" s="99" t="s">
        <v>1287</v>
      </c>
      <c r="Q116" s="135"/>
      <c r="R116" s="99" t="s">
        <v>1334</v>
      </c>
    </row>
    <row r="117" spans="2:18" ht="25.5">
      <c r="B117" s="203"/>
      <c r="C117" s="203"/>
      <c r="D117" s="135">
        <v>110</v>
      </c>
      <c r="E117" s="99" t="s">
        <v>1825</v>
      </c>
      <c r="F117" s="135" t="s">
        <v>21</v>
      </c>
      <c r="G117" s="90" t="s">
        <v>1830</v>
      </c>
      <c r="H117" s="135" t="s">
        <v>1</v>
      </c>
      <c r="I117" s="135" t="s">
        <v>9</v>
      </c>
      <c r="J117" s="102" t="s">
        <v>1017</v>
      </c>
      <c r="K117" s="91">
        <v>25203</v>
      </c>
      <c r="L117" s="90">
        <v>1968</v>
      </c>
      <c r="M117" s="90">
        <f t="shared" si="3"/>
        <v>51</v>
      </c>
      <c r="N117" s="135" t="s">
        <v>3</v>
      </c>
      <c r="O117" s="135" t="s">
        <v>1004</v>
      </c>
      <c r="P117" s="99" t="s">
        <v>1287</v>
      </c>
      <c r="Q117" s="135"/>
      <c r="R117" s="99" t="s">
        <v>1334</v>
      </c>
    </row>
    <row r="118" spans="2:18" ht="38.25">
      <c r="B118" s="203"/>
      <c r="C118" s="203"/>
      <c r="D118" s="135">
        <v>111</v>
      </c>
      <c r="E118" s="99" t="s">
        <v>1826</v>
      </c>
      <c r="F118" s="135" t="s">
        <v>12</v>
      </c>
      <c r="G118" s="90" t="s">
        <v>1831</v>
      </c>
      <c r="H118" s="135" t="s">
        <v>18</v>
      </c>
      <c r="I118" s="135" t="s">
        <v>15</v>
      </c>
      <c r="J118" s="102" t="s">
        <v>993</v>
      </c>
      <c r="K118" s="91">
        <v>32770</v>
      </c>
      <c r="L118" s="90">
        <v>1989</v>
      </c>
      <c r="M118" s="90">
        <f t="shared" si="3"/>
        <v>30</v>
      </c>
      <c r="N118" s="135" t="s">
        <v>3</v>
      </c>
      <c r="O118" s="135" t="s">
        <v>1004</v>
      </c>
      <c r="P118" s="99" t="s">
        <v>1197</v>
      </c>
      <c r="Q118" s="135"/>
      <c r="R118" s="99" t="s">
        <v>23</v>
      </c>
    </row>
    <row r="119" spans="2:18" ht="25.5">
      <c r="B119" s="203"/>
      <c r="C119" s="203"/>
      <c r="D119" s="135">
        <v>112</v>
      </c>
      <c r="E119" s="99" t="s">
        <v>1827</v>
      </c>
      <c r="F119" s="135" t="s">
        <v>12</v>
      </c>
      <c r="G119" s="90" t="s">
        <v>1832</v>
      </c>
      <c r="H119" s="135" t="s">
        <v>18</v>
      </c>
      <c r="I119" s="135" t="s">
        <v>15</v>
      </c>
      <c r="J119" s="102" t="s">
        <v>1016</v>
      </c>
      <c r="K119" s="91">
        <v>35650</v>
      </c>
      <c r="L119" s="90">
        <v>1997</v>
      </c>
      <c r="M119" s="90">
        <f t="shared" si="3"/>
        <v>22</v>
      </c>
      <c r="N119" s="135" t="s">
        <v>3</v>
      </c>
      <c r="O119" s="135" t="s">
        <v>1004</v>
      </c>
      <c r="P119" s="99" t="s">
        <v>1287</v>
      </c>
      <c r="Q119" s="135"/>
      <c r="R119" s="99" t="s">
        <v>1309</v>
      </c>
    </row>
    <row r="120" spans="2:18" ht="25.5">
      <c r="B120" s="203"/>
      <c r="C120" s="203"/>
      <c r="D120" s="135">
        <v>113</v>
      </c>
      <c r="E120" s="99" t="s">
        <v>1828</v>
      </c>
      <c r="F120" s="135" t="s">
        <v>12</v>
      </c>
      <c r="G120" s="90" t="s">
        <v>1833</v>
      </c>
      <c r="H120" s="135" t="s">
        <v>18</v>
      </c>
      <c r="I120" s="135" t="s">
        <v>15</v>
      </c>
      <c r="J120" s="102" t="s">
        <v>1045</v>
      </c>
      <c r="K120" s="91">
        <v>36526</v>
      </c>
      <c r="L120" s="90">
        <v>2000</v>
      </c>
      <c r="M120" s="90">
        <f t="shared" si="3"/>
        <v>19</v>
      </c>
      <c r="N120" s="135" t="s">
        <v>3</v>
      </c>
      <c r="O120" s="135" t="s">
        <v>1004</v>
      </c>
      <c r="P120" s="99" t="s">
        <v>1274</v>
      </c>
      <c r="Q120" s="135"/>
      <c r="R120" s="99" t="s">
        <v>1309</v>
      </c>
    </row>
    <row r="121" spans="2:18">
      <c r="B121" s="203">
        <v>27</v>
      </c>
      <c r="C121" s="205" t="s">
        <v>1215</v>
      </c>
      <c r="D121" s="135">
        <v>114</v>
      </c>
      <c r="E121" s="99" t="s">
        <v>680</v>
      </c>
      <c r="F121" s="135" t="s">
        <v>6</v>
      </c>
      <c r="G121" s="90" t="s">
        <v>681</v>
      </c>
      <c r="H121" s="135" t="s">
        <v>1</v>
      </c>
      <c r="I121" s="135" t="s">
        <v>1235</v>
      </c>
      <c r="J121" s="102" t="s">
        <v>993</v>
      </c>
      <c r="K121" s="91">
        <v>43647</v>
      </c>
      <c r="L121" s="92" t="s">
        <v>1021</v>
      </c>
      <c r="M121" s="90">
        <f t="shared" si="3"/>
        <v>62</v>
      </c>
      <c r="N121" s="135" t="s">
        <v>3</v>
      </c>
      <c r="O121" s="135" t="s">
        <v>1004</v>
      </c>
      <c r="P121" s="99" t="s">
        <v>4</v>
      </c>
      <c r="Q121" s="135"/>
      <c r="R121" s="99" t="s">
        <v>91</v>
      </c>
    </row>
    <row r="122" spans="2:18">
      <c r="B122" s="203"/>
      <c r="C122" s="205"/>
      <c r="D122" s="135">
        <v>115</v>
      </c>
      <c r="E122" s="99" t="s">
        <v>1216</v>
      </c>
      <c r="F122" s="135" t="s">
        <v>12</v>
      </c>
      <c r="G122" s="92" t="s">
        <v>1217</v>
      </c>
      <c r="H122" s="135" t="s">
        <v>18</v>
      </c>
      <c r="I122" s="135" t="s">
        <v>15</v>
      </c>
      <c r="J122" s="102" t="s">
        <v>993</v>
      </c>
      <c r="K122" s="91">
        <v>43621</v>
      </c>
      <c r="L122" s="92" t="s">
        <v>1040</v>
      </c>
      <c r="M122" s="90">
        <f t="shared" si="3"/>
        <v>36</v>
      </c>
      <c r="N122" s="135" t="s">
        <v>3</v>
      </c>
      <c r="O122" s="135" t="s">
        <v>1004</v>
      </c>
      <c r="P122" s="99" t="s">
        <v>1287</v>
      </c>
      <c r="Q122" s="135"/>
      <c r="R122" s="99" t="s">
        <v>23</v>
      </c>
    </row>
    <row r="123" spans="2:18">
      <c r="B123" s="203"/>
      <c r="C123" s="205"/>
      <c r="D123" s="135">
        <v>116</v>
      </c>
      <c r="E123" s="99" t="s">
        <v>682</v>
      </c>
      <c r="F123" s="135" t="s">
        <v>12</v>
      </c>
      <c r="G123" s="92" t="s">
        <v>1218</v>
      </c>
      <c r="H123" s="135" t="s">
        <v>1</v>
      </c>
      <c r="I123" s="135" t="s">
        <v>15</v>
      </c>
      <c r="J123" s="102" t="s">
        <v>993</v>
      </c>
      <c r="K123" s="91">
        <v>43647</v>
      </c>
      <c r="L123" s="92" t="s">
        <v>1107</v>
      </c>
      <c r="M123" s="90">
        <f t="shared" si="3"/>
        <v>35</v>
      </c>
      <c r="N123" s="135" t="s">
        <v>3</v>
      </c>
      <c r="O123" s="135" t="s">
        <v>1004</v>
      </c>
      <c r="P123" s="99" t="s">
        <v>1273</v>
      </c>
      <c r="Q123" s="135"/>
      <c r="R123" s="99" t="s">
        <v>1309</v>
      </c>
    </row>
    <row r="124" spans="2:18" ht="25.5">
      <c r="B124" s="203">
        <v>28</v>
      </c>
      <c r="C124" s="205" t="s">
        <v>1945</v>
      </c>
      <c r="D124" s="135">
        <v>117</v>
      </c>
      <c r="E124" s="99" t="s">
        <v>683</v>
      </c>
      <c r="F124" s="135" t="s">
        <v>6</v>
      </c>
      <c r="G124" s="92" t="s">
        <v>1950</v>
      </c>
      <c r="H124" s="135" t="s">
        <v>18</v>
      </c>
      <c r="I124" s="135" t="s">
        <v>9</v>
      </c>
      <c r="J124" s="102" t="s">
        <v>1016</v>
      </c>
      <c r="K124" s="142">
        <v>18415</v>
      </c>
      <c r="L124" s="92" t="s">
        <v>1030</v>
      </c>
      <c r="M124" s="90">
        <f t="shared" si="3"/>
        <v>69</v>
      </c>
      <c r="N124" s="135" t="s">
        <v>3</v>
      </c>
      <c r="O124" s="135" t="s">
        <v>1004</v>
      </c>
      <c r="P124" s="99" t="s">
        <v>1274</v>
      </c>
      <c r="Q124" s="135"/>
      <c r="R124" s="99" t="s">
        <v>1318</v>
      </c>
    </row>
    <row r="125" spans="2:18" ht="25.5">
      <c r="B125" s="203"/>
      <c r="C125" s="205"/>
      <c r="D125" s="135">
        <v>118</v>
      </c>
      <c r="E125" s="99" t="s">
        <v>1946</v>
      </c>
      <c r="F125" s="135" t="s">
        <v>21</v>
      </c>
      <c r="G125" s="92" t="s">
        <v>1947</v>
      </c>
      <c r="H125" s="135" t="s">
        <v>1</v>
      </c>
      <c r="I125" s="135" t="s">
        <v>9</v>
      </c>
      <c r="J125" s="102" t="s">
        <v>1016</v>
      </c>
      <c r="K125" s="142">
        <v>20086</v>
      </c>
      <c r="L125" s="92" t="s">
        <v>1154</v>
      </c>
      <c r="M125" s="90">
        <f t="shared" si="3"/>
        <v>65</v>
      </c>
      <c r="N125" s="135" t="s">
        <v>3</v>
      </c>
      <c r="O125" s="135" t="s">
        <v>1004</v>
      </c>
      <c r="P125" s="99" t="s">
        <v>1274</v>
      </c>
      <c r="Q125" s="135"/>
      <c r="R125" s="99" t="s">
        <v>1318</v>
      </c>
    </row>
    <row r="126" spans="2:18" ht="25.5">
      <c r="B126" s="203"/>
      <c r="C126" s="205"/>
      <c r="D126" s="135">
        <v>119</v>
      </c>
      <c r="E126" s="99" t="s">
        <v>685</v>
      </c>
      <c r="F126" s="135" t="s">
        <v>12</v>
      </c>
      <c r="G126" s="92" t="s">
        <v>1948</v>
      </c>
      <c r="H126" s="135" t="s">
        <v>18</v>
      </c>
      <c r="I126" s="135" t="s">
        <v>15</v>
      </c>
      <c r="J126" s="102" t="s">
        <v>1016</v>
      </c>
      <c r="K126" s="142">
        <v>34332</v>
      </c>
      <c r="L126" s="92" t="s">
        <v>1133</v>
      </c>
      <c r="M126" s="90">
        <f t="shared" si="3"/>
        <v>26</v>
      </c>
      <c r="N126" s="135" t="s">
        <v>3</v>
      </c>
      <c r="O126" s="135" t="s">
        <v>1004</v>
      </c>
      <c r="P126" s="99" t="s">
        <v>1287</v>
      </c>
      <c r="Q126" s="135"/>
      <c r="R126" s="99" t="s">
        <v>1309</v>
      </c>
    </row>
    <row r="127" spans="2:18" ht="25.5">
      <c r="B127" s="203"/>
      <c r="C127" s="205"/>
      <c r="D127" s="135">
        <v>120</v>
      </c>
      <c r="E127" s="99" t="s">
        <v>1195</v>
      </c>
      <c r="F127" s="135" t="s">
        <v>12</v>
      </c>
      <c r="G127" s="92" t="s">
        <v>1949</v>
      </c>
      <c r="H127" s="135" t="s">
        <v>1</v>
      </c>
      <c r="I127" s="135" t="s">
        <v>15</v>
      </c>
      <c r="J127" s="102" t="s">
        <v>993</v>
      </c>
      <c r="K127" s="142">
        <v>36341</v>
      </c>
      <c r="L127" s="92" t="s">
        <v>1055</v>
      </c>
      <c r="M127" s="90">
        <f t="shared" si="3"/>
        <v>20</v>
      </c>
      <c r="N127" s="135" t="s">
        <v>3</v>
      </c>
      <c r="O127" s="135" t="s">
        <v>1004</v>
      </c>
      <c r="P127" s="99" t="s">
        <v>1273</v>
      </c>
      <c r="Q127" s="135"/>
      <c r="R127" s="99" t="s">
        <v>1309</v>
      </c>
    </row>
    <row r="128" spans="2:18" ht="25.5">
      <c r="B128" s="203">
        <v>29</v>
      </c>
      <c r="C128" s="203"/>
      <c r="D128" s="135">
        <v>121</v>
      </c>
      <c r="E128" s="99" t="s">
        <v>686</v>
      </c>
      <c r="F128" s="135" t="s">
        <v>6</v>
      </c>
      <c r="G128" s="90" t="s">
        <v>687</v>
      </c>
      <c r="H128" s="135" t="s">
        <v>18</v>
      </c>
      <c r="I128" s="135" t="s">
        <v>9</v>
      </c>
      <c r="J128" s="102" t="s">
        <v>1016</v>
      </c>
      <c r="K128" s="91">
        <v>29951</v>
      </c>
      <c r="L128" s="90">
        <v>1981</v>
      </c>
      <c r="M128" s="90">
        <f t="shared" si="3"/>
        <v>38</v>
      </c>
      <c r="N128" s="135" t="s">
        <v>3</v>
      </c>
      <c r="O128" s="135" t="s">
        <v>1004</v>
      </c>
      <c r="P128" s="99" t="s">
        <v>1287</v>
      </c>
      <c r="Q128" s="135"/>
      <c r="R128" s="99" t="s">
        <v>23</v>
      </c>
    </row>
    <row r="129" spans="2:18">
      <c r="B129" s="203"/>
      <c r="C129" s="203"/>
      <c r="D129" s="135">
        <v>122</v>
      </c>
      <c r="E129" s="99" t="s">
        <v>688</v>
      </c>
      <c r="F129" s="135" t="s">
        <v>21</v>
      </c>
      <c r="G129" s="90" t="s">
        <v>689</v>
      </c>
      <c r="H129" s="135" t="s">
        <v>1</v>
      </c>
      <c r="I129" s="135" t="s">
        <v>9</v>
      </c>
      <c r="J129" s="102" t="s">
        <v>1072</v>
      </c>
      <c r="K129" s="91">
        <v>32517</v>
      </c>
      <c r="L129" s="90">
        <v>1989</v>
      </c>
      <c r="M129" s="90">
        <f t="shared" si="3"/>
        <v>30</v>
      </c>
      <c r="N129" s="135" t="s">
        <v>3</v>
      </c>
      <c r="O129" s="135" t="s">
        <v>1004</v>
      </c>
      <c r="P129" s="99" t="s">
        <v>1287</v>
      </c>
      <c r="Q129" s="135"/>
      <c r="R129" s="99" t="s">
        <v>23</v>
      </c>
    </row>
    <row r="130" spans="2:18" ht="25.5">
      <c r="B130" s="203"/>
      <c r="C130" s="203"/>
      <c r="D130" s="135">
        <v>123</v>
      </c>
      <c r="E130" s="99" t="s">
        <v>1941</v>
      </c>
      <c r="F130" s="135" t="s">
        <v>12</v>
      </c>
      <c r="G130" s="90" t="s">
        <v>1943</v>
      </c>
      <c r="H130" s="135" t="s">
        <v>1</v>
      </c>
      <c r="I130" s="135" t="s">
        <v>15</v>
      </c>
      <c r="J130" s="102" t="s">
        <v>993</v>
      </c>
      <c r="K130" s="91">
        <v>41337</v>
      </c>
      <c r="L130" s="90">
        <v>2013</v>
      </c>
      <c r="M130" s="90">
        <f t="shared" si="3"/>
        <v>6</v>
      </c>
      <c r="N130" s="135" t="s">
        <v>3</v>
      </c>
      <c r="O130" s="135" t="s">
        <v>1004</v>
      </c>
      <c r="P130" s="99" t="s">
        <v>1288</v>
      </c>
      <c r="Q130" s="135"/>
      <c r="R130" s="99" t="s">
        <v>1277</v>
      </c>
    </row>
    <row r="131" spans="2:18" ht="25.5">
      <c r="B131" s="203"/>
      <c r="C131" s="203"/>
      <c r="D131" s="135">
        <v>124</v>
      </c>
      <c r="E131" s="99" t="s">
        <v>1942</v>
      </c>
      <c r="F131" s="135" t="s">
        <v>12</v>
      </c>
      <c r="G131" s="90" t="s">
        <v>1944</v>
      </c>
      <c r="H131" s="135" t="s">
        <v>1</v>
      </c>
      <c r="I131" s="135" t="s">
        <v>15</v>
      </c>
      <c r="J131" s="102" t="s">
        <v>993</v>
      </c>
      <c r="K131" s="91">
        <v>43145</v>
      </c>
      <c r="L131" s="90">
        <v>2018</v>
      </c>
      <c r="M131" s="90">
        <f t="shared" si="3"/>
        <v>1</v>
      </c>
      <c r="N131" s="135"/>
      <c r="O131" s="135"/>
      <c r="P131" s="99" t="s">
        <v>1288</v>
      </c>
      <c r="Q131" s="135"/>
      <c r="R131" s="99" t="s">
        <v>1277</v>
      </c>
    </row>
    <row r="132" spans="2:18" ht="25.5">
      <c r="B132" s="203">
        <v>30</v>
      </c>
      <c r="C132" s="203" t="s">
        <v>1813</v>
      </c>
      <c r="D132" s="135">
        <v>125</v>
      </c>
      <c r="E132" s="99" t="s">
        <v>1816</v>
      </c>
      <c r="F132" s="135" t="s">
        <v>6</v>
      </c>
      <c r="G132" s="90" t="s">
        <v>1818</v>
      </c>
      <c r="H132" s="135" t="s">
        <v>18</v>
      </c>
      <c r="I132" s="135" t="s">
        <v>9</v>
      </c>
      <c r="J132" s="102" t="s">
        <v>993</v>
      </c>
      <c r="K132" s="91">
        <v>21289</v>
      </c>
      <c r="L132" s="90">
        <v>1958</v>
      </c>
      <c r="M132" s="90">
        <f t="shared" si="3"/>
        <v>61</v>
      </c>
      <c r="N132" s="135" t="s">
        <v>3</v>
      </c>
      <c r="O132" s="135" t="s">
        <v>1004</v>
      </c>
      <c r="P132" s="99" t="s">
        <v>1197</v>
      </c>
      <c r="Q132" s="135"/>
      <c r="R132" s="99" t="s">
        <v>1823</v>
      </c>
    </row>
    <row r="133" spans="2:18" ht="25.5">
      <c r="B133" s="203"/>
      <c r="C133" s="203"/>
      <c r="D133" s="135">
        <v>126</v>
      </c>
      <c r="E133" s="99" t="s">
        <v>1814</v>
      </c>
      <c r="F133" s="135" t="s">
        <v>21</v>
      </c>
      <c r="G133" s="90" t="s">
        <v>1819</v>
      </c>
      <c r="H133" s="135" t="s">
        <v>1</v>
      </c>
      <c r="I133" s="135" t="s">
        <v>9</v>
      </c>
      <c r="J133" s="102" t="s">
        <v>1822</v>
      </c>
      <c r="K133" s="91">
        <v>23440</v>
      </c>
      <c r="L133" s="90">
        <v>1964</v>
      </c>
      <c r="M133" s="90">
        <f t="shared" si="3"/>
        <v>55</v>
      </c>
      <c r="N133" s="135" t="s">
        <v>3</v>
      </c>
      <c r="O133" s="135" t="s">
        <v>1004</v>
      </c>
      <c r="P133" s="99" t="s">
        <v>1287</v>
      </c>
      <c r="Q133" s="135"/>
      <c r="R133" s="99" t="s">
        <v>1276</v>
      </c>
    </row>
    <row r="134" spans="2:18" ht="25.5">
      <c r="B134" s="203"/>
      <c r="C134" s="203"/>
      <c r="D134" s="135">
        <v>127</v>
      </c>
      <c r="E134" s="99" t="s">
        <v>1815</v>
      </c>
      <c r="F134" s="135" t="s">
        <v>12</v>
      </c>
      <c r="G134" s="90" t="s">
        <v>1820</v>
      </c>
      <c r="H134" s="135" t="s">
        <v>18</v>
      </c>
      <c r="I134" s="135" t="s">
        <v>15</v>
      </c>
      <c r="J134" s="102" t="s">
        <v>993</v>
      </c>
      <c r="K134" s="91">
        <v>32942</v>
      </c>
      <c r="L134" s="90">
        <v>1990</v>
      </c>
      <c r="M134" s="90">
        <f t="shared" si="3"/>
        <v>29</v>
      </c>
      <c r="N134" s="135" t="s">
        <v>3</v>
      </c>
      <c r="O134" s="135" t="s">
        <v>1004</v>
      </c>
      <c r="P134" s="99" t="s">
        <v>1197</v>
      </c>
      <c r="Q134" s="135"/>
      <c r="R134" s="99" t="s">
        <v>23</v>
      </c>
    </row>
    <row r="135" spans="2:18" ht="25.5">
      <c r="B135" s="203"/>
      <c r="C135" s="203"/>
      <c r="D135" s="135">
        <v>128</v>
      </c>
      <c r="E135" s="99" t="s">
        <v>1817</v>
      </c>
      <c r="F135" s="135" t="s">
        <v>12</v>
      </c>
      <c r="G135" s="90" t="s">
        <v>1821</v>
      </c>
      <c r="H135" s="135" t="s">
        <v>1</v>
      </c>
      <c r="I135" s="135" t="s">
        <v>15</v>
      </c>
      <c r="J135" s="102" t="s">
        <v>1072</v>
      </c>
      <c r="K135" s="91">
        <v>38556</v>
      </c>
      <c r="L135" s="90">
        <v>2005</v>
      </c>
      <c r="M135" s="90">
        <f t="shared" si="3"/>
        <v>14</v>
      </c>
      <c r="N135" s="135" t="s">
        <v>3</v>
      </c>
      <c r="O135" s="135" t="s">
        <v>1004</v>
      </c>
      <c r="P135" s="99" t="s">
        <v>1288</v>
      </c>
      <c r="Q135" s="135"/>
      <c r="R135" s="99" t="s">
        <v>1277</v>
      </c>
    </row>
    <row r="136" spans="2:18" ht="25.5">
      <c r="B136" s="203">
        <v>31</v>
      </c>
      <c r="C136" s="203"/>
      <c r="D136" s="135">
        <v>129</v>
      </c>
      <c r="E136" s="99" t="s">
        <v>690</v>
      </c>
      <c r="F136" s="135" t="s">
        <v>6</v>
      </c>
      <c r="G136" s="90" t="s">
        <v>691</v>
      </c>
      <c r="H136" s="135" t="s">
        <v>18</v>
      </c>
      <c r="I136" s="135" t="s">
        <v>9</v>
      </c>
      <c r="J136" s="102"/>
      <c r="K136" s="91">
        <v>23011</v>
      </c>
      <c r="L136" s="90">
        <v>1962</v>
      </c>
      <c r="M136" s="90">
        <f t="shared" si="3"/>
        <v>57</v>
      </c>
      <c r="N136" s="135" t="s">
        <v>3</v>
      </c>
      <c r="O136" s="135" t="s">
        <v>1004</v>
      </c>
      <c r="P136" s="99" t="s">
        <v>10</v>
      </c>
      <c r="Q136" s="135"/>
      <c r="R136" s="99" t="s">
        <v>19</v>
      </c>
    </row>
    <row r="137" spans="2:18">
      <c r="B137" s="203"/>
      <c r="C137" s="203"/>
      <c r="D137" s="135">
        <v>130</v>
      </c>
      <c r="E137" s="99" t="s">
        <v>692</v>
      </c>
      <c r="F137" s="135" t="s">
        <v>21</v>
      </c>
      <c r="G137" s="90" t="s">
        <v>693</v>
      </c>
      <c r="H137" s="135" t="s">
        <v>1</v>
      </c>
      <c r="I137" s="135" t="s">
        <v>9</v>
      </c>
      <c r="J137" s="102"/>
      <c r="K137" s="91">
        <v>24107</v>
      </c>
      <c r="L137" s="90">
        <v>1965</v>
      </c>
      <c r="M137" s="90">
        <f t="shared" si="3"/>
        <v>54</v>
      </c>
      <c r="N137" s="135" t="s">
        <v>3</v>
      </c>
      <c r="O137" s="135" t="s">
        <v>1004</v>
      </c>
      <c r="P137" s="99" t="s">
        <v>1273</v>
      </c>
      <c r="Q137" s="135"/>
      <c r="R137" s="99" t="s">
        <v>5</v>
      </c>
    </row>
    <row r="138" spans="2:18" ht="38.25">
      <c r="B138" s="203"/>
      <c r="C138" s="203"/>
      <c r="D138" s="135">
        <v>131</v>
      </c>
      <c r="E138" s="99" t="s">
        <v>694</v>
      </c>
      <c r="F138" s="135" t="s">
        <v>12</v>
      </c>
      <c r="G138" s="90" t="s">
        <v>695</v>
      </c>
      <c r="H138" s="135" t="s">
        <v>1</v>
      </c>
      <c r="I138" s="135" t="s">
        <v>15</v>
      </c>
      <c r="J138" s="102"/>
      <c r="K138" s="91">
        <v>31186</v>
      </c>
      <c r="L138" s="90">
        <v>1985</v>
      </c>
      <c r="M138" s="90">
        <f t="shared" si="3"/>
        <v>34</v>
      </c>
      <c r="N138" s="135" t="s">
        <v>3</v>
      </c>
      <c r="O138" s="135" t="s">
        <v>1004</v>
      </c>
      <c r="P138" s="99" t="s">
        <v>10</v>
      </c>
      <c r="Q138" s="135"/>
      <c r="R138" s="99" t="s">
        <v>23</v>
      </c>
    </row>
    <row r="139" spans="2:18" ht="25.5">
      <c r="B139" s="203"/>
      <c r="C139" s="203"/>
      <c r="D139" s="135">
        <v>132</v>
      </c>
      <c r="E139" s="99" t="s">
        <v>698</v>
      </c>
      <c r="F139" s="135" t="s">
        <v>12</v>
      </c>
      <c r="G139" s="90" t="s">
        <v>699</v>
      </c>
      <c r="H139" s="135" t="s">
        <v>18</v>
      </c>
      <c r="I139" s="135" t="s">
        <v>15</v>
      </c>
      <c r="J139" s="102"/>
      <c r="K139" s="91">
        <v>37291</v>
      </c>
      <c r="L139" s="90">
        <v>2002</v>
      </c>
      <c r="M139" s="90">
        <f t="shared" si="3"/>
        <v>17</v>
      </c>
      <c r="N139" s="135" t="s">
        <v>3</v>
      </c>
      <c r="O139" s="135" t="s">
        <v>1004</v>
      </c>
      <c r="P139" s="99" t="s">
        <v>4</v>
      </c>
      <c r="Q139" s="135"/>
      <c r="R139" s="99" t="s">
        <v>11</v>
      </c>
    </row>
    <row r="140" spans="2:18" ht="25.5">
      <c r="B140" s="203">
        <v>32</v>
      </c>
      <c r="C140" s="203"/>
      <c r="D140" s="135">
        <v>133</v>
      </c>
      <c r="E140" s="99" t="s">
        <v>700</v>
      </c>
      <c r="F140" s="135" t="s">
        <v>6</v>
      </c>
      <c r="G140" s="90" t="s">
        <v>701</v>
      </c>
      <c r="H140" s="135" t="s">
        <v>18</v>
      </c>
      <c r="I140" s="135" t="s">
        <v>9</v>
      </c>
      <c r="J140" s="102"/>
      <c r="K140" s="91">
        <v>30402</v>
      </c>
      <c r="L140" s="90">
        <v>1983</v>
      </c>
      <c r="M140" s="90">
        <f t="shared" ref="M140:M174" si="4">2019-L140</f>
        <v>36</v>
      </c>
      <c r="N140" s="135" t="s">
        <v>3</v>
      </c>
      <c r="O140" s="135" t="s">
        <v>1004</v>
      </c>
      <c r="P140" s="99" t="s">
        <v>10</v>
      </c>
      <c r="Q140" s="135"/>
      <c r="R140" s="99" t="s">
        <v>23</v>
      </c>
    </row>
    <row r="141" spans="2:18" ht="38.25">
      <c r="B141" s="203"/>
      <c r="C141" s="203"/>
      <c r="D141" s="135">
        <v>134</v>
      </c>
      <c r="E141" s="99" t="s">
        <v>702</v>
      </c>
      <c r="F141" s="135" t="s">
        <v>21</v>
      </c>
      <c r="G141" s="90" t="s">
        <v>703</v>
      </c>
      <c r="H141" s="135" t="s">
        <v>1</v>
      </c>
      <c r="I141" s="135" t="s">
        <v>9</v>
      </c>
      <c r="J141" s="102"/>
      <c r="K141" s="91">
        <v>31929</v>
      </c>
      <c r="L141" s="90">
        <v>1987</v>
      </c>
      <c r="M141" s="90">
        <f t="shared" si="4"/>
        <v>32</v>
      </c>
      <c r="N141" s="135" t="s">
        <v>3</v>
      </c>
      <c r="O141" s="135" t="s">
        <v>1004</v>
      </c>
      <c r="P141" s="99" t="s">
        <v>10</v>
      </c>
      <c r="Q141" s="135"/>
      <c r="R141" s="99" t="s">
        <v>29</v>
      </c>
    </row>
    <row r="142" spans="2:18" ht="38.25">
      <c r="B142" s="203">
        <v>33</v>
      </c>
      <c r="C142" s="203" t="s">
        <v>1974</v>
      </c>
      <c r="D142" s="135">
        <v>135</v>
      </c>
      <c r="E142" s="99" t="s">
        <v>696</v>
      </c>
      <c r="F142" s="135" t="s">
        <v>6</v>
      </c>
      <c r="G142" s="90" t="s">
        <v>697</v>
      </c>
      <c r="H142" s="135" t="s">
        <v>18</v>
      </c>
      <c r="I142" s="135" t="s">
        <v>9</v>
      </c>
      <c r="J142" s="102" t="s">
        <v>1072</v>
      </c>
      <c r="K142" s="91">
        <v>32606</v>
      </c>
      <c r="L142" s="90">
        <v>1989</v>
      </c>
      <c r="M142" s="90">
        <f>2019-L142</f>
        <v>30</v>
      </c>
      <c r="N142" s="135" t="s">
        <v>3</v>
      </c>
      <c r="O142" s="135" t="s">
        <v>1004</v>
      </c>
      <c r="P142" s="99" t="s">
        <v>1234</v>
      </c>
      <c r="Q142" s="135"/>
      <c r="R142" s="99" t="s">
        <v>29</v>
      </c>
    </row>
    <row r="143" spans="2:18" ht="25.5">
      <c r="B143" s="203"/>
      <c r="C143" s="203"/>
      <c r="D143" s="135">
        <v>136</v>
      </c>
      <c r="E143" s="99" t="s">
        <v>1975</v>
      </c>
      <c r="F143" s="135" t="s">
        <v>21</v>
      </c>
      <c r="G143" s="90" t="s">
        <v>1976</v>
      </c>
      <c r="H143" s="135" t="s">
        <v>1</v>
      </c>
      <c r="I143" s="135" t="s">
        <v>9</v>
      </c>
      <c r="J143" s="102" t="s">
        <v>1977</v>
      </c>
      <c r="K143" s="91">
        <v>33341</v>
      </c>
      <c r="L143" s="90">
        <v>1991</v>
      </c>
      <c r="M143" s="90">
        <f>2019-L143</f>
        <v>28</v>
      </c>
      <c r="N143" s="135" t="s">
        <v>3</v>
      </c>
      <c r="O143" s="135" t="s">
        <v>1004</v>
      </c>
      <c r="P143" s="99" t="s">
        <v>1197</v>
      </c>
      <c r="Q143" s="135"/>
      <c r="R143" s="99"/>
    </row>
    <row r="144" spans="2:18" ht="38.25">
      <c r="B144" s="203"/>
      <c r="C144" s="203"/>
      <c r="D144" s="135">
        <v>137</v>
      </c>
      <c r="E144" s="99" t="s">
        <v>704</v>
      </c>
      <c r="F144" s="135" t="s">
        <v>12</v>
      </c>
      <c r="G144" s="90"/>
      <c r="H144" s="135" t="s">
        <v>1</v>
      </c>
      <c r="I144" s="135" t="s">
        <v>15</v>
      </c>
      <c r="J144" s="102"/>
      <c r="K144" s="91">
        <v>41872</v>
      </c>
      <c r="L144" s="90">
        <v>2014</v>
      </c>
      <c r="M144" s="90">
        <f t="shared" si="4"/>
        <v>5</v>
      </c>
      <c r="N144" s="135" t="s">
        <v>3</v>
      </c>
      <c r="O144" s="135" t="s">
        <v>1004</v>
      </c>
      <c r="P144" s="99" t="s">
        <v>11</v>
      </c>
      <c r="Q144" s="135"/>
      <c r="R144" s="99" t="s">
        <v>11</v>
      </c>
    </row>
    <row r="145" spans="1:19" ht="25.5">
      <c r="B145" s="203">
        <v>34</v>
      </c>
      <c r="C145" s="203"/>
      <c r="D145" s="135">
        <v>138</v>
      </c>
      <c r="E145" s="99" t="s">
        <v>705</v>
      </c>
      <c r="F145" s="135" t="s">
        <v>6</v>
      </c>
      <c r="G145" s="90" t="s">
        <v>706</v>
      </c>
      <c r="H145" s="135" t="s">
        <v>18</v>
      </c>
      <c r="I145" s="135" t="s">
        <v>9</v>
      </c>
      <c r="J145" s="102"/>
      <c r="K145" s="91">
        <v>19724</v>
      </c>
      <c r="L145" s="90">
        <v>1953</v>
      </c>
      <c r="M145" s="90">
        <f t="shared" si="4"/>
        <v>66</v>
      </c>
      <c r="N145" s="135" t="s">
        <v>3</v>
      </c>
      <c r="O145" s="135" t="s">
        <v>1004</v>
      </c>
      <c r="P145" s="99" t="s">
        <v>1287</v>
      </c>
      <c r="Q145" s="135"/>
      <c r="R145" s="99" t="s">
        <v>570</v>
      </c>
    </row>
    <row r="146" spans="1:19" ht="25.5">
      <c r="B146" s="203"/>
      <c r="C146" s="203"/>
      <c r="D146" s="135">
        <v>139</v>
      </c>
      <c r="E146" s="99" t="s">
        <v>707</v>
      </c>
      <c r="F146" s="135" t="s">
        <v>21</v>
      </c>
      <c r="G146" s="90" t="s">
        <v>708</v>
      </c>
      <c r="H146" s="135" t="s">
        <v>1</v>
      </c>
      <c r="I146" s="135" t="s">
        <v>9</v>
      </c>
      <c r="J146" s="102"/>
      <c r="K146" s="91">
        <v>21915</v>
      </c>
      <c r="L146" s="90">
        <v>1959</v>
      </c>
      <c r="M146" s="90">
        <f t="shared" si="4"/>
        <v>60</v>
      </c>
      <c r="N146" s="135" t="s">
        <v>3</v>
      </c>
      <c r="O146" s="135" t="s">
        <v>1004</v>
      </c>
      <c r="P146" s="99" t="s">
        <v>1273</v>
      </c>
      <c r="Q146" s="135"/>
      <c r="R146" s="99" t="s">
        <v>5</v>
      </c>
    </row>
    <row r="147" spans="1:19" ht="25.5">
      <c r="B147" s="203">
        <v>35</v>
      </c>
      <c r="C147" s="205" t="s">
        <v>1868</v>
      </c>
      <c r="D147" s="135">
        <v>140</v>
      </c>
      <c r="E147" s="99" t="s">
        <v>1198</v>
      </c>
      <c r="F147" s="135" t="s">
        <v>6</v>
      </c>
      <c r="G147" s="90" t="s">
        <v>666</v>
      </c>
      <c r="H147" s="135" t="s">
        <v>18</v>
      </c>
      <c r="I147" s="135" t="s">
        <v>9</v>
      </c>
      <c r="J147" s="102" t="s">
        <v>1016</v>
      </c>
      <c r="K147" s="91">
        <v>30152</v>
      </c>
      <c r="L147" s="92" t="s">
        <v>1039</v>
      </c>
      <c r="M147" s="90">
        <f t="shared" si="4"/>
        <v>37</v>
      </c>
      <c r="N147" s="135" t="s">
        <v>3</v>
      </c>
      <c r="O147" s="135" t="s">
        <v>1004</v>
      </c>
      <c r="P147" s="99" t="s">
        <v>1287</v>
      </c>
      <c r="Q147" s="135"/>
      <c r="R147" s="99" t="s">
        <v>23</v>
      </c>
    </row>
    <row r="148" spans="1:19" ht="25.5">
      <c r="B148" s="203"/>
      <c r="C148" s="205"/>
      <c r="D148" s="135">
        <v>141</v>
      </c>
      <c r="E148" s="99" t="s">
        <v>1199</v>
      </c>
      <c r="F148" s="135" t="s">
        <v>21</v>
      </c>
      <c r="G148" s="92" t="s">
        <v>1869</v>
      </c>
      <c r="H148" s="135" t="s">
        <v>1</v>
      </c>
      <c r="I148" s="135" t="s">
        <v>9</v>
      </c>
      <c r="J148" s="102" t="s">
        <v>1201</v>
      </c>
      <c r="K148" s="91">
        <v>32199</v>
      </c>
      <c r="L148" s="92" t="s">
        <v>1013</v>
      </c>
      <c r="M148" s="90">
        <f t="shared" si="4"/>
        <v>31</v>
      </c>
      <c r="N148" s="135" t="s">
        <v>3</v>
      </c>
      <c r="O148" s="135" t="s">
        <v>1004</v>
      </c>
      <c r="P148" s="99" t="s">
        <v>1287</v>
      </c>
      <c r="Q148" s="135"/>
      <c r="R148" s="99" t="s">
        <v>1276</v>
      </c>
    </row>
    <row r="149" spans="1:19" ht="25.5">
      <c r="B149" s="203"/>
      <c r="C149" s="205"/>
      <c r="D149" s="135">
        <v>142</v>
      </c>
      <c r="E149" s="99" t="s">
        <v>1200</v>
      </c>
      <c r="F149" s="135" t="s">
        <v>12</v>
      </c>
      <c r="G149" s="92" t="s">
        <v>1870</v>
      </c>
      <c r="H149" s="135" t="s">
        <v>18</v>
      </c>
      <c r="I149" s="135" t="s">
        <v>15</v>
      </c>
      <c r="J149" s="102" t="s">
        <v>1016</v>
      </c>
      <c r="K149" s="91">
        <v>43120</v>
      </c>
      <c r="L149" s="92" t="s">
        <v>1202</v>
      </c>
      <c r="M149" s="90">
        <f t="shared" si="4"/>
        <v>1</v>
      </c>
      <c r="N149" s="135" t="s">
        <v>3</v>
      </c>
      <c r="O149" s="135" t="s">
        <v>1004</v>
      </c>
      <c r="P149" s="99" t="s">
        <v>1288</v>
      </c>
      <c r="Q149" s="135"/>
      <c r="R149" s="99" t="s">
        <v>1277</v>
      </c>
    </row>
    <row r="150" spans="1:19" ht="25.5">
      <c r="B150" s="203">
        <v>36</v>
      </c>
      <c r="C150" s="205" t="s">
        <v>1970</v>
      </c>
      <c r="D150" s="135">
        <v>143</v>
      </c>
      <c r="E150" s="99" t="s">
        <v>1203</v>
      </c>
      <c r="F150" s="135" t="s">
        <v>6</v>
      </c>
      <c r="G150" s="92" t="s">
        <v>1971</v>
      </c>
      <c r="H150" s="135" t="s">
        <v>18</v>
      </c>
      <c r="I150" s="135" t="s">
        <v>9</v>
      </c>
      <c r="J150" s="102" t="s">
        <v>1016</v>
      </c>
      <c r="K150" s="91">
        <v>32481</v>
      </c>
      <c r="L150" s="92" t="s">
        <v>1013</v>
      </c>
      <c r="M150" s="90">
        <f t="shared" si="4"/>
        <v>31</v>
      </c>
      <c r="N150" s="135" t="s">
        <v>3</v>
      </c>
      <c r="O150" s="135" t="s">
        <v>1004</v>
      </c>
      <c r="P150" s="99" t="s">
        <v>1287</v>
      </c>
      <c r="Q150" s="135"/>
      <c r="R150" s="99" t="s">
        <v>23</v>
      </c>
    </row>
    <row r="151" spans="1:19">
      <c r="B151" s="203"/>
      <c r="C151" s="205"/>
      <c r="D151" s="135">
        <v>144</v>
      </c>
      <c r="E151" s="99" t="s">
        <v>1204</v>
      </c>
      <c r="F151" s="135" t="s">
        <v>21</v>
      </c>
      <c r="G151" s="92" t="s">
        <v>1972</v>
      </c>
      <c r="H151" s="135" t="s">
        <v>1</v>
      </c>
      <c r="I151" s="135" t="s">
        <v>9</v>
      </c>
      <c r="J151" s="102" t="s">
        <v>1159</v>
      </c>
      <c r="K151" s="91">
        <v>35871</v>
      </c>
      <c r="L151" s="92" t="s">
        <v>1090</v>
      </c>
      <c r="M151" s="90">
        <f t="shared" si="4"/>
        <v>21</v>
      </c>
      <c r="N151" s="135" t="s">
        <v>3</v>
      </c>
      <c r="O151" s="135" t="s">
        <v>1004</v>
      </c>
      <c r="P151" s="99" t="s">
        <v>1287</v>
      </c>
      <c r="Q151" s="135"/>
      <c r="R151" s="99" t="s">
        <v>1309</v>
      </c>
    </row>
    <row r="152" spans="1:19" ht="25.5">
      <c r="B152" s="203"/>
      <c r="C152" s="205"/>
      <c r="D152" s="135">
        <v>145</v>
      </c>
      <c r="E152" s="99" t="s">
        <v>1205</v>
      </c>
      <c r="F152" s="135" t="s">
        <v>12</v>
      </c>
      <c r="G152" s="92" t="s">
        <v>1973</v>
      </c>
      <c r="H152" s="135" t="s">
        <v>18</v>
      </c>
      <c r="I152" s="135" t="s">
        <v>15</v>
      </c>
      <c r="J152" s="102" t="s">
        <v>1072</v>
      </c>
      <c r="K152" s="91">
        <v>43025</v>
      </c>
      <c r="L152" s="92" t="s">
        <v>1048</v>
      </c>
      <c r="M152" s="90">
        <f t="shared" si="4"/>
        <v>2</v>
      </c>
      <c r="N152" s="135" t="s">
        <v>3</v>
      </c>
      <c r="O152" s="135" t="s">
        <v>1004</v>
      </c>
      <c r="P152" s="99" t="s">
        <v>1288</v>
      </c>
      <c r="Q152" s="135"/>
      <c r="R152" s="99" t="s">
        <v>1277</v>
      </c>
    </row>
    <row r="153" spans="1:19" s="135" customFormat="1" ht="25.5">
      <c r="A153" s="103"/>
      <c r="B153" s="203">
        <v>37</v>
      </c>
      <c r="C153" s="205" t="s">
        <v>1220</v>
      </c>
      <c r="D153" s="135">
        <v>146</v>
      </c>
      <c r="E153" s="99" t="s">
        <v>709</v>
      </c>
      <c r="F153" s="135" t="s">
        <v>6</v>
      </c>
      <c r="G153" s="92" t="s">
        <v>1221</v>
      </c>
      <c r="H153" s="135" t="s">
        <v>18</v>
      </c>
      <c r="I153" s="135" t="s">
        <v>9</v>
      </c>
      <c r="J153" s="102" t="s">
        <v>1045</v>
      </c>
      <c r="K153" s="91">
        <v>43783</v>
      </c>
      <c r="L153" s="92" t="s">
        <v>991</v>
      </c>
      <c r="M153" s="90">
        <f t="shared" si="4"/>
        <v>32</v>
      </c>
      <c r="N153" s="135" t="s">
        <v>3</v>
      </c>
      <c r="O153" s="135" t="s">
        <v>1004</v>
      </c>
      <c r="P153" s="99" t="s">
        <v>1287</v>
      </c>
      <c r="R153" s="99" t="s">
        <v>1309</v>
      </c>
      <c r="S153" s="89"/>
    </row>
    <row r="154" spans="1:19" s="135" customFormat="1" ht="25.5">
      <c r="A154" s="103"/>
      <c r="B154" s="203"/>
      <c r="C154" s="205"/>
      <c r="D154" s="135">
        <v>147</v>
      </c>
      <c r="E154" s="99" t="s">
        <v>1219</v>
      </c>
      <c r="F154" s="135" t="s">
        <v>21</v>
      </c>
      <c r="G154" s="92" t="s">
        <v>1222</v>
      </c>
      <c r="H154" s="135" t="s">
        <v>1</v>
      </c>
      <c r="I154" s="135" t="s">
        <v>9</v>
      </c>
      <c r="J154" s="102" t="s">
        <v>1223</v>
      </c>
      <c r="K154" s="91">
        <v>43632</v>
      </c>
      <c r="L154" s="90">
        <v>2019</v>
      </c>
      <c r="M154" s="90">
        <f t="shared" si="4"/>
        <v>0</v>
      </c>
      <c r="N154" s="135" t="s">
        <v>3</v>
      </c>
      <c r="O154" s="135" t="s">
        <v>1004</v>
      </c>
      <c r="P154" s="99" t="s">
        <v>1287</v>
      </c>
      <c r="R154" s="99" t="s">
        <v>1309</v>
      </c>
      <c r="S154" s="89"/>
    </row>
    <row r="155" spans="1:19" s="135" customFormat="1" ht="25.5">
      <c r="A155" s="103"/>
      <c r="B155" s="203">
        <v>38</v>
      </c>
      <c r="C155" s="203" t="s">
        <v>1278</v>
      </c>
      <c r="D155" s="135">
        <v>148</v>
      </c>
      <c r="E155" s="99" t="s">
        <v>1279</v>
      </c>
      <c r="F155" s="135" t="s">
        <v>6</v>
      </c>
      <c r="G155" s="90" t="s">
        <v>1283</v>
      </c>
      <c r="H155" s="135" t="s">
        <v>18</v>
      </c>
      <c r="I155" s="135" t="s">
        <v>9</v>
      </c>
      <c r="J155" s="102" t="s">
        <v>1016</v>
      </c>
      <c r="K155" s="91">
        <v>30433</v>
      </c>
      <c r="L155" s="90">
        <v>1983</v>
      </c>
      <c r="M155" s="90">
        <f t="shared" si="4"/>
        <v>36</v>
      </c>
      <c r="N155" s="135" t="s">
        <v>3</v>
      </c>
      <c r="O155" s="135" t="s">
        <v>1004</v>
      </c>
      <c r="P155" s="99" t="s">
        <v>1287</v>
      </c>
      <c r="R155" s="99" t="s">
        <v>23</v>
      </c>
      <c r="S155" s="89"/>
    </row>
    <row r="156" spans="1:19" s="135" customFormat="1" ht="25.5">
      <c r="A156" s="103"/>
      <c r="B156" s="203"/>
      <c r="C156" s="203"/>
      <c r="D156" s="135">
        <v>149</v>
      </c>
      <c r="E156" s="99" t="s">
        <v>1280</v>
      </c>
      <c r="F156" s="135" t="s">
        <v>21</v>
      </c>
      <c r="G156" s="90" t="s">
        <v>1284</v>
      </c>
      <c r="H156" s="135" t="s">
        <v>1</v>
      </c>
      <c r="I156" s="135" t="s">
        <v>9</v>
      </c>
      <c r="J156" s="102" t="s">
        <v>1016</v>
      </c>
      <c r="K156" s="91">
        <v>32571</v>
      </c>
      <c r="L156" s="90">
        <v>1989</v>
      </c>
      <c r="M156" s="90">
        <f t="shared" si="4"/>
        <v>30</v>
      </c>
      <c r="N156" s="135" t="s">
        <v>3</v>
      </c>
      <c r="O156" s="135" t="s">
        <v>1004</v>
      </c>
      <c r="P156" s="99" t="s">
        <v>1287</v>
      </c>
      <c r="R156" s="99" t="s">
        <v>23</v>
      </c>
      <c r="S156" s="89"/>
    </row>
    <row r="157" spans="1:19" s="135" customFormat="1" ht="25.5">
      <c r="A157" s="103"/>
      <c r="B157" s="203"/>
      <c r="C157" s="203"/>
      <c r="D157" s="135">
        <v>150</v>
      </c>
      <c r="E157" s="99" t="s">
        <v>1281</v>
      </c>
      <c r="F157" s="135" t="s">
        <v>12</v>
      </c>
      <c r="G157" s="90" t="s">
        <v>1285</v>
      </c>
      <c r="H157" s="135" t="s">
        <v>1</v>
      </c>
      <c r="I157" s="135" t="s">
        <v>15</v>
      </c>
      <c r="J157" s="102" t="s">
        <v>1016</v>
      </c>
      <c r="K157" s="91">
        <v>39974</v>
      </c>
      <c r="L157" s="90">
        <v>2009</v>
      </c>
      <c r="M157" s="90">
        <f t="shared" si="4"/>
        <v>10</v>
      </c>
      <c r="N157" s="135" t="s">
        <v>3</v>
      </c>
      <c r="O157" s="135" t="s">
        <v>1004</v>
      </c>
      <c r="P157" s="99" t="s">
        <v>1288</v>
      </c>
      <c r="R157" s="99" t="s">
        <v>1277</v>
      </c>
      <c r="S157" s="89"/>
    </row>
    <row r="158" spans="1:19" s="135" customFormat="1" ht="25.5">
      <c r="A158" s="103"/>
      <c r="B158" s="203"/>
      <c r="C158" s="203"/>
      <c r="D158" s="135">
        <v>151</v>
      </c>
      <c r="E158" s="99" t="s">
        <v>1282</v>
      </c>
      <c r="F158" s="135" t="s">
        <v>12</v>
      </c>
      <c r="G158" s="90" t="s">
        <v>1286</v>
      </c>
      <c r="H158" s="135" t="s">
        <v>1</v>
      </c>
      <c r="I158" s="135" t="s">
        <v>15</v>
      </c>
      <c r="J158" s="102" t="s">
        <v>993</v>
      </c>
      <c r="K158" s="91">
        <v>42419</v>
      </c>
      <c r="L158" s="90">
        <v>2016</v>
      </c>
      <c r="M158" s="90">
        <f t="shared" si="4"/>
        <v>3</v>
      </c>
      <c r="N158" s="135" t="s">
        <v>3</v>
      </c>
      <c r="O158" s="135" t="s">
        <v>1004</v>
      </c>
      <c r="P158" s="99" t="s">
        <v>1288</v>
      </c>
      <c r="R158" s="99" t="s">
        <v>1277</v>
      </c>
      <c r="S158" s="89"/>
    </row>
    <row r="159" spans="1:19" s="135" customFormat="1">
      <c r="A159" s="103"/>
      <c r="B159" s="203">
        <v>39</v>
      </c>
      <c r="C159" s="203" t="s">
        <v>1301</v>
      </c>
      <c r="D159" s="135">
        <v>152</v>
      </c>
      <c r="E159" s="99" t="s">
        <v>267</v>
      </c>
      <c r="F159" s="135" t="s">
        <v>6</v>
      </c>
      <c r="G159" s="90" t="s">
        <v>1305</v>
      </c>
      <c r="H159" s="135" t="s">
        <v>18</v>
      </c>
      <c r="I159" s="135" t="s">
        <v>9</v>
      </c>
      <c r="J159" s="102" t="s">
        <v>993</v>
      </c>
      <c r="K159" s="91">
        <v>27759</v>
      </c>
      <c r="L159" s="90">
        <v>1975</v>
      </c>
      <c r="M159" s="90">
        <f t="shared" si="4"/>
        <v>44</v>
      </c>
      <c r="N159" s="135" t="s">
        <v>3</v>
      </c>
      <c r="O159" s="135" t="s">
        <v>1004</v>
      </c>
      <c r="P159" s="99" t="s">
        <v>1272</v>
      </c>
      <c r="R159" s="99" t="s">
        <v>1126</v>
      </c>
      <c r="S159" s="89"/>
    </row>
    <row r="160" spans="1:19" s="135" customFormat="1" ht="25.5">
      <c r="A160" s="103"/>
      <c r="B160" s="203"/>
      <c r="C160" s="203"/>
      <c r="D160" s="135">
        <v>153</v>
      </c>
      <c r="E160" s="99" t="s">
        <v>1302</v>
      </c>
      <c r="F160" s="135" t="s">
        <v>21</v>
      </c>
      <c r="G160" s="90" t="s">
        <v>1306</v>
      </c>
      <c r="H160" s="135" t="s">
        <v>1</v>
      </c>
      <c r="I160" s="135" t="s">
        <v>9</v>
      </c>
      <c r="J160" s="102" t="s">
        <v>993</v>
      </c>
      <c r="K160" s="91">
        <v>28118</v>
      </c>
      <c r="L160" s="90">
        <v>1976</v>
      </c>
      <c r="M160" s="90">
        <f t="shared" si="4"/>
        <v>43</v>
      </c>
      <c r="N160" s="135" t="s">
        <v>3</v>
      </c>
      <c r="O160" s="135" t="s">
        <v>1004</v>
      </c>
      <c r="P160" s="99" t="s">
        <v>1274</v>
      </c>
      <c r="R160" s="99" t="s">
        <v>1275</v>
      </c>
      <c r="S160" s="89"/>
    </row>
    <row r="161" spans="1:19" s="135" customFormat="1" ht="25.5">
      <c r="A161" s="103"/>
      <c r="B161" s="203"/>
      <c r="C161" s="203"/>
      <c r="D161" s="135">
        <v>154</v>
      </c>
      <c r="E161" s="99" t="s">
        <v>1303</v>
      </c>
      <c r="F161" s="135" t="s">
        <v>12</v>
      </c>
      <c r="G161" s="90" t="s">
        <v>1307</v>
      </c>
      <c r="H161" s="135" t="s">
        <v>18</v>
      </c>
      <c r="I161" s="135" t="s">
        <v>15</v>
      </c>
      <c r="J161" s="102" t="s">
        <v>993</v>
      </c>
      <c r="K161" s="91">
        <v>36516</v>
      </c>
      <c r="L161" s="90">
        <v>1999</v>
      </c>
      <c r="M161" s="90">
        <f t="shared" si="4"/>
        <v>20</v>
      </c>
      <c r="N161" s="135" t="s">
        <v>3</v>
      </c>
      <c r="O161" s="135" t="s">
        <v>1004</v>
      </c>
      <c r="P161" s="99" t="s">
        <v>1274</v>
      </c>
      <c r="R161" s="99" t="s">
        <v>1309</v>
      </c>
      <c r="S161" s="89"/>
    </row>
    <row r="162" spans="1:19" s="135" customFormat="1" ht="25.5">
      <c r="A162" s="103"/>
      <c r="B162" s="203"/>
      <c r="C162" s="203"/>
      <c r="D162" s="135">
        <v>155</v>
      </c>
      <c r="E162" s="99" t="s">
        <v>1304</v>
      </c>
      <c r="F162" s="135" t="s">
        <v>12</v>
      </c>
      <c r="G162" s="90" t="s">
        <v>1308</v>
      </c>
      <c r="H162" s="135" t="s">
        <v>1</v>
      </c>
      <c r="I162" s="135" t="s">
        <v>15</v>
      </c>
      <c r="J162" s="102" t="s">
        <v>993</v>
      </c>
      <c r="K162" s="91">
        <v>41590</v>
      </c>
      <c r="L162" s="90">
        <v>2013</v>
      </c>
      <c r="M162" s="90">
        <f t="shared" si="4"/>
        <v>6</v>
      </c>
      <c r="N162" s="135" t="s">
        <v>3</v>
      </c>
      <c r="O162" s="135" t="s">
        <v>1004</v>
      </c>
      <c r="P162" s="99" t="s">
        <v>1288</v>
      </c>
      <c r="R162" s="99" t="s">
        <v>1277</v>
      </c>
      <c r="S162" s="89"/>
    </row>
    <row r="163" spans="1:19" s="135" customFormat="1" ht="25.5">
      <c r="A163" s="104"/>
      <c r="B163" s="203">
        <v>40</v>
      </c>
      <c r="C163" s="203" t="s">
        <v>1837</v>
      </c>
      <c r="D163" s="135">
        <v>156</v>
      </c>
      <c r="E163" s="99" t="s">
        <v>450</v>
      </c>
      <c r="F163" s="135" t="s">
        <v>6</v>
      </c>
      <c r="G163" s="90" t="s">
        <v>551</v>
      </c>
      <c r="H163" s="135" t="s">
        <v>18</v>
      </c>
      <c r="I163" s="135" t="s">
        <v>9</v>
      </c>
      <c r="J163" s="102" t="s">
        <v>993</v>
      </c>
      <c r="K163" s="91">
        <v>24654</v>
      </c>
      <c r="L163" s="90">
        <v>1967</v>
      </c>
      <c r="M163" s="90">
        <f t="shared" si="4"/>
        <v>52</v>
      </c>
      <c r="N163" s="135" t="s">
        <v>3</v>
      </c>
      <c r="O163" s="135" t="s">
        <v>1004</v>
      </c>
      <c r="P163" s="99" t="s">
        <v>1288</v>
      </c>
      <c r="R163" s="99" t="s">
        <v>81</v>
      </c>
      <c r="S163" s="89"/>
    </row>
    <row r="164" spans="1:19" s="135" customFormat="1" ht="25.5">
      <c r="A164" s="105"/>
      <c r="B164" s="203"/>
      <c r="C164" s="203"/>
      <c r="D164" s="135">
        <v>157</v>
      </c>
      <c r="E164" s="99" t="s">
        <v>426</v>
      </c>
      <c r="F164" s="135" t="s">
        <v>21</v>
      </c>
      <c r="G164" s="90" t="s">
        <v>552</v>
      </c>
      <c r="H164" s="135" t="s">
        <v>1</v>
      </c>
      <c r="I164" s="135" t="s">
        <v>9</v>
      </c>
      <c r="J164" s="102" t="s">
        <v>993</v>
      </c>
      <c r="K164" s="91">
        <v>24654</v>
      </c>
      <c r="L164" s="90">
        <v>1967</v>
      </c>
      <c r="M164" s="90">
        <f t="shared" si="4"/>
        <v>52</v>
      </c>
      <c r="N164" s="135" t="s">
        <v>3</v>
      </c>
      <c r="O164" s="135" t="s">
        <v>1004</v>
      </c>
      <c r="P164" s="99" t="s">
        <v>1288</v>
      </c>
      <c r="R164" s="99" t="s">
        <v>81</v>
      </c>
      <c r="S164" s="89"/>
    </row>
    <row r="165" spans="1:19" s="135" customFormat="1">
      <c r="A165" s="104"/>
      <c r="B165" s="203">
        <v>41</v>
      </c>
      <c r="C165" s="203" t="s">
        <v>1844</v>
      </c>
      <c r="D165" s="135">
        <v>158</v>
      </c>
      <c r="E165" s="99" t="s">
        <v>1845</v>
      </c>
      <c r="F165" s="135" t="s">
        <v>6</v>
      </c>
      <c r="G165" s="90" t="s">
        <v>1848</v>
      </c>
      <c r="H165" s="135" t="s">
        <v>18</v>
      </c>
      <c r="I165" s="135" t="s">
        <v>9</v>
      </c>
      <c r="J165" s="102" t="s">
        <v>993</v>
      </c>
      <c r="K165" s="91">
        <v>29220</v>
      </c>
      <c r="L165" s="90">
        <v>1979</v>
      </c>
      <c r="M165" s="90">
        <f t="shared" si="4"/>
        <v>40</v>
      </c>
      <c r="N165" s="135" t="s">
        <v>3</v>
      </c>
      <c r="O165" s="135" t="s">
        <v>1004</v>
      </c>
      <c r="P165" s="99" t="s">
        <v>1273</v>
      </c>
      <c r="R165" s="99" t="s">
        <v>23</v>
      </c>
      <c r="S165" s="89"/>
    </row>
    <row r="166" spans="1:19" s="135" customFormat="1" ht="25.5">
      <c r="A166" s="106"/>
      <c r="B166" s="203"/>
      <c r="C166" s="203"/>
      <c r="D166" s="135">
        <v>159</v>
      </c>
      <c r="E166" s="99" t="s">
        <v>1846</v>
      </c>
      <c r="F166" s="135" t="s">
        <v>21</v>
      </c>
      <c r="G166" s="90" t="s">
        <v>1850</v>
      </c>
      <c r="H166" s="135" t="s">
        <v>1</v>
      </c>
      <c r="I166" s="135" t="s">
        <v>9</v>
      </c>
      <c r="J166" s="102" t="s">
        <v>993</v>
      </c>
      <c r="K166" s="91">
        <v>32339</v>
      </c>
      <c r="L166" s="90">
        <v>1988</v>
      </c>
      <c r="M166" s="90">
        <f t="shared" si="4"/>
        <v>31</v>
      </c>
      <c r="N166" s="135" t="s">
        <v>3</v>
      </c>
      <c r="O166" s="135" t="s">
        <v>1004</v>
      </c>
      <c r="P166" s="99" t="s">
        <v>1287</v>
      </c>
      <c r="R166" s="99" t="s">
        <v>1276</v>
      </c>
      <c r="S166" s="89"/>
    </row>
    <row r="167" spans="1:19" s="135" customFormat="1" ht="25.5">
      <c r="A167" s="105"/>
      <c r="B167" s="203"/>
      <c r="C167" s="203"/>
      <c r="D167" s="135">
        <v>160</v>
      </c>
      <c r="E167" s="99" t="s">
        <v>1847</v>
      </c>
      <c r="F167" s="135" t="s">
        <v>12</v>
      </c>
      <c r="G167" s="90" t="s">
        <v>1849</v>
      </c>
      <c r="H167" s="135" t="s">
        <v>18</v>
      </c>
      <c r="I167" s="135" t="s">
        <v>15</v>
      </c>
      <c r="J167" s="102" t="s">
        <v>1851</v>
      </c>
      <c r="K167" s="91">
        <v>40599</v>
      </c>
      <c r="L167" s="90">
        <v>2011</v>
      </c>
      <c r="M167" s="90">
        <f t="shared" si="4"/>
        <v>8</v>
      </c>
      <c r="N167" s="135" t="s">
        <v>3</v>
      </c>
      <c r="O167" s="135" t="s">
        <v>1004</v>
      </c>
      <c r="P167" s="99" t="s">
        <v>1288</v>
      </c>
      <c r="R167" s="99" t="s">
        <v>1277</v>
      </c>
      <c r="S167" s="89"/>
    </row>
    <row r="168" spans="1:19" s="135" customFormat="1" ht="25.5">
      <c r="A168" s="103"/>
      <c r="B168" s="135">
        <v>42</v>
      </c>
      <c r="C168" s="135" t="s">
        <v>1894</v>
      </c>
      <c r="D168" s="135">
        <v>161</v>
      </c>
      <c r="E168" s="99" t="s">
        <v>1895</v>
      </c>
      <c r="F168" s="135" t="s">
        <v>6</v>
      </c>
      <c r="G168" s="90" t="s">
        <v>1896</v>
      </c>
      <c r="H168" s="135" t="s">
        <v>1</v>
      </c>
      <c r="I168" s="135" t="s">
        <v>1235</v>
      </c>
      <c r="J168" s="102" t="s">
        <v>993</v>
      </c>
      <c r="K168" s="91">
        <v>32582</v>
      </c>
      <c r="L168" s="90">
        <v>1989</v>
      </c>
      <c r="M168" s="90">
        <f t="shared" si="4"/>
        <v>30</v>
      </c>
      <c r="N168" s="135" t="s">
        <v>3</v>
      </c>
      <c r="O168" s="135" t="s">
        <v>1004</v>
      </c>
      <c r="P168" s="99" t="s">
        <v>1197</v>
      </c>
      <c r="R168" s="99" t="s">
        <v>23</v>
      </c>
      <c r="S168" s="89"/>
    </row>
    <row r="169" spans="1:19" s="135" customFormat="1" ht="25.5">
      <c r="A169" s="104"/>
      <c r="B169" s="203">
        <v>43</v>
      </c>
      <c r="C169" s="203" t="s">
        <v>1899</v>
      </c>
      <c r="D169" s="135">
        <v>162</v>
      </c>
      <c r="E169" s="99" t="s">
        <v>609</v>
      </c>
      <c r="F169" s="135" t="s">
        <v>6</v>
      </c>
      <c r="G169" s="90" t="s">
        <v>1902</v>
      </c>
      <c r="H169" s="135" t="s">
        <v>18</v>
      </c>
      <c r="I169" s="135" t="s">
        <v>9</v>
      </c>
      <c r="J169" s="102" t="s">
        <v>993</v>
      </c>
      <c r="K169" s="91">
        <v>33432</v>
      </c>
      <c r="L169" s="90">
        <v>1991</v>
      </c>
      <c r="M169" s="90">
        <f t="shared" si="4"/>
        <v>28</v>
      </c>
      <c r="N169" s="135" t="s">
        <v>3</v>
      </c>
      <c r="O169" s="135" t="s">
        <v>1004</v>
      </c>
      <c r="P169" s="99" t="s">
        <v>1287</v>
      </c>
      <c r="R169" s="99" t="s">
        <v>1162</v>
      </c>
      <c r="S169" s="89"/>
    </row>
    <row r="170" spans="1:19" s="135" customFormat="1" ht="25.5">
      <c r="A170" s="106"/>
      <c r="B170" s="203"/>
      <c r="C170" s="203"/>
      <c r="D170" s="135">
        <v>163</v>
      </c>
      <c r="E170" s="99" t="s">
        <v>1900</v>
      </c>
      <c r="F170" s="135" t="s">
        <v>21</v>
      </c>
      <c r="G170" s="90" t="s">
        <v>1903</v>
      </c>
      <c r="H170" s="135" t="s">
        <v>1</v>
      </c>
      <c r="I170" s="135" t="s">
        <v>9</v>
      </c>
      <c r="J170" s="102" t="s">
        <v>1470</v>
      </c>
      <c r="K170" s="91">
        <v>34386</v>
      </c>
      <c r="L170" s="90">
        <v>1994</v>
      </c>
      <c r="M170" s="90">
        <f t="shared" si="4"/>
        <v>25</v>
      </c>
      <c r="N170" s="135" t="s">
        <v>3</v>
      </c>
      <c r="O170" s="135" t="s">
        <v>1004</v>
      </c>
      <c r="P170" s="99" t="s">
        <v>1287</v>
      </c>
      <c r="R170" s="99" t="s">
        <v>1276</v>
      </c>
      <c r="S170" s="89"/>
    </row>
    <row r="171" spans="1:19" s="135" customFormat="1" ht="25.5">
      <c r="A171" s="105"/>
      <c r="B171" s="203"/>
      <c r="C171" s="203"/>
      <c r="D171" s="135">
        <v>164</v>
      </c>
      <c r="E171" s="99" t="s">
        <v>1901</v>
      </c>
      <c r="F171" s="135" t="s">
        <v>12</v>
      </c>
      <c r="G171" s="90" t="s">
        <v>1904</v>
      </c>
      <c r="H171" s="135" t="s">
        <v>18</v>
      </c>
      <c r="I171" s="135" t="s">
        <v>15</v>
      </c>
      <c r="J171" s="102" t="s">
        <v>1045</v>
      </c>
      <c r="K171" s="91">
        <v>43357</v>
      </c>
      <c r="L171" s="90">
        <v>2018</v>
      </c>
      <c r="M171" s="90">
        <f t="shared" si="4"/>
        <v>1</v>
      </c>
      <c r="N171" s="135" t="s">
        <v>3</v>
      </c>
      <c r="O171" s="135" t="s">
        <v>1004</v>
      </c>
      <c r="P171" s="99" t="s">
        <v>1288</v>
      </c>
      <c r="R171" s="99" t="s">
        <v>1277</v>
      </c>
      <c r="S171" s="89"/>
    </row>
    <row r="172" spans="1:19" s="135" customFormat="1" ht="25.5">
      <c r="A172" s="104"/>
      <c r="B172" s="203">
        <v>44</v>
      </c>
      <c r="C172" s="203" t="s">
        <v>1956</v>
      </c>
      <c r="D172" s="135">
        <v>165</v>
      </c>
      <c r="E172" s="99" t="s">
        <v>1957</v>
      </c>
      <c r="F172" s="135" t="s">
        <v>6</v>
      </c>
      <c r="G172" s="90" t="s">
        <v>1960</v>
      </c>
      <c r="H172" s="135" t="s">
        <v>18</v>
      </c>
      <c r="I172" s="135" t="s">
        <v>9</v>
      </c>
      <c r="J172" s="102" t="s">
        <v>1016</v>
      </c>
      <c r="K172" s="91">
        <v>27394</v>
      </c>
      <c r="L172" s="90">
        <v>1974</v>
      </c>
      <c r="M172" s="90">
        <f t="shared" si="4"/>
        <v>45</v>
      </c>
      <c r="N172" s="135" t="s">
        <v>3</v>
      </c>
      <c r="O172" s="135" t="s">
        <v>1004</v>
      </c>
      <c r="P172" s="99" t="s">
        <v>1272</v>
      </c>
      <c r="R172" s="99" t="s">
        <v>1032</v>
      </c>
      <c r="S172" s="89"/>
    </row>
    <row r="173" spans="1:19" s="135" customFormat="1" ht="25.5">
      <c r="A173" s="106"/>
      <c r="B173" s="203"/>
      <c r="C173" s="203"/>
      <c r="D173" s="135">
        <v>166</v>
      </c>
      <c r="E173" s="99" t="s">
        <v>1958</v>
      </c>
      <c r="F173" s="135" t="s">
        <v>21</v>
      </c>
      <c r="G173" s="90" t="s">
        <v>1961</v>
      </c>
      <c r="H173" s="135" t="s">
        <v>1</v>
      </c>
      <c r="I173" s="135" t="s">
        <v>9</v>
      </c>
      <c r="J173" s="102" t="s">
        <v>993</v>
      </c>
      <c r="K173" s="91">
        <v>28834</v>
      </c>
      <c r="L173" s="90">
        <v>1978</v>
      </c>
      <c r="M173" s="90">
        <f t="shared" si="4"/>
        <v>41</v>
      </c>
      <c r="N173" s="135" t="s">
        <v>3</v>
      </c>
      <c r="O173" s="135" t="s">
        <v>1004</v>
      </c>
      <c r="P173" s="99" t="s">
        <v>1288</v>
      </c>
      <c r="R173" s="99" t="s">
        <v>1276</v>
      </c>
      <c r="S173" s="89"/>
    </row>
    <row r="174" spans="1:19" s="135" customFormat="1" ht="25.5">
      <c r="A174" s="105"/>
      <c r="B174" s="203"/>
      <c r="C174" s="203"/>
      <c r="D174" s="135">
        <v>167</v>
      </c>
      <c r="E174" s="99" t="s">
        <v>1959</v>
      </c>
      <c r="F174" s="135" t="s">
        <v>12</v>
      </c>
      <c r="G174" s="90" t="s">
        <v>1962</v>
      </c>
      <c r="H174" s="135" t="s">
        <v>18</v>
      </c>
      <c r="I174" s="135" t="s">
        <v>15</v>
      </c>
      <c r="J174" s="102" t="s">
        <v>993</v>
      </c>
      <c r="K174" s="91">
        <v>39176</v>
      </c>
      <c r="L174" s="90">
        <v>2007</v>
      </c>
      <c r="M174" s="90">
        <f t="shared" si="4"/>
        <v>12</v>
      </c>
      <c r="N174" s="135" t="s">
        <v>3</v>
      </c>
      <c r="O174" s="135" t="s">
        <v>1004</v>
      </c>
      <c r="P174" s="99" t="s">
        <v>1274</v>
      </c>
      <c r="R174" s="99" t="s">
        <v>1309</v>
      </c>
      <c r="S174" s="89"/>
    </row>
    <row r="178" spans="4:18" s="88" customFormat="1" ht="15">
      <c r="D178" s="206" t="s">
        <v>2251</v>
      </c>
      <c r="E178" s="206"/>
      <c r="F178" s="206"/>
      <c r="L178" s="174"/>
      <c r="P178" s="175"/>
      <c r="R178" s="175"/>
    </row>
    <row r="179" spans="4:18" s="88" customFormat="1" ht="15">
      <c r="D179" s="206" t="s">
        <v>2252</v>
      </c>
      <c r="E179" s="206"/>
      <c r="F179" s="206"/>
      <c r="L179" s="174"/>
      <c r="P179" s="185" t="s">
        <v>2253</v>
      </c>
      <c r="Q179" s="185"/>
      <c r="R179" s="175"/>
    </row>
    <row r="180" spans="4:18" s="88" customFormat="1" ht="15">
      <c r="D180" s="176"/>
      <c r="E180" s="177"/>
      <c r="F180" s="176"/>
      <c r="L180" s="174"/>
      <c r="P180" s="98"/>
      <c r="Q180" s="108"/>
      <c r="R180" s="175"/>
    </row>
    <row r="181" spans="4:18" s="88" customFormat="1" ht="15">
      <c r="D181" s="176"/>
      <c r="E181" s="177"/>
      <c r="F181" s="176"/>
      <c r="L181" s="174"/>
      <c r="P181" s="98"/>
      <c r="Q181" s="108"/>
      <c r="R181" s="175"/>
    </row>
    <row r="182" spans="4:18" s="88" customFormat="1" ht="15">
      <c r="D182" s="176"/>
      <c r="E182" s="177"/>
      <c r="F182" s="176"/>
      <c r="L182" s="174"/>
      <c r="P182" s="98"/>
      <c r="Q182" s="108"/>
      <c r="R182" s="175"/>
    </row>
    <row r="183" spans="4:18" s="88" customFormat="1" ht="14.25">
      <c r="D183" s="207" t="s">
        <v>2254</v>
      </c>
      <c r="E183" s="207"/>
      <c r="F183" s="207"/>
      <c r="L183" s="174"/>
      <c r="P183" s="178" t="s">
        <v>2256</v>
      </c>
      <c r="Q183" s="178"/>
      <c r="R183" s="175"/>
    </row>
    <row r="184" spans="4:18" s="88" customFormat="1" ht="14.25">
      <c r="D184" s="207" t="s">
        <v>2255</v>
      </c>
      <c r="E184" s="207"/>
      <c r="F184" s="207"/>
      <c r="L184" s="174"/>
      <c r="P184" s="175"/>
      <c r="R184" s="175"/>
    </row>
  </sheetData>
  <autoFilter ref="B7:R174"/>
  <mergeCells count="108">
    <mergeCell ref="D178:F178"/>
    <mergeCell ref="D179:F179"/>
    <mergeCell ref="P179:Q179"/>
    <mergeCell ref="D183:F183"/>
    <mergeCell ref="P183:Q183"/>
    <mergeCell ref="D184:F184"/>
    <mergeCell ref="C172:C174"/>
    <mergeCell ref="B172:B174"/>
    <mergeCell ref="C82:C85"/>
    <mergeCell ref="B150:B152"/>
    <mergeCell ref="C97:C100"/>
    <mergeCell ref="C124:C127"/>
    <mergeCell ref="B90:B92"/>
    <mergeCell ref="C132:C135"/>
    <mergeCell ref="B112:B115"/>
    <mergeCell ref="B116:B120"/>
    <mergeCell ref="C116:C120"/>
    <mergeCell ref="B86:B89"/>
    <mergeCell ref="C93:C96"/>
    <mergeCell ref="B82:B85"/>
    <mergeCell ref="C107:C111"/>
    <mergeCell ref="B63:B67"/>
    <mergeCell ref="C63:C67"/>
    <mergeCell ref="B169:B171"/>
    <mergeCell ref="C169:C171"/>
    <mergeCell ref="B93:B96"/>
    <mergeCell ref="B163:B164"/>
    <mergeCell ref="C47:C50"/>
    <mergeCell ref="C163:C164"/>
    <mergeCell ref="B107:B111"/>
    <mergeCell ref="B47:B50"/>
    <mergeCell ref="B165:B167"/>
    <mergeCell ref="C165:C167"/>
    <mergeCell ref="B68:B71"/>
    <mergeCell ref="B61:B62"/>
    <mergeCell ref="B128:B131"/>
    <mergeCell ref="B155:B158"/>
    <mergeCell ref="C155:C158"/>
    <mergeCell ref="C153:C154"/>
    <mergeCell ref="C56:C60"/>
    <mergeCell ref="C90:C92"/>
    <mergeCell ref="B97:B100"/>
    <mergeCell ref="B72:B75"/>
    <mergeCell ref="C72:C75"/>
    <mergeCell ref="C68:C71"/>
    <mergeCell ref="D5:D6"/>
    <mergeCell ref="B159:B162"/>
    <mergeCell ref="C159:C162"/>
    <mergeCell ref="C112:C115"/>
    <mergeCell ref="C147:C149"/>
    <mergeCell ref="C150:C152"/>
    <mergeCell ref="B147:B149"/>
    <mergeCell ref="C128:C131"/>
    <mergeCell ref="B136:B139"/>
    <mergeCell ref="B140:B141"/>
    <mergeCell ref="B142:B144"/>
    <mergeCell ref="C142:C144"/>
    <mergeCell ref="B145:B146"/>
    <mergeCell ref="C121:C123"/>
    <mergeCell ref="B121:B123"/>
    <mergeCell ref="C136:C139"/>
    <mergeCell ref="C140:C141"/>
    <mergeCell ref="C145:C146"/>
    <mergeCell ref="B124:B127"/>
    <mergeCell ref="C23:C28"/>
    <mergeCell ref="B23:B28"/>
    <mergeCell ref="B101:B106"/>
    <mergeCell ref="B132:B135"/>
    <mergeCell ref="B153:B154"/>
    <mergeCell ref="B1:R1"/>
    <mergeCell ref="B2:R2"/>
    <mergeCell ref="C61:C62"/>
    <mergeCell ref="C76:C81"/>
    <mergeCell ref="C101:C106"/>
    <mergeCell ref="B56:B60"/>
    <mergeCell ref="B76:B81"/>
    <mergeCell ref="C86:C89"/>
    <mergeCell ref="C16:C17"/>
    <mergeCell ref="B18:B22"/>
    <mergeCell ref="B16:B17"/>
    <mergeCell ref="C37:C40"/>
    <mergeCell ref="B37:B40"/>
    <mergeCell ref="O5:O6"/>
    <mergeCell ref="F5:F6"/>
    <mergeCell ref="J5:M5"/>
    <mergeCell ref="E5:E6"/>
    <mergeCell ref="N5:N6"/>
    <mergeCell ref="P5:P6"/>
    <mergeCell ref="R5:R6"/>
    <mergeCell ref="H5:H6"/>
    <mergeCell ref="I5:I6"/>
    <mergeCell ref="G5:G6"/>
    <mergeCell ref="Q5:Q6"/>
    <mergeCell ref="B51:B55"/>
    <mergeCell ref="C51:C55"/>
    <mergeCell ref="B5:B6"/>
    <mergeCell ref="B41:B46"/>
    <mergeCell ref="C41:C46"/>
    <mergeCell ref="C18:C22"/>
    <mergeCell ref="B13:B15"/>
    <mergeCell ref="C13:C15"/>
    <mergeCell ref="C8:C12"/>
    <mergeCell ref="C34:C36"/>
    <mergeCell ref="C5:C6"/>
    <mergeCell ref="B8:B12"/>
    <mergeCell ref="B29:B33"/>
    <mergeCell ref="C29:C33"/>
    <mergeCell ref="B34:B36"/>
  </mergeCells>
  <pageMargins left="1.37795275590551" right="0.196850393700787" top="0.39370078740157499" bottom="0.643700787" header="0.31496062992126" footer="0.31496062992126"/>
  <pageSetup paperSize="10000" scale="82" orientation="landscape" horizontalDpi="4294967293" verticalDpi="300" r:id="rId1"/>
  <headerFooter>
    <oddFooter>&amp;C&amp;"-,Bold"&amp;12&amp;P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AU247"/>
  <sheetViews>
    <sheetView workbookViewId="0">
      <pane ySplit="6" topLeftCell="A189" activePane="bottomLeft" state="frozen"/>
      <selection pane="bottomLeft" activeCell="L194" sqref="L194:L195"/>
    </sheetView>
  </sheetViews>
  <sheetFormatPr defaultRowHeight="12.75"/>
  <cols>
    <col min="1" max="1" width="9.140625" style="88"/>
    <col min="2" max="2" width="3.28515625" style="87" bestFit="1" customWidth="1"/>
    <col min="3" max="3" width="15.28515625" style="87" customWidth="1"/>
    <col min="4" max="4" width="6.7109375" style="87" customWidth="1"/>
    <col min="5" max="5" width="12.7109375" style="145" customWidth="1"/>
    <col min="6" max="6" width="9.7109375" style="87" customWidth="1"/>
    <col min="7" max="7" width="15.7109375" style="146" customWidth="1"/>
    <col min="8" max="8" width="7.7109375" style="87" customWidth="1"/>
    <col min="9" max="9" width="11.7109375" style="87" customWidth="1"/>
    <col min="10" max="10" width="13.7109375" style="147" customWidth="1"/>
    <col min="11" max="11" width="16.140625" style="148" bestFit="1" customWidth="1"/>
    <col min="12" max="12" width="6.140625" style="146" bestFit="1" customWidth="1"/>
    <col min="13" max="13" width="4.85546875" style="146" bestFit="1" customWidth="1"/>
    <col min="14" max="14" width="6.42578125" style="87" bestFit="1" customWidth="1"/>
    <col min="15" max="15" width="5.42578125" style="87" bestFit="1" customWidth="1"/>
    <col min="16" max="16" width="16.7109375" style="145" customWidth="1"/>
    <col min="17" max="17" width="7.5703125" style="87" bestFit="1" customWidth="1"/>
    <col min="18" max="18" width="15.7109375" style="145" customWidth="1"/>
    <col min="19" max="46" width="9.140625" style="88"/>
    <col min="47" max="16384" width="9.140625" style="87"/>
  </cols>
  <sheetData>
    <row r="1" spans="1:47" s="97" customFormat="1" ht="15.75">
      <c r="B1" s="197" t="s">
        <v>2244</v>
      </c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</row>
    <row r="2" spans="1:47" s="97" customFormat="1" ht="15.75">
      <c r="B2" s="197" t="s">
        <v>2245</v>
      </c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</row>
    <row r="3" spans="1:47" s="97" customFormat="1" ht="15.75">
      <c r="B3" s="172" t="s">
        <v>2246</v>
      </c>
      <c r="C3" s="139"/>
      <c r="D3" s="139"/>
      <c r="E3" s="139"/>
      <c r="F3" s="139"/>
      <c r="G3" s="139"/>
      <c r="H3" s="139"/>
      <c r="I3" s="139"/>
      <c r="J3" s="139"/>
      <c r="K3" s="139"/>
      <c r="L3" s="139"/>
      <c r="M3" s="139"/>
      <c r="N3" s="139"/>
      <c r="O3" s="139"/>
      <c r="P3" s="139"/>
      <c r="Q3" s="139"/>
      <c r="R3" s="139"/>
    </row>
    <row r="4" spans="1:47" ht="16.5" thickBot="1">
      <c r="B4" s="172" t="s">
        <v>2248</v>
      </c>
    </row>
    <row r="5" spans="1:47" ht="20.100000000000001" customHeight="1">
      <c r="B5" s="238" t="s">
        <v>306</v>
      </c>
      <c r="C5" s="221" t="s">
        <v>2235</v>
      </c>
      <c r="D5" s="223" t="s">
        <v>1259</v>
      </c>
      <c r="E5" s="227" t="s">
        <v>1260</v>
      </c>
      <c r="F5" s="234" t="s">
        <v>1261</v>
      </c>
      <c r="G5" s="236" t="s">
        <v>313</v>
      </c>
      <c r="H5" s="234" t="s">
        <v>1262</v>
      </c>
      <c r="I5" s="234" t="s">
        <v>308</v>
      </c>
      <c r="J5" s="229" t="s">
        <v>977</v>
      </c>
      <c r="K5" s="230"/>
      <c r="L5" s="231"/>
      <c r="M5" s="232" t="s">
        <v>981</v>
      </c>
      <c r="N5" s="225" t="s">
        <v>564</v>
      </c>
      <c r="O5" s="225" t="s">
        <v>982</v>
      </c>
      <c r="P5" s="227" t="s">
        <v>315</v>
      </c>
      <c r="Q5" s="225" t="s">
        <v>983</v>
      </c>
      <c r="R5" s="227" t="s">
        <v>976</v>
      </c>
    </row>
    <row r="6" spans="1:47" ht="20.100000000000001" customHeight="1" thickBot="1">
      <c r="B6" s="239"/>
      <c r="C6" s="222"/>
      <c r="D6" s="224"/>
      <c r="E6" s="228"/>
      <c r="F6" s="235"/>
      <c r="G6" s="237"/>
      <c r="H6" s="235"/>
      <c r="I6" s="235"/>
      <c r="J6" s="163" t="s">
        <v>978</v>
      </c>
      <c r="K6" s="164" t="s">
        <v>979</v>
      </c>
      <c r="L6" s="165" t="s">
        <v>980</v>
      </c>
      <c r="M6" s="233"/>
      <c r="N6" s="226"/>
      <c r="O6" s="226"/>
      <c r="P6" s="228"/>
      <c r="Q6" s="226"/>
      <c r="R6" s="228"/>
    </row>
    <row r="7" spans="1:47">
      <c r="B7" s="166"/>
      <c r="C7" s="167"/>
      <c r="D7" s="166"/>
      <c r="E7" s="168"/>
      <c r="F7" s="166"/>
      <c r="G7" s="169"/>
      <c r="H7" s="166"/>
      <c r="I7" s="166"/>
      <c r="J7" s="170"/>
      <c r="K7" s="171"/>
      <c r="L7" s="169"/>
      <c r="M7" s="169"/>
      <c r="N7" s="166"/>
      <c r="O7" s="166"/>
      <c r="P7" s="168"/>
      <c r="Q7" s="166"/>
      <c r="R7" s="168"/>
    </row>
    <row r="8" spans="1:47" s="135" customFormat="1" ht="25.5">
      <c r="A8" s="88"/>
      <c r="B8" s="203">
        <v>1</v>
      </c>
      <c r="C8" s="203" t="s">
        <v>2088</v>
      </c>
      <c r="D8" s="135">
        <v>1</v>
      </c>
      <c r="E8" s="99" t="s">
        <v>710</v>
      </c>
      <c r="F8" s="135" t="s">
        <v>6</v>
      </c>
      <c r="G8" s="90" t="s">
        <v>2089</v>
      </c>
      <c r="H8" s="135" t="s">
        <v>18</v>
      </c>
      <c r="I8" s="135" t="s">
        <v>9</v>
      </c>
      <c r="J8" s="99" t="s">
        <v>1016</v>
      </c>
      <c r="K8" s="91">
        <v>18080</v>
      </c>
      <c r="L8" s="90">
        <v>1949</v>
      </c>
      <c r="M8" s="90">
        <f t="shared" ref="M8:M37" si="0">2019-L8</f>
        <v>70</v>
      </c>
      <c r="N8" s="135" t="s">
        <v>3</v>
      </c>
      <c r="O8" s="135" t="s">
        <v>1004</v>
      </c>
      <c r="P8" s="99" t="s">
        <v>1288</v>
      </c>
      <c r="R8" s="99" t="s">
        <v>1275</v>
      </c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  <c r="AQ8" s="88"/>
      <c r="AR8" s="88"/>
      <c r="AS8" s="88"/>
      <c r="AT8" s="88"/>
      <c r="AU8" s="89"/>
    </row>
    <row r="9" spans="1:47" s="135" customFormat="1" ht="25.5">
      <c r="A9" s="88"/>
      <c r="B9" s="203"/>
      <c r="C9" s="203"/>
      <c r="D9" s="135">
        <v>2</v>
      </c>
      <c r="E9" s="99" t="s">
        <v>711</v>
      </c>
      <c r="F9" s="135" t="s">
        <v>712</v>
      </c>
      <c r="G9" s="90" t="s">
        <v>2090</v>
      </c>
      <c r="H9" s="135" t="s">
        <v>1</v>
      </c>
      <c r="I9" s="135" t="s">
        <v>9</v>
      </c>
      <c r="J9" s="99" t="s">
        <v>1016</v>
      </c>
      <c r="K9" s="91">
        <v>19541</v>
      </c>
      <c r="L9" s="90">
        <v>1953</v>
      </c>
      <c r="M9" s="90">
        <f t="shared" si="0"/>
        <v>66</v>
      </c>
      <c r="N9" s="135" t="s">
        <v>3</v>
      </c>
      <c r="O9" s="135" t="s">
        <v>1004</v>
      </c>
      <c r="P9" s="99" t="s">
        <v>1288</v>
      </c>
      <c r="R9" s="99" t="s">
        <v>1275</v>
      </c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  <c r="AQ9" s="88"/>
      <c r="AR9" s="88"/>
      <c r="AS9" s="88"/>
      <c r="AT9" s="88"/>
      <c r="AU9" s="89"/>
    </row>
    <row r="10" spans="1:47" s="135" customFormat="1" ht="25.5">
      <c r="A10" s="88"/>
      <c r="B10" s="203"/>
      <c r="C10" s="203"/>
      <c r="D10" s="135">
        <v>3</v>
      </c>
      <c r="E10" s="99" t="s">
        <v>713</v>
      </c>
      <c r="F10" s="135" t="s">
        <v>12</v>
      </c>
      <c r="G10" s="90" t="s">
        <v>2091</v>
      </c>
      <c r="H10" s="135" t="s">
        <v>1</v>
      </c>
      <c r="I10" s="135" t="s">
        <v>1235</v>
      </c>
      <c r="J10" s="99" t="s">
        <v>993</v>
      </c>
      <c r="K10" s="91">
        <v>29586</v>
      </c>
      <c r="L10" s="90">
        <v>1980</v>
      </c>
      <c r="M10" s="90">
        <f t="shared" si="0"/>
        <v>39</v>
      </c>
      <c r="N10" s="135" t="s">
        <v>3</v>
      </c>
      <c r="O10" s="135" t="s">
        <v>1004</v>
      </c>
      <c r="P10" s="99" t="s">
        <v>1288</v>
      </c>
      <c r="R10" s="99" t="s">
        <v>768</v>
      </c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  <c r="AQ10" s="88"/>
      <c r="AR10" s="88"/>
      <c r="AS10" s="88"/>
      <c r="AT10" s="88"/>
      <c r="AU10" s="89"/>
    </row>
    <row r="11" spans="1:47" s="135" customFormat="1" ht="25.5">
      <c r="A11" s="88"/>
      <c r="B11" s="203"/>
      <c r="C11" s="203"/>
      <c r="D11" s="135">
        <v>4</v>
      </c>
      <c r="E11" s="99" t="s">
        <v>715</v>
      </c>
      <c r="F11" s="135" t="s">
        <v>1997</v>
      </c>
      <c r="G11" s="90" t="s">
        <v>2092</v>
      </c>
      <c r="H11" s="135" t="s">
        <v>18</v>
      </c>
      <c r="I11" s="135" t="s">
        <v>15</v>
      </c>
      <c r="J11" s="99" t="s">
        <v>1016</v>
      </c>
      <c r="K11" s="91">
        <v>38534</v>
      </c>
      <c r="L11" s="90">
        <v>2005</v>
      </c>
      <c r="M11" s="90">
        <f t="shared" si="0"/>
        <v>14</v>
      </c>
      <c r="N11" s="135" t="s">
        <v>3</v>
      </c>
      <c r="O11" s="135" t="s">
        <v>1004</v>
      </c>
      <c r="P11" s="99" t="s">
        <v>1288</v>
      </c>
      <c r="R11" s="99" t="s">
        <v>1277</v>
      </c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  <c r="AQ11" s="88"/>
      <c r="AR11" s="88"/>
      <c r="AS11" s="88"/>
      <c r="AT11" s="88"/>
      <c r="AU11" s="89"/>
    </row>
    <row r="12" spans="1:47" s="135" customFormat="1" ht="25.5">
      <c r="A12" s="88"/>
      <c r="B12" s="203">
        <v>2</v>
      </c>
      <c r="C12" s="203" t="s">
        <v>2077</v>
      </c>
      <c r="D12" s="135">
        <v>5</v>
      </c>
      <c r="E12" s="99" t="s">
        <v>717</v>
      </c>
      <c r="F12" s="135" t="s">
        <v>6</v>
      </c>
      <c r="G12" s="90" t="s">
        <v>869</v>
      </c>
      <c r="H12" s="135" t="s">
        <v>18</v>
      </c>
      <c r="I12" s="135" t="s">
        <v>9</v>
      </c>
      <c r="J12" s="99" t="s">
        <v>1016</v>
      </c>
      <c r="K12" s="91">
        <v>29810</v>
      </c>
      <c r="L12" s="90">
        <v>1981</v>
      </c>
      <c r="M12" s="90">
        <f t="shared" si="0"/>
        <v>38</v>
      </c>
      <c r="N12" s="135" t="s">
        <v>3</v>
      </c>
      <c r="O12" s="135" t="s">
        <v>1004</v>
      </c>
      <c r="P12" s="99" t="s">
        <v>1272</v>
      </c>
      <c r="R12" s="99" t="s">
        <v>1275</v>
      </c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9"/>
    </row>
    <row r="13" spans="1:47" s="135" customFormat="1" ht="25.5">
      <c r="A13" s="88"/>
      <c r="B13" s="203"/>
      <c r="C13" s="203"/>
      <c r="D13" s="135">
        <v>6</v>
      </c>
      <c r="E13" s="99" t="s">
        <v>718</v>
      </c>
      <c r="F13" s="135" t="s">
        <v>712</v>
      </c>
      <c r="G13" s="90" t="s">
        <v>870</v>
      </c>
      <c r="H13" s="135" t="s">
        <v>1</v>
      </c>
      <c r="I13" s="135" t="s">
        <v>9</v>
      </c>
      <c r="J13" s="99" t="s">
        <v>1016</v>
      </c>
      <c r="K13" s="91">
        <v>32508</v>
      </c>
      <c r="L13" s="90">
        <v>1988</v>
      </c>
      <c r="M13" s="90">
        <f t="shared" si="0"/>
        <v>31</v>
      </c>
      <c r="N13" s="135" t="s">
        <v>3</v>
      </c>
      <c r="O13" s="135" t="s">
        <v>1004</v>
      </c>
      <c r="P13" s="99" t="s">
        <v>1272</v>
      </c>
      <c r="R13" s="99" t="s">
        <v>1276</v>
      </c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  <c r="AQ13" s="88"/>
      <c r="AR13" s="88"/>
      <c r="AS13" s="88"/>
      <c r="AT13" s="88"/>
      <c r="AU13" s="89"/>
    </row>
    <row r="14" spans="1:47" s="135" customFormat="1" ht="25.5">
      <c r="A14" s="88"/>
      <c r="B14" s="203"/>
      <c r="C14" s="203"/>
      <c r="D14" s="135">
        <v>7</v>
      </c>
      <c r="E14" s="99" t="s">
        <v>719</v>
      </c>
      <c r="F14" s="135" t="s">
        <v>12</v>
      </c>
      <c r="G14" s="90" t="s">
        <v>871</v>
      </c>
      <c r="H14" s="135" t="s">
        <v>1</v>
      </c>
      <c r="I14" s="135" t="s">
        <v>15</v>
      </c>
      <c r="J14" s="99" t="s">
        <v>1045</v>
      </c>
      <c r="K14" s="91">
        <v>40765</v>
      </c>
      <c r="L14" s="90">
        <v>2011</v>
      </c>
      <c r="M14" s="90">
        <f t="shared" si="0"/>
        <v>8</v>
      </c>
      <c r="N14" s="135" t="s">
        <v>3</v>
      </c>
      <c r="O14" s="135" t="s">
        <v>1004</v>
      </c>
      <c r="P14" s="99" t="s">
        <v>1288</v>
      </c>
      <c r="R14" s="99" t="s">
        <v>1277</v>
      </c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9"/>
    </row>
    <row r="15" spans="1:47" s="135" customFormat="1">
      <c r="A15" s="88"/>
      <c r="B15" s="203">
        <v>3</v>
      </c>
      <c r="C15" s="203" t="s">
        <v>2085</v>
      </c>
      <c r="D15" s="135">
        <v>8</v>
      </c>
      <c r="E15" s="99" t="s">
        <v>2083</v>
      </c>
      <c r="F15" s="135" t="s">
        <v>6</v>
      </c>
      <c r="G15" s="90" t="s">
        <v>2086</v>
      </c>
      <c r="H15" s="135" t="s">
        <v>18</v>
      </c>
      <c r="I15" s="135" t="s">
        <v>9</v>
      </c>
      <c r="J15" s="99" t="s">
        <v>993</v>
      </c>
      <c r="K15" s="91">
        <v>23924</v>
      </c>
      <c r="L15" s="90">
        <v>1965</v>
      </c>
      <c r="M15" s="90">
        <f t="shared" si="0"/>
        <v>54</v>
      </c>
      <c r="N15" s="135" t="s">
        <v>3</v>
      </c>
      <c r="O15" s="135" t="s">
        <v>1004</v>
      </c>
      <c r="P15" s="99" t="s">
        <v>1272</v>
      </c>
      <c r="R15" s="99" t="s">
        <v>1318</v>
      </c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  <c r="AQ15" s="88"/>
      <c r="AR15" s="88"/>
      <c r="AS15" s="88"/>
      <c r="AT15" s="88"/>
      <c r="AU15" s="89"/>
    </row>
    <row r="16" spans="1:47" s="135" customFormat="1">
      <c r="A16" s="88"/>
      <c r="B16" s="203"/>
      <c r="C16" s="203"/>
      <c r="D16" s="135">
        <v>9</v>
      </c>
      <c r="E16" s="99" t="s">
        <v>2084</v>
      </c>
      <c r="F16" s="135" t="s">
        <v>712</v>
      </c>
      <c r="G16" s="90" t="s">
        <v>2087</v>
      </c>
      <c r="H16" s="135" t="s">
        <v>1</v>
      </c>
      <c r="I16" s="135" t="s">
        <v>9</v>
      </c>
      <c r="J16" s="99" t="s">
        <v>993</v>
      </c>
      <c r="K16" s="91">
        <v>22252</v>
      </c>
      <c r="L16" s="90">
        <v>1960</v>
      </c>
      <c r="M16" s="90">
        <f t="shared" si="0"/>
        <v>59</v>
      </c>
      <c r="N16" s="135" t="s">
        <v>3</v>
      </c>
      <c r="O16" s="135" t="s">
        <v>1004</v>
      </c>
      <c r="P16" s="99" t="s">
        <v>1272</v>
      </c>
      <c r="R16" s="99" t="s">
        <v>768</v>
      </c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8"/>
      <c r="AT16" s="88"/>
      <c r="AU16" s="89"/>
    </row>
    <row r="17" spans="1:47" s="135" customFormat="1" ht="25.5">
      <c r="A17" s="88"/>
      <c r="B17" s="203"/>
      <c r="C17" s="203"/>
      <c r="D17" s="135">
        <v>10</v>
      </c>
      <c r="E17" s="99" t="s">
        <v>721</v>
      </c>
      <c r="F17" s="135" t="s">
        <v>12</v>
      </c>
      <c r="G17" s="90" t="s">
        <v>872</v>
      </c>
      <c r="H17" s="135" t="s">
        <v>18</v>
      </c>
      <c r="I17" s="135" t="s">
        <v>15</v>
      </c>
      <c r="J17" s="99" t="s">
        <v>993</v>
      </c>
      <c r="K17" s="91">
        <v>32006</v>
      </c>
      <c r="L17" s="90">
        <v>1987</v>
      </c>
      <c r="M17" s="90">
        <f t="shared" si="0"/>
        <v>32</v>
      </c>
      <c r="N17" s="135" t="s">
        <v>3</v>
      </c>
      <c r="O17" s="135" t="s">
        <v>1004</v>
      </c>
      <c r="P17" s="99" t="s">
        <v>1287</v>
      </c>
      <c r="R17" s="99" t="s">
        <v>1277</v>
      </c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  <c r="AQ17" s="88"/>
      <c r="AR17" s="88"/>
      <c r="AS17" s="88"/>
      <c r="AT17" s="88"/>
      <c r="AU17" s="89"/>
    </row>
    <row r="18" spans="1:47" s="135" customFormat="1" ht="25.5">
      <c r="A18" s="88"/>
      <c r="B18" s="203"/>
      <c r="C18" s="203"/>
      <c r="D18" s="135">
        <v>11</v>
      </c>
      <c r="E18" s="99" t="s">
        <v>722</v>
      </c>
      <c r="F18" s="135" t="s">
        <v>12</v>
      </c>
      <c r="G18" s="90" t="s">
        <v>873</v>
      </c>
      <c r="H18" s="135" t="s">
        <v>18</v>
      </c>
      <c r="I18" s="135" t="s">
        <v>15</v>
      </c>
      <c r="J18" s="99" t="s">
        <v>993</v>
      </c>
      <c r="K18" s="91">
        <v>37743</v>
      </c>
      <c r="L18" s="90">
        <v>2003</v>
      </c>
      <c r="M18" s="90">
        <f t="shared" si="0"/>
        <v>16</v>
      </c>
      <c r="N18" s="135" t="s">
        <v>3</v>
      </c>
      <c r="O18" s="135" t="s">
        <v>1004</v>
      </c>
      <c r="P18" s="99" t="s">
        <v>1273</v>
      </c>
      <c r="R18" s="99" t="s">
        <v>1309</v>
      </c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  <c r="AQ18" s="88"/>
      <c r="AR18" s="88"/>
      <c r="AS18" s="88"/>
      <c r="AT18" s="88"/>
      <c r="AU18" s="89"/>
    </row>
    <row r="19" spans="1:47" s="135" customFormat="1">
      <c r="A19" s="88"/>
      <c r="B19" s="203"/>
      <c r="C19" s="203"/>
      <c r="D19" s="135">
        <v>12</v>
      </c>
      <c r="E19" s="99" t="s">
        <v>723</v>
      </c>
      <c r="F19" s="135" t="s">
        <v>12</v>
      </c>
      <c r="G19" s="90" t="s">
        <v>874</v>
      </c>
      <c r="H19" s="135" t="s">
        <v>18</v>
      </c>
      <c r="I19" s="135" t="s">
        <v>15</v>
      </c>
      <c r="J19" s="99" t="s">
        <v>993</v>
      </c>
      <c r="K19" s="91">
        <v>37743</v>
      </c>
      <c r="L19" s="90">
        <v>2003</v>
      </c>
      <c r="M19" s="90">
        <f t="shared" si="0"/>
        <v>16</v>
      </c>
      <c r="N19" s="135" t="s">
        <v>3</v>
      </c>
      <c r="O19" s="135" t="s">
        <v>1004</v>
      </c>
      <c r="P19" s="99" t="s">
        <v>1273</v>
      </c>
      <c r="R19" s="99" t="s">
        <v>1309</v>
      </c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  <c r="AQ19" s="88"/>
      <c r="AR19" s="88"/>
      <c r="AS19" s="88"/>
      <c r="AT19" s="88"/>
      <c r="AU19" s="89"/>
    </row>
    <row r="20" spans="1:47" s="135" customFormat="1">
      <c r="A20" s="88"/>
      <c r="B20" s="135">
        <v>4</v>
      </c>
      <c r="D20" s="135">
        <v>13</v>
      </c>
      <c r="E20" s="99" t="s">
        <v>725</v>
      </c>
      <c r="F20" s="135" t="s">
        <v>6</v>
      </c>
      <c r="G20" s="90"/>
      <c r="H20" s="135" t="s">
        <v>1</v>
      </c>
      <c r="I20" s="135" t="s">
        <v>2</v>
      </c>
      <c r="J20" s="99"/>
      <c r="K20" s="91">
        <v>13149</v>
      </c>
      <c r="L20" s="90">
        <v>1935</v>
      </c>
      <c r="M20" s="90">
        <f t="shared" si="0"/>
        <v>84</v>
      </c>
      <c r="N20" s="135" t="s">
        <v>3</v>
      </c>
      <c r="O20" s="135" t="s">
        <v>1004</v>
      </c>
      <c r="P20" s="99" t="s">
        <v>11</v>
      </c>
      <c r="R20" s="99" t="s">
        <v>5</v>
      </c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  <c r="AQ20" s="88"/>
      <c r="AR20" s="88"/>
      <c r="AS20" s="88"/>
      <c r="AT20" s="88"/>
      <c r="AU20" s="89"/>
    </row>
    <row r="21" spans="1:47" s="135" customFormat="1">
      <c r="A21" s="88"/>
      <c r="B21" s="203">
        <v>5</v>
      </c>
      <c r="C21" s="203" t="s">
        <v>2177</v>
      </c>
      <c r="D21" s="135">
        <v>14</v>
      </c>
      <c r="E21" s="99" t="s">
        <v>726</v>
      </c>
      <c r="F21" s="135" t="s">
        <v>6</v>
      </c>
      <c r="G21" s="90" t="s">
        <v>876</v>
      </c>
      <c r="H21" s="135" t="s">
        <v>18</v>
      </c>
      <c r="I21" s="135" t="s">
        <v>9</v>
      </c>
      <c r="J21" s="99" t="s">
        <v>993</v>
      </c>
      <c r="K21" s="91">
        <v>34355</v>
      </c>
      <c r="L21" s="90">
        <v>1994</v>
      </c>
      <c r="M21" s="90">
        <f t="shared" si="0"/>
        <v>25</v>
      </c>
      <c r="N21" s="135" t="s">
        <v>3</v>
      </c>
      <c r="O21" s="135" t="s">
        <v>1004</v>
      </c>
      <c r="P21" s="99" t="s">
        <v>1287</v>
      </c>
      <c r="R21" s="99" t="s">
        <v>1162</v>
      </c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  <c r="AQ21" s="88"/>
      <c r="AR21" s="88"/>
      <c r="AS21" s="88"/>
      <c r="AT21" s="88"/>
      <c r="AU21" s="89"/>
    </row>
    <row r="22" spans="1:47" s="135" customFormat="1" ht="25.5">
      <c r="A22" s="88"/>
      <c r="B22" s="203"/>
      <c r="C22" s="203"/>
      <c r="D22" s="135">
        <v>15</v>
      </c>
      <c r="E22" s="99" t="s">
        <v>727</v>
      </c>
      <c r="F22" s="135" t="s">
        <v>712</v>
      </c>
      <c r="G22" s="90" t="s">
        <v>877</v>
      </c>
      <c r="H22" s="135" t="s">
        <v>1</v>
      </c>
      <c r="I22" s="135" t="s">
        <v>9</v>
      </c>
      <c r="J22" s="99" t="s">
        <v>2180</v>
      </c>
      <c r="K22" s="91">
        <v>32873</v>
      </c>
      <c r="L22" s="90">
        <v>1989</v>
      </c>
      <c r="M22" s="90">
        <f t="shared" si="0"/>
        <v>30</v>
      </c>
      <c r="N22" s="135" t="s">
        <v>3</v>
      </c>
      <c r="O22" s="135" t="s">
        <v>1004</v>
      </c>
      <c r="P22" s="99" t="s">
        <v>1273</v>
      </c>
      <c r="R22" s="99" t="s">
        <v>1277</v>
      </c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  <c r="AQ22" s="88"/>
      <c r="AR22" s="88"/>
      <c r="AS22" s="88"/>
      <c r="AT22" s="88"/>
      <c r="AU22" s="89"/>
    </row>
    <row r="23" spans="1:47" s="135" customFormat="1" ht="25.5">
      <c r="A23" s="88"/>
      <c r="B23" s="203"/>
      <c r="C23" s="203"/>
      <c r="D23" s="135">
        <v>16</v>
      </c>
      <c r="E23" s="99" t="s">
        <v>728</v>
      </c>
      <c r="F23" s="135" t="s">
        <v>12</v>
      </c>
      <c r="G23" s="90" t="s">
        <v>878</v>
      </c>
      <c r="H23" s="135" t="s">
        <v>1</v>
      </c>
      <c r="I23" s="135" t="s">
        <v>15</v>
      </c>
      <c r="J23" s="99" t="s">
        <v>993</v>
      </c>
      <c r="K23" s="91">
        <v>42101</v>
      </c>
      <c r="L23" s="90">
        <v>2015</v>
      </c>
      <c r="M23" s="90">
        <f t="shared" si="0"/>
        <v>4</v>
      </c>
      <c r="N23" s="135" t="s">
        <v>3</v>
      </c>
      <c r="O23" s="135" t="s">
        <v>1004</v>
      </c>
      <c r="P23" s="99" t="s">
        <v>1288</v>
      </c>
      <c r="R23" s="99" t="s">
        <v>1277</v>
      </c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  <c r="AQ23" s="88"/>
      <c r="AR23" s="88"/>
      <c r="AS23" s="88"/>
      <c r="AT23" s="88"/>
      <c r="AU23" s="89"/>
    </row>
    <row r="24" spans="1:47" s="135" customFormat="1" ht="25.5">
      <c r="A24" s="88"/>
      <c r="B24" s="203"/>
      <c r="C24" s="203"/>
      <c r="D24" s="135">
        <v>17</v>
      </c>
      <c r="E24" s="99" t="s">
        <v>2178</v>
      </c>
      <c r="F24" s="135" t="s">
        <v>12</v>
      </c>
      <c r="G24" s="90" t="s">
        <v>2179</v>
      </c>
      <c r="H24" s="135" t="s">
        <v>18</v>
      </c>
      <c r="I24" s="135" t="s">
        <v>15</v>
      </c>
      <c r="J24" s="99" t="s">
        <v>993</v>
      </c>
      <c r="K24" s="91">
        <v>43439</v>
      </c>
      <c r="L24" s="90">
        <v>2018</v>
      </c>
      <c r="M24" s="90">
        <f t="shared" si="0"/>
        <v>1</v>
      </c>
      <c r="N24" s="135" t="s">
        <v>3</v>
      </c>
      <c r="O24" s="135" t="s">
        <v>1004</v>
      </c>
      <c r="P24" s="99" t="s">
        <v>1288</v>
      </c>
      <c r="R24" s="99" t="s">
        <v>1277</v>
      </c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  <c r="AQ24" s="88"/>
      <c r="AR24" s="88"/>
      <c r="AS24" s="88"/>
      <c r="AT24" s="88"/>
      <c r="AU24" s="89"/>
    </row>
    <row r="25" spans="1:47" s="135" customFormat="1" ht="25.5">
      <c r="A25" s="88"/>
      <c r="B25" s="203"/>
      <c r="C25" s="203"/>
      <c r="D25" s="135">
        <v>18</v>
      </c>
      <c r="E25" s="99" t="s">
        <v>724</v>
      </c>
      <c r="F25" s="135" t="s">
        <v>1701</v>
      </c>
      <c r="G25" s="90" t="s">
        <v>875</v>
      </c>
      <c r="H25" s="135" t="s">
        <v>1</v>
      </c>
      <c r="I25" s="135" t="s">
        <v>15</v>
      </c>
      <c r="J25" s="99" t="s">
        <v>1016</v>
      </c>
      <c r="K25" s="91">
        <v>23559</v>
      </c>
      <c r="L25" s="90">
        <v>1964</v>
      </c>
      <c r="M25" s="90">
        <f t="shared" si="0"/>
        <v>55</v>
      </c>
      <c r="N25" s="135" t="s">
        <v>3</v>
      </c>
      <c r="O25" s="135" t="s">
        <v>1004</v>
      </c>
      <c r="P25" s="99" t="s">
        <v>1288</v>
      </c>
      <c r="R25" s="99" t="s">
        <v>1275</v>
      </c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  <c r="AQ25" s="88"/>
      <c r="AR25" s="88"/>
      <c r="AS25" s="88"/>
      <c r="AT25" s="88"/>
      <c r="AU25" s="89"/>
    </row>
    <row r="26" spans="1:47" s="135" customFormat="1" ht="25.5">
      <c r="A26" s="88"/>
      <c r="B26" s="135">
        <v>6</v>
      </c>
      <c r="C26" s="135" t="s">
        <v>2132</v>
      </c>
      <c r="D26" s="135">
        <v>19</v>
      </c>
      <c r="E26" s="99" t="s">
        <v>729</v>
      </c>
      <c r="F26" s="135" t="s">
        <v>6</v>
      </c>
      <c r="G26" s="90" t="s">
        <v>2133</v>
      </c>
      <c r="H26" s="135" t="s">
        <v>1</v>
      </c>
      <c r="I26" s="135" t="s">
        <v>1020</v>
      </c>
      <c r="J26" s="99" t="s">
        <v>1016</v>
      </c>
      <c r="K26" s="91">
        <v>20637</v>
      </c>
      <c r="L26" s="90">
        <v>1956</v>
      </c>
      <c r="M26" s="90">
        <f t="shared" si="0"/>
        <v>63</v>
      </c>
      <c r="N26" s="135" t="s">
        <v>3</v>
      </c>
      <c r="O26" s="135" t="s">
        <v>1004</v>
      </c>
      <c r="P26" s="99" t="s">
        <v>1288</v>
      </c>
      <c r="R26" s="99" t="s">
        <v>1032</v>
      </c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  <c r="AQ26" s="88"/>
      <c r="AR26" s="88"/>
      <c r="AS26" s="88"/>
      <c r="AT26" s="88"/>
      <c r="AU26" s="89"/>
    </row>
    <row r="27" spans="1:47" s="135" customFormat="1" ht="25.5">
      <c r="A27" s="88"/>
      <c r="B27" s="203">
        <v>7</v>
      </c>
      <c r="C27" s="203"/>
      <c r="D27" s="135">
        <v>20</v>
      </c>
      <c r="E27" s="99" t="s">
        <v>730</v>
      </c>
      <c r="F27" s="135" t="s">
        <v>6</v>
      </c>
      <c r="G27" s="90" t="s">
        <v>879</v>
      </c>
      <c r="H27" s="135" t="s">
        <v>1</v>
      </c>
      <c r="I27" s="135" t="s">
        <v>2</v>
      </c>
      <c r="J27" s="99" t="s">
        <v>993</v>
      </c>
      <c r="K27" s="91">
        <v>24107</v>
      </c>
      <c r="L27" s="90">
        <v>1965</v>
      </c>
      <c r="M27" s="90">
        <f t="shared" si="0"/>
        <v>54</v>
      </c>
      <c r="N27" s="135" t="s">
        <v>3</v>
      </c>
      <c r="O27" s="135" t="s">
        <v>1004</v>
      </c>
      <c r="P27" s="99" t="s">
        <v>1272</v>
      </c>
      <c r="R27" s="99" t="s">
        <v>1032</v>
      </c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  <c r="AQ27" s="88"/>
      <c r="AR27" s="88"/>
      <c r="AS27" s="88"/>
      <c r="AT27" s="88"/>
      <c r="AU27" s="89"/>
    </row>
    <row r="28" spans="1:47" s="135" customFormat="1" ht="25.5">
      <c r="A28" s="88"/>
      <c r="B28" s="203"/>
      <c r="C28" s="203"/>
      <c r="D28" s="135">
        <v>21</v>
      </c>
      <c r="E28" s="99" t="s">
        <v>731</v>
      </c>
      <c r="F28" s="135" t="s">
        <v>12</v>
      </c>
      <c r="G28" s="90" t="s">
        <v>880</v>
      </c>
      <c r="H28" s="135" t="s">
        <v>18</v>
      </c>
      <c r="I28" s="135" t="s">
        <v>15</v>
      </c>
      <c r="J28" s="99" t="s">
        <v>993</v>
      </c>
      <c r="K28" s="91">
        <v>34699</v>
      </c>
      <c r="L28" s="90">
        <v>1994</v>
      </c>
      <c r="M28" s="90">
        <f t="shared" si="0"/>
        <v>25</v>
      </c>
      <c r="N28" s="135" t="s">
        <v>3</v>
      </c>
      <c r="O28" s="135" t="s">
        <v>1004</v>
      </c>
      <c r="P28" s="99" t="s">
        <v>1272</v>
      </c>
      <c r="R28" s="99" t="s">
        <v>1032</v>
      </c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  <c r="AQ28" s="88"/>
      <c r="AR28" s="88"/>
      <c r="AS28" s="88"/>
      <c r="AT28" s="88"/>
      <c r="AU28" s="89"/>
    </row>
    <row r="29" spans="1:47" s="135" customFormat="1" ht="25.5">
      <c r="A29" s="88"/>
      <c r="B29" s="203"/>
      <c r="C29" s="203"/>
      <c r="D29" s="135">
        <v>22</v>
      </c>
      <c r="E29" s="99" t="s">
        <v>732</v>
      </c>
      <c r="F29" s="135" t="s">
        <v>12</v>
      </c>
      <c r="G29" s="90" t="s">
        <v>881</v>
      </c>
      <c r="H29" s="135" t="s">
        <v>18</v>
      </c>
      <c r="I29" s="135" t="s">
        <v>15</v>
      </c>
      <c r="J29" s="99" t="s">
        <v>993</v>
      </c>
      <c r="K29" s="91">
        <v>35795</v>
      </c>
      <c r="L29" s="90">
        <v>1997</v>
      </c>
      <c r="M29" s="90">
        <f t="shared" si="0"/>
        <v>22</v>
      </c>
      <c r="N29" s="135" t="s">
        <v>3</v>
      </c>
      <c r="O29" s="135" t="s">
        <v>1004</v>
      </c>
      <c r="P29" s="99" t="s">
        <v>1272</v>
      </c>
      <c r="R29" s="99" t="s">
        <v>1032</v>
      </c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  <c r="AQ29" s="88"/>
      <c r="AR29" s="88"/>
      <c r="AS29" s="88"/>
      <c r="AT29" s="88"/>
      <c r="AU29" s="89"/>
    </row>
    <row r="30" spans="1:47" s="135" customFormat="1" ht="25.5">
      <c r="A30" s="88"/>
      <c r="B30" s="203"/>
      <c r="C30" s="203"/>
      <c r="D30" s="135">
        <v>23</v>
      </c>
      <c r="E30" s="99" t="s">
        <v>733</v>
      </c>
      <c r="F30" s="135" t="s">
        <v>12</v>
      </c>
      <c r="G30" s="90" t="s">
        <v>882</v>
      </c>
      <c r="H30" s="135" t="s">
        <v>18</v>
      </c>
      <c r="I30" s="135" t="s">
        <v>15</v>
      </c>
      <c r="J30" s="99" t="s">
        <v>993</v>
      </c>
      <c r="K30" s="91">
        <v>32963</v>
      </c>
      <c r="L30" s="90">
        <v>1990</v>
      </c>
      <c r="M30" s="90">
        <f t="shared" si="0"/>
        <v>29</v>
      </c>
      <c r="N30" s="135" t="s">
        <v>3</v>
      </c>
      <c r="O30" s="135" t="s">
        <v>1004</v>
      </c>
      <c r="P30" s="99" t="s">
        <v>1272</v>
      </c>
      <c r="R30" s="99" t="s">
        <v>1032</v>
      </c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  <c r="AQ30" s="88"/>
      <c r="AR30" s="88"/>
      <c r="AS30" s="88"/>
      <c r="AT30" s="88"/>
      <c r="AU30" s="89"/>
    </row>
    <row r="31" spans="1:47" s="135" customFormat="1" ht="25.5">
      <c r="A31" s="88"/>
      <c r="B31" s="203">
        <v>8</v>
      </c>
      <c r="C31" s="203" t="s">
        <v>2076</v>
      </c>
      <c r="D31" s="135">
        <v>24</v>
      </c>
      <c r="E31" s="99" t="s">
        <v>734</v>
      </c>
      <c r="F31" s="135" t="s">
        <v>6</v>
      </c>
      <c r="G31" s="90" t="s">
        <v>883</v>
      </c>
      <c r="H31" s="135" t="s">
        <v>18</v>
      </c>
      <c r="I31" s="135" t="s">
        <v>9</v>
      </c>
      <c r="J31" s="99" t="s">
        <v>993</v>
      </c>
      <c r="K31" s="91">
        <v>23376</v>
      </c>
      <c r="L31" s="90">
        <v>1963</v>
      </c>
      <c r="M31" s="90">
        <f t="shared" si="0"/>
        <v>56</v>
      </c>
      <c r="N31" s="135" t="s">
        <v>3</v>
      </c>
      <c r="O31" s="135" t="s">
        <v>1004</v>
      </c>
      <c r="P31" s="99" t="s">
        <v>1272</v>
      </c>
      <c r="R31" s="99" t="s">
        <v>1032</v>
      </c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  <c r="AQ31" s="88"/>
      <c r="AR31" s="88"/>
      <c r="AS31" s="88"/>
      <c r="AT31" s="88"/>
      <c r="AU31" s="89"/>
    </row>
    <row r="32" spans="1:47" s="135" customFormat="1" ht="25.5">
      <c r="A32" s="88"/>
      <c r="B32" s="203"/>
      <c r="C32" s="203"/>
      <c r="D32" s="135">
        <v>25</v>
      </c>
      <c r="E32" s="99" t="s">
        <v>735</v>
      </c>
      <c r="F32" s="135" t="s">
        <v>712</v>
      </c>
      <c r="G32" s="90" t="s">
        <v>884</v>
      </c>
      <c r="H32" s="135" t="s">
        <v>1</v>
      </c>
      <c r="I32" s="135" t="s">
        <v>9</v>
      </c>
      <c r="J32" s="99" t="s">
        <v>993</v>
      </c>
      <c r="K32" s="91">
        <v>26298</v>
      </c>
      <c r="L32" s="90">
        <v>1971</v>
      </c>
      <c r="M32" s="90">
        <f t="shared" si="0"/>
        <v>48</v>
      </c>
      <c r="N32" s="135" t="s">
        <v>3</v>
      </c>
      <c r="O32" s="135" t="s">
        <v>1004</v>
      </c>
      <c r="P32" s="99" t="s">
        <v>1272</v>
      </c>
      <c r="R32" s="99" t="s">
        <v>1032</v>
      </c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  <c r="AQ32" s="88"/>
      <c r="AR32" s="88"/>
      <c r="AS32" s="88"/>
      <c r="AT32" s="88"/>
      <c r="AU32" s="89"/>
    </row>
    <row r="33" spans="1:47" s="135" customFormat="1">
      <c r="A33" s="88"/>
      <c r="B33" s="203"/>
      <c r="C33" s="203"/>
      <c r="D33" s="135">
        <v>26</v>
      </c>
      <c r="E33" s="99" t="s">
        <v>736</v>
      </c>
      <c r="F33" s="135" t="s">
        <v>12</v>
      </c>
      <c r="G33" s="90" t="s">
        <v>885</v>
      </c>
      <c r="H33" s="135" t="s">
        <v>18</v>
      </c>
      <c r="I33" s="135" t="s">
        <v>15</v>
      </c>
      <c r="J33" s="99" t="s">
        <v>993</v>
      </c>
      <c r="K33" s="91">
        <v>32155</v>
      </c>
      <c r="L33" s="90">
        <v>1988</v>
      </c>
      <c r="M33" s="90">
        <f t="shared" si="0"/>
        <v>31</v>
      </c>
      <c r="N33" s="135" t="s">
        <v>3</v>
      </c>
      <c r="O33" s="135" t="s">
        <v>1004</v>
      </c>
      <c r="P33" s="99" t="s">
        <v>1273</v>
      </c>
      <c r="R33" s="99" t="s">
        <v>1309</v>
      </c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  <c r="AQ33" s="88"/>
      <c r="AR33" s="88"/>
      <c r="AS33" s="88"/>
      <c r="AT33" s="88"/>
      <c r="AU33" s="89"/>
    </row>
    <row r="34" spans="1:47" s="135" customFormat="1">
      <c r="A34" s="88"/>
      <c r="B34" s="203"/>
      <c r="C34" s="203"/>
      <c r="D34" s="135">
        <v>27</v>
      </c>
      <c r="E34" s="99" t="s">
        <v>737</v>
      </c>
      <c r="F34" s="135" t="s">
        <v>12</v>
      </c>
      <c r="G34" s="90" t="s">
        <v>886</v>
      </c>
      <c r="H34" s="135" t="s">
        <v>18</v>
      </c>
      <c r="I34" s="135" t="s">
        <v>15</v>
      </c>
      <c r="J34" s="99" t="s">
        <v>993</v>
      </c>
      <c r="K34" s="91">
        <v>35556</v>
      </c>
      <c r="L34" s="90">
        <v>1997</v>
      </c>
      <c r="M34" s="90">
        <f t="shared" si="0"/>
        <v>22</v>
      </c>
      <c r="N34" s="135" t="s">
        <v>3</v>
      </c>
      <c r="O34" s="135" t="s">
        <v>1004</v>
      </c>
      <c r="P34" s="99" t="s">
        <v>1272</v>
      </c>
      <c r="R34" s="99" t="s">
        <v>1309</v>
      </c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  <c r="AQ34" s="88"/>
      <c r="AR34" s="88"/>
      <c r="AS34" s="88"/>
      <c r="AT34" s="88"/>
      <c r="AU34" s="89"/>
    </row>
    <row r="35" spans="1:47" s="135" customFormat="1" ht="25.5">
      <c r="A35" s="88"/>
      <c r="B35" s="203"/>
      <c r="C35" s="203"/>
      <c r="D35" s="135">
        <v>28</v>
      </c>
      <c r="E35" s="99" t="s">
        <v>738</v>
      </c>
      <c r="F35" s="135" t="s">
        <v>12</v>
      </c>
      <c r="G35" s="90" t="s">
        <v>887</v>
      </c>
      <c r="H35" s="135" t="s">
        <v>1</v>
      </c>
      <c r="I35" s="135" t="s">
        <v>15</v>
      </c>
      <c r="J35" s="99" t="s">
        <v>993</v>
      </c>
      <c r="K35" s="91">
        <v>37622</v>
      </c>
      <c r="L35" s="90">
        <v>2003</v>
      </c>
      <c r="M35" s="90">
        <f t="shared" si="0"/>
        <v>16</v>
      </c>
      <c r="N35" s="135" t="s">
        <v>3</v>
      </c>
      <c r="O35" s="135" t="s">
        <v>1004</v>
      </c>
      <c r="P35" s="99" t="s">
        <v>1288</v>
      </c>
      <c r="R35" s="99" t="s">
        <v>1277</v>
      </c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  <c r="AQ35" s="88"/>
      <c r="AR35" s="88"/>
      <c r="AS35" s="88"/>
      <c r="AT35" s="88"/>
      <c r="AU35" s="89"/>
    </row>
    <row r="36" spans="1:47" s="135" customFormat="1">
      <c r="A36" s="88"/>
      <c r="B36" s="203">
        <v>9</v>
      </c>
      <c r="C36" s="203"/>
      <c r="D36" s="135">
        <v>29</v>
      </c>
      <c r="E36" s="99" t="s">
        <v>739</v>
      </c>
      <c r="F36" s="135" t="s">
        <v>6</v>
      </c>
      <c r="G36" s="90" t="s">
        <v>888</v>
      </c>
      <c r="H36" s="135" t="s">
        <v>18</v>
      </c>
      <c r="I36" s="135" t="s">
        <v>9</v>
      </c>
      <c r="J36" s="99"/>
      <c r="K36" s="91">
        <v>21550</v>
      </c>
      <c r="L36" s="90">
        <v>1958</v>
      </c>
      <c r="M36" s="90">
        <f t="shared" si="0"/>
        <v>61</v>
      </c>
      <c r="N36" s="135" t="s">
        <v>3</v>
      </c>
      <c r="O36" s="135" t="s">
        <v>1004</v>
      </c>
      <c r="P36" s="99" t="s">
        <v>4</v>
      </c>
      <c r="R36" s="99" t="s">
        <v>740</v>
      </c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  <c r="AQ36" s="88"/>
      <c r="AR36" s="88"/>
      <c r="AS36" s="88"/>
      <c r="AT36" s="88"/>
      <c r="AU36" s="89"/>
    </row>
    <row r="37" spans="1:47" s="135" customFormat="1">
      <c r="A37" s="88"/>
      <c r="B37" s="203"/>
      <c r="C37" s="203"/>
      <c r="D37" s="135">
        <v>30</v>
      </c>
      <c r="E37" s="107" t="s">
        <v>741</v>
      </c>
      <c r="F37" s="136" t="s">
        <v>712</v>
      </c>
      <c r="G37" s="93" t="s">
        <v>889</v>
      </c>
      <c r="H37" s="136" t="s">
        <v>1</v>
      </c>
      <c r="I37" s="136" t="s">
        <v>9</v>
      </c>
      <c r="J37" s="99"/>
      <c r="K37" s="94">
        <v>22646</v>
      </c>
      <c r="L37" s="90">
        <v>1961</v>
      </c>
      <c r="M37" s="90">
        <f t="shared" si="0"/>
        <v>58</v>
      </c>
      <c r="N37" s="136" t="s">
        <v>3</v>
      </c>
      <c r="O37" s="135" t="s">
        <v>1004</v>
      </c>
      <c r="P37" s="107" t="s">
        <v>4</v>
      </c>
      <c r="R37" s="107" t="s">
        <v>5</v>
      </c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  <c r="AQ37" s="88"/>
      <c r="AR37" s="88"/>
      <c r="AS37" s="88"/>
      <c r="AT37" s="88"/>
      <c r="AU37" s="89"/>
    </row>
    <row r="38" spans="1:47" s="135" customFormat="1">
      <c r="A38" s="88"/>
      <c r="B38" s="203"/>
      <c r="C38" s="203"/>
      <c r="D38" s="135">
        <v>31</v>
      </c>
      <c r="E38" s="99" t="s">
        <v>424</v>
      </c>
      <c r="F38" s="135" t="s">
        <v>12</v>
      </c>
      <c r="G38" s="90" t="s">
        <v>890</v>
      </c>
      <c r="H38" s="135" t="s">
        <v>1</v>
      </c>
      <c r="I38" s="135" t="s">
        <v>15</v>
      </c>
      <c r="J38" s="99"/>
      <c r="K38" s="91">
        <v>31575</v>
      </c>
      <c r="L38" s="90">
        <v>1986</v>
      </c>
      <c r="M38" s="90">
        <f t="shared" ref="M38:M65" si="1">2019-L38</f>
        <v>33</v>
      </c>
      <c r="N38" s="135" t="s">
        <v>3</v>
      </c>
      <c r="O38" s="135" t="s">
        <v>1004</v>
      </c>
      <c r="P38" s="99" t="s">
        <v>54</v>
      </c>
      <c r="R38" s="99" t="s">
        <v>39</v>
      </c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9"/>
    </row>
    <row r="39" spans="1:47" s="135" customFormat="1" ht="25.5">
      <c r="A39" s="88"/>
      <c r="B39" s="203"/>
      <c r="C39" s="203"/>
      <c r="D39" s="135">
        <v>32</v>
      </c>
      <c r="E39" s="99" t="s">
        <v>742</v>
      </c>
      <c r="F39" s="135" t="s">
        <v>12</v>
      </c>
      <c r="G39" s="90" t="s">
        <v>891</v>
      </c>
      <c r="H39" s="135" t="s">
        <v>18</v>
      </c>
      <c r="I39" s="135" t="s">
        <v>15</v>
      </c>
      <c r="J39" s="99"/>
      <c r="K39" s="91">
        <v>37922</v>
      </c>
      <c r="L39" s="90">
        <v>2003</v>
      </c>
      <c r="M39" s="90">
        <f t="shared" si="1"/>
        <v>16</v>
      </c>
      <c r="N39" s="135" t="s">
        <v>3</v>
      </c>
      <c r="O39" s="135" t="s">
        <v>1004</v>
      </c>
      <c r="P39" s="99" t="s">
        <v>11</v>
      </c>
      <c r="R39" s="99" t="s">
        <v>11</v>
      </c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8"/>
      <c r="AS39" s="88"/>
      <c r="AT39" s="88"/>
      <c r="AU39" s="89"/>
    </row>
    <row r="40" spans="1:47" s="135" customFormat="1" ht="25.5">
      <c r="A40" s="88"/>
      <c r="B40" s="203">
        <v>10</v>
      </c>
      <c r="C40" s="203" t="s">
        <v>2175</v>
      </c>
      <c r="D40" s="135">
        <v>33</v>
      </c>
      <c r="E40" s="99" t="s">
        <v>743</v>
      </c>
      <c r="F40" s="135" t="s">
        <v>6</v>
      </c>
      <c r="G40" s="90" t="s">
        <v>892</v>
      </c>
      <c r="H40" s="135" t="s">
        <v>18</v>
      </c>
      <c r="I40" s="135" t="s">
        <v>9</v>
      </c>
      <c r="J40" s="99" t="s">
        <v>1016</v>
      </c>
      <c r="K40" s="91">
        <v>28717</v>
      </c>
      <c r="L40" s="90">
        <v>1978</v>
      </c>
      <c r="M40" s="90">
        <f t="shared" si="1"/>
        <v>41</v>
      </c>
      <c r="N40" s="135" t="s">
        <v>3</v>
      </c>
      <c r="O40" s="135" t="s">
        <v>1004</v>
      </c>
      <c r="P40" s="99" t="s">
        <v>1272</v>
      </c>
      <c r="R40" s="99" t="s">
        <v>23</v>
      </c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9"/>
    </row>
    <row r="41" spans="1:47" s="135" customFormat="1" ht="25.5">
      <c r="A41" s="88"/>
      <c r="B41" s="203"/>
      <c r="C41" s="203"/>
      <c r="D41" s="135">
        <v>34</v>
      </c>
      <c r="E41" s="99" t="s">
        <v>744</v>
      </c>
      <c r="F41" s="135" t="s">
        <v>712</v>
      </c>
      <c r="G41" s="90" t="s">
        <v>893</v>
      </c>
      <c r="H41" s="135" t="s">
        <v>1</v>
      </c>
      <c r="I41" s="135" t="s">
        <v>9</v>
      </c>
      <c r="J41" s="99" t="s">
        <v>2176</v>
      </c>
      <c r="K41" s="91">
        <v>30540</v>
      </c>
      <c r="L41" s="90">
        <v>1983</v>
      </c>
      <c r="M41" s="90">
        <f t="shared" si="1"/>
        <v>36</v>
      </c>
      <c r="N41" s="135" t="s">
        <v>3</v>
      </c>
      <c r="O41" s="135" t="s">
        <v>1004</v>
      </c>
      <c r="P41" s="99" t="s">
        <v>1272</v>
      </c>
      <c r="R41" s="99" t="s">
        <v>23</v>
      </c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89"/>
    </row>
    <row r="42" spans="1:47" s="135" customFormat="1" ht="25.5">
      <c r="A42" s="88"/>
      <c r="B42" s="203"/>
      <c r="C42" s="203"/>
      <c r="D42" s="135">
        <v>35</v>
      </c>
      <c r="E42" s="99" t="s">
        <v>745</v>
      </c>
      <c r="F42" s="135" t="s">
        <v>12</v>
      </c>
      <c r="G42" s="90" t="s">
        <v>894</v>
      </c>
      <c r="H42" s="135" t="s">
        <v>1</v>
      </c>
      <c r="I42" s="135" t="s">
        <v>15</v>
      </c>
      <c r="J42" s="99" t="s">
        <v>1016</v>
      </c>
      <c r="K42" s="91">
        <v>37021</v>
      </c>
      <c r="L42" s="90">
        <v>2001</v>
      </c>
      <c r="M42" s="90">
        <f t="shared" si="1"/>
        <v>18</v>
      </c>
      <c r="N42" s="135" t="s">
        <v>3</v>
      </c>
      <c r="O42" s="135" t="s">
        <v>1004</v>
      </c>
      <c r="P42" s="99" t="s">
        <v>1272</v>
      </c>
      <c r="R42" s="99" t="s">
        <v>1309</v>
      </c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  <c r="AQ42" s="88"/>
      <c r="AR42" s="88"/>
      <c r="AS42" s="88"/>
      <c r="AT42" s="88"/>
      <c r="AU42" s="89"/>
    </row>
    <row r="43" spans="1:47" s="135" customFormat="1" ht="25.5">
      <c r="A43" s="88"/>
      <c r="B43" s="203"/>
      <c r="C43" s="203"/>
      <c r="D43" s="135">
        <v>36</v>
      </c>
      <c r="E43" s="99" t="s">
        <v>746</v>
      </c>
      <c r="F43" s="135" t="s">
        <v>12</v>
      </c>
      <c r="G43" s="90" t="s">
        <v>895</v>
      </c>
      <c r="H43" s="135" t="s">
        <v>1</v>
      </c>
      <c r="I43" s="135" t="s">
        <v>15</v>
      </c>
      <c r="J43" s="99" t="s">
        <v>1016</v>
      </c>
      <c r="K43" s="91">
        <v>38698</v>
      </c>
      <c r="L43" s="90">
        <v>2005</v>
      </c>
      <c r="M43" s="90">
        <f t="shared" si="1"/>
        <v>14</v>
      </c>
      <c r="N43" s="135" t="s">
        <v>3</v>
      </c>
      <c r="O43" s="135" t="s">
        <v>1004</v>
      </c>
      <c r="P43" s="99" t="s">
        <v>1274</v>
      </c>
      <c r="R43" s="99" t="s">
        <v>1309</v>
      </c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  <c r="AQ43" s="88"/>
      <c r="AR43" s="88"/>
      <c r="AS43" s="88"/>
      <c r="AT43" s="88"/>
      <c r="AU43" s="89"/>
    </row>
    <row r="44" spans="1:47" s="135" customFormat="1" ht="25.5">
      <c r="A44" s="88"/>
      <c r="B44" s="203">
        <v>11</v>
      </c>
      <c r="C44" s="203" t="s">
        <v>2181</v>
      </c>
      <c r="D44" s="135">
        <v>37</v>
      </c>
      <c r="E44" s="99" t="s">
        <v>747</v>
      </c>
      <c r="F44" s="135" t="s">
        <v>6</v>
      </c>
      <c r="G44" s="90" t="s">
        <v>896</v>
      </c>
      <c r="H44" s="135" t="s">
        <v>18</v>
      </c>
      <c r="I44" s="135" t="s">
        <v>9</v>
      </c>
      <c r="J44" s="99" t="s">
        <v>1016</v>
      </c>
      <c r="K44" s="91">
        <v>17715</v>
      </c>
      <c r="L44" s="90">
        <v>1948</v>
      </c>
      <c r="M44" s="90">
        <f t="shared" si="1"/>
        <v>71</v>
      </c>
      <c r="N44" s="135" t="s">
        <v>3</v>
      </c>
      <c r="O44" s="135" t="s">
        <v>1004</v>
      </c>
      <c r="P44" s="99" t="s">
        <v>1288</v>
      </c>
      <c r="R44" s="99" t="s">
        <v>1275</v>
      </c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9"/>
    </row>
    <row r="45" spans="1:47" s="135" customFormat="1" ht="25.5">
      <c r="A45" s="88"/>
      <c r="B45" s="203"/>
      <c r="C45" s="203"/>
      <c r="D45" s="135">
        <v>38</v>
      </c>
      <c r="E45" s="99" t="s">
        <v>748</v>
      </c>
      <c r="F45" s="135" t="s">
        <v>712</v>
      </c>
      <c r="G45" s="90" t="s">
        <v>897</v>
      </c>
      <c r="H45" s="135" t="s">
        <v>1</v>
      </c>
      <c r="I45" s="135" t="s">
        <v>9</v>
      </c>
      <c r="J45" s="99" t="s">
        <v>1016</v>
      </c>
      <c r="K45" s="91">
        <v>20637</v>
      </c>
      <c r="L45" s="90">
        <v>1956</v>
      </c>
      <c r="M45" s="90">
        <f t="shared" si="1"/>
        <v>63</v>
      </c>
      <c r="N45" s="135" t="s">
        <v>3</v>
      </c>
      <c r="O45" s="135" t="s">
        <v>1004</v>
      </c>
      <c r="P45" s="99" t="s">
        <v>1288</v>
      </c>
      <c r="R45" s="99" t="s">
        <v>1276</v>
      </c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  <c r="AQ45" s="88"/>
      <c r="AR45" s="88"/>
      <c r="AS45" s="88"/>
      <c r="AT45" s="88"/>
      <c r="AU45" s="89"/>
    </row>
    <row r="46" spans="1:47" s="135" customFormat="1" ht="25.5">
      <c r="A46" s="88"/>
      <c r="B46" s="203">
        <v>12</v>
      </c>
      <c r="C46" s="203" t="s">
        <v>2209</v>
      </c>
      <c r="D46" s="135">
        <v>39</v>
      </c>
      <c r="E46" s="99" t="s">
        <v>749</v>
      </c>
      <c r="F46" s="135" t="s">
        <v>6</v>
      </c>
      <c r="G46" s="90" t="s">
        <v>898</v>
      </c>
      <c r="H46" s="135" t="s">
        <v>18</v>
      </c>
      <c r="I46" s="135" t="s">
        <v>1235</v>
      </c>
      <c r="J46" s="99" t="s">
        <v>993</v>
      </c>
      <c r="K46" s="91">
        <v>28438</v>
      </c>
      <c r="L46" s="90">
        <v>1977</v>
      </c>
      <c r="M46" s="90">
        <f t="shared" si="1"/>
        <v>42</v>
      </c>
      <c r="N46" s="135" t="s">
        <v>3</v>
      </c>
      <c r="O46" s="135" t="s">
        <v>1004</v>
      </c>
      <c r="P46" s="99" t="s">
        <v>1272</v>
      </c>
      <c r="R46" s="99" t="s">
        <v>1318</v>
      </c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9"/>
    </row>
    <row r="47" spans="1:47" s="135" customFormat="1">
      <c r="A47" s="88"/>
      <c r="B47" s="203"/>
      <c r="C47" s="203"/>
      <c r="D47" s="135">
        <v>40</v>
      </c>
      <c r="E47" s="99" t="s">
        <v>2210</v>
      </c>
      <c r="F47" s="135" t="s">
        <v>12</v>
      </c>
      <c r="G47" s="90" t="s">
        <v>899</v>
      </c>
      <c r="H47" s="135" t="s">
        <v>18</v>
      </c>
      <c r="I47" s="135" t="s">
        <v>15</v>
      </c>
      <c r="J47" s="99" t="s">
        <v>993</v>
      </c>
      <c r="K47" s="91">
        <v>33458</v>
      </c>
      <c r="L47" s="90">
        <v>1991</v>
      </c>
      <c r="M47" s="90">
        <f t="shared" si="1"/>
        <v>28</v>
      </c>
      <c r="N47" s="135" t="s">
        <v>3</v>
      </c>
      <c r="O47" s="135" t="s">
        <v>1004</v>
      </c>
      <c r="P47" s="99" t="s">
        <v>1287</v>
      </c>
      <c r="R47" s="99" t="s">
        <v>1309</v>
      </c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9"/>
    </row>
    <row r="48" spans="1:47" s="135" customFormat="1">
      <c r="A48" s="88"/>
      <c r="B48" s="203"/>
      <c r="C48" s="203"/>
      <c r="D48" s="135">
        <v>41</v>
      </c>
      <c r="E48" s="99" t="s">
        <v>2211</v>
      </c>
      <c r="F48" s="135" t="s">
        <v>12</v>
      </c>
      <c r="G48" s="90" t="s">
        <v>900</v>
      </c>
      <c r="H48" s="135" t="s">
        <v>18</v>
      </c>
      <c r="I48" s="135" t="s">
        <v>15</v>
      </c>
      <c r="J48" s="99" t="s">
        <v>993</v>
      </c>
      <c r="K48" s="91">
        <v>34028</v>
      </c>
      <c r="L48" s="90">
        <v>1993</v>
      </c>
      <c r="M48" s="90">
        <f t="shared" si="1"/>
        <v>26</v>
      </c>
      <c r="N48" s="135" t="s">
        <v>3</v>
      </c>
      <c r="O48" s="135" t="s">
        <v>1004</v>
      </c>
      <c r="P48" s="99" t="s">
        <v>1273</v>
      </c>
      <c r="R48" s="99" t="s">
        <v>1309</v>
      </c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  <c r="AQ48" s="88"/>
      <c r="AR48" s="88"/>
      <c r="AS48" s="88"/>
      <c r="AT48" s="88"/>
      <c r="AU48" s="89"/>
    </row>
    <row r="49" spans="1:47" s="135" customFormat="1">
      <c r="A49" s="88"/>
      <c r="B49" s="203"/>
      <c r="C49" s="203"/>
      <c r="D49" s="135">
        <v>42</v>
      </c>
      <c r="E49" s="99" t="s">
        <v>750</v>
      </c>
      <c r="F49" s="135" t="s">
        <v>716</v>
      </c>
      <c r="G49" s="90" t="s">
        <v>901</v>
      </c>
      <c r="H49" s="135" t="s">
        <v>1</v>
      </c>
      <c r="I49" s="135" t="s">
        <v>15</v>
      </c>
      <c r="J49" s="99" t="s">
        <v>993</v>
      </c>
      <c r="K49" s="91">
        <v>16071</v>
      </c>
      <c r="L49" s="90">
        <v>1943</v>
      </c>
      <c r="M49" s="90">
        <f t="shared" si="1"/>
        <v>76</v>
      </c>
      <c r="N49" s="135" t="s">
        <v>3</v>
      </c>
      <c r="O49" s="135" t="s">
        <v>1004</v>
      </c>
      <c r="P49" s="99" t="s">
        <v>1272</v>
      </c>
      <c r="R49" s="99" t="s">
        <v>1318</v>
      </c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  <c r="AQ49" s="88"/>
      <c r="AR49" s="88"/>
      <c r="AS49" s="88"/>
      <c r="AT49" s="88"/>
      <c r="AU49" s="89"/>
    </row>
    <row r="50" spans="1:47" s="135" customFormat="1" ht="25.5">
      <c r="A50" s="88"/>
      <c r="B50" s="203">
        <v>13</v>
      </c>
      <c r="C50" s="203" t="s">
        <v>1982</v>
      </c>
      <c r="D50" s="135">
        <v>43</v>
      </c>
      <c r="E50" s="99" t="s">
        <v>1983</v>
      </c>
      <c r="F50" s="135" t="s">
        <v>6</v>
      </c>
      <c r="G50" s="90" t="s">
        <v>1987</v>
      </c>
      <c r="H50" s="135" t="s">
        <v>18</v>
      </c>
      <c r="I50" s="135" t="s">
        <v>9</v>
      </c>
      <c r="J50" s="99" t="s">
        <v>993</v>
      </c>
      <c r="K50" s="91">
        <v>27211</v>
      </c>
      <c r="L50" s="90">
        <v>1974</v>
      </c>
      <c r="M50" s="90">
        <f t="shared" si="1"/>
        <v>45</v>
      </c>
      <c r="N50" s="135" t="s">
        <v>3</v>
      </c>
      <c r="O50" s="135" t="s">
        <v>1004</v>
      </c>
      <c r="P50" s="99" t="s">
        <v>1288</v>
      </c>
      <c r="R50" s="99" t="s">
        <v>1032</v>
      </c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  <c r="AQ50" s="88"/>
      <c r="AR50" s="88"/>
      <c r="AS50" s="88"/>
      <c r="AT50" s="88"/>
      <c r="AU50" s="89"/>
    </row>
    <row r="51" spans="1:47" s="135" customFormat="1" ht="25.5">
      <c r="A51" s="88"/>
      <c r="B51" s="203"/>
      <c r="C51" s="203"/>
      <c r="D51" s="135">
        <v>44</v>
      </c>
      <c r="E51" s="99" t="s">
        <v>751</v>
      </c>
      <c r="F51" s="135" t="s">
        <v>712</v>
      </c>
      <c r="G51" s="90" t="s">
        <v>1988</v>
      </c>
      <c r="H51" s="135" t="s">
        <v>1</v>
      </c>
      <c r="I51" s="135" t="s">
        <v>9</v>
      </c>
      <c r="J51" s="99" t="s">
        <v>1226</v>
      </c>
      <c r="K51" s="91">
        <v>32873</v>
      </c>
      <c r="L51" s="90">
        <v>1989</v>
      </c>
      <c r="M51" s="90">
        <f t="shared" si="1"/>
        <v>30</v>
      </c>
      <c r="N51" s="135" t="s">
        <v>3</v>
      </c>
      <c r="O51" s="135" t="s">
        <v>1004</v>
      </c>
      <c r="P51" s="99" t="s">
        <v>1272</v>
      </c>
      <c r="R51" s="99" t="s">
        <v>1032</v>
      </c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  <c r="AQ51" s="88"/>
      <c r="AR51" s="88"/>
      <c r="AS51" s="88"/>
      <c r="AT51" s="88"/>
      <c r="AU51" s="89"/>
    </row>
    <row r="52" spans="1:47" s="135" customFormat="1" ht="25.5">
      <c r="A52" s="88"/>
      <c r="B52" s="203"/>
      <c r="C52" s="203"/>
      <c r="D52" s="135">
        <v>45</v>
      </c>
      <c r="E52" s="99" t="s">
        <v>1984</v>
      </c>
      <c r="F52" s="135" t="s">
        <v>12</v>
      </c>
      <c r="G52" s="90" t="s">
        <v>1989</v>
      </c>
      <c r="H52" s="135" t="s">
        <v>18</v>
      </c>
      <c r="I52" s="135" t="s">
        <v>15</v>
      </c>
      <c r="J52" s="99" t="s">
        <v>993</v>
      </c>
      <c r="K52" s="91">
        <v>40045</v>
      </c>
      <c r="L52" s="90">
        <v>2009</v>
      </c>
      <c r="M52" s="90">
        <f t="shared" si="1"/>
        <v>10</v>
      </c>
      <c r="N52" s="135" t="s">
        <v>3</v>
      </c>
      <c r="O52" s="135" t="s">
        <v>1004</v>
      </c>
      <c r="P52" s="99" t="s">
        <v>1288</v>
      </c>
      <c r="R52" s="99" t="s">
        <v>1277</v>
      </c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  <c r="AQ52" s="88"/>
      <c r="AR52" s="88"/>
      <c r="AS52" s="88"/>
      <c r="AT52" s="88"/>
      <c r="AU52" s="89"/>
    </row>
    <row r="53" spans="1:47" s="135" customFormat="1" ht="25.5">
      <c r="A53" s="88"/>
      <c r="B53" s="203"/>
      <c r="C53" s="203"/>
      <c r="D53" s="135">
        <v>46</v>
      </c>
      <c r="E53" s="99" t="s">
        <v>1985</v>
      </c>
      <c r="F53" s="135" t="s">
        <v>12</v>
      </c>
      <c r="G53" s="90" t="s">
        <v>1990</v>
      </c>
      <c r="H53" s="135" t="s">
        <v>1</v>
      </c>
      <c r="I53" s="135" t="s">
        <v>15</v>
      </c>
      <c r="J53" s="99" t="s">
        <v>993</v>
      </c>
      <c r="K53" s="91">
        <v>41592</v>
      </c>
      <c r="L53" s="90">
        <v>2013</v>
      </c>
      <c r="M53" s="90">
        <f t="shared" si="1"/>
        <v>6</v>
      </c>
      <c r="N53" s="135" t="s">
        <v>3</v>
      </c>
      <c r="O53" s="135" t="s">
        <v>1004</v>
      </c>
      <c r="P53" s="99" t="s">
        <v>1288</v>
      </c>
      <c r="R53" s="99" t="s">
        <v>1277</v>
      </c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  <c r="AQ53" s="88"/>
      <c r="AR53" s="88"/>
      <c r="AS53" s="88"/>
      <c r="AT53" s="88"/>
      <c r="AU53" s="89"/>
    </row>
    <row r="54" spans="1:47" s="135" customFormat="1" ht="25.5">
      <c r="A54" s="88"/>
      <c r="B54" s="203"/>
      <c r="C54" s="203"/>
      <c r="D54" s="135">
        <v>47</v>
      </c>
      <c r="E54" s="99" t="s">
        <v>1986</v>
      </c>
      <c r="F54" s="135" t="s">
        <v>12</v>
      </c>
      <c r="G54" s="90" t="s">
        <v>1991</v>
      </c>
      <c r="H54" s="135" t="s">
        <v>1</v>
      </c>
      <c r="I54" s="135" t="s">
        <v>15</v>
      </c>
      <c r="J54" s="99" t="s">
        <v>993</v>
      </c>
      <c r="K54" s="91">
        <v>43523</v>
      </c>
      <c r="L54" s="90">
        <v>2019</v>
      </c>
      <c r="M54" s="90">
        <f t="shared" si="1"/>
        <v>0</v>
      </c>
      <c r="N54" s="135" t="s">
        <v>3</v>
      </c>
      <c r="O54" s="135" t="s">
        <v>1004</v>
      </c>
      <c r="P54" s="99" t="s">
        <v>1288</v>
      </c>
      <c r="R54" s="99" t="s">
        <v>1277</v>
      </c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  <c r="AQ54" s="88"/>
      <c r="AR54" s="88"/>
      <c r="AS54" s="88"/>
      <c r="AT54" s="88"/>
      <c r="AU54" s="89"/>
    </row>
    <row r="55" spans="1:47" s="135" customFormat="1">
      <c r="A55" s="88"/>
      <c r="B55" s="203">
        <v>14</v>
      </c>
      <c r="C55" s="203"/>
      <c r="D55" s="135">
        <v>48</v>
      </c>
      <c r="E55" s="99" t="s">
        <v>752</v>
      </c>
      <c r="F55" s="135" t="s">
        <v>6</v>
      </c>
      <c r="G55" s="90" t="s">
        <v>902</v>
      </c>
      <c r="H55" s="135" t="s">
        <v>18</v>
      </c>
      <c r="I55" s="135" t="s">
        <v>9</v>
      </c>
      <c r="J55" s="99"/>
      <c r="K55" s="91">
        <v>33239</v>
      </c>
      <c r="L55" s="90">
        <v>1991</v>
      </c>
      <c r="M55" s="90">
        <f t="shared" si="1"/>
        <v>28</v>
      </c>
      <c r="N55" s="135" t="s">
        <v>3</v>
      </c>
      <c r="O55" s="135" t="s">
        <v>1004</v>
      </c>
      <c r="P55" s="99" t="s">
        <v>54</v>
      </c>
      <c r="R55" s="99" t="s">
        <v>753</v>
      </c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  <c r="AQ55" s="88"/>
      <c r="AR55" s="88"/>
      <c r="AS55" s="88"/>
      <c r="AT55" s="88"/>
      <c r="AU55" s="89"/>
    </row>
    <row r="56" spans="1:47" s="135" customFormat="1">
      <c r="A56" s="88"/>
      <c r="B56" s="203"/>
      <c r="C56" s="203"/>
      <c r="D56" s="135">
        <v>49</v>
      </c>
      <c r="E56" s="99" t="s">
        <v>754</v>
      </c>
      <c r="F56" s="135" t="s">
        <v>712</v>
      </c>
      <c r="G56" s="90" t="s">
        <v>903</v>
      </c>
      <c r="H56" s="135" t="s">
        <v>1</v>
      </c>
      <c r="I56" s="135" t="s">
        <v>9</v>
      </c>
      <c r="J56" s="99"/>
      <c r="K56" s="91">
        <v>36160</v>
      </c>
      <c r="L56" s="90">
        <v>1998</v>
      </c>
      <c r="M56" s="90">
        <f t="shared" si="1"/>
        <v>21</v>
      </c>
      <c r="N56" s="135" t="s">
        <v>3</v>
      </c>
      <c r="O56" s="135" t="s">
        <v>1004</v>
      </c>
      <c r="P56" s="99" t="s">
        <v>57</v>
      </c>
      <c r="R56" s="99" t="s">
        <v>5</v>
      </c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  <c r="AQ56" s="88"/>
      <c r="AR56" s="88"/>
      <c r="AS56" s="88"/>
      <c r="AT56" s="88"/>
      <c r="AU56" s="89"/>
    </row>
    <row r="57" spans="1:47" s="135" customFormat="1" ht="25.5">
      <c r="A57" s="88"/>
      <c r="B57" s="203"/>
      <c r="C57" s="203"/>
      <c r="D57" s="135">
        <v>50</v>
      </c>
      <c r="E57" s="99" t="s">
        <v>755</v>
      </c>
      <c r="F57" s="135" t="s">
        <v>12</v>
      </c>
      <c r="G57" s="90"/>
      <c r="H57" s="135" t="s">
        <v>1</v>
      </c>
      <c r="I57" s="135" t="s">
        <v>15</v>
      </c>
      <c r="J57" s="99"/>
      <c r="K57" s="91">
        <v>41455</v>
      </c>
      <c r="L57" s="90">
        <v>2013</v>
      </c>
      <c r="M57" s="90">
        <f t="shared" si="1"/>
        <v>6</v>
      </c>
      <c r="N57" s="135" t="s">
        <v>3</v>
      </c>
      <c r="O57" s="135" t="s">
        <v>1004</v>
      </c>
      <c r="P57" s="99" t="s">
        <v>11</v>
      </c>
      <c r="R57" s="99" t="s">
        <v>11</v>
      </c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  <c r="AQ57" s="88"/>
      <c r="AR57" s="88"/>
      <c r="AS57" s="88"/>
      <c r="AT57" s="88"/>
      <c r="AU57" s="89"/>
    </row>
    <row r="58" spans="1:47" s="135" customFormat="1" ht="25.5">
      <c r="A58" s="88"/>
      <c r="B58" s="203">
        <v>15</v>
      </c>
      <c r="C58" s="203" t="s">
        <v>2193</v>
      </c>
      <c r="D58" s="135">
        <v>51</v>
      </c>
      <c r="E58" s="99" t="s">
        <v>756</v>
      </c>
      <c r="F58" s="135" t="s">
        <v>6</v>
      </c>
      <c r="G58" s="90" t="s">
        <v>904</v>
      </c>
      <c r="H58" s="135" t="s">
        <v>18</v>
      </c>
      <c r="I58" s="135" t="s">
        <v>9</v>
      </c>
      <c r="J58" s="99" t="s">
        <v>993</v>
      </c>
      <c r="K58" s="91">
        <v>33239</v>
      </c>
      <c r="L58" s="90">
        <v>1991</v>
      </c>
      <c r="M58" s="90">
        <f t="shared" si="1"/>
        <v>28</v>
      </c>
      <c r="N58" s="135" t="s">
        <v>3</v>
      </c>
      <c r="O58" s="135" t="s">
        <v>1004</v>
      </c>
      <c r="P58" s="99" t="s">
        <v>1272</v>
      </c>
      <c r="R58" s="99" t="s">
        <v>23</v>
      </c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  <c r="AQ58" s="88"/>
      <c r="AR58" s="88"/>
      <c r="AS58" s="88"/>
      <c r="AT58" s="88"/>
      <c r="AU58" s="89"/>
    </row>
    <row r="59" spans="1:47" s="135" customFormat="1" ht="25.5">
      <c r="A59" s="88"/>
      <c r="B59" s="203"/>
      <c r="C59" s="203"/>
      <c r="D59" s="135">
        <v>52</v>
      </c>
      <c r="E59" s="99" t="s">
        <v>757</v>
      </c>
      <c r="F59" s="135" t="s">
        <v>712</v>
      </c>
      <c r="G59" s="90" t="s">
        <v>2195</v>
      </c>
      <c r="H59" s="135" t="s">
        <v>1</v>
      </c>
      <c r="I59" s="135" t="s">
        <v>9</v>
      </c>
      <c r="J59" s="99" t="s">
        <v>1132</v>
      </c>
      <c r="K59" s="91">
        <v>34334</v>
      </c>
      <c r="L59" s="90">
        <v>1993</v>
      </c>
      <c r="M59" s="90">
        <f t="shared" si="1"/>
        <v>26</v>
      </c>
      <c r="N59" s="135" t="s">
        <v>3</v>
      </c>
      <c r="O59" s="135" t="s">
        <v>1004</v>
      </c>
      <c r="P59" s="99" t="s">
        <v>1272</v>
      </c>
      <c r="R59" s="99" t="s">
        <v>1276</v>
      </c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  <c r="AQ59" s="88"/>
      <c r="AR59" s="88"/>
      <c r="AS59" s="88"/>
      <c r="AT59" s="88"/>
      <c r="AU59" s="89"/>
    </row>
    <row r="60" spans="1:47" s="135" customFormat="1" ht="25.5">
      <c r="A60" s="88"/>
      <c r="B60" s="203"/>
      <c r="C60" s="203"/>
      <c r="D60" s="135">
        <v>53</v>
      </c>
      <c r="E60" s="99" t="s">
        <v>2194</v>
      </c>
      <c r="F60" s="135" t="s">
        <v>12</v>
      </c>
      <c r="G60" s="90" t="s">
        <v>2196</v>
      </c>
      <c r="H60" s="135" t="s">
        <v>1</v>
      </c>
      <c r="I60" s="135" t="s">
        <v>15</v>
      </c>
      <c r="J60" s="99" t="s">
        <v>993</v>
      </c>
      <c r="K60" s="91">
        <v>41224</v>
      </c>
      <c r="L60" s="90">
        <v>2012</v>
      </c>
      <c r="M60" s="90">
        <f t="shared" si="1"/>
        <v>7</v>
      </c>
      <c r="N60" s="135" t="s">
        <v>3</v>
      </c>
      <c r="O60" s="135" t="s">
        <v>1004</v>
      </c>
      <c r="P60" s="99" t="s">
        <v>1288</v>
      </c>
      <c r="R60" s="99" t="s">
        <v>1277</v>
      </c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  <c r="AQ60" s="88"/>
      <c r="AR60" s="88"/>
      <c r="AS60" s="88"/>
      <c r="AT60" s="88"/>
      <c r="AU60" s="89"/>
    </row>
    <row r="61" spans="1:47" s="135" customFormat="1">
      <c r="A61" s="88"/>
      <c r="B61" s="203">
        <v>16</v>
      </c>
      <c r="C61" s="203" t="s">
        <v>2169</v>
      </c>
      <c r="D61" s="135">
        <v>54</v>
      </c>
      <c r="E61" s="99" t="s">
        <v>759</v>
      </c>
      <c r="F61" s="135" t="s">
        <v>6</v>
      </c>
      <c r="G61" s="90" t="s">
        <v>2171</v>
      </c>
      <c r="H61" s="135" t="s">
        <v>18</v>
      </c>
      <c r="I61" s="135" t="s">
        <v>9</v>
      </c>
      <c r="J61" s="99" t="s">
        <v>993</v>
      </c>
      <c r="K61" s="91">
        <v>26526</v>
      </c>
      <c r="L61" s="90">
        <v>1972</v>
      </c>
      <c r="M61" s="90">
        <f t="shared" si="1"/>
        <v>47</v>
      </c>
      <c r="N61" s="135" t="s">
        <v>3</v>
      </c>
      <c r="O61" s="135" t="s">
        <v>1004</v>
      </c>
      <c r="P61" s="99" t="s">
        <v>1272</v>
      </c>
      <c r="R61" s="99" t="s">
        <v>1318</v>
      </c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  <c r="AQ61" s="88"/>
      <c r="AR61" s="88"/>
      <c r="AS61" s="88"/>
      <c r="AT61" s="88"/>
      <c r="AU61" s="89"/>
    </row>
    <row r="62" spans="1:47" s="135" customFormat="1" ht="25.5">
      <c r="A62" s="88"/>
      <c r="B62" s="203"/>
      <c r="C62" s="203"/>
      <c r="D62" s="135">
        <v>55</v>
      </c>
      <c r="E62" s="99" t="s">
        <v>760</v>
      </c>
      <c r="F62" s="135" t="s">
        <v>712</v>
      </c>
      <c r="G62" s="90" t="s">
        <v>2172</v>
      </c>
      <c r="H62" s="135" t="s">
        <v>1</v>
      </c>
      <c r="I62" s="135" t="s">
        <v>9</v>
      </c>
      <c r="J62" s="99" t="s">
        <v>1017</v>
      </c>
      <c r="K62" s="91">
        <v>27576</v>
      </c>
      <c r="L62" s="90">
        <v>1975</v>
      </c>
      <c r="M62" s="90">
        <f t="shared" si="1"/>
        <v>44</v>
      </c>
      <c r="N62" s="135" t="s">
        <v>3</v>
      </c>
      <c r="O62" s="135" t="s">
        <v>1004</v>
      </c>
      <c r="P62" s="99" t="s">
        <v>1272</v>
      </c>
      <c r="R62" s="99" t="s">
        <v>1276</v>
      </c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  <c r="AQ62" s="88"/>
      <c r="AR62" s="88"/>
      <c r="AS62" s="88"/>
      <c r="AT62" s="88"/>
      <c r="AU62" s="89"/>
    </row>
    <row r="63" spans="1:47" s="135" customFormat="1" ht="25.5">
      <c r="A63" s="88"/>
      <c r="B63" s="203"/>
      <c r="C63" s="203"/>
      <c r="D63" s="135">
        <v>56</v>
      </c>
      <c r="E63" s="99" t="s">
        <v>2170</v>
      </c>
      <c r="F63" s="135" t="s">
        <v>12</v>
      </c>
      <c r="G63" s="90" t="s">
        <v>2173</v>
      </c>
      <c r="H63" s="135" t="s">
        <v>18</v>
      </c>
      <c r="I63" s="135" t="s">
        <v>15</v>
      </c>
      <c r="J63" s="99" t="s">
        <v>993</v>
      </c>
      <c r="K63" s="91">
        <v>35925</v>
      </c>
      <c r="L63" s="90">
        <v>1998</v>
      </c>
      <c r="M63" s="90">
        <f t="shared" si="1"/>
        <v>21</v>
      </c>
      <c r="N63" s="135" t="s">
        <v>3</v>
      </c>
      <c r="O63" s="135" t="s">
        <v>1004</v>
      </c>
      <c r="P63" s="99" t="s">
        <v>1287</v>
      </c>
      <c r="R63" s="99" t="s">
        <v>1309</v>
      </c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  <c r="AQ63" s="88"/>
      <c r="AR63" s="88"/>
      <c r="AS63" s="88"/>
      <c r="AT63" s="88"/>
      <c r="AU63" s="89"/>
    </row>
    <row r="64" spans="1:47" s="135" customFormat="1" ht="25.5">
      <c r="A64" s="88"/>
      <c r="B64" s="203"/>
      <c r="C64" s="203"/>
      <c r="D64" s="135">
        <v>57</v>
      </c>
      <c r="E64" s="99" t="s">
        <v>764</v>
      </c>
      <c r="F64" s="135" t="s">
        <v>12</v>
      </c>
      <c r="G64" s="90" t="s">
        <v>2174</v>
      </c>
      <c r="H64" s="135" t="s">
        <v>1</v>
      </c>
      <c r="I64" s="135" t="s">
        <v>15</v>
      </c>
      <c r="J64" s="99" t="s">
        <v>993</v>
      </c>
      <c r="K64" s="91">
        <v>37694</v>
      </c>
      <c r="L64" s="90">
        <v>2003</v>
      </c>
      <c r="M64" s="90">
        <f t="shared" si="1"/>
        <v>16</v>
      </c>
      <c r="N64" s="135" t="s">
        <v>3</v>
      </c>
      <c r="O64" s="135" t="s">
        <v>1004</v>
      </c>
      <c r="P64" s="99" t="s">
        <v>1274</v>
      </c>
      <c r="R64" s="99" t="s">
        <v>1309</v>
      </c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  <c r="AQ64" s="88"/>
      <c r="AR64" s="88"/>
      <c r="AS64" s="88"/>
      <c r="AT64" s="88"/>
      <c r="AU64" s="89"/>
    </row>
    <row r="65" spans="1:47" s="135" customFormat="1">
      <c r="A65" s="88"/>
      <c r="B65" s="203">
        <v>17</v>
      </c>
      <c r="C65" s="203" t="s">
        <v>2151</v>
      </c>
      <c r="D65" s="135">
        <v>58</v>
      </c>
      <c r="E65" s="99" t="s">
        <v>763</v>
      </c>
      <c r="F65" s="135" t="s">
        <v>6</v>
      </c>
      <c r="G65" s="90" t="s">
        <v>2154</v>
      </c>
      <c r="H65" s="135" t="s">
        <v>18</v>
      </c>
      <c r="I65" s="135" t="s">
        <v>9</v>
      </c>
      <c r="J65" s="99" t="s">
        <v>993</v>
      </c>
      <c r="K65" s="91">
        <v>34459</v>
      </c>
      <c r="L65" s="90">
        <v>1994</v>
      </c>
      <c r="M65" s="90">
        <f t="shared" si="1"/>
        <v>25</v>
      </c>
      <c r="N65" s="135" t="s">
        <v>3</v>
      </c>
      <c r="O65" s="135" t="s">
        <v>1004</v>
      </c>
      <c r="P65" s="99" t="s">
        <v>1287</v>
      </c>
      <c r="R65" s="99" t="s">
        <v>23</v>
      </c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  <c r="AQ65" s="88"/>
      <c r="AR65" s="88"/>
      <c r="AS65" s="88"/>
      <c r="AT65" s="88"/>
      <c r="AU65" s="89"/>
    </row>
    <row r="66" spans="1:47" s="135" customFormat="1" ht="25.5">
      <c r="A66" s="88"/>
      <c r="B66" s="203"/>
      <c r="C66" s="203"/>
      <c r="D66" s="135">
        <v>59</v>
      </c>
      <c r="E66" s="99" t="s">
        <v>2152</v>
      </c>
      <c r="F66" s="135" t="s">
        <v>21</v>
      </c>
      <c r="G66" s="90" t="s">
        <v>2155</v>
      </c>
      <c r="H66" s="135" t="s">
        <v>1</v>
      </c>
      <c r="I66" s="135" t="s">
        <v>9</v>
      </c>
      <c r="J66" s="99" t="s">
        <v>1072</v>
      </c>
      <c r="K66" s="91">
        <v>34023</v>
      </c>
      <c r="L66" s="90">
        <v>1993</v>
      </c>
      <c r="M66" s="90">
        <f>2019-L66</f>
        <v>26</v>
      </c>
      <c r="N66" s="135" t="s">
        <v>3</v>
      </c>
      <c r="O66" s="135" t="s">
        <v>1004</v>
      </c>
      <c r="P66" s="99" t="s">
        <v>1287</v>
      </c>
      <c r="R66" s="99" t="s">
        <v>23</v>
      </c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9"/>
    </row>
    <row r="67" spans="1:47" s="135" customFormat="1" ht="25.5">
      <c r="A67" s="88"/>
      <c r="B67" s="203"/>
      <c r="C67" s="203"/>
      <c r="D67" s="135">
        <v>60</v>
      </c>
      <c r="E67" s="99" t="s">
        <v>2153</v>
      </c>
      <c r="F67" s="135" t="s">
        <v>12</v>
      </c>
      <c r="G67" s="90" t="s">
        <v>2156</v>
      </c>
      <c r="H67" s="135" t="s">
        <v>18</v>
      </c>
      <c r="I67" s="135" t="s">
        <v>15</v>
      </c>
      <c r="J67" s="99" t="s">
        <v>2157</v>
      </c>
      <c r="K67" s="91">
        <v>41205</v>
      </c>
      <c r="L67" s="90">
        <v>2012</v>
      </c>
      <c r="M67" s="90">
        <f>2019-L67</f>
        <v>7</v>
      </c>
      <c r="N67" s="135" t="s">
        <v>3</v>
      </c>
      <c r="O67" s="135" t="s">
        <v>1004</v>
      </c>
      <c r="P67" s="99" t="s">
        <v>1288</v>
      </c>
      <c r="R67" s="99" t="s">
        <v>1277</v>
      </c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  <c r="AQ67" s="88"/>
      <c r="AR67" s="88"/>
      <c r="AS67" s="88"/>
      <c r="AT67" s="88"/>
      <c r="AU67" s="89"/>
    </row>
    <row r="68" spans="1:47" s="135" customFormat="1" ht="25.5">
      <c r="A68" s="88"/>
      <c r="B68" s="203">
        <v>18</v>
      </c>
      <c r="C68" s="203" t="s">
        <v>2231</v>
      </c>
      <c r="D68" s="135">
        <v>61</v>
      </c>
      <c r="E68" s="99" t="s">
        <v>766</v>
      </c>
      <c r="F68" s="135" t="s">
        <v>6</v>
      </c>
      <c r="G68" s="90" t="s">
        <v>905</v>
      </c>
      <c r="H68" s="135" t="s">
        <v>18</v>
      </c>
      <c r="I68" s="135" t="s">
        <v>9</v>
      </c>
      <c r="J68" s="99" t="s">
        <v>1016</v>
      </c>
      <c r="K68" s="91">
        <v>27676</v>
      </c>
      <c r="L68" s="90">
        <v>1975</v>
      </c>
      <c r="M68" s="90">
        <f t="shared" ref="M68:M95" si="2">2019-L68</f>
        <v>44</v>
      </c>
      <c r="N68" s="135" t="s">
        <v>3</v>
      </c>
      <c r="O68" s="135" t="s">
        <v>1004</v>
      </c>
      <c r="P68" s="99" t="s">
        <v>1272</v>
      </c>
      <c r="R68" s="99" t="s">
        <v>753</v>
      </c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  <c r="AQ68" s="88"/>
      <c r="AR68" s="88"/>
      <c r="AS68" s="88"/>
      <c r="AT68" s="88"/>
      <c r="AU68" s="89"/>
    </row>
    <row r="69" spans="1:47" s="135" customFormat="1" ht="25.5">
      <c r="A69" s="88"/>
      <c r="B69" s="203"/>
      <c r="C69" s="203"/>
      <c r="D69" s="135">
        <v>62</v>
      </c>
      <c r="E69" s="99" t="s">
        <v>767</v>
      </c>
      <c r="F69" s="135" t="s">
        <v>712</v>
      </c>
      <c r="G69" s="90" t="s">
        <v>525</v>
      </c>
      <c r="H69" s="135" t="s">
        <v>1</v>
      </c>
      <c r="I69" s="135" t="s">
        <v>9</v>
      </c>
      <c r="J69" s="99" t="s">
        <v>2234</v>
      </c>
      <c r="K69" s="91">
        <v>32690</v>
      </c>
      <c r="L69" s="90">
        <v>1989</v>
      </c>
      <c r="M69" s="90">
        <f t="shared" si="2"/>
        <v>30</v>
      </c>
      <c r="N69" s="135" t="s">
        <v>3</v>
      </c>
      <c r="O69" s="135" t="s">
        <v>1004</v>
      </c>
      <c r="P69" s="99" t="s">
        <v>1272</v>
      </c>
      <c r="R69" s="99" t="s">
        <v>1032</v>
      </c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  <c r="AQ69" s="88"/>
      <c r="AR69" s="88"/>
      <c r="AS69" s="88"/>
      <c r="AT69" s="88"/>
      <c r="AU69" s="89"/>
    </row>
    <row r="70" spans="1:47" s="135" customFormat="1" ht="25.5">
      <c r="A70" s="88"/>
      <c r="B70" s="203"/>
      <c r="C70" s="203"/>
      <c r="D70" s="135">
        <v>63</v>
      </c>
      <c r="E70" s="99" t="s">
        <v>2232</v>
      </c>
      <c r="F70" s="135" t="s">
        <v>12</v>
      </c>
      <c r="G70" s="90" t="s">
        <v>906</v>
      </c>
      <c r="H70" s="135" t="s">
        <v>18</v>
      </c>
      <c r="I70" s="135" t="s">
        <v>15</v>
      </c>
      <c r="J70" s="99" t="s">
        <v>1016</v>
      </c>
      <c r="K70" s="91">
        <v>39436</v>
      </c>
      <c r="L70" s="90">
        <v>2007</v>
      </c>
      <c r="M70" s="90">
        <f t="shared" si="2"/>
        <v>12</v>
      </c>
      <c r="N70" s="135" t="s">
        <v>3</v>
      </c>
      <c r="O70" s="135" t="s">
        <v>1004</v>
      </c>
      <c r="P70" s="99" t="s">
        <v>1274</v>
      </c>
      <c r="R70" s="99" t="s">
        <v>1309</v>
      </c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8"/>
      <c r="AS70" s="88"/>
      <c r="AT70" s="88"/>
      <c r="AU70" s="89"/>
    </row>
    <row r="71" spans="1:47" s="135" customFormat="1" ht="25.5">
      <c r="A71" s="88"/>
      <c r="B71" s="203"/>
      <c r="C71" s="203"/>
      <c r="D71" s="135">
        <v>64</v>
      </c>
      <c r="E71" s="99" t="s">
        <v>2233</v>
      </c>
      <c r="F71" s="135" t="s">
        <v>12</v>
      </c>
      <c r="G71" s="90" t="s">
        <v>907</v>
      </c>
      <c r="H71" s="135" t="s">
        <v>18</v>
      </c>
      <c r="I71" s="135" t="s">
        <v>15</v>
      </c>
      <c r="J71" s="99" t="s">
        <v>1016</v>
      </c>
      <c r="K71" s="91">
        <v>41898</v>
      </c>
      <c r="L71" s="90">
        <v>2014</v>
      </c>
      <c r="M71" s="90">
        <f t="shared" si="2"/>
        <v>5</v>
      </c>
      <c r="N71" s="135" t="s">
        <v>3</v>
      </c>
      <c r="O71" s="135" t="s">
        <v>1004</v>
      </c>
      <c r="P71" s="99" t="s">
        <v>1288</v>
      </c>
      <c r="R71" s="99" t="s">
        <v>1277</v>
      </c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  <c r="AQ71" s="88"/>
      <c r="AR71" s="88"/>
      <c r="AS71" s="88"/>
      <c r="AT71" s="88"/>
      <c r="AU71" s="89"/>
    </row>
    <row r="72" spans="1:47" s="135" customFormat="1" ht="25.5">
      <c r="A72" s="88"/>
      <c r="B72" s="203">
        <v>19</v>
      </c>
      <c r="C72" s="203" t="s">
        <v>2222</v>
      </c>
      <c r="D72" s="135">
        <v>65</v>
      </c>
      <c r="E72" s="99" t="s">
        <v>769</v>
      </c>
      <c r="F72" s="135" t="s">
        <v>6</v>
      </c>
      <c r="G72" s="90" t="s">
        <v>2226</v>
      </c>
      <c r="H72" s="135" t="s">
        <v>18</v>
      </c>
      <c r="I72" s="135" t="s">
        <v>9</v>
      </c>
      <c r="J72" s="99" t="s">
        <v>993</v>
      </c>
      <c r="K72" s="91">
        <v>26115</v>
      </c>
      <c r="L72" s="90">
        <v>1971</v>
      </c>
      <c r="M72" s="90">
        <f t="shared" si="2"/>
        <v>48</v>
      </c>
      <c r="N72" s="135" t="s">
        <v>3</v>
      </c>
      <c r="O72" s="135" t="s">
        <v>1004</v>
      </c>
      <c r="P72" s="99" t="s">
        <v>1288</v>
      </c>
      <c r="R72" s="99" t="s">
        <v>1318</v>
      </c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  <c r="AQ72" s="88"/>
      <c r="AR72" s="88"/>
      <c r="AS72" s="88"/>
      <c r="AT72" s="88"/>
      <c r="AU72" s="89"/>
    </row>
    <row r="73" spans="1:47" s="135" customFormat="1">
      <c r="A73" s="88"/>
      <c r="B73" s="203"/>
      <c r="C73" s="203"/>
      <c r="D73" s="135">
        <v>66</v>
      </c>
      <c r="E73" s="99" t="s">
        <v>590</v>
      </c>
      <c r="F73" s="135" t="s">
        <v>712</v>
      </c>
      <c r="G73" s="90" t="s">
        <v>2227</v>
      </c>
      <c r="H73" s="135" t="s">
        <v>1</v>
      </c>
      <c r="I73" s="135" t="s">
        <v>9</v>
      </c>
      <c r="J73" s="99" t="s">
        <v>1017</v>
      </c>
      <c r="K73" s="91">
        <v>28307</v>
      </c>
      <c r="L73" s="90">
        <v>1977</v>
      </c>
      <c r="M73" s="90">
        <f t="shared" si="2"/>
        <v>42</v>
      </c>
      <c r="N73" s="135" t="s">
        <v>3</v>
      </c>
      <c r="O73" s="135" t="s">
        <v>1004</v>
      </c>
      <c r="P73" s="99" t="s">
        <v>1272</v>
      </c>
      <c r="R73" s="99" t="s">
        <v>1318</v>
      </c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  <c r="AQ73" s="88"/>
      <c r="AR73" s="88"/>
      <c r="AS73" s="88"/>
      <c r="AT73" s="88"/>
      <c r="AU73" s="89"/>
    </row>
    <row r="74" spans="1:47" s="135" customFormat="1" ht="25.5">
      <c r="A74" s="88"/>
      <c r="B74" s="203"/>
      <c r="C74" s="203"/>
      <c r="D74" s="135">
        <v>67</v>
      </c>
      <c r="E74" s="99" t="s">
        <v>2223</v>
      </c>
      <c r="F74" s="135" t="s">
        <v>12</v>
      </c>
      <c r="G74" s="90" t="s">
        <v>2228</v>
      </c>
      <c r="H74" s="135" t="s">
        <v>18</v>
      </c>
      <c r="I74" s="135" t="s">
        <v>15</v>
      </c>
      <c r="J74" s="99" t="s">
        <v>1016</v>
      </c>
      <c r="K74" s="91">
        <v>35087</v>
      </c>
      <c r="L74" s="90">
        <v>1996</v>
      </c>
      <c r="M74" s="90">
        <f t="shared" si="2"/>
        <v>23</v>
      </c>
      <c r="N74" s="135" t="s">
        <v>3</v>
      </c>
      <c r="O74" s="135" t="s">
        <v>1004</v>
      </c>
      <c r="P74" s="99" t="s">
        <v>1272</v>
      </c>
      <c r="R74" s="99" t="s">
        <v>1277</v>
      </c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  <c r="AQ74" s="88"/>
      <c r="AR74" s="88"/>
      <c r="AS74" s="88"/>
      <c r="AT74" s="88"/>
      <c r="AU74" s="89"/>
    </row>
    <row r="75" spans="1:47" s="135" customFormat="1" ht="25.5">
      <c r="A75" s="88"/>
      <c r="B75" s="203"/>
      <c r="C75" s="203"/>
      <c r="D75" s="135">
        <v>68</v>
      </c>
      <c r="E75" s="99" t="s">
        <v>2224</v>
      </c>
      <c r="F75" s="135" t="s">
        <v>12</v>
      </c>
      <c r="G75" s="90" t="s">
        <v>2229</v>
      </c>
      <c r="H75" s="135" t="s">
        <v>18</v>
      </c>
      <c r="I75" s="135" t="s">
        <v>15</v>
      </c>
      <c r="J75" s="99" t="s">
        <v>1670</v>
      </c>
      <c r="K75" s="91">
        <v>36951</v>
      </c>
      <c r="L75" s="90">
        <v>2001</v>
      </c>
      <c r="M75" s="90">
        <f t="shared" si="2"/>
        <v>18</v>
      </c>
      <c r="N75" s="135" t="s">
        <v>3</v>
      </c>
      <c r="O75" s="135" t="s">
        <v>1004</v>
      </c>
      <c r="P75" s="99" t="s">
        <v>1274</v>
      </c>
      <c r="R75" s="99" t="s">
        <v>1309</v>
      </c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  <c r="AQ75" s="88"/>
      <c r="AR75" s="88"/>
      <c r="AS75" s="88"/>
      <c r="AT75" s="88"/>
      <c r="AU75" s="89"/>
    </row>
    <row r="76" spans="1:47" s="135" customFormat="1" ht="25.5">
      <c r="A76" s="88"/>
      <c r="B76" s="203"/>
      <c r="C76" s="203"/>
      <c r="D76" s="135">
        <v>69</v>
      </c>
      <c r="E76" s="99" t="s">
        <v>2225</v>
      </c>
      <c r="F76" s="135" t="s">
        <v>12</v>
      </c>
      <c r="G76" s="90" t="s">
        <v>2230</v>
      </c>
      <c r="H76" s="135" t="s">
        <v>18</v>
      </c>
      <c r="I76" s="135" t="s">
        <v>15</v>
      </c>
      <c r="J76" s="99" t="s">
        <v>993</v>
      </c>
      <c r="K76" s="91">
        <v>42845</v>
      </c>
      <c r="L76" s="90">
        <v>2017</v>
      </c>
      <c r="M76" s="90">
        <f t="shared" si="2"/>
        <v>2</v>
      </c>
      <c r="N76" s="135" t="s">
        <v>3</v>
      </c>
      <c r="O76" s="135" t="s">
        <v>1004</v>
      </c>
      <c r="P76" s="99" t="s">
        <v>1288</v>
      </c>
      <c r="R76" s="99" t="s">
        <v>1277</v>
      </c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  <c r="AQ76" s="88"/>
      <c r="AR76" s="88"/>
      <c r="AS76" s="88"/>
      <c r="AT76" s="88"/>
      <c r="AU76" s="89"/>
    </row>
    <row r="77" spans="1:47" s="135" customFormat="1" ht="25.5">
      <c r="A77" s="88"/>
      <c r="B77" s="203">
        <v>20</v>
      </c>
      <c r="C77" s="203" t="s">
        <v>1994</v>
      </c>
      <c r="D77" s="135">
        <v>70</v>
      </c>
      <c r="E77" s="99" t="s">
        <v>770</v>
      </c>
      <c r="F77" s="135" t="s">
        <v>6</v>
      </c>
      <c r="G77" s="90" t="s">
        <v>1998</v>
      </c>
      <c r="H77" s="135" t="s">
        <v>18</v>
      </c>
      <c r="I77" s="135" t="s">
        <v>1020</v>
      </c>
      <c r="J77" s="99" t="s">
        <v>993</v>
      </c>
      <c r="K77" s="91">
        <v>19359</v>
      </c>
      <c r="L77" s="90">
        <v>1952</v>
      </c>
      <c r="M77" s="90">
        <f t="shared" si="2"/>
        <v>67</v>
      </c>
      <c r="N77" s="135" t="s">
        <v>3</v>
      </c>
      <c r="O77" s="135" t="s">
        <v>1004</v>
      </c>
      <c r="P77" s="99" t="s">
        <v>1288</v>
      </c>
      <c r="R77" s="99" t="s">
        <v>1032</v>
      </c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  <c r="AQ77" s="88"/>
      <c r="AR77" s="88"/>
      <c r="AS77" s="88"/>
      <c r="AT77" s="88"/>
      <c r="AU77" s="89"/>
    </row>
    <row r="78" spans="1:47" s="135" customFormat="1" ht="25.5">
      <c r="A78" s="88"/>
      <c r="B78" s="203"/>
      <c r="C78" s="203"/>
      <c r="D78" s="135">
        <v>71</v>
      </c>
      <c r="E78" s="99" t="s">
        <v>771</v>
      </c>
      <c r="F78" s="135" t="s">
        <v>12</v>
      </c>
      <c r="G78" s="90" t="s">
        <v>1999</v>
      </c>
      <c r="H78" s="135" t="s">
        <v>1</v>
      </c>
      <c r="I78" s="135" t="s">
        <v>1235</v>
      </c>
      <c r="J78" s="99" t="s">
        <v>993</v>
      </c>
      <c r="K78" s="91">
        <v>30673</v>
      </c>
      <c r="L78" s="90">
        <v>1983</v>
      </c>
      <c r="M78" s="90">
        <f t="shared" si="2"/>
        <v>36</v>
      </c>
      <c r="N78" s="135" t="s">
        <v>3</v>
      </c>
      <c r="O78" s="135" t="s">
        <v>1004</v>
      </c>
      <c r="P78" s="99" t="s">
        <v>1287</v>
      </c>
      <c r="R78" s="99" t="s">
        <v>1276</v>
      </c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  <c r="AQ78" s="88"/>
      <c r="AR78" s="88"/>
      <c r="AS78" s="88"/>
      <c r="AT78" s="88"/>
      <c r="AU78" s="89"/>
    </row>
    <row r="79" spans="1:47" s="135" customFormat="1">
      <c r="A79" s="88"/>
      <c r="B79" s="203"/>
      <c r="C79" s="203"/>
      <c r="D79" s="135">
        <v>72</v>
      </c>
      <c r="E79" s="99" t="s">
        <v>1995</v>
      </c>
      <c r="F79" s="135" t="s">
        <v>12</v>
      </c>
      <c r="G79" s="90" t="s">
        <v>2000</v>
      </c>
      <c r="H79" s="135" t="s">
        <v>18</v>
      </c>
      <c r="I79" s="135" t="s">
        <v>15</v>
      </c>
      <c r="J79" s="99" t="s">
        <v>993</v>
      </c>
      <c r="K79" s="91">
        <v>33617</v>
      </c>
      <c r="L79" s="90">
        <v>1992</v>
      </c>
      <c r="M79" s="90">
        <f t="shared" si="2"/>
        <v>27</v>
      </c>
      <c r="N79" s="135" t="s">
        <v>3</v>
      </c>
      <c r="O79" s="135" t="s">
        <v>1004</v>
      </c>
      <c r="P79" s="99" t="s">
        <v>1287</v>
      </c>
      <c r="R79" s="99" t="s">
        <v>1309</v>
      </c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  <c r="AQ79" s="88"/>
      <c r="AR79" s="88"/>
      <c r="AS79" s="88"/>
      <c r="AT79" s="88"/>
      <c r="AU79" s="89"/>
    </row>
    <row r="80" spans="1:47" s="135" customFormat="1" ht="25.5">
      <c r="A80" s="88"/>
      <c r="B80" s="203"/>
      <c r="C80" s="203"/>
      <c r="D80" s="135">
        <v>73</v>
      </c>
      <c r="E80" s="99" t="s">
        <v>772</v>
      </c>
      <c r="F80" s="135" t="s">
        <v>12</v>
      </c>
      <c r="G80" s="90" t="s">
        <v>2001</v>
      </c>
      <c r="H80" s="135" t="s">
        <v>18</v>
      </c>
      <c r="I80" s="135" t="s">
        <v>15</v>
      </c>
      <c r="J80" s="99" t="s">
        <v>1016</v>
      </c>
      <c r="K80" s="91">
        <v>34230</v>
      </c>
      <c r="L80" s="90">
        <v>1993</v>
      </c>
      <c r="M80" s="90">
        <f t="shared" si="2"/>
        <v>26</v>
      </c>
      <c r="N80" s="135" t="s">
        <v>3</v>
      </c>
      <c r="O80" s="135" t="s">
        <v>1004</v>
      </c>
      <c r="P80" s="99" t="s">
        <v>1287</v>
      </c>
      <c r="R80" s="99" t="s">
        <v>1032</v>
      </c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  <c r="AQ80" s="88"/>
      <c r="AR80" s="88"/>
      <c r="AS80" s="88"/>
      <c r="AT80" s="88"/>
      <c r="AU80" s="89"/>
    </row>
    <row r="81" spans="1:47" s="135" customFormat="1" ht="25.5">
      <c r="A81" s="88"/>
      <c r="B81" s="203"/>
      <c r="C81" s="203"/>
      <c r="D81" s="135">
        <v>74</v>
      </c>
      <c r="E81" s="99" t="s">
        <v>1996</v>
      </c>
      <c r="F81" s="135" t="s">
        <v>1997</v>
      </c>
      <c r="G81" s="90" t="s">
        <v>2002</v>
      </c>
      <c r="H81" s="135" t="s">
        <v>1</v>
      </c>
      <c r="I81" s="135" t="s">
        <v>15</v>
      </c>
      <c r="J81" s="99" t="s">
        <v>2003</v>
      </c>
      <c r="K81" s="91">
        <v>41669</v>
      </c>
      <c r="L81" s="90">
        <v>2014</v>
      </c>
      <c r="M81" s="90">
        <f t="shared" si="2"/>
        <v>5</v>
      </c>
      <c r="N81" s="135" t="s">
        <v>3</v>
      </c>
      <c r="O81" s="135" t="s">
        <v>1004</v>
      </c>
      <c r="P81" s="99" t="s">
        <v>1288</v>
      </c>
      <c r="R81" s="99" t="s">
        <v>1277</v>
      </c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  <c r="AQ81" s="88"/>
      <c r="AR81" s="88"/>
      <c r="AS81" s="88"/>
      <c r="AT81" s="88"/>
      <c r="AU81" s="89"/>
    </row>
    <row r="82" spans="1:47" s="135" customFormat="1" ht="25.5">
      <c r="A82" s="88"/>
      <c r="B82" s="203">
        <v>21</v>
      </c>
      <c r="C82" s="203" t="s">
        <v>2093</v>
      </c>
      <c r="D82" s="135">
        <v>75</v>
      </c>
      <c r="E82" s="99" t="s">
        <v>773</v>
      </c>
      <c r="F82" s="135" t="s">
        <v>6</v>
      </c>
      <c r="G82" s="90" t="s">
        <v>908</v>
      </c>
      <c r="H82" s="135" t="s">
        <v>18</v>
      </c>
      <c r="I82" s="135" t="s">
        <v>9</v>
      </c>
      <c r="J82" s="99" t="s">
        <v>1016</v>
      </c>
      <c r="K82" s="91">
        <v>32679</v>
      </c>
      <c r="L82" s="90">
        <v>1989</v>
      </c>
      <c r="M82" s="90">
        <f t="shared" si="2"/>
        <v>30</v>
      </c>
      <c r="N82" s="135" t="s">
        <v>3</v>
      </c>
      <c r="O82" s="135" t="s">
        <v>1004</v>
      </c>
      <c r="P82" s="99" t="s">
        <v>1272</v>
      </c>
      <c r="R82" s="99" t="s">
        <v>23</v>
      </c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  <c r="AQ82" s="88"/>
      <c r="AR82" s="88"/>
      <c r="AS82" s="88"/>
      <c r="AT82" s="88"/>
      <c r="AU82" s="89"/>
    </row>
    <row r="83" spans="1:47" s="135" customFormat="1">
      <c r="A83" s="88"/>
      <c r="B83" s="203"/>
      <c r="C83" s="203"/>
      <c r="D83" s="135">
        <v>76</v>
      </c>
      <c r="E83" s="99" t="s">
        <v>774</v>
      </c>
      <c r="F83" s="135" t="s">
        <v>712</v>
      </c>
      <c r="G83" s="90" t="s">
        <v>909</v>
      </c>
      <c r="H83" s="135" t="s">
        <v>1</v>
      </c>
      <c r="I83" s="135" t="s">
        <v>9</v>
      </c>
      <c r="J83" s="99" t="s">
        <v>1558</v>
      </c>
      <c r="K83" s="91">
        <v>31928</v>
      </c>
      <c r="L83" s="90">
        <v>1987</v>
      </c>
      <c r="M83" s="90">
        <f t="shared" si="2"/>
        <v>32</v>
      </c>
      <c r="N83" s="135" t="s">
        <v>3</v>
      </c>
      <c r="O83" s="135" t="s">
        <v>1004</v>
      </c>
      <c r="P83" s="99" t="s">
        <v>1272</v>
      </c>
      <c r="R83" s="99" t="s">
        <v>23</v>
      </c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  <c r="AQ83" s="88"/>
      <c r="AR83" s="88"/>
      <c r="AS83" s="88"/>
      <c r="AT83" s="88"/>
      <c r="AU83" s="89"/>
    </row>
    <row r="84" spans="1:47" s="135" customFormat="1" ht="25.5">
      <c r="A84" s="88"/>
      <c r="B84" s="203"/>
      <c r="C84" s="203"/>
      <c r="D84" s="135">
        <v>77</v>
      </c>
      <c r="E84" s="99" t="s">
        <v>2094</v>
      </c>
      <c r="F84" s="135" t="s">
        <v>12</v>
      </c>
      <c r="G84" s="90" t="s">
        <v>910</v>
      </c>
      <c r="H84" s="135" t="s">
        <v>18</v>
      </c>
      <c r="I84" s="135" t="s">
        <v>15</v>
      </c>
      <c r="J84" s="99" t="s">
        <v>1016</v>
      </c>
      <c r="K84" s="91">
        <v>40333</v>
      </c>
      <c r="L84" s="90">
        <v>2010</v>
      </c>
      <c r="M84" s="90">
        <f t="shared" si="2"/>
        <v>9</v>
      </c>
      <c r="N84" s="135" t="s">
        <v>3</v>
      </c>
      <c r="O84" s="135" t="s">
        <v>1004</v>
      </c>
      <c r="P84" s="99" t="s">
        <v>1288</v>
      </c>
      <c r="R84" s="99" t="s">
        <v>1277</v>
      </c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  <c r="AQ84" s="88"/>
      <c r="AR84" s="88"/>
      <c r="AS84" s="88"/>
      <c r="AT84" s="88"/>
      <c r="AU84" s="89"/>
    </row>
    <row r="85" spans="1:47" s="135" customFormat="1" ht="25.5">
      <c r="A85" s="88"/>
      <c r="B85" s="203"/>
      <c r="C85" s="203"/>
      <c r="D85" s="135">
        <v>78</v>
      </c>
      <c r="E85" s="99" t="s">
        <v>775</v>
      </c>
      <c r="F85" s="135" t="s">
        <v>12</v>
      </c>
      <c r="G85" s="90" t="s">
        <v>911</v>
      </c>
      <c r="H85" s="135" t="s">
        <v>1</v>
      </c>
      <c r="I85" s="135" t="s">
        <v>15</v>
      </c>
      <c r="J85" s="99" t="s">
        <v>1016</v>
      </c>
      <c r="K85" s="91">
        <v>41733</v>
      </c>
      <c r="L85" s="90">
        <v>2014</v>
      </c>
      <c r="M85" s="90">
        <f t="shared" si="2"/>
        <v>5</v>
      </c>
      <c r="N85" s="135" t="s">
        <v>3</v>
      </c>
      <c r="O85" s="135" t="s">
        <v>1004</v>
      </c>
      <c r="P85" s="99" t="s">
        <v>1288</v>
      </c>
      <c r="R85" s="99" t="s">
        <v>1277</v>
      </c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  <c r="AQ85" s="88"/>
      <c r="AR85" s="88"/>
      <c r="AS85" s="88"/>
      <c r="AT85" s="88"/>
      <c r="AU85" s="89"/>
    </row>
    <row r="86" spans="1:47" s="135" customFormat="1" ht="25.5">
      <c r="A86" s="88"/>
      <c r="B86" s="203">
        <v>22</v>
      </c>
      <c r="C86" s="203"/>
      <c r="D86" s="135">
        <v>79</v>
      </c>
      <c r="E86" s="99" t="s">
        <v>776</v>
      </c>
      <c r="F86" s="135" t="s">
        <v>6</v>
      </c>
      <c r="G86" s="90" t="s">
        <v>912</v>
      </c>
      <c r="H86" s="135" t="s">
        <v>18</v>
      </c>
      <c r="I86" s="135" t="s">
        <v>9</v>
      </c>
      <c r="J86" s="99"/>
      <c r="K86" s="91">
        <v>32142</v>
      </c>
      <c r="L86" s="90">
        <v>1987</v>
      </c>
      <c r="M86" s="90">
        <f t="shared" si="2"/>
        <v>32</v>
      </c>
      <c r="N86" s="135" t="s">
        <v>3</v>
      </c>
      <c r="O86" s="135" t="s">
        <v>1004</v>
      </c>
      <c r="P86" s="99" t="s">
        <v>57</v>
      </c>
      <c r="R86" s="99" t="s">
        <v>714</v>
      </c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  <c r="AQ86" s="88"/>
      <c r="AR86" s="88"/>
      <c r="AS86" s="88"/>
      <c r="AT86" s="88"/>
      <c r="AU86" s="89"/>
    </row>
    <row r="87" spans="1:47" s="135" customFormat="1">
      <c r="A87" s="88"/>
      <c r="B87" s="203"/>
      <c r="C87" s="203"/>
      <c r="D87" s="135">
        <v>80</v>
      </c>
      <c r="E87" s="99" t="s">
        <v>777</v>
      </c>
      <c r="F87" s="135" t="s">
        <v>712</v>
      </c>
      <c r="G87" s="90"/>
      <c r="H87" s="135" t="s">
        <v>1</v>
      </c>
      <c r="I87" s="135" t="s">
        <v>9</v>
      </c>
      <c r="J87" s="99"/>
      <c r="K87" s="91">
        <v>32149</v>
      </c>
      <c r="L87" s="90">
        <v>1988</v>
      </c>
      <c r="M87" s="90">
        <f t="shared" si="2"/>
        <v>31</v>
      </c>
      <c r="N87" s="135" t="s">
        <v>3</v>
      </c>
      <c r="O87" s="135" t="s">
        <v>1004</v>
      </c>
      <c r="P87" s="99" t="s">
        <v>57</v>
      </c>
      <c r="R87" s="99" t="s">
        <v>5</v>
      </c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  <c r="AQ87" s="88"/>
      <c r="AR87" s="88"/>
      <c r="AS87" s="88"/>
      <c r="AT87" s="88"/>
      <c r="AU87" s="89"/>
    </row>
    <row r="88" spans="1:47" s="135" customFormat="1" ht="25.5">
      <c r="A88" s="88"/>
      <c r="B88" s="203"/>
      <c r="C88" s="203"/>
      <c r="D88" s="135">
        <v>81</v>
      </c>
      <c r="E88" s="99" t="s">
        <v>778</v>
      </c>
      <c r="F88" s="135" t="s">
        <v>12</v>
      </c>
      <c r="G88" s="90"/>
      <c r="H88" s="135" t="s">
        <v>18</v>
      </c>
      <c r="I88" s="135" t="s">
        <v>15</v>
      </c>
      <c r="J88" s="99"/>
      <c r="K88" s="91">
        <v>41365</v>
      </c>
      <c r="L88" s="90">
        <v>2013</v>
      </c>
      <c r="M88" s="90">
        <f t="shared" si="2"/>
        <v>6</v>
      </c>
      <c r="N88" s="135" t="s">
        <v>3</v>
      </c>
      <c r="O88" s="135" t="s">
        <v>1004</v>
      </c>
      <c r="P88" s="99" t="s">
        <v>11</v>
      </c>
      <c r="R88" s="99" t="s">
        <v>11</v>
      </c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  <c r="AQ88" s="88"/>
      <c r="AR88" s="88"/>
      <c r="AS88" s="88"/>
      <c r="AT88" s="88"/>
      <c r="AU88" s="89"/>
    </row>
    <row r="89" spans="1:47" s="135" customFormat="1" ht="25.5">
      <c r="A89" s="88"/>
      <c r="B89" s="203"/>
      <c r="C89" s="203"/>
      <c r="D89" s="135">
        <v>82</v>
      </c>
      <c r="E89" s="99" t="s">
        <v>779</v>
      </c>
      <c r="F89" s="135" t="s">
        <v>12</v>
      </c>
      <c r="G89" s="90"/>
      <c r="H89" s="135" t="s">
        <v>18</v>
      </c>
      <c r="I89" s="135" t="s">
        <v>15</v>
      </c>
      <c r="J89" s="99"/>
      <c r="K89" s="91">
        <v>41939</v>
      </c>
      <c r="L89" s="90">
        <v>2014</v>
      </c>
      <c r="M89" s="90">
        <f t="shared" si="2"/>
        <v>5</v>
      </c>
      <c r="N89" s="135" t="s">
        <v>3</v>
      </c>
      <c r="O89" s="135" t="s">
        <v>1004</v>
      </c>
      <c r="P89" s="99" t="s">
        <v>11</v>
      </c>
      <c r="R89" s="99" t="s">
        <v>11</v>
      </c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  <c r="AQ89" s="88"/>
      <c r="AR89" s="88"/>
      <c r="AS89" s="88"/>
      <c r="AT89" s="88"/>
      <c r="AU89" s="89"/>
    </row>
    <row r="90" spans="1:47" s="135" customFormat="1" ht="25.5">
      <c r="A90" s="88"/>
      <c r="B90" s="203">
        <v>23</v>
      </c>
      <c r="C90" s="203" t="s">
        <v>2202</v>
      </c>
      <c r="D90" s="135">
        <v>83</v>
      </c>
      <c r="E90" s="99" t="s">
        <v>780</v>
      </c>
      <c r="F90" s="135" t="s">
        <v>6</v>
      </c>
      <c r="G90" s="90" t="s">
        <v>2205</v>
      </c>
      <c r="H90" s="135" t="s">
        <v>18</v>
      </c>
      <c r="I90" s="135" t="s">
        <v>9</v>
      </c>
      <c r="J90" s="99" t="s">
        <v>1016</v>
      </c>
      <c r="K90" s="91">
        <v>29220</v>
      </c>
      <c r="L90" s="90">
        <v>1979</v>
      </c>
      <c r="M90" s="90">
        <f t="shared" si="2"/>
        <v>40</v>
      </c>
      <c r="N90" s="135" t="s">
        <v>3</v>
      </c>
      <c r="O90" s="135" t="s">
        <v>1004</v>
      </c>
      <c r="P90" s="99" t="s">
        <v>1273</v>
      </c>
      <c r="R90" s="99" t="s">
        <v>2208</v>
      </c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  <c r="AQ90" s="88"/>
      <c r="AR90" s="88"/>
      <c r="AS90" s="88"/>
      <c r="AT90" s="88"/>
      <c r="AU90" s="89"/>
    </row>
    <row r="91" spans="1:47" s="135" customFormat="1" ht="25.5">
      <c r="A91" s="88"/>
      <c r="B91" s="203"/>
      <c r="C91" s="203"/>
      <c r="D91" s="135">
        <v>84</v>
      </c>
      <c r="E91" s="99" t="s">
        <v>2203</v>
      </c>
      <c r="F91" s="135" t="s">
        <v>712</v>
      </c>
      <c r="G91" s="90" t="s">
        <v>913</v>
      </c>
      <c r="H91" s="135" t="s">
        <v>1</v>
      </c>
      <c r="I91" s="135" t="s">
        <v>9</v>
      </c>
      <c r="J91" s="99" t="s">
        <v>2207</v>
      </c>
      <c r="K91" s="91">
        <v>31596</v>
      </c>
      <c r="L91" s="90">
        <v>1986</v>
      </c>
      <c r="M91" s="90">
        <f t="shared" si="2"/>
        <v>33</v>
      </c>
      <c r="N91" s="135" t="s">
        <v>3</v>
      </c>
      <c r="O91" s="135" t="s">
        <v>1004</v>
      </c>
      <c r="P91" s="99" t="s">
        <v>1272</v>
      </c>
      <c r="R91" s="99" t="s">
        <v>1276</v>
      </c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  <c r="AQ91" s="88"/>
      <c r="AR91" s="88"/>
      <c r="AS91" s="88"/>
      <c r="AT91" s="88"/>
      <c r="AU91" s="89"/>
    </row>
    <row r="92" spans="1:47" s="135" customFormat="1" ht="25.5">
      <c r="A92" s="88"/>
      <c r="B92" s="203"/>
      <c r="C92" s="203"/>
      <c r="D92" s="135">
        <v>85</v>
      </c>
      <c r="E92" s="99" t="s">
        <v>2204</v>
      </c>
      <c r="F92" s="135" t="s">
        <v>12</v>
      </c>
      <c r="G92" s="90" t="s">
        <v>2206</v>
      </c>
      <c r="H92" s="135" t="s">
        <v>18</v>
      </c>
      <c r="I92" s="135" t="s">
        <v>15</v>
      </c>
      <c r="J92" s="99" t="s">
        <v>1016</v>
      </c>
      <c r="K92" s="91">
        <v>39206</v>
      </c>
      <c r="L92" s="90">
        <v>2007</v>
      </c>
      <c r="M92" s="90">
        <f t="shared" si="2"/>
        <v>12</v>
      </c>
      <c r="N92" s="135" t="s">
        <v>3</v>
      </c>
      <c r="O92" s="135" t="s">
        <v>1004</v>
      </c>
      <c r="P92" s="99" t="s">
        <v>1274</v>
      </c>
      <c r="R92" s="99" t="s">
        <v>1277</v>
      </c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  <c r="AQ92" s="88"/>
      <c r="AR92" s="88"/>
      <c r="AS92" s="88"/>
      <c r="AT92" s="88"/>
      <c r="AU92" s="89"/>
    </row>
    <row r="93" spans="1:47" s="135" customFormat="1" ht="25.5">
      <c r="A93" s="88"/>
      <c r="B93" s="203"/>
      <c r="C93" s="203"/>
      <c r="D93" s="135">
        <v>86</v>
      </c>
      <c r="E93" s="99" t="s">
        <v>781</v>
      </c>
      <c r="F93" s="135" t="s">
        <v>12</v>
      </c>
      <c r="G93" s="90" t="s">
        <v>914</v>
      </c>
      <c r="H93" s="135" t="s">
        <v>18</v>
      </c>
      <c r="I93" s="135" t="s">
        <v>15</v>
      </c>
      <c r="J93" s="99" t="s">
        <v>1016</v>
      </c>
      <c r="K93" s="91">
        <v>39845</v>
      </c>
      <c r="L93" s="90">
        <v>2009</v>
      </c>
      <c r="M93" s="90">
        <f t="shared" si="2"/>
        <v>10</v>
      </c>
      <c r="N93" s="135" t="s">
        <v>3</v>
      </c>
      <c r="O93" s="135" t="s">
        <v>1004</v>
      </c>
      <c r="P93" s="99" t="s">
        <v>1274</v>
      </c>
      <c r="R93" s="99" t="s">
        <v>1277</v>
      </c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  <c r="AQ93" s="88"/>
      <c r="AR93" s="88"/>
      <c r="AS93" s="88"/>
      <c r="AT93" s="88"/>
      <c r="AU93" s="89"/>
    </row>
    <row r="94" spans="1:47" s="135" customFormat="1" ht="25.5">
      <c r="A94" s="88"/>
      <c r="B94" s="203">
        <v>24</v>
      </c>
      <c r="C94" s="203" t="s">
        <v>2164</v>
      </c>
      <c r="D94" s="135">
        <v>87</v>
      </c>
      <c r="E94" s="99" t="s">
        <v>782</v>
      </c>
      <c r="F94" s="135" t="s">
        <v>6</v>
      </c>
      <c r="G94" s="90" t="s">
        <v>915</v>
      </c>
      <c r="H94" s="135" t="s">
        <v>18</v>
      </c>
      <c r="I94" s="135" t="s">
        <v>9</v>
      </c>
      <c r="J94" s="99" t="s">
        <v>993</v>
      </c>
      <c r="K94" s="91">
        <v>24289</v>
      </c>
      <c r="L94" s="90">
        <v>1966</v>
      </c>
      <c r="M94" s="90">
        <f t="shared" si="2"/>
        <v>53</v>
      </c>
      <c r="N94" s="135" t="s">
        <v>3</v>
      </c>
      <c r="O94" s="135" t="s">
        <v>1004</v>
      </c>
      <c r="P94" s="99" t="s">
        <v>1274</v>
      </c>
      <c r="R94" s="99" t="s">
        <v>753</v>
      </c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  <c r="AQ94" s="88"/>
      <c r="AR94" s="88"/>
      <c r="AS94" s="88"/>
      <c r="AT94" s="88"/>
      <c r="AU94" s="89"/>
    </row>
    <row r="95" spans="1:47" s="135" customFormat="1" ht="25.5">
      <c r="A95" s="88"/>
      <c r="B95" s="203"/>
      <c r="C95" s="203"/>
      <c r="D95" s="135">
        <v>88</v>
      </c>
      <c r="E95" s="99" t="s">
        <v>783</v>
      </c>
      <c r="F95" s="135" t="s">
        <v>712</v>
      </c>
      <c r="G95" s="90" t="s">
        <v>2166</v>
      </c>
      <c r="H95" s="135" t="s">
        <v>1</v>
      </c>
      <c r="I95" s="135" t="s">
        <v>9</v>
      </c>
      <c r="J95" s="99" t="s">
        <v>993</v>
      </c>
      <c r="K95" s="91">
        <v>24472</v>
      </c>
      <c r="L95" s="90">
        <v>1966</v>
      </c>
      <c r="M95" s="90">
        <f t="shared" si="2"/>
        <v>53</v>
      </c>
      <c r="N95" s="135" t="s">
        <v>3</v>
      </c>
      <c r="O95" s="135" t="s">
        <v>1004</v>
      </c>
      <c r="P95" s="99" t="s">
        <v>1272</v>
      </c>
      <c r="R95" s="99" t="s">
        <v>1275</v>
      </c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  <c r="AQ95" s="88"/>
      <c r="AR95" s="88"/>
      <c r="AS95" s="88"/>
      <c r="AT95" s="88"/>
      <c r="AU95" s="89"/>
    </row>
    <row r="96" spans="1:47" s="135" customFormat="1" ht="25.5">
      <c r="A96" s="88"/>
      <c r="B96" s="203"/>
      <c r="C96" s="203"/>
      <c r="D96" s="135">
        <v>89</v>
      </c>
      <c r="E96" s="99" t="s">
        <v>2165</v>
      </c>
      <c r="F96" s="135" t="s">
        <v>12</v>
      </c>
      <c r="G96" s="90" t="s">
        <v>2167</v>
      </c>
      <c r="H96" s="135" t="s">
        <v>18</v>
      </c>
      <c r="I96" s="135" t="s">
        <v>15</v>
      </c>
      <c r="J96" s="99" t="s">
        <v>2168</v>
      </c>
      <c r="K96" s="91">
        <v>40638</v>
      </c>
      <c r="L96" s="90">
        <v>2011</v>
      </c>
      <c r="M96" s="90">
        <f>2019-L96</f>
        <v>8</v>
      </c>
      <c r="N96" s="135" t="s">
        <v>3</v>
      </c>
      <c r="O96" s="135" t="s">
        <v>1004</v>
      </c>
      <c r="P96" s="99" t="s">
        <v>1288</v>
      </c>
      <c r="R96" s="99" t="s">
        <v>1277</v>
      </c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  <c r="AQ96" s="88"/>
      <c r="AR96" s="88"/>
      <c r="AS96" s="88"/>
      <c r="AT96" s="88"/>
      <c r="AU96" s="89"/>
    </row>
    <row r="97" spans="1:47" s="135" customFormat="1" ht="25.5">
      <c r="A97" s="88"/>
      <c r="B97" s="203">
        <v>25</v>
      </c>
      <c r="C97" s="203" t="s">
        <v>2107</v>
      </c>
      <c r="D97" s="135">
        <v>90</v>
      </c>
      <c r="E97" s="99" t="s">
        <v>785</v>
      </c>
      <c r="F97" s="135" t="s">
        <v>6</v>
      </c>
      <c r="G97" s="90" t="s">
        <v>916</v>
      </c>
      <c r="H97" s="135" t="s">
        <v>18</v>
      </c>
      <c r="I97" s="135" t="s">
        <v>9</v>
      </c>
      <c r="J97" s="99" t="s">
        <v>993</v>
      </c>
      <c r="K97" s="91">
        <v>29228</v>
      </c>
      <c r="L97" s="90">
        <v>1980</v>
      </c>
      <c r="M97" s="90">
        <f t="shared" ref="M97:M102" si="3">2019-L97</f>
        <v>39</v>
      </c>
      <c r="N97" s="135" t="s">
        <v>3</v>
      </c>
      <c r="O97" s="135" t="s">
        <v>1004</v>
      </c>
      <c r="P97" s="99" t="s">
        <v>1272</v>
      </c>
      <c r="R97" s="99" t="s">
        <v>1032</v>
      </c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  <c r="AQ97" s="88"/>
      <c r="AR97" s="88"/>
      <c r="AS97" s="88"/>
      <c r="AT97" s="88"/>
      <c r="AU97" s="89"/>
    </row>
    <row r="98" spans="1:47" s="135" customFormat="1" ht="25.5">
      <c r="A98" s="88"/>
      <c r="B98" s="203"/>
      <c r="C98" s="203"/>
      <c r="D98" s="135">
        <v>91</v>
      </c>
      <c r="E98" s="99" t="s">
        <v>786</v>
      </c>
      <c r="F98" s="135" t="s">
        <v>712</v>
      </c>
      <c r="G98" s="90" t="s">
        <v>917</v>
      </c>
      <c r="H98" s="135" t="s">
        <v>1</v>
      </c>
      <c r="I98" s="135" t="s">
        <v>9</v>
      </c>
      <c r="J98" s="99" t="s">
        <v>993</v>
      </c>
      <c r="K98" s="91">
        <v>31412</v>
      </c>
      <c r="L98" s="90">
        <v>1985</v>
      </c>
      <c r="M98" s="90">
        <f t="shared" si="3"/>
        <v>34</v>
      </c>
      <c r="N98" s="135" t="s">
        <v>3</v>
      </c>
      <c r="O98" s="135" t="s">
        <v>1004</v>
      </c>
      <c r="P98" s="99" t="s">
        <v>1272</v>
      </c>
      <c r="R98" s="99" t="s">
        <v>1276</v>
      </c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  <c r="AQ98" s="88"/>
      <c r="AR98" s="88"/>
      <c r="AS98" s="88"/>
      <c r="AT98" s="88"/>
      <c r="AU98" s="89"/>
    </row>
    <row r="99" spans="1:47" s="135" customFormat="1" ht="25.5">
      <c r="A99" s="88"/>
      <c r="B99" s="203"/>
      <c r="C99" s="203"/>
      <c r="D99" s="135">
        <v>92</v>
      </c>
      <c r="E99" s="99" t="s">
        <v>787</v>
      </c>
      <c r="F99" s="135" t="s">
        <v>12</v>
      </c>
      <c r="G99" s="90" t="s">
        <v>918</v>
      </c>
      <c r="H99" s="135" t="s">
        <v>1</v>
      </c>
      <c r="I99" s="135" t="s">
        <v>15</v>
      </c>
      <c r="J99" s="99" t="s">
        <v>993</v>
      </c>
      <c r="K99" s="91">
        <v>35712</v>
      </c>
      <c r="L99" s="90">
        <v>1997</v>
      </c>
      <c r="M99" s="90">
        <f t="shared" si="3"/>
        <v>22</v>
      </c>
      <c r="N99" s="135" t="s">
        <v>3</v>
      </c>
      <c r="O99" s="135" t="s">
        <v>1004</v>
      </c>
      <c r="P99" s="99" t="s">
        <v>1274</v>
      </c>
      <c r="R99" s="99" t="s">
        <v>1309</v>
      </c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  <c r="AQ99" s="88"/>
      <c r="AR99" s="88"/>
      <c r="AS99" s="88"/>
      <c r="AT99" s="88"/>
      <c r="AU99" s="89"/>
    </row>
    <row r="100" spans="1:47" s="135" customFormat="1" ht="25.5">
      <c r="A100" s="88"/>
      <c r="B100" s="203"/>
      <c r="C100" s="203"/>
      <c r="D100" s="135">
        <v>93</v>
      </c>
      <c r="E100" s="99" t="s">
        <v>2108</v>
      </c>
      <c r="F100" s="135" t="s">
        <v>12</v>
      </c>
      <c r="G100" s="90" t="s">
        <v>919</v>
      </c>
      <c r="H100" s="135" t="s">
        <v>18</v>
      </c>
      <c r="I100" s="135" t="s">
        <v>15</v>
      </c>
      <c r="J100" s="99" t="s">
        <v>993</v>
      </c>
      <c r="K100" s="91">
        <v>37909</v>
      </c>
      <c r="L100" s="90">
        <v>2003</v>
      </c>
      <c r="M100" s="90">
        <f t="shared" si="3"/>
        <v>16</v>
      </c>
      <c r="N100" s="135" t="s">
        <v>3</v>
      </c>
      <c r="O100" s="135" t="s">
        <v>1004</v>
      </c>
      <c r="P100" s="99" t="s">
        <v>1274</v>
      </c>
      <c r="R100" s="99" t="s">
        <v>1309</v>
      </c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  <c r="AQ100" s="88"/>
      <c r="AR100" s="88"/>
      <c r="AS100" s="88"/>
      <c r="AT100" s="88"/>
      <c r="AU100" s="89"/>
    </row>
    <row r="101" spans="1:47" s="135" customFormat="1" ht="25.5">
      <c r="A101" s="88"/>
      <c r="B101" s="203"/>
      <c r="C101" s="203"/>
      <c r="D101" s="135">
        <v>94</v>
      </c>
      <c r="E101" s="99" t="s">
        <v>835</v>
      </c>
      <c r="F101" s="135" t="s">
        <v>1701</v>
      </c>
      <c r="G101" s="90" t="s">
        <v>2109</v>
      </c>
      <c r="H101" s="135" t="s">
        <v>1</v>
      </c>
      <c r="I101" s="135" t="s">
        <v>15</v>
      </c>
      <c r="J101" s="99" t="s">
        <v>993</v>
      </c>
      <c r="K101" s="91">
        <v>41159</v>
      </c>
      <c r="L101" s="90">
        <v>2012</v>
      </c>
      <c r="M101" s="90">
        <f t="shared" si="3"/>
        <v>7</v>
      </c>
      <c r="N101" s="135" t="s">
        <v>3</v>
      </c>
      <c r="O101" s="135" t="s">
        <v>1004</v>
      </c>
      <c r="P101" s="99" t="s">
        <v>1288</v>
      </c>
      <c r="R101" s="99" t="s">
        <v>1277</v>
      </c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  <c r="AQ101" s="88"/>
      <c r="AR101" s="88"/>
      <c r="AS101" s="88"/>
      <c r="AT101" s="88"/>
      <c r="AU101" s="89"/>
    </row>
    <row r="102" spans="1:47" s="135" customFormat="1">
      <c r="A102" s="88"/>
      <c r="B102" s="135">
        <v>26</v>
      </c>
      <c r="D102" s="135">
        <v>95</v>
      </c>
      <c r="E102" s="99" t="s">
        <v>788</v>
      </c>
      <c r="F102" s="135" t="s">
        <v>6</v>
      </c>
      <c r="G102" s="90"/>
      <c r="H102" s="135" t="s">
        <v>1</v>
      </c>
      <c r="I102" s="135" t="s">
        <v>2</v>
      </c>
      <c r="J102" s="99"/>
      <c r="K102" s="91">
        <v>18263</v>
      </c>
      <c r="L102" s="90">
        <v>1949</v>
      </c>
      <c r="M102" s="90">
        <f t="shared" si="3"/>
        <v>70</v>
      </c>
      <c r="N102" s="135" t="s">
        <v>3</v>
      </c>
      <c r="O102" s="135" t="s">
        <v>1004</v>
      </c>
      <c r="P102" s="99" t="s">
        <v>11</v>
      </c>
      <c r="R102" s="99" t="s">
        <v>5</v>
      </c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  <c r="AQ102" s="88"/>
      <c r="AR102" s="88"/>
      <c r="AS102" s="88"/>
      <c r="AT102" s="88"/>
      <c r="AU102" s="89"/>
    </row>
    <row r="103" spans="1:47" s="135" customFormat="1">
      <c r="A103" s="88"/>
      <c r="B103" s="203">
        <v>27</v>
      </c>
      <c r="C103" s="203" t="s">
        <v>2182</v>
      </c>
      <c r="D103" s="135">
        <v>96</v>
      </c>
      <c r="E103" s="99" t="s">
        <v>789</v>
      </c>
      <c r="F103" s="135" t="s">
        <v>6</v>
      </c>
      <c r="G103" s="90" t="s">
        <v>920</v>
      </c>
      <c r="H103" s="135" t="s">
        <v>18</v>
      </c>
      <c r="I103" s="135" t="s">
        <v>9</v>
      </c>
      <c r="J103" s="99" t="s">
        <v>1092</v>
      </c>
      <c r="K103" s="91">
        <v>32251</v>
      </c>
      <c r="L103" s="90">
        <v>1988</v>
      </c>
      <c r="M103" s="90">
        <f t="shared" ref="M103:M137" si="4">2019-L103</f>
        <v>31</v>
      </c>
      <c r="N103" s="135" t="s">
        <v>3</v>
      </c>
      <c r="O103" s="135" t="s">
        <v>1004</v>
      </c>
      <c r="P103" s="99" t="s">
        <v>1287</v>
      </c>
      <c r="R103" s="99" t="s">
        <v>23</v>
      </c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  <c r="AQ103" s="88"/>
      <c r="AR103" s="88"/>
      <c r="AS103" s="88"/>
      <c r="AT103" s="88"/>
      <c r="AU103" s="89"/>
    </row>
    <row r="104" spans="1:47" s="135" customFormat="1">
      <c r="A104" s="88"/>
      <c r="B104" s="203"/>
      <c r="C104" s="203"/>
      <c r="D104" s="135">
        <v>97</v>
      </c>
      <c r="E104" s="99" t="s">
        <v>790</v>
      </c>
      <c r="F104" s="135" t="s">
        <v>712</v>
      </c>
      <c r="G104" s="90" t="s">
        <v>921</v>
      </c>
      <c r="H104" s="135" t="s">
        <v>1</v>
      </c>
      <c r="I104" s="135" t="s">
        <v>9</v>
      </c>
      <c r="J104" s="99" t="s">
        <v>2183</v>
      </c>
      <c r="K104" s="91">
        <v>29220</v>
      </c>
      <c r="L104" s="90">
        <v>1979</v>
      </c>
      <c r="M104" s="90">
        <f t="shared" si="4"/>
        <v>40</v>
      </c>
      <c r="N104" s="135" t="s">
        <v>3</v>
      </c>
      <c r="O104" s="135" t="s">
        <v>1004</v>
      </c>
      <c r="P104" s="99" t="s">
        <v>1273</v>
      </c>
      <c r="R104" s="99" t="s">
        <v>23</v>
      </c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  <c r="AQ104" s="88"/>
      <c r="AR104" s="88"/>
      <c r="AS104" s="88"/>
      <c r="AT104" s="88"/>
      <c r="AU104" s="89"/>
    </row>
    <row r="105" spans="1:47" s="135" customFormat="1" ht="25.5">
      <c r="A105" s="88"/>
      <c r="B105" s="203"/>
      <c r="C105" s="203"/>
      <c r="D105" s="135">
        <v>98</v>
      </c>
      <c r="E105" s="99" t="s">
        <v>791</v>
      </c>
      <c r="F105" s="135" t="s">
        <v>12</v>
      </c>
      <c r="G105" s="90" t="s">
        <v>922</v>
      </c>
      <c r="H105" s="135" t="s">
        <v>18</v>
      </c>
      <c r="I105" s="135" t="s">
        <v>15</v>
      </c>
      <c r="J105" s="99" t="s">
        <v>1045</v>
      </c>
      <c r="K105" s="91">
        <v>40752</v>
      </c>
      <c r="L105" s="90">
        <v>2011</v>
      </c>
      <c r="M105" s="90">
        <f t="shared" si="4"/>
        <v>8</v>
      </c>
      <c r="N105" s="135" t="s">
        <v>3</v>
      </c>
      <c r="O105" s="135" t="s">
        <v>1004</v>
      </c>
      <c r="P105" s="99" t="s">
        <v>1288</v>
      </c>
      <c r="R105" s="99" t="s">
        <v>1277</v>
      </c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  <c r="AQ105" s="88"/>
      <c r="AR105" s="88"/>
      <c r="AS105" s="88"/>
      <c r="AT105" s="88"/>
      <c r="AU105" s="89"/>
    </row>
    <row r="106" spans="1:47" s="135" customFormat="1" ht="25.5">
      <c r="A106" s="88"/>
      <c r="B106" s="203">
        <v>28</v>
      </c>
      <c r="C106" s="203" t="s">
        <v>2079</v>
      </c>
      <c r="D106" s="135">
        <v>99</v>
      </c>
      <c r="E106" s="99" t="s">
        <v>2078</v>
      </c>
      <c r="F106" s="135" t="s">
        <v>6</v>
      </c>
      <c r="G106" s="90" t="s">
        <v>2080</v>
      </c>
      <c r="H106" s="135" t="s">
        <v>18</v>
      </c>
      <c r="I106" s="135" t="s">
        <v>1020</v>
      </c>
      <c r="J106" s="99" t="s">
        <v>993</v>
      </c>
      <c r="K106" s="91">
        <v>21002</v>
      </c>
      <c r="L106" s="90">
        <v>1957</v>
      </c>
      <c r="M106" s="90">
        <f t="shared" si="4"/>
        <v>62</v>
      </c>
      <c r="N106" s="135" t="s">
        <v>3</v>
      </c>
      <c r="O106" s="135" t="s">
        <v>1004</v>
      </c>
      <c r="P106" s="99" t="s">
        <v>1288</v>
      </c>
      <c r="R106" s="99" t="s">
        <v>1275</v>
      </c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  <c r="AQ106" s="88"/>
      <c r="AR106" s="88"/>
      <c r="AS106" s="88"/>
      <c r="AT106" s="88"/>
      <c r="AU106" s="89"/>
    </row>
    <row r="107" spans="1:47" s="135" customFormat="1" ht="25.5">
      <c r="A107" s="88"/>
      <c r="B107" s="203"/>
      <c r="C107" s="203"/>
      <c r="D107" s="135">
        <v>100</v>
      </c>
      <c r="E107" s="99" t="s">
        <v>793</v>
      </c>
      <c r="F107" s="135" t="s">
        <v>12</v>
      </c>
      <c r="G107" s="90" t="s">
        <v>2081</v>
      </c>
      <c r="H107" s="135" t="s">
        <v>18</v>
      </c>
      <c r="I107" s="135" t="s">
        <v>15</v>
      </c>
      <c r="J107" s="99" t="s">
        <v>993</v>
      </c>
      <c r="K107" s="91">
        <v>30020</v>
      </c>
      <c r="L107" s="90">
        <v>1982</v>
      </c>
      <c r="M107" s="90">
        <f t="shared" si="4"/>
        <v>37</v>
      </c>
      <c r="N107" s="135" t="s">
        <v>3</v>
      </c>
      <c r="O107" s="135" t="s">
        <v>1004</v>
      </c>
      <c r="P107" s="99" t="s">
        <v>1287</v>
      </c>
      <c r="R107" s="99" t="s">
        <v>1032</v>
      </c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  <c r="AQ107" s="88"/>
      <c r="AR107" s="88"/>
      <c r="AS107" s="88"/>
      <c r="AT107" s="88"/>
      <c r="AU107" s="89"/>
    </row>
    <row r="108" spans="1:47" s="135" customFormat="1" ht="25.5">
      <c r="A108" s="88"/>
      <c r="B108" s="203"/>
      <c r="C108" s="203"/>
      <c r="D108" s="135">
        <v>101</v>
      </c>
      <c r="E108" s="99" t="s">
        <v>794</v>
      </c>
      <c r="F108" s="135" t="s">
        <v>12</v>
      </c>
      <c r="G108" s="90" t="s">
        <v>924</v>
      </c>
      <c r="H108" s="135" t="s">
        <v>18</v>
      </c>
      <c r="I108" s="135" t="s">
        <v>15</v>
      </c>
      <c r="J108" s="99" t="s">
        <v>1016</v>
      </c>
      <c r="K108" s="91">
        <v>35508</v>
      </c>
      <c r="L108" s="90">
        <v>1997</v>
      </c>
      <c r="M108" s="90">
        <f t="shared" si="4"/>
        <v>22</v>
      </c>
      <c r="N108" s="135" t="s">
        <v>3</v>
      </c>
      <c r="O108" s="135" t="s">
        <v>1004</v>
      </c>
      <c r="P108" s="99" t="s">
        <v>1287</v>
      </c>
      <c r="R108" s="99" t="s">
        <v>1309</v>
      </c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  <c r="AQ108" s="88"/>
      <c r="AR108" s="88"/>
      <c r="AS108" s="88"/>
      <c r="AT108" s="88"/>
      <c r="AU108" s="89"/>
    </row>
    <row r="109" spans="1:47" s="135" customFormat="1" ht="25.5">
      <c r="A109" s="88"/>
      <c r="B109" s="203"/>
      <c r="C109" s="203"/>
      <c r="D109" s="135">
        <v>102</v>
      </c>
      <c r="E109" s="99" t="s">
        <v>788</v>
      </c>
      <c r="F109" s="135" t="s">
        <v>1701</v>
      </c>
      <c r="G109" s="90" t="s">
        <v>2082</v>
      </c>
      <c r="H109" s="135" t="s">
        <v>1</v>
      </c>
      <c r="I109" s="135" t="s">
        <v>15</v>
      </c>
      <c r="J109" s="99" t="s">
        <v>1016</v>
      </c>
      <c r="K109" s="91">
        <v>15158</v>
      </c>
      <c r="L109" s="90">
        <v>1941</v>
      </c>
      <c r="M109" s="90">
        <f t="shared" si="4"/>
        <v>78</v>
      </c>
      <c r="N109" s="135" t="s">
        <v>3</v>
      </c>
      <c r="O109" s="135" t="s">
        <v>1004</v>
      </c>
      <c r="P109" s="99" t="s">
        <v>1288</v>
      </c>
      <c r="R109" s="99" t="s">
        <v>1277</v>
      </c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  <c r="AQ109" s="88"/>
      <c r="AR109" s="88"/>
      <c r="AS109" s="88"/>
      <c r="AT109" s="88"/>
      <c r="AU109" s="89"/>
    </row>
    <row r="110" spans="1:47" s="135" customFormat="1" ht="25.5">
      <c r="A110" s="88"/>
      <c r="B110" s="203">
        <v>29</v>
      </c>
      <c r="C110" s="203" t="s">
        <v>2102</v>
      </c>
      <c r="D110" s="135">
        <v>103</v>
      </c>
      <c r="E110" s="99" t="s">
        <v>795</v>
      </c>
      <c r="F110" s="135" t="s">
        <v>6</v>
      </c>
      <c r="G110" s="90" t="s">
        <v>925</v>
      </c>
      <c r="H110" s="135" t="s">
        <v>18</v>
      </c>
      <c r="I110" s="135" t="s">
        <v>9</v>
      </c>
      <c r="J110" s="99" t="s">
        <v>993</v>
      </c>
      <c r="K110" s="91">
        <v>31341</v>
      </c>
      <c r="L110" s="90">
        <v>1985</v>
      </c>
      <c r="M110" s="90">
        <f t="shared" si="4"/>
        <v>34</v>
      </c>
      <c r="N110" s="135" t="s">
        <v>3</v>
      </c>
      <c r="O110" s="135" t="s">
        <v>1004</v>
      </c>
      <c r="P110" s="99" t="s">
        <v>1287</v>
      </c>
      <c r="R110" s="99" t="s">
        <v>1032</v>
      </c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  <c r="AQ110" s="88"/>
      <c r="AR110" s="88"/>
      <c r="AS110" s="88"/>
      <c r="AT110" s="88"/>
      <c r="AU110" s="89"/>
    </row>
    <row r="111" spans="1:47" s="135" customFormat="1" ht="25.5">
      <c r="A111" s="88"/>
      <c r="B111" s="203"/>
      <c r="C111" s="203"/>
      <c r="D111" s="135">
        <v>104</v>
      </c>
      <c r="E111" s="99" t="s">
        <v>2103</v>
      </c>
      <c r="F111" s="135" t="s">
        <v>712</v>
      </c>
      <c r="G111" s="90" t="s">
        <v>2105</v>
      </c>
      <c r="H111" s="135" t="s">
        <v>1</v>
      </c>
      <c r="I111" s="135" t="s">
        <v>9</v>
      </c>
      <c r="J111" s="99" t="s">
        <v>993</v>
      </c>
      <c r="K111" s="91">
        <v>32489</v>
      </c>
      <c r="L111" s="90">
        <v>1988</v>
      </c>
      <c r="M111" s="90">
        <f t="shared" si="4"/>
        <v>31</v>
      </c>
      <c r="N111" s="135" t="s">
        <v>3</v>
      </c>
      <c r="O111" s="135" t="s">
        <v>1004</v>
      </c>
      <c r="P111" s="99" t="s">
        <v>1287</v>
      </c>
      <c r="R111" s="99" t="s">
        <v>1277</v>
      </c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  <c r="AQ111" s="88"/>
      <c r="AR111" s="88"/>
      <c r="AS111" s="88"/>
      <c r="AT111" s="88"/>
      <c r="AU111" s="89"/>
    </row>
    <row r="112" spans="1:47" s="135" customFormat="1" ht="25.5">
      <c r="A112" s="88"/>
      <c r="B112" s="203"/>
      <c r="C112" s="203"/>
      <c r="D112" s="135">
        <v>105</v>
      </c>
      <c r="E112" s="99" t="s">
        <v>796</v>
      </c>
      <c r="F112" s="135" t="s">
        <v>12</v>
      </c>
      <c r="G112" s="90" t="s">
        <v>926</v>
      </c>
      <c r="H112" s="135" t="s">
        <v>1</v>
      </c>
      <c r="I112" s="135" t="s">
        <v>15</v>
      </c>
      <c r="J112" s="99" t="s">
        <v>993</v>
      </c>
      <c r="K112" s="91">
        <v>41703</v>
      </c>
      <c r="L112" s="90">
        <v>2014</v>
      </c>
      <c r="M112" s="90">
        <f t="shared" si="4"/>
        <v>5</v>
      </c>
      <c r="N112" s="135" t="s">
        <v>3</v>
      </c>
      <c r="O112" s="135" t="s">
        <v>1004</v>
      </c>
      <c r="P112" s="99" t="s">
        <v>1288</v>
      </c>
      <c r="R112" s="99" t="s">
        <v>1277</v>
      </c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  <c r="AQ112" s="88"/>
      <c r="AR112" s="88"/>
      <c r="AS112" s="88"/>
      <c r="AT112" s="88"/>
      <c r="AU112" s="89"/>
    </row>
    <row r="113" spans="1:47" s="135" customFormat="1" ht="25.5">
      <c r="A113" s="88"/>
      <c r="B113" s="203"/>
      <c r="C113" s="203"/>
      <c r="D113" s="135">
        <v>106</v>
      </c>
      <c r="E113" s="99" t="s">
        <v>2104</v>
      </c>
      <c r="F113" s="135" t="s">
        <v>12</v>
      </c>
      <c r="G113" s="90" t="s">
        <v>2106</v>
      </c>
      <c r="H113" s="135" t="s">
        <v>18</v>
      </c>
      <c r="I113" s="135" t="s">
        <v>15</v>
      </c>
      <c r="J113" s="99" t="s">
        <v>993</v>
      </c>
      <c r="K113" s="91">
        <v>43101</v>
      </c>
      <c r="L113" s="90">
        <v>2018</v>
      </c>
      <c r="M113" s="90">
        <f t="shared" si="4"/>
        <v>1</v>
      </c>
      <c r="N113" s="135" t="s">
        <v>3</v>
      </c>
      <c r="O113" s="135" t="s">
        <v>1004</v>
      </c>
      <c r="P113" s="99" t="s">
        <v>1288</v>
      </c>
      <c r="R113" s="99" t="s">
        <v>1277</v>
      </c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  <c r="AQ113" s="88"/>
      <c r="AR113" s="88"/>
      <c r="AS113" s="88"/>
      <c r="AT113" s="88"/>
      <c r="AU113" s="89"/>
    </row>
    <row r="114" spans="1:47" s="135" customFormat="1" ht="25.5">
      <c r="A114" s="88"/>
      <c r="B114" s="203">
        <v>30</v>
      </c>
      <c r="C114" s="203" t="s">
        <v>2052</v>
      </c>
      <c r="D114" s="135">
        <v>107</v>
      </c>
      <c r="E114" s="99" t="s">
        <v>797</v>
      </c>
      <c r="F114" s="135" t="s">
        <v>6</v>
      </c>
      <c r="G114" s="90" t="s">
        <v>927</v>
      </c>
      <c r="H114" s="135" t="s">
        <v>18</v>
      </c>
      <c r="I114" s="135" t="s">
        <v>9</v>
      </c>
      <c r="J114" s="99" t="s">
        <v>1016</v>
      </c>
      <c r="K114" s="91">
        <v>26626</v>
      </c>
      <c r="L114" s="90">
        <v>1972</v>
      </c>
      <c r="M114" s="90">
        <f t="shared" si="4"/>
        <v>47</v>
      </c>
      <c r="N114" s="135" t="s">
        <v>3</v>
      </c>
      <c r="O114" s="135" t="s">
        <v>1004</v>
      </c>
      <c r="P114" s="99" t="s">
        <v>1272</v>
      </c>
      <c r="R114" s="99" t="s">
        <v>23</v>
      </c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  <c r="AQ114" s="88"/>
      <c r="AR114" s="88"/>
      <c r="AS114" s="88"/>
      <c r="AT114" s="88"/>
      <c r="AU114" s="89"/>
    </row>
    <row r="115" spans="1:47" s="135" customFormat="1" ht="25.5">
      <c r="A115" s="88"/>
      <c r="B115" s="203"/>
      <c r="C115" s="203"/>
      <c r="D115" s="135">
        <v>108</v>
      </c>
      <c r="E115" s="99" t="s">
        <v>798</v>
      </c>
      <c r="F115" s="135" t="s">
        <v>712</v>
      </c>
      <c r="G115" s="90" t="s">
        <v>928</v>
      </c>
      <c r="H115" s="135" t="s">
        <v>1</v>
      </c>
      <c r="I115" s="135" t="s">
        <v>9</v>
      </c>
      <c r="J115" s="99" t="s">
        <v>1016</v>
      </c>
      <c r="K115" s="91">
        <v>28558</v>
      </c>
      <c r="L115" s="90">
        <v>1978</v>
      </c>
      <c r="M115" s="90">
        <f t="shared" si="4"/>
        <v>41</v>
      </c>
      <c r="N115" s="135" t="s">
        <v>3</v>
      </c>
      <c r="O115" s="135" t="s">
        <v>1004</v>
      </c>
      <c r="P115" s="99" t="s">
        <v>1272</v>
      </c>
      <c r="R115" s="99" t="s">
        <v>1276</v>
      </c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  <c r="AQ115" s="88"/>
      <c r="AR115" s="88"/>
      <c r="AS115" s="88"/>
      <c r="AT115" s="88"/>
      <c r="AU115" s="89"/>
    </row>
    <row r="116" spans="1:47" s="135" customFormat="1">
      <c r="A116" s="88"/>
      <c r="B116" s="203"/>
      <c r="C116" s="203"/>
      <c r="D116" s="135">
        <v>109</v>
      </c>
      <c r="E116" s="99" t="s">
        <v>799</v>
      </c>
      <c r="F116" s="135" t="s">
        <v>12</v>
      </c>
      <c r="G116" s="90" t="s">
        <v>929</v>
      </c>
      <c r="H116" s="135" t="s">
        <v>18</v>
      </c>
      <c r="I116" s="135" t="s">
        <v>15</v>
      </c>
      <c r="J116" s="99" t="s">
        <v>993</v>
      </c>
      <c r="K116" s="91">
        <v>34405</v>
      </c>
      <c r="L116" s="90">
        <v>1994</v>
      </c>
      <c r="M116" s="90">
        <f t="shared" si="4"/>
        <v>25</v>
      </c>
      <c r="N116" s="135" t="s">
        <v>3</v>
      </c>
      <c r="O116" s="135" t="s">
        <v>1004</v>
      </c>
      <c r="P116" s="99" t="s">
        <v>1287</v>
      </c>
      <c r="R116" s="99" t="s">
        <v>1309</v>
      </c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  <c r="AQ116" s="88"/>
      <c r="AR116" s="88"/>
      <c r="AS116" s="88"/>
      <c r="AT116" s="88"/>
      <c r="AU116" s="89"/>
    </row>
    <row r="117" spans="1:47" s="135" customFormat="1" ht="25.5">
      <c r="A117" s="88"/>
      <c r="B117" s="203"/>
      <c r="C117" s="203"/>
      <c r="D117" s="135">
        <v>110</v>
      </c>
      <c r="E117" s="99" t="s">
        <v>800</v>
      </c>
      <c r="F117" s="135" t="s">
        <v>12</v>
      </c>
      <c r="G117" s="90" t="s">
        <v>930</v>
      </c>
      <c r="H117" s="135" t="s">
        <v>1</v>
      </c>
      <c r="I117" s="135" t="s">
        <v>15</v>
      </c>
      <c r="J117" s="99" t="s">
        <v>1016</v>
      </c>
      <c r="K117" s="91">
        <v>35876</v>
      </c>
      <c r="L117" s="90">
        <v>1998</v>
      </c>
      <c r="M117" s="90">
        <f t="shared" si="4"/>
        <v>21</v>
      </c>
      <c r="N117" s="135" t="s">
        <v>3</v>
      </c>
      <c r="O117" s="135" t="s">
        <v>1004</v>
      </c>
      <c r="P117" s="99" t="s">
        <v>1273</v>
      </c>
      <c r="R117" s="99" t="s">
        <v>1309</v>
      </c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  <c r="AQ117" s="88"/>
      <c r="AR117" s="88"/>
      <c r="AS117" s="88"/>
      <c r="AT117" s="88"/>
      <c r="AU117" s="89"/>
    </row>
    <row r="118" spans="1:47" s="135" customFormat="1" ht="25.5">
      <c r="A118" s="88"/>
      <c r="B118" s="203"/>
      <c r="C118" s="203"/>
      <c r="D118" s="135">
        <v>111</v>
      </c>
      <c r="E118" s="99" t="s">
        <v>801</v>
      </c>
      <c r="F118" s="135" t="s">
        <v>12</v>
      </c>
      <c r="G118" s="90" t="s">
        <v>931</v>
      </c>
      <c r="H118" s="135" t="s">
        <v>18</v>
      </c>
      <c r="I118" s="135" t="s">
        <v>15</v>
      </c>
      <c r="J118" s="99" t="s">
        <v>1016</v>
      </c>
      <c r="K118" s="91">
        <v>38081</v>
      </c>
      <c r="L118" s="90">
        <v>2004</v>
      </c>
      <c r="M118" s="90">
        <f t="shared" si="4"/>
        <v>15</v>
      </c>
      <c r="N118" s="135" t="s">
        <v>3</v>
      </c>
      <c r="O118" s="135" t="s">
        <v>1004</v>
      </c>
      <c r="P118" s="99" t="s">
        <v>1274</v>
      </c>
      <c r="R118" s="99" t="s">
        <v>1309</v>
      </c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  <c r="AQ118" s="88"/>
      <c r="AR118" s="88"/>
      <c r="AS118" s="88"/>
      <c r="AT118" s="88"/>
      <c r="AU118" s="89"/>
    </row>
    <row r="119" spans="1:47" s="135" customFormat="1" ht="25.5">
      <c r="A119" s="88"/>
      <c r="B119" s="203"/>
      <c r="C119" s="203"/>
      <c r="D119" s="135">
        <v>112</v>
      </c>
      <c r="E119" s="99" t="s">
        <v>802</v>
      </c>
      <c r="F119" s="135" t="s">
        <v>12</v>
      </c>
      <c r="G119" s="90" t="s">
        <v>932</v>
      </c>
      <c r="H119" s="135" t="s">
        <v>1</v>
      </c>
      <c r="I119" s="135" t="s">
        <v>15</v>
      </c>
      <c r="J119" s="99" t="s">
        <v>1016</v>
      </c>
      <c r="K119" s="91">
        <v>40801</v>
      </c>
      <c r="L119" s="90">
        <v>2011</v>
      </c>
      <c r="M119" s="90">
        <f t="shared" si="4"/>
        <v>8</v>
      </c>
      <c r="N119" s="135" t="s">
        <v>3</v>
      </c>
      <c r="O119" s="135" t="s">
        <v>1004</v>
      </c>
      <c r="P119" s="99" t="s">
        <v>1288</v>
      </c>
      <c r="R119" s="99" t="s">
        <v>1277</v>
      </c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  <c r="AQ119" s="88"/>
      <c r="AR119" s="88"/>
      <c r="AS119" s="88"/>
      <c r="AT119" s="88"/>
      <c r="AU119" s="89"/>
    </row>
    <row r="120" spans="1:47" s="135" customFormat="1" ht="25.5">
      <c r="A120" s="88"/>
      <c r="B120" s="203">
        <v>31</v>
      </c>
      <c r="C120" s="203" t="s">
        <v>2110</v>
      </c>
      <c r="D120" s="135">
        <v>113</v>
      </c>
      <c r="E120" s="99" t="s">
        <v>2111</v>
      </c>
      <c r="F120" s="135" t="s">
        <v>803</v>
      </c>
      <c r="G120" s="90" t="s">
        <v>933</v>
      </c>
      <c r="H120" s="135" t="s">
        <v>18</v>
      </c>
      <c r="I120" s="135" t="s">
        <v>9</v>
      </c>
      <c r="J120" s="99" t="s">
        <v>993</v>
      </c>
      <c r="K120" s="91">
        <v>29380</v>
      </c>
      <c r="L120" s="90">
        <v>1980</v>
      </c>
      <c r="M120" s="90">
        <f t="shared" si="4"/>
        <v>39</v>
      </c>
      <c r="N120" s="135" t="s">
        <v>3</v>
      </c>
      <c r="O120" s="135" t="s">
        <v>1004</v>
      </c>
      <c r="P120" s="99" t="s">
        <v>1288</v>
      </c>
      <c r="R120" s="99" t="s">
        <v>1318</v>
      </c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  <c r="AQ120" s="88"/>
      <c r="AR120" s="88"/>
      <c r="AS120" s="88"/>
      <c r="AT120" s="88"/>
      <c r="AU120" s="89"/>
    </row>
    <row r="121" spans="1:47" s="135" customFormat="1" ht="25.5">
      <c r="A121" s="88"/>
      <c r="B121" s="203"/>
      <c r="C121" s="203"/>
      <c r="D121" s="135">
        <v>114</v>
      </c>
      <c r="E121" s="99" t="s">
        <v>2112</v>
      </c>
      <c r="F121" s="135" t="s">
        <v>712</v>
      </c>
      <c r="G121" s="90" t="s">
        <v>934</v>
      </c>
      <c r="H121" s="135" t="s">
        <v>1</v>
      </c>
      <c r="I121" s="135" t="s">
        <v>9</v>
      </c>
      <c r="J121" s="99" t="s">
        <v>993</v>
      </c>
      <c r="K121" s="91">
        <v>23991</v>
      </c>
      <c r="L121" s="90">
        <v>1965</v>
      </c>
      <c r="M121" s="90">
        <f t="shared" si="4"/>
        <v>54</v>
      </c>
      <c r="N121" s="135" t="s">
        <v>3</v>
      </c>
      <c r="O121" s="135" t="s">
        <v>1004</v>
      </c>
      <c r="P121" s="99" t="s">
        <v>1288</v>
      </c>
      <c r="R121" s="99" t="s">
        <v>1318</v>
      </c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  <c r="AQ121" s="88"/>
      <c r="AR121" s="88"/>
      <c r="AS121" s="88"/>
      <c r="AT121" s="88"/>
      <c r="AU121" s="89"/>
    </row>
    <row r="122" spans="1:47" s="135" customFormat="1" ht="25.5">
      <c r="A122" s="88"/>
      <c r="B122" s="203"/>
      <c r="C122" s="203"/>
      <c r="D122" s="135">
        <v>115</v>
      </c>
      <c r="E122" s="99" t="s">
        <v>2113</v>
      </c>
      <c r="F122" s="135" t="s">
        <v>12</v>
      </c>
      <c r="G122" s="90" t="s">
        <v>2114</v>
      </c>
      <c r="H122" s="135" t="s">
        <v>18</v>
      </c>
      <c r="I122" s="135" t="s">
        <v>15</v>
      </c>
      <c r="J122" s="99" t="s">
        <v>1016</v>
      </c>
      <c r="K122" s="91">
        <v>36410</v>
      </c>
      <c r="L122" s="90">
        <v>1999</v>
      </c>
      <c r="M122" s="90">
        <f t="shared" si="4"/>
        <v>20</v>
      </c>
      <c r="N122" s="135" t="s">
        <v>3</v>
      </c>
      <c r="O122" s="135" t="s">
        <v>1004</v>
      </c>
      <c r="P122" s="99" t="s">
        <v>1287</v>
      </c>
      <c r="R122" s="99" t="s">
        <v>1309</v>
      </c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  <c r="AQ122" s="88"/>
      <c r="AR122" s="88"/>
      <c r="AS122" s="88"/>
      <c r="AT122" s="88"/>
      <c r="AU122" s="89"/>
    </row>
    <row r="123" spans="1:47" s="135" customFormat="1" ht="25.5">
      <c r="A123" s="88"/>
      <c r="B123" s="203">
        <v>32</v>
      </c>
      <c r="C123" s="203" t="s">
        <v>2134</v>
      </c>
      <c r="D123" s="135">
        <v>116</v>
      </c>
      <c r="E123" s="99" t="s">
        <v>806</v>
      </c>
      <c r="F123" s="135" t="s">
        <v>6</v>
      </c>
      <c r="G123" s="90" t="s">
        <v>937</v>
      </c>
      <c r="H123" s="135" t="s">
        <v>1</v>
      </c>
      <c r="I123" s="135" t="s">
        <v>1020</v>
      </c>
      <c r="J123" s="99" t="s">
        <v>1016</v>
      </c>
      <c r="K123" s="91">
        <v>17898</v>
      </c>
      <c r="L123" s="90">
        <v>1948</v>
      </c>
      <c r="M123" s="90">
        <f t="shared" si="4"/>
        <v>71</v>
      </c>
      <c r="N123" s="135" t="s">
        <v>3</v>
      </c>
      <c r="O123" s="135" t="s">
        <v>1004</v>
      </c>
      <c r="P123" s="99" t="s">
        <v>1272</v>
      </c>
      <c r="R123" s="99" t="s">
        <v>1318</v>
      </c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  <c r="AQ123" s="88"/>
      <c r="AR123" s="88"/>
      <c r="AS123" s="88"/>
      <c r="AT123" s="88"/>
      <c r="AU123" s="89"/>
    </row>
    <row r="124" spans="1:47" s="135" customFormat="1" ht="25.5">
      <c r="A124" s="88"/>
      <c r="B124" s="203"/>
      <c r="C124" s="203"/>
      <c r="D124" s="135">
        <v>117</v>
      </c>
      <c r="E124" s="99" t="s">
        <v>807</v>
      </c>
      <c r="F124" s="135" t="s">
        <v>12</v>
      </c>
      <c r="G124" s="90" t="s">
        <v>2135</v>
      </c>
      <c r="H124" s="135" t="s">
        <v>18</v>
      </c>
      <c r="I124" s="135" t="s">
        <v>15</v>
      </c>
      <c r="J124" s="99" t="s">
        <v>1016</v>
      </c>
      <c r="K124" s="91">
        <v>26966</v>
      </c>
      <c r="L124" s="90">
        <v>1973</v>
      </c>
      <c r="M124" s="90">
        <f t="shared" si="4"/>
        <v>46</v>
      </c>
      <c r="N124" s="135" t="s">
        <v>3</v>
      </c>
      <c r="O124" s="135" t="s">
        <v>1004</v>
      </c>
      <c r="P124" s="99" t="s">
        <v>1288</v>
      </c>
      <c r="R124" s="99" t="s">
        <v>23</v>
      </c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  <c r="AQ124" s="88"/>
      <c r="AR124" s="88"/>
      <c r="AS124" s="88"/>
      <c r="AT124" s="88"/>
      <c r="AU124" s="89"/>
    </row>
    <row r="125" spans="1:47" s="135" customFormat="1" ht="25.5">
      <c r="A125" s="88"/>
      <c r="B125" s="203">
        <v>33</v>
      </c>
      <c r="C125" s="203" t="s">
        <v>2158</v>
      </c>
      <c r="D125" s="135">
        <v>118</v>
      </c>
      <c r="E125" s="99" t="s">
        <v>808</v>
      </c>
      <c r="F125" s="135" t="s">
        <v>6</v>
      </c>
      <c r="G125" s="90" t="s">
        <v>938</v>
      </c>
      <c r="H125" s="135" t="s">
        <v>18</v>
      </c>
      <c r="I125" s="135" t="s">
        <v>9</v>
      </c>
      <c r="J125" s="99" t="s">
        <v>1016</v>
      </c>
      <c r="K125" s="91">
        <v>30821</v>
      </c>
      <c r="L125" s="90">
        <v>1984</v>
      </c>
      <c r="M125" s="90">
        <f t="shared" si="4"/>
        <v>35</v>
      </c>
      <c r="N125" s="135" t="s">
        <v>3</v>
      </c>
      <c r="O125" s="135" t="s">
        <v>1004</v>
      </c>
      <c r="P125" s="99" t="s">
        <v>1375</v>
      </c>
      <c r="R125" s="99" t="s">
        <v>23</v>
      </c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  <c r="AQ125" s="88"/>
      <c r="AR125" s="88"/>
      <c r="AS125" s="88"/>
      <c r="AT125" s="88"/>
      <c r="AU125" s="89"/>
    </row>
    <row r="126" spans="1:47" s="135" customFormat="1" ht="25.5">
      <c r="A126" s="88"/>
      <c r="B126" s="203"/>
      <c r="C126" s="203"/>
      <c r="D126" s="135">
        <v>119</v>
      </c>
      <c r="E126" s="99" t="s">
        <v>2159</v>
      </c>
      <c r="F126" s="135" t="s">
        <v>21</v>
      </c>
      <c r="G126" s="90" t="s">
        <v>2161</v>
      </c>
      <c r="H126" s="135" t="s">
        <v>1</v>
      </c>
      <c r="I126" s="135" t="s">
        <v>9</v>
      </c>
      <c r="J126" s="99" t="s">
        <v>2163</v>
      </c>
      <c r="K126" s="91">
        <v>35904</v>
      </c>
      <c r="L126" s="90">
        <v>1998</v>
      </c>
      <c r="M126" s="90">
        <f t="shared" si="4"/>
        <v>21</v>
      </c>
      <c r="N126" s="135" t="s">
        <v>3</v>
      </c>
      <c r="O126" s="135" t="s">
        <v>1004</v>
      </c>
      <c r="P126" s="99" t="s">
        <v>1287</v>
      </c>
      <c r="R126" s="99" t="s">
        <v>1276</v>
      </c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  <c r="AQ126" s="88"/>
      <c r="AR126" s="88"/>
      <c r="AS126" s="88"/>
      <c r="AT126" s="88"/>
      <c r="AU126" s="89"/>
    </row>
    <row r="127" spans="1:47" s="135" customFormat="1" ht="25.5">
      <c r="A127" s="88"/>
      <c r="B127" s="203"/>
      <c r="C127" s="203"/>
      <c r="D127" s="135">
        <v>120</v>
      </c>
      <c r="E127" s="99" t="s">
        <v>2160</v>
      </c>
      <c r="F127" s="135" t="s">
        <v>12</v>
      </c>
      <c r="G127" s="90" t="s">
        <v>2162</v>
      </c>
      <c r="H127" s="135" t="s">
        <v>1</v>
      </c>
      <c r="I127" s="135" t="s">
        <v>15</v>
      </c>
      <c r="J127" s="99" t="s">
        <v>993</v>
      </c>
      <c r="K127" s="91">
        <v>42973</v>
      </c>
      <c r="L127" s="90">
        <v>2017</v>
      </c>
      <c r="M127" s="90">
        <f t="shared" si="4"/>
        <v>2</v>
      </c>
      <c r="N127" s="135" t="s">
        <v>3</v>
      </c>
      <c r="O127" s="135" t="s">
        <v>1004</v>
      </c>
      <c r="P127" s="99" t="s">
        <v>1288</v>
      </c>
      <c r="R127" s="99" t="s">
        <v>1277</v>
      </c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  <c r="AQ127" s="88"/>
      <c r="AR127" s="88"/>
      <c r="AS127" s="88"/>
      <c r="AT127" s="88"/>
      <c r="AU127" s="89"/>
    </row>
    <row r="128" spans="1:47" s="135" customFormat="1" ht="25.5">
      <c r="A128" s="88"/>
      <c r="B128" s="203">
        <v>34</v>
      </c>
      <c r="C128" s="203" t="s">
        <v>2136</v>
      </c>
      <c r="D128" s="135">
        <v>121</v>
      </c>
      <c r="E128" s="99" t="s">
        <v>810</v>
      </c>
      <c r="F128" s="135" t="s">
        <v>6</v>
      </c>
      <c r="G128" s="90" t="s">
        <v>939</v>
      </c>
      <c r="H128" s="135" t="s">
        <v>18</v>
      </c>
      <c r="I128" s="135" t="s">
        <v>9</v>
      </c>
      <c r="J128" s="99" t="s">
        <v>1016</v>
      </c>
      <c r="K128" s="91">
        <v>31730</v>
      </c>
      <c r="L128" s="90">
        <v>1986</v>
      </c>
      <c r="M128" s="90">
        <f t="shared" si="4"/>
        <v>33</v>
      </c>
      <c r="N128" s="135" t="s">
        <v>3</v>
      </c>
      <c r="O128" s="135" t="s">
        <v>1004</v>
      </c>
      <c r="P128" s="99" t="s">
        <v>1287</v>
      </c>
      <c r="R128" s="99" t="s">
        <v>1334</v>
      </c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  <c r="AQ128" s="88"/>
      <c r="AR128" s="88"/>
      <c r="AS128" s="88"/>
      <c r="AT128" s="88"/>
      <c r="AU128" s="89"/>
    </row>
    <row r="129" spans="1:47" s="135" customFormat="1" ht="25.5">
      <c r="A129" s="88"/>
      <c r="B129" s="203"/>
      <c r="C129" s="203"/>
      <c r="D129" s="135">
        <v>122</v>
      </c>
      <c r="E129" s="99" t="s">
        <v>2137</v>
      </c>
      <c r="F129" s="135" t="s">
        <v>21</v>
      </c>
      <c r="G129" s="90" t="s">
        <v>2139</v>
      </c>
      <c r="H129" s="135" t="s">
        <v>1</v>
      </c>
      <c r="I129" s="135" t="s">
        <v>9</v>
      </c>
      <c r="J129" s="99" t="s">
        <v>2141</v>
      </c>
      <c r="K129" s="91">
        <v>34856</v>
      </c>
      <c r="L129" s="90">
        <v>1995</v>
      </c>
      <c r="M129" s="90">
        <f t="shared" si="4"/>
        <v>24</v>
      </c>
      <c r="N129" s="135" t="s">
        <v>3</v>
      </c>
      <c r="O129" s="135" t="s">
        <v>1004</v>
      </c>
      <c r="P129" s="99" t="s">
        <v>1197</v>
      </c>
      <c r="R129" s="99" t="s">
        <v>1276</v>
      </c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  <c r="AQ129" s="88"/>
      <c r="AR129" s="88"/>
      <c r="AS129" s="88"/>
      <c r="AT129" s="88"/>
      <c r="AU129" s="89"/>
    </row>
    <row r="130" spans="1:47" s="135" customFormat="1" ht="25.5">
      <c r="A130" s="88"/>
      <c r="B130" s="203"/>
      <c r="C130" s="203"/>
      <c r="D130" s="135">
        <v>123</v>
      </c>
      <c r="E130" s="99" t="s">
        <v>2138</v>
      </c>
      <c r="F130" s="135" t="s">
        <v>12</v>
      </c>
      <c r="G130" s="90" t="s">
        <v>2140</v>
      </c>
      <c r="H130" s="135" t="s">
        <v>1</v>
      </c>
      <c r="I130" s="135" t="s">
        <v>15</v>
      </c>
      <c r="J130" s="99" t="s">
        <v>993</v>
      </c>
      <c r="K130" s="91">
        <v>43579</v>
      </c>
      <c r="L130" s="90">
        <v>2019</v>
      </c>
      <c r="M130" s="90">
        <f t="shared" si="4"/>
        <v>0</v>
      </c>
      <c r="N130" s="135" t="s">
        <v>3</v>
      </c>
      <c r="O130" s="135" t="s">
        <v>1004</v>
      </c>
      <c r="P130" s="99" t="s">
        <v>1288</v>
      </c>
      <c r="R130" s="99" t="s">
        <v>1277</v>
      </c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  <c r="AQ130" s="88"/>
      <c r="AR130" s="88"/>
      <c r="AS130" s="88"/>
      <c r="AT130" s="88"/>
      <c r="AU130" s="89"/>
    </row>
    <row r="131" spans="1:47" s="135" customFormat="1" ht="38.25">
      <c r="A131" s="88"/>
      <c r="B131" s="203">
        <v>35</v>
      </c>
      <c r="C131" s="203" t="s">
        <v>2004</v>
      </c>
      <c r="D131" s="135">
        <v>124</v>
      </c>
      <c r="E131" s="99" t="s">
        <v>811</v>
      </c>
      <c r="F131" s="135" t="s">
        <v>6</v>
      </c>
      <c r="G131" s="90" t="s">
        <v>940</v>
      </c>
      <c r="H131" s="135" t="s">
        <v>18</v>
      </c>
      <c r="I131" s="135" t="s">
        <v>9</v>
      </c>
      <c r="J131" s="99" t="s">
        <v>2009</v>
      </c>
      <c r="K131" s="91">
        <v>34954</v>
      </c>
      <c r="L131" s="90">
        <v>1995</v>
      </c>
      <c r="M131" s="90">
        <f t="shared" si="4"/>
        <v>24</v>
      </c>
      <c r="N131" s="135" t="s">
        <v>3</v>
      </c>
      <c r="O131" s="135" t="s">
        <v>1004</v>
      </c>
      <c r="P131" s="99" t="s">
        <v>1287</v>
      </c>
      <c r="R131" s="99" t="s">
        <v>23</v>
      </c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  <c r="AQ131" s="88"/>
      <c r="AR131" s="88"/>
      <c r="AS131" s="88"/>
      <c r="AT131" s="88"/>
      <c r="AU131" s="89"/>
    </row>
    <row r="132" spans="1:47" s="135" customFormat="1" ht="25.5">
      <c r="A132" s="88"/>
      <c r="B132" s="203"/>
      <c r="C132" s="203"/>
      <c r="D132" s="135">
        <v>125</v>
      </c>
      <c r="E132" s="99" t="s">
        <v>2005</v>
      </c>
      <c r="F132" s="135" t="s">
        <v>712</v>
      </c>
      <c r="G132" s="90" t="s">
        <v>941</v>
      </c>
      <c r="H132" s="135" t="s">
        <v>1</v>
      </c>
      <c r="I132" s="135" t="s">
        <v>9</v>
      </c>
      <c r="J132" s="99" t="s">
        <v>1016</v>
      </c>
      <c r="K132" s="91">
        <v>34476</v>
      </c>
      <c r="L132" s="90">
        <v>1994</v>
      </c>
      <c r="M132" s="90">
        <f t="shared" si="4"/>
        <v>25</v>
      </c>
      <c r="N132" s="135" t="s">
        <v>3</v>
      </c>
      <c r="O132" s="135" t="s">
        <v>1004</v>
      </c>
      <c r="P132" s="99" t="s">
        <v>1287</v>
      </c>
      <c r="R132" s="99" t="s">
        <v>1276</v>
      </c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  <c r="AQ132" s="88"/>
      <c r="AR132" s="88"/>
      <c r="AS132" s="88"/>
      <c r="AT132" s="88"/>
      <c r="AU132" s="89"/>
    </row>
    <row r="133" spans="1:47" s="135" customFormat="1" ht="25.5">
      <c r="A133" s="88"/>
      <c r="B133" s="203"/>
      <c r="C133" s="203"/>
      <c r="D133" s="135">
        <v>126</v>
      </c>
      <c r="E133" s="99" t="s">
        <v>812</v>
      </c>
      <c r="F133" s="135" t="s">
        <v>12</v>
      </c>
      <c r="G133" s="90" t="s">
        <v>2007</v>
      </c>
      <c r="H133" s="135" t="s">
        <v>1</v>
      </c>
      <c r="I133" s="135" t="s">
        <v>15</v>
      </c>
      <c r="J133" s="99" t="s">
        <v>993</v>
      </c>
      <c r="K133" s="91">
        <v>42075</v>
      </c>
      <c r="L133" s="90">
        <v>2015</v>
      </c>
      <c r="M133" s="90">
        <f t="shared" si="4"/>
        <v>4</v>
      </c>
      <c r="N133" s="135" t="s">
        <v>3</v>
      </c>
      <c r="O133" s="135" t="s">
        <v>1004</v>
      </c>
      <c r="P133" s="99" t="s">
        <v>1288</v>
      </c>
      <c r="R133" s="99" t="s">
        <v>1277</v>
      </c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  <c r="AQ133" s="88"/>
      <c r="AR133" s="88"/>
      <c r="AS133" s="88"/>
      <c r="AT133" s="88"/>
      <c r="AU133" s="89"/>
    </row>
    <row r="134" spans="1:47" s="135" customFormat="1" ht="38.25">
      <c r="A134" s="88"/>
      <c r="B134" s="203"/>
      <c r="C134" s="203"/>
      <c r="D134" s="135">
        <v>127</v>
      </c>
      <c r="E134" s="99" t="s">
        <v>2006</v>
      </c>
      <c r="F134" s="135" t="s">
        <v>12</v>
      </c>
      <c r="G134" s="90" t="s">
        <v>2008</v>
      </c>
      <c r="H134" s="135" t="s">
        <v>18</v>
      </c>
      <c r="I134" s="135" t="s">
        <v>15</v>
      </c>
      <c r="J134" s="99" t="s">
        <v>993</v>
      </c>
      <c r="K134" s="91">
        <v>42492</v>
      </c>
      <c r="L134" s="90">
        <v>2016</v>
      </c>
      <c r="M134" s="90">
        <f t="shared" si="4"/>
        <v>3</v>
      </c>
      <c r="N134" s="135" t="s">
        <v>3</v>
      </c>
      <c r="O134" s="135" t="s">
        <v>1004</v>
      </c>
      <c r="P134" s="99" t="s">
        <v>1288</v>
      </c>
      <c r="R134" s="99" t="s">
        <v>1277</v>
      </c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  <c r="AQ134" s="88"/>
      <c r="AR134" s="88"/>
      <c r="AS134" s="88"/>
      <c r="AT134" s="88"/>
      <c r="AU134" s="89"/>
    </row>
    <row r="135" spans="1:47" s="135" customFormat="1">
      <c r="A135" s="88"/>
      <c r="B135" s="203">
        <v>36</v>
      </c>
      <c r="C135" s="203" t="s">
        <v>2071</v>
      </c>
      <c r="D135" s="135">
        <v>128</v>
      </c>
      <c r="E135" s="99" t="s">
        <v>2067</v>
      </c>
      <c r="F135" s="135" t="s">
        <v>6</v>
      </c>
      <c r="G135" s="90" t="s">
        <v>2072</v>
      </c>
      <c r="H135" s="135" t="s">
        <v>18</v>
      </c>
      <c r="I135" s="135" t="s">
        <v>9</v>
      </c>
      <c r="J135" s="99" t="s">
        <v>993</v>
      </c>
      <c r="K135" s="91">
        <v>21367</v>
      </c>
      <c r="L135" s="90">
        <v>1958</v>
      </c>
      <c r="M135" s="90">
        <f t="shared" si="4"/>
        <v>61</v>
      </c>
      <c r="N135" s="135" t="s">
        <v>3</v>
      </c>
      <c r="O135" s="135" t="s">
        <v>1004</v>
      </c>
      <c r="P135" s="99" t="s">
        <v>1272</v>
      </c>
      <c r="R135" s="99" t="s">
        <v>1162</v>
      </c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  <c r="AQ135" s="88"/>
      <c r="AR135" s="88"/>
      <c r="AS135" s="88"/>
      <c r="AT135" s="88"/>
      <c r="AU135" s="89"/>
    </row>
    <row r="136" spans="1:47" s="135" customFormat="1" ht="25.5">
      <c r="A136" s="88"/>
      <c r="B136" s="203"/>
      <c r="C136" s="203"/>
      <c r="D136" s="135">
        <v>129</v>
      </c>
      <c r="E136" s="99" t="s">
        <v>814</v>
      </c>
      <c r="F136" s="135" t="s">
        <v>712</v>
      </c>
      <c r="G136" s="90" t="s">
        <v>2073</v>
      </c>
      <c r="H136" s="135" t="s">
        <v>1</v>
      </c>
      <c r="I136" s="135" t="s">
        <v>9</v>
      </c>
      <c r="J136" s="99" t="s">
        <v>993</v>
      </c>
      <c r="K136" s="91">
        <v>25385</v>
      </c>
      <c r="L136" s="90">
        <v>1969</v>
      </c>
      <c r="M136" s="90">
        <f t="shared" si="4"/>
        <v>50</v>
      </c>
      <c r="N136" s="135" t="s">
        <v>3</v>
      </c>
      <c r="O136" s="135" t="s">
        <v>1004</v>
      </c>
      <c r="P136" s="99" t="s">
        <v>1274</v>
      </c>
      <c r="R136" s="99" t="s">
        <v>1276</v>
      </c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  <c r="AQ136" s="88"/>
      <c r="AR136" s="88"/>
      <c r="AS136" s="88"/>
      <c r="AT136" s="88"/>
      <c r="AU136" s="89"/>
    </row>
    <row r="137" spans="1:47" s="135" customFormat="1" ht="25.5">
      <c r="A137" s="88"/>
      <c r="B137" s="203"/>
      <c r="C137" s="203"/>
      <c r="D137" s="135">
        <v>130</v>
      </c>
      <c r="E137" s="99" t="s">
        <v>2068</v>
      </c>
      <c r="F137" s="135" t="s">
        <v>12</v>
      </c>
      <c r="G137" s="90" t="s">
        <v>2074</v>
      </c>
      <c r="H137" s="135" t="s">
        <v>1</v>
      </c>
      <c r="I137" s="135" t="s">
        <v>15</v>
      </c>
      <c r="J137" s="99" t="s">
        <v>993</v>
      </c>
      <c r="K137" s="91">
        <v>33871</v>
      </c>
      <c r="L137" s="90">
        <v>1992</v>
      </c>
      <c r="M137" s="90">
        <f t="shared" si="4"/>
        <v>27</v>
      </c>
      <c r="N137" s="135" t="s">
        <v>3</v>
      </c>
      <c r="O137" s="135" t="s">
        <v>1004</v>
      </c>
      <c r="P137" s="99" t="s">
        <v>1287</v>
      </c>
      <c r="R137" s="99" t="s">
        <v>23</v>
      </c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  <c r="AQ137" s="88"/>
      <c r="AR137" s="88"/>
      <c r="AS137" s="88"/>
      <c r="AT137" s="88"/>
      <c r="AU137" s="89"/>
    </row>
    <row r="138" spans="1:47" s="135" customFormat="1" ht="38.25">
      <c r="A138" s="88"/>
      <c r="B138" s="203"/>
      <c r="C138" s="203"/>
      <c r="D138" s="135">
        <v>131</v>
      </c>
      <c r="E138" s="99" t="s">
        <v>2069</v>
      </c>
      <c r="F138" s="135" t="s">
        <v>12</v>
      </c>
      <c r="G138" s="90" t="s">
        <v>2075</v>
      </c>
      <c r="H138" s="135" t="s">
        <v>18</v>
      </c>
      <c r="I138" s="135" t="s">
        <v>15</v>
      </c>
      <c r="J138" s="99" t="s">
        <v>1016</v>
      </c>
      <c r="K138" s="91">
        <v>35693</v>
      </c>
      <c r="L138" s="90">
        <v>1997</v>
      </c>
      <c r="M138" s="90">
        <f t="shared" ref="M138:M162" si="5">2019-L138</f>
        <v>22</v>
      </c>
      <c r="N138" s="135" t="s">
        <v>3</v>
      </c>
      <c r="O138" s="135" t="s">
        <v>1004</v>
      </c>
      <c r="P138" s="99" t="s">
        <v>1287</v>
      </c>
      <c r="R138" s="99" t="s">
        <v>1309</v>
      </c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  <c r="AQ138" s="88"/>
      <c r="AR138" s="88"/>
      <c r="AS138" s="88"/>
      <c r="AT138" s="88"/>
      <c r="AU138" s="89"/>
    </row>
    <row r="139" spans="1:47" s="135" customFormat="1" ht="25.5">
      <c r="A139" s="88"/>
      <c r="B139" s="203"/>
      <c r="C139" s="203"/>
      <c r="D139" s="135">
        <v>132</v>
      </c>
      <c r="E139" s="99" t="s">
        <v>2070</v>
      </c>
      <c r="F139" s="135" t="s">
        <v>12</v>
      </c>
      <c r="G139" s="90" t="s">
        <v>942</v>
      </c>
      <c r="H139" s="135" t="s">
        <v>1</v>
      </c>
      <c r="I139" s="135" t="s">
        <v>15</v>
      </c>
      <c r="J139" s="99" t="s">
        <v>993</v>
      </c>
      <c r="K139" s="91">
        <v>37174</v>
      </c>
      <c r="L139" s="90">
        <v>2001</v>
      </c>
      <c r="M139" s="90">
        <f t="shared" si="5"/>
        <v>18</v>
      </c>
      <c r="N139" s="135" t="s">
        <v>3</v>
      </c>
      <c r="O139" s="135" t="s">
        <v>1004</v>
      </c>
      <c r="P139" s="99" t="s">
        <v>1272</v>
      </c>
      <c r="R139" s="99" t="s">
        <v>1309</v>
      </c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  <c r="AQ139" s="88"/>
      <c r="AR139" s="88"/>
      <c r="AS139" s="88"/>
      <c r="AT139" s="88"/>
      <c r="AU139" s="89"/>
    </row>
    <row r="140" spans="1:47" s="135" customFormat="1" ht="25.5">
      <c r="A140" s="88"/>
      <c r="B140" s="203">
        <v>37</v>
      </c>
      <c r="C140" s="203" t="s">
        <v>1350</v>
      </c>
      <c r="D140" s="135">
        <v>133</v>
      </c>
      <c r="E140" s="99" t="s">
        <v>1349</v>
      </c>
      <c r="F140" s="135" t="s">
        <v>6</v>
      </c>
      <c r="G140" s="90" t="s">
        <v>1351</v>
      </c>
      <c r="H140" s="135" t="s">
        <v>18</v>
      </c>
      <c r="I140" s="135" t="s">
        <v>1235</v>
      </c>
      <c r="J140" s="99" t="s">
        <v>993</v>
      </c>
      <c r="K140" s="91">
        <v>21915</v>
      </c>
      <c r="L140" s="90">
        <v>1969</v>
      </c>
      <c r="M140" s="90">
        <f t="shared" si="5"/>
        <v>50</v>
      </c>
      <c r="N140" s="135" t="s">
        <v>3</v>
      </c>
      <c r="O140" s="135" t="s">
        <v>1004</v>
      </c>
      <c r="P140" s="99" t="s">
        <v>1288</v>
      </c>
      <c r="R140" s="99" t="s">
        <v>1318</v>
      </c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  <c r="AQ140" s="88"/>
      <c r="AR140" s="88"/>
      <c r="AS140" s="88"/>
      <c r="AT140" s="88"/>
      <c r="AU140" s="89"/>
    </row>
    <row r="141" spans="1:47" s="135" customFormat="1" ht="25.5">
      <c r="A141" s="88"/>
      <c r="B141" s="203"/>
      <c r="C141" s="203"/>
      <c r="D141" s="135">
        <v>134</v>
      </c>
      <c r="E141" s="99" t="s">
        <v>815</v>
      </c>
      <c r="F141" s="135" t="s">
        <v>12</v>
      </c>
      <c r="G141" s="90" t="s">
        <v>1352</v>
      </c>
      <c r="H141" s="135" t="s">
        <v>18</v>
      </c>
      <c r="I141" s="135" t="s">
        <v>15</v>
      </c>
      <c r="J141" s="99" t="s">
        <v>993</v>
      </c>
      <c r="K141" s="91">
        <v>34882</v>
      </c>
      <c r="L141" s="90">
        <v>1995</v>
      </c>
      <c r="M141" s="90">
        <f t="shared" si="5"/>
        <v>24</v>
      </c>
      <c r="N141" s="135" t="s">
        <v>3</v>
      </c>
      <c r="O141" s="135" t="s">
        <v>1004</v>
      </c>
      <c r="P141" s="99" t="s">
        <v>1272</v>
      </c>
      <c r="R141" s="99" t="s">
        <v>1277</v>
      </c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  <c r="AQ141" s="88"/>
      <c r="AR141" s="88"/>
      <c r="AS141" s="88"/>
      <c r="AT141" s="88"/>
      <c r="AU141" s="89"/>
    </row>
    <row r="142" spans="1:47" s="135" customFormat="1" ht="25.5">
      <c r="A142" s="88"/>
      <c r="B142" s="203"/>
      <c r="C142" s="203"/>
      <c r="D142" s="135">
        <v>135</v>
      </c>
      <c r="E142" s="99" t="s">
        <v>816</v>
      </c>
      <c r="F142" s="135" t="s">
        <v>12</v>
      </c>
      <c r="G142" s="90" t="s">
        <v>1353</v>
      </c>
      <c r="H142" s="135" t="s">
        <v>18</v>
      </c>
      <c r="I142" s="135" t="s">
        <v>15</v>
      </c>
      <c r="J142" s="99" t="s">
        <v>993</v>
      </c>
      <c r="K142" s="91">
        <v>35852</v>
      </c>
      <c r="L142" s="90">
        <v>1998</v>
      </c>
      <c r="M142" s="90">
        <f t="shared" si="5"/>
        <v>21</v>
      </c>
      <c r="N142" s="135" t="s">
        <v>3</v>
      </c>
      <c r="O142" s="135" t="s">
        <v>1004</v>
      </c>
      <c r="P142" s="99" t="s">
        <v>1288</v>
      </c>
      <c r="R142" s="99" t="s">
        <v>1277</v>
      </c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  <c r="AQ142" s="88"/>
      <c r="AR142" s="88"/>
      <c r="AS142" s="88"/>
      <c r="AT142" s="88"/>
      <c r="AU142" s="89"/>
    </row>
    <row r="143" spans="1:47" s="135" customFormat="1">
      <c r="A143" s="88"/>
      <c r="B143" s="203"/>
      <c r="C143" s="203"/>
      <c r="D143" s="135">
        <v>136</v>
      </c>
      <c r="E143" s="99" t="s">
        <v>817</v>
      </c>
      <c r="F143" s="135" t="s">
        <v>12</v>
      </c>
      <c r="G143" s="90" t="s">
        <v>1354</v>
      </c>
      <c r="H143" s="135" t="s">
        <v>1</v>
      </c>
      <c r="I143" s="135" t="s">
        <v>15</v>
      </c>
      <c r="J143" s="99" t="s">
        <v>993</v>
      </c>
      <c r="K143" s="91">
        <v>36674</v>
      </c>
      <c r="L143" s="90">
        <v>2000</v>
      </c>
      <c r="M143" s="90">
        <f t="shared" si="5"/>
        <v>19</v>
      </c>
      <c r="N143" s="135" t="s">
        <v>3</v>
      </c>
      <c r="O143" s="135" t="s">
        <v>1004</v>
      </c>
      <c r="P143" s="99" t="s">
        <v>1272</v>
      </c>
      <c r="R143" s="99" t="s">
        <v>1309</v>
      </c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  <c r="AQ143" s="88"/>
      <c r="AR143" s="88"/>
      <c r="AS143" s="88"/>
      <c r="AT143" s="88"/>
      <c r="AU143" s="89"/>
    </row>
    <row r="144" spans="1:47" s="135" customFormat="1" ht="25.5">
      <c r="A144" s="88"/>
      <c r="B144" s="203"/>
      <c r="C144" s="203"/>
      <c r="D144" s="135">
        <v>137</v>
      </c>
      <c r="E144" s="99" t="s">
        <v>818</v>
      </c>
      <c r="F144" s="135" t="s">
        <v>12</v>
      </c>
      <c r="G144" s="90" t="s">
        <v>1355</v>
      </c>
      <c r="H144" s="135" t="s">
        <v>18</v>
      </c>
      <c r="I144" s="135" t="s">
        <v>15</v>
      </c>
      <c r="J144" s="99" t="s">
        <v>993</v>
      </c>
      <c r="K144" s="91">
        <v>38703</v>
      </c>
      <c r="L144" s="90">
        <v>2005</v>
      </c>
      <c r="M144" s="90">
        <f t="shared" si="5"/>
        <v>14</v>
      </c>
      <c r="N144" s="135" t="s">
        <v>3</v>
      </c>
      <c r="O144" s="135" t="s">
        <v>1004</v>
      </c>
      <c r="P144" s="99" t="s">
        <v>1274</v>
      </c>
      <c r="R144" s="99" t="s">
        <v>1309</v>
      </c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  <c r="AQ144" s="88"/>
      <c r="AR144" s="88"/>
      <c r="AS144" s="88"/>
      <c r="AT144" s="88"/>
      <c r="AU144" s="89"/>
    </row>
    <row r="145" spans="1:47" s="135" customFormat="1" ht="25.5">
      <c r="A145" s="88"/>
      <c r="B145" s="203">
        <v>38</v>
      </c>
      <c r="C145" s="203" t="s">
        <v>2015</v>
      </c>
      <c r="D145" s="135">
        <v>138</v>
      </c>
      <c r="E145" s="99" t="s">
        <v>819</v>
      </c>
      <c r="F145" s="135" t="s">
        <v>6</v>
      </c>
      <c r="G145" s="90" t="s">
        <v>2019</v>
      </c>
      <c r="H145" s="135" t="s">
        <v>18</v>
      </c>
      <c r="I145" s="135" t="s">
        <v>9</v>
      </c>
      <c r="J145" s="99" t="s">
        <v>993</v>
      </c>
      <c r="K145" s="91">
        <v>24917</v>
      </c>
      <c r="L145" s="90">
        <v>1968</v>
      </c>
      <c r="M145" s="90">
        <f t="shared" si="5"/>
        <v>51</v>
      </c>
      <c r="N145" s="135" t="s">
        <v>3</v>
      </c>
      <c r="O145" s="135" t="s">
        <v>1004</v>
      </c>
      <c r="P145" s="99" t="s">
        <v>1287</v>
      </c>
      <c r="R145" s="99" t="s">
        <v>1334</v>
      </c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  <c r="AQ145" s="88"/>
      <c r="AR145" s="88"/>
      <c r="AS145" s="88"/>
      <c r="AT145" s="88"/>
      <c r="AU145" s="89"/>
    </row>
    <row r="146" spans="1:47" s="135" customFormat="1">
      <c r="A146" s="88"/>
      <c r="B146" s="203"/>
      <c r="C146" s="203"/>
      <c r="D146" s="135">
        <v>139</v>
      </c>
      <c r="E146" s="99" t="s">
        <v>2016</v>
      </c>
      <c r="F146" s="135" t="s">
        <v>21</v>
      </c>
      <c r="G146" s="90" t="s">
        <v>2020</v>
      </c>
      <c r="H146" s="135" t="s">
        <v>1</v>
      </c>
      <c r="I146" s="135" t="s">
        <v>9</v>
      </c>
      <c r="J146" s="99" t="s">
        <v>2023</v>
      </c>
      <c r="K146" s="91">
        <v>25568</v>
      </c>
      <c r="L146" s="90">
        <v>1969</v>
      </c>
      <c r="M146" s="90">
        <f t="shared" si="5"/>
        <v>50</v>
      </c>
      <c r="N146" s="135" t="s">
        <v>3</v>
      </c>
      <c r="O146" s="135" t="s">
        <v>1004</v>
      </c>
      <c r="P146" s="99" t="s">
        <v>1272</v>
      </c>
      <c r="R146" s="99" t="s">
        <v>768</v>
      </c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  <c r="AQ146" s="88"/>
      <c r="AR146" s="88"/>
      <c r="AS146" s="88"/>
      <c r="AT146" s="88"/>
      <c r="AU146" s="89"/>
    </row>
    <row r="147" spans="1:47" s="135" customFormat="1" ht="25.5">
      <c r="A147" s="88"/>
      <c r="B147" s="203"/>
      <c r="C147" s="203"/>
      <c r="D147" s="135">
        <v>140</v>
      </c>
      <c r="E147" s="99" t="s">
        <v>2017</v>
      </c>
      <c r="F147" s="135" t="s">
        <v>12</v>
      </c>
      <c r="G147" s="90" t="s">
        <v>2021</v>
      </c>
      <c r="H147" s="135" t="s">
        <v>1</v>
      </c>
      <c r="I147" s="135" t="s">
        <v>15</v>
      </c>
      <c r="J147" s="99" t="s">
        <v>1072</v>
      </c>
      <c r="K147" s="91">
        <v>37493</v>
      </c>
      <c r="L147" s="90">
        <v>2002</v>
      </c>
      <c r="M147" s="90">
        <f t="shared" si="5"/>
        <v>17</v>
      </c>
      <c r="N147" s="135" t="s">
        <v>3</v>
      </c>
      <c r="O147" s="135" t="s">
        <v>1004</v>
      </c>
      <c r="P147" s="99" t="s">
        <v>1272</v>
      </c>
      <c r="R147" s="99" t="s">
        <v>1309</v>
      </c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  <c r="AQ147" s="88"/>
      <c r="AR147" s="88"/>
      <c r="AS147" s="88"/>
      <c r="AT147" s="88"/>
      <c r="AU147" s="89"/>
    </row>
    <row r="148" spans="1:47" s="135" customFormat="1" ht="25.5">
      <c r="A148" s="88"/>
      <c r="B148" s="203"/>
      <c r="C148" s="203"/>
      <c r="D148" s="135">
        <v>141</v>
      </c>
      <c r="E148" s="99" t="s">
        <v>2018</v>
      </c>
      <c r="F148" s="135" t="s">
        <v>12</v>
      </c>
      <c r="G148" s="90" t="s">
        <v>2022</v>
      </c>
      <c r="H148" s="135" t="s">
        <v>1</v>
      </c>
      <c r="I148" s="135" t="s">
        <v>15</v>
      </c>
      <c r="J148" s="99" t="s">
        <v>1045</v>
      </c>
      <c r="K148" s="91">
        <v>43592</v>
      </c>
      <c r="L148" s="90">
        <v>2019</v>
      </c>
      <c r="M148" s="90">
        <f t="shared" si="5"/>
        <v>0</v>
      </c>
      <c r="N148" s="135" t="s">
        <v>3</v>
      </c>
      <c r="O148" s="135" t="s">
        <v>1004</v>
      </c>
      <c r="P148" s="99" t="s">
        <v>1288</v>
      </c>
      <c r="R148" s="99" t="s">
        <v>1277</v>
      </c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  <c r="AQ148" s="88"/>
      <c r="AR148" s="88"/>
      <c r="AS148" s="88"/>
      <c r="AT148" s="88"/>
      <c r="AU148" s="89"/>
    </row>
    <row r="149" spans="1:47" s="135" customFormat="1" ht="25.5">
      <c r="A149" s="88"/>
      <c r="B149" s="203">
        <v>39</v>
      </c>
      <c r="C149" s="203" t="s">
        <v>2011</v>
      </c>
      <c r="D149" s="135">
        <v>142</v>
      </c>
      <c r="E149" s="99" t="s">
        <v>820</v>
      </c>
      <c r="F149" s="135" t="s">
        <v>6</v>
      </c>
      <c r="G149" s="90" t="s">
        <v>943</v>
      </c>
      <c r="H149" s="135" t="s">
        <v>18</v>
      </c>
      <c r="I149" s="135" t="s">
        <v>9</v>
      </c>
      <c r="J149" s="99" t="s">
        <v>993</v>
      </c>
      <c r="K149" s="91">
        <v>32319</v>
      </c>
      <c r="L149" s="90">
        <v>1988</v>
      </c>
      <c r="M149" s="90">
        <f t="shared" si="5"/>
        <v>31</v>
      </c>
      <c r="N149" s="135" t="s">
        <v>3</v>
      </c>
      <c r="O149" s="135" t="s">
        <v>1004</v>
      </c>
      <c r="P149" s="99" t="s">
        <v>1273</v>
      </c>
      <c r="R149" s="99" t="s">
        <v>23</v>
      </c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  <c r="AQ149" s="88"/>
      <c r="AR149" s="88"/>
      <c r="AS149" s="88"/>
      <c r="AT149" s="88"/>
      <c r="AU149" s="89"/>
    </row>
    <row r="150" spans="1:47" s="135" customFormat="1" ht="25.5">
      <c r="A150" s="88"/>
      <c r="B150" s="203"/>
      <c r="C150" s="203"/>
      <c r="D150" s="135">
        <v>143</v>
      </c>
      <c r="E150" s="99" t="s">
        <v>2012</v>
      </c>
      <c r="F150" s="135" t="s">
        <v>712</v>
      </c>
      <c r="G150" s="90" t="s">
        <v>2013</v>
      </c>
      <c r="H150" s="135" t="s">
        <v>1</v>
      </c>
      <c r="I150" s="135" t="s">
        <v>9</v>
      </c>
      <c r="J150" s="99" t="s">
        <v>2014</v>
      </c>
      <c r="K150" s="91">
        <v>33707</v>
      </c>
      <c r="L150" s="90">
        <v>1992</v>
      </c>
      <c r="M150" s="90">
        <f t="shared" si="5"/>
        <v>27</v>
      </c>
      <c r="N150" s="135" t="s">
        <v>3</v>
      </c>
      <c r="O150" s="135" t="s">
        <v>1004</v>
      </c>
      <c r="P150" s="99" t="s">
        <v>1272</v>
      </c>
      <c r="R150" s="99" t="s">
        <v>1276</v>
      </c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  <c r="AQ150" s="88"/>
      <c r="AR150" s="88"/>
      <c r="AS150" s="88"/>
      <c r="AT150" s="88"/>
      <c r="AU150" s="89"/>
    </row>
    <row r="151" spans="1:47" s="135" customFormat="1" ht="25.5">
      <c r="A151" s="88"/>
      <c r="B151" s="203">
        <v>40</v>
      </c>
      <c r="C151" s="203" t="s">
        <v>2010</v>
      </c>
      <c r="D151" s="135">
        <v>144</v>
      </c>
      <c r="E151" s="99" t="s">
        <v>823</v>
      </c>
      <c r="F151" s="135" t="s">
        <v>6</v>
      </c>
      <c r="G151" s="90" t="s">
        <v>945</v>
      </c>
      <c r="H151" s="135" t="s">
        <v>18</v>
      </c>
      <c r="I151" s="135" t="s">
        <v>9</v>
      </c>
      <c r="J151" s="99" t="s">
        <v>993</v>
      </c>
      <c r="K151" s="91">
        <v>21346</v>
      </c>
      <c r="L151" s="90">
        <v>1958</v>
      </c>
      <c r="M151" s="90">
        <f t="shared" si="5"/>
        <v>61</v>
      </c>
      <c r="N151" s="135" t="s">
        <v>3</v>
      </c>
      <c r="O151" s="135" t="s">
        <v>1004</v>
      </c>
      <c r="P151" s="99" t="s">
        <v>1288</v>
      </c>
      <c r="R151" s="99" t="s">
        <v>1032</v>
      </c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  <c r="AQ151" s="88"/>
      <c r="AR151" s="88"/>
      <c r="AS151" s="88"/>
      <c r="AT151" s="88"/>
      <c r="AU151" s="89"/>
    </row>
    <row r="152" spans="1:47" s="135" customFormat="1" ht="25.5">
      <c r="A152" s="88"/>
      <c r="B152" s="203"/>
      <c r="C152" s="203"/>
      <c r="D152" s="135">
        <v>145</v>
      </c>
      <c r="E152" s="99" t="s">
        <v>824</v>
      </c>
      <c r="F152" s="135" t="s">
        <v>712</v>
      </c>
      <c r="G152" s="90" t="s">
        <v>946</v>
      </c>
      <c r="H152" s="135" t="s">
        <v>1</v>
      </c>
      <c r="I152" s="135" t="s">
        <v>9</v>
      </c>
      <c r="J152" s="99" t="s">
        <v>993</v>
      </c>
      <c r="K152" s="91">
        <v>24107</v>
      </c>
      <c r="L152" s="90">
        <v>1965</v>
      </c>
      <c r="M152" s="90">
        <f t="shared" si="5"/>
        <v>54</v>
      </c>
      <c r="N152" s="135" t="s">
        <v>3</v>
      </c>
      <c r="O152" s="135" t="s">
        <v>1004</v>
      </c>
      <c r="P152" s="99" t="s">
        <v>1288</v>
      </c>
      <c r="R152" s="99" t="s">
        <v>1032</v>
      </c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  <c r="AQ152" s="88"/>
      <c r="AR152" s="88"/>
      <c r="AS152" s="88"/>
      <c r="AT152" s="88"/>
      <c r="AU152" s="89"/>
    </row>
    <row r="153" spans="1:47" s="135" customFormat="1" ht="25.5">
      <c r="A153" s="88"/>
      <c r="B153" s="203"/>
      <c r="C153" s="203"/>
      <c r="D153" s="135">
        <v>146</v>
      </c>
      <c r="E153" s="99" t="s">
        <v>825</v>
      </c>
      <c r="F153" s="135" t="s">
        <v>12</v>
      </c>
      <c r="G153" s="90" t="s">
        <v>947</v>
      </c>
      <c r="H153" s="135" t="s">
        <v>18</v>
      </c>
      <c r="I153" s="135" t="s">
        <v>15</v>
      </c>
      <c r="J153" s="99" t="s">
        <v>1016</v>
      </c>
      <c r="K153" s="91">
        <v>32538</v>
      </c>
      <c r="L153" s="90">
        <v>1989</v>
      </c>
      <c r="M153" s="90">
        <f t="shared" si="5"/>
        <v>30</v>
      </c>
      <c r="N153" s="135" t="s">
        <v>3</v>
      </c>
      <c r="O153" s="135" t="s">
        <v>1004</v>
      </c>
      <c r="P153" s="99" t="s">
        <v>1287</v>
      </c>
      <c r="R153" s="99" t="s">
        <v>23</v>
      </c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  <c r="AQ153" s="88"/>
      <c r="AR153" s="88"/>
      <c r="AS153" s="88"/>
      <c r="AT153" s="88"/>
      <c r="AU153" s="89"/>
    </row>
    <row r="154" spans="1:47" s="135" customFormat="1" ht="25.5">
      <c r="A154" s="88"/>
      <c r="B154" s="203"/>
      <c r="C154" s="203"/>
      <c r="D154" s="135">
        <v>147</v>
      </c>
      <c r="E154" s="99" t="s">
        <v>826</v>
      </c>
      <c r="F154" s="135" t="s">
        <v>12</v>
      </c>
      <c r="G154" s="90" t="s">
        <v>948</v>
      </c>
      <c r="H154" s="135" t="s">
        <v>1</v>
      </c>
      <c r="I154" s="135" t="s">
        <v>15</v>
      </c>
      <c r="J154" s="99" t="s">
        <v>993</v>
      </c>
      <c r="K154" s="91">
        <v>36863</v>
      </c>
      <c r="L154" s="90">
        <v>2000</v>
      </c>
      <c r="M154" s="90">
        <f t="shared" si="5"/>
        <v>19</v>
      </c>
      <c r="N154" s="135" t="s">
        <v>3</v>
      </c>
      <c r="O154" s="135" t="s">
        <v>1004</v>
      </c>
      <c r="P154" s="99" t="s">
        <v>1274</v>
      </c>
      <c r="R154" s="99" t="s">
        <v>1309</v>
      </c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  <c r="AQ154" s="88"/>
      <c r="AR154" s="88"/>
      <c r="AS154" s="88"/>
      <c r="AT154" s="88"/>
      <c r="AU154" s="89"/>
    </row>
    <row r="155" spans="1:47" s="135" customFormat="1" ht="25.5">
      <c r="A155" s="88"/>
      <c r="B155" s="203">
        <v>41</v>
      </c>
      <c r="C155" s="203" t="s">
        <v>2045</v>
      </c>
      <c r="D155" s="135">
        <v>148</v>
      </c>
      <c r="E155" s="99" t="s">
        <v>827</v>
      </c>
      <c r="F155" s="135" t="s">
        <v>6</v>
      </c>
      <c r="G155" s="90" t="s">
        <v>2046</v>
      </c>
      <c r="H155" s="135" t="s">
        <v>18</v>
      </c>
      <c r="I155" s="135" t="s">
        <v>9</v>
      </c>
      <c r="J155" s="99" t="s">
        <v>1016</v>
      </c>
      <c r="K155" s="91">
        <v>28307</v>
      </c>
      <c r="L155" s="90">
        <v>1977</v>
      </c>
      <c r="M155" s="90">
        <f t="shared" si="5"/>
        <v>42</v>
      </c>
      <c r="N155" s="135" t="s">
        <v>3</v>
      </c>
      <c r="O155" s="135" t="s">
        <v>1004</v>
      </c>
      <c r="P155" s="99" t="s">
        <v>1272</v>
      </c>
      <c r="R155" s="99" t="s">
        <v>23</v>
      </c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  <c r="AQ155" s="88"/>
      <c r="AR155" s="88"/>
      <c r="AS155" s="88"/>
      <c r="AT155" s="88"/>
      <c r="AU155" s="89"/>
    </row>
    <row r="156" spans="1:47" s="135" customFormat="1" ht="25.5">
      <c r="A156" s="88"/>
      <c r="B156" s="203"/>
      <c r="C156" s="203"/>
      <c r="D156" s="135">
        <v>149</v>
      </c>
      <c r="E156" s="99" t="s">
        <v>828</v>
      </c>
      <c r="F156" s="135" t="s">
        <v>712</v>
      </c>
      <c r="G156" s="90" t="s">
        <v>2047</v>
      </c>
      <c r="H156" s="135" t="s">
        <v>1</v>
      </c>
      <c r="I156" s="135" t="s">
        <v>9</v>
      </c>
      <c r="J156" s="99" t="s">
        <v>2051</v>
      </c>
      <c r="K156" s="91">
        <v>29220</v>
      </c>
      <c r="L156" s="90">
        <v>1979</v>
      </c>
      <c r="M156" s="90">
        <f t="shared" si="5"/>
        <v>40</v>
      </c>
      <c r="N156" s="135" t="s">
        <v>3</v>
      </c>
      <c r="O156" s="135" t="s">
        <v>1004</v>
      </c>
      <c r="P156" s="99" t="s">
        <v>1288</v>
      </c>
      <c r="R156" s="99" t="s">
        <v>1276</v>
      </c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  <c r="AQ156" s="88"/>
      <c r="AR156" s="88"/>
      <c r="AS156" s="88"/>
      <c r="AT156" s="88"/>
      <c r="AU156" s="89"/>
    </row>
    <row r="157" spans="1:47" s="135" customFormat="1" ht="25.5">
      <c r="A157" s="88"/>
      <c r="B157" s="203"/>
      <c r="C157" s="203"/>
      <c r="D157" s="135">
        <v>150</v>
      </c>
      <c r="E157" s="99" t="s">
        <v>830</v>
      </c>
      <c r="F157" s="135" t="s">
        <v>12</v>
      </c>
      <c r="G157" s="90" t="s">
        <v>2048</v>
      </c>
      <c r="H157" s="135" t="s">
        <v>18</v>
      </c>
      <c r="I157" s="135" t="s">
        <v>15</v>
      </c>
      <c r="J157" s="99" t="s">
        <v>1016</v>
      </c>
      <c r="K157" s="91">
        <v>37225</v>
      </c>
      <c r="L157" s="90">
        <v>2001</v>
      </c>
      <c r="M157" s="90">
        <f t="shared" si="5"/>
        <v>18</v>
      </c>
      <c r="N157" s="135" t="s">
        <v>3</v>
      </c>
      <c r="O157" s="135" t="s">
        <v>1004</v>
      </c>
      <c r="P157" s="99" t="s">
        <v>1272</v>
      </c>
      <c r="R157" s="99" t="s">
        <v>1309</v>
      </c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  <c r="AQ157" s="88"/>
      <c r="AR157" s="88"/>
      <c r="AS157" s="88"/>
      <c r="AT157" s="88"/>
      <c r="AU157" s="89"/>
    </row>
    <row r="158" spans="1:47" s="135" customFormat="1" ht="25.5">
      <c r="A158" s="88"/>
      <c r="B158" s="203"/>
      <c r="C158" s="203"/>
      <c r="D158" s="135">
        <v>151</v>
      </c>
      <c r="E158" s="99" t="s">
        <v>829</v>
      </c>
      <c r="F158" s="135" t="s">
        <v>12</v>
      </c>
      <c r="G158" s="90" t="s">
        <v>2049</v>
      </c>
      <c r="H158" s="135" t="s">
        <v>1</v>
      </c>
      <c r="I158" s="135" t="s">
        <v>15</v>
      </c>
      <c r="J158" s="99" t="s">
        <v>1045</v>
      </c>
      <c r="K158" s="91">
        <v>39382</v>
      </c>
      <c r="L158" s="90">
        <v>2007</v>
      </c>
      <c r="M158" s="90">
        <f t="shared" si="5"/>
        <v>12</v>
      </c>
      <c r="N158" s="135" t="s">
        <v>3</v>
      </c>
      <c r="O158" s="135" t="s">
        <v>1004</v>
      </c>
      <c r="P158" s="99" t="s">
        <v>1274</v>
      </c>
      <c r="R158" s="99" t="s">
        <v>1309</v>
      </c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  <c r="AQ158" s="88"/>
      <c r="AR158" s="88"/>
      <c r="AS158" s="88"/>
      <c r="AT158" s="88"/>
      <c r="AU158" s="89"/>
    </row>
    <row r="159" spans="1:47" s="135" customFormat="1" ht="25.5">
      <c r="A159" s="88"/>
      <c r="B159" s="203"/>
      <c r="C159" s="203"/>
      <c r="D159" s="135">
        <v>152</v>
      </c>
      <c r="E159" s="99" t="s">
        <v>831</v>
      </c>
      <c r="F159" s="135" t="s">
        <v>12</v>
      </c>
      <c r="G159" s="90" t="s">
        <v>2050</v>
      </c>
      <c r="H159" s="135" t="s">
        <v>18</v>
      </c>
      <c r="I159" s="135" t="s">
        <v>15</v>
      </c>
      <c r="J159" s="99" t="s">
        <v>1016</v>
      </c>
      <c r="K159" s="91">
        <v>41880</v>
      </c>
      <c r="L159" s="90">
        <v>2014</v>
      </c>
      <c r="M159" s="90">
        <f t="shared" si="5"/>
        <v>5</v>
      </c>
      <c r="N159" s="135" t="s">
        <v>3</v>
      </c>
      <c r="O159" s="135" t="s">
        <v>1004</v>
      </c>
      <c r="P159" s="99" t="s">
        <v>1288</v>
      </c>
      <c r="R159" s="99" t="s">
        <v>1277</v>
      </c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  <c r="AQ159" s="88"/>
      <c r="AR159" s="88"/>
      <c r="AS159" s="88"/>
      <c r="AT159" s="88"/>
      <c r="AU159" s="89"/>
    </row>
    <row r="160" spans="1:47" s="135" customFormat="1">
      <c r="A160" s="88"/>
      <c r="B160" s="210">
        <v>42</v>
      </c>
      <c r="C160" s="210" t="s">
        <v>2033</v>
      </c>
      <c r="D160" s="135">
        <v>153</v>
      </c>
      <c r="E160" s="99" t="s">
        <v>832</v>
      </c>
      <c r="F160" s="135" t="s">
        <v>6</v>
      </c>
      <c r="G160" s="90" t="s">
        <v>949</v>
      </c>
      <c r="H160" s="135" t="s">
        <v>18</v>
      </c>
      <c r="I160" s="135" t="s">
        <v>9</v>
      </c>
      <c r="J160" s="99" t="s">
        <v>993</v>
      </c>
      <c r="K160" s="91">
        <v>22463</v>
      </c>
      <c r="L160" s="90">
        <v>1961</v>
      </c>
      <c r="M160" s="90">
        <f t="shared" si="5"/>
        <v>58</v>
      </c>
      <c r="N160" s="135" t="s">
        <v>3</v>
      </c>
      <c r="O160" s="135" t="s">
        <v>1004</v>
      </c>
      <c r="P160" s="99" t="s">
        <v>1273</v>
      </c>
      <c r="R160" s="99" t="s">
        <v>1318</v>
      </c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  <c r="AQ160" s="88"/>
      <c r="AR160" s="88"/>
      <c r="AS160" s="88"/>
      <c r="AT160" s="88"/>
      <c r="AU160" s="89"/>
    </row>
    <row r="161" spans="1:47" s="135" customFormat="1">
      <c r="A161" s="88"/>
      <c r="B161" s="212"/>
      <c r="C161" s="212"/>
      <c r="D161" s="135">
        <v>154</v>
      </c>
      <c r="E161" s="99" t="s">
        <v>833</v>
      </c>
      <c r="F161" s="135" t="s">
        <v>712</v>
      </c>
      <c r="G161" s="90" t="s">
        <v>950</v>
      </c>
      <c r="H161" s="135" t="s">
        <v>1</v>
      </c>
      <c r="I161" s="135" t="s">
        <v>9</v>
      </c>
      <c r="J161" s="99" t="s">
        <v>993</v>
      </c>
      <c r="K161" s="91">
        <v>23559</v>
      </c>
      <c r="L161" s="90">
        <v>1964</v>
      </c>
      <c r="M161" s="90">
        <f t="shared" si="5"/>
        <v>55</v>
      </c>
      <c r="N161" s="135" t="s">
        <v>3</v>
      </c>
      <c r="O161" s="135" t="s">
        <v>1004</v>
      </c>
      <c r="P161" s="99" t="s">
        <v>1273</v>
      </c>
      <c r="R161" s="99" t="s">
        <v>1318</v>
      </c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  <c r="AQ161" s="88"/>
      <c r="AR161" s="88"/>
      <c r="AS161" s="88"/>
      <c r="AT161" s="88"/>
      <c r="AU161" s="89"/>
    </row>
    <row r="162" spans="1:47" s="135" customFormat="1" ht="38.25">
      <c r="A162" s="88"/>
      <c r="B162" s="203">
        <v>43</v>
      </c>
      <c r="C162" s="203" t="s">
        <v>2024</v>
      </c>
      <c r="D162" s="135">
        <v>155</v>
      </c>
      <c r="E162" s="99" t="s">
        <v>2025</v>
      </c>
      <c r="F162" s="135" t="s">
        <v>6</v>
      </c>
      <c r="G162" s="90" t="s">
        <v>951</v>
      </c>
      <c r="H162" s="135" t="s">
        <v>18</v>
      </c>
      <c r="I162" s="135" t="s">
        <v>9</v>
      </c>
      <c r="J162" s="99" t="s">
        <v>993</v>
      </c>
      <c r="K162" s="91">
        <v>32289</v>
      </c>
      <c r="L162" s="90">
        <v>1988</v>
      </c>
      <c r="M162" s="90">
        <f t="shared" si="5"/>
        <v>31</v>
      </c>
      <c r="N162" s="135" t="s">
        <v>3</v>
      </c>
      <c r="O162" s="135" t="s">
        <v>1004</v>
      </c>
      <c r="P162" s="99" t="s">
        <v>1197</v>
      </c>
      <c r="R162" s="99" t="s">
        <v>23</v>
      </c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  <c r="AQ162" s="88"/>
      <c r="AR162" s="88"/>
      <c r="AS162" s="88"/>
      <c r="AT162" s="88"/>
      <c r="AU162" s="89"/>
    </row>
    <row r="163" spans="1:47" s="135" customFormat="1" ht="25.5">
      <c r="A163" s="88"/>
      <c r="B163" s="203"/>
      <c r="C163" s="203"/>
      <c r="D163" s="135">
        <v>156</v>
      </c>
      <c r="E163" s="99" t="s">
        <v>2026</v>
      </c>
      <c r="F163" s="135" t="s">
        <v>21</v>
      </c>
      <c r="G163" s="90" t="s">
        <v>2029</v>
      </c>
      <c r="H163" s="135" t="s">
        <v>1</v>
      </c>
      <c r="I163" s="135" t="s">
        <v>9</v>
      </c>
      <c r="J163" s="99" t="s">
        <v>1271</v>
      </c>
      <c r="K163" s="91">
        <v>34171</v>
      </c>
      <c r="L163" s="90">
        <v>1993</v>
      </c>
      <c r="M163" s="90">
        <f t="shared" ref="M163:M165" si="6">2019-L163</f>
        <v>26</v>
      </c>
      <c r="N163" s="135" t="s">
        <v>3</v>
      </c>
      <c r="O163" s="135" t="s">
        <v>1004</v>
      </c>
      <c r="P163" s="99" t="s">
        <v>2032</v>
      </c>
      <c r="R163" s="99" t="s">
        <v>1162</v>
      </c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  <c r="AQ163" s="88"/>
      <c r="AR163" s="88"/>
      <c r="AS163" s="88"/>
      <c r="AT163" s="88"/>
      <c r="AU163" s="89"/>
    </row>
    <row r="164" spans="1:47" s="135" customFormat="1" ht="25.5">
      <c r="A164" s="88"/>
      <c r="B164" s="203"/>
      <c r="C164" s="203"/>
      <c r="D164" s="135">
        <v>157</v>
      </c>
      <c r="E164" s="99" t="s">
        <v>2027</v>
      </c>
      <c r="F164" s="135" t="s">
        <v>12</v>
      </c>
      <c r="G164" s="90" t="s">
        <v>2030</v>
      </c>
      <c r="H164" s="135" t="s">
        <v>18</v>
      </c>
      <c r="I164" s="135" t="s">
        <v>15</v>
      </c>
      <c r="J164" s="99" t="s">
        <v>1072</v>
      </c>
      <c r="K164" s="91">
        <v>42751</v>
      </c>
      <c r="L164" s="90">
        <v>2017</v>
      </c>
      <c r="M164" s="90">
        <f t="shared" si="6"/>
        <v>2</v>
      </c>
      <c r="N164" s="135" t="s">
        <v>3</v>
      </c>
      <c r="O164" s="135" t="s">
        <v>1004</v>
      </c>
      <c r="P164" s="99" t="s">
        <v>1288</v>
      </c>
      <c r="R164" s="99" t="s">
        <v>1277</v>
      </c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  <c r="AQ164" s="88"/>
      <c r="AR164" s="88"/>
      <c r="AS164" s="88"/>
      <c r="AT164" s="88"/>
      <c r="AU164" s="89"/>
    </row>
    <row r="165" spans="1:47" s="135" customFormat="1" ht="25.5">
      <c r="A165" s="88"/>
      <c r="B165" s="203"/>
      <c r="C165" s="203"/>
      <c r="D165" s="135">
        <v>158</v>
      </c>
      <c r="E165" s="99" t="s">
        <v>2028</v>
      </c>
      <c r="F165" s="135" t="s">
        <v>12</v>
      </c>
      <c r="G165" s="90" t="s">
        <v>2031</v>
      </c>
      <c r="H165" s="135" t="s">
        <v>1</v>
      </c>
      <c r="I165" s="135" t="s">
        <v>15</v>
      </c>
      <c r="J165" s="99" t="s">
        <v>1072</v>
      </c>
      <c r="K165" s="91">
        <v>43339</v>
      </c>
      <c r="L165" s="90">
        <v>2018</v>
      </c>
      <c r="M165" s="90">
        <f t="shared" si="6"/>
        <v>1</v>
      </c>
      <c r="N165" s="135" t="s">
        <v>3</v>
      </c>
      <c r="O165" s="135" t="s">
        <v>1004</v>
      </c>
      <c r="P165" s="99" t="s">
        <v>1288</v>
      </c>
      <c r="R165" s="99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  <c r="AQ165" s="88"/>
      <c r="AR165" s="88"/>
      <c r="AS165" s="88"/>
      <c r="AT165" s="88"/>
      <c r="AU165" s="89"/>
    </row>
    <row r="166" spans="1:47" s="135" customFormat="1">
      <c r="A166" s="88"/>
      <c r="B166" s="203">
        <v>44</v>
      </c>
      <c r="C166" s="203"/>
      <c r="D166" s="135">
        <v>159</v>
      </c>
      <c r="E166" s="99" t="s">
        <v>836</v>
      </c>
      <c r="F166" s="135" t="s">
        <v>6</v>
      </c>
      <c r="G166" s="90" t="s">
        <v>952</v>
      </c>
      <c r="H166" s="135" t="s">
        <v>18</v>
      </c>
      <c r="I166" s="135" t="s">
        <v>9</v>
      </c>
      <c r="J166" s="99"/>
      <c r="K166" s="91">
        <v>30681</v>
      </c>
      <c r="L166" s="90">
        <v>1983</v>
      </c>
      <c r="M166" s="90">
        <f t="shared" ref="M166:M206" si="7">2019-L166</f>
        <v>36</v>
      </c>
      <c r="N166" s="135" t="s">
        <v>3</v>
      </c>
      <c r="O166" s="135" t="s">
        <v>1004</v>
      </c>
      <c r="P166" s="99" t="s">
        <v>4</v>
      </c>
      <c r="R166" s="99" t="s">
        <v>714</v>
      </c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  <c r="AQ166" s="88"/>
      <c r="AR166" s="88"/>
      <c r="AS166" s="88"/>
      <c r="AT166" s="88"/>
      <c r="AU166" s="89"/>
    </row>
    <row r="167" spans="1:47" s="135" customFormat="1">
      <c r="A167" s="88"/>
      <c r="B167" s="203"/>
      <c r="C167" s="203"/>
      <c r="D167" s="135">
        <v>160</v>
      </c>
      <c r="E167" s="99" t="s">
        <v>837</v>
      </c>
      <c r="F167" s="135" t="s">
        <v>712</v>
      </c>
      <c r="G167" s="90" t="s">
        <v>953</v>
      </c>
      <c r="H167" s="135" t="s">
        <v>1</v>
      </c>
      <c r="I167" s="135" t="s">
        <v>9</v>
      </c>
      <c r="J167" s="99"/>
      <c r="K167" s="91">
        <v>30825</v>
      </c>
      <c r="L167" s="90">
        <v>1984</v>
      </c>
      <c r="M167" s="90">
        <f t="shared" si="7"/>
        <v>35</v>
      </c>
      <c r="N167" s="135" t="s">
        <v>3</v>
      </c>
      <c r="O167" s="135" t="s">
        <v>1004</v>
      </c>
      <c r="P167" s="99" t="s">
        <v>4</v>
      </c>
      <c r="R167" s="99" t="s">
        <v>5</v>
      </c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  <c r="AQ167" s="88"/>
      <c r="AR167" s="88"/>
      <c r="AS167" s="88"/>
      <c r="AT167" s="88"/>
      <c r="AU167" s="89"/>
    </row>
    <row r="168" spans="1:47" s="135" customFormat="1" ht="25.5">
      <c r="A168" s="88"/>
      <c r="B168" s="203"/>
      <c r="C168" s="203"/>
      <c r="D168" s="135">
        <v>161</v>
      </c>
      <c r="E168" s="99" t="s">
        <v>838</v>
      </c>
      <c r="F168" s="135" t="s">
        <v>12</v>
      </c>
      <c r="G168" s="90" t="s">
        <v>954</v>
      </c>
      <c r="H168" s="135" t="s">
        <v>1</v>
      </c>
      <c r="I168" s="135" t="s">
        <v>15</v>
      </c>
      <c r="J168" s="99"/>
      <c r="K168" s="91">
        <v>38640</v>
      </c>
      <c r="L168" s="90">
        <v>2005</v>
      </c>
      <c r="M168" s="90">
        <f t="shared" si="7"/>
        <v>14</v>
      </c>
      <c r="N168" s="135" t="s">
        <v>3</v>
      </c>
      <c r="O168" s="135" t="s">
        <v>1004</v>
      </c>
      <c r="P168" s="99" t="s">
        <v>11</v>
      </c>
      <c r="R168" s="99" t="s">
        <v>11</v>
      </c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  <c r="AQ168" s="88"/>
      <c r="AR168" s="88"/>
      <c r="AS168" s="88"/>
      <c r="AT168" s="88"/>
      <c r="AU168" s="89"/>
    </row>
    <row r="169" spans="1:47" s="135" customFormat="1" ht="25.5">
      <c r="A169" s="88"/>
      <c r="B169" s="203"/>
      <c r="C169" s="203"/>
      <c r="D169" s="135">
        <v>162</v>
      </c>
      <c r="E169" s="99" t="s">
        <v>839</v>
      </c>
      <c r="F169" s="135" t="s">
        <v>12</v>
      </c>
      <c r="G169" s="90" t="s">
        <v>955</v>
      </c>
      <c r="H169" s="135" t="s">
        <v>18</v>
      </c>
      <c r="I169" s="135" t="s">
        <v>15</v>
      </c>
      <c r="J169" s="99"/>
      <c r="K169" s="91">
        <v>40710</v>
      </c>
      <c r="L169" s="90">
        <v>2011</v>
      </c>
      <c r="M169" s="90">
        <f t="shared" si="7"/>
        <v>8</v>
      </c>
      <c r="N169" s="135" t="s">
        <v>3</v>
      </c>
      <c r="O169" s="135" t="s">
        <v>1004</v>
      </c>
      <c r="P169" s="99" t="s">
        <v>11</v>
      </c>
      <c r="R169" s="99" t="s">
        <v>11</v>
      </c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  <c r="AQ169" s="88"/>
      <c r="AR169" s="88"/>
      <c r="AS169" s="88"/>
      <c r="AT169" s="88"/>
      <c r="AU169" s="89"/>
    </row>
    <row r="170" spans="1:47" s="135" customFormat="1">
      <c r="A170" s="88"/>
      <c r="B170" s="135">
        <v>45</v>
      </c>
      <c r="D170" s="135">
        <v>163</v>
      </c>
      <c r="E170" s="99" t="s">
        <v>840</v>
      </c>
      <c r="F170" s="135" t="s">
        <v>6</v>
      </c>
      <c r="G170" s="90"/>
      <c r="H170" s="135" t="s">
        <v>18</v>
      </c>
      <c r="I170" s="135" t="s">
        <v>133</v>
      </c>
      <c r="J170" s="99"/>
      <c r="K170" s="91">
        <v>12061</v>
      </c>
      <c r="L170" s="90">
        <v>1933</v>
      </c>
      <c r="M170" s="90">
        <f t="shared" si="7"/>
        <v>86</v>
      </c>
      <c r="N170" s="135" t="s">
        <v>3</v>
      </c>
      <c r="O170" s="135" t="s">
        <v>1004</v>
      </c>
      <c r="P170" s="99" t="s">
        <v>54</v>
      </c>
      <c r="R170" s="99" t="s">
        <v>720</v>
      </c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  <c r="AQ170" s="88"/>
      <c r="AR170" s="88"/>
      <c r="AS170" s="88"/>
      <c r="AT170" s="88"/>
      <c r="AU170" s="89"/>
    </row>
    <row r="171" spans="1:47" s="135" customFormat="1" ht="38.25">
      <c r="A171" s="88"/>
      <c r="B171" s="210">
        <v>46</v>
      </c>
      <c r="C171" s="210" t="s">
        <v>1992</v>
      </c>
      <c r="D171" s="135">
        <v>164</v>
      </c>
      <c r="E171" s="99" t="s">
        <v>841</v>
      </c>
      <c r="F171" s="135" t="s">
        <v>6</v>
      </c>
      <c r="G171" s="90" t="s">
        <v>956</v>
      </c>
      <c r="H171" s="135" t="s">
        <v>18</v>
      </c>
      <c r="I171" s="135" t="s">
        <v>9</v>
      </c>
      <c r="J171" s="99" t="s">
        <v>1016</v>
      </c>
      <c r="K171" s="91">
        <v>26481</v>
      </c>
      <c r="L171" s="90">
        <v>1972</v>
      </c>
      <c r="M171" s="90">
        <f t="shared" si="7"/>
        <v>47</v>
      </c>
      <c r="N171" s="135" t="s">
        <v>3</v>
      </c>
      <c r="O171" s="135" t="s">
        <v>1004</v>
      </c>
      <c r="P171" s="99" t="s">
        <v>1287</v>
      </c>
      <c r="R171" s="99" t="s">
        <v>1032</v>
      </c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  <c r="AQ171" s="88"/>
      <c r="AR171" s="88"/>
      <c r="AS171" s="88"/>
      <c r="AT171" s="88"/>
      <c r="AU171" s="89"/>
    </row>
    <row r="172" spans="1:47" s="135" customFormat="1" ht="25.5">
      <c r="A172" s="88"/>
      <c r="B172" s="211"/>
      <c r="C172" s="211"/>
      <c r="D172" s="135">
        <v>165</v>
      </c>
      <c r="E172" s="99" t="s">
        <v>842</v>
      </c>
      <c r="F172" s="135" t="s">
        <v>712</v>
      </c>
      <c r="G172" s="90" t="s">
        <v>957</v>
      </c>
      <c r="H172" s="135" t="s">
        <v>1</v>
      </c>
      <c r="I172" s="135" t="s">
        <v>9</v>
      </c>
      <c r="J172" s="99" t="s">
        <v>1017</v>
      </c>
      <c r="K172" s="91">
        <v>28855</v>
      </c>
      <c r="L172" s="90">
        <v>1978</v>
      </c>
      <c r="M172" s="90">
        <f t="shared" si="7"/>
        <v>41</v>
      </c>
      <c r="N172" s="135" t="s">
        <v>3</v>
      </c>
      <c r="O172" s="135" t="s">
        <v>1004</v>
      </c>
      <c r="P172" s="99" t="s">
        <v>1273</v>
      </c>
      <c r="R172" s="99" t="s">
        <v>1276</v>
      </c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  <c r="AQ172" s="88"/>
      <c r="AR172" s="88"/>
      <c r="AS172" s="88"/>
      <c r="AT172" s="88"/>
      <c r="AU172" s="89"/>
    </row>
    <row r="173" spans="1:47" s="135" customFormat="1" ht="25.5">
      <c r="A173" s="88"/>
      <c r="B173" s="211"/>
      <c r="C173" s="211"/>
      <c r="D173" s="135">
        <v>166</v>
      </c>
      <c r="E173" s="99" t="s">
        <v>1993</v>
      </c>
      <c r="F173" s="135" t="s">
        <v>12</v>
      </c>
      <c r="G173" s="90" t="s">
        <v>959</v>
      </c>
      <c r="H173" s="135" t="s">
        <v>18</v>
      </c>
      <c r="I173" s="135" t="s">
        <v>15</v>
      </c>
      <c r="J173" s="99" t="s">
        <v>993</v>
      </c>
      <c r="K173" s="91">
        <v>35895</v>
      </c>
      <c r="L173" s="90">
        <v>1998</v>
      </c>
      <c r="M173" s="90">
        <f t="shared" si="7"/>
        <v>21</v>
      </c>
      <c r="N173" s="135" t="s">
        <v>3</v>
      </c>
      <c r="O173" s="135" t="s">
        <v>1004</v>
      </c>
      <c r="P173" s="99" t="s">
        <v>1287</v>
      </c>
      <c r="R173" s="99" t="s">
        <v>23</v>
      </c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  <c r="AQ173" s="88"/>
      <c r="AR173" s="88"/>
      <c r="AS173" s="88"/>
      <c r="AT173" s="88"/>
      <c r="AU173" s="89"/>
    </row>
    <row r="174" spans="1:47" s="135" customFormat="1" ht="25.5">
      <c r="A174" s="88"/>
      <c r="B174" s="211"/>
      <c r="C174" s="211"/>
      <c r="D174" s="135">
        <v>167</v>
      </c>
      <c r="E174" s="99" t="s">
        <v>845</v>
      </c>
      <c r="F174" s="135" t="s">
        <v>12</v>
      </c>
      <c r="G174" s="90" t="s">
        <v>960</v>
      </c>
      <c r="H174" s="135" t="s">
        <v>18</v>
      </c>
      <c r="I174" s="135" t="s">
        <v>15</v>
      </c>
      <c r="J174" s="99" t="s">
        <v>1016</v>
      </c>
      <c r="K174" s="91">
        <v>38820</v>
      </c>
      <c r="L174" s="90">
        <v>2006</v>
      </c>
      <c r="M174" s="90">
        <f t="shared" si="7"/>
        <v>13</v>
      </c>
      <c r="N174" s="135" t="s">
        <v>3</v>
      </c>
      <c r="O174" s="135" t="s">
        <v>1004</v>
      </c>
      <c r="P174" s="99" t="s">
        <v>1274</v>
      </c>
      <c r="R174" s="99" t="s">
        <v>1309</v>
      </c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  <c r="AQ174" s="88"/>
      <c r="AR174" s="88"/>
      <c r="AS174" s="88"/>
      <c r="AT174" s="88"/>
      <c r="AU174" s="89"/>
    </row>
    <row r="175" spans="1:47" s="135" customFormat="1">
      <c r="A175" s="88"/>
      <c r="B175" s="212"/>
      <c r="C175" s="212"/>
      <c r="D175" s="135">
        <v>168</v>
      </c>
      <c r="E175" s="99" t="s">
        <v>846</v>
      </c>
      <c r="F175" s="135" t="s">
        <v>16</v>
      </c>
      <c r="G175" s="90"/>
      <c r="H175" s="135" t="s">
        <v>18</v>
      </c>
      <c r="I175" s="135" t="s">
        <v>15</v>
      </c>
      <c r="J175" s="99"/>
      <c r="K175" s="91">
        <v>36526</v>
      </c>
      <c r="L175" s="90">
        <v>2000</v>
      </c>
      <c r="M175" s="90">
        <f t="shared" si="7"/>
        <v>19</v>
      </c>
      <c r="N175" s="135" t="s">
        <v>3</v>
      </c>
      <c r="O175" s="135" t="s">
        <v>1004</v>
      </c>
      <c r="P175" s="99" t="s">
        <v>11</v>
      </c>
      <c r="R175" s="99" t="s">
        <v>11</v>
      </c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  <c r="AQ175" s="88"/>
      <c r="AR175" s="88"/>
      <c r="AS175" s="88"/>
      <c r="AT175" s="88"/>
      <c r="AU175" s="89"/>
    </row>
    <row r="176" spans="1:47" s="135" customFormat="1" ht="25.5">
      <c r="A176" s="88"/>
      <c r="B176" s="203">
        <v>47</v>
      </c>
      <c r="C176" s="203" t="s">
        <v>1978</v>
      </c>
      <c r="D176" s="135">
        <v>169</v>
      </c>
      <c r="E176" s="99" t="s">
        <v>847</v>
      </c>
      <c r="F176" s="135" t="s">
        <v>6</v>
      </c>
      <c r="G176" s="90" t="s">
        <v>961</v>
      </c>
      <c r="H176" s="135" t="s">
        <v>1</v>
      </c>
      <c r="I176" s="135" t="s">
        <v>1020</v>
      </c>
      <c r="J176" s="99" t="s">
        <v>993</v>
      </c>
      <c r="K176" s="91">
        <v>19359</v>
      </c>
      <c r="L176" s="90">
        <v>1952</v>
      </c>
      <c r="M176" s="90">
        <f t="shared" si="7"/>
        <v>67</v>
      </c>
      <c r="N176" s="135" t="s">
        <v>3</v>
      </c>
      <c r="O176" s="135" t="s">
        <v>1004</v>
      </c>
      <c r="P176" s="99" t="s">
        <v>1272</v>
      </c>
      <c r="R176" s="99" t="s">
        <v>1276</v>
      </c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  <c r="AQ176" s="88"/>
      <c r="AR176" s="88"/>
      <c r="AS176" s="88"/>
      <c r="AT176" s="88"/>
      <c r="AU176" s="89"/>
    </row>
    <row r="177" spans="1:47" s="135" customFormat="1" ht="25.5">
      <c r="A177" s="88"/>
      <c r="B177" s="203"/>
      <c r="C177" s="203"/>
      <c r="D177" s="135">
        <v>170</v>
      </c>
      <c r="E177" s="99" t="s">
        <v>1979</v>
      </c>
      <c r="F177" s="135" t="s">
        <v>12</v>
      </c>
      <c r="G177" s="90" t="s">
        <v>1981</v>
      </c>
      <c r="H177" s="135" t="s">
        <v>18</v>
      </c>
      <c r="I177" s="135" t="s">
        <v>15</v>
      </c>
      <c r="J177" s="99" t="s">
        <v>993</v>
      </c>
      <c r="K177" s="91">
        <v>31852</v>
      </c>
      <c r="L177" s="90">
        <v>1987</v>
      </c>
      <c r="M177" s="90">
        <f t="shared" si="7"/>
        <v>32</v>
      </c>
      <c r="N177" s="135" t="s">
        <v>3</v>
      </c>
      <c r="O177" s="135" t="s">
        <v>1004</v>
      </c>
      <c r="P177" s="99" t="s">
        <v>1287</v>
      </c>
      <c r="R177" s="99" t="s">
        <v>1309</v>
      </c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  <c r="AQ177" s="88"/>
      <c r="AR177" s="88"/>
      <c r="AS177" s="88"/>
      <c r="AT177" s="88"/>
      <c r="AU177" s="89"/>
    </row>
    <row r="178" spans="1:47" s="135" customFormat="1" ht="25.5">
      <c r="A178" s="88"/>
      <c r="B178" s="203"/>
      <c r="C178" s="203"/>
      <c r="D178" s="135">
        <v>171</v>
      </c>
      <c r="E178" s="99" t="s">
        <v>1980</v>
      </c>
      <c r="F178" s="135" t="s">
        <v>12</v>
      </c>
      <c r="G178" s="90" t="s">
        <v>962</v>
      </c>
      <c r="H178" s="135" t="s">
        <v>18</v>
      </c>
      <c r="I178" s="135" t="s">
        <v>15</v>
      </c>
      <c r="J178" s="99" t="s">
        <v>993</v>
      </c>
      <c r="K178" s="91">
        <v>34593</v>
      </c>
      <c r="L178" s="90">
        <v>1994</v>
      </c>
      <c r="M178" s="90">
        <f t="shared" si="7"/>
        <v>25</v>
      </c>
      <c r="N178" s="135" t="s">
        <v>3</v>
      </c>
      <c r="O178" s="135" t="s">
        <v>1004</v>
      </c>
      <c r="P178" s="99" t="s">
        <v>1287</v>
      </c>
      <c r="R178" s="99" t="s">
        <v>1309</v>
      </c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  <c r="AQ178" s="88"/>
      <c r="AR178" s="88"/>
      <c r="AS178" s="88"/>
      <c r="AT178" s="88"/>
      <c r="AU178" s="89"/>
    </row>
    <row r="179" spans="1:47" s="135" customFormat="1" ht="25.5">
      <c r="A179" s="88"/>
      <c r="B179" s="203">
        <v>48</v>
      </c>
      <c r="C179" s="203" t="s">
        <v>1356</v>
      </c>
      <c r="D179" s="135">
        <v>172</v>
      </c>
      <c r="E179" s="99" t="s">
        <v>848</v>
      </c>
      <c r="F179" s="135" t="s">
        <v>6</v>
      </c>
      <c r="G179" s="90" t="s">
        <v>1358</v>
      </c>
      <c r="H179" s="135" t="s">
        <v>18</v>
      </c>
      <c r="I179" s="135" t="s">
        <v>9</v>
      </c>
      <c r="J179" s="99" t="s">
        <v>1016</v>
      </c>
      <c r="K179" s="91">
        <v>25521</v>
      </c>
      <c r="L179" s="90">
        <v>1969</v>
      </c>
      <c r="M179" s="90">
        <f t="shared" si="7"/>
        <v>50</v>
      </c>
      <c r="N179" s="135" t="s">
        <v>3</v>
      </c>
      <c r="O179" s="135" t="s">
        <v>1004</v>
      </c>
      <c r="P179" s="99" t="s">
        <v>1287</v>
      </c>
      <c r="R179" s="99" t="s">
        <v>23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  <c r="AQ179" s="88"/>
      <c r="AR179" s="88"/>
      <c r="AS179" s="88"/>
      <c r="AT179" s="88"/>
      <c r="AU179" s="89"/>
    </row>
    <row r="180" spans="1:47" s="135" customFormat="1" ht="25.5">
      <c r="A180" s="88"/>
      <c r="B180" s="203"/>
      <c r="C180" s="203"/>
      <c r="D180" s="135">
        <v>173</v>
      </c>
      <c r="E180" s="99" t="s">
        <v>849</v>
      </c>
      <c r="F180" s="135" t="s">
        <v>712</v>
      </c>
      <c r="G180" s="90" t="s">
        <v>1359</v>
      </c>
      <c r="H180" s="135" t="s">
        <v>1</v>
      </c>
      <c r="I180" s="135" t="s">
        <v>9</v>
      </c>
      <c r="J180" s="99" t="s">
        <v>1016</v>
      </c>
      <c r="K180" s="91">
        <v>26481</v>
      </c>
      <c r="L180" s="90">
        <v>1972</v>
      </c>
      <c r="M180" s="90">
        <f t="shared" si="7"/>
        <v>47</v>
      </c>
      <c r="N180" s="135" t="s">
        <v>3</v>
      </c>
      <c r="O180" s="135" t="s">
        <v>1004</v>
      </c>
      <c r="P180" s="99" t="s">
        <v>1287</v>
      </c>
      <c r="R180" s="99" t="s">
        <v>23</v>
      </c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  <c r="AQ180" s="88"/>
      <c r="AR180" s="88"/>
      <c r="AS180" s="88"/>
      <c r="AT180" s="88"/>
      <c r="AU180" s="89"/>
    </row>
    <row r="181" spans="1:47" s="135" customFormat="1" ht="25.5">
      <c r="A181" s="88"/>
      <c r="B181" s="203"/>
      <c r="C181" s="203"/>
      <c r="D181" s="135">
        <v>174</v>
      </c>
      <c r="E181" s="99" t="s">
        <v>850</v>
      </c>
      <c r="F181" s="135" t="s">
        <v>12</v>
      </c>
      <c r="G181" s="90" t="s">
        <v>1360</v>
      </c>
      <c r="H181" s="135" t="s">
        <v>18</v>
      </c>
      <c r="I181" s="135" t="s">
        <v>15</v>
      </c>
      <c r="J181" s="99" t="s">
        <v>993</v>
      </c>
      <c r="K181" s="91">
        <v>34641</v>
      </c>
      <c r="L181" s="90">
        <v>1994</v>
      </c>
      <c r="M181" s="90">
        <f t="shared" si="7"/>
        <v>25</v>
      </c>
      <c r="N181" s="135" t="s">
        <v>3</v>
      </c>
      <c r="O181" s="135" t="s">
        <v>1004</v>
      </c>
      <c r="P181" s="99" t="s">
        <v>1288</v>
      </c>
      <c r="R181" s="99" t="s">
        <v>1309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  <c r="AQ181" s="88"/>
      <c r="AR181" s="88"/>
      <c r="AS181" s="88"/>
      <c r="AT181" s="88"/>
      <c r="AU181" s="89"/>
    </row>
    <row r="182" spans="1:47" s="135" customFormat="1" ht="25.5">
      <c r="A182" s="88"/>
      <c r="B182" s="203"/>
      <c r="C182" s="203"/>
      <c r="D182" s="135">
        <v>175</v>
      </c>
      <c r="E182" s="99" t="s">
        <v>1357</v>
      </c>
      <c r="F182" s="135" t="s">
        <v>12</v>
      </c>
      <c r="G182" s="90" t="s">
        <v>1361</v>
      </c>
      <c r="H182" s="135" t="s">
        <v>1</v>
      </c>
      <c r="I182" s="135" t="s">
        <v>15</v>
      </c>
      <c r="J182" s="99" t="s">
        <v>993</v>
      </c>
      <c r="K182" s="91">
        <v>36513</v>
      </c>
      <c r="L182" s="90">
        <v>1999</v>
      </c>
      <c r="M182" s="90">
        <f t="shared" si="7"/>
        <v>20</v>
      </c>
      <c r="N182" s="135" t="s">
        <v>3</v>
      </c>
      <c r="O182" s="135" t="s">
        <v>1004</v>
      </c>
      <c r="P182" s="99" t="s">
        <v>1274</v>
      </c>
      <c r="R182" s="99" t="s">
        <v>1309</v>
      </c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  <c r="AQ182" s="88"/>
      <c r="AR182" s="88"/>
      <c r="AS182" s="88"/>
      <c r="AT182" s="88"/>
      <c r="AU182" s="89"/>
    </row>
    <row r="183" spans="1:47" s="135" customFormat="1" ht="25.5">
      <c r="A183" s="88"/>
      <c r="B183" s="203"/>
      <c r="C183" s="203"/>
      <c r="D183" s="135">
        <v>176</v>
      </c>
      <c r="E183" s="99" t="s">
        <v>851</v>
      </c>
      <c r="F183" s="135" t="s">
        <v>12</v>
      </c>
      <c r="G183" s="90" t="s">
        <v>1362</v>
      </c>
      <c r="H183" s="135" t="s">
        <v>18</v>
      </c>
      <c r="I183" s="135" t="s">
        <v>15</v>
      </c>
      <c r="J183" s="99" t="s">
        <v>993</v>
      </c>
      <c r="K183" s="91">
        <v>37438</v>
      </c>
      <c r="L183" s="90">
        <v>2002</v>
      </c>
      <c r="M183" s="90">
        <f t="shared" si="7"/>
        <v>17</v>
      </c>
      <c r="N183" s="135" t="s">
        <v>3</v>
      </c>
      <c r="O183" s="135" t="s">
        <v>1004</v>
      </c>
      <c r="P183" s="99" t="s">
        <v>1274</v>
      </c>
      <c r="R183" s="99" t="s">
        <v>1309</v>
      </c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  <c r="AQ183" s="88"/>
      <c r="AR183" s="88"/>
      <c r="AS183" s="88"/>
      <c r="AT183" s="88"/>
      <c r="AU183" s="89"/>
    </row>
    <row r="184" spans="1:47" s="135" customFormat="1">
      <c r="A184" s="88"/>
      <c r="B184" s="203">
        <v>49</v>
      </c>
      <c r="C184" s="203"/>
      <c r="D184" s="135">
        <v>177</v>
      </c>
      <c r="E184" s="99" t="s">
        <v>852</v>
      </c>
      <c r="F184" s="135" t="s">
        <v>6</v>
      </c>
      <c r="G184" s="90" t="s">
        <v>963</v>
      </c>
      <c r="H184" s="135" t="s">
        <v>18</v>
      </c>
      <c r="I184" s="135" t="s">
        <v>9</v>
      </c>
      <c r="J184" s="99"/>
      <c r="K184" s="91">
        <v>26795</v>
      </c>
      <c r="L184" s="90">
        <v>1973</v>
      </c>
      <c r="M184" s="90">
        <f t="shared" si="7"/>
        <v>46</v>
      </c>
      <c r="N184" s="135" t="s">
        <v>3</v>
      </c>
      <c r="O184" s="135" t="s">
        <v>1004</v>
      </c>
      <c r="P184" s="99" t="s">
        <v>1287</v>
      </c>
      <c r="R184" s="99" t="s">
        <v>39</v>
      </c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  <c r="AQ184" s="88"/>
      <c r="AR184" s="88"/>
      <c r="AS184" s="88"/>
      <c r="AT184" s="88"/>
      <c r="AU184" s="89"/>
    </row>
    <row r="185" spans="1:47" s="135" customFormat="1">
      <c r="A185" s="88"/>
      <c r="B185" s="203"/>
      <c r="C185" s="203"/>
      <c r="D185" s="135">
        <v>178</v>
      </c>
      <c r="E185" s="99" t="s">
        <v>853</v>
      </c>
      <c r="F185" s="135" t="s">
        <v>712</v>
      </c>
      <c r="G185" s="90" t="s">
        <v>964</v>
      </c>
      <c r="H185" s="135" t="s">
        <v>1</v>
      </c>
      <c r="I185" s="135" t="s">
        <v>9</v>
      </c>
      <c r="J185" s="99"/>
      <c r="K185" s="91">
        <v>27200</v>
      </c>
      <c r="L185" s="90">
        <v>1974</v>
      </c>
      <c r="M185" s="90">
        <f t="shared" si="7"/>
        <v>45</v>
      </c>
      <c r="N185" s="135" t="s">
        <v>3</v>
      </c>
      <c r="O185" s="135" t="s">
        <v>1004</v>
      </c>
      <c r="P185" s="99" t="s">
        <v>1287</v>
      </c>
      <c r="R185" s="99" t="s">
        <v>5</v>
      </c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  <c r="AQ185" s="88"/>
      <c r="AR185" s="88"/>
      <c r="AS185" s="88"/>
      <c r="AT185" s="88"/>
      <c r="AU185" s="89"/>
    </row>
    <row r="186" spans="1:47" s="135" customFormat="1" ht="25.5">
      <c r="A186" s="88"/>
      <c r="B186" s="203"/>
      <c r="C186" s="203"/>
      <c r="D186" s="135">
        <v>179</v>
      </c>
      <c r="E186" s="99" t="s">
        <v>854</v>
      </c>
      <c r="F186" s="135" t="s">
        <v>12</v>
      </c>
      <c r="G186" s="90" t="s">
        <v>965</v>
      </c>
      <c r="H186" s="135" t="s">
        <v>18</v>
      </c>
      <c r="I186" s="135" t="s">
        <v>15</v>
      </c>
      <c r="J186" s="99"/>
      <c r="K186" s="91">
        <v>37406</v>
      </c>
      <c r="L186" s="90">
        <v>2002</v>
      </c>
      <c r="M186" s="90">
        <f t="shared" si="7"/>
        <v>17</v>
      </c>
      <c r="N186" s="135" t="s">
        <v>3</v>
      </c>
      <c r="O186" s="135" t="s">
        <v>1004</v>
      </c>
      <c r="P186" s="99" t="s">
        <v>4</v>
      </c>
      <c r="R186" s="99" t="s">
        <v>11</v>
      </c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  <c r="AQ186" s="88"/>
      <c r="AR186" s="88"/>
      <c r="AS186" s="88"/>
      <c r="AT186" s="88"/>
      <c r="AU186" s="89"/>
    </row>
    <row r="187" spans="1:47" s="135" customFormat="1" ht="25.5">
      <c r="A187" s="88"/>
      <c r="B187" s="203">
        <v>50</v>
      </c>
      <c r="C187" s="203" t="s">
        <v>2142</v>
      </c>
      <c r="D187" s="135">
        <v>180</v>
      </c>
      <c r="E187" s="99" t="s">
        <v>855</v>
      </c>
      <c r="F187" s="135" t="s">
        <v>6</v>
      </c>
      <c r="G187" s="90" t="s">
        <v>2147</v>
      </c>
      <c r="H187" s="135" t="s">
        <v>18</v>
      </c>
      <c r="I187" s="135" t="s">
        <v>9</v>
      </c>
      <c r="J187" s="99" t="s">
        <v>993</v>
      </c>
      <c r="K187" s="91">
        <v>27936</v>
      </c>
      <c r="L187" s="90">
        <v>1976</v>
      </c>
      <c r="M187" s="90">
        <f t="shared" si="7"/>
        <v>43</v>
      </c>
      <c r="N187" s="135" t="s">
        <v>3</v>
      </c>
      <c r="O187" s="135" t="s">
        <v>1004</v>
      </c>
      <c r="P187" s="99" t="s">
        <v>1287</v>
      </c>
      <c r="R187" s="99" t="s">
        <v>1334</v>
      </c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  <c r="AQ187" s="88"/>
      <c r="AR187" s="88"/>
      <c r="AS187" s="88"/>
      <c r="AT187" s="88"/>
      <c r="AU187" s="89"/>
    </row>
    <row r="188" spans="1:47" s="135" customFormat="1" ht="25.5">
      <c r="A188" s="88"/>
      <c r="B188" s="203"/>
      <c r="C188" s="203"/>
      <c r="D188" s="135">
        <v>181</v>
      </c>
      <c r="E188" s="99" t="s">
        <v>856</v>
      </c>
      <c r="F188" s="135" t="s">
        <v>712</v>
      </c>
      <c r="G188" s="90" t="s">
        <v>2148</v>
      </c>
      <c r="H188" s="135" t="s">
        <v>1</v>
      </c>
      <c r="I188" s="135" t="s">
        <v>9</v>
      </c>
      <c r="J188" s="99" t="s">
        <v>1470</v>
      </c>
      <c r="K188" s="91">
        <v>29333</v>
      </c>
      <c r="L188" s="90">
        <v>1980</v>
      </c>
      <c r="M188" s="90">
        <f t="shared" si="7"/>
        <v>39</v>
      </c>
      <c r="N188" s="135" t="s">
        <v>3</v>
      </c>
      <c r="O188" s="135" t="s">
        <v>1004</v>
      </c>
      <c r="P188" s="99" t="s">
        <v>1287</v>
      </c>
      <c r="R188" s="99" t="s">
        <v>1276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  <c r="AQ188" s="88"/>
      <c r="AR188" s="88"/>
      <c r="AS188" s="88"/>
      <c r="AT188" s="88"/>
      <c r="AU188" s="89"/>
    </row>
    <row r="189" spans="1:47" s="135" customFormat="1" ht="38.25">
      <c r="A189" s="88"/>
      <c r="B189" s="203"/>
      <c r="C189" s="203"/>
      <c r="D189" s="135">
        <v>182</v>
      </c>
      <c r="E189" s="99" t="s">
        <v>2143</v>
      </c>
      <c r="F189" s="135" t="s">
        <v>12</v>
      </c>
      <c r="G189" s="90" t="s">
        <v>2149</v>
      </c>
      <c r="H189" s="135" t="s">
        <v>1</v>
      </c>
      <c r="I189" s="135" t="s">
        <v>15</v>
      </c>
      <c r="J189" s="99" t="s">
        <v>1470</v>
      </c>
      <c r="K189" s="91">
        <v>37624</v>
      </c>
      <c r="L189" s="90">
        <v>2003</v>
      </c>
      <c r="M189" s="90">
        <f t="shared" si="7"/>
        <v>16</v>
      </c>
      <c r="N189" s="135" t="s">
        <v>3</v>
      </c>
      <c r="O189" s="135" t="s">
        <v>1004</v>
      </c>
      <c r="P189" s="99" t="s">
        <v>1272</v>
      </c>
      <c r="R189" s="99" t="s">
        <v>1309</v>
      </c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  <c r="AQ189" s="88"/>
      <c r="AR189" s="88"/>
      <c r="AS189" s="88"/>
      <c r="AT189" s="88"/>
      <c r="AU189" s="89"/>
    </row>
    <row r="190" spans="1:47" s="135" customFormat="1" ht="38.25">
      <c r="A190" s="88"/>
      <c r="B190" s="203"/>
      <c r="C190" s="203"/>
      <c r="D190" s="135">
        <v>183</v>
      </c>
      <c r="E190" s="99" t="s">
        <v>2144</v>
      </c>
      <c r="F190" s="135" t="s">
        <v>12</v>
      </c>
      <c r="G190" s="90" t="s">
        <v>2146</v>
      </c>
      <c r="H190" s="135" t="s">
        <v>18</v>
      </c>
      <c r="I190" s="135" t="s">
        <v>15</v>
      </c>
      <c r="J190" s="99" t="s">
        <v>1470</v>
      </c>
      <c r="K190" s="91">
        <v>38969</v>
      </c>
      <c r="L190" s="90">
        <v>2006</v>
      </c>
      <c r="M190" s="90">
        <f t="shared" si="7"/>
        <v>13</v>
      </c>
      <c r="N190" s="135" t="s">
        <v>3</v>
      </c>
      <c r="O190" s="135" t="s">
        <v>1004</v>
      </c>
      <c r="P190" s="99" t="s">
        <v>1274</v>
      </c>
      <c r="R190" s="99" t="s">
        <v>1309</v>
      </c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  <c r="AQ190" s="88"/>
      <c r="AR190" s="88"/>
      <c r="AS190" s="88"/>
      <c r="AT190" s="88"/>
      <c r="AU190" s="89"/>
    </row>
    <row r="191" spans="1:47" s="135" customFormat="1" ht="25.5">
      <c r="A191" s="88"/>
      <c r="B191" s="203"/>
      <c r="C191" s="203"/>
      <c r="D191" s="135">
        <v>184</v>
      </c>
      <c r="E191" s="99" t="s">
        <v>2145</v>
      </c>
      <c r="F191" s="135" t="s">
        <v>12</v>
      </c>
      <c r="G191" s="90" t="s">
        <v>2150</v>
      </c>
      <c r="H191" s="135" t="s">
        <v>1</v>
      </c>
      <c r="I191" s="135" t="s">
        <v>15</v>
      </c>
      <c r="J191" s="99" t="s">
        <v>1045</v>
      </c>
      <c r="K191" s="91">
        <v>42250</v>
      </c>
      <c r="L191" s="90">
        <v>2015</v>
      </c>
      <c r="M191" s="90">
        <f t="shared" si="7"/>
        <v>4</v>
      </c>
      <c r="P191" s="99" t="s">
        <v>1288</v>
      </c>
      <c r="R191" s="99" t="s">
        <v>1277</v>
      </c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  <c r="AQ191" s="88"/>
      <c r="AR191" s="88"/>
      <c r="AS191" s="88"/>
      <c r="AT191" s="88"/>
      <c r="AU191" s="89"/>
    </row>
    <row r="192" spans="1:47" s="135" customFormat="1" ht="25.5">
      <c r="A192" s="88"/>
      <c r="B192" s="203">
        <v>51</v>
      </c>
      <c r="C192" s="203" t="s">
        <v>2041</v>
      </c>
      <c r="D192" s="135">
        <v>185</v>
      </c>
      <c r="E192" s="99" t="s">
        <v>857</v>
      </c>
      <c r="F192" s="135" t="s">
        <v>6</v>
      </c>
      <c r="G192" s="90" t="s">
        <v>2043</v>
      </c>
      <c r="H192" s="135" t="s">
        <v>18</v>
      </c>
      <c r="I192" s="135" t="s">
        <v>9</v>
      </c>
      <c r="J192" s="99" t="s">
        <v>1016</v>
      </c>
      <c r="K192" s="91">
        <v>27997</v>
      </c>
      <c r="L192" s="90">
        <v>1976</v>
      </c>
      <c r="M192" s="90">
        <f t="shared" si="7"/>
        <v>43</v>
      </c>
      <c r="N192" s="135" t="s">
        <v>3</v>
      </c>
      <c r="O192" s="135" t="s">
        <v>1004</v>
      </c>
      <c r="P192" s="99" t="s">
        <v>1272</v>
      </c>
      <c r="R192" s="99" t="s">
        <v>1032</v>
      </c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  <c r="AQ192" s="88"/>
      <c r="AR192" s="88"/>
      <c r="AS192" s="88"/>
      <c r="AT192" s="88"/>
      <c r="AU192" s="89"/>
    </row>
    <row r="193" spans="1:47" s="135" customFormat="1" ht="25.5">
      <c r="A193" s="88"/>
      <c r="B193" s="203"/>
      <c r="C193" s="203"/>
      <c r="D193" s="135">
        <v>186</v>
      </c>
      <c r="E193" s="99" t="s">
        <v>858</v>
      </c>
      <c r="F193" s="135" t="s">
        <v>712</v>
      </c>
      <c r="G193" s="90" t="s">
        <v>966</v>
      </c>
      <c r="H193" s="135" t="s">
        <v>1</v>
      </c>
      <c r="I193" s="135" t="s">
        <v>9</v>
      </c>
      <c r="J193" s="99" t="s">
        <v>1016</v>
      </c>
      <c r="K193" s="91">
        <v>30681</v>
      </c>
      <c r="L193" s="90">
        <v>1983</v>
      </c>
      <c r="M193" s="90">
        <f t="shared" si="7"/>
        <v>36</v>
      </c>
      <c r="N193" s="135" t="s">
        <v>3</v>
      </c>
      <c r="O193" s="135" t="s">
        <v>1004</v>
      </c>
      <c r="P193" s="99" t="s">
        <v>1272</v>
      </c>
      <c r="R193" s="99" t="s">
        <v>2044</v>
      </c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  <c r="AQ193" s="88"/>
      <c r="AR193" s="88"/>
      <c r="AS193" s="88"/>
      <c r="AT193" s="88"/>
      <c r="AU193" s="89"/>
    </row>
    <row r="194" spans="1:47" s="135" customFormat="1" ht="25.5">
      <c r="A194" s="88"/>
      <c r="B194" s="203"/>
      <c r="C194" s="203"/>
      <c r="D194" s="135">
        <v>187</v>
      </c>
      <c r="E194" s="99" t="s">
        <v>859</v>
      </c>
      <c r="F194" s="135" t="s">
        <v>12</v>
      </c>
      <c r="G194" s="90" t="s">
        <v>967</v>
      </c>
      <c r="H194" s="135" t="s">
        <v>1</v>
      </c>
      <c r="I194" s="135" t="s">
        <v>15</v>
      </c>
      <c r="J194" s="99" t="s">
        <v>1016</v>
      </c>
      <c r="K194" s="91">
        <v>38410</v>
      </c>
      <c r="L194" s="90">
        <v>2005</v>
      </c>
      <c r="M194" s="90">
        <f t="shared" si="7"/>
        <v>14</v>
      </c>
      <c r="N194" s="135" t="s">
        <v>3</v>
      </c>
      <c r="O194" s="135" t="s">
        <v>1004</v>
      </c>
      <c r="P194" s="99" t="s">
        <v>1274</v>
      </c>
      <c r="R194" s="99" t="s">
        <v>1309</v>
      </c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  <c r="AQ194" s="88"/>
      <c r="AR194" s="88"/>
      <c r="AS194" s="88"/>
      <c r="AT194" s="88"/>
      <c r="AU194" s="89"/>
    </row>
    <row r="195" spans="1:47" s="135" customFormat="1" ht="25.5">
      <c r="A195" s="88"/>
      <c r="B195" s="203"/>
      <c r="C195" s="203"/>
      <c r="D195" s="135">
        <v>188</v>
      </c>
      <c r="E195" s="99" t="s">
        <v>2042</v>
      </c>
      <c r="F195" s="135" t="s">
        <v>12</v>
      </c>
      <c r="G195" s="90" t="s">
        <v>968</v>
      </c>
      <c r="H195" s="135" t="s">
        <v>1</v>
      </c>
      <c r="I195" s="135" t="s">
        <v>15</v>
      </c>
      <c r="J195" s="99" t="s">
        <v>995</v>
      </c>
      <c r="K195" s="91">
        <v>41917</v>
      </c>
      <c r="L195" s="90">
        <v>2014</v>
      </c>
      <c r="M195" s="90">
        <f t="shared" si="7"/>
        <v>5</v>
      </c>
      <c r="N195" s="135" t="s">
        <v>3</v>
      </c>
      <c r="O195" s="135" t="s">
        <v>1004</v>
      </c>
      <c r="P195" s="99" t="s">
        <v>1288</v>
      </c>
      <c r="R195" s="99" t="s">
        <v>1277</v>
      </c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  <c r="AQ195" s="88"/>
      <c r="AR195" s="88"/>
      <c r="AS195" s="88"/>
      <c r="AT195" s="88"/>
      <c r="AU195" s="89"/>
    </row>
    <row r="196" spans="1:47" s="135" customFormat="1" ht="25.5">
      <c r="A196" s="88"/>
      <c r="B196" s="203">
        <v>52</v>
      </c>
      <c r="C196" s="203"/>
      <c r="D196" s="135">
        <v>189</v>
      </c>
      <c r="E196" s="99" t="s">
        <v>860</v>
      </c>
      <c r="F196" s="135" t="s">
        <v>6</v>
      </c>
      <c r="G196" s="90" t="s">
        <v>969</v>
      </c>
      <c r="H196" s="135" t="s">
        <v>18</v>
      </c>
      <c r="I196" s="135" t="s">
        <v>9</v>
      </c>
      <c r="J196" s="99"/>
      <c r="K196" s="91">
        <v>31170</v>
      </c>
      <c r="L196" s="90">
        <v>1985</v>
      </c>
      <c r="M196" s="90">
        <f t="shared" si="7"/>
        <v>34</v>
      </c>
      <c r="N196" s="135" t="s">
        <v>3</v>
      </c>
      <c r="O196" s="135" t="s">
        <v>1004</v>
      </c>
      <c r="P196" s="99" t="s">
        <v>1287</v>
      </c>
      <c r="R196" s="99" t="s">
        <v>19</v>
      </c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  <c r="AQ196" s="88"/>
      <c r="AR196" s="88"/>
      <c r="AS196" s="88"/>
      <c r="AT196" s="88"/>
      <c r="AU196" s="89"/>
    </row>
    <row r="197" spans="1:47" s="135" customFormat="1" ht="25.5">
      <c r="A197" s="88"/>
      <c r="B197" s="203"/>
      <c r="C197" s="203"/>
      <c r="D197" s="135">
        <v>190</v>
      </c>
      <c r="E197" s="99" t="s">
        <v>861</v>
      </c>
      <c r="F197" s="135" t="s">
        <v>712</v>
      </c>
      <c r="G197" s="90" t="s">
        <v>970</v>
      </c>
      <c r="H197" s="135" t="s">
        <v>1</v>
      </c>
      <c r="I197" s="135" t="s">
        <v>9</v>
      </c>
      <c r="J197" s="99"/>
      <c r="K197" s="91">
        <v>32080</v>
      </c>
      <c r="L197" s="90">
        <v>1987</v>
      </c>
      <c r="M197" s="90">
        <f t="shared" si="7"/>
        <v>32</v>
      </c>
      <c r="N197" s="135" t="s">
        <v>3</v>
      </c>
      <c r="O197" s="135" t="s">
        <v>1004</v>
      </c>
      <c r="P197" s="99" t="s">
        <v>1287</v>
      </c>
      <c r="R197" s="99" t="s">
        <v>762</v>
      </c>
      <c r="S197" s="88"/>
      <c r="T197" s="88"/>
      <c r="U197" s="88"/>
      <c r="V197" s="88"/>
      <c r="W197" s="88"/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  <c r="AQ197" s="88"/>
      <c r="AR197" s="88"/>
      <c r="AS197" s="88"/>
      <c r="AT197" s="88"/>
      <c r="AU197" s="89"/>
    </row>
    <row r="198" spans="1:47" s="135" customFormat="1">
      <c r="A198" s="88"/>
      <c r="B198" s="203">
        <v>53</v>
      </c>
      <c r="C198" s="203"/>
      <c r="D198" s="135">
        <v>191</v>
      </c>
      <c r="E198" s="99" t="s">
        <v>862</v>
      </c>
      <c r="F198" s="135" t="s">
        <v>6</v>
      </c>
      <c r="G198" s="90" t="s">
        <v>971</v>
      </c>
      <c r="H198" s="135" t="s">
        <v>1</v>
      </c>
      <c r="I198" s="135" t="s">
        <v>2</v>
      </c>
      <c r="J198" s="99"/>
      <c r="K198" s="91">
        <v>14976</v>
      </c>
      <c r="L198" s="90">
        <v>1940</v>
      </c>
      <c r="M198" s="90">
        <f t="shared" si="7"/>
        <v>79</v>
      </c>
      <c r="N198" s="135" t="s">
        <v>3</v>
      </c>
      <c r="O198" s="135" t="s">
        <v>1004</v>
      </c>
      <c r="P198" s="99" t="s">
        <v>11</v>
      </c>
      <c r="R198" s="99" t="s">
        <v>5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  <c r="AQ198" s="88"/>
      <c r="AR198" s="88"/>
      <c r="AS198" s="88"/>
      <c r="AT198" s="88"/>
      <c r="AU198" s="89"/>
    </row>
    <row r="199" spans="1:47" s="135" customFormat="1" ht="25.5">
      <c r="A199" s="88"/>
      <c r="B199" s="203"/>
      <c r="C199" s="203"/>
      <c r="D199" s="135">
        <v>192</v>
      </c>
      <c r="E199" s="99" t="s">
        <v>863</v>
      </c>
      <c r="F199" s="135" t="s">
        <v>12</v>
      </c>
      <c r="G199" s="90"/>
      <c r="H199" s="135" t="s">
        <v>1</v>
      </c>
      <c r="I199" s="135" t="s">
        <v>2</v>
      </c>
      <c r="J199" s="99"/>
      <c r="K199" s="91">
        <v>28855</v>
      </c>
      <c r="L199" s="90">
        <v>1978</v>
      </c>
      <c r="M199" s="90">
        <f t="shared" si="7"/>
        <v>41</v>
      </c>
      <c r="N199" s="135" t="s">
        <v>3</v>
      </c>
      <c r="O199" s="135" t="s">
        <v>1004</v>
      </c>
      <c r="P199" s="99" t="s">
        <v>54</v>
      </c>
      <c r="R199" s="99" t="s">
        <v>39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  <c r="AQ199" s="88"/>
      <c r="AR199" s="88"/>
      <c r="AS199" s="88"/>
      <c r="AT199" s="88"/>
      <c r="AU199" s="89"/>
    </row>
    <row r="200" spans="1:47" s="135" customFormat="1" ht="25.5">
      <c r="A200" s="88"/>
      <c r="B200" s="203"/>
      <c r="C200" s="203"/>
      <c r="D200" s="135">
        <v>193</v>
      </c>
      <c r="E200" s="99" t="s">
        <v>864</v>
      </c>
      <c r="F200" s="135" t="s">
        <v>5</v>
      </c>
      <c r="G200" s="90" t="s">
        <v>972</v>
      </c>
      <c r="H200" s="135" t="s">
        <v>1</v>
      </c>
      <c r="I200" s="135" t="s">
        <v>15</v>
      </c>
      <c r="J200" s="99"/>
      <c r="K200" s="91">
        <v>36898</v>
      </c>
      <c r="L200" s="90">
        <v>2001</v>
      </c>
      <c r="M200" s="90">
        <f t="shared" si="7"/>
        <v>18</v>
      </c>
      <c r="N200" s="135" t="s">
        <v>3</v>
      </c>
      <c r="O200" s="135" t="s">
        <v>1004</v>
      </c>
      <c r="P200" s="99" t="s">
        <v>4</v>
      </c>
      <c r="R200" s="99" t="s">
        <v>11</v>
      </c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  <c r="AQ200" s="88"/>
      <c r="AR200" s="88"/>
      <c r="AS200" s="88"/>
      <c r="AT200" s="88"/>
      <c r="AU200" s="89"/>
    </row>
    <row r="201" spans="1:47" s="135" customFormat="1" ht="25.5">
      <c r="A201" s="88"/>
      <c r="B201" s="203">
        <v>54</v>
      </c>
      <c r="C201" s="203" t="s">
        <v>2097</v>
      </c>
      <c r="D201" s="135">
        <v>194</v>
      </c>
      <c r="E201" s="99" t="s">
        <v>865</v>
      </c>
      <c r="F201" s="135" t="s">
        <v>6</v>
      </c>
      <c r="G201" s="90" t="s">
        <v>973</v>
      </c>
      <c r="H201" s="135" t="s">
        <v>18</v>
      </c>
      <c r="I201" s="135" t="s">
        <v>9</v>
      </c>
      <c r="J201" s="99" t="s">
        <v>1016</v>
      </c>
      <c r="K201" s="91">
        <v>27834</v>
      </c>
      <c r="L201" s="90">
        <v>1976</v>
      </c>
      <c r="M201" s="90">
        <f t="shared" si="7"/>
        <v>43</v>
      </c>
      <c r="N201" s="135" t="s">
        <v>3</v>
      </c>
      <c r="O201" s="135" t="s">
        <v>1004</v>
      </c>
      <c r="P201" s="99" t="s">
        <v>1287</v>
      </c>
      <c r="R201" s="99" t="s">
        <v>23</v>
      </c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  <c r="AQ201" s="88"/>
      <c r="AR201" s="88"/>
      <c r="AS201" s="88"/>
      <c r="AT201" s="88"/>
      <c r="AU201" s="89"/>
    </row>
    <row r="202" spans="1:47" s="135" customFormat="1">
      <c r="A202" s="88"/>
      <c r="B202" s="203"/>
      <c r="C202" s="203"/>
      <c r="D202" s="135">
        <v>195</v>
      </c>
      <c r="E202" s="99" t="s">
        <v>356</v>
      </c>
      <c r="F202" s="135" t="s">
        <v>712</v>
      </c>
      <c r="G202" s="90" t="s">
        <v>2098</v>
      </c>
      <c r="H202" s="135" t="s">
        <v>1</v>
      </c>
      <c r="I202" s="135" t="s">
        <v>9</v>
      </c>
      <c r="J202" s="99" t="s">
        <v>993</v>
      </c>
      <c r="K202" s="91">
        <v>30028</v>
      </c>
      <c r="L202" s="90">
        <v>1982</v>
      </c>
      <c r="M202" s="90">
        <f t="shared" si="7"/>
        <v>37</v>
      </c>
      <c r="N202" s="135" t="s">
        <v>3</v>
      </c>
      <c r="O202" s="135" t="s">
        <v>1004</v>
      </c>
      <c r="P202" s="99" t="s">
        <v>1287</v>
      </c>
      <c r="R202" s="99" t="s">
        <v>1162</v>
      </c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  <c r="AQ202" s="88"/>
      <c r="AR202" s="88"/>
      <c r="AS202" s="88"/>
      <c r="AT202" s="88"/>
      <c r="AU202" s="89"/>
    </row>
    <row r="203" spans="1:47" s="135" customFormat="1" ht="38.25">
      <c r="A203" s="88"/>
      <c r="B203" s="203"/>
      <c r="C203" s="203"/>
      <c r="D203" s="135">
        <v>196</v>
      </c>
      <c r="E203" s="99" t="s">
        <v>2095</v>
      </c>
      <c r="F203" s="135" t="s">
        <v>12</v>
      </c>
      <c r="G203" s="90" t="s">
        <v>974</v>
      </c>
      <c r="H203" s="135" t="s">
        <v>18</v>
      </c>
      <c r="I203" s="135" t="s">
        <v>15</v>
      </c>
      <c r="J203" s="99" t="s">
        <v>2100</v>
      </c>
      <c r="K203" s="91">
        <v>39900</v>
      </c>
      <c r="L203" s="90">
        <v>2009</v>
      </c>
      <c r="M203" s="90">
        <f t="shared" si="7"/>
        <v>10</v>
      </c>
      <c r="N203" s="135" t="s">
        <v>3</v>
      </c>
      <c r="O203" s="135" t="s">
        <v>1004</v>
      </c>
      <c r="P203" s="99" t="s">
        <v>1288</v>
      </c>
      <c r="R203" s="99" t="s">
        <v>1277</v>
      </c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  <c r="AQ203" s="88"/>
      <c r="AR203" s="88"/>
      <c r="AS203" s="88"/>
      <c r="AT203" s="88"/>
      <c r="AU203" s="89"/>
    </row>
    <row r="204" spans="1:47" s="135" customFormat="1" ht="25.5">
      <c r="A204" s="88"/>
      <c r="B204" s="203"/>
      <c r="C204" s="203"/>
      <c r="D204" s="135">
        <v>197</v>
      </c>
      <c r="E204" s="99" t="s">
        <v>866</v>
      </c>
      <c r="F204" s="135" t="s">
        <v>12</v>
      </c>
      <c r="G204" s="90" t="s">
        <v>975</v>
      </c>
      <c r="H204" s="135" t="s">
        <v>18</v>
      </c>
      <c r="I204" s="135" t="s">
        <v>15</v>
      </c>
      <c r="J204" s="99" t="s">
        <v>2101</v>
      </c>
      <c r="K204" s="91">
        <v>41444</v>
      </c>
      <c r="L204" s="90">
        <v>2013</v>
      </c>
      <c r="M204" s="90">
        <f t="shared" si="7"/>
        <v>6</v>
      </c>
      <c r="N204" s="135" t="s">
        <v>3</v>
      </c>
      <c r="O204" s="135" t="s">
        <v>1004</v>
      </c>
      <c r="P204" s="99" t="s">
        <v>1288</v>
      </c>
      <c r="R204" s="99" t="s">
        <v>1277</v>
      </c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  <c r="AQ204" s="88"/>
      <c r="AR204" s="88"/>
      <c r="AS204" s="88"/>
      <c r="AT204" s="88"/>
      <c r="AU204" s="89"/>
    </row>
    <row r="205" spans="1:47" s="135" customFormat="1" ht="25.5">
      <c r="A205" s="88"/>
      <c r="B205" s="203"/>
      <c r="C205" s="203"/>
      <c r="D205" s="135">
        <v>198</v>
      </c>
      <c r="E205" s="99" t="s">
        <v>2096</v>
      </c>
      <c r="F205" s="135" t="s">
        <v>12</v>
      </c>
      <c r="G205" s="90" t="s">
        <v>2099</v>
      </c>
      <c r="H205" s="135" t="s">
        <v>18</v>
      </c>
      <c r="I205" s="135" t="s">
        <v>15</v>
      </c>
      <c r="J205" s="99" t="s">
        <v>1045</v>
      </c>
      <c r="K205" s="91">
        <v>43294</v>
      </c>
      <c r="L205" s="90">
        <v>2018</v>
      </c>
      <c r="M205" s="90">
        <f t="shared" si="7"/>
        <v>1</v>
      </c>
      <c r="N205" s="135" t="s">
        <v>3</v>
      </c>
      <c r="O205" s="135" t="s">
        <v>1004</v>
      </c>
      <c r="P205" s="99" t="s">
        <v>1288</v>
      </c>
      <c r="R205" s="99" t="s">
        <v>1277</v>
      </c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  <c r="AQ205" s="88"/>
      <c r="AR205" s="88"/>
      <c r="AS205" s="88"/>
      <c r="AT205" s="88"/>
      <c r="AU205" s="89"/>
    </row>
    <row r="206" spans="1:47" s="135" customFormat="1">
      <c r="A206" s="88"/>
      <c r="B206" s="203">
        <v>55</v>
      </c>
      <c r="C206" s="203" t="s">
        <v>2122</v>
      </c>
      <c r="D206" s="135">
        <v>199</v>
      </c>
      <c r="E206" s="99" t="s">
        <v>867</v>
      </c>
      <c r="F206" s="135" t="s">
        <v>6</v>
      </c>
      <c r="G206" s="90" t="s">
        <v>2126</v>
      </c>
      <c r="H206" s="135" t="s">
        <v>18</v>
      </c>
      <c r="I206" s="135" t="s">
        <v>9</v>
      </c>
      <c r="J206" s="99" t="s">
        <v>993</v>
      </c>
      <c r="K206" s="91">
        <v>26664</v>
      </c>
      <c r="L206" s="90">
        <v>1972</v>
      </c>
      <c r="M206" s="90">
        <f t="shared" si="7"/>
        <v>47</v>
      </c>
      <c r="N206" s="135" t="s">
        <v>3</v>
      </c>
      <c r="O206" s="135" t="s">
        <v>1004</v>
      </c>
      <c r="P206" s="99" t="s">
        <v>1197</v>
      </c>
      <c r="R206" s="99" t="s">
        <v>23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  <c r="AQ206" s="88"/>
      <c r="AR206" s="88"/>
      <c r="AS206" s="88"/>
      <c r="AT206" s="88"/>
      <c r="AU206" s="89"/>
    </row>
    <row r="207" spans="1:47" s="135" customFormat="1">
      <c r="A207" s="88"/>
      <c r="B207" s="203"/>
      <c r="C207" s="203"/>
      <c r="D207" s="135">
        <v>200</v>
      </c>
      <c r="E207" s="99" t="s">
        <v>2123</v>
      </c>
      <c r="F207" s="135" t="s">
        <v>21</v>
      </c>
      <c r="G207" s="90" t="s">
        <v>2127</v>
      </c>
      <c r="H207" s="135" t="s">
        <v>1</v>
      </c>
      <c r="I207" s="135" t="s">
        <v>9</v>
      </c>
      <c r="J207" s="99" t="s">
        <v>2131</v>
      </c>
      <c r="K207" s="91">
        <v>29951</v>
      </c>
      <c r="L207" s="90">
        <v>1981</v>
      </c>
      <c r="M207" s="90">
        <f t="shared" ref="M207:M214" si="8">2019-L207</f>
        <v>38</v>
      </c>
      <c r="N207" s="135" t="s">
        <v>3</v>
      </c>
      <c r="O207" s="135" t="s">
        <v>1004</v>
      </c>
      <c r="P207" s="99" t="s">
        <v>1197</v>
      </c>
      <c r="R207" s="99" t="s">
        <v>23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  <c r="AQ207" s="88"/>
      <c r="AR207" s="88"/>
      <c r="AS207" s="88"/>
      <c r="AT207" s="88"/>
      <c r="AU207" s="89"/>
    </row>
    <row r="208" spans="1:47" s="135" customFormat="1" ht="25.5">
      <c r="A208" s="88"/>
      <c r="B208" s="203"/>
      <c r="C208" s="203"/>
      <c r="D208" s="135">
        <v>201</v>
      </c>
      <c r="E208" s="99" t="s">
        <v>2124</v>
      </c>
      <c r="F208" s="135" t="s">
        <v>12</v>
      </c>
      <c r="G208" s="90" t="s">
        <v>2128</v>
      </c>
      <c r="H208" s="135" t="s">
        <v>18</v>
      </c>
      <c r="I208" s="135" t="s">
        <v>15</v>
      </c>
      <c r="J208" s="99" t="s">
        <v>993</v>
      </c>
      <c r="K208" s="91">
        <v>37714</v>
      </c>
      <c r="L208" s="90">
        <v>2003</v>
      </c>
      <c r="M208" s="90">
        <f t="shared" si="8"/>
        <v>16</v>
      </c>
      <c r="N208" s="135" t="s">
        <v>3</v>
      </c>
      <c r="O208" s="135" t="s">
        <v>1004</v>
      </c>
      <c r="P208" s="99" t="s">
        <v>1274</v>
      </c>
      <c r="R208" s="99" t="s">
        <v>1309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  <c r="AQ208" s="88"/>
      <c r="AR208" s="88"/>
      <c r="AS208" s="88"/>
      <c r="AT208" s="88"/>
      <c r="AU208" s="89"/>
    </row>
    <row r="209" spans="1:47" s="135" customFormat="1" ht="25.5">
      <c r="A209" s="88"/>
      <c r="B209" s="203"/>
      <c r="C209" s="203"/>
      <c r="D209" s="135">
        <v>202</v>
      </c>
      <c r="E209" s="99" t="s">
        <v>868</v>
      </c>
      <c r="F209" s="135" t="s">
        <v>12</v>
      </c>
      <c r="G209" s="90" t="s">
        <v>2129</v>
      </c>
      <c r="H209" s="135" t="s">
        <v>18</v>
      </c>
      <c r="I209" s="135" t="s">
        <v>15</v>
      </c>
      <c r="J209" s="99" t="s">
        <v>993</v>
      </c>
      <c r="K209" s="91">
        <v>39213</v>
      </c>
      <c r="L209" s="90">
        <v>2007</v>
      </c>
      <c r="M209" s="90">
        <f t="shared" si="8"/>
        <v>12</v>
      </c>
      <c r="N209" s="135" t="s">
        <v>3</v>
      </c>
      <c r="O209" s="135" t="s">
        <v>1004</v>
      </c>
      <c r="P209" s="99" t="s">
        <v>1274</v>
      </c>
      <c r="R209" s="99" t="s">
        <v>1309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  <c r="AQ209" s="88"/>
      <c r="AR209" s="88"/>
      <c r="AS209" s="88"/>
      <c r="AT209" s="88"/>
      <c r="AU209" s="89"/>
    </row>
    <row r="210" spans="1:47" s="135" customFormat="1" ht="25.5">
      <c r="A210" s="88"/>
      <c r="B210" s="203"/>
      <c r="C210" s="203"/>
      <c r="D210" s="135">
        <v>203</v>
      </c>
      <c r="E210" s="99" t="s">
        <v>2125</v>
      </c>
      <c r="F210" s="135" t="s">
        <v>12</v>
      </c>
      <c r="G210" s="90" t="s">
        <v>2130</v>
      </c>
      <c r="H210" s="135" t="s">
        <v>1</v>
      </c>
      <c r="I210" s="135" t="s">
        <v>15</v>
      </c>
      <c r="J210" s="99" t="s">
        <v>993</v>
      </c>
      <c r="K210" s="91">
        <v>40992</v>
      </c>
      <c r="L210" s="90">
        <v>2012</v>
      </c>
      <c r="M210" s="90">
        <f t="shared" si="8"/>
        <v>7</v>
      </c>
      <c r="N210" s="135" t="s">
        <v>3</v>
      </c>
      <c r="O210" s="135" t="s">
        <v>1004</v>
      </c>
      <c r="P210" s="99" t="s">
        <v>1288</v>
      </c>
      <c r="R210" s="99" t="s">
        <v>1277</v>
      </c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  <c r="AQ210" s="88"/>
      <c r="AR210" s="88"/>
      <c r="AS210" s="88"/>
      <c r="AT210" s="88"/>
      <c r="AU210" s="89"/>
    </row>
    <row r="211" spans="1:47" s="135" customFormat="1" ht="25.5">
      <c r="A211" s="88"/>
      <c r="B211" s="203">
        <v>56</v>
      </c>
      <c r="C211" s="203" t="s">
        <v>1263</v>
      </c>
      <c r="D211" s="135">
        <v>204</v>
      </c>
      <c r="E211" s="99" t="s">
        <v>1264</v>
      </c>
      <c r="F211" s="135" t="s">
        <v>6</v>
      </c>
      <c r="G211" s="90" t="s">
        <v>1267</v>
      </c>
      <c r="H211" s="135" t="s">
        <v>18</v>
      </c>
      <c r="I211" s="135" t="s">
        <v>9</v>
      </c>
      <c r="J211" s="102" t="s">
        <v>1016</v>
      </c>
      <c r="K211" s="91">
        <v>22281</v>
      </c>
      <c r="L211" s="90">
        <v>1960</v>
      </c>
      <c r="M211" s="90">
        <f t="shared" si="8"/>
        <v>59</v>
      </c>
      <c r="N211" s="135" t="s">
        <v>3</v>
      </c>
      <c r="O211" s="135" t="s">
        <v>1004</v>
      </c>
      <c r="P211" s="99" t="s">
        <v>1272</v>
      </c>
      <c r="R211" s="99" t="s">
        <v>1275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  <c r="AQ211" s="88"/>
      <c r="AR211" s="88"/>
      <c r="AS211" s="88"/>
      <c r="AT211" s="88"/>
      <c r="AU211" s="89"/>
    </row>
    <row r="212" spans="1:47" s="135" customFormat="1" ht="25.5">
      <c r="A212" s="88"/>
      <c r="B212" s="203"/>
      <c r="C212" s="203"/>
      <c r="D212" s="135">
        <v>205</v>
      </c>
      <c r="E212" s="99" t="s">
        <v>1119</v>
      </c>
      <c r="F212" s="135" t="s">
        <v>21</v>
      </c>
      <c r="G212" s="90" t="s">
        <v>1268</v>
      </c>
      <c r="H212" s="135" t="s">
        <v>1</v>
      </c>
      <c r="I212" s="135" t="s">
        <v>9</v>
      </c>
      <c r="J212" s="102" t="s">
        <v>1271</v>
      </c>
      <c r="K212" s="91">
        <v>23408</v>
      </c>
      <c r="L212" s="90">
        <v>1964</v>
      </c>
      <c r="M212" s="90">
        <f t="shared" si="8"/>
        <v>55</v>
      </c>
      <c r="N212" s="135" t="s">
        <v>3</v>
      </c>
      <c r="O212" s="135" t="s">
        <v>1004</v>
      </c>
      <c r="P212" s="99" t="s">
        <v>1272</v>
      </c>
      <c r="R212" s="99" t="s">
        <v>1276</v>
      </c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  <c r="AQ212" s="88"/>
      <c r="AR212" s="88"/>
      <c r="AS212" s="88"/>
      <c r="AT212" s="88"/>
      <c r="AU212" s="89"/>
    </row>
    <row r="213" spans="1:47" s="135" customFormat="1" ht="25.5">
      <c r="A213" s="88"/>
      <c r="B213" s="203"/>
      <c r="C213" s="203"/>
      <c r="D213" s="135">
        <v>206</v>
      </c>
      <c r="E213" s="99" t="s">
        <v>1265</v>
      </c>
      <c r="F213" s="135" t="s">
        <v>12</v>
      </c>
      <c r="G213" s="90" t="s">
        <v>1269</v>
      </c>
      <c r="H213" s="135" t="s">
        <v>18</v>
      </c>
      <c r="I213" s="135" t="s">
        <v>15</v>
      </c>
      <c r="J213" s="102" t="s">
        <v>993</v>
      </c>
      <c r="K213" s="91">
        <v>34699</v>
      </c>
      <c r="L213" s="90">
        <v>1994</v>
      </c>
      <c r="M213" s="90">
        <f t="shared" si="8"/>
        <v>25</v>
      </c>
      <c r="N213" s="135" t="s">
        <v>3</v>
      </c>
      <c r="O213" s="135" t="s">
        <v>1004</v>
      </c>
      <c r="P213" s="99" t="s">
        <v>1273</v>
      </c>
      <c r="R213" s="99" t="s">
        <v>1277</v>
      </c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  <c r="AQ213" s="88"/>
      <c r="AR213" s="88"/>
      <c r="AS213" s="88"/>
      <c r="AT213" s="88"/>
      <c r="AU213" s="89"/>
    </row>
    <row r="214" spans="1:47" s="135" customFormat="1" ht="25.5">
      <c r="A214" s="88"/>
      <c r="B214" s="203"/>
      <c r="C214" s="203"/>
      <c r="D214" s="135">
        <v>207</v>
      </c>
      <c r="E214" s="99" t="s">
        <v>1266</v>
      </c>
      <c r="F214" s="135" t="s">
        <v>12</v>
      </c>
      <c r="G214" s="90" t="s">
        <v>1270</v>
      </c>
      <c r="H214" s="135" t="s">
        <v>18</v>
      </c>
      <c r="I214" s="135" t="s">
        <v>15</v>
      </c>
      <c r="J214" s="102" t="s">
        <v>993</v>
      </c>
      <c r="K214" s="91">
        <v>37251</v>
      </c>
      <c r="L214" s="90">
        <v>2001</v>
      </c>
      <c r="M214" s="90">
        <f t="shared" si="8"/>
        <v>18</v>
      </c>
      <c r="N214" s="135" t="s">
        <v>3</v>
      </c>
      <c r="O214" s="135" t="s">
        <v>1004</v>
      </c>
      <c r="P214" s="99" t="s">
        <v>1274</v>
      </c>
      <c r="R214" s="99" t="s">
        <v>1277</v>
      </c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  <c r="AQ214" s="88"/>
      <c r="AR214" s="88"/>
      <c r="AS214" s="88"/>
      <c r="AT214" s="88"/>
      <c r="AU214" s="89"/>
    </row>
    <row r="215" spans="1:47" s="135" customFormat="1" ht="25.5">
      <c r="A215" s="88"/>
      <c r="B215" s="203">
        <v>57</v>
      </c>
      <c r="C215" s="203" t="s">
        <v>1368</v>
      </c>
      <c r="D215" s="135">
        <v>208</v>
      </c>
      <c r="E215" s="99" t="s">
        <v>761</v>
      </c>
      <c r="F215" s="135" t="s">
        <v>6</v>
      </c>
      <c r="G215" s="90" t="s">
        <v>1371</v>
      </c>
      <c r="H215" s="135" t="s">
        <v>18</v>
      </c>
      <c r="I215" s="135" t="s">
        <v>9</v>
      </c>
      <c r="J215" s="102" t="s">
        <v>1016</v>
      </c>
      <c r="K215" s="91">
        <v>33972</v>
      </c>
      <c r="L215" s="90">
        <v>1993</v>
      </c>
      <c r="M215" s="90">
        <f t="shared" ref="M215:M237" si="9">2019-L215</f>
        <v>26</v>
      </c>
      <c r="N215" s="135" t="s">
        <v>3</v>
      </c>
      <c r="O215" s="135" t="s">
        <v>1004</v>
      </c>
      <c r="P215" s="99" t="s">
        <v>1287</v>
      </c>
      <c r="R215" s="99" t="s">
        <v>1162</v>
      </c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  <c r="AQ215" s="88"/>
      <c r="AR215" s="88"/>
      <c r="AS215" s="88"/>
      <c r="AT215" s="88"/>
      <c r="AU215" s="89"/>
    </row>
    <row r="216" spans="1:47" s="135" customFormat="1">
      <c r="A216" s="88"/>
      <c r="B216" s="203"/>
      <c r="C216" s="203"/>
      <c r="D216" s="135">
        <v>209</v>
      </c>
      <c r="E216" s="99" t="s">
        <v>1369</v>
      </c>
      <c r="F216" s="135" t="s">
        <v>21</v>
      </c>
      <c r="G216" s="90" t="s">
        <v>1372</v>
      </c>
      <c r="H216" s="135" t="s">
        <v>1</v>
      </c>
      <c r="I216" s="135" t="s">
        <v>9</v>
      </c>
      <c r="J216" s="102" t="s">
        <v>1374</v>
      </c>
      <c r="K216" s="91">
        <v>35735</v>
      </c>
      <c r="L216" s="90">
        <v>1997</v>
      </c>
      <c r="M216" s="90">
        <f t="shared" si="9"/>
        <v>22</v>
      </c>
      <c r="N216" s="135" t="s">
        <v>3</v>
      </c>
      <c r="O216" s="135" t="s">
        <v>1004</v>
      </c>
      <c r="P216" s="99" t="s">
        <v>1375</v>
      </c>
      <c r="R216" s="99" t="s">
        <v>1309</v>
      </c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  <c r="AQ216" s="88"/>
      <c r="AR216" s="88"/>
      <c r="AS216" s="88"/>
      <c r="AT216" s="88"/>
      <c r="AU216" s="89"/>
    </row>
    <row r="217" spans="1:47" s="135" customFormat="1" ht="25.5">
      <c r="A217" s="88"/>
      <c r="B217" s="203"/>
      <c r="C217" s="203"/>
      <c r="D217" s="135">
        <v>210</v>
      </c>
      <c r="E217" s="99" t="s">
        <v>1370</v>
      </c>
      <c r="F217" s="135" t="s">
        <v>12</v>
      </c>
      <c r="G217" s="90" t="s">
        <v>1373</v>
      </c>
      <c r="H217" s="135" t="s">
        <v>18</v>
      </c>
      <c r="I217" s="135" t="s">
        <v>15</v>
      </c>
      <c r="J217" s="102" t="s">
        <v>993</v>
      </c>
      <c r="K217" s="91">
        <v>42862</v>
      </c>
      <c r="L217" s="90">
        <v>2017</v>
      </c>
      <c r="M217" s="90">
        <f t="shared" si="9"/>
        <v>2</v>
      </c>
      <c r="N217" s="135" t="s">
        <v>3</v>
      </c>
      <c r="O217" s="135" t="s">
        <v>1004</v>
      </c>
      <c r="P217" s="99" t="s">
        <v>1287</v>
      </c>
      <c r="R217" s="99" t="s">
        <v>1277</v>
      </c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  <c r="AQ217" s="88"/>
      <c r="AR217" s="88"/>
      <c r="AS217" s="88"/>
      <c r="AT217" s="88"/>
      <c r="AU217" s="89"/>
    </row>
    <row r="218" spans="1:47" s="135" customFormat="1">
      <c r="A218" s="88"/>
      <c r="B218" s="203">
        <v>58</v>
      </c>
      <c r="C218" s="203" t="s">
        <v>2034</v>
      </c>
      <c r="D218" s="135">
        <v>211</v>
      </c>
      <c r="E218" s="99" t="s">
        <v>2035</v>
      </c>
      <c r="F218" s="135" t="s">
        <v>6</v>
      </c>
      <c r="G218" s="90" t="s">
        <v>2038</v>
      </c>
      <c r="H218" s="135" t="s">
        <v>18</v>
      </c>
      <c r="I218" s="135" t="s">
        <v>9</v>
      </c>
      <c r="J218" s="102" t="s">
        <v>993</v>
      </c>
      <c r="K218" s="91">
        <v>33101</v>
      </c>
      <c r="L218" s="90">
        <v>1990</v>
      </c>
      <c r="M218" s="90">
        <f t="shared" si="9"/>
        <v>29</v>
      </c>
      <c r="N218" s="135" t="s">
        <v>3</v>
      </c>
      <c r="O218" s="135" t="s">
        <v>1004</v>
      </c>
      <c r="P218" s="99" t="s">
        <v>1287</v>
      </c>
      <c r="R218" s="99" t="s">
        <v>23</v>
      </c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  <c r="AQ218" s="88"/>
      <c r="AR218" s="88"/>
      <c r="AS218" s="88"/>
      <c r="AT218" s="88"/>
      <c r="AU218" s="89"/>
    </row>
    <row r="219" spans="1:47" s="135" customFormat="1" ht="25.5">
      <c r="A219" s="88"/>
      <c r="B219" s="203"/>
      <c r="C219" s="203"/>
      <c r="D219" s="135">
        <v>212</v>
      </c>
      <c r="E219" s="99" t="s">
        <v>2036</v>
      </c>
      <c r="F219" s="135" t="s">
        <v>21</v>
      </c>
      <c r="G219" s="90" t="s">
        <v>2039</v>
      </c>
      <c r="H219" s="135" t="s">
        <v>1</v>
      </c>
      <c r="I219" s="135" t="s">
        <v>9</v>
      </c>
      <c r="J219" s="102" t="s">
        <v>1045</v>
      </c>
      <c r="K219" s="91">
        <v>32856</v>
      </c>
      <c r="L219" s="90">
        <v>1989</v>
      </c>
      <c r="M219" s="90">
        <f t="shared" si="9"/>
        <v>30</v>
      </c>
      <c r="N219" s="135" t="s">
        <v>3</v>
      </c>
      <c r="O219" s="135" t="s">
        <v>1004</v>
      </c>
      <c r="P219" s="99" t="s">
        <v>1287</v>
      </c>
      <c r="R219" s="99" t="s">
        <v>1277</v>
      </c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  <c r="AQ219" s="88"/>
      <c r="AR219" s="88"/>
      <c r="AS219" s="88"/>
      <c r="AT219" s="88"/>
      <c r="AU219" s="89"/>
    </row>
    <row r="220" spans="1:47" s="135" customFormat="1" ht="25.5">
      <c r="A220" s="88"/>
      <c r="B220" s="203"/>
      <c r="C220" s="203"/>
      <c r="D220" s="135">
        <v>213</v>
      </c>
      <c r="E220" s="99" t="s">
        <v>2037</v>
      </c>
      <c r="F220" s="135" t="s">
        <v>12</v>
      </c>
      <c r="G220" s="90" t="s">
        <v>2040</v>
      </c>
      <c r="H220" s="135" t="s">
        <v>18</v>
      </c>
      <c r="I220" s="135" t="s">
        <v>15</v>
      </c>
      <c r="J220" s="102" t="s">
        <v>1071</v>
      </c>
      <c r="K220" s="91">
        <v>39190</v>
      </c>
      <c r="L220" s="90">
        <v>2007</v>
      </c>
      <c r="M220" s="90">
        <f t="shared" si="9"/>
        <v>12</v>
      </c>
      <c r="N220" s="135" t="s">
        <v>3</v>
      </c>
      <c r="O220" s="135" t="s">
        <v>1004</v>
      </c>
      <c r="P220" s="99" t="s">
        <v>1288</v>
      </c>
      <c r="R220" s="99" t="s">
        <v>1277</v>
      </c>
      <c r="S220" s="88"/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  <c r="AQ220" s="88"/>
      <c r="AR220" s="88"/>
      <c r="AS220" s="88"/>
      <c r="AT220" s="88"/>
      <c r="AU220" s="89"/>
    </row>
    <row r="221" spans="1:47" s="135" customFormat="1" ht="25.5">
      <c r="A221" s="88"/>
      <c r="B221" s="203">
        <v>59</v>
      </c>
      <c r="C221" s="203" t="s">
        <v>2053</v>
      </c>
      <c r="D221" s="135">
        <v>214</v>
      </c>
      <c r="E221" s="99" t="s">
        <v>2054</v>
      </c>
      <c r="F221" s="135" t="s">
        <v>6</v>
      </c>
      <c r="G221" s="90" t="s">
        <v>2059</v>
      </c>
      <c r="H221" s="135" t="s">
        <v>18</v>
      </c>
      <c r="I221" s="135" t="s">
        <v>9</v>
      </c>
      <c r="J221" s="102" t="s">
        <v>1072</v>
      </c>
      <c r="K221" s="91">
        <v>29952</v>
      </c>
      <c r="L221" s="90">
        <v>1982</v>
      </c>
      <c r="M221" s="90">
        <f t="shared" si="9"/>
        <v>37</v>
      </c>
      <c r="N221" s="135" t="s">
        <v>3</v>
      </c>
      <c r="O221" s="135" t="s">
        <v>1004</v>
      </c>
      <c r="P221" s="99" t="s">
        <v>1287</v>
      </c>
      <c r="R221" s="99" t="s">
        <v>2066</v>
      </c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  <c r="AQ221" s="88"/>
      <c r="AR221" s="88"/>
      <c r="AS221" s="88"/>
      <c r="AT221" s="88"/>
      <c r="AU221" s="89"/>
    </row>
    <row r="222" spans="1:47" s="135" customFormat="1" ht="25.5">
      <c r="A222" s="88"/>
      <c r="B222" s="203"/>
      <c r="C222" s="203"/>
      <c r="D222" s="135">
        <v>215</v>
      </c>
      <c r="E222" s="99" t="s">
        <v>2055</v>
      </c>
      <c r="F222" s="135" t="s">
        <v>21</v>
      </c>
      <c r="G222" s="90" t="s">
        <v>2060</v>
      </c>
      <c r="H222" s="135" t="s">
        <v>1</v>
      </c>
      <c r="I222" s="135" t="s">
        <v>9</v>
      </c>
      <c r="J222" s="102" t="s">
        <v>2064</v>
      </c>
      <c r="K222" s="91">
        <v>32867</v>
      </c>
      <c r="L222" s="90">
        <v>1989</v>
      </c>
      <c r="M222" s="90">
        <f t="shared" si="9"/>
        <v>30</v>
      </c>
      <c r="N222" s="135" t="s">
        <v>3</v>
      </c>
      <c r="O222" s="135" t="s">
        <v>1004</v>
      </c>
      <c r="P222" s="99" t="s">
        <v>1287</v>
      </c>
      <c r="R222" s="99" t="s">
        <v>1276</v>
      </c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  <c r="AQ222" s="88"/>
      <c r="AR222" s="88"/>
      <c r="AS222" s="88"/>
      <c r="AT222" s="88"/>
      <c r="AU222" s="89"/>
    </row>
    <row r="223" spans="1:47" s="135" customFormat="1" ht="25.5">
      <c r="A223" s="88"/>
      <c r="B223" s="203"/>
      <c r="C223" s="203"/>
      <c r="D223" s="135">
        <v>216</v>
      </c>
      <c r="E223" s="99" t="s">
        <v>2056</v>
      </c>
      <c r="F223" s="135" t="s">
        <v>12</v>
      </c>
      <c r="G223" s="90" t="s">
        <v>2061</v>
      </c>
      <c r="H223" s="135" t="s">
        <v>18</v>
      </c>
      <c r="I223" s="135" t="s">
        <v>15</v>
      </c>
      <c r="J223" s="102" t="s">
        <v>2065</v>
      </c>
      <c r="K223" s="91">
        <v>40624</v>
      </c>
      <c r="L223" s="90">
        <v>2011</v>
      </c>
      <c r="M223" s="90">
        <f t="shared" si="9"/>
        <v>8</v>
      </c>
      <c r="N223" s="135" t="s">
        <v>3</v>
      </c>
      <c r="O223" s="135" t="s">
        <v>1004</v>
      </c>
      <c r="P223" s="99" t="s">
        <v>1288</v>
      </c>
      <c r="R223" s="99" t="s">
        <v>1277</v>
      </c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  <c r="AQ223" s="88"/>
      <c r="AR223" s="88"/>
      <c r="AS223" s="88"/>
      <c r="AT223" s="88"/>
      <c r="AU223" s="89"/>
    </row>
    <row r="224" spans="1:47" s="135" customFormat="1" ht="25.5">
      <c r="A224" s="88"/>
      <c r="B224" s="203"/>
      <c r="C224" s="203"/>
      <c r="D224" s="135">
        <v>217</v>
      </c>
      <c r="E224" s="99" t="s">
        <v>2057</v>
      </c>
      <c r="F224" s="135" t="s">
        <v>12</v>
      </c>
      <c r="G224" s="90" t="s">
        <v>2062</v>
      </c>
      <c r="H224" s="135" t="s">
        <v>1</v>
      </c>
      <c r="I224" s="135" t="s">
        <v>15</v>
      </c>
      <c r="J224" s="102" t="s">
        <v>2065</v>
      </c>
      <c r="K224" s="91">
        <v>41672</v>
      </c>
      <c r="L224" s="90">
        <v>2014</v>
      </c>
      <c r="M224" s="90">
        <f t="shared" si="9"/>
        <v>5</v>
      </c>
      <c r="N224" s="135" t="s">
        <v>3</v>
      </c>
      <c r="O224" s="135" t="s">
        <v>1004</v>
      </c>
      <c r="P224" s="99" t="s">
        <v>1288</v>
      </c>
      <c r="R224" s="99" t="s">
        <v>1277</v>
      </c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  <c r="AQ224" s="88"/>
      <c r="AR224" s="88"/>
      <c r="AS224" s="88"/>
      <c r="AT224" s="88"/>
      <c r="AU224" s="89"/>
    </row>
    <row r="225" spans="1:47" s="135" customFormat="1" ht="25.5">
      <c r="A225" s="88"/>
      <c r="B225" s="203"/>
      <c r="C225" s="203"/>
      <c r="D225" s="135">
        <v>218</v>
      </c>
      <c r="E225" s="99" t="s">
        <v>2058</v>
      </c>
      <c r="F225" s="135" t="s">
        <v>12</v>
      </c>
      <c r="G225" s="90" t="s">
        <v>2063</v>
      </c>
      <c r="H225" s="135" t="s">
        <v>1</v>
      </c>
      <c r="I225" s="135" t="s">
        <v>15</v>
      </c>
      <c r="J225" s="102" t="s">
        <v>993</v>
      </c>
      <c r="K225" s="91">
        <v>43505</v>
      </c>
      <c r="L225" s="90">
        <v>2019</v>
      </c>
      <c r="M225" s="90">
        <f t="shared" si="9"/>
        <v>0</v>
      </c>
      <c r="N225" s="135" t="s">
        <v>3</v>
      </c>
      <c r="O225" s="135" t="s">
        <v>1004</v>
      </c>
      <c r="P225" s="99" t="s">
        <v>1288</v>
      </c>
      <c r="R225" s="99" t="s">
        <v>1277</v>
      </c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  <c r="AQ225" s="88"/>
      <c r="AR225" s="88"/>
      <c r="AS225" s="88"/>
      <c r="AT225" s="88"/>
      <c r="AU225" s="89"/>
    </row>
    <row r="226" spans="1:47" s="135" customFormat="1">
      <c r="A226" s="88"/>
      <c r="B226" s="203">
        <v>60</v>
      </c>
      <c r="C226" s="203" t="s">
        <v>2115</v>
      </c>
      <c r="D226" s="135">
        <v>219</v>
      </c>
      <c r="E226" s="99" t="s">
        <v>2116</v>
      </c>
      <c r="F226" s="135" t="s">
        <v>6</v>
      </c>
      <c r="G226" s="90" t="s">
        <v>2119</v>
      </c>
      <c r="H226" s="135" t="s">
        <v>18</v>
      </c>
      <c r="I226" s="135" t="s">
        <v>9</v>
      </c>
      <c r="J226" s="102" t="s">
        <v>993</v>
      </c>
      <c r="K226" s="91">
        <v>34678</v>
      </c>
      <c r="L226" s="90">
        <v>1994</v>
      </c>
      <c r="M226" s="90">
        <f t="shared" si="9"/>
        <v>25</v>
      </c>
      <c r="N226" s="135" t="s">
        <v>3</v>
      </c>
      <c r="O226" s="135" t="s">
        <v>1004</v>
      </c>
      <c r="P226" s="99" t="s">
        <v>1287</v>
      </c>
      <c r="R226" s="99" t="s">
        <v>23</v>
      </c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  <c r="AQ226" s="88"/>
      <c r="AR226" s="88"/>
      <c r="AS226" s="88"/>
      <c r="AT226" s="88"/>
      <c r="AU226" s="89"/>
    </row>
    <row r="227" spans="1:47" s="135" customFormat="1" ht="25.5">
      <c r="A227" s="88"/>
      <c r="B227" s="203"/>
      <c r="C227" s="203"/>
      <c r="D227" s="135">
        <v>220</v>
      </c>
      <c r="E227" s="99" t="s">
        <v>2117</v>
      </c>
      <c r="F227" s="135" t="s">
        <v>21</v>
      </c>
      <c r="G227" s="90" t="s">
        <v>2120</v>
      </c>
      <c r="H227" s="135" t="s">
        <v>1</v>
      </c>
      <c r="I227" s="135" t="s">
        <v>9</v>
      </c>
      <c r="J227" s="102" t="s">
        <v>1087</v>
      </c>
      <c r="K227" s="91">
        <v>35474</v>
      </c>
      <c r="L227" s="90">
        <v>1997</v>
      </c>
      <c r="M227" s="90">
        <f t="shared" si="9"/>
        <v>22</v>
      </c>
      <c r="N227" s="135" t="s">
        <v>3</v>
      </c>
      <c r="O227" s="135" t="s">
        <v>1004</v>
      </c>
      <c r="P227" s="99" t="s">
        <v>1273</v>
      </c>
      <c r="R227" s="99" t="s">
        <v>1276</v>
      </c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  <c r="AQ227" s="88"/>
      <c r="AR227" s="88"/>
      <c r="AS227" s="88"/>
      <c r="AT227" s="88"/>
      <c r="AU227" s="89"/>
    </row>
    <row r="228" spans="1:47" s="135" customFormat="1" ht="25.5">
      <c r="A228" s="88"/>
      <c r="B228" s="203"/>
      <c r="C228" s="203"/>
      <c r="D228" s="135">
        <v>221</v>
      </c>
      <c r="E228" s="99" t="s">
        <v>2118</v>
      </c>
      <c r="F228" s="135" t="s">
        <v>12</v>
      </c>
      <c r="G228" s="90" t="s">
        <v>2121</v>
      </c>
      <c r="H228" s="135" t="s">
        <v>18</v>
      </c>
      <c r="I228" s="135" t="s">
        <v>15</v>
      </c>
      <c r="J228" s="102" t="s">
        <v>993</v>
      </c>
      <c r="K228" s="91">
        <v>43066</v>
      </c>
      <c r="L228" s="90">
        <v>2017</v>
      </c>
      <c r="M228" s="90">
        <f t="shared" si="9"/>
        <v>2</v>
      </c>
      <c r="N228" s="135" t="s">
        <v>3</v>
      </c>
      <c r="O228" s="135" t="s">
        <v>1004</v>
      </c>
      <c r="P228" s="99" t="s">
        <v>1288</v>
      </c>
      <c r="R228" s="99" t="s">
        <v>1277</v>
      </c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  <c r="AQ228" s="88"/>
      <c r="AR228" s="88"/>
      <c r="AS228" s="88"/>
      <c r="AT228" s="88"/>
      <c r="AU228" s="89"/>
    </row>
    <row r="229" spans="1:47" s="135" customFormat="1">
      <c r="A229" s="88"/>
      <c r="B229" s="203">
        <v>61</v>
      </c>
      <c r="C229" s="203" t="s">
        <v>2184</v>
      </c>
      <c r="D229" s="135">
        <v>222</v>
      </c>
      <c r="E229" s="99" t="s">
        <v>2185</v>
      </c>
      <c r="F229" s="135" t="s">
        <v>6</v>
      </c>
      <c r="G229" s="90" t="s">
        <v>2189</v>
      </c>
      <c r="H229" s="135" t="s">
        <v>18</v>
      </c>
      <c r="I229" s="135" t="s">
        <v>9</v>
      </c>
      <c r="J229" s="102" t="s">
        <v>1045</v>
      </c>
      <c r="K229" s="91">
        <v>26156</v>
      </c>
      <c r="L229" s="90">
        <v>1971</v>
      </c>
      <c r="M229" s="90">
        <f t="shared" si="9"/>
        <v>48</v>
      </c>
      <c r="N229" s="135" t="s">
        <v>3</v>
      </c>
      <c r="O229" s="135" t="s">
        <v>1004</v>
      </c>
      <c r="P229" s="99" t="s">
        <v>1287</v>
      </c>
      <c r="R229" s="99" t="s">
        <v>23</v>
      </c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  <c r="AQ229" s="88"/>
      <c r="AR229" s="88"/>
      <c r="AS229" s="88"/>
      <c r="AT229" s="88"/>
      <c r="AU229" s="89"/>
    </row>
    <row r="230" spans="1:47" s="135" customFormat="1">
      <c r="A230" s="88"/>
      <c r="B230" s="203"/>
      <c r="C230" s="203"/>
      <c r="D230" s="135">
        <v>223</v>
      </c>
      <c r="E230" s="99" t="s">
        <v>2186</v>
      </c>
      <c r="F230" s="135" t="s">
        <v>21</v>
      </c>
      <c r="G230" s="90" t="s">
        <v>2190</v>
      </c>
      <c r="H230" s="135" t="s">
        <v>1</v>
      </c>
      <c r="I230" s="135" t="s">
        <v>9</v>
      </c>
      <c r="J230" s="102" t="s">
        <v>1017</v>
      </c>
      <c r="K230" s="91">
        <v>28855</v>
      </c>
      <c r="L230" s="90">
        <v>1978</v>
      </c>
      <c r="M230" s="90">
        <f t="shared" si="9"/>
        <v>41</v>
      </c>
      <c r="N230" s="135" t="s">
        <v>3</v>
      </c>
      <c r="O230" s="135" t="s">
        <v>1004</v>
      </c>
      <c r="P230" s="99" t="s">
        <v>1287</v>
      </c>
      <c r="R230" s="99" t="s">
        <v>81</v>
      </c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  <c r="AQ230" s="88"/>
      <c r="AR230" s="88"/>
      <c r="AS230" s="88"/>
      <c r="AT230" s="88"/>
      <c r="AU230" s="89"/>
    </row>
    <row r="231" spans="1:47" s="135" customFormat="1" ht="25.5">
      <c r="A231" s="88"/>
      <c r="B231" s="203"/>
      <c r="C231" s="203"/>
      <c r="D231" s="135">
        <v>224</v>
      </c>
      <c r="E231" s="99" t="s">
        <v>2187</v>
      </c>
      <c r="F231" s="135" t="s">
        <v>12</v>
      </c>
      <c r="G231" s="90" t="s">
        <v>2191</v>
      </c>
      <c r="H231" s="135" t="s">
        <v>18</v>
      </c>
      <c r="I231" s="135" t="s">
        <v>15</v>
      </c>
      <c r="J231" s="102" t="s">
        <v>1045</v>
      </c>
      <c r="K231" s="91">
        <v>38889</v>
      </c>
      <c r="L231" s="90">
        <v>2006</v>
      </c>
      <c r="M231" s="90">
        <f t="shared" si="9"/>
        <v>13</v>
      </c>
      <c r="N231" s="135" t="s">
        <v>3</v>
      </c>
      <c r="O231" s="135" t="s">
        <v>1004</v>
      </c>
      <c r="P231" s="99" t="s">
        <v>1274</v>
      </c>
      <c r="R231" s="99" t="s">
        <v>1309</v>
      </c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  <c r="AQ231" s="88"/>
      <c r="AR231" s="88"/>
      <c r="AS231" s="88"/>
      <c r="AT231" s="88"/>
      <c r="AU231" s="89"/>
    </row>
    <row r="232" spans="1:47" s="135" customFormat="1" ht="25.5">
      <c r="A232" s="88"/>
      <c r="B232" s="203"/>
      <c r="C232" s="203"/>
      <c r="D232" s="135">
        <v>225</v>
      </c>
      <c r="E232" s="99" t="s">
        <v>2188</v>
      </c>
      <c r="F232" s="135" t="s">
        <v>12</v>
      </c>
      <c r="G232" s="90" t="s">
        <v>2192</v>
      </c>
      <c r="H232" s="135" t="s">
        <v>1</v>
      </c>
      <c r="I232" s="135" t="s">
        <v>15</v>
      </c>
      <c r="J232" s="102" t="s">
        <v>1045</v>
      </c>
      <c r="K232" s="91">
        <v>40828</v>
      </c>
      <c r="L232" s="90">
        <v>2011</v>
      </c>
      <c r="M232" s="90">
        <f t="shared" si="9"/>
        <v>8</v>
      </c>
      <c r="N232" s="135" t="s">
        <v>3</v>
      </c>
      <c r="O232" s="135" t="s">
        <v>1004</v>
      </c>
      <c r="P232" s="99" t="s">
        <v>1288</v>
      </c>
      <c r="R232" s="99" t="s">
        <v>1277</v>
      </c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  <c r="AQ232" s="88"/>
      <c r="AR232" s="88"/>
      <c r="AS232" s="88"/>
      <c r="AT232" s="88"/>
      <c r="AU232" s="89"/>
    </row>
    <row r="233" spans="1:47" s="135" customFormat="1" ht="25.5">
      <c r="A233" s="88"/>
      <c r="B233" s="203">
        <v>62</v>
      </c>
      <c r="C233" s="203" t="s">
        <v>2197</v>
      </c>
      <c r="D233" s="135">
        <v>226</v>
      </c>
      <c r="E233" s="99" t="s">
        <v>2198</v>
      </c>
      <c r="F233" s="135" t="s">
        <v>6</v>
      </c>
      <c r="G233" s="90" t="s">
        <v>2200</v>
      </c>
      <c r="H233" s="135" t="s">
        <v>18</v>
      </c>
      <c r="I233" s="135" t="s">
        <v>9</v>
      </c>
      <c r="J233" s="102" t="s">
        <v>993</v>
      </c>
      <c r="K233" s="91">
        <v>24753</v>
      </c>
      <c r="L233" s="90">
        <v>1967</v>
      </c>
      <c r="M233" s="90">
        <f t="shared" si="9"/>
        <v>52</v>
      </c>
      <c r="N233" s="135" t="s">
        <v>3</v>
      </c>
      <c r="O233" s="135" t="s">
        <v>1004</v>
      </c>
      <c r="P233" s="99" t="s">
        <v>1274</v>
      </c>
      <c r="R233" s="99" t="s">
        <v>23</v>
      </c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  <c r="AQ233" s="88"/>
      <c r="AR233" s="88"/>
      <c r="AS233" s="88"/>
      <c r="AT233" s="88"/>
      <c r="AU233" s="89"/>
    </row>
    <row r="234" spans="1:47" s="135" customFormat="1" ht="25.5">
      <c r="A234" s="88"/>
      <c r="B234" s="203"/>
      <c r="C234" s="203"/>
      <c r="D234" s="135">
        <v>227</v>
      </c>
      <c r="E234" s="99" t="s">
        <v>2199</v>
      </c>
      <c r="F234" s="135" t="s">
        <v>21</v>
      </c>
      <c r="G234" s="90" t="s">
        <v>2201</v>
      </c>
      <c r="H234" s="135" t="s">
        <v>1</v>
      </c>
      <c r="I234" s="135" t="s">
        <v>9</v>
      </c>
      <c r="J234" s="102" t="s">
        <v>993</v>
      </c>
      <c r="K234" s="91">
        <v>26846</v>
      </c>
      <c r="L234" s="90">
        <v>1973</v>
      </c>
      <c r="M234" s="90">
        <f t="shared" si="9"/>
        <v>46</v>
      </c>
      <c r="N234" s="135" t="s">
        <v>3</v>
      </c>
      <c r="O234" s="135" t="s">
        <v>1004</v>
      </c>
      <c r="P234" s="99" t="s">
        <v>1274</v>
      </c>
      <c r="R234" s="99" t="s">
        <v>1276</v>
      </c>
      <c r="S234" s="88"/>
      <c r="T234" s="88"/>
      <c r="U234" s="88"/>
      <c r="V234" s="88"/>
      <c r="W234" s="88"/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  <c r="AQ234" s="88"/>
      <c r="AR234" s="88"/>
      <c r="AS234" s="88"/>
      <c r="AT234" s="88"/>
      <c r="AU234" s="89"/>
    </row>
    <row r="235" spans="1:47" s="135" customFormat="1">
      <c r="A235" s="88"/>
      <c r="B235" s="203">
        <v>63</v>
      </c>
      <c r="C235" s="203" t="s">
        <v>2212</v>
      </c>
      <c r="D235" s="135">
        <v>228</v>
      </c>
      <c r="E235" s="99" t="s">
        <v>2213</v>
      </c>
      <c r="F235" s="135" t="s">
        <v>6</v>
      </c>
      <c r="G235" s="90" t="s">
        <v>2216</v>
      </c>
      <c r="H235" s="135" t="s">
        <v>18</v>
      </c>
      <c r="I235" s="135" t="s">
        <v>9</v>
      </c>
      <c r="J235" s="102" t="s">
        <v>993</v>
      </c>
      <c r="K235" s="91">
        <v>26993</v>
      </c>
      <c r="L235" s="90">
        <v>1973</v>
      </c>
      <c r="M235" s="90">
        <f t="shared" si="9"/>
        <v>46</v>
      </c>
      <c r="N235" s="135" t="s">
        <v>3</v>
      </c>
      <c r="O235" s="135" t="s">
        <v>1004</v>
      </c>
      <c r="P235" s="99" t="s">
        <v>1287</v>
      </c>
      <c r="R235" s="99" t="s">
        <v>2220</v>
      </c>
      <c r="S235" s="88"/>
      <c r="T235" s="88"/>
      <c r="U235" s="88"/>
      <c r="V235" s="88"/>
      <c r="W235" s="88"/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  <c r="AQ235" s="88"/>
      <c r="AR235" s="88"/>
      <c r="AS235" s="88"/>
      <c r="AT235" s="88"/>
      <c r="AU235" s="89"/>
    </row>
    <row r="236" spans="1:47" s="135" customFormat="1">
      <c r="A236" s="88"/>
      <c r="B236" s="203"/>
      <c r="C236" s="203"/>
      <c r="D236" s="135">
        <v>229</v>
      </c>
      <c r="E236" s="99" t="s">
        <v>2214</v>
      </c>
      <c r="F236" s="135" t="s">
        <v>21</v>
      </c>
      <c r="G236" s="90" t="s">
        <v>2217</v>
      </c>
      <c r="H236" s="135" t="s">
        <v>1</v>
      </c>
      <c r="I236" s="135" t="s">
        <v>9</v>
      </c>
      <c r="J236" s="102" t="s">
        <v>2219</v>
      </c>
      <c r="K236" s="91">
        <v>27200</v>
      </c>
      <c r="L236" s="90">
        <v>1974</v>
      </c>
      <c r="M236" s="90">
        <f t="shared" si="9"/>
        <v>45</v>
      </c>
      <c r="N236" s="135" t="s">
        <v>3</v>
      </c>
      <c r="O236" s="135" t="s">
        <v>1004</v>
      </c>
      <c r="P236" s="99" t="s">
        <v>1273</v>
      </c>
      <c r="R236" s="99" t="s">
        <v>2221</v>
      </c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  <c r="AQ236" s="88"/>
      <c r="AR236" s="88"/>
      <c r="AS236" s="88"/>
      <c r="AT236" s="88"/>
      <c r="AU236" s="89"/>
    </row>
    <row r="237" spans="1:47" s="135" customFormat="1" ht="25.5">
      <c r="A237" s="88"/>
      <c r="B237" s="203"/>
      <c r="C237" s="203"/>
      <c r="D237" s="135">
        <v>230</v>
      </c>
      <c r="E237" s="99" t="s">
        <v>2215</v>
      </c>
      <c r="F237" s="135" t="s">
        <v>12</v>
      </c>
      <c r="G237" s="90" t="s">
        <v>2218</v>
      </c>
      <c r="H237" s="135" t="s">
        <v>18</v>
      </c>
      <c r="I237" s="135" t="s">
        <v>15</v>
      </c>
      <c r="J237" s="102" t="s">
        <v>1238</v>
      </c>
      <c r="K237" s="91">
        <v>37406</v>
      </c>
      <c r="L237" s="90">
        <v>2002</v>
      </c>
      <c r="M237" s="90">
        <f t="shared" si="9"/>
        <v>17</v>
      </c>
      <c r="N237" s="135" t="s">
        <v>3</v>
      </c>
      <c r="O237" s="135" t="s">
        <v>1004</v>
      </c>
      <c r="P237" s="99" t="s">
        <v>1274</v>
      </c>
      <c r="R237" s="99" t="s">
        <v>1309</v>
      </c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  <c r="AQ237" s="88"/>
      <c r="AR237" s="88"/>
      <c r="AS237" s="88"/>
      <c r="AT237" s="88"/>
      <c r="AU237" s="89"/>
    </row>
    <row r="241" spans="4:18" s="88" customFormat="1" ht="15">
      <c r="D241" s="206" t="s">
        <v>2251</v>
      </c>
      <c r="E241" s="206"/>
      <c r="F241" s="206"/>
      <c r="L241" s="174"/>
      <c r="P241" s="175"/>
      <c r="R241" s="175"/>
    </row>
    <row r="242" spans="4:18" s="88" customFormat="1" ht="15">
      <c r="D242" s="206" t="s">
        <v>2252</v>
      </c>
      <c r="E242" s="206"/>
      <c r="F242" s="206"/>
      <c r="L242" s="174"/>
      <c r="P242" s="185" t="s">
        <v>2253</v>
      </c>
      <c r="Q242" s="185"/>
      <c r="R242" s="175"/>
    </row>
    <row r="243" spans="4:18" s="88" customFormat="1" ht="15">
      <c r="D243" s="176"/>
      <c r="E243" s="177"/>
      <c r="F243" s="176"/>
      <c r="L243" s="174"/>
      <c r="P243" s="98"/>
      <c r="Q243" s="108"/>
      <c r="R243" s="175"/>
    </row>
    <row r="244" spans="4:18" s="88" customFormat="1" ht="15">
      <c r="D244" s="176"/>
      <c r="E244" s="177"/>
      <c r="F244" s="176"/>
      <c r="L244" s="174"/>
      <c r="P244" s="98"/>
      <c r="Q244" s="108"/>
      <c r="R244" s="175"/>
    </row>
    <row r="245" spans="4:18" s="88" customFormat="1" ht="15">
      <c r="D245" s="176"/>
      <c r="E245" s="177"/>
      <c r="F245" s="176"/>
      <c r="L245" s="174"/>
      <c r="P245" s="98"/>
      <c r="Q245" s="108"/>
      <c r="R245" s="175"/>
    </row>
    <row r="246" spans="4:18" s="88" customFormat="1" ht="14.25">
      <c r="D246" s="207" t="s">
        <v>2254</v>
      </c>
      <c r="E246" s="207"/>
      <c r="F246" s="207"/>
      <c r="L246" s="174"/>
      <c r="P246" s="178" t="s">
        <v>2256</v>
      </c>
      <c r="Q246" s="178"/>
      <c r="R246" s="175"/>
    </row>
    <row r="247" spans="4:18" s="88" customFormat="1" ht="14.25">
      <c r="D247" s="207" t="s">
        <v>2255</v>
      </c>
      <c r="E247" s="207"/>
      <c r="F247" s="207"/>
      <c r="L247" s="174"/>
      <c r="P247" s="175"/>
      <c r="R247" s="175"/>
    </row>
  </sheetData>
  <autoFilter ref="B7:R237">
    <filterColumn colId="11"/>
  </autoFilter>
  <mergeCells count="141">
    <mergeCell ref="D241:F241"/>
    <mergeCell ref="D242:F242"/>
    <mergeCell ref="P242:Q242"/>
    <mergeCell ref="D246:F246"/>
    <mergeCell ref="P246:Q246"/>
    <mergeCell ref="D247:F247"/>
    <mergeCell ref="B229:B232"/>
    <mergeCell ref="C229:C232"/>
    <mergeCell ref="C58:C60"/>
    <mergeCell ref="C233:C234"/>
    <mergeCell ref="B233:B234"/>
    <mergeCell ref="C90:C93"/>
    <mergeCell ref="C211:C214"/>
    <mergeCell ref="B218:B220"/>
    <mergeCell ref="C218:C220"/>
    <mergeCell ref="B145:B148"/>
    <mergeCell ref="C145:C148"/>
    <mergeCell ref="B162:B165"/>
    <mergeCell ref="C162:C165"/>
    <mergeCell ref="B215:B217"/>
    <mergeCell ref="B110:B113"/>
    <mergeCell ref="C235:C237"/>
    <mergeCell ref="B235:B237"/>
    <mergeCell ref="C72:C76"/>
    <mergeCell ref="C46:C49"/>
    <mergeCell ref="B206:B210"/>
    <mergeCell ref="C65:C67"/>
    <mergeCell ref="C125:C127"/>
    <mergeCell ref="B125:B127"/>
    <mergeCell ref="C94:C96"/>
    <mergeCell ref="C61:C64"/>
    <mergeCell ref="B82:B85"/>
    <mergeCell ref="B155:B159"/>
    <mergeCell ref="C155:C159"/>
    <mergeCell ref="C151:C154"/>
    <mergeCell ref="B179:B183"/>
    <mergeCell ref="C179:C183"/>
    <mergeCell ref="B160:B161"/>
    <mergeCell ref="C160:C161"/>
    <mergeCell ref="B166:B169"/>
    <mergeCell ref="B176:B178"/>
    <mergeCell ref="C192:C195"/>
    <mergeCell ref="B201:B205"/>
    <mergeCell ref="C201:C205"/>
    <mergeCell ref="B61:B64"/>
    <mergeCell ref="C103:C105"/>
    <mergeCell ref="C106:C109"/>
    <mergeCell ref="C82:C85"/>
    <mergeCell ref="B8:B11"/>
    <mergeCell ref="B12:B14"/>
    <mergeCell ref="B27:B30"/>
    <mergeCell ref="B31:B35"/>
    <mergeCell ref="B140:B144"/>
    <mergeCell ref="C176:C178"/>
    <mergeCell ref="B151:B154"/>
    <mergeCell ref="B65:B67"/>
    <mergeCell ref="C187:C191"/>
    <mergeCell ref="B187:B191"/>
    <mergeCell ref="C40:C43"/>
    <mergeCell ref="C21:C25"/>
    <mergeCell ref="B21:B25"/>
    <mergeCell ref="C44:C45"/>
    <mergeCell ref="C12:C14"/>
    <mergeCell ref="C27:C30"/>
    <mergeCell ref="C15:C19"/>
    <mergeCell ref="B15:B19"/>
    <mergeCell ref="B36:B39"/>
    <mergeCell ref="B44:B45"/>
    <mergeCell ref="B46:B49"/>
    <mergeCell ref="C149:C150"/>
    <mergeCell ref="B149:B150"/>
    <mergeCell ref="C140:C144"/>
    <mergeCell ref="E5:E6"/>
    <mergeCell ref="B131:B134"/>
    <mergeCell ref="B135:B139"/>
    <mergeCell ref="B90:B93"/>
    <mergeCell ref="B94:B96"/>
    <mergeCell ref="B103:B105"/>
    <mergeCell ref="B58:B60"/>
    <mergeCell ref="C8:C11"/>
    <mergeCell ref="B68:B71"/>
    <mergeCell ref="B77:B81"/>
    <mergeCell ref="B50:B54"/>
    <mergeCell ref="C50:C54"/>
    <mergeCell ref="C77:C81"/>
    <mergeCell ref="C131:C134"/>
    <mergeCell ref="C110:C113"/>
    <mergeCell ref="B40:B43"/>
    <mergeCell ref="C114:C119"/>
    <mergeCell ref="B5:B6"/>
    <mergeCell ref="B55:B57"/>
    <mergeCell ref="C135:C139"/>
    <mergeCell ref="B106:B109"/>
    <mergeCell ref="B114:B119"/>
    <mergeCell ref="C31:C35"/>
    <mergeCell ref="B86:B89"/>
    <mergeCell ref="B72:B76"/>
    <mergeCell ref="C68:C71"/>
    <mergeCell ref="C97:C101"/>
    <mergeCell ref="B97:B101"/>
    <mergeCell ref="B120:B122"/>
    <mergeCell ref="C120:C122"/>
    <mergeCell ref="C226:C228"/>
    <mergeCell ref="B226:B228"/>
    <mergeCell ref="C206:C210"/>
    <mergeCell ref="B123:B124"/>
    <mergeCell ref="C123:C124"/>
    <mergeCell ref="B128:B130"/>
    <mergeCell ref="C128:C130"/>
    <mergeCell ref="C221:C225"/>
    <mergeCell ref="B221:B225"/>
    <mergeCell ref="C215:C217"/>
    <mergeCell ref="B198:B200"/>
    <mergeCell ref="B184:B186"/>
    <mergeCell ref="B192:B195"/>
    <mergeCell ref="B196:B197"/>
    <mergeCell ref="B211:B214"/>
    <mergeCell ref="B1:R1"/>
    <mergeCell ref="B2:R2"/>
    <mergeCell ref="C36:C39"/>
    <mergeCell ref="C55:C57"/>
    <mergeCell ref="C86:C89"/>
    <mergeCell ref="C166:C169"/>
    <mergeCell ref="C184:C186"/>
    <mergeCell ref="C196:C197"/>
    <mergeCell ref="C198:C200"/>
    <mergeCell ref="B171:B175"/>
    <mergeCell ref="C171:C175"/>
    <mergeCell ref="C5:C6"/>
    <mergeCell ref="D5:D6"/>
    <mergeCell ref="O5:O6"/>
    <mergeCell ref="Q5:Q6"/>
    <mergeCell ref="N5:N6"/>
    <mergeCell ref="P5:P6"/>
    <mergeCell ref="R5:R6"/>
    <mergeCell ref="J5:L5"/>
    <mergeCell ref="M5:M6"/>
    <mergeCell ref="H5:H6"/>
    <mergeCell ref="I5:I6"/>
    <mergeCell ref="G5:G6"/>
    <mergeCell ref="F5:F6"/>
  </mergeCells>
  <pageMargins left="1.37795275590551" right="0.196850393700787" top="0.39370078740157499" bottom="0.643700787" header="0.31496062992126" footer="0.31496062992126"/>
  <pageSetup paperSize="10000" scale="82" orientation="landscape" horizontalDpi="4294967293" verticalDpi="300" r:id="rId1"/>
  <headerFooter>
    <oddFooter>&amp;C&amp;"-,Bold"&amp;12&amp;P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C6" sqref="C6"/>
    </sheetView>
  </sheetViews>
  <sheetFormatPr defaultRowHeight="15"/>
  <sheetData>
    <row r="1" spans="1:3">
      <c r="A1">
        <v>64</v>
      </c>
      <c r="C1">
        <v>225</v>
      </c>
    </row>
    <row r="2" spans="1:3">
      <c r="A2">
        <v>62</v>
      </c>
      <c r="C2">
        <v>203</v>
      </c>
    </row>
    <row r="3" spans="1:3">
      <c r="A3">
        <v>33</v>
      </c>
      <c r="C3">
        <v>138</v>
      </c>
    </row>
    <row r="4" spans="1:3">
      <c r="A4">
        <v>51</v>
      </c>
      <c r="C4">
        <v>197</v>
      </c>
    </row>
    <row r="5" spans="1:3">
      <c r="A5">
        <f>SUM(A1:A4)</f>
        <v>210</v>
      </c>
      <c r="C5">
        <f>SUM(C1:C4)</f>
        <v>763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4:X13"/>
  <sheetViews>
    <sheetView workbookViewId="0">
      <selection activeCell="H13" sqref="H13"/>
    </sheetView>
  </sheetViews>
  <sheetFormatPr defaultRowHeight="15"/>
  <cols>
    <col min="1" max="1" width="3" bestFit="1" customWidth="1"/>
    <col min="2" max="2" width="6.42578125" bestFit="1" customWidth="1"/>
    <col min="3" max="3" width="7.5703125" bestFit="1" customWidth="1"/>
    <col min="4" max="4" width="16.28515625" bestFit="1" customWidth="1"/>
    <col min="5" max="5" width="8.28515625" bestFit="1" customWidth="1"/>
    <col min="6" max="6" width="17.85546875" bestFit="1" customWidth="1"/>
    <col min="7" max="7" width="9" bestFit="1" customWidth="1"/>
    <col min="8" max="8" width="12" bestFit="1" customWidth="1"/>
    <col min="9" max="9" width="19.140625" bestFit="1" customWidth="1"/>
    <col min="10" max="10" width="14.28515625" bestFit="1" customWidth="1"/>
    <col min="11" max="12" width="5" bestFit="1" customWidth="1"/>
    <col min="13" max="13" width="6.140625" bestFit="1" customWidth="1"/>
    <col min="14" max="14" width="6.42578125" bestFit="1" customWidth="1"/>
    <col min="15" max="15" width="18.42578125" bestFit="1" customWidth="1"/>
    <col min="16" max="16" width="16.140625" bestFit="1" customWidth="1"/>
    <col min="17" max="17" width="8.5703125" bestFit="1" customWidth="1"/>
    <col min="24" max="24" width="4.5703125" bestFit="1" customWidth="1"/>
  </cols>
  <sheetData>
    <row r="4" spans="1:24" ht="15.75" thickBot="1"/>
    <row r="5" spans="1:24" s="15" customFormat="1" ht="15.75" thickBot="1">
      <c r="A5" s="8">
        <v>45</v>
      </c>
      <c r="B5" s="9"/>
      <c r="C5" s="10">
        <v>163</v>
      </c>
      <c r="D5" s="11" t="s">
        <v>989</v>
      </c>
      <c r="E5" s="11" t="s">
        <v>6</v>
      </c>
      <c r="F5" s="11" t="s">
        <v>220</v>
      </c>
      <c r="G5" s="11" t="s">
        <v>18</v>
      </c>
      <c r="H5" s="11" t="s">
        <v>9</v>
      </c>
      <c r="I5" s="12" t="s">
        <v>219</v>
      </c>
      <c r="J5" s="12"/>
      <c r="K5" s="12"/>
      <c r="L5" s="12"/>
      <c r="M5" s="11" t="s">
        <v>3</v>
      </c>
      <c r="N5" s="11"/>
      <c r="O5" s="11" t="s">
        <v>4</v>
      </c>
      <c r="P5" s="11"/>
      <c r="Q5" s="13" t="s">
        <v>81</v>
      </c>
      <c r="R5" s="14"/>
      <c r="S5" s="14"/>
      <c r="T5" s="14"/>
      <c r="U5" s="14"/>
      <c r="V5" s="14"/>
      <c r="W5" s="14"/>
      <c r="X5" s="15" t="s">
        <v>1173</v>
      </c>
    </row>
    <row r="6" spans="1:24" ht="26.25" thickBot="1">
      <c r="A6" s="1">
        <v>50</v>
      </c>
      <c r="B6" s="1" t="s">
        <v>351</v>
      </c>
      <c r="C6" s="1" t="s">
        <v>16</v>
      </c>
      <c r="D6" s="1">
        <v>0</v>
      </c>
      <c r="E6" s="1" t="s">
        <v>18</v>
      </c>
      <c r="F6" s="1" t="s">
        <v>15</v>
      </c>
      <c r="G6" s="3" t="s">
        <v>26</v>
      </c>
      <c r="H6" s="17"/>
      <c r="I6" s="3"/>
      <c r="J6" s="3"/>
      <c r="K6" s="1" t="s">
        <v>3</v>
      </c>
      <c r="L6" s="1"/>
      <c r="M6" s="1" t="s">
        <v>4</v>
      </c>
      <c r="N6" s="6" t="s">
        <v>39</v>
      </c>
      <c r="O6" s="7"/>
      <c r="P6" s="7"/>
      <c r="Q6" s="7"/>
      <c r="R6" s="7"/>
      <c r="S6" s="7"/>
      <c r="T6" s="7"/>
      <c r="X6" t="s">
        <v>1172</v>
      </c>
    </row>
    <row r="7" spans="1:24" s="34" customFormat="1" ht="15.75" customHeight="1">
      <c r="A7" s="75"/>
      <c r="B7" s="74"/>
      <c r="D7" s="34" t="s">
        <v>1158</v>
      </c>
      <c r="E7" s="34" t="s">
        <v>12</v>
      </c>
      <c r="F7" s="51" t="s">
        <v>11</v>
      </c>
      <c r="G7" s="34" t="s">
        <v>18</v>
      </c>
      <c r="H7" s="34" t="s">
        <v>15</v>
      </c>
      <c r="I7" s="35" t="s">
        <v>1016</v>
      </c>
      <c r="J7" s="50" t="s">
        <v>1025</v>
      </c>
      <c r="K7" s="51" t="s">
        <v>1025</v>
      </c>
      <c r="L7" s="44">
        <f t="shared" ref="L7:L12" si="0">2019-K7</f>
        <v>2019</v>
      </c>
      <c r="M7" s="34" t="s">
        <v>3</v>
      </c>
      <c r="N7" s="34" t="s">
        <v>1004</v>
      </c>
      <c r="O7" s="49" t="s">
        <v>11</v>
      </c>
      <c r="P7" s="34" t="s">
        <v>23</v>
      </c>
      <c r="W7" s="48"/>
    </row>
    <row r="8" spans="1:24" s="47" customFormat="1" ht="15.75" customHeight="1">
      <c r="A8" s="65"/>
      <c r="B8" s="26"/>
      <c r="C8" s="26">
        <v>72</v>
      </c>
      <c r="D8" s="26" t="s">
        <v>370</v>
      </c>
      <c r="E8" s="26" t="s">
        <v>16</v>
      </c>
      <c r="F8" s="28" t="s">
        <v>510</v>
      </c>
      <c r="G8" s="26" t="s">
        <v>1</v>
      </c>
      <c r="H8" s="26" t="s">
        <v>9</v>
      </c>
      <c r="I8" s="73" t="s">
        <v>371</v>
      </c>
      <c r="J8" s="27"/>
      <c r="K8" s="28"/>
      <c r="L8" s="28">
        <f t="shared" si="0"/>
        <v>2019</v>
      </c>
      <c r="M8" s="26" t="s">
        <v>3</v>
      </c>
      <c r="N8" s="26"/>
      <c r="O8" s="26" t="s">
        <v>4</v>
      </c>
      <c r="P8" s="26" t="s">
        <v>5</v>
      </c>
      <c r="Q8" s="36"/>
      <c r="R8" s="36"/>
      <c r="S8" s="36"/>
      <c r="T8" s="36"/>
      <c r="U8" s="36"/>
      <c r="V8" s="36"/>
    </row>
    <row r="9" spans="1:24" s="47" customFormat="1" ht="15.75" customHeight="1">
      <c r="A9" s="65">
        <v>59</v>
      </c>
      <c r="B9" s="26"/>
      <c r="C9" s="26">
        <v>193</v>
      </c>
      <c r="D9" s="26" t="s">
        <v>456</v>
      </c>
      <c r="E9" s="26" t="s">
        <v>6</v>
      </c>
      <c r="F9" s="28" t="s">
        <v>553</v>
      </c>
      <c r="G9" s="26" t="s">
        <v>18</v>
      </c>
      <c r="H9" s="26" t="s">
        <v>9</v>
      </c>
      <c r="I9" s="73" t="s">
        <v>402</v>
      </c>
      <c r="J9" s="27"/>
      <c r="K9" s="28"/>
      <c r="L9" s="28">
        <f t="shared" si="0"/>
        <v>2019</v>
      </c>
      <c r="M9" s="26" t="s">
        <v>3</v>
      </c>
      <c r="N9" s="26"/>
      <c r="O9" s="26" t="s">
        <v>1287</v>
      </c>
      <c r="P9" s="26" t="s">
        <v>19</v>
      </c>
      <c r="Q9" s="36"/>
      <c r="R9" s="36"/>
      <c r="S9" s="36"/>
      <c r="T9" s="36"/>
      <c r="U9" s="36"/>
      <c r="V9" s="36"/>
    </row>
    <row r="10" spans="1:24" s="47" customFormat="1" ht="15.75" customHeight="1">
      <c r="A10" s="65">
        <v>53</v>
      </c>
      <c r="B10" s="26"/>
      <c r="C10" s="26">
        <v>165</v>
      </c>
      <c r="D10" s="26" t="s">
        <v>437</v>
      </c>
      <c r="E10" s="26" t="s">
        <v>6</v>
      </c>
      <c r="F10" s="28">
        <v>0</v>
      </c>
      <c r="G10" s="26" t="s">
        <v>1</v>
      </c>
      <c r="H10" s="26" t="s">
        <v>2</v>
      </c>
      <c r="I10" s="73" t="s">
        <v>80</v>
      </c>
      <c r="J10" s="27"/>
      <c r="K10" s="28"/>
      <c r="L10" s="28">
        <f t="shared" si="0"/>
        <v>2019</v>
      </c>
      <c r="M10" s="26" t="s">
        <v>3</v>
      </c>
      <c r="N10" s="26"/>
      <c r="O10" s="36" t="s">
        <v>1272</v>
      </c>
      <c r="P10" s="26" t="s">
        <v>39</v>
      </c>
      <c r="Q10" s="36"/>
      <c r="R10" s="36"/>
      <c r="S10" s="36"/>
      <c r="T10" s="36"/>
      <c r="U10" s="36"/>
      <c r="V10" s="36"/>
    </row>
    <row r="11" spans="1:24" s="25" customFormat="1" ht="30">
      <c r="A11" s="65"/>
      <c r="B11" s="26"/>
      <c r="C11" s="26">
        <v>124</v>
      </c>
      <c r="D11" s="26" t="s">
        <v>813</v>
      </c>
      <c r="E11" s="26" t="s">
        <v>16</v>
      </c>
      <c r="F11" s="28">
        <v>0</v>
      </c>
      <c r="G11" s="26" t="s">
        <v>1</v>
      </c>
      <c r="H11" s="26" t="s">
        <v>2</v>
      </c>
      <c r="J11" s="27" t="s">
        <v>74</v>
      </c>
      <c r="K11" s="28"/>
      <c r="L11" s="28">
        <f t="shared" si="0"/>
        <v>2019</v>
      </c>
      <c r="M11" s="26" t="s">
        <v>3</v>
      </c>
      <c r="N11" s="26" t="s">
        <v>1004</v>
      </c>
      <c r="O11" s="26" t="s">
        <v>57</v>
      </c>
      <c r="P11" s="26"/>
      <c r="Q11" s="26" t="s">
        <v>39</v>
      </c>
      <c r="R11" s="26"/>
      <c r="S11" s="26"/>
      <c r="T11" s="26"/>
      <c r="U11" s="26"/>
      <c r="V11" s="26"/>
    </row>
    <row r="12" spans="1:24" s="25" customFormat="1">
      <c r="A12" s="65"/>
      <c r="B12" s="26"/>
      <c r="C12" s="26">
        <v>139</v>
      </c>
      <c r="D12" s="26" t="s">
        <v>821</v>
      </c>
      <c r="E12" s="26" t="s">
        <v>16</v>
      </c>
      <c r="F12" s="28" t="s">
        <v>944</v>
      </c>
      <c r="G12" s="26" t="s">
        <v>758</v>
      </c>
      <c r="H12" s="26" t="s">
        <v>2</v>
      </c>
      <c r="J12" s="27" t="s">
        <v>822</v>
      </c>
      <c r="K12" s="28"/>
      <c r="L12" s="28">
        <f t="shared" si="0"/>
        <v>2019</v>
      </c>
      <c r="M12" s="26" t="s">
        <v>3</v>
      </c>
      <c r="N12" s="26" t="s">
        <v>1004</v>
      </c>
      <c r="O12" s="26" t="s">
        <v>11</v>
      </c>
      <c r="P12" s="26"/>
      <c r="Q12" s="26"/>
      <c r="R12" s="26"/>
      <c r="S12" s="26"/>
      <c r="T12" s="26"/>
      <c r="U12" s="26"/>
      <c r="V12" s="26"/>
    </row>
    <row r="13" spans="1:24" s="82" customFormat="1">
      <c r="A13" s="65"/>
      <c r="B13" s="78"/>
      <c r="C13" s="78">
        <v>90</v>
      </c>
      <c r="D13" s="78" t="s">
        <v>784</v>
      </c>
      <c r="E13" s="78" t="s">
        <v>16</v>
      </c>
      <c r="F13" s="79">
        <v>0</v>
      </c>
      <c r="G13" s="78" t="s">
        <v>1</v>
      </c>
      <c r="H13" s="78" t="s">
        <v>2</v>
      </c>
      <c r="J13" s="80">
        <v>14617</v>
      </c>
      <c r="K13" s="79"/>
      <c r="L13" s="79">
        <f>2019-K13</f>
        <v>2019</v>
      </c>
      <c r="M13" s="78" t="s">
        <v>3</v>
      </c>
      <c r="N13" s="78" t="s">
        <v>1004</v>
      </c>
      <c r="O13" s="78" t="s">
        <v>11</v>
      </c>
      <c r="P13" s="78"/>
      <c r="Q13" s="78" t="s">
        <v>11</v>
      </c>
      <c r="R13" s="78"/>
      <c r="S13" s="78"/>
      <c r="T13" s="78"/>
      <c r="U13" s="78"/>
      <c r="V13" s="7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4:W20"/>
  <sheetViews>
    <sheetView workbookViewId="0">
      <selection activeCell="J15" sqref="J15"/>
    </sheetView>
  </sheetViews>
  <sheetFormatPr defaultRowHeight="15"/>
  <cols>
    <col min="3" max="3" width="4" bestFit="1" customWidth="1"/>
    <col min="4" max="4" width="18.140625" bestFit="1" customWidth="1"/>
    <col min="5" max="5" width="5.5703125" bestFit="1" customWidth="1"/>
    <col min="6" max="6" width="17.85546875" bestFit="1" customWidth="1"/>
    <col min="7" max="7" width="2.28515625" bestFit="1" customWidth="1"/>
    <col min="8" max="8" width="13.7109375" bestFit="1" customWidth="1"/>
    <col min="9" max="9" width="17.28515625" bestFit="1" customWidth="1"/>
    <col min="10" max="10" width="15.28515625" bestFit="1" customWidth="1"/>
    <col min="11" max="12" width="5" bestFit="1" customWidth="1"/>
    <col min="13" max="13" width="5.5703125" bestFit="1" customWidth="1"/>
    <col min="14" max="14" width="6" bestFit="1" customWidth="1"/>
    <col min="15" max="15" width="14.85546875" bestFit="1" customWidth="1"/>
    <col min="16" max="16" width="11" bestFit="1" customWidth="1"/>
    <col min="17" max="17" width="17.28515625" bestFit="1" customWidth="1"/>
  </cols>
  <sheetData>
    <row r="4" spans="1:23" ht="15.75" thickBot="1"/>
    <row r="5" spans="1:23" ht="15.75" thickBot="1">
      <c r="A5" s="2"/>
      <c r="B5" s="5"/>
      <c r="C5" s="4">
        <v>193</v>
      </c>
      <c r="D5" s="1" t="s">
        <v>258</v>
      </c>
      <c r="E5" s="1" t="s">
        <v>12</v>
      </c>
      <c r="F5" s="1" t="s">
        <v>260</v>
      </c>
      <c r="G5" s="1" t="s">
        <v>1</v>
      </c>
      <c r="H5" s="1" t="s">
        <v>15</v>
      </c>
      <c r="I5" s="3" t="s">
        <v>259</v>
      </c>
      <c r="J5" s="17"/>
      <c r="K5" s="3"/>
      <c r="L5" s="16"/>
      <c r="M5" s="1" t="s">
        <v>3</v>
      </c>
      <c r="N5" s="1"/>
      <c r="O5" s="1" t="s">
        <v>57</v>
      </c>
      <c r="P5" s="1"/>
      <c r="Q5" s="6" t="s">
        <v>11</v>
      </c>
      <c r="R5" s="7"/>
      <c r="S5" s="7"/>
      <c r="T5" s="7"/>
      <c r="U5" s="7"/>
      <c r="V5" s="7"/>
      <c r="W5" s="7"/>
    </row>
    <row r="6" spans="1:23" ht="15.75" thickBot="1">
      <c r="C6" s="11">
        <v>180</v>
      </c>
      <c r="D6" s="11" t="s">
        <v>282</v>
      </c>
      <c r="E6" s="11" t="s">
        <v>12</v>
      </c>
      <c r="F6" s="11" t="s">
        <v>549</v>
      </c>
      <c r="G6" s="11" t="s">
        <v>1</v>
      </c>
      <c r="H6" s="11" t="s">
        <v>9</v>
      </c>
      <c r="I6" s="12" t="s">
        <v>100</v>
      </c>
      <c r="J6" s="18"/>
      <c r="K6" s="12"/>
      <c r="L6" s="12"/>
      <c r="M6" s="11" t="s">
        <v>3</v>
      </c>
      <c r="N6" s="11"/>
      <c r="O6" s="11" t="s">
        <v>54</v>
      </c>
      <c r="P6" s="13" t="s">
        <v>11</v>
      </c>
      <c r="Q6" s="14"/>
      <c r="R6" s="14"/>
      <c r="S6" s="14"/>
      <c r="T6" s="14"/>
      <c r="U6" s="14"/>
      <c r="V6" s="14"/>
    </row>
    <row r="7" spans="1:23">
      <c r="C7" s="19">
        <v>118</v>
      </c>
      <c r="D7" s="20" t="s">
        <v>407</v>
      </c>
      <c r="E7" s="20" t="s">
        <v>12</v>
      </c>
      <c r="F7" s="21" t="s">
        <v>684</v>
      </c>
      <c r="G7" s="20" t="s">
        <v>1</v>
      </c>
      <c r="H7" s="20" t="s">
        <v>15</v>
      </c>
      <c r="I7" s="22">
        <v>33455</v>
      </c>
      <c r="J7" s="22"/>
      <c r="K7" s="22"/>
      <c r="L7" s="22"/>
      <c r="M7" s="20" t="s">
        <v>3</v>
      </c>
      <c r="N7" s="20"/>
      <c r="O7" s="20" t="s">
        <v>57</v>
      </c>
      <c r="P7" s="20"/>
      <c r="Q7" s="20" t="s">
        <v>11</v>
      </c>
      <c r="R7" s="20"/>
      <c r="S7" s="20"/>
      <c r="T7" s="20"/>
      <c r="U7" s="20"/>
      <c r="V7" s="20"/>
    </row>
    <row r="8" spans="1:23" s="53" customFormat="1" ht="15.75" customHeight="1">
      <c r="A8" s="68"/>
      <c r="B8" s="68"/>
      <c r="C8" s="60">
        <v>115</v>
      </c>
      <c r="D8" s="60" t="s">
        <v>173</v>
      </c>
      <c r="E8" s="60" t="s">
        <v>12</v>
      </c>
      <c r="F8" s="29" t="s">
        <v>174</v>
      </c>
      <c r="G8" s="60" t="s">
        <v>1</v>
      </c>
      <c r="H8" s="60" t="s">
        <v>15</v>
      </c>
      <c r="I8" s="54"/>
      <c r="J8" s="55">
        <v>34368</v>
      </c>
      <c r="K8" s="29"/>
      <c r="L8" s="29"/>
      <c r="M8" s="60" t="s">
        <v>3</v>
      </c>
      <c r="N8" s="60"/>
      <c r="O8" s="60" t="s">
        <v>1287</v>
      </c>
      <c r="P8" s="60"/>
      <c r="Q8" s="60" t="s">
        <v>11</v>
      </c>
      <c r="R8" s="57"/>
      <c r="S8" s="57"/>
      <c r="T8" s="57"/>
      <c r="U8" s="57"/>
      <c r="V8" s="57"/>
      <c r="W8" s="57"/>
    </row>
    <row r="9" spans="1:23" s="32" customFormat="1" ht="15.75" customHeight="1">
      <c r="A9" s="70"/>
      <c r="B9" s="70"/>
      <c r="D9" s="32" t="s">
        <v>1067</v>
      </c>
      <c r="E9" s="32" t="s">
        <v>12</v>
      </c>
      <c r="F9" s="46" t="s">
        <v>1068</v>
      </c>
      <c r="G9" s="32" t="s">
        <v>18</v>
      </c>
      <c r="H9" s="67" t="s">
        <v>1011</v>
      </c>
      <c r="I9" s="33" t="s">
        <v>993</v>
      </c>
      <c r="J9" s="41">
        <v>43528</v>
      </c>
      <c r="K9" s="46" t="s">
        <v>1002</v>
      </c>
      <c r="L9" s="43">
        <f t="shared" ref="L9:L14" si="0">2019-K9</f>
        <v>19</v>
      </c>
      <c r="M9" s="32" t="s">
        <v>3</v>
      </c>
      <c r="N9" s="59" t="s">
        <v>1004</v>
      </c>
      <c r="O9" s="32" t="s">
        <v>1273</v>
      </c>
      <c r="Q9" s="32" t="s">
        <v>1309</v>
      </c>
    </row>
    <row r="10" spans="1:23" s="53" customFormat="1" ht="15.75" customHeight="1">
      <c r="A10" s="69"/>
      <c r="B10" s="71"/>
      <c r="C10" s="71">
        <v>139</v>
      </c>
      <c r="D10" s="71" t="s">
        <v>419</v>
      </c>
      <c r="E10" s="71" t="s">
        <v>12</v>
      </c>
      <c r="F10" s="29" t="s">
        <v>530</v>
      </c>
      <c r="G10" s="71" t="s">
        <v>1</v>
      </c>
      <c r="H10" s="71" t="s">
        <v>9</v>
      </c>
      <c r="I10" s="54" t="s">
        <v>420</v>
      </c>
      <c r="J10" s="55"/>
      <c r="K10" s="29"/>
      <c r="L10" s="29">
        <f t="shared" si="0"/>
        <v>2019</v>
      </c>
      <c r="M10" s="71" t="s">
        <v>3</v>
      </c>
      <c r="N10" s="71"/>
      <c r="O10" s="71" t="s">
        <v>1287</v>
      </c>
      <c r="P10" s="71" t="s">
        <v>5</v>
      </c>
      <c r="Q10" s="72"/>
      <c r="R10" s="72"/>
      <c r="S10" s="72"/>
      <c r="T10" s="72"/>
      <c r="U10" s="72"/>
      <c r="V10" s="72"/>
    </row>
    <row r="11" spans="1:23" s="47" customFormat="1" ht="15.75" customHeight="1">
      <c r="A11" s="65"/>
      <c r="B11" s="26"/>
      <c r="C11" s="26">
        <v>26</v>
      </c>
      <c r="D11" s="26" t="s">
        <v>333</v>
      </c>
      <c r="E11" s="26" t="s">
        <v>12</v>
      </c>
      <c r="F11" s="28">
        <v>0</v>
      </c>
      <c r="G11" s="26" t="s">
        <v>1</v>
      </c>
      <c r="H11" s="26" t="s">
        <v>2</v>
      </c>
      <c r="I11" s="73">
        <v>33976</v>
      </c>
      <c r="J11" s="27"/>
      <c r="K11" s="28"/>
      <c r="L11" s="28">
        <f t="shared" si="0"/>
        <v>2019</v>
      </c>
      <c r="M11" s="26" t="s">
        <v>3</v>
      </c>
      <c r="N11" s="26"/>
      <c r="O11" s="36" t="s">
        <v>1273</v>
      </c>
      <c r="P11" s="26" t="s">
        <v>23</v>
      </c>
      <c r="Q11" s="36"/>
      <c r="R11" s="36"/>
      <c r="S11" s="36"/>
      <c r="T11" s="36"/>
      <c r="U11" s="36"/>
      <c r="V11" s="36"/>
    </row>
    <row r="12" spans="1:23" s="47" customFormat="1" ht="15.75" customHeight="1">
      <c r="A12" s="65"/>
      <c r="B12" s="26"/>
      <c r="C12" s="26">
        <v>198</v>
      </c>
      <c r="D12" s="26" t="s">
        <v>428</v>
      </c>
      <c r="E12" s="26" t="s">
        <v>12</v>
      </c>
      <c r="F12" s="28" t="s">
        <v>557</v>
      </c>
      <c r="G12" s="26" t="s">
        <v>18</v>
      </c>
      <c r="H12" s="26" t="s">
        <v>15</v>
      </c>
      <c r="I12" s="73">
        <v>31357</v>
      </c>
      <c r="J12" s="27"/>
      <c r="K12" s="28"/>
      <c r="L12" s="28">
        <f t="shared" si="0"/>
        <v>2019</v>
      </c>
      <c r="M12" s="26" t="s">
        <v>3</v>
      </c>
      <c r="N12" s="26"/>
      <c r="O12" s="26" t="s">
        <v>1287</v>
      </c>
      <c r="P12" s="26" t="s">
        <v>23</v>
      </c>
      <c r="Q12" s="36"/>
      <c r="R12" s="36"/>
      <c r="S12" s="36"/>
      <c r="T12" s="36"/>
      <c r="U12" s="36"/>
      <c r="V12" s="36"/>
    </row>
    <row r="13" spans="1:23" s="47" customFormat="1" ht="15.75" customHeight="1">
      <c r="A13" s="65"/>
      <c r="B13" s="26"/>
      <c r="C13" s="26">
        <v>133</v>
      </c>
      <c r="D13" s="26" t="s">
        <v>415</v>
      </c>
      <c r="E13" s="26" t="s">
        <v>12</v>
      </c>
      <c r="F13" s="28" t="s">
        <v>527</v>
      </c>
      <c r="G13" s="26" t="s">
        <v>1</v>
      </c>
      <c r="H13" s="26" t="s">
        <v>15</v>
      </c>
      <c r="I13" s="73">
        <v>34457</v>
      </c>
      <c r="J13" s="27"/>
      <c r="K13" s="28"/>
      <c r="L13" s="28">
        <f t="shared" si="0"/>
        <v>2019</v>
      </c>
      <c r="M13" s="26" t="s">
        <v>3</v>
      </c>
      <c r="N13" s="26"/>
      <c r="O13" s="36" t="s">
        <v>1273</v>
      </c>
      <c r="P13" s="26" t="s">
        <v>23</v>
      </c>
      <c r="Q13" s="36"/>
      <c r="R13" s="36"/>
      <c r="S13" s="36"/>
      <c r="T13" s="36"/>
      <c r="U13" s="36"/>
      <c r="V13" s="36"/>
    </row>
    <row r="14" spans="1:23" s="31" customFormat="1" ht="15.75" customHeight="1">
      <c r="A14" s="70"/>
      <c r="B14" s="83"/>
      <c r="C14" s="76">
        <v>56</v>
      </c>
      <c r="D14" s="76" t="s">
        <v>609</v>
      </c>
      <c r="E14" s="76" t="s">
        <v>12</v>
      </c>
      <c r="F14" s="45" t="s">
        <v>1231</v>
      </c>
      <c r="G14" s="76" t="s">
        <v>18</v>
      </c>
      <c r="H14" s="76" t="s">
        <v>15</v>
      </c>
      <c r="I14" s="39" t="s">
        <v>993</v>
      </c>
      <c r="J14" s="40">
        <v>43659</v>
      </c>
      <c r="K14" s="45" t="s">
        <v>1047</v>
      </c>
      <c r="L14" s="43">
        <f t="shared" si="0"/>
        <v>28</v>
      </c>
      <c r="M14" s="76" t="s">
        <v>3</v>
      </c>
      <c r="N14" s="76" t="s">
        <v>1004</v>
      </c>
      <c r="O14" s="76" t="s">
        <v>1287</v>
      </c>
      <c r="P14" s="76"/>
      <c r="Q14" s="76" t="s">
        <v>1309</v>
      </c>
      <c r="R14" s="76"/>
      <c r="S14" s="76"/>
      <c r="T14" s="76"/>
      <c r="U14" s="76"/>
      <c r="V14" s="76"/>
    </row>
    <row r="15" spans="1:23" s="81" customFormat="1" ht="30">
      <c r="A15" s="68"/>
      <c r="B15" s="68"/>
      <c r="C15" s="77">
        <v>161</v>
      </c>
      <c r="D15" s="77" t="s">
        <v>843</v>
      </c>
      <c r="E15" s="77" t="s">
        <v>12</v>
      </c>
      <c r="F15" s="29" t="s">
        <v>958</v>
      </c>
      <c r="G15" s="77" t="s">
        <v>1</v>
      </c>
      <c r="H15" s="77" t="s">
        <v>15</v>
      </c>
      <c r="J15" s="55" t="s">
        <v>844</v>
      </c>
      <c r="K15" s="29"/>
      <c r="L15" s="29">
        <f t="shared" ref="L15:L20" si="1">2019-K15</f>
        <v>2019</v>
      </c>
      <c r="M15" s="77" t="s">
        <v>3</v>
      </c>
      <c r="N15" s="77" t="s">
        <v>1004</v>
      </c>
      <c r="O15" s="77" t="s">
        <v>54</v>
      </c>
      <c r="P15" s="77"/>
      <c r="Q15" s="77" t="s">
        <v>11</v>
      </c>
      <c r="R15" s="77"/>
      <c r="S15" s="77"/>
      <c r="T15" s="77"/>
      <c r="U15" s="77"/>
      <c r="V15" s="77"/>
    </row>
    <row r="16" spans="1:23" s="25" customFormat="1">
      <c r="A16" s="65"/>
      <c r="B16" s="26"/>
      <c r="C16" s="26">
        <v>152</v>
      </c>
      <c r="D16" s="26" t="s">
        <v>834</v>
      </c>
      <c r="E16" s="26" t="s">
        <v>12</v>
      </c>
      <c r="F16" s="28">
        <v>0</v>
      </c>
      <c r="G16" s="26" t="s">
        <v>1</v>
      </c>
      <c r="H16" s="26" t="s">
        <v>2</v>
      </c>
      <c r="J16" s="27" t="s">
        <v>62</v>
      </c>
      <c r="K16" s="28"/>
      <c r="L16" s="28">
        <f t="shared" si="1"/>
        <v>2019</v>
      </c>
      <c r="M16" s="26" t="s">
        <v>3</v>
      </c>
      <c r="N16" s="26" t="s">
        <v>1004</v>
      </c>
      <c r="O16" s="26" t="s">
        <v>1287</v>
      </c>
      <c r="P16" s="26"/>
      <c r="Q16" s="26" t="s">
        <v>714</v>
      </c>
      <c r="R16" s="26"/>
      <c r="S16" s="26"/>
      <c r="T16" s="26"/>
      <c r="U16" s="26"/>
      <c r="V16" s="26"/>
    </row>
    <row r="17" spans="1:22" s="82" customFormat="1">
      <c r="A17" s="65"/>
      <c r="B17" s="78"/>
      <c r="C17" s="78">
        <v>100</v>
      </c>
      <c r="D17" s="78" t="s">
        <v>792</v>
      </c>
      <c r="E17" s="78" t="s">
        <v>12</v>
      </c>
      <c r="F17" s="79" t="s">
        <v>923</v>
      </c>
      <c r="G17" s="78" t="s">
        <v>18</v>
      </c>
      <c r="H17" s="78" t="s">
        <v>15</v>
      </c>
      <c r="J17" s="80">
        <v>30227</v>
      </c>
      <c r="K17" s="79"/>
      <c r="L17" s="79">
        <f t="shared" si="1"/>
        <v>2019</v>
      </c>
      <c r="M17" s="78" t="s">
        <v>3</v>
      </c>
      <c r="N17" s="78" t="s">
        <v>1004</v>
      </c>
      <c r="O17" s="78" t="s">
        <v>57</v>
      </c>
      <c r="P17" s="78"/>
      <c r="Q17" s="78" t="s">
        <v>39</v>
      </c>
      <c r="R17" s="78"/>
      <c r="S17" s="78"/>
      <c r="T17" s="78"/>
      <c r="U17" s="78"/>
      <c r="V17" s="78"/>
    </row>
    <row r="18" spans="1:22" s="82" customFormat="1">
      <c r="A18" s="65"/>
      <c r="B18" s="78"/>
      <c r="C18" s="78">
        <v>114</v>
      </c>
      <c r="D18" s="78" t="s">
        <v>804</v>
      </c>
      <c r="E18" s="78" t="s">
        <v>12</v>
      </c>
      <c r="F18" s="79" t="s">
        <v>935</v>
      </c>
      <c r="G18" s="78" t="s">
        <v>1</v>
      </c>
      <c r="H18" s="78" t="s">
        <v>15</v>
      </c>
      <c r="J18" s="80">
        <v>31879</v>
      </c>
      <c r="K18" s="79"/>
      <c r="L18" s="79">
        <f t="shared" si="1"/>
        <v>2019</v>
      </c>
      <c r="M18" s="78" t="s">
        <v>3</v>
      </c>
      <c r="N18" s="78" t="s">
        <v>1004</v>
      </c>
      <c r="O18" s="78" t="s">
        <v>10</v>
      </c>
      <c r="P18" s="78"/>
      <c r="Q18" s="78" t="s">
        <v>29</v>
      </c>
      <c r="R18" s="78"/>
      <c r="S18" s="78"/>
      <c r="T18" s="78"/>
      <c r="U18" s="78"/>
      <c r="V18" s="78"/>
    </row>
    <row r="19" spans="1:22" s="82" customFormat="1">
      <c r="A19" s="65"/>
      <c r="B19" s="78"/>
      <c r="C19" s="78">
        <v>115</v>
      </c>
      <c r="D19" s="78" t="s">
        <v>805</v>
      </c>
      <c r="E19" s="78" t="s">
        <v>12</v>
      </c>
      <c r="F19" s="79" t="s">
        <v>936</v>
      </c>
      <c r="G19" s="78" t="s">
        <v>18</v>
      </c>
      <c r="H19" s="78" t="s">
        <v>15</v>
      </c>
      <c r="J19" s="80">
        <v>34619</v>
      </c>
      <c r="K19" s="79"/>
      <c r="L19" s="79">
        <f t="shared" si="1"/>
        <v>2019</v>
      </c>
      <c r="M19" s="78" t="s">
        <v>3</v>
      </c>
      <c r="N19" s="78" t="s">
        <v>1004</v>
      </c>
      <c r="O19" s="78" t="s">
        <v>57</v>
      </c>
      <c r="P19" s="78"/>
      <c r="Q19" s="78" t="s">
        <v>11</v>
      </c>
      <c r="R19" s="78"/>
      <c r="S19" s="78"/>
      <c r="T19" s="78"/>
      <c r="U19" s="78"/>
      <c r="V19" s="78"/>
    </row>
    <row r="20" spans="1:22" s="82" customFormat="1">
      <c r="A20" s="65"/>
      <c r="B20" s="78"/>
      <c r="C20" s="78">
        <v>119</v>
      </c>
      <c r="D20" s="78" t="s">
        <v>808</v>
      </c>
      <c r="E20" s="78" t="s">
        <v>12</v>
      </c>
      <c r="F20" s="79" t="s">
        <v>938</v>
      </c>
      <c r="G20" s="78" t="s">
        <v>18</v>
      </c>
      <c r="H20" s="78" t="s">
        <v>15</v>
      </c>
      <c r="J20" s="80" t="s">
        <v>809</v>
      </c>
      <c r="K20" s="79"/>
      <c r="L20" s="79">
        <f t="shared" si="1"/>
        <v>2019</v>
      </c>
      <c r="M20" s="78" t="s">
        <v>3</v>
      </c>
      <c r="N20" s="78" t="s">
        <v>1004</v>
      </c>
      <c r="O20" s="78" t="s">
        <v>10</v>
      </c>
      <c r="P20" s="78"/>
      <c r="Q20" s="78" t="s">
        <v>714</v>
      </c>
      <c r="R20" s="78"/>
      <c r="S20" s="78"/>
      <c r="T20" s="78"/>
      <c r="U20" s="78"/>
      <c r="V20" s="7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selection activeCell="H17" sqref="H17"/>
    </sheetView>
  </sheetViews>
  <sheetFormatPr defaultRowHeight="15"/>
  <cols>
    <col min="10" max="10" width="12.42578125" bestFit="1" customWidth="1"/>
  </cols>
  <sheetData>
    <row r="1" spans="1:23" s="52" customFormat="1">
      <c r="A1" s="242" t="s">
        <v>306</v>
      </c>
      <c r="B1" s="244" t="s">
        <v>1190</v>
      </c>
      <c r="C1" s="244" t="s">
        <v>988</v>
      </c>
      <c r="D1" s="246" t="s">
        <v>314</v>
      </c>
      <c r="E1" s="246" t="s">
        <v>565</v>
      </c>
      <c r="F1" s="240" t="s">
        <v>313</v>
      </c>
      <c r="G1" s="246" t="s">
        <v>563</v>
      </c>
      <c r="H1" s="246" t="s">
        <v>308</v>
      </c>
      <c r="I1" s="253" t="s">
        <v>977</v>
      </c>
      <c r="J1" s="254"/>
      <c r="K1" s="254"/>
      <c r="L1" s="255"/>
      <c r="M1" s="246" t="s">
        <v>564</v>
      </c>
      <c r="N1" s="244" t="s">
        <v>982</v>
      </c>
      <c r="O1" s="246" t="s">
        <v>315</v>
      </c>
      <c r="P1" s="244" t="s">
        <v>983</v>
      </c>
      <c r="Q1" s="246" t="s">
        <v>311</v>
      </c>
      <c r="R1" s="248" t="s">
        <v>984</v>
      </c>
      <c r="S1" s="249"/>
      <c r="T1" s="250" t="s">
        <v>1116</v>
      </c>
      <c r="U1" s="251"/>
      <c r="V1" s="252"/>
    </row>
    <row r="2" spans="1:23" s="52" customFormat="1" ht="30">
      <c r="A2" s="243"/>
      <c r="B2" s="245"/>
      <c r="C2" s="245"/>
      <c r="D2" s="247"/>
      <c r="E2" s="247"/>
      <c r="F2" s="241"/>
      <c r="G2" s="247"/>
      <c r="H2" s="247"/>
      <c r="I2" s="37" t="s">
        <v>978</v>
      </c>
      <c r="J2" s="38" t="s">
        <v>979</v>
      </c>
      <c r="K2" s="42" t="s">
        <v>980</v>
      </c>
      <c r="L2" s="42" t="s">
        <v>1191</v>
      </c>
      <c r="M2" s="247"/>
      <c r="N2" s="245"/>
      <c r="O2" s="247"/>
      <c r="P2" s="245"/>
      <c r="Q2" s="247"/>
      <c r="R2" s="62" t="s">
        <v>1192</v>
      </c>
      <c r="S2" s="62" t="s">
        <v>985</v>
      </c>
      <c r="T2" s="62" t="s">
        <v>1117</v>
      </c>
      <c r="U2" s="63" t="s">
        <v>986</v>
      </c>
      <c r="V2" s="63" t="s">
        <v>987</v>
      </c>
    </row>
    <row r="3" spans="1:23">
      <c r="A3" s="23"/>
      <c r="B3" s="23"/>
      <c r="C3" s="23">
        <v>224</v>
      </c>
      <c r="D3" s="23" t="s">
        <v>304</v>
      </c>
      <c r="E3" s="23" t="s">
        <v>16</v>
      </c>
      <c r="F3" s="23">
        <v>0</v>
      </c>
      <c r="G3" s="23" t="s">
        <v>1</v>
      </c>
      <c r="H3" s="23" t="s">
        <v>2</v>
      </c>
      <c r="I3" s="24"/>
      <c r="J3" s="30">
        <v>18635</v>
      </c>
      <c r="K3" s="56"/>
      <c r="L3" s="56"/>
      <c r="M3" s="23" t="s">
        <v>3</v>
      </c>
      <c r="N3" s="23"/>
      <c r="O3" s="23" t="s">
        <v>11</v>
      </c>
      <c r="P3" s="23"/>
      <c r="Q3" s="23" t="s">
        <v>11</v>
      </c>
      <c r="R3" s="7"/>
      <c r="S3" s="7"/>
      <c r="T3" s="7"/>
      <c r="U3" s="7"/>
      <c r="V3" s="7"/>
      <c r="W3" s="7"/>
    </row>
    <row r="4" spans="1:23" ht="25.5">
      <c r="A4" s="23"/>
      <c r="B4" s="23"/>
      <c r="C4" s="23">
        <v>225</v>
      </c>
      <c r="D4" s="23" t="s">
        <v>305</v>
      </c>
      <c r="E4" s="23" t="s">
        <v>16</v>
      </c>
      <c r="F4" s="23">
        <v>0</v>
      </c>
      <c r="G4" s="23" t="s">
        <v>18</v>
      </c>
      <c r="H4" s="23" t="s">
        <v>15</v>
      </c>
      <c r="I4" s="24"/>
      <c r="J4" s="30">
        <v>29227</v>
      </c>
      <c r="K4" s="56"/>
      <c r="L4" s="56"/>
      <c r="M4" s="23" t="s">
        <v>3</v>
      </c>
      <c r="N4" s="23"/>
      <c r="O4" s="23" t="s">
        <v>54</v>
      </c>
      <c r="P4" s="23"/>
      <c r="Q4" s="23" t="s">
        <v>11</v>
      </c>
      <c r="R4" s="7"/>
      <c r="S4" s="7"/>
      <c r="T4" s="7"/>
      <c r="U4" s="7"/>
      <c r="V4" s="7"/>
      <c r="W4" s="7"/>
    </row>
    <row r="5" spans="1:23" s="47" customFormat="1" ht="15.75" customHeight="1">
      <c r="A5" s="58"/>
      <c r="B5" s="58"/>
      <c r="C5" s="58">
        <v>222</v>
      </c>
      <c r="D5" s="58" t="s">
        <v>301</v>
      </c>
      <c r="E5" s="58" t="s">
        <v>16</v>
      </c>
      <c r="F5" s="66">
        <v>0</v>
      </c>
      <c r="G5" s="58" t="s">
        <v>18</v>
      </c>
      <c r="H5" s="58" t="s">
        <v>15</v>
      </c>
      <c r="I5" s="64"/>
      <c r="J5" s="61">
        <v>37659</v>
      </c>
      <c r="K5" s="66"/>
      <c r="L5" s="66">
        <f>2019-K5</f>
        <v>2019</v>
      </c>
      <c r="M5" s="58" t="s">
        <v>3</v>
      </c>
      <c r="N5" s="58"/>
      <c r="O5" s="58" t="s">
        <v>11</v>
      </c>
      <c r="P5" s="58"/>
      <c r="Q5" s="58" t="s">
        <v>11</v>
      </c>
      <c r="R5" s="36"/>
      <c r="S5" s="36"/>
      <c r="T5" s="36"/>
      <c r="U5" s="36"/>
      <c r="V5" s="36"/>
      <c r="W5" s="36"/>
    </row>
    <row r="6" spans="1:23" s="53" customFormat="1" ht="15.75" customHeight="1">
      <c r="A6" s="69"/>
      <c r="B6" s="71"/>
      <c r="C6" s="71">
        <v>143</v>
      </c>
      <c r="D6" s="71" t="s">
        <v>422</v>
      </c>
      <c r="E6" s="71" t="s">
        <v>16</v>
      </c>
      <c r="F6" s="29">
        <v>0</v>
      </c>
      <c r="G6" s="71" t="s">
        <v>18</v>
      </c>
      <c r="H6" s="71" t="s">
        <v>15</v>
      </c>
      <c r="I6" s="54">
        <v>41458</v>
      </c>
      <c r="J6" s="55"/>
      <c r="K6" s="29"/>
      <c r="L6" s="29">
        <f>2019-K6</f>
        <v>2019</v>
      </c>
      <c r="M6" s="71" t="s">
        <v>3</v>
      </c>
      <c r="N6" s="71"/>
      <c r="O6" s="71" t="s">
        <v>11</v>
      </c>
      <c r="P6" s="71" t="s">
        <v>11</v>
      </c>
      <c r="Q6" s="72"/>
      <c r="R6" s="72"/>
      <c r="S6" s="72"/>
      <c r="T6" s="72"/>
      <c r="U6" s="72"/>
      <c r="V6" s="72"/>
    </row>
    <row r="7" spans="1:23" s="85" customFormat="1" ht="30">
      <c r="A7" s="86"/>
      <c r="B7" s="84"/>
      <c r="C7" s="84">
        <v>62</v>
      </c>
      <c r="D7" s="84" t="s">
        <v>765</v>
      </c>
      <c r="E7" s="84" t="s">
        <v>16</v>
      </c>
      <c r="F7" s="29">
        <v>0</v>
      </c>
      <c r="G7" s="84" t="s">
        <v>18</v>
      </c>
      <c r="H7" s="84" t="s">
        <v>15</v>
      </c>
      <c r="J7" s="55">
        <v>36898</v>
      </c>
      <c r="K7" s="29"/>
      <c r="L7" s="29">
        <f>2019-K7</f>
        <v>2019</v>
      </c>
      <c r="M7" s="84" t="s">
        <v>3</v>
      </c>
      <c r="N7" s="84" t="s">
        <v>1004</v>
      </c>
      <c r="O7" s="84" t="s">
        <v>4</v>
      </c>
      <c r="P7" s="84"/>
      <c r="Q7" s="84" t="s">
        <v>11</v>
      </c>
      <c r="R7" s="84"/>
      <c r="S7" s="84"/>
      <c r="T7" s="84"/>
      <c r="U7" s="84"/>
      <c r="V7" s="84"/>
    </row>
  </sheetData>
  <mergeCells count="16">
    <mergeCell ref="P1:P2"/>
    <mergeCell ref="Q1:Q2"/>
    <mergeCell ref="R1:S1"/>
    <mergeCell ref="T1:V1"/>
    <mergeCell ref="G1:G2"/>
    <mergeCell ref="H1:H2"/>
    <mergeCell ref="I1:L1"/>
    <mergeCell ref="M1:M2"/>
    <mergeCell ref="N1:N2"/>
    <mergeCell ref="O1:O2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10</vt:i4>
      </vt:variant>
    </vt:vector>
  </HeadingPairs>
  <TitlesOfParts>
    <vt:vector size="19" baseType="lpstr">
      <vt:lpstr>Rekap</vt:lpstr>
      <vt:lpstr>RT 1</vt:lpstr>
      <vt:lpstr>RT 2</vt:lpstr>
      <vt:lpstr>RT 3</vt:lpstr>
      <vt:lpstr>RT 4</vt:lpstr>
      <vt:lpstr>Sheet1</vt:lpstr>
      <vt:lpstr>Meninggal</vt:lpstr>
      <vt:lpstr>kawin</vt:lpstr>
      <vt:lpstr>pindah keluar</vt:lpstr>
      <vt:lpstr>'RT 2'!_GoBack</vt:lpstr>
      <vt:lpstr>Rekap!Print_Area</vt:lpstr>
      <vt:lpstr>'RT 1'!Print_Area</vt:lpstr>
      <vt:lpstr>'RT 2'!Print_Area</vt:lpstr>
      <vt:lpstr>'RT 3'!Print_Area</vt:lpstr>
      <vt:lpstr>'RT 4'!Print_Area</vt:lpstr>
      <vt:lpstr>'RT 1'!Print_Titles</vt:lpstr>
      <vt:lpstr>'RT 2'!Print_Titles</vt:lpstr>
      <vt:lpstr>'RT 3'!Print_Titles</vt:lpstr>
      <vt:lpstr>'RT 4'!Print_Titles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 GROUP</dc:creator>
  <cp:lastModifiedBy>user</cp:lastModifiedBy>
  <cp:lastPrinted>2019-08-30T23:47:34Z</cp:lastPrinted>
  <dcterms:created xsi:type="dcterms:W3CDTF">2015-09-27T04:59:55Z</dcterms:created>
  <dcterms:modified xsi:type="dcterms:W3CDTF">2020-05-09T03:19:11Z</dcterms:modified>
</cp:coreProperties>
</file>