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9"/>
  </bookViews>
  <sheets>
    <sheet name="Rekap" sheetId="10" r:id="rId1"/>
    <sheet name="RT 01" sheetId="5" r:id="rId2"/>
    <sheet name="RT 02" sheetId="4" r:id="rId3"/>
    <sheet name="RT 03" sheetId="1" r:id="rId4"/>
    <sheet name="RT 04" sheetId="3" r:id="rId5"/>
    <sheet name="RT 05" sheetId="2" r:id="rId6"/>
    <sheet name="pindah kk" sheetId="7" r:id="rId7"/>
    <sheet name="Sheet1" sheetId="6" r:id="rId8"/>
    <sheet name="MENINGGAL" sheetId="8" r:id="rId9"/>
    <sheet name="Rekap form" sheetId="12" r:id="rId10"/>
    <sheet name="form tabel" sheetId="11" r:id="rId11"/>
    <sheet name="Sheet2" sheetId="9" r:id="rId12"/>
  </sheets>
  <definedNames>
    <definedName name="_xlnm._FilterDatabase" localSheetId="10" hidden="1">'form tabel'!$A$7:$FV$46</definedName>
    <definedName name="_xlnm._FilterDatabase" localSheetId="6" hidden="1">'pindah kk'!$A$3:$W$3</definedName>
    <definedName name="_xlnm._FilterDatabase" localSheetId="1" hidden="1">'RT 01'!$A$7:$FV$334</definedName>
    <definedName name="_xlnm._FilterDatabase" localSheetId="2" hidden="1">'RT 02'!$B$7:$R$188</definedName>
    <definedName name="_xlnm._FilterDatabase" localSheetId="3" hidden="1">'RT 03'!$B$7:$R$252</definedName>
    <definedName name="_xlnm._FilterDatabase" localSheetId="4" hidden="1">'RT 04'!$B$7:$R$223</definedName>
    <definedName name="_xlnm._FilterDatabase" localSheetId="5" hidden="1">'RT 05'!$B$7:$R$152</definedName>
    <definedName name="_xlnm.Print_Area" localSheetId="10">'form tabel'!$B$1:$R$49</definedName>
    <definedName name="_xlnm.Print_Area" localSheetId="0">Rekap!$B$2:$N$21</definedName>
    <definedName name="_xlnm.Print_Area" localSheetId="9">'Rekap form'!$B$2:$N$21</definedName>
    <definedName name="_xlnm.Print_Area" localSheetId="1">'RT 01'!$B$1:$R$337</definedName>
    <definedName name="_xlnm.Print_Area" localSheetId="2">'RT 02'!$B$1:$R$197</definedName>
    <definedName name="_xlnm.Print_Area" localSheetId="3">'RT 03'!$B$1:$R$261</definedName>
    <definedName name="_xlnm.Print_Area" localSheetId="4">'RT 04'!$B$1:$R$232</definedName>
    <definedName name="_xlnm.Print_Area" localSheetId="5">'RT 05'!$B$1:$R$161</definedName>
    <definedName name="_xlnm.Print_Titles" localSheetId="10">'form tabel'!$1:$7</definedName>
    <definedName name="_xlnm.Print_Titles" localSheetId="1">'RT 01'!$1:$7</definedName>
    <definedName name="_xlnm.Print_Titles" localSheetId="2">'RT 02'!$1:$7</definedName>
    <definedName name="_xlnm.Print_Titles" localSheetId="3">'RT 03'!$1:$7</definedName>
    <definedName name="_xlnm.Print_Titles" localSheetId="4">'RT 04'!$1:$7</definedName>
    <definedName name="_xlnm.Print_Titles" localSheetId="5">'RT 05'!$1:$7</definedName>
  </definedNames>
  <calcPr calcId="144525"/>
</workbook>
</file>

<file path=xl/calcChain.xml><?xml version="1.0" encoding="utf-8"?>
<calcChain xmlns="http://schemas.openxmlformats.org/spreadsheetml/2006/main">
  <c r="L252" i="1" l="1"/>
  <c r="L62" i="1"/>
  <c r="L63" i="1"/>
  <c r="L67" i="1"/>
  <c r="L68" i="1"/>
  <c r="L69" i="1"/>
  <c r="L72" i="1"/>
  <c r="L73" i="1"/>
  <c r="L74" i="1"/>
  <c r="L78" i="1"/>
  <c r="L79" i="1"/>
  <c r="L80" i="1"/>
  <c r="L81" i="1"/>
  <c r="L82" i="1"/>
  <c r="L83" i="1"/>
  <c r="L85" i="1"/>
  <c r="L89" i="1"/>
  <c r="L92" i="1"/>
  <c r="L94" i="1"/>
  <c r="L95" i="1"/>
  <c r="L98" i="1"/>
  <c r="L119" i="1"/>
  <c r="L121" i="1"/>
  <c r="L122" i="1"/>
  <c r="L160" i="1"/>
  <c r="L171" i="1"/>
  <c r="L173" i="1"/>
  <c r="L175" i="1"/>
  <c r="L176" i="1"/>
  <c r="L177" i="1"/>
  <c r="L186" i="1"/>
  <c r="L191" i="1"/>
  <c r="L200" i="1"/>
  <c r="L201" i="1"/>
  <c r="L204" i="1"/>
  <c r="L208" i="1"/>
  <c r="L211" i="1"/>
  <c r="L212" i="1"/>
  <c r="L213" i="1"/>
  <c r="L218" i="1"/>
  <c r="L219" i="1"/>
  <c r="L220" i="1"/>
  <c r="L229" i="1"/>
  <c r="L231" i="1"/>
  <c r="L233" i="1"/>
  <c r="L236" i="1"/>
  <c r="L237" i="1"/>
  <c r="L238" i="1"/>
  <c r="L239" i="1"/>
  <c r="L241" i="1"/>
  <c r="L242" i="1"/>
  <c r="L244" i="1"/>
  <c r="L245" i="1"/>
  <c r="L247" i="1"/>
  <c r="L250" i="1"/>
  <c r="L9" i="2"/>
  <c r="J10" i="10"/>
  <c r="J9" i="10"/>
  <c r="J8" i="10"/>
  <c r="J7" i="10"/>
  <c r="J6" i="10"/>
  <c r="I10" i="10"/>
  <c r="I9" i="10"/>
  <c r="I8" i="10"/>
  <c r="I7" i="10"/>
  <c r="I6" i="10"/>
  <c r="L240" i="1" l="1"/>
  <c r="L243" i="1"/>
  <c r="L246" i="1"/>
  <c r="L248" i="1"/>
  <c r="L249" i="1"/>
  <c r="L251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4" i="1"/>
  <c r="M64" i="1" s="1"/>
  <c r="L65" i="1"/>
  <c r="L66" i="1"/>
  <c r="L70" i="1"/>
  <c r="L71" i="1"/>
  <c r="L75" i="1"/>
  <c r="L76" i="1"/>
  <c r="L77" i="1"/>
  <c r="L84" i="1"/>
  <c r="L86" i="1"/>
  <c r="L87" i="1"/>
  <c r="L88" i="1"/>
  <c r="L90" i="1"/>
  <c r="L91" i="1"/>
  <c r="L93" i="1"/>
  <c r="L96" i="1"/>
  <c r="L97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20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1" i="1"/>
  <c r="L162" i="1"/>
  <c r="L163" i="1"/>
  <c r="L164" i="1"/>
  <c r="L165" i="1"/>
  <c r="L166" i="1"/>
  <c r="L167" i="1"/>
  <c r="L168" i="1"/>
  <c r="L169" i="1"/>
  <c r="L170" i="1"/>
  <c r="L172" i="1"/>
  <c r="L174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2" i="1"/>
  <c r="L193" i="1"/>
  <c r="L194" i="1"/>
  <c r="L195" i="1"/>
  <c r="L196" i="1"/>
  <c r="L197" i="1"/>
  <c r="L198" i="1"/>
  <c r="L199" i="1"/>
  <c r="L202" i="1"/>
  <c r="L203" i="1"/>
  <c r="L205" i="1"/>
  <c r="L206" i="1"/>
  <c r="L207" i="1"/>
  <c r="L209" i="1"/>
  <c r="L210" i="1"/>
  <c r="L214" i="1"/>
  <c r="L215" i="1"/>
  <c r="L216" i="1"/>
  <c r="L217" i="1"/>
  <c r="L221" i="1"/>
  <c r="L222" i="1"/>
  <c r="L223" i="1"/>
  <c r="L224" i="1"/>
  <c r="M224" i="1" s="1"/>
  <c r="L225" i="1"/>
  <c r="L226" i="1"/>
  <c r="L227" i="1"/>
  <c r="L228" i="1"/>
  <c r="L230" i="1"/>
  <c r="L232" i="1"/>
  <c r="L234" i="1"/>
  <c r="L235" i="1"/>
  <c r="L8" i="1"/>
  <c r="L145" i="4"/>
  <c r="L144" i="4"/>
  <c r="L143" i="4"/>
  <c r="L142" i="4"/>
  <c r="L141" i="4"/>
  <c r="L140" i="4"/>
  <c r="L139" i="4"/>
  <c r="L138" i="4"/>
  <c r="L137" i="4"/>
  <c r="L129" i="4"/>
  <c r="L128" i="4"/>
  <c r="L127" i="4"/>
  <c r="L126" i="4"/>
  <c r="L125" i="4"/>
  <c r="L124" i="4"/>
  <c r="L123" i="4"/>
  <c r="L118" i="4"/>
  <c r="L117" i="4"/>
  <c r="L111" i="4"/>
  <c r="L110" i="4"/>
  <c r="L109" i="4"/>
  <c r="L108" i="4"/>
  <c r="L105" i="4"/>
  <c r="L104" i="4"/>
  <c r="L103" i="4"/>
  <c r="L102" i="4"/>
  <c r="L101" i="4"/>
  <c r="L100" i="4"/>
  <c r="L99" i="4"/>
  <c r="L98" i="4"/>
  <c r="L97" i="4"/>
  <c r="L93" i="4"/>
  <c r="L92" i="4"/>
  <c r="L91" i="4"/>
  <c r="L81" i="4"/>
  <c r="L80" i="4"/>
  <c r="L79" i="4"/>
  <c r="L72" i="4"/>
  <c r="L71" i="4"/>
  <c r="L70" i="4"/>
  <c r="L64" i="4"/>
  <c r="L63" i="4"/>
  <c r="L62" i="4"/>
  <c r="L61" i="4"/>
  <c r="L60" i="4"/>
  <c r="L59" i="4"/>
  <c r="L58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4" i="4"/>
  <c r="L33" i="4"/>
  <c r="L32" i="4"/>
  <c r="L31" i="4"/>
  <c r="L30" i="4"/>
  <c r="L29" i="4"/>
  <c r="L28" i="4"/>
  <c r="L27" i="4"/>
  <c r="L17" i="4"/>
  <c r="L16" i="4"/>
  <c r="L15" i="4"/>
  <c r="L14" i="4"/>
  <c r="L13" i="4"/>
  <c r="L12" i="4"/>
  <c r="L11" i="4"/>
  <c r="L10" i="4"/>
  <c r="L9" i="4"/>
  <c r="L8" i="4"/>
  <c r="L42" i="5"/>
  <c r="M42" i="5" s="1"/>
  <c r="L41" i="5"/>
  <c r="M41" i="5" s="1"/>
  <c r="L40" i="5"/>
  <c r="M40" i="5" s="1"/>
  <c r="L39" i="5"/>
  <c r="M39" i="5" s="1"/>
  <c r="L38" i="5"/>
  <c r="M38" i="5" s="1"/>
  <c r="L66" i="5"/>
  <c r="M66" i="5" s="1"/>
  <c r="L65" i="5"/>
  <c r="M65" i="5" s="1"/>
  <c r="L64" i="5"/>
  <c r="M64" i="5" s="1"/>
  <c r="L63" i="5"/>
  <c r="M63" i="5" s="1"/>
  <c r="L62" i="5"/>
  <c r="M62" i="5" s="1"/>
  <c r="L61" i="5"/>
  <c r="M61" i="5" s="1"/>
  <c r="L77" i="5"/>
  <c r="M77" i="5" s="1"/>
  <c r="L76" i="5"/>
  <c r="M76" i="5" s="1"/>
  <c r="L75" i="5"/>
  <c r="M75" i="5" s="1"/>
  <c r="L94" i="5"/>
  <c r="M94" i="5" s="1"/>
  <c r="L93" i="5"/>
  <c r="M93" i="5" s="1"/>
  <c r="L92" i="5"/>
  <c r="M92" i="5" s="1"/>
  <c r="L91" i="5"/>
  <c r="M91" i="5" s="1"/>
  <c r="L90" i="5"/>
  <c r="M90" i="5" s="1"/>
  <c r="L89" i="5"/>
  <c r="M89" i="5" s="1"/>
  <c r="L88" i="5"/>
  <c r="M88" i="5" s="1"/>
  <c r="L87" i="5"/>
  <c r="M87" i="5" s="1"/>
  <c r="L86" i="5"/>
  <c r="M86" i="5" s="1"/>
  <c r="L85" i="5"/>
  <c r="M85" i="5" s="1"/>
  <c r="L84" i="5"/>
  <c r="M84" i="5" s="1"/>
  <c r="L83" i="5"/>
  <c r="M83" i="5" s="1"/>
  <c r="L82" i="5"/>
  <c r="M82" i="5" s="1"/>
  <c r="L81" i="5"/>
  <c r="M81" i="5" s="1"/>
  <c r="L104" i="5"/>
  <c r="M104" i="5" s="1"/>
  <c r="L103" i="5"/>
  <c r="M103" i="5" s="1"/>
  <c r="L102" i="5"/>
  <c r="M102" i="5" s="1"/>
  <c r="L101" i="5"/>
  <c r="M101" i="5" s="1"/>
  <c r="L100" i="5"/>
  <c r="M100" i="5" s="1"/>
  <c r="L109" i="5"/>
  <c r="M109" i="5" s="1"/>
  <c r="L108" i="5"/>
  <c r="M108" i="5" s="1"/>
  <c r="L122" i="5"/>
  <c r="M122" i="5" s="1"/>
  <c r="L121" i="5"/>
  <c r="M121" i="5" s="1"/>
  <c r="L120" i="5"/>
  <c r="M120" i="5" s="1"/>
  <c r="L119" i="5"/>
  <c r="M119" i="5" s="1"/>
  <c r="L118" i="5"/>
  <c r="M118" i="5" s="1"/>
  <c r="L134" i="5"/>
  <c r="M134" i="5" s="1"/>
  <c r="L133" i="5"/>
  <c r="M133" i="5" s="1"/>
  <c r="L132" i="5"/>
  <c r="M132" i="5" s="1"/>
  <c r="L131" i="5"/>
  <c r="M131" i="5" s="1"/>
  <c r="L140" i="5"/>
  <c r="M140" i="5" s="1"/>
  <c r="L139" i="5"/>
  <c r="M139" i="5" s="1"/>
  <c r="L159" i="5"/>
  <c r="M159" i="5" s="1"/>
  <c r="L158" i="5"/>
  <c r="M158" i="5" s="1"/>
  <c r="L157" i="5"/>
  <c r="M157" i="5" s="1"/>
  <c r="L156" i="5"/>
  <c r="M156" i="5" s="1"/>
  <c r="L155" i="5"/>
  <c r="M155" i="5" s="1"/>
  <c r="L154" i="5"/>
  <c r="M154" i="5" s="1"/>
  <c r="L153" i="5"/>
  <c r="M153" i="5" s="1"/>
  <c r="L194" i="5"/>
  <c r="M194" i="5" s="1"/>
  <c r="L193" i="5"/>
  <c r="M193" i="5" s="1"/>
  <c r="L192" i="5"/>
  <c r="M192" i="5" s="1"/>
  <c r="L191" i="5"/>
  <c r="M191" i="5" s="1"/>
  <c r="L190" i="5"/>
  <c r="M190" i="5" s="1"/>
  <c r="L189" i="5"/>
  <c r="M189" i="5" s="1"/>
  <c r="L188" i="5"/>
  <c r="M188" i="5" s="1"/>
  <c r="L187" i="5"/>
  <c r="M187" i="5" s="1"/>
  <c r="L186" i="5"/>
  <c r="M186" i="5" s="1"/>
  <c r="L185" i="5"/>
  <c r="M185" i="5" s="1"/>
  <c r="L184" i="5"/>
  <c r="M184" i="5" s="1"/>
  <c r="L226" i="5"/>
  <c r="M226" i="5" s="1"/>
  <c r="L225" i="5"/>
  <c r="M225" i="5" s="1"/>
  <c r="L224" i="5"/>
  <c r="M224" i="5" s="1"/>
  <c r="L223" i="5"/>
  <c r="M223" i="5" s="1"/>
  <c r="L222" i="5"/>
  <c r="M222" i="5" s="1"/>
  <c r="L221" i="5"/>
  <c r="M221" i="5" s="1"/>
  <c r="L220" i="5"/>
  <c r="M220" i="5" s="1"/>
  <c r="L219" i="5"/>
  <c r="M219" i="5" s="1"/>
  <c r="L218" i="5"/>
  <c r="M218" i="5" s="1"/>
  <c r="L217" i="5"/>
  <c r="M217" i="5" s="1"/>
  <c r="L216" i="5"/>
  <c r="M216" i="5" s="1"/>
  <c r="L215" i="5"/>
  <c r="M215" i="5" s="1"/>
  <c r="L214" i="5"/>
  <c r="M214" i="5" s="1"/>
  <c r="L213" i="5"/>
  <c r="M213" i="5" s="1"/>
  <c r="L212" i="5"/>
  <c r="M212" i="5" s="1"/>
  <c r="L211" i="5"/>
  <c r="M211" i="5" s="1"/>
  <c r="L210" i="5"/>
  <c r="M210" i="5" s="1"/>
  <c r="L209" i="5"/>
  <c r="M209" i="5" s="1"/>
  <c r="L208" i="5"/>
  <c r="M208" i="5" s="1"/>
  <c r="L207" i="5"/>
  <c r="M207" i="5" s="1"/>
  <c r="L206" i="5"/>
  <c r="M206" i="5" s="1"/>
  <c r="L205" i="5"/>
  <c r="M205" i="5" s="1"/>
  <c r="L204" i="5"/>
  <c r="M204" i="5" s="1"/>
  <c r="L203" i="5"/>
  <c r="M203" i="5" s="1"/>
  <c r="L202" i="5"/>
  <c r="M202" i="5" s="1"/>
  <c r="L201" i="5"/>
  <c r="M201" i="5" s="1"/>
  <c r="L200" i="5"/>
  <c r="M200" i="5" s="1"/>
  <c r="L199" i="5"/>
  <c r="M199" i="5" s="1"/>
  <c r="L198" i="5"/>
  <c r="M198" i="5" s="1"/>
  <c r="L247" i="5"/>
  <c r="M247" i="5" s="1"/>
  <c r="L246" i="5"/>
  <c r="M246" i="5" s="1"/>
  <c r="L245" i="5"/>
  <c r="M245" i="5" s="1"/>
  <c r="L244" i="5"/>
  <c r="M244" i="5" s="1"/>
  <c r="L243" i="5"/>
  <c r="M243" i="5" s="1"/>
  <c r="L242" i="5"/>
  <c r="M242" i="5" s="1"/>
  <c r="L241" i="5"/>
  <c r="M241" i="5" s="1"/>
  <c r="L240" i="5"/>
  <c r="M240" i="5" s="1"/>
  <c r="L239" i="5"/>
  <c r="M239" i="5" s="1"/>
  <c r="L238" i="5"/>
  <c r="M238" i="5" s="1"/>
  <c r="L237" i="5"/>
  <c r="M237" i="5" s="1"/>
  <c r="L236" i="5"/>
  <c r="M236" i="5" s="1"/>
  <c r="L235" i="5"/>
  <c r="M235" i="5" s="1"/>
  <c r="L261" i="5"/>
  <c r="M261" i="5" s="1"/>
  <c r="L260" i="5"/>
  <c r="M260" i="5" s="1"/>
  <c r="L259" i="5"/>
  <c r="M259" i="5" s="1"/>
  <c r="L258" i="5"/>
  <c r="M258" i="5" s="1"/>
  <c r="L257" i="5"/>
  <c r="M257" i="5" s="1"/>
  <c r="L256" i="5"/>
  <c r="M256" i="5" s="1"/>
  <c r="L255" i="5"/>
  <c r="M255" i="5" s="1"/>
  <c r="L254" i="5"/>
  <c r="M254" i="5" s="1"/>
  <c r="L253" i="5"/>
  <c r="M253" i="5" s="1"/>
  <c r="L252" i="5"/>
  <c r="M252" i="5" s="1"/>
  <c r="L295" i="5"/>
  <c r="M295" i="5" s="1"/>
  <c r="L294" i="5"/>
  <c r="M294" i="5" s="1"/>
  <c r="L293" i="5"/>
  <c r="M293" i="5" s="1"/>
  <c r="L292" i="5"/>
  <c r="M292" i="5" s="1"/>
  <c r="L291" i="5"/>
  <c r="M291" i="5" s="1"/>
  <c r="L290" i="5"/>
  <c r="M290" i="5" s="1"/>
  <c r="L289" i="5"/>
  <c r="M289" i="5" s="1"/>
  <c r="L288" i="5"/>
  <c r="M288" i="5" s="1"/>
  <c r="L287" i="5"/>
  <c r="M287" i="5" s="1"/>
  <c r="L286" i="5"/>
  <c r="M286" i="5" s="1"/>
  <c r="L285" i="5"/>
  <c r="M285" i="5" s="1"/>
  <c r="L284" i="5"/>
  <c r="M284" i="5" s="1"/>
  <c r="L283" i="5"/>
  <c r="M283" i="5" s="1"/>
  <c r="L282" i="5"/>
  <c r="M282" i="5" s="1"/>
  <c r="L281" i="5"/>
  <c r="M281" i="5" s="1"/>
  <c r="L280" i="5"/>
  <c r="M280" i="5" s="1"/>
  <c r="L279" i="5"/>
  <c r="M279" i="5" s="1"/>
  <c r="L278" i="5"/>
  <c r="M278" i="5" s="1"/>
  <c r="L277" i="5"/>
  <c r="M277" i="5" s="1"/>
  <c r="L276" i="5"/>
  <c r="M276" i="5" s="1"/>
  <c r="L275" i="5"/>
  <c r="M275" i="5" s="1"/>
  <c r="L274" i="5"/>
  <c r="M274" i="5" s="1"/>
  <c r="L273" i="5"/>
  <c r="M273" i="5" s="1"/>
  <c r="L272" i="5"/>
  <c r="M272" i="5" s="1"/>
  <c r="L271" i="5"/>
  <c r="M271" i="5" s="1"/>
  <c r="L270" i="5"/>
  <c r="M270" i="5" s="1"/>
  <c r="L269" i="5"/>
  <c r="M269" i="5" s="1"/>
  <c r="L268" i="5"/>
  <c r="M268" i="5" s="1"/>
  <c r="L267" i="5"/>
  <c r="M267" i="5" s="1"/>
  <c r="L266" i="5"/>
  <c r="M266" i="5" s="1"/>
  <c r="L302" i="5"/>
  <c r="M302" i="5" s="1"/>
  <c r="L301" i="5"/>
  <c r="M301" i="5" s="1"/>
  <c r="L303" i="5"/>
  <c r="M303" i="5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4" i="2"/>
  <c r="M104" i="2" s="1"/>
  <c r="L103" i="2"/>
  <c r="M103" i="2" s="1"/>
  <c r="L102" i="2"/>
  <c r="M102" i="2" s="1"/>
  <c r="L101" i="2"/>
  <c r="M101" i="2" s="1"/>
  <c r="L100" i="2"/>
  <c r="M100" i="2" s="1"/>
  <c r="L97" i="2"/>
  <c r="M97" i="2" s="1"/>
  <c r="L96" i="2"/>
  <c r="M96" i="2" s="1"/>
  <c r="L80" i="2"/>
  <c r="M80" i="2" s="1"/>
  <c r="L79" i="2"/>
  <c r="M79" i="2" s="1"/>
  <c r="L78" i="2"/>
  <c r="M78" i="2" s="1"/>
  <c r="L77" i="2"/>
  <c r="M77" i="2" s="1"/>
  <c r="L76" i="2"/>
  <c r="M76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M9" i="2"/>
  <c r="L8" i="2"/>
  <c r="L204" i="3"/>
  <c r="L203" i="3"/>
  <c r="L202" i="3"/>
  <c r="L201" i="3"/>
  <c r="L200" i="3"/>
  <c r="L199" i="3"/>
  <c r="L198" i="3"/>
  <c r="L197" i="3"/>
  <c r="L196" i="3"/>
  <c r="L195" i="3"/>
  <c r="L194" i="3"/>
  <c r="L193" i="3"/>
  <c r="L185" i="3"/>
  <c r="L184" i="3"/>
  <c r="L183" i="3"/>
  <c r="L182" i="3"/>
  <c r="L176" i="3"/>
  <c r="L175" i="3"/>
  <c r="L174" i="3"/>
  <c r="L173" i="3"/>
  <c r="L172" i="3"/>
  <c r="L171" i="3"/>
  <c r="L170" i="3"/>
  <c r="L169" i="3"/>
  <c r="L168" i="3"/>
  <c r="L167" i="3"/>
  <c r="L166" i="3"/>
  <c r="L163" i="3"/>
  <c r="L162" i="3"/>
  <c r="L161" i="3"/>
  <c r="L160" i="3"/>
  <c r="L159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18" i="3"/>
  <c r="L117" i="3"/>
  <c r="L116" i="3"/>
  <c r="L115" i="3"/>
  <c r="L114" i="3"/>
  <c r="L108" i="3"/>
  <c r="L107" i="3"/>
  <c r="L106" i="3"/>
  <c r="L105" i="3"/>
  <c r="L104" i="3"/>
  <c r="L103" i="3"/>
  <c r="L97" i="3"/>
  <c r="L92" i="3"/>
  <c r="L91" i="3"/>
  <c r="L90" i="3"/>
  <c r="L88" i="3"/>
  <c r="L87" i="3"/>
  <c r="L86" i="3"/>
  <c r="L85" i="3"/>
  <c r="L84" i="3"/>
  <c r="L83" i="3"/>
  <c r="L82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30" i="3"/>
  <c r="L26" i="3"/>
  <c r="L25" i="3"/>
  <c r="L24" i="3"/>
  <c r="L23" i="3"/>
  <c r="L22" i="3"/>
  <c r="L21" i="3"/>
  <c r="L20" i="3"/>
  <c r="L19" i="3"/>
  <c r="L18" i="3"/>
  <c r="L17" i="3"/>
  <c r="L16" i="3"/>
  <c r="L15" i="3"/>
  <c r="L10" i="3"/>
  <c r="L9" i="3"/>
  <c r="L8" i="3"/>
  <c r="L11" i="10" l="1"/>
  <c r="M11" i="10"/>
  <c r="G10" i="10" l="1"/>
  <c r="G9" i="10"/>
  <c r="G8" i="10"/>
  <c r="G7" i="10"/>
  <c r="G6" i="10"/>
  <c r="F10" i="10"/>
  <c r="F9" i="10"/>
  <c r="F8" i="10"/>
  <c r="F7" i="10"/>
  <c r="F6" i="10"/>
  <c r="D10" i="10"/>
  <c r="D9" i="10"/>
  <c r="D8" i="10"/>
  <c r="D7" i="10"/>
  <c r="D6" i="10"/>
  <c r="C10" i="10"/>
  <c r="C9" i="10"/>
  <c r="C8" i="10"/>
  <c r="C7" i="10"/>
  <c r="C6" i="10"/>
  <c r="N10" i="10"/>
  <c r="N9" i="10"/>
  <c r="N8" i="10"/>
  <c r="N7" i="10"/>
  <c r="N6" i="10"/>
  <c r="M17" i="3"/>
  <c r="M223" i="3"/>
  <c r="M222" i="3"/>
  <c r="M221" i="3"/>
  <c r="M220" i="3"/>
  <c r="M219" i="3"/>
  <c r="M218" i="3"/>
  <c r="M217" i="3"/>
  <c r="M216" i="3"/>
  <c r="M92" i="2"/>
  <c r="M91" i="2"/>
  <c r="M90" i="2"/>
  <c r="M99" i="2"/>
  <c r="M98" i="2"/>
  <c r="M89" i="2"/>
  <c r="M88" i="2"/>
  <c r="M87" i="2"/>
  <c r="M57" i="2"/>
  <c r="M56" i="2"/>
  <c r="M55" i="2"/>
  <c r="M54" i="2"/>
  <c r="M53" i="2"/>
  <c r="M95" i="2"/>
  <c r="M94" i="2"/>
  <c r="M70" i="2"/>
  <c r="M69" i="2"/>
  <c r="M68" i="2"/>
  <c r="M93" i="2"/>
  <c r="M252" i="1"/>
  <c r="M251" i="1"/>
  <c r="M250" i="1"/>
  <c r="M249" i="1"/>
  <c r="M248" i="1"/>
  <c r="M247" i="1"/>
  <c r="M246" i="1"/>
  <c r="M245" i="1"/>
  <c r="M122" i="1"/>
  <c r="M209" i="1"/>
  <c r="M80" i="1"/>
  <c r="L24" i="7"/>
  <c r="M164" i="1"/>
  <c r="M165" i="1"/>
  <c r="M166" i="1"/>
  <c r="M167" i="1"/>
  <c r="M162" i="1"/>
  <c r="M36" i="3"/>
  <c r="L23" i="7"/>
  <c r="L22" i="7"/>
  <c r="M192" i="3"/>
  <c r="M181" i="3"/>
  <c r="M137" i="1"/>
  <c r="M136" i="1"/>
  <c r="M244" i="1"/>
  <c r="M243" i="1"/>
  <c r="M242" i="1"/>
  <c r="M29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27" i="1"/>
  <c r="M8" i="1"/>
  <c r="L21" i="7"/>
  <c r="L20" i="7"/>
  <c r="L19" i="7"/>
  <c r="M188" i="4"/>
  <c r="M187" i="4"/>
  <c r="M186" i="4"/>
  <c r="M185" i="4"/>
  <c r="M184" i="4"/>
  <c r="M152" i="5"/>
  <c r="M151" i="5"/>
  <c r="M150" i="5"/>
  <c r="M149" i="5"/>
  <c r="M148" i="5"/>
  <c r="M147" i="5"/>
  <c r="M146" i="5"/>
  <c r="M145" i="5"/>
  <c r="M144" i="5"/>
  <c r="M143" i="5"/>
  <c r="M142" i="5"/>
  <c r="M141" i="5"/>
  <c r="M251" i="5"/>
  <c r="M250" i="5"/>
  <c r="M249" i="5"/>
  <c r="M248" i="5"/>
  <c r="M70" i="5"/>
  <c r="M69" i="5"/>
  <c r="M68" i="5"/>
  <c r="M67" i="5"/>
  <c r="M117" i="5"/>
  <c r="M116" i="5"/>
  <c r="M115" i="5"/>
  <c r="M114" i="5"/>
  <c r="M113" i="5"/>
  <c r="M56" i="5"/>
  <c r="M55" i="5"/>
  <c r="M54" i="5"/>
  <c r="M53" i="5"/>
  <c r="M332" i="5"/>
  <c r="M331" i="5"/>
  <c r="M330" i="5"/>
  <c r="M329" i="5"/>
  <c r="M328" i="5"/>
  <c r="M327" i="5"/>
  <c r="M326" i="5"/>
  <c r="M325" i="5"/>
  <c r="M324" i="5"/>
  <c r="M46" i="5"/>
  <c r="M45" i="5"/>
  <c r="M44" i="5"/>
  <c r="M43" i="5"/>
  <c r="M21" i="5"/>
  <c r="M74" i="5"/>
  <c r="M73" i="5"/>
  <c r="M72" i="5"/>
  <c r="M71" i="5"/>
  <c r="M60" i="5"/>
  <c r="M59" i="5"/>
  <c r="M58" i="5"/>
  <c r="M57" i="5"/>
  <c r="M27" i="5"/>
  <c r="M26" i="5"/>
  <c r="M25" i="5"/>
  <c r="M24" i="5"/>
  <c r="M23" i="5"/>
  <c r="M22" i="5"/>
  <c r="M48" i="5"/>
  <c r="M47" i="5"/>
  <c r="M323" i="5"/>
  <c r="M322" i="5"/>
  <c r="M321" i="5"/>
  <c r="M320" i="5"/>
  <c r="M319" i="5"/>
  <c r="M318" i="5"/>
  <c r="M183" i="5"/>
  <c r="M182" i="5"/>
  <c r="M181" i="5"/>
  <c r="M169" i="5"/>
  <c r="M168" i="5"/>
  <c r="M167" i="5"/>
  <c r="M166" i="5"/>
  <c r="M165" i="5"/>
  <c r="M164" i="5"/>
  <c r="L16" i="7"/>
  <c r="M183" i="4"/>
  <c r="M182" i="4"/>
  <c r="M317" i="5"/>
  <c r="M316" i="5"/>
  <c r="M215" i="3"/>
  <c r="M214" i="3"/>
  <c r="M213" i="3"/>
  <c r="M212" i="3"/>
  <c r="M152" i="2"/>
  <c r="M151" i="2"/>
  <c r="M150" i="2"/>
  <c r="M149" i="2"/>
  <c r="M148" i="2"/>
  <c r="L15" i="7"/>
  <c r="M211" i="3"/>
  <c r="M210" i="3"/>
  <c r="M209" i="3"/>
  <c r="M226" i="1"/>
  <c r="M225" i="1"/>
  <c r="M223" i="1"/>
  <c r="M222" i="1"/>
  <c r="M221" i="1"/>
  <c r="M181" i="4"/>
  <c r="M180" i="4"/>
  <c r="M179" i="4"/>
  <c r="M178" i="4"/>
  <c r="M177" i="4"/>
  <c r="M176" i="4"/>
  <c r="M175" i="4"/>
  <c r="M130" i="5"/>
  <c r="M315" i="5"/>
  <c r="M314" i="5"/>
  <c r="M313" i="5"/>
  <c r="M312" i="5"/>
  <c r="M31" i="5"/>
  <c r="M30" i="5"/>
  <c r="M29" i="5"/>
  <c r="M28" i="5"/>
  <c r="M180" i="5"/>
  <c r="M179" i="5"/>
  <c r="M178" i="5"/>
  <c r="M177" i="5"/>
  <c r="M176" i="5"/>
  <c r="M311" i="5"/>
  <c r="M310" i="5"/>
  <c r="M309" i="5"/>
  <c r="M112" i="5"/>
  <c r="M111" i="5"/>
  <c r="M110" i="5"/>
  <c r="M80" i="5"/>
  <c r="M79" i="5"/>
  <c r="M78" i="5"/>
  <c r="M197" i="5"/>
  <c r="M196" i="5"/>
  <c r="M195" i="5"/>
  <c r="M95" i="5"/>
  <c r="M126" i="5"/>
  <c r="M125" i="5"/>
  <c r="M124" i="5"/>
  <c r="M123" i="5"/>
  <c r="M99" i="5"/>
  <c r="M98" i="5"/>
  <c r="M97" i="5"/>
  <c r="M96" i="5"/>
  <c r="M189" i="3"/>
  <c r="M220" i="1"/>
  <c r="M219" i="1"/>
  <c r="M218" i="1"/>
  <c r="M190" i="1"/>
  <c r="L11" i="7"/>
  <c r="M37" i="5"/>
  <c r="M36" i="5"/>
  <c r="M163" i="5"/>
  <c r="M162" i="5"/>
  <c r="M161" i="5"/>
  <c r="M160" i="5"/>
  <c r="M120" i="2"/>
  <c r="M119" i="2"/>
  <c r="M118" i="2"/>
  <c r="M117" i="2"/>
  <c r="M75" i="2"/>
  <c r="M74" i="2"/>
  <c r="M73" i="2"/>
  <c r="M72" i="2"/>
  <c r="M71" i="2"/>
  <c r="M234" i="5"/>
  <c r="M233" i="5"/>
  <c r="M232" i="5"/>
  <c r="M105" i="2"/>
  <c r="M11" i="5"/>
  <c r="M10" i="5"/>
  <c r="M9" i="5"/>
  <c r="M8" i="5"/>
  <c r="M38" i="2"/>
  <c r="M37" i="2"/>
  <c r="M36" i="2"/>
  <c r="M35" i="2"/>
  <c r="M34" i="2"/>
  <c r="M86" i="2"/>
  <c r="M85" i="2"/>
  <c r="M84" i="2"/>
  <c r="M83" i="2"/>
  <c r="M82" i="2"/>
  <c r="M81" i="2"/>
  <c r="M217" i="1"/>
  <c r="M216" i="1"/>
  <c r="M215" i="1"/>
  <c r="M214" i="1"/>
  <c r="L7" i="7"/>
  <c r="M213" i="1"/>
  <c r="M212" i="1"/>
  <c r="M211" i="1"/>
  <c r="M210" i="1"/>
  <c r="M265" i="5"/>
  <c r="M264" i="5"/>
  <c r="M263" i="5"/>
  <c r="M262" i="5"/>
  <c r="M308" i="5"/>
  <c r="M307" i="5"/>
  <c r="M306" i="5"/>
  <c r="M305" i="5"/>
  <c r="M304" i="5"/>
  <c r="M20" i="5"/>
  <c r="M19" i="5"/>
  <c r="M18" i="5"/>
  <c r="M17" i="5"/>
  <c r="M52" i="5"/>
  <c r="M51" i="5"/>
  <c r="M50" i="5"/>
  <c r="M49" i="5"/>
  <c r="M12" i="5"/>
  <c r="M13" i="5"/>
  <c r="M14" i="5"/>
  <c r="M15" i="5"/>
  <c r="M16" i="5"/>
  <c r="M32" i="5"/>
  <c r="M33" i="5"/>
  <c r="M34" i="5"/>
  <c r="M35" i="5"/>
  <c r="M183" i="1"/>
  <c r="M184" i="1"/>
  <c r="M185" i="1"/>
  <c r="M186" i="1"/>
  <c r="M187" i="1"/>
  <c r="M188" i="1"/>
  <c r="M189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3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22" i="4"/>
  <c r="M159" i="4"/>
  <c r="M160" i="4"/>
  <c r="M161" i="4"/>
  <c r="M162" i="4"/>
  <c r="M163" i="4"/>
  <c r="M157" i="4"/>
  <c r="M158" i="4"/>
  <c r="M164" i="4"/>
  <c r="M165" i="4"/>
  <c r="M166" i="4"/>
  <c r="M167" i="4"/>
  <c r="M168" i="4"/>
  <c r="M169" i="4"/>
  <c r="M170" i="4"/>
  <c r="M171" i="4"/>
  <c r="M172" i="4"/>
  <c r="M173" i="4"/>
  <c r="M174" i="4"/>
  <c r="L4" i="7"/>
  <c r="M34" i="3"/>
  <c r="M10" i="3"/>
  <c r="M11" i="3"/>
  <c r="M12" i="3"/>
  <c r="M13" i="3"/>
  <c r="M14" i="3"/>
  <c r="M15" i="3"/>
  <c r="M16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5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2" i="3"/>
  <c r="M183" i="3"/>
  <c r="M184" i="3"/>
  <c r="M185" i="3"/>
  <c r="M186" i="3"/>
  <c r="M187" i="3"/>
  <c r="M188" i="3"/>
  <c r="M190" i="3"/>
  <c r="M191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8" i="2"/>
  <c r="M9" i="3"/>
  <c r="M8" i="3"/>
  <c r="M9" i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8" i="4"/>
  <c r="M300" i="5"/>
  <c r="M299" i="5"/>
  <c r="M298" i="5"/>
  <c r="M297" i="5"/>
  <c r="M296" i="5"/>
  <c r="M231" i="5"/>
  <c r="M230" i="5"/>
  <c r="M229" i="5"/>
  <c r="M228" i="5"/>
  <c r="M227" i="5"/>
  <c r="M175" i="5"/>
  <c r="M174" i="5"/>
  <c r="M173" i="5"/>
  <c r="M172" i="5"/>
  <c r="M171" i="5"/>
  <c r="M170" i="5"/>
  <c r="M138" i="5"/>
  <c r="M137" i="5"/>
  <c r="M136" i="5"/>
  <c r="M135" i="5"/>
  <c r="M129" i="5"/>
  <c r="M128" i="5"/>
  <c r="M127" i="5"/>
  <c r="M107" i="5"/>
  <c r="M106" i="5"/>
  <c r="M105" i="5"/>
  <c r="C6" i="6"/>
  <c r="A6" i="6"/>
  <c r="K9" i="10" l="1"/>
  <c r="E9" i="10"/>
  <c r="N11" i="10"/>
  <c r="D11" i="10"/>
  <c r="H9" i="10"/>
  <c r="G11" i="10"/>
  <c r="J11" i="10"/>
  <c r="C11" i="10"/>
  <c r="F11" i="10"/>
  <c r="I11" i="10"/>
  <c r="E7" i="10"/>
  <c r="H7" i="10"/>
  <c r="K7" i="10"/>
  <c r="K6" i="10"/>
  <c r="K8" i="10"/>
  <c r="K10" i="10"/>
  <c r="H6" i="10"/>
  <c r="H8" i="10"/>
  <c r="H10" i="10"/>
  <c r="E6" i="10"/>
  <c r="E8" i="10"/>
  <c r="E10" i="10"/>
  <c r="H11" i="10" l="1"/>
  <c r="E11" i="10"/>
  <c r="K11" i="10"/>
</calcChain>
</file>

<file path=xl/sharedStrings.xml><?xml version="1.0" encoding="utf-8"?>
<sst xmlns="http://schemas.openxmlformats.org/spreadsheetml/2006/main" count="10635" uniqueCount="2525">
  <si>
    <t>Khairudin, S.Ag</t>
  </si>
  <si>
    <t>L</t>
  </si>
  <si>
    <t>Kawin</t>
  </si>
  <si>
    <t>Islam</t>
  </si>
  <si>
    <t>PT/Akademi</t>
  </si>
  <si>
    <t xml:space="preserve">Pegawai swasta </t>
  </si>
  <si>
    <t>WNI</t>
  </si>
  <si>
    <t>KK</t>
  </si>
  <si>
    <t>520101 200403236</t>
  </si>
  <si>
    <t>Muslimah</t>
  </si>
  <si>
    <t>P</t>
  </si>
  <si>
    <t>PNS/TNI/ POLRI</t>
  </si>
  <si>
    <t>Istri</t>
  </si>
  <si>
    <t>520101 200403237</t>
  </si>
  <si>
    <t>Farhan Nauval Rifqy Firdaus</t>
  </si>
  <si>
    <t>Belum kawin</t>
  </si>
  <si>
    <t>-</t>
  </si>
  <si>
    <t>Lainnya</t>
  </si>
  <si>
    <t>Anak</t>
  </si>
  <si>
    <t>520101 200403238</t>
  </si>
  <si>
    <t>Aisya Ihsan Bilqisti</t>
  </si>
  <si>
    <t>Janda</t>
  </si>
  <si>
    <t>520101 200403239</t>
  </si>
  <si>
    <t>Muhammad Farras Habiburrahman</t>
  </si>
  <si>
    <t>Lain-lain</t>
  </si>
  <si>
    <t>520101 200403240</t>
  </si>
  <si>
    <t>Hj. Siti Hawari</t>
  </si>
  <si>
    <t>SLTA/MA</t>
  </si>
  <si>
    <t>Pekerja lepas</t>
  </si>
  <si>
    <t>520101 6307731001</t>
  </si>
  <si>
    <t>Fadilah</t>
  </si>
  <si>
    <t>520101 5508931001</t>
  </si>
  <si>
    <t>Fahmi</t>
  </si>
  <si>
    <t>520101 1802971001</t>
  </si>
  <si>
    <t>Yusriah</t>
  </si>
  <si>
    <t>SLTP/MTSN</t>
  </si>
  <si>
    <t>520101 7009991001</t>
  </si>
  <si>
    <t>Petani</t>
  </si>
  <si>
    <t>Rukyah</t>
  </si>
  <si>
    <t>Wiraswasta</t>
  </si>
  <si>
    <t>Saripah</t>
  </si>
  <si>
    <t>520101 3112360002</t>
  </si>
  <si>
    <t>Rabitah</t>
  </si>
  <si>
    <t>Pedagang</t>
  </si>
  <si>
    <t>520101 7112380003</t>
  </si>
  <si>
    <t>Marjanah</t>
  </si>
  <si>
    <t>SD/MI</t>
  </si>
  <si>
    <t>Sahwan</t>
  </si>
  <si>
    <t>Niswati</t>
  </si>
  <si>
    <t>p</t>
  </si>
  <si>
    <t>520101 4107700259</t>
  </si>
  <si>
    <t>Hj. Nurhalimah</t>
  </si>
  <si>
    <t>520101 4107580070</t>
  </si>
  <si>
    <t>Hj. Wahidah</t>
  </si>
  <si>
    <t>Pegawai swasta</t>
  </si>
  <si>
    <t>520101 5504790003</t>
  </si>
  <si>
    <t>Hainiah</t>
  </si>
  <si>
    <t>520101 5504790002</t>
  </si>
  <si>
    <t>Iksan</t>
  </si>
  <si>
    <t>520101 2512730004</t>
  </si>
  <si>
    <t>Apriah</t>
  </si>
  <si>
    <t>520101 6204800004</t>
  </si>
  <si>
    <t>Aisyah Ria Baeduri</t>
  </si>
  <si>
    <t>520101 6003040001</t>
  </si>
  <si>
    <t>Ferdian Asramil Huda</t>
  </si>
  <si>
    <t>520101 0102060004</t>
  </si>
  <si>
    <t>M. Taopan Satriaji</t>
  </si>
  <si>
    <t>520101 2911080002</t>
  </si>
  <si>
    <t>Apriali Suci</t>
  </si>
  <si>
    <t>520101 4204120002</t>
  </si>
  <si>
    <t>Akmal</t>
  </si>
  <si>
    <t>520101 0107660126</t>
  </si>
  <si>
    <t>Siti Patimah</t>
  </si>
  <si>
    <t>520101 4107710115</t>
  </si>
  <si>
    <t>Fatmi Maliham</t>
  </si>
  <si>
    <t>anak</t>
  </si>
  <si>
    <t>520101 0909960002</t>
  </si>
  <si>
    <t>Dina Malika</t>
  </si>
  <si>
    <t>520101 6005040002</t>
  </si>
  <si>
    <t>Muhali</t>
  </si>
  <si>
    <t>Duda</t>
  </si>
  <si>
    <t>520101 3112450010</t>
  </si>
  <si>
    <t>Amenah</t>
  </si>
  <si>
    <t>520101 4107620016</t>
  </si>
  <si>
    <t>Saimah</t>
  </si>
  <si>
    <t>520101 7112690034</t>
  </si>
  <si>
    <t>Fikriawan</t>
  </si>
  <si>
    <t>520101 2511950004</t>
  </si>
  <si>
    <t>Hj. Nurhayati</t>
  </si>
  <si>
    <t>Siti Maesarah</t>
  </si>
  <si>
    <t>Mustajab, S.Sos</t>
  </si>
  <si>
    <t>520101 0112700001</t>
  </si>
  <si>
    <t>Yusri Anggraini, S. Pd</t>
  </si>
  <si>
    <t>520101 4111780001</t>
  </si>
  <si>
    <t>Zakirsyah Mohammad</t>
  </si>
  <si>
    <t>520101 2409040001</t>
  </si>
  <si>
    <t>Musleha Bt Abdul Hamid Tohir</t>
  </si>
  <si>
    <t>520101 7112730075</t>
  </si>
  <si>
    <t>Hj. Sumaemah</t>
  </si>
  <si>
    <t>520101 7112700149</t>
  </si>
  <si>
    <t>Jawahir</t>
  </si>
  <si>
    <t>islam</t>
  </si>
  <si>
    <t>Hamdani</t>
  </si>
  <si>
    <t>Lingkungan Dasan Geres Barat  No 12  RT 03  RW 01</t>
  </si>
  <si>
    <t>Sri Munawati</t>
  </si>
  <si>
    <t>Nurul Anti</t>
  </si>
  <si>
    <t>Irma Yuliani</t>
  </si>
  <si>
    <t>Muhamad Aldian Maulani</t>
  </si>
  <si>
    <t>Haikal Mani</t>
  </si>
  <si>
    <t>Siti Maryam</t>
  </si>
  <si>
    <t>Haji Kamaludin</t>
  </si>
  <si>
    <t>520101 1407390001</t>
  </si>
  <si>
    <t>Muniah</t>
  </si>
  <si>
    <t>520101 4107450136</t>
  </si>
  <si>
    <t>520101 1512810006</t>
  </si>
  <si>
    <t>Rabiatul Hairi</t>
  </si>
  <si>
    <t>520101 6001850005</t>
  </si>
  <si>
    <t>520101 2803041001</t>
  </si>
  <si>
    <t>Airin Hasan Abdillah</t>
  </si>
  <si>
    <t>Mahmudah</t>
  </si>
  <si>
    <t>520101 4107670544</t>
  </si>
  <si>
    <t>Sopian Hadi</t>
  </si>
  <si>
    <t>520101 1310870001</t>
  </si>
  <si>
    <t>Hidayanti</t>
  </si>
  <si>
    <t>Rizal Umami</t>
  </si>
  <si>
    <t>520101 2408840002</t>
  </si>
  <si>
    <t>Farida Hardiyanti</t>
  </si>
  <si>
    <t>520101 5010890003</t>
  </si>
  <si>
    <t>Ghinan Algifari</t>
  </si>
  <si>
    <t>520101 0609090001</t>
  </si>
  <si>
    <t>Musanip</t>
  </si>
  <si>
    <t>520101 3112570007</t>
  </si>
  <si>
    <t>Aminah</t>
  </si>
  <si>
    <t>520101 7112590006</t>
  </si>
  <si>
    <t>Muhammad Agus Soni</t>
  </si>
  <si>
    <t>520101 1808880001</t>
  </si>
  <si>
    <t>Muhammad Prastolni</t>
  </si>
  <si>
    <t>520101 2610920001</t>
  </si>
  <si>
    <t>520101 1606950001</t>
  </si>
  <si>
    <t>Muhammad Zuhri</t>
  </si>
  <si>
    <t>520101 1806820003</t>
  </si>
  <si>
    <t>Melisa Ivani</t>
  </si>
  <si>
    <t>Yazid Abdillah</t>
  </si>
  <si>
    <t>Maemunah</t>
  </si>
  <si>
    <t>520101 4107530094</t>
  </si>
  <si>
    <t>Halid</t>
  </si>
  <si>
    <t>520101 3112820172</t>
  </si>
  <si>
    <t>Halil</t>
  </si>
  <si>
    <t>520101 200400166</t>
  </si>
  <si>
    <t>Hamid</t>
  </si>
  <si>
    <t>520101 0406790003</t>
  </si>
  <si>
    <t>Munawarah</t>
  </si>
  <si>
    <t>520101 6606820002</t>
  </si>
  <si>
    <t>Amelia Pratami</t>
  </si>
  <si>
    <t>520101 4808010003</t>
  </si>
  <si>
    <t>Irsya Sabila</t>
  </si>
  <si>
    <t>520101 6003060001</t>
  </si>
  <si>
    <t>Saat</t>
  </si>
  <si>
    <t>Lingkungan Dasan Geres Barat  No 21 RT 03  RW 01</t>
  </si>
  <si>
    <t>520101 0107650237</t>
  </si>
  <si>
    <t>Mukmini</t>
  </si>
  <si>
    <t>520101 4107650111</t>
  </si>
  <si>
    <t>Yuliyarni</t>
  </si>
  <si>
    <t>520101 6707891001</t>
  </si>
  <si>
    <t>Ahmad Roni</t>
  </si>
  <si>
    <t>520101 2910950001</t>
  </si>
  <si>
    <t>Salmah</t>
  </si>
  <si>
    <t>520101 4107470051</t>
  </si>
  <si>
    <t>Jumlah</t>
  </si>
  <si>
    <t>520101 5708730001</t>
  </si>
  <si>
    <t>Haji  Marwan</t>
  </si>
  <si>
    <t>520101 0107760182</t>
  </si>
  <si>
    <t>Hajjah Muni’ah</t>
  </si>
  <si>
    <t>520101 5408810001</t>
  </si>
  <si>
    <t>Muhammad Luthfi Marwan</t>
  </si>
  <si>
    <t>520101 1212110002</t>
  </si>
  <si>
    <t>Husna Malika</t>
  </si>
  <si>
    <t>520101 6809140002</t>
  </si>
  <si>
    <t>Mu’id</t>
  </si>
  <si>
    <t>520101 0107520157</t>
  </si>
  <si>
    <t>Dakyah</t>
  </si>
  <si>
    <t>520101 5007600004</t>
  </si>
  <si>
    <t>Muhammad Nawafil</t>
  </si>
  <si>
    <t>520101 2311950002</t>
  </si>
  <si>
    <t>Muhammad Alwan</t>
  </si>
  <si>
    <t>520101 1005970001</t>
  </si>
  <si>
    <t>Mursidi S.Pd</t>
  </si>
  <si>
    <t>520101 3112820015</t>
  </si>
  <si>
    <t>Hernawati S.Pd</t>
  </si>
  <si>
    <t>520101 5605840002</t>
  </si>
  <si>
    <t>Azizatul Idianawati</t>
  </si>
  <si>
    <t>Muhir</t>
  </si>
  <si>
    <t>520101 3112660082</t>
  </si>
  <si>
    <t>Sur’ah</t>
  </si>
  <si>
    <t>520101 7112810099</t>
  </si>
  <si>
    <t>Deni Firmansyah</t>
  </si>
  <si>
    <t>520101 3012810003</t>
  </si>
  <si>
    <t>Toni Ardiansyah</t>
  </si>
  <si>
    <t>520101 2807850001</t>
  </si>
  <si>
    <t>Devi Irawati</t>
  </si>
  <si>
    <t>520101 5212860002</t>
  </si>
  <si>
    <t>Elin Irmawati</t>
  </si>
  <si>
    <t>520101 0505040003</t>
  </si>
  <si>
    <t>Intan Rizkiawati</t>
  </si>
  <si>
    <t>520101 2203110004</t>
  </si>
  <si>
    <t>520101 1707860001</t>
  </si>
  <si>
    <t>Syariah</t>
  </si>
  <si>
    <t>520101 5111870001</t>
  </si>
  <si>
    <t>520101 5509120003</t>
  </si>
  <si>
    <t>Muharis</t>
  </si>
  <si>
    <t>520101 3112730004</t>
  </si>
  <si>
    <t>Markisah</t>
  </si>
  <si>
    <t>520101 7112700004</t>
  </si>
  <si>
    <t>Leni Risna</t>
  </si>
  <si>
    <t>520101 4303060001</t>
  </si>
  <si>
    <t>Lena Maulida</t>
  </si>
  <si>
    <t>Kurmah</t>
  </si>
  <si>
    <t>520101 4107750578</t>
  </si>
  <si>
    <t>Wahyudi</t>
  </si>
  <si>
    <t>520101 3112971008</t>
  </si>
  <si>
    <t>Muhammad Bahtir</t>
  </si>
  <si>
    <t>520101 2309101001</t>
  </si>
  <si>
    <t>Rindia Ningsih</t>
  </si>
  <si>
    <t>520101 4807140002</t>
  </si>
  <si>
    <t>Suparhadi</t>
  </si>
  <si>
    <t>520101 1312860001</t>
  </si>
  <si>
    <t>Sumiyati</t>
  </si>
  <si>
    <t>520101 4706880001</t>
  </si>
  <si>
    <t>Rifkiaditya Pratama</t>
  </si>
  <si>
    <t>520101 8480106903</t>
  </si>
  <si>
    <t>Maesha Safira</t>
  </si>
  <si>
    <t>Hajjah Nurul Huda</t>
  </si>
  <si>
    <t>520101 4107500111</t>
  </si>
  <si>
    <t>Azizah</t>
  </si>
  <si>
    <t>520101 200401231</t>
  </si>
  <si>
    <t>Rakmah</t>
  </si>
  <si>
    <t>520101 200401232</t>
  </si>
  <si>
    <t>Aisyah</t>
  </si>
  <si>
    <t>520101 200401233</t>
  </si>
  <si>
    <t>Haji Zulkarnaen</t>
  </si>
  <si>
    <t>520101 3112730185</t>
  </si>
  <si>
    <t>Hajjah Satirah</t>
  </si>
  <si>
    <t>520101 5204800001</t>
  </si>
  <si>
    <t>Nurazizah</t>
  </si>
  <si>
    <t>520101 6102100002</t>
  </si>
  <si>
    <t>Ziad Zulkarnaen</t>
  </si>
  <si>
    <t>520101 3003130001</t>
  </si>
  <si>
    <t>Sae’an Basry</t>
  </si>
  <si>
    <t>520101 3112670048</t>
  </si>
  <si>
    <t>Zaenap</t>
  </si>
  <si>
    <t>520101 6510750001</t>
  </si>
  <si>
    <t>Yatim Maryanto</t>
  </si>
  <si>
    <t>520101 1901840001</t>
  </si>
  <si>
    <t>Liqatul Aini</t>
  </si>
  <si>
    <t>520101 4109910001</t>
  </si>
  <si>
    <t>Raedha Artiani</t>
  </si>
  <si>
    <t>520101 6102960001</t>
  </si>
  <si>
    <t>Zaenul Khaliki</t>
  </si>
  <si>
    <t>520101 2511990001</t>
  </si>
  <si>
    <t>Muhasim</t>
  </si>
  <si>
    <t>520101 0107780003</t>
  </si>
  <si>
    <t>Sri Handayani</t>
  </si>
  <si>
    <t>520101 6802811001</t>
  </si>
  <si>
    <t>Muhammad Hasri Pratama</t>
  </si>
  <si>
    <t>520101 1109030001</t>
  </si>
  <si>
    <t>Khasrina Naura Izzati</t>
  </si>
  <si>
    <t>520101 6907131001</t>
  </si>
  <si>
    <t>Muhadis, S.Sos</t>
  </si>
  <si>
    <t>520101 1207740001</t>
  </si>
  <si>
    <t>Herawati</t>
  </si>
  <si>
    <t>520101 8809840001</t>
  </si>
  <si>
    <t>Haji Muhsin</t>
  </si>
  <si>
    <t>520101 0107420160</t>
  </si>
  <si>
    <t>Munisah</t>
  </si>
  <si>
    <t>Hairani</t>
  </si>
  <si>
    <t>520101 6204760001</t>
  </si>
  <si>
    <t>Maulana Ishak</t>
  </si>
  <si>
    <t>520101 0502870001</t>
  </si>
  <si>
    <t>Saleh Hambali, S.Pd</t>
  </si>
  <si>
    <t>520101 0107820451</t>
  </si>
  <si>
    <t>Farida Astuti</t>
  </si>
  <si>
    <t>520101 5901881001</t>
  </si>
  <si>
    <t>Abiyan Faio</t>
  </si>
  <si>
    <t>520101 0306140001</t>
  </si>
  <si>
    <t>520101 0107600319</t>
  </si>
  <si>
    <t>Muhimah</t>
  </si>
  <si>
    <t>520101 4107610058</t>
  </si>
  <si>
    <t>Masitah</t>
  </si>
  <si>
    <t>520101 4107840323</t>
  </si>
  <si>
    <t>Ahmad Baidawi</t>
  </si>
  <si>
    <t>520101 1203900001</t>
  </si>
  <si>
    <t>Jaknah</t>
  </si>
  <si>
    <t>Wirdan</t>
  </si>
  <si>
    <t>Azwar Annas</t>
  </si>
  <si>
    <t>Alya Fadila</t>
  </si>
  <si>
    <t>Nurudin</t>
  </si>
  <si>
    <t>520101 3112700096</t>
  </si>
  <si>
    <t>Ratemah</t>
  </si>
  <si>
    <t>520101 7112760063</t>
  </si>
  <si>
    <t>Fathurrahman Nur</t>
  </si>
  <si>
    <t>520101 1501920004</t>
  </si>
  <si>
    <t>Azhar</t>
  </si>
  <si>
    <t>520101 1612740001</t>
  </si>
  <si>
    <t>Nihayah</t>
  </si>
  <si>
    <t>520101 5803760001</t>
  </si>
  <si>
    <t>Nurul Mazroatun</t>
  </si>
  <si>
    <t>520101 4405950003</t>
  </si>
  <si>
    <t>Yusuf Abdillah</t>
  </si>
  <si>
    <t>520101 0204990001</t>
  </si>
  <si>
    <t>Hani Malkan</t>
  </si>
  <si>
    <t>520101 6208030002</t>
  </si>
  <si>
    <t>Adnan</t>
  </si>
  <si>
    <t>Rahmin</t>
  </si>
  <si>
    <t>Arman Maulana</t>
  </si>
  <si>
    <t>520101 2905001001</t>
  </si>
  <si>
    <t>Halimah</t>
  </si>
  <si>
    <t>Lingkungan Dasan Geres Barat  No 44 RT 03  RW 01</t>
  </si>
  <si>
    <t>Muhammad Arfan</t>
  </si>
  <si>
    <t>Muhammad Tauhid</t>
  </si>
  <si>
    <t>520101 4107980044</t>
  </si>
  <si>
    <t>Muhammad Arifin</t>
  </si>
  <si>
    <t>Zuriani</t>
  </si>
  <si>
    <t>Andra Arifani Pratama</t>
  </si>
  <si>
    <t>Andri Arifani Pratama</t>
  </si>
  <si>
    <t>Samsudin</t>
  </si>
  <si>
    <t>520101 0108800001</t>
  </si>
  <si>
    <t>Parwati</t>
  </si>
  <si>
    <t>520101 4204870001</t>
  </si>
  <si>
    <t>Muhammad Ridho</t>
  </si>
  <si>
    <t>520101 1605100007</t>
  </si>
  <si>
    <t>Fahrul Nizam</t>
  </si>
  <si>
    <t>520101 1109140003</t>
  </si>
  <si>
    <t>Sakmah</t>
  </si>
  <si>
    <t>520101 4107600106</t>
  </si>
  <si>
    <t>Husni</t>
  </si>
  <si>
    <t>520101 3112710078</t>
  </si>
  <si>
    <t>Rudiah</t>
  </si>
  <si>
    <t>520101 4107730302</t>
  </si>
  <si>
    <t>Muhammad Hanafi</t>
  </si>
  <si>
    <t>520101 0104960001</t>
  </si>
  <si>
    <t>Saleha</t>
  </si>
  <si>
    <t>520101 5409000001</t>
  </si>
  <si>
    <t>Indah Sari Pratiwi</t>
  </si>
  <si>
    <t>520101 4306100003</t>
  </si>
  <si>
    <t>Rafi Akhmad Akbar</t>
  </si>
  <si>
    <t>520101 0410140003</t>
  </si>
  <si>
    <t>Lemeh</t>
  </si>
  <si>
    <t>Fathullah</t>
  </si>
  <si>
    <t>No</t>
  </si>
  <si>
    <t>Nama Lengkap/panggilan</t>
  </si>
  <si>
    <t>Jenis Kelamin (L/P)</t>
  </si>
  <si>
    <t>Status Perkawinan</t>
  </si>
  <si>
    <t>Tanggal Lahir</t>
  </si>
  <si>
    <t>Agama</t>
  </si>
  <si>
    <t>Pendidikan Terakhir</t>
  </si>
  <si>
    <t>Pekerjaan</t>
  </si>
  <si>
    <t>Kedudukan dalam Keluarga</t>
  </si>
  <si>
    <t>NIK</t>
  </si>
  <si>
    <t>Lalu Masrinudin</t>
  </si>
  <si>
    <t>520101 7977230001</t>
  </si>
  <si>
    <t>Baiq Nismayati Darmawan</t>
  </si>
  <si>
    <t>PNS/ TNI/ POLRI</t>
  </si>
  <si>
    <t>520101 7001790001</t>
  </si>
  <si>
    <t>Baiq Puspita Ayu Anggini</t>
  </si>
  <si>
    <t>520101 6810980001</t>
  </si>
  <si>
    <t>Baiq Dwi Ayu Lestari</t>
  </si>
  <si>
    <t>520101 6902040001</t>
  </si>
  <si>
    <t>Baiq Desta Asri Ayu Anjani</t>
  </si>
  <si>
    <t>520101 6312080001</t>
  </si>
  <si>
    <t>Lalu Faksi Widjaksa Darma</t>
  </si>
  <si>
    <t>520101 1704120002</t>
  </si>
  <si>
    <t>Lalu Nuhri</t>
  </si>
  <si>
    <t>520101 0107600020</t>
  </si>
  <si>
    <t>520101 4107740189</t>
  </si>
  <si>
    <t>Baiq Maryani</t>
  </si>
  <si>
    <t>520101 4108820005</t>
  </si>
  <si>
    <t>Lalu Sukmiardi</t>
  </si>
  <si>
    <t>PT/ Akademi</t>
  </si>
  <si>
    <t>520101 0108870002</t>
  </si>
  <si>
    <t>Baiq Sucitawati</t>
  </si>
  <si>
    <t>520101 6311870001</t>
  </si>
  <si>
    <t>Baiq Nurul Hidayah</t>
  </si>
  <si>
    <t>520101 4802000001</t>
  </si>
  <si>
    <t>Lalu Alfin Juliansah</t>
  </si>
  <si>
    <t>520101 3007090002</t>
  </si>
  <si>
    <t>Saparudin</t>
  </si>
  <si>
    <t>520101 3112700079</t>
  </si>
  <si>
    <t>Suryah</t>
  </si>
  <si>
    <t>520101 7112750078</t>
  </si>
  <si>
    <t>Nina Handayani</t>
  </si>
  <si>
    <t>520101 6106030001</t>
  </si>
  <si>
    <t>Muhammad Handani Saputra</t>
  </si>
  <si>
    <t>520101 0103080005</t>
  </si>
  <si>
    <t>Saofa Aulia Marwa</t>
  </si>
  <si>
    <t>520101 5611100001</t>
  </si>
  <si>
    <t>Rusdin</t>
  </si>
  <si>
    <t>520101 3112800243</t>
  </si>
  <si>
    <t>Nani Herawati</t>
  </si>
  <si>
    <t>520101 6402770003</t>
  </si>
  <si>
    <t>Haikal Aiman Tahir</t>
  </si>
  <si>
    <t>520101 3103130001</t>
  </si>
  <si>
    <t>Lalu Muhlil</t>
  </si>
  <si>
    <t>520101 0107720162</t>
  </si>
  <si>
    <t>Baiq Fatmah</t>
  </si>
  <si>
    <t>520101 4107750399</t>
  </si>
  <si>
    <t>Lalu Budi Hartawan</t>
  </si>
  <si>
    <t>520101 0711961001</t>
  </si>
  <si>
    <t>Lalu Indra Hartawan</t>
  </si>
  <si>
    <t>520101 3009060002</t>
  </si>
  <si>
    <t>Baiq Lizia Andini</t>
  </si>
  <si>
    <t>520101 4306120003</t>
  </si>
  <si>
    <t>Lalu Muhlis</t>
  </si>
  <si>
    <t>520101 3112590001</t>
  </si>
  <si>
    <t>Rohanah</t>
  </si>
  <si>
    <t>Lalu Heri Kuswanto</t>
  </si>
  <si>
    <t>520101 0502900001</t>
  </si>
  <si>
    <t>Baiq Lilis Septiana</t>
  </si>
  <si>
    <t>520101 5409940002</t>
  </si>
  <si>
    <t>Baiq Yuli Desti Lisnawati</t>
  </si>
  <si>
    <t>520101 5212960001</t>
  </si>
  <si>
    <t>Lalu Mawardi</t>
  </si>
  <si>
    <t>520101 3112740145</t>
  </si>
  <si>
    <t>Baiq Suyarni</t>
  </si>
  <si>
    <t>520101 5503740001</t>
  </si>
  <si>
    <t>Lalu Fahrurozzi</t>
  </si>
  <si>
    <t>520101 0305870001</t>
  </si>
  <si>
    <t>Lalu Rizki Waratama</t>
  </si>
  <si>
    <t>520101 0305030004</t>
  </si>
  <si>
    <t>Lalu Muhammad Firmansyah</t>
  </si>
  <si>
    <t>520101 1703080002</t>
  </si>
  <si>
    <t>Lalu Bayu Anggara</t>
  </si>
  <si>
    <t>520101 2810100002</t>
  </si>
  <si>
    <t>Lalu Marwan</t>
  </si>
  <si>
    <t>520101 3112750114</t>
  </si>
  <si>
    <t>Siti Zuleha</t>
  </si>
  <si>
    <t>520101 7112790058</t>
  </si>
  <si>
    <t>Baiq Wanda Safitri</t>
  </si>
  <si>
    <t>520101 4712020003</t>
  </si>
  <si>
    <t>Lalu Muhammad Ridwan</t>
  </si>
  <si>
    <t>520101 1302070005</t>
  </si>
  <si>
    <t>Lalu Marzan</t>
  </si>
  <si>
    <t>520101 2006880002</t>
  </si>
  <si>
    <t>Mastia</t>
  </si>
  <si>
    <t>520101 5708720003</t>
  </si>
  <si>
    <t>Lalu Wawan Setiawan</t>
  </si>
  <si>
    <t>520101 0408950003</t>
  </si>
  <si>
    <t>Lalu Hirza Mardika</t>
  </si>
  <si>
    <t>520101 2702070004</t>
  </si>
  <si>
    <t>Lalu Kamri</t>
  </si>
  <si>
    <t>Baiq Maisah</t>
  </si>
  <si>
    <t>520101 0910930001</t>
  </si>
  <si>
    <t>Baiq Ratnaningsih</t>
  </si>
  <si>
    <t>520101 4209960001</t>
  </si>
  <si>
    <t>520101 6205030001</t>
  </si>
  <si>
    <t>Lalu Darmawa</t>
  </si>
  <si>
    <t>520101 3112670027</t>
  </si>
  <si>
    <t>Siti Rauhun</t>
  </si>
  <si>
    <t>Lalu Wirantana</t>
  </si>
  <si>
    <t>520101 1305920001</t>
  </si>
  <si>
    <t>Lalu Arya Sandika</t>
  </si>
  <si>
    <t>520101 0206050001</t>
  </si>
  <si>
    <t>Lalu Suparman</t>
  </si>
  <si>
    <t>Baiq Fatmawati</t>
  </si>
  <si>
    <t>520101 7112690029</t>
  </si>
  <si>
    <t>Baiq Nurani</t>
  </si>
  <si>
    <t>520101 5303920001</t>
  </si>
  <si>
    <t>Lalu Handoko</t>
  </si>
  <si>
    <t>520101 1509970001</t>
  </si>
  <si>
    <t>Lalu Gilang Pranata Putra</t>
  </si>
  <si>
    <t>520101 2604070001</t>
  </si>
  <si>
    <t>Jaimil</t>
  </si>
  <si>
    <t>520101 3112780104</t>
  </si>
  <si>
    <t>Sainip</t>
  </si>
  <si>
    <t>Pekerja  lepas</t>
  </si>
  <si>
    <t>520101 4107730385</t>
  </si>
  <si>
    <t>Zainal Abidis</t>
  </si>
  <si>
    <t>520101 3112950018</t>
  </si>
  <si>
    <t>Zainul Ishaq</t>
  </si>
  <si>
    <t>520101 190397001</t>
  </si>
  <si>
    <t>Taufiq Hidayatullah</t>
  </si>
  <si>
    <t>520101 0310070001</t>
  </si>
  <si>
    <t>Mahyudin Hidayatulloh</t>
  </si>
  <si>
    <t>520101 2404940003</t>
  </si>
  <si>
    <t>Khaeriyah</t>
  </si>
  <si>
    <t>520101 4107760195</t>
  </si>
  <si>
    <t>Khaerun Nisa’</t>
  </si>
  <si>
    <t>520101 6201140002</t>
  </si>
  <si>
    <t>Salsilah</t>
  </si>
  <si>
    <t>520101 7112680157</t>
  </si>
  <si>
    <t>520101 0103940005</t>
  </si>
  <si>
    <t>Muhammad Adlan Aly</t>
  </si>
  <si>
    <t>520101 2707980003</t>
  </si>
  <si>
    <t>520101 2001030002</t>
  </si>
  <si>
    <t>520101 2907080001</t>
  </si>
  <si>
    <t>520101 4912600003</t>
  </si>
  <si>
    <t>Indra Kesuma Jaka B.R.P</t>
  </si>
  <si>
    <t>520101 0202970002</t>
  </si>
  <si>
    <t>Panji Indra Leshana R.P</t>
  </si>
  <si>
    <t>520101 1105910005</t>
  </si>
  <si>
    <t>Saqiyah</t>
  </si>
  <si>
    <t>520101 4107620264</t>
  </si>
  <si>
    <t>Suhardi</t>
  </si>
  <si>
    <t>520101 0107620264</t>
  </si>
  <si>
    <t>Sainun</t>
  </si>
  <si>
    <t>Saminah</t>
  </si>
  <si>
    <t>Saeful Bahri</t>
  </si>
  <si>
    <t>Siti Soleha</t>
  </si>
  <si>
    <t>Siti Rakmah</t>
  </si>
  <si>
    <t>Erun</t>
  </si>
  <si>
    <t>520101 0107470071</t>
  </si>
  <si>
    <t>520101 4107550154</t>
  </si>
  <si>
    <t>520101 2102780001</t>
  </si>
  <si>
    <t>Jalaludin</t>
  </si>
  <si>
    <t>520101 0107020504</t>
  </si>
  <si>
    <t>Nurul Hidayah</t>
  </si>
  <si>
    <t>Saibe</t>
  </si>
  <si>
    <t>520101 4107810073</t>
  </si>
  <si>
    <t>Sae’un</t>
  </si>
  <si>
    <t>Alimah</t>
  </si>
  <si>
    <t>Muhammad Baidawi</t>
  </si>
  <si>
    <t>520101 200403251</t>
  </si>
  <si>
    <t>Muksia</t>
  </si>
  <si>
    <t>520101 2004250</t>
  </si>
  <si>
    <t>Ihsan</t>
  </si>
  <si>
    <t>520101 1311840001</t>
  </si>
  <si>
    <t>Ishak</t>
  </si>
  <si>
    <t>520101 1505910002</t>
  </si>
  <si>
    <t>Lalu Agus Putrawan</t>
  </si>
  <si>
    <t>520101 1408820002</t>
  </si>
  <si>
    <t>Mardiah</t>
  </si>
  <si>
    <t>520101 4107830181</t>
  </si>
  <si>
    <t>Lalu Adrian Naufal</t>
  </si>
  <si>
    <t>520101 2501040001</t>
  </si>
  <si>
    <t>Baiq Saskia Amanda Putri</t>
  </si>
  <si>
    <t>520101 6007090002</t>
  </si>
  <si>
    <t>Baiq Nursiah</t>
  </si>
  <si>
    <t>520101 6407680001</t>
  </si>
  <si>
    <t>Lalu Wirajaya</t>
  </si>
  <si>
    <t>520101 0107370163</t>
  </si>
  <si>
    <t>Nikmah</t>
  </si>
  <si>
    <t>Baiq Mardiah</t>
  </si>
  <si>
    <t>520101 200401541</t>
  </si>
  <si>
    <t>Samenah</t>
  </si>
  <si>
    <t>520101 7112420007</t>
  </si>
  <si>
    <t>Baiq Muliyati</t>
  </si>
  <si>
    <t>Lalu Marjan</t>
  </si>
  <si>
    <t>520101 3011730002</t>
  </si>
  <si>
    <t>Baiq Yan</t>
  </si>
  <si>
    <t>520101 5904740001</t>
  </si>
  <si>
    <t>Lalu Andi Azwin</t>
  </si>
  <si>
    <t>520101 1310970002</t>
  </si>
  <si>
    <t>Lalu Kiki Salsa Nandika</t>
  </si>
  <si>
    <t>520101 1008040001</t>
  </si>
  <si>
    <t>Baiq Nayla Zahra Aprila</t>
  </si>
  <si>
    <t>520101 5804130001</t>
  </si>
  <si>
    <t>Lalu Hardiman</t>
  </si>
  <si>
    <t>520101 0712870001</t>
  </si>
  <si>
    <t>Baiq Lasmita Dewi</t>
  </si>
  <si>
    <t>520101 6505930002</t>
  </si>
  <si>
    <t>Lalu Muhammad Naufal Al-Hym</t>
  </si>
  <si>
    <t>520101 0907130001</t>
  </si>
  <si>
    <t>Suriyanah</t>
  </si>
  <si>
    <t>Lalu Wahyu Ramadhani</t>
  </si>
  <si>
    <t>520101 1809080001</t>
  </si>
  <si>
    <t>Mulut Inaq</t>
  </si>
  <si>
    <t>Lalu Suryadi</t>
  </si>
  <si>
    <t>520101 3112790037</t>
  </si>
  <si>
    <t>Musriyani</t>
  </si>
  <si>
    <t>520101 6510790001</t>
  </si>
  <si>
    <t>Lalu Aditya Pratama</t>
  </si>
  <si>
    <t>520101 0410020001</t>
  </si>
  <si>
    <t>Lalu Candra Wibawa</t>
  </si>
  <si>
    <t>520101 9060070001</t>
  </si>
  <si>
    <t>Sadikin</t>
  </si>
  <si>
    <t>520101 3112840109</t>
  </si>
  <si>
    <t>Mukinah</t>
  </si>
  <si>
    <t>520101 7112840024</t>
  </si>
  <si>
    <t>Muhammad Ikbal Ilham</t>
  </si>
  <si>
    <t>Hajjah Muslihan</t>
  </si>
  <si>
    <t>520101 7112600187</t>
  </si>
  <si>
    <t>Baiq Kartisah</t>
  </si>
  <si>
    <t>520101 7112540019</t>
  </si>
  <si>
    <t>Baiq Sasmita Srirahayu</t>
  </si>
  <si>
    <t>520101 4503951001</t>
  </si>
  <si>
    <t>Baiq Ramenah</t>
  </si>
  <si>
    <t>Lalu Herwan</t>
  </si>
  <si>
    <t>520101 2312840001</t>
  </si>
  <si>
    <t>Hajjah Luluk</t>
  </si>
  <si>
    <t>520101 4512900001</t>
  </si>
  <si>
    <t>Baiq Hanindita Khairinniswa</t>
  </si>
  <si>
    <t>520101 4701150001</t>
  </si>
  <si>
    <t>Ramli</t>
  </si>
  <si>
    <t>520101 2808840001</t>
  </si>
  <si>
    <t>Juriah</t>
  </si>
  <si>
    <t>520101 5203870004</t>
  </si>
  <si>
    <t>Muhammad Rizki Maulana</t>
  </si>
  <si>
    <t>520101 1503220001</t>
  </si>
  <si>
    <t>520101 0107540099</t>
  </si>
  <si>
    <t>Safiah</t>
  </si>
  <si>
    <t>520101 4107580085</t>
  </si>
  <si>
    <t>Nikmatul Akairani</t>
  </si>
  <si>
    <t>Wiraswata</t>
  </si>
  <si>
    <t>Roaida</t>
  </si>
  <si>
    <t>Muhammad Salehudin</t>
  </si>
  <si>
    <t>520101 2108710001</t>
  </si>
  <si>
    <t>Yuhaeni</t>
  </si>
  <si>
    <t>520101 4202780001</t>
  </si>
  <si>
    <t>Yazid Albastomy</t>
  </si>
  <si>
    <t>520101 2104880001</t>
  </si>
  <si>
    <t>Muladi Rawalidya Putra</t>
  </si>
  <si>
    <t>520101 2808990003</t>
  </si>
  <si>
    <t>Trimannisa Shabrina</t>
  </si>
  <si>
    <t>520101 4101070003</t>
  </si>
  <si>
    <t>Asmu’i</t>
  </si>
  <si>
    <t>PNS/TNI/</t>
  </si>
  <si>
    <t>520101 2012690001</t>
  </si>
  <si>
    <t>Raodah</t>
  </si>
  <si>
    <t>520101 7112720246</t>
  </si>
  <si>
    <t>Muhammad Ray Andiko</t>
  </si>
  <si>
    <t>520101 1601930001</t>
  </si>
  <si>
    <t>Muhammad Rovan Andrianto</t>
  </si>
  <si>
    <t>520101 1606940003</t>
  </si>
  <si>
    <t>Muhammad Agi As’attrio</t>
  </si>
  <si>
    <t>520101 0303990001</t>
  </si>
  <si>
    <t>Asmara Yauma Putri Farahdia</t>
  </si>
  <si>
    <t>520101 0312010001</t>
  </si>
  <si>
    <t>Andina Maharani Putri</t>
  </si>
  <si>
    <t>520101 3311120003</t>
  </si>
  <si>
    <t>Sakdiah</t>
  </si>
  <si>
    <t>520101 7112690246</t>
  </si>
  <si>
    <t>520101 5101900002</t>
  </si>
  <si>
    <t>Hajjah Nafizah</t>
  </si>
  <si>
    <t>520101 7112540010</t>
  </si>
  <si>
    <t>Muhidi</t>
  </si>
  <si>
    <t>Muhammad Takdir Rizal</t>
  </si>
  <si>
    <t>Ferawati</t>
  </si>
  <si>
    <t>Radiah</t>
  </si>
  <si>
    <t>Sahir</t>
  </si>
  <si>
    <t>520101 0107730081</t>
  </si>
  <si>
    <t>Hajjah Anisah</t>
  </si>
  <si>
    <t>520101 4107730293</t>
  </si>
  <si>
    <t>Anang Sahrial</t>
  </si>
  <si>
    <t>520101 2203000001</t>
  </si>
  <si>
    <t>Ananda Sahira</t>
  </si>
  <si>
    <t>520101 4206060003</t>
  </si>
  <si>
    <t>Sucita Anisa</t>
  </si>
  <si>
    <t>520101 6011140001</t>
  </si>
  <si>
    <t>520101 200400015</t>
  </si>
  <si>
    <t>Tursiah</t>
  </si>
  <si>
    <t>520101 200400016</t>
  </si>
  <si>
    <t>Misnatun Hasanah</t>
  </si>
  <si>
    <t>520101 200400017</t>
  </si>
  <si>
    <t>Muh. Syukron</t>
  </si>
  <si>
    <t>520101 200400018</t>
  </si>
  <si>
    <t>Hajjah Nurlaila</t>
  </si>
  <si>
    <t>520101 5507820003</t>
  </si>
  <si>
    <t>Akmaludin</t>
  </si>
  <si>
    <t>520101 1607030001</t>
  </si>
  <si>
    <t>Siti Aminah</t>
  </si>
  <si>
    <t>520101 4707030001</t>
  </si>
  <si>
    <t>Muhammad Khaeruman</t>
  </si>
  <si>
    <t>520101 2203070001</t>
  </si>
  <si>
    <t>Nurdiah</t>
  </si>
  <si>
    <t>520101 200401382</t>
  </si>
  <si>
    <t>Rabi’ah</t>
  </si>
  <si>
    <t>520101 200401385</t>
  </si>
  <si>
    <t>Sahar</t>
  </si>
  <si>
    <t>520101 1812720091</t>
  </si>
  <si>
    <t>520101 4908780091</t>
  </si>
  <si>
    <t>Dita Aulia</t>
  </si>
  <si>
    <t>520101 5802930091</t>
  </si>
  <si>
    <t>M. Fadli Akbar</t>
  </si>
  <si>
    <t>520101 3005050091</t>
  </si>
  <si>
    <t>M. Fadlan Akbar</t>
  </si>
  <si>
    <t>520101 3005050092</t>
  </si>
  <si>
    <t>520101 7112600202</t>
  </si>
  <si>
    <t>520101 4105940001</t>
  </si>
  <si>
    <t>Sapdi</t>
  </si>
  <si>
    <t>520101 7112760192</t>
  </si>
  <si>
    <t>520101 1006040003</t>
  </si>
  <si>
    <t>520101 4505080002</t>
  </si>
  <si>
    <t>M. Adnan</t>
  </si>
  <si>
    <t>520101 1511790001</t>
  </si>
  <si>
    <t>520101 5012830001</t>
  </si>
  <si>
    <t>Nisa Apriana</t>
  </si>
  <si>
    <t>520101 5904030001</t>
  </si>
  <si>
    <t>Yumna Azzahwa</t>
  </si>
  <si>
    <t>520101 4512130001</t>
  </si>
  <si>
    <t>Kamar</t>
  </si>
  <si>
    <t>520101 0107560090</t>
  </si>
  <si>
    <t>Siah</t>
  </si>
  <si>
    <t>520101 4107570144</t>
  </si>
  <si>
    <t>Lukmanudin</t>
  </si>
  <si>
    <t>Idham Halid</t>
  </si>
  <si>
    <t>520101 1106920002</t>
  </si>
  <si>
    <t>Sudirman</t>
  </si>
  <si>
    <t>520101 2212940001</t>
  </si>
  <si>
    <t>Muhasan</t>
  </si>
  <si>
    <t>520101 0107680235</t>
  </si>
  <si>
    <t>Almah</t>
  </si>
  <si>
    <t>520101 4107700449</t>
  </si>
  <si>
    <t>Budiawan</t>
  </si>
  <si>
    <t>520101 1403550001</t>
  </si>
  <si>
    <t>Didik Setiawan</t>
  </si>
  <si>
    <t>520101 0910980001</t>
  </si>
  <si>
    <t>Manfuz</t>
  </si>
  <si>
    <t>520101 1607360002</t>
  </si>
  <si>
    <t>Sirol Fahmi</t>
  </si>
  <si>
    <t>520101 6204910003</t>
  </si>
  <si>
    <t>Istikomah</t>
  </si>
  <si>
    <t>520101 5805100002</t>
  </si>
  <si>
    <t>Puspita sari</t>
  </si>
  <si>
    <t>520101 5807120001</t>
  </si>
  <si>
    <t>Munawar</t>
  </si>
  <si>
    <t>520101 0212710005</t>
  </si>
  <si>
    <t>Herawati S.Pd</t>
  </si>
  <si>
    <t>520101 7112770157</t>
  </si>
  <si>
    <t>Ifka Wanda Novia Hidayati</t>
  </si>
  <si>
    <t>520101 6611990003</t>
  </si>
  <si>
    <t>Moh. Sahindra Rico Pratama</t>
  </si>
  <si>
    <t>520101 1910020006</t>
  </si>
  <si>
    <t>Maicha Soraya Nursasih</t>
  </si>
  <si>
    <t>520101 4505120002</t>
  </si>
  <si>
    <t>Moh. Farid Galid Husyaddad</t>
  </si>
  <si>
    <t>Hamidah</t>
  </si>
  <si>
    <t>520101 4107650116</t>
  </si>
  <si>
    <t>Haji Ilmi Najamudin</t>
  </si>
  <si>
    <t>520101 3112730028</t>
  </si>
  <si>
    <t>Hajjah Hulaefa</t>
  </si>
  <si>
    <t>520101 7112720058</t>
  </si>
  <si>
    <t>M. Hasan Amir Husen</t>
  </si>
  <si>
    <t>520101 0201882001</t>
  </si>
  <si>
    <t>Rizka Ridho Illahi</t>
  </si>
  <si>
    <t>520101 6311020002</t>
  </si>
  <si>
    <t>Farhat Abdul Aziz</t>
  </si>
  <si>
    <t>520101 0503060001</t>
  </si>
  <si>
    <t>Moh. Lutfi Abdurrahman</t>
  </si>
  <si>
    <t>520101 1212120001</t>
  </si>
  <si>
    <t>Suniah</t>
  </si>
  <si>
    <t>520101 4107500128</t>
  </si>
  <si>
    <t>Ramlah</t>
  </si>
  <si>
    <t>520101 4107600123</t>
  </si>
  <si>
    <t>Mashur</t>
  </si>
  <si>
    <t>520101 0107600313</t>
  </si>
  <si>
    <t>Mahnim</t>
  </si>
  <si>
    <t>520101 4107610056</t>
  </si>
  <si>
    <t>Nawiyah</t>
  </si>
  <si>
    <t>520101 4107560101</t>
  </si>
  <si>
    <t>Ibrahim</t>
  </si>
  <si>
    <t>Ayu Ningsih</t>
  </si>
  <si>
    <t>Ana Aprilia</t>
  </si>
  <si>
    <t>Rian Sahmi Sagito</t>
  </si>
  <si>
    <t>520101 3011990021</t>
  </si>
  <si>
    <t>Jamaludin</t>
  </si>
  <si>
    <t>520101 0107420157</t>
  </si>
  <si>
    <t>Sabenah</t>
  </si>
  <si>
    <t>520101 4107500143</t>
  </si>
  <si>
    <t>Masiah</t>
  </si>
  <si>
    <t>520101 4107770551</t>
  </si>
  <si>
    <t>Muksin</t>
  </si>
  <si>
    <t>520101 0107780076</t>
  </si>
  <si>
    <t>Siti Khodijah</t>
  </si>
  <si>
    <t>520101 5507820001</t>
  </si>
  <si>
    <t>Muhammad Taupik</t>
  </si>
  <si>
    <t>520101 1004840003</t>
  </si>
  <si>
    <t>Siti Faizah</t>
  </si>
  <si>
    <t>520101 6202090001</t>
  </si>
  <si>
    <t>Sita Febria Sholeha</t>
  </si>
  <si>
    <t>Muhammad Gazali</t>
  </si>
  <si>
    <t>520101 2710820001</t>
  </si>
  <si>
    <t>Sumarni</t>
  </si>
  <si>
    <t>520101 6703880001</t>
  </si>
  <si>
    <t>Syafa Azzahra</t>
  </si>
  <si>
    <t>520101 5507110001</t>
  </si>
  <si>
    <t>Abdul Azis</t>
  </si>
  <si>
    <t>Sapinah</t>
  </si>
  <si>
    <t>Muhammad Alwi</t>
  </si>
  <si>
    <t>Ardiasyah</t>
  </si>
  <si>
    <t>Aminullah</t>
  </si>
  <si>
    <t>520101 7112600021</t>
  </si>
  <si>
    <t>Mahsun</t>
  </si>
  <si>
    <t>520101 1005840001</t>
  </si>
  <si>
    <t>Muhammad Duadi</t>
  </si>
  <si>
    <t>520101 0503940001</t>
  </si>
  <si>
    <t>Ulul Azmi</t>
  </si>
  <si>
    <t>520101 0107870216</t>
  </si>
  <si>
    <t>Faridatul Ain</t>
  </si>
  <si>
    <t>520101 4107840019</t>
  </si>
  <si>
    <t>Mas’ud</t>
  </si>
  <si>
    <t>520101 0107550086</t>
  </si>
  <si>
    <t>Safa’ah</t>
  </si>
  <si>
    <t>520101 4107650333</t>
  </si>
  <si>
    <t>Mardan</t>
  </si>
  <si>
    <t>520101 0107800416</t>
  </si>
  <si>
    <t>Maryani</t>
  </si>
  <si>
    <t>520101 5410810001</t>
  </si>
  <si>
    <t>Marzuki</t>
  </si>
  <si>
    <t>520101 0107840222</t>
  </si>
  <si>
    <t>Muhammad Irhamna</t>
  </si>
  <si>
    <t>520101 0107930273</t>
  </si>
  <si>
    <t>Abdul Ma’at</t>
  </si>
  <si>
    <t>520101 3112660001</t>
  </si>
  <si>
    <t>520101 7112700003</t>
  </si>
  <si>
    <t>Ma’assobirin</t>
  </si>
  <si>
    <t>520101 1804950001</t>
  </si>
  <si>
    <t>Mahadir</t>
  </si>
  <si>
    <t>520101 3007040001</t>
  </si>
  <si>
    <t>Haji Ma Rwan</t>
  </si>
  <si>
    <t>Muhammad Lutfi Ma RWan</t>
  </si>
  <si>
    <t>Saharudin</t>
  </si>
  <si>
    <t>520101 102021199</t>
  </si>
  <si>
    <t>H. Ahmad Ramli</t>
  </si>
  <si>
    <t>kawin</t>
  </si>
  <si>
    <t>520101 3112640138</t>
  </si>
  <si>
    <t>Hajjah Nurlaela</t>
  </si>
  <si>
    <t>520101 7112650082</t>
  </si>
  <si>
    <t>Ahmad Khaerul Rais</t>
  </si>
  <si>
    <t>520101 0510880003</t>
  </si>
  <si>
    <t>Ahmad Heri Rais</t>
  </si>
  <si>
    <t>520101 0501890003</t>
  </si>
  <si>
    <t>Ahmad Musadddad Rais</t>
  </si>
  <si>
    <t>520101 1102920006</t>
  </si>
  <si>
    <t>Ahmad Efdal Rais</t>
  </si>
  <si>
    <t>520101 0409930003</t>
  </si>
  <si>
    <t>Ahmad Biliit Rais</t>
  </si>
  <si>
    <t>520101 1709030003</t>
  </si>
  <si>
    <t>Masrun</t>
  </si>
  <si>
    <t>Nurhayati</t>
  </si>
  <si>
    <t>520101 4304780001</t>
  </si>
  <si>
    <t>Masyhun Safwan</t>
  </si>
  <si>
    <t>520101 1102870001</t>
  </si>
  <si>
    <t>Ahmad Syahidu</t>
  </si>
  <si>
    <t>520101 0604930001</t>
  </si>
  <si>
    <t>Abdul Kadir</t>
  </si>
  <si>
    <t>Hikmah</t>
  </si>
  <si>
    <t>M. Turmuzi</t>
  </si>
  <si>
    <t>520101 0107920135</t>
  </si>
  <si>
    <t>Amrullah</t>
  </si>
  <si>
    <t>520101 2203940003</t>
  </si>
  <si>
    <t>Muharar Asyhari</t>
  </si>
  <si>
    <t>Kamal Karozi</t>
  </si>
  <si>
    <t>520101 2701000003</t>
  </si>
  <si>
    <t>Rukiyah</t>
  </si>
  <si>
    <t>520101 4107790316</t>
  </si>
  <si>
    <t>520101 0206050003</t>
  </si>
  <si>
    <t>Gilmi Iklimawazi</t>
  </si>
  <si>
    <t>520101 4703080001</t>
  </si>
  <si>
    <t>Muhammad Firman</t>
  </si>
  <si>
    <t>520101 2004140001</t>
  </si>
  <si>
    <t>Awaludin</t>
  </si>
  <si>
    <t>Titin Febrianis</t>
  </si>
  <si>
    <t>520101 6612110002</t>
  </si>
  <si>
    <t>Satiah</t>
  </si>
  <si>
    <t>520101 4107500117</t>
  </si>
  <si>
    <t>Muhammad Suharto</t>
  </si>
  <si>
    <t>520101 3112770076</t>
  </si>
  <si>
    <t>Maimunah</t>
  </si>
  <si>
    <t>520101 2112700077</t>
  </si>
  <si>
    <t>Muhammad Rizky Pratama</t>
  </si>
  <si>
    <t>Banun</t>
  </si>
  <si>
    <t>Mahnun</t>
  </si>
  <si>
    <t>520101 7112690124</t>
  </si>
  <si>
    <t>Mahdar</t>
  </si>
  <si>
    <t>520101 3012750015</t>
  </si>
  <si>
    <t>Fartini Susilawati</t>
  </si>
  <si>
    <t>520101 6104840003</t>
  </si>
  <si>
    <t>Ahmad Riadus Solihin</t>
  </si>
  <si>
    <t>520101 0707110007</t>
  </si>
  <si>
    <t>Muhidin</t>
  </si>
  <si>
    <t>520101 0107550742</t>
  </si>
  <si>
    <t>Muri’ah</t>
  </si>
  <si>
    <t>520101 5512910001</t>
  </si>
  <si>
    <t>Muhlis</t>
  </si>
  <si>
    <t>Muhammad Maulidan</t>
  </si>
  <si>
    <t>Hajjah Jamilah</t>
  </si>
  <si>
    <t>520101 7112710024</t>
  </si>
  <si>
    <t>Kusmawati</t>
  </si>
  <si>
    <t>520101 4107940175</t>
  </si>
  <si>
    <t>Dedy Iskandar</t>
  </si>
  <si>
    <t>520101 4308050002</t>
  </si>
  <si>
    <t>Haji Ali Wijaya</t>
  </si>
  <si>
    <t>520101 5805080003</t>
  </si>
  <si>
    <t>520101 0703820005</t>
  </si>
  <si>
    <t>Selina</t>
  </si>
  <si>
    <t>520101 5003070002</t>
  </si>
  <si>
    <t>Muhammad Zainuri Ihsan</t>
  </si>
  <si>
    <t>520101 0803730001</t>
  </si>
  <si>
    <t>Rusmiatun</t>
  </si>
  <si>
    <t>520101 6609810001</t>
  </si>
  <si>
    <t>Ahmad Farhan Hawari</t>
  </si>
  <si>
    <t>520101 2606020001</t>
  </si>
  <si>
    <t>Abdurrahman Sudaisi</t>
  </si>
  <si>
    <t>520101 2812040001</t>
  </si>
  <si>
    <t>Nul hakim</t>
  </si>
  <si>
    <t>520101 0107910093</t>
  </si>
  <si>
    <t>Siti Aisah</t>
  </si>
  <si>
    <t>Anindya Aisyah Azzahra</t>
  </si>
  <si>
    <t>Muhammad Hasan Asgar</t>
  </si>
  <si>
    <t>520101 2303930001</t>
  </si>
  <si>
    <t>Linda Marlina</t>
  </si>
  <si>
    <t>Hasbi</t>
  </si>
  <si>
    <t>520101 1006760002</t>
  </si>
  <si>
    <t>Siti Sudinah</t>
  </si>
  <si>
    <t>520101 4303780002</t>
  </si>
  <si>
    <t>Hatina Danila</t>
  </si>
  <si>
    <t>520101 5907010001</t>
  </si>
  <si>
    <t>Ahmat Rizki Habibulloh</t>
  </si>
  <si>
    <t>520101 2206090001</t>
  </si>
  <si>
    <t>Ramli Haris</t>
  </si>
  <si>
    <t>520101 0707840001</t>
  </si>
  <si>
    <t>Eti Supyanti</t>
  </si>
  <si>
    <t>520101 5212871001</t>
  </si>
  <si>
    <t>Al Khalifi Zikri Atiq</t>
  </si>
  <si>
    <t>520101 1503140001</t>
  </si>
  <si>
    <t>Haji Iksan</t>
  </si>
  <si>
    <t>Hajjah Zakrah</t>
  </si>
  <si>
    <t>520101 200401469</t>
  </si>
  <si>
    <t>Muhammad Ismail</t>
  </si>
  <si>
    <t>520101 0201860002</t>
  </si>
  <si>
    <t>Tini Hariani</t>
  </si>
  <si>
    <t>520101 7112860159</t>
  </si>
  <si>
    <t>Istiyanti Aufa Syakira</t>
  </si>
  <si>
    <t>520101 4503130001</t>
  </si>
  <si>
    <t>Nurholis Jamil</t>
  </si>
  <si>
    <t>520101 2901850001</t>
  </si>
  <si>
    <t>Juliyanti</t>
  </si>
  <si>
    <t>Rohana</t>
  </si>
  <si>
    <t>Husnul Fateha</t>
  </si>
  <si>
    <t>520101 6005980003</t>
  </si>
  <si>
    <t>520101 2011080001</t>
  </si>
  <si>
    <t>Hajjah Nurhidayah</t>
  </si>
  <si>
    <t>520101 4107590149</t>
  </si>
  <si>
    <t>Anis Sujudi</t>
  </si>
  <si>
    <t>520101 2007920001</t>
  </si>
  <si>
    <t>Wazir Fahmi</t>
  </si>
  <si>
    <t>520101 2908950001</t>
  </si>
  <si>
    <t>M Tauhid S.P</t>
  </si>
  <si>
    <t>520101 3009700002</t>
  </si>
  <si>
    <t>Nurhasanah S.Pd</t>
  </si>
  <si>
    <t>520101 4806820001</t>
  </si>
  <si>
    <t>M Nabil Asnawi</t>
  </si>
  <si>
    <t>520101 2108060001</t>
  </si>
  <si>
    <t>M Rizki Firdaus</t>
  </si>
  <si>
    <t>520101 0806111002</t>
  </si>
  <si>
    <t>M Ammar Sya’bani</t>
  </si>
  <si>
    <t>520101 1906131004</t>
  </si>
  <si>
    <t>Halawi</t>
  </si>
  <si>
    <t>Lana  Mali’ah</t>
  </si>
  <si>
    <t>520101 6212970002</t>
  </si>
  <si>
    <t>Mutia Sakina</t>
  </si>
  <si>
    <t>Nur Salisa</t>
  </si>
  <si>
    <t>Madina Latifa</t>
  </si>
  <si>
    <t>520101 6702110003</t>
  </si>
  <si>
    <t>Sadariah</t>
  </si>
  <si>
    <t>520101 7112430034</t>
  </si>
  <si>
    <t>Saefudin</t>
  </si>
  <si>
    <t>Asturiyanti</t>
  </si>
  <si>
    <t>Najib Afriyandi</t>
  </si>
  <si>
    <t>Haji Nazar Naamy M. Si</t>
  </si>
  <si>
    <t>520101 0107720166</t>
  </si>
  <si>
    <t>Hajjah  Zuhaeranah S. Ag</t>
  </si>
  <si>
    <t>520101 4107770505</t>
  </si>
  <si>
    <t>A Irfan Ghifary</t>
  </si>
  <si>
    <t>520101 0407031002</t>
  </si>
  <si>
    <t>Luna Febriana S</t>
  </si>
  <si>
    <t>520101 4402081001</t>
  </si>
  <si>
    <t>Muhammad Nizar Fatria</t>
  </si>
  <si>
    <t>520101 1202141003</t>
  </si>
  <si>
    <t>Junainah</t>
  </si>
  <si>
    <t>520101 7112630030</t>
  </si>
  <si>
    <t>Siti Rahmi</t>
  </si>
  <si>
    <t>Auro Zakia Andini</t>
  </si>
  <si>
    <t>Buniamin</t>
  </si>
  <si>
    <t>Zainul Anam</t>
  </si>
  <si>
    <t>Ulia Hopipah</t>
  </si>
  <si>
    <t>Muhammad Riadil Jinan</t>
  </si>
  <si>
    <t>Haji Ridwan</t>
  </si>
  <si>
    <t>Pensiunan</t>
  </si>
  <si>
    <t>520101 3112560003</t>
  </si>
  <si>
    <t>Rohaniah</t>
  </si>
  <si>
    <t>520101 5303660001</t>
  </si>
  <si>
    <t>Safina Grahana</t>
  </si>
  <si>
    <t>520101 6304880001</t>
  </si>
  <si>
    <t>Dandalina</t>
  </si>
  <si>
    <t>520101 6305900002</t>
  </si>
  <si>
    <t>Quratul Aini</t>
  </si>
  <si>
    <t>--</t>
  </si>
  <si>
    <t>Aulia Nabila</t>
  </si>
  <si>
    <t>Humaira</t>
  </si>
  <si>
    <t>Subulal Huda</t>
  </si>
  <si>
    <t>Uman</t>
  </si>
  <si>
    <t>Mustakim</t>
  </si>
  <si>
    <t>520101 3112640001</t>
  </si>
  <si>
    <t>Hadijah</t>
  </si>
  <si>
    <t>520101 4601690001</t>
  </si>
  <si>
    <t>Hamzan Wadi</t>
  </si>
  <si>
    <t>520101 2809890001</t>
  </si>
  <si>
    <t>Ahmad Syukri</t>
  </si>
  <si>
    <t>520101 2112970001</t>
  </si>
  <si>
    <t>Mansur</t>
  </si>
  <si>
    <t>Alimuaddin</t>
  </si>
  <si>
    <t>520101 0808920001</t>
  </si>
  <si>
    <t>Ahmad Haironi</t>
  </si>
  <si>
    <t>Adnan  S.Ip</t>
  </si>
  <si>
    <t>520101 3112780181</t>
  </si>
  <si>
    <t>Nurlaily Hasan Basyri A.Md Keb</t>
  </si>
  <si>
    <t>520101 5307910001</t>
  </si>
  <si>
    <t>Muhammad Adly Abdillah</t>
  </si>
  <si>
    <t>520101 2711130002</t>
  </si>
  <si>
    <t>Yasin</t>
  </si>
  <si>
    <t>520101 3112790115</t>
  </si>
  <si>
    <t>Zakiah</t>
  </si>
  <si>
    <t>520101 7112780135</t>
  </si>
  <si>
    <t>Martati</t>
  </si>
  <si>
    <t>520101 6007030001</t>
  </si>
  <si>
    <t>Abdi Rahman</t>
  </si>
  <si>
    <t>520101 1910120001</t>
  </si>
  <si>
    <t>Muhammad Akil</t>
  </si>
  <si>
    <t>Ali Hasbi</t>
  </si>
  <si>
    <t>Ilyas Munir</t>
  </si>
  <si>
    <t>520101 2303880001</t>
  </si>
  <si>
    <t>Sahmin</t>
  </si>
  <si>
    <t>520101 7112890001</t>
  </si>
  <si>
    <t>Muhammad Dayat Saputra</t>
  </si>
  <si>
    <t>520101 0808090001</t>
  </si>
  <si>
    <t>Muhammad Tahir</t>
  </si>
  <si>
    <t>Endang Zuriani</t>
  </si>
  <si>
    <t>Sakina Lathifa</t>
  </si>
  <si>
    <t>520101 1808790001</t>
  </si>
  <si>
    <t>Susilawati</t>
  </si>
  <si>
    <t>Haris Syafwan</t>
  </si>
  <si>
    <t>Umar</t>
  </si>
  <si>
    <t>Johariah</t>
  </si>
  <si>
    <t>Lihana</t>
  </si>
  <si>
    <t>Nur Utami</t>
  </si>
  <si>
    <t>Irwan Muzaki</t>
  </si>
  <si>
    <t>520101 3112000030</t>
  </si>
  <si>
    <t>520101 3112420010</t>
  </si>
  <si>
    <t>Marhamah</t>
  </si>
  <si>
    <t>520101 5906640001</t>
  </si>
  <si>
    <t>Sakia Aulia Humairo</t>
  </si>
  <si>
    <t>520101 4107650344</t>
  </si>
  <si>
    <t>Ibrahim Asyari</t>
  </si>
  <si>
    <t>Leha Fatimi</t>
  </si>
  <si>
    <t>Muhammad Luthfi Ibrahim</t>
  </si>
  <si>
    <t>520101 1001130001</t>
  </si>
  <si>
    <t>Maesun</t>
  </si>
  <si>
    <t>520101 0107790354</t>
  </si>
  <si>
    <t>520101 6107800001</t>
  </si>
  <si>
    <t>520101 8480252865</t>
  </si>
  <si>
    <t>520101 4107470050</t>
  </si>
  <si>
    <t>Helmi Sadikin</t>
  </si>
  <si>
    <t>520101 0212940002</t>
  </si>
  <si>
    <t>Isnaini</t>
  </si>
  <si>
    <t>520101 5707991001</t>
  </si>
  <si>
    <t>Haji Muslim</t>
  </si>
  <si>
    <t>Munirah</t>
  </si>
  <si>
    <t>Ruslihan</t>
  </si>
  <si>
    <t>Muhammad Idris</t>
  </si>
  <si>
    <t>520101 0107980202</t>
  </si>
  <si>
    <t>Rusniah</t>
  </si>
  <si>
    <t>520101 4504910005</t>
  </si>
  <si>
    <t>Muhammad Fatih Alfarizi</t>
  </si>
  <si>
    <t>520101 1908131001</t>
  </si>
  <si>
    <t>Lukman Hakim</t>
  </si>
  <si>
    <t>520101 0107780072</t>
  </si>
  <si>
    <t>Baiq Nur Aisah</t>
  </si>
  <si>
    <t>520101 4107820729</t>
  </si>
  <si>
    <t>Siti Nurfaizah</t>
  </si>
  <si>
    <t>520101 6505040001</t>
  </si>
  <si>
    <t>Siti Maemanah</t>
  </si>
  <si>
    <t>520101 4303120005</t>
  </si>
  <si>
    <t>Muzamil Hadi</t>
  </si>
  <si>
    <t>520101 0305690002</t>
  </si>
  <si>
    <t>Kasmiati</t>
  </si>
  <si>
    <t>520101 4304700002</t>
  </si>
  <si>
    <t>Juriyah</t>
  </si>
  <si>
    <t>520101 7112550104</t>
  </si>
  <si>
    <t>Muhamad Fikri Haekal</t>
  </si>
  <si>
    <t>520101 0905910001</t>
  </si>
  <si>
    <t>Hajjah Faoziah</t>
  </si>
  <si>
    <t>520101 4107450134</t>
  </si>
  <si>
    <t>Nuraini S.Pd</t>
  </si>
  <si>
    <t>520101 5706810001</t>
  </si>
  <si>
    <t>Yuliyarni S.Adm</t>
  </si>
  <si>
    <t>520101 5807870004</t>
  </si>
  <si>
    <t>Muhammad Fahrurrozi</t>
  </si>
  <si>
    <t>520101 0712840002</t>
  </si>
  <si>
    <t>Khairul</t>
  </si>
  <si>
    <t>520101 0107740151</t>
  </si>
  <si>
    <t>520101 4107810127</t>
  </si>
  <si>
    <t>Muhammad Sahrul Hidayat</t>
  </si>
  <si>
    <t>520101 2801990001</t>
  </si>
  <si>
    <t>Abdurrahman</t>
  </si>
  <si>
    <t>520101 3107070001</t>
  </si>
  <si>
    <t>Ahmad Aditya</t>
  </si>
  <si>
    <t>520101 2305140001</t>
  </si>
  <si>
    <t>520101 7112641026</t>
  </si>
  <si>
    <t>520101 410766154</t>
  </si>
  <si>
    <t>Ahmat Yamani</t>
  </si>
  <si>
    <t>520101 0107800430</t>
  </si>
  <si>
    <t>Mukminah</t>
  </si>
  <si>
    <t>520101 4206900001</t>
  </si>
  <si>
    <t>520101 2108090001</t>
  </si>
  <si>
    <t>Jamilah</t>
  </si>
  <si>
    <t>520101 4107500118</t>
  </si>
  <si>
    <t>Asiah</t>
  </si>
  <si>
    <t>520101 7112760102</t>
  </si>
  <si>
    <t>Mazani</t>
  </si>
  <si>
    <t>520101 0104000002</t>
  </si>
  <si>
    <t>Satar</t>
  </si>
  <si>
    <t>520101 0107470270</t>
  </si>
  <si>
    <t>Caah</t>
  </si>
  <si>
    <t>520101 4107520255</t>
  </si>
  <si>
    <t>Janawiah</t>
  </si>
  <si>
    <t>520101 4107840330</t>
  </si>
  <si>
    <t>Saeun</t>
  </si>
  <si>
    <t>Hasanah</t>
  </si>
  <si>
    <t>Namirah</t>
  </si>
  <si>
    <t>520101 5203340002</t>
  </si>
  <si>
    <t>Faozan</t>
  </si>
  <si>
    <t>520101 1003880002</t>
  </si>
  <si>
    <t>Sahril</t>
  </si>
  <si>
    <t>520101 2404770002</t>
  </si>
  <si>
    <t>Rafa Mardhotulloh</t>
  </si>
  <si>
    <t>520101 1410090001</t>
  </si>
  <si>
    <t>Tazkiyatun Nufus</t>
  </si>
  <si>
    <t>Mi’ah</t>
  </si>
  <si>
    <t>520101 4107480077</t>
  </si>
  <si>
    <t>Haji Muhammad Nur</t>
  </si>
  <si>
    <t>520101 3112700272</t>
  </si>
  <si>
    <t>Hajjah Almah</t>
  </si>
  <si>
    <t>520101 4505830004</t>
  </si>
  <si>
    <t>Fadila Quratul Aini</t>
  </si>
  <si>
    <t>520101 6503030003</t>
  </si>
  <si>
    <t>Siti Aisyah</t>
  </si>
  <si>
    <t>520101 5205130001</t>
  </si>
  <si>
    <t>Rania Cahyani</t>
  </si>
  <si>
    <t>520101 5009140004</t>
  </si>
  <si>
    <t>Asmuni</t>
  </si>
  <si>
    <t>520101 1108810002</t>
  </si>
  <si>
    <t>Baiq Tribuana Tunggal Dewi</t>
  </si>
  <si>
    <t>520101 5207820001</t>
  </si>
  <si>
    <t>Alif Dodi Fatahulloh</t>
  </si>
  <si>
    <t>520101 1811110003</t>
  </si>
  <si>
    <t>Ismail</t>
  </si>
  <si>
    <t>520101 0107610126</t>
  </si>
  <si>
    <t>Sakiah</t>
  </si>
  <si>
    <t>520101 4107650348</t>
  </si>
  <si>
    <t>Mamnuah</t>
  </si>
  <si>
    <t>520101 6506990001</t>
  </si>
  <si>
    <t>Siti Fajarina</t>
  </si>
  <si>
    <t>Munir</t>
  </si>
  <si>
    <t>520101 4107600094</t>
  </si>
  <si>
    <t>Mursid</t>
  </si>
  <si>
    <t>520101 0107600346</t>
  </si>
  <si>
    <t>520101 4107680099</t>
  </si>
  <si>
    <t>Zahroni</t>
  </si>
  <si>
    <t>520101 0107970024</t>
  </si>
  <si>
    <t>Sapoan Hadi</t>
  </si>
  <si>
    <t>520101 0201010001</t>
  </si>
  <si>
    <t>Tilwana</t>
  </si>
  <si>
    <t>520101 6912080002</t>
  </si>
  <si>
    <t>Mustar</t>
  </si>
  <si>
    <t>Lembe</t>
  </si>
  <si>
    <t>Jamiah</t>
  </si>
  <si>
    <t>Zakaria</t>
  </si>
  <si>
    <t>Syamsudin</t>
  </si>
  <si>
    <t>Saerah</t>
  </si>
  <si>
    <t>Budi Setiawan</t>
  </si>
  <si>
    <t>Elisa Damasari</t>
  </si>
  <si>
    <t>Muhammadun</t>
  </si>
  <si>
    <t>Nurjannah</t>
  </si>
  <si>
    <t>Muhammad Cahyadi Putra</t>
  </si>
  <si>
    <t>Fauzi</t>
  </si>
  <si>
    <t>Zuryati</t>
  </si>
  <si>
    <t>520101 4401800001</t>
  </si>
  <si>
    <t>520101 4401830001</t>
  </si>
  <si>
    <t>M. Hendrayadi</t>
  </si>
  <si>
    <t>Nurhalis Aji Majid</t>
  </si>
  <si>
    <t>Dewi Rahmawati</t>
  </si>
  <si>
    <t>520101 4610060001</t>
  </si>
  <si>
    <t>Hasan Basri</t>
  </si>
  <si>
    <t>Misnawati</t>
  </si>
  <si>
    <t>520101 4107670554</t>
  </si>
  <si>
    <t>Maulana Ibrahim Hasan</t>
  </si>
  <si>
    <t>520101 1112060002</t>
  </si>
  <si>
    <t>Maizar Algifari</t>
  </si>
  <si>
    <t>Muhamad</t>
  </si>
  <si>
    <t>Sahnun</t>
  </si>
  <si>
    <t>Fahmi Idris</t>
  </si>
  <si>
    <t>Mahzan</t>
  </si>
  <si>
    <t>520101 0204580002</t>
  </si>
  <si>
    <t>Sairah</t>
  </si>
  <si>
    <t>Hayu Nurpa</t>
  </si>
  <si>
    <t>Muhammad Fahrizal</t>
  </si>
  <si>
    <t>520101 1010790001</t>
  </si>
  <si>
    <t>Baiq Fitrianingsih</t>
  </si>
  <si>
    <t>Muhammad Ali Jedi,S.Ip</t>
  </si>
  <si>
    <t>520101 1509770003</t>
  </si>
  <si>
    <t>Evi Silvia</t>
  </si>
  <si>
    <t>520101 5701770003</t>
  </si>
  <si>
    <t>Shabriena Alvi Ghassani</t>
  </si>
  <si>
    <t>520101 5932050004</t>
  </si>
  <si>
    <t>Rafiq Alvi Ghassani</t>
  </si>
  <si>
    <t>520101 1736090003</t>
  </si>
  <si>
    <t>Sakhi Alvi Anaqi</t>
  </si>
  <si>
    <t>520101 2404120002</t>
  </si>
  <si>
    <t>Suhari</t>
  </si>
  <si>
    <t>Agung Setiawansyah</t>
  </si>
  <si>
    <t>Siti Hajar</t>
  </si>
  <si>
    <t>520101 5212640002</t>
  </si>
  <si>
    <t>520101 1507950001</t>
  </si>
  <si>
    <t>Muhammad Sutiaris</t>
  </si>
  <si>
    <t>520101 1510020004</t>
  </si>
  <si>
    <t>Risna Apriliana</t>
  </si>
  <si>
    <t>Sanip</t>
  </si>
  <si>
    <t>520101 1506580001</t>
  </si>
  <si>
    <t>Hairiah</t>
  </si>
  <si>
    <t>520101 5506610001</t>
  </si>
  <si>
    <t>520101 0306840001</t>
  </si>
  <si>
    <t>520101 0607980002</t>
  </si>
  <si>
    <t>Muhaimi</t>
  </si>
  <si>
    <t>520101 4604330002</t>
  </si>
  <si>
    <t>M. Ikromi Asyari</t>
  </si>
  <si>
    <t>520101 1411020001</t>
  </si>
  <si>
    <t>Mahyun</t>
  </si>
  <si>
    <t>520101 3112410003</t>
  </si>
  <si>
    <t>Pesah</t>
  </si>
  <si>
    <t>520101 7112450003</t>
  </si>
  <si>
    <t>Muhammad  Sefti Rosidi</t>
  </si>
  <si>
    <t>520101 1909840001</t>
  </si>
  <si>
    <t>Liawinati</t>
  </si>
  <si>
    <t>520101 5608890001</t>
  </si>
  <si>
    <t>Horiah</t>
  </si>
  <si>
    <t>520101 4107640114</t>
  </si>
  <si>
    <t>Budiman Apriandi</t>
  </si>
  <si>
    <t>520101 1204940001</t>
  </si>
  <si>
    <t>Yudi Kurniawan</t>
  </si>
  <si>
    <t>520101 2512001002</t>
  </si>
  <si>
    <t>Wahyu Hartati</t>
  </si>
  <si>
    <t>520101 4605040001</t>
  </si>
  <si>
    <t>Muhinah</t>
  </si>
  <si>
    <t>520101 4402740001</t>
  </si>
  <si>
    <t>Sahman</t>
  </si>
  <si>
    <t>520101 1004840001</t>
  </si>
  <si>
    <t>Murianah</t>
  </si>
  <si>
    <t>Wasniatun</t>
  </si>
  <si>
    <t>Safi’i</t>
  </si>
  <si>
    <t>520101 200402521</t>
  </si>
  <si>
    <t>Munajah</t>
  </si>
  <si>
    <t>520101 200402522</t>
  </si>
  <si>
    <t>Safiatun Najah</t>
  </si>
  <si>
    <t>520101 200402524</t>
  </si>
  <si>
    <t>Maah</t>
  </si>
  <si>
    <t>Kawwin</t>
  </si>
  <si>
    <t>Eliza Afriani</t>
  </si>
  <si>
    <t>Munawir</t>
  </si>
  <si>
    <t>520101 0902840002</t>
  </si>
  <si>
    <t>Ida Sri Purnamasari</t>
  </si>
  <si>
    <t>Qairin Insyirah</t>
  </si>
  <si>
    <t xml:space="preserve">Anak </t>
  </si>
  <si>
    <t>520101 6609140002</t>
  </si>
  <si>
    <t>Ishaq</t>
  </si>
  <si>
    <t>520101 0107730070</t>
  </si>
  <si>
    <t>Sri Suryani</t>
  </si>
  <si>
    <t>520101 4107750158</t>
  </si>
  <si>
    <t>Najwa Sakila</t>
  </si>
  <si>
    <t>520101 5100701002</t>
  </si>
  <si>
    <t>Nuri Putih Diniyanti</t>
  </si>
  <si>
    <t>520101 5005110002</t>
  </si>
  <si>
    <t>Haerudin</t>
  </si>
  <si>
    <t>520101 1705801001</t>
  </si>
  <si>
    <t>Rohani</t>
  </si>
  <si>
    <t>520101 6412801001</t>
  </si>
  <si>
    <t>Laili Handayani</t>
  </si>
  <si>
    <t>520101 6904101001</t>
  </si>
  <si>
    <t>Mohamad Fayat</t>
  </si>
  <si>
    <t>520101 1012121001</t>
  </si>
  <si>
    <t>H. L. Maesur</t>
  </si>
  <si>
    <t>520101 3112540001</t>
  </si>
  <si>
    <t>Paridah</t>
  </si>
  <si>
    <t>520101 7112690026</t>
  </si>
  <si>
    <t>Lalu Hidayat</t>
  </si>
  <si>
    <t>520101 1511040001</t>
  </si>
  <si>
    <t>Maesah</t>
  </si>
  <si>
    <t>Faisal</t>
  </si>
  <si>
    <t>Janakyah</t>
  </si>
  <si>
    <t>Suri Jawati</t>
  </si>
  <si>
    <t>520101 6803880001</t>
  </si>
  <si>
    <t>Muhammad Solihi</t>
  </si>
  <si>
    <t>Ahmad Ramdani</t>
  </si>
  <si>
    <t>H. Zuryatun</t>
  </si>
  <si>
    <t>520101 5506730001</t>
  </si>
  <si>
    <t>Miftahurrizki</t>
  </si>
  <si>
    <t>520101 4309540001</t>
  </si>
  <si>
    <t>Alimun</t>
  </si>
  <si>
    <t>520101 0612620001</t>
  </si>
  <si>
    <t>Junariah</t>
  </si>
  <si>
    <t>520101 5506620001</t>
  </si>
  <si>
    <t>Hartina</t>
  </si>
  <si>
    <t>520101 6003670001</t>
  </si>
  <si>
    <t>Rusli</t>
  </si>
  <si>
    <t>Mardiana</t>
  </si>
  <si>
    <t>Ilah</t>
  </si>
  <si>
    <t>520101 5506541001</t>
  </si>
  <si>
    <t>Rianun</t>
  </si>
  <si>
    <t>520101 5506781001</t>
  </si>
  <si>
    <t>Nasrudin</t>
  </si>
  <si>
    <t>520101 0107650220</t>
  </si>
  <si>
    <t>520101 5506660001</t>
  </si>
  <si>
    <t>Patmanusari</t>
  </si>
  <si>
    <t>520101 6208990001</t>
  </si>
  <si>
    <t>Nasrulloh</t>
  </si>
  <si>
    <t xml:space="preserve">Wiraswasta </t>
  </si>
  <si>
    <t>Hj. Muniah</t>
  </si>
  <si>
    <t>Rima Nuri Aulia</t>
  </si>
  <si>
    <t>520101 4301120003</t>
  </si>
  <si>
    <t>Makmun</t>
  </si>
  <si>
    <t>520101 200400978</t>
  </si>
  <si>
    <t>Mahuni</t>
  </si>
  <si>
    <t>520101 200400979</t>
  </si>
  <si>
    <t>Muhsinin</t>
  </si>
  <si>
    <t>520101 200400980</t>
  </si>
  <si>
    <t>Miptahul Jannah</t>
  </si>
  <si>
    <t>520101 200400983</t>
  </si>
  <si>
    <t>Saknah</t>
  </si>
  <si>
    <t>520101 7112440004</t>
  </si>
  <si>
    <t>Rosita</t>
  </si>
  <si>
    <t>520101 1602120001</t>
  </si>
  <si>
    <t>520101 2302850001</t>
  </si>
  <si>
    <t>520101 5412890003</t>
  </si>
  <si>
    <t>Naesya Aluna Putri</t>
  </si>
  <si>
    <t>520101 4908110002</t>
  </si>
  <si>
    <t>Saedun</t>
  </si>
  <si>
    <t>520101 3112680031</t>
  </si>
  <si>
    <t>Mukyah</t>
  </si>
  <si>
    <t>520101 7112650013</t>
  </si>
  <si>
    <t>Fitri Nadya</t>
  </si>
  <si>
    <t>520101 6901980001</t>
  </si>
  <si>
    <t>Majidah</t>
  </si>
  <si>
    <t>520101 7112400046</t>
  </si>
  <si>
    <t>Darmawan</t>
  </si>
  <si>
    <t>Maecha Awana Sabila</t>
  </si>
  <si>
    <t>Rahmat</t>
  </si>
  <si>
    <t>520101 3112370001</t>
  </si>
  <si>
    <t>Sanah</t>
  </si>
  <si>
    <t>Pekerja Lepas</t>
  </si>
  <si>
    <t>520101 5312320001</t>
  </si>
  <si>
    <t>Salman</t>
  </si>
  <si>
    <t>Belumkawin</t>
  </si>
  <si>
    <t>Atika Putri</t>
  </si>
  <si>
    <t>520101 1304100005</t>
  </si>
  <si>
    <t>Egi Kurniawan</t>
  </si>
  <si>
    <t>520101 2812110002</t>
  </si>
  <si>
    <t>520101 1103690001</t>
  </si>
  <si>
    <t>Royani</t>
  </si>
  <si>
    <t>Ernawati</t>
  </si>
  <si>
    <t>520101 5903940001</t>
  </si>
  <si>
    <t>Dani Irwan</t>
  </si>
  <si>
    <t>M. Refani</t>
  </si>
  <si>
    <t>H. Sahabudin</t>
  </si>
  <si>
    <t>520101 3110570001</t>
  </si>
  <si>
    <t>Sa’adah</t>
  </si>
  <si>
    <t>520101 5508640001</t>
  </si>
  <si>
    <t>M. Salehudin</t>
  </si>
  <si>
    <t>520101 0107940001</t>
  </si>
  <si>
    <t>Lailatunnisa</t>
  </si>
  <si>
    <t>520101 6512040001</t>
  </si>
  <si>
    <t>520101 0107800623</t>
  </si>
  <si>
    <t>Siti Zakrah</t>
  </si>
  <si>
    <t>520101 7109790001</t>
  </si>
  <si>
    <t>Farid Ramdan</t>
  </si>
  <si>
    <t>520101 2803030001</t>
  </si>
  <si>
    <t>Sanaah</t>
  </si>
  <si>
    <t>Siti Mardiana</t>
  </si>
  <si>
    <t>520101 4107830071</t>
  </si>
  <si>
    <t>Muhamad Jefri Sya’ban</t>
  </si>
  <si>
    <t>520101 1106130002</t>
  </si>
  <si>
    <t>Habib Maulana</t>
  </si>
  <si>
    <t>Imam Ulul Azmi</t>
  </si>
  <si>
    <t>Lailatul Syifa</t>
  </si>
  <si>
    <t>Burhanudin</t>
  </si>
  <si>
    <t>520101 0107660190</t>
  </si>
  <si>
    <t>Mizarah</t>
  </si>
  <si>
    <t>520101 7112720001</t>
  </si>
  <si>
    <t>Mila Kurnia Cahyani</t>
  </si>
  <si>
    <t>520101 4508931001</t>
  </si>
  <si>
    <t>Agus Tomi Maulana</t>
  </si>
  <si>
    <t>520101 1308950001</t>
  </si>
  <si>
    <t>520101 4504041001</t>
  </si>
  <si>
    <t>520101 5511131001</t>
  </si>
  <si>
    <t>Badrun</t>
  </si>
  <si>
    <t>Muhamad Rozi</t>
  </si>
  <si>
    <t>520101 0104900001</t>
  </si>
  <si>
    <t>Muhamad Hariadi</t>
  </si>
  <si>
    <t>Muhamad Firman</t>
  </si>
  <si>
    <t>Murad</t>
  </si>
  <si>
    <t>520101 0107670706</t>
  </si>
  <si>
    <t>520101 4112700002</t>
  </si>
  <si>
    <t>Siti Azizah</t>
  </si>
  <si>
    <t>520101 6308100001</t>
  </si>
  <si>
    <t>Ruslan</t>
  </si>
  <si>
    <t>520101 0107740006</t>
  </si>
  <si>
    <t>Haeniyah</t>
  </si>
  <si>
    <t>520101 6309780001</t>
  </si>
  <si>
    <t>Ade Sopiatun Solehah</t>
  </si>
  <si>
    <t>520101 4805050002</t>
  </si>
  <si>
    <t>Mahli</t>
  </si>
  <si>
    <t>520101 1508780002</t>
  </si>
  <si>
    <t>Salmiah</t>
  </si>
  <si>
    <t>520101 7112960121</t>
  </si>
  <si>
    <t>Ahmad Maliki</t>
  </si>
  <si>
    <t>520101 1708010004</t>
  </si>
  <si>
    <t>Marianti</t>
  </si>
  <si>
    <t>Blum kawin</t>
  </si>
  <si>
    <t>520101 5403040005</t>
  </si>
  <si>
    <t>Fitriana Hukmi</t>
  </si>
  <si>
    <t>520101 5112110001</t>
  </si>
  <si>
    <t>Nursait</t>
  </si>
  <si>
    <t>520101 3112750000</t>
  </si>
  <si>
    <t>Rabiah</t>
  </si>
  <si>
    <t>520101 7081760001</t>
  </si>
  <si>
    <t>Muhammad Afrian</t>
  </si>
  <si>
    <t>520101 2304100001</t>
  </si>
  <si>
    <t>Suparman</t>
  </si>
  <si>
    <t>Maesarah</t>
  </si>
  <si>
    <t>520101 5304860002</t>
  </si>
  <si>
    <t>Muhammad Febrian Maulana</t>
  </si>
  <si>
    <t>520101 2102120001</t>
  </si>
  <si>
    <t>Lukman</t>
  </si>
  <si>
    <t>520101 0107830120</t>
  </si>
  <si>
    <t>Mawarliana</t>
  </si>
  <si>
    <t>Muhammad Laus Zohram Yudihstira</t>
  </si>
  <si>
    <t>Belum/kawin</t>
  </si>
  <si>
    <t>Ayudistira</t>
  </si>
  <si>
    <t>520101 3112670001</t>
  </si>
  <si>
    <t>Siti Raodah</t>
  </si>
  <si>
    <t>520101 5204720001</t>
  </si>
  <si>
    <t>Zaenul Ardiansyah</t>
  </si>
  <si>
    <t>520101 0411000001</t>
  </si>
  <si>
    <t>Novia Ramdayani</t>
  </si>
  <si>
    <t>520101 4711010001</t>
  </si>
  <si>
    <t>Seftia Ramdayana</t>
  </si>
  <si>
    <t>520101 5111070001</t>
  </si>
  <si>
    <t>Renah</t>
  </si>
  <si>
    <t>Tiani</t>
  </si>
  <si>
    <t>520101 4107680316</t>
  </si>
  <si>
    <t>Ayu Nurlianingsih</t>
  </si>
  <si>
    <t>Muhamad Rifki Hakim</t>
  </si>
  <si>
    <t>520101 1210030003</t>
  </si>
  <si>
    <t>Nano Haryono</t>
  </si>
  <si>
    <t>520101 0610580001</t>
  </si>
  <si>
    <t>520101 7112690049</t>
  </si>
  <si>
    <t>Muhammad Rizki Hartono</t>
  </si>
  <si>
    <t>520101 1512051001</t>
  </si>
  <si>
    <t>Dian Febiana Burhan</t>
  </si>
  <si>
    <t>520101 0501981001</t>
  </si>
  <si>
    <t>Juang Ulhar Burhan</t>
  </si>
  <si>
    <t>520101 1402001001</t>
  </si>
  <si>
    <t>Munasah</t>
  </si>
  <si>
    <t>520101 0810580001</t>
  </si>
  <si>
    <t>Syamsul Rahman</t>
  </si>
  <si>
    <t>520101 2112880002</t>
  </si>
  <si>
    <t>Ahyar</t>
  </si>
  <si>
    <t>Johariyah</t>
  </si>
  <si>
    <t>520101 7112800278</t>
  </si>
  <si>
    <t>Suhartini</t>
  </si>
  <si>
    <t>520101 4405970001</t>
  </si>
  <si>
    <t>Zulkarnaen</t>
  </si>
  <si>
    <t>Andayani</t>
  </si>
  <si>
    <t>520101 4405000004</t>
  </si>
  <si>
    <t>520101 0804100002</t>
  </si>
  <si>
    <t>M. Jaelani</t>
  </si>
  <si>
    <t>520101 3112910039</t>
  </si>
  <si>
    <t>M. Mazani</t>
  </si>
  <si>
    <t>520101 5211000001</t>
  </si>
  <si>
    <t>Mulyadi</t>
  </si>
  <si>
    <t>520101 2002010001</t>
  </si>
  <si>
    <t>Fathul Rahman</t>
  </si>
  <si>
    <t>520101 0107900095</t>
  </si>
  <si>
    <t>Fitrianingsih</t>
  </si>
  <si>
    <t>520101 4504920002</t>
  </si>
  <si>
    <t>Fachri Adnan</t>
  </si>
  <si>
    <t>520101 0306140003</t>
  </si>
  <si>
    <t>Suhaimi</t>
  </si>
  <si>
    <t>520101 0604630001</t>
  </si>
  <si>
    <t>Dra. Misning</t>
  </si>
  <si>
    <t>520101 4107680061</t>
  </si>
  <si>
    <t>M. Nauval Hawari</t>
  </si>
  <si>
    <t>520101 2105030001</t>
  </si>
  <si>
    <t>520101 5201950002</t>
  </si>
  <si>
    <t>Imania Fitri Ramadani</t>
  </si>
  <si>
    <t>520101 6307140003</t>
  </si>
  <si>
    <t>Sariah</t>
  </si>
  <si>
    <t>520101 4107890405</t>
  </si>
  <si>
    <t>Suhandi</t>
  </si>
  <si>
    <t>520101 1201850003</t>
  </si>
  <si>
    <t>Suhaili</t>
  </si>
  <si>
    <t>520101 0305920023</t>
  </si>
  <si>
    <t>520101 2509710002</t>
  </si>
  <si>
    <t>Yusriati</t>
  </si>
  <si>
    <t>520101 6509710001</t>
  </si>
  <si>
    <t>Lujaina Agna Fahada</t>
  </si>
  <si>
    <t>520101 6112960004</t>
  </si>
  <si>
    <t>Muhammad Ja’far Ubaydillah</t>
  </si>
  <si>
    <t>520101 6112960005</t>
  </si>
  <si>
    <t>Layba Fidhoh Ginaya</t>
  </si>
  <si>
    <t>520101 4909100004</t>
  </si>
  <si>
    <t>Aluyah</t>
  </si>
  <si>
    <t>Nur Istiqomah</t>
  </si>
  <si>
    <t>520101 3112540003</t>
  </si>
  <si>
    <t>Naelal Muna</t>
  </si>
  <si>
    <t>Afifudin</t>
  </si>
  <si>
    <t>520101 1011950001</t>
  </si>
  <si>
    <t>520101 5405980001</t>
  </si>
  <si>
    <t>Zaenudin Hamid</t>
  </si>
  <si>
    <t>520101 3112570003</t>
  </si>
  <si>
    <t>Fatirah</t>
  </si>
  <si>
    <t>520101 7112600066</t>
  </si>
  <si>
    <t>Suartini</t>
  </si>
  <si>
    <t>520101 6001840002</t>
  </si>
  <si>
    <t>M. Sopian Hadi</t>
  </si>
  <si>
    <t>520101 2010870001</t>
  </si>
  <si>
    <t>Mira Hayati</t>
  </si>
  <si>
    <t>520101 6012950001</t>
  </si>
  <si>
    <t>Hamroni, S.H</t>
  </si>
  <si>
    <t>520101 1304780001</t>
  </si>
  <si>
    <t>Bq. Etyaning Rahadian</t>
  </si>
  <si>
    <t>520101 5811800001</t>
  </si>
  <si>
    <t>Amtya Rodhiatul Zirwah</t>
  </si>
  <si>
    <t>520101 5207070001</t>
  </si>
  <si>
    <t>Aliesa Dania Shaza</t>
  </si>
  <si>
    <t>520101 5308110001</t>
  </si>
  <si>
    <t>H. Muh. Nur</t>
  </si>
  <si>
    <t>520101 1506490001</t>
  </si>
  <si>
    <t>520101 4910540002</t>
  </si>
  <si>
    <t>520101 6209840001</t>
  </si>
  <si>
    <t>520101 0805930001</t>
  </si>
  <si>
    <t>Saparudin, S.E</t>
  </si>
  <si>
    <t>520101 3112700236</t>
  </si>
  <si>
    <t>Nurmiati</t>
  </si>
  <si>
    <t>520101 7112790113</t>
  </si>
  <si>
    <t>Alfia Febrianti</t>
  </si>
  <si>
    <t>520101 520101 0003</t>
  </si>
  <si>
    <t>M. Maula Algyfari</t>
  </si>
  <si>
    <t>520101 1105030001</t>
  </si>
  <si>
    <t>Alfira Safitri</t>
  </si>
  <si>
    <t>520101 5004090003</t>
  </si>
  <si>
    <t>Nurzaini, S.H</t>
  </si>
  <si>
    <t>520101 1207620001</t>
  </si>
  <si>
    <t>520101 7112540004</t>
  </si>
  <si>
    <t>M. Hisbulloh Juliawan</t>
  </si>
  <si>
    <t>520101 2807900004</t>
  </si>
  <si>
    <t>M. Fiqri Zain</t>
  </si>
  <si>
    <t>520101 1511930002</t>
  </si>
  <si>
    <t>M. Faqih Nawawi</t>
  </si>
  <si>
    <t>520101 0603990004</t>
  </si>
  <si>
    <t>Nurhasanah</t>
  </si>
  <si>
    <t>M. Andika Pratama</t>
  </si>
  <si>
    <t>520101 3010100001</t>
  </si>
  <si>
    <t>H. Badarudin</t>
  </si>
  <si>
    <t>520101 3112440001</t>
  </si>
  <si>
    <t>Hj. Nurlaela</t>
  </si>
  <si>
    <t>520101 7112660001</t>
  </si>
  <si>
    <t>Siti Munawarah</t>
  </si>
  <si>
    <t>520101 5610030001</t>
  </si>
  <si>
    <t>H. Alwi B A</t>
  </si>
  <si>
    <t>Hj. Nurhidayah</t>
  </si>
  <si>
    <t>Nurlaeli</t>
  </si>
  <si>
    <t>Zia</t>
  </si>
  <si>
    <t>Musib, S.Sos</t>
  </si>
  <si>
    <t>Nurhidayah, S.Pd</t>
  </si>
  <si>
    <t>Fidya Rizka</t>
  </si>
  <si>
    <t>Maulia Hardian</t>
  </si>
  <si>
    <t>Azkia Zakira</t>
  </si>
  <si>
    <t>M. Aprian Hidayat</t>
  </si>
  <si>
    <t>Dodi Sazarwan</t>
  </si>
  <si>
    <t>520101 1902830001</t>
  </si>
  <si>
    <t>Nurhaini</t>
  </si>
  <si>
    <t>520101 5303890003</t>
  </si>
  <si>
    <t>Muhammad Farid Atalloh</t>
  </si>
  <si>
    <t>Hulaimi</t>
  </si>
  <si>
    <t>520101 0107860189</t>
  </si>
  <si>
    <t>Mariani</t>
  </si>
  <si>
    <t>520101 5010830006</t>
  </si>
  <si>
    <t>Hulya Naifa Azalya</t>
  </si>
  <si>
    <t>520101 4507131001</t>
  </si>
  <si>
    <t>Raden Sukardi</t>
  </si>
  <si>
    <t>520101 2301610001</t>
  </si>
  <si>
    <t>Robiah</t>
  </si>
  <si>
    <t>520101 7112770100</t>
  </si>
  <si>
    <t>Raden Dendi Libra Pradana</t>
  </si>
  <si>
    <t>520101 1010900002</t>
  </si>
  <si>
    <t>Dende Firli Sagita Rini</t>
  </si>
  <si>
    <t>520101 6911930001</t>
  </si>
  <si>
    <t>Raden Anta Reza Wiguna</t>
  </si>
  <si>
    <t>520101 1709020001</t>
  </si>
  <si>
    <t>Dende Naya Sagiantari</t>
  </si>
  <si>
    <t>520101 5811030002</t>
  </si>
  <si>
    <t>Bilmah</t>
  </si>
  <si>
    <t>520101 4107390028</t>
  </si>
  <si>
    <t>St. Rohani, A. Md</t>
  </si>
  <si>
    <t>520101 4107790314</t>
  </si>
  <si>
    <t>Siti Zaenab, S.Pd</t>
  </si>
  <si>
    <t>520101 4107830194</t>
  </si>
  <si>
    <t>Inak Muli</t>
  </si>
  <si>
    <t>Jiwa</t>
  </si>
  <si>
    <t>NO. KK</t>
  </si>
  <si>
    <t>Jumlah Jiwa</t>
  </si>
  <si>
    <t>Lahir</t>
  </si>
  <si>
    <t>Usia</t>
  </si>
  <si>
    <t>Etnis</t>
  </si>
  <si>
    <t>Jurusan</t>
  </si>
  <si>
    <t>Cacat</t>
  </si>
  <si>
    <t>Tempat</t>
  </si>
  <si>
    <t>Tanggal</t>
  </si>
  <si>
    <t>Tahun</t>
  </si>
  <si>
    <t>Mental</t>
  </si>
  <si>
    <t>Fisik</t>
  </si>
  <si>
    <t>520101 1009700001</t>
  </si>
  <si>
    <t>Denpasar</t>
  </si>
  <si>
    <t>520101 6104700001</t>
  </si>
  <si>
    <t>Dasan Geres</t>
  </si>
  <si>
    <t>520101 0603950001</t>
  </si>
  <si>
    <t>Pelajar/Mahasiswa</t>
  </si>
  <si>
    <t>Muhammad Nur Alfaridzi</t>
  </si>
  <si>
    <t>520101 0302990003</t>
  </si>
  <si>
    <t>Salsabila Norma Seftiana</t>
  </si>
  <si>
    <t>520101 6609050001</t>
  </si>
  <si>
    <t>520101 0503082860</t>
  </si>
  <si>
    <t>Dasan Geres Barat</t>
  </si>
  <si>
    <t>Sasak</t>
  </si>
  <si>
    <t>520101 4607630002</t>
  </si>
  <si>
    <t>Bug Bug</t>
  </si>
  <si>
    <t>Belum Tamat SD/Sederajat</t>
  </si>
  <si>
    <t>Pembantu Rumah Tangga</t>
  </si>
  <si>
    <t>520101 5805920001</t>
  </si>
  <si>
    <t>Belum/Tidak Bekerja</t>
  </si>
  <si>
    <t>Luh Marzana</t>
  </si>
  <si>
    <t>520101 4209940004</t>
  </si>
  <si>
    <t>SLTP/Sederajat</t>
  </si>
  <si>
    <t>520101 1703160001</t>
  </si>
  <si>
    <t>520101 1504840004</t>
  </si>
  <si>
    <t>Dasan geres barat</t>
  </si>
  <si>
    <t>Diploma IV</t>
  </si>
  <si>
    <t>520101 4508820002</t>
  </si>
  <si>
    <t>dasan geres barat</t>
  </si>
  <si>
    <t>Ibu Rumah Tangga</t>
  </si>
  <si>
    <t>Muhamad Ali Rushdi</t>
  </si>
  <si>
    <t>520101 2208120001</t>
  </si>
  <si>
    <t>dasan tapen</t>
  </si>
  <si>
    <t>tidak/belum sekolah</t>
  </si>
  <si>
    <t>520101 0909120048</t>
  </si>
  <si>
    <t>Padlon</t>
  </si>
  <si>
    <t>BELUM SEKOLAH</t>
  </si>
  <si>
    <t>520101 1506770001</t>
  </si>
  <si>
    <t>Alyu MarhuPah</t>
  </si>
  <si>
    <t>520101 5506820001</t>
  </si>
  <si>
    <t>Selampang</t>
  </si>
  <si>
    <t>520101 5005030002</t>
  </si>
  <si>
    <t>Arka Awangga Fillantara</t>
  </si>
  <si>
    <t>520101 0204090001</t>
  </si>
  <si>
    <t>Pelajar</t>
  </si>
  <si>
    <t>520101 0412131015</t>
  </si>
  <si>
    <t>Kesiman Denpasar Bali</t>
  </si>
  <si>
    <t>SLTA/SEDERAJAT</t>
  </si>
  <si>
    <t>Miza Laradini</t>
  </si>
  <si>
    <t>Belum Tamat</t>
  </si>
  <si>
    <t>Kinara Zahwatusita</t>
  </si>
  <si>
    <t>Muhammad  Mundzir</t>
  </si>
  <si>
    <t>Geresik</t>
  </si>
  <si>
    <t>Mataram</t>
  </si>
  <si>
    <t>DIPLOMA I/II</t>
  </si>
  <si>
    <t>Belum Bekerja</t>
  </si>
  <si>
    <t>Elis Muhlis</t>
  </si>
  <si>
    <t xml:space="preserve">Islam </t>
  </si>
  <si>
    <t>SLTA/Sederajat</t>
  </si>
  <si>
    <t>Dasan Tapen</t>
  </si>
  <si>
    <t>Diploma I/II</t>
  </si>
  <si>
    <t>Belum Sekolah</t>
  </si>
  <si>
    <t>M. Rafa Azka Putra</t>
  </si>
  <si>
    <t>Muhdin</t>
  </si>
  <si>
    <t>Tidak sekolah</t>
  </si>
  <si>
    <t>Buruh tani/Perkebunan</t>
  </si>
  <si>
    <t>Ada / Tidak</t>
  </si>
  <si>
    <t>Akte Kelahiran</t>
  </si>
  <si>
    <t>Buku Nikah</t>
  </si>
  <si>
    <t>KTP/KIA</t>
  </si>
  <si>
    <t>Nomor KK</t>
  </si>
  <si>
    <t>520101 1610150002</t>
  </si>
  <si>
    <t xml:space="preserve">Muhammad Hasan syafiq </t>
  </si>
  <si>
    <t>Dian Oktavia Wulandari</t>
  </si>
  <si>
    <t>Kayla Syaqila</t>
  </si>
  <si>
    <t>520101 2506530000</t>
  </si>
  <si>
    <t>520101 2307920001</t>
  </si>
  <si>
    <t>520102 4210920002</t>
  </si>
  <si>
    <t>520101 6702120002</t>
  </si>
  <si>
    <t>kediri</t>
  </si>
  <si>
    <t>gersik</t>
  </si>
  <si>
    <t>TAMAT SD/SEDERAJAT</t>
  </si>
  <si>
    <t>TIDAK/BELUM SEKOLAH</t>
  </si>
  <si>
    <t>WIRASWASTA</t>
  </si>
  <si>
    <t>IBU RUMAH TANGGA</t>
  </si>
  <si>
    <t>BELUM/TIDAK BEKERJA</t>
  </si>
  <si>
    <t>520101 2402100017</t>
  </si>
  <si>
    <t>520101 3112840050</t>
  </si>
  <si>
    <t>520102 7112870159</t>
  </si>
  <si>
    <t>520101 2603140001</t>
  </si>
  <si>
    <t>TAMAT SD</t>
  </si>
  <si>
    <t>Buruh Harian Lepas</t>
  </si>
  <si>
    <t>520101 0609120076</t>
  </si>
  <si>
    <t>cerai hidup</t>
  </si>
  <si>
    <t>520101 0307130006</t>
  </si>
  <si>
    <t>Haji marwan</t>
  </si>
  <si>
    <t>hajjah muni'ah</t>
  </si>
  <si>
    <t>muhammad luthafi marwan</t>
  </si>
  <si>
    <t>Mekkah</t>
  </si>
  <si>
    <t>tempat</t>
  </si>
  <si>
    <t>tanggal</t>
  </si>
  <si>
    <t>usia</t>
  </si>
  <si>
    <t>tahun</t>
  </si>
  <si>
    <t>etnis</t>
  </si>
  <si>
    <t>sasak</t>
  </si>
  <si>
    <t>520101 0503082325</t>
  </si>
  <si>
    <t>Nurisah</t>
  </si>
  <si>
    <t>Bainul Aula</t>
  </si>
  <si>
    <t>Alina Juhda</t>
  </si>
  <si>
    <t>520101 0107330003</t>
  </si>
  <si>
    <t>520101 4107640119</t>
  </si>
  <si>
    <t>520101 5502950002</t>
  </si>
  <si>
    <t>520101 1910020002</t>
  </si>
  <si>
    <t>Tamat SD/Sederajat</t>
  </si>
  <si>
    <t>Tidak/Belum Sekolah</t>
  </si>
  <si>
    <t>520101 2801150009</t>
  </si>
  <si>
    <t>Cerai Mati</t>
  </si>
  <si>
    <t xml:space="preserve">Dasan Geres </t>
  </si>
  <si>
    <t>Hj.  Zuriatun Toibah</t>
  </si>
  <si>
    <t>Muhamad Iksan Asgar</t>
  </si>
  <si>
    <t>520101 0503083434</t>
  </si>
  <si>
    <t>520101 0107620075</t>
  </si>
  <si>
    <t>520101 5506610002</t>
  </si>
  <si>
    <t>520101 2609961001</t>
  </si>
  <si>
    <t>520101 7005993331</t>
  </si>
  <si>
    <t>26/09/1996</t>
  </si>
  <si>
    <t>No. KK</t>
  </si>
  <si>
    <t>520101 2705111587</t>
  </si>
  <si>
    <t>Muhasah</t>
  </si>
  <si>
    <t>Masriah</t>
  </si>
  <si>
    <t>Sandika Pranata</t>
  </si>
  <si>
    <t>Hendrika Pramudia</t>
  </si>
  <si>
    <t>520101 0107700605</t>
  </si>
  <si>
    <t>520101 4107800676</t>
  </si>
  <si>
    <t>520101 0308020002</t>
  </si>
  <si>
    <t>520101 0306070002</t>
  </si>
  <si>
    <t>Belum Tamat SD</t>
  </si>
  <si>
    <t>Tidak/Belum Bekerja</t>
  </si>
  <si>
    <t>Lelede</t>
  </si>
  <si>
    <t>Junaidi</t>
  </si>
  <si>
    <t>Muhammad Jaya Efendi</t>
  </si>
  <si>
    <t>520101 0503084278</t>
  </si>
  <si>
    <t>520101 0107430030</t>
  </si>
  <si>
    <t>520101 4107520240</t>
  </si>
  <si>
    <t>520101 1004880004</t>
  </si>
  <si>
    <t>Mengurus Rumah Tangga</t>
  </si>
  <si>
    <t>520101 1708820002</t>
  </si>
  <si>
    <t>520101 4709920001</t>
  </si>
  <si>
    <t>520101 2710160020</t>
  </si>
  <si>
    <t>520101 0403150035</t>
  </si>
  <si>
    <t>520112 4107930243</t>
  </si>
  <si>
    <t>520101 1710130003</t>
  </si>
  <si>
    <t>Dasan Geres Selatan</t>
  </si>
  <si>
    <t>Karyawan Swasta</t>
  </si>
  <si>
    <t>520101 1501160007</t>
  </si>
  <si>
    <t>520101 5908630001</t>
  </si>
  <si>
    <t>520101 4107830192</t>
  </si>
  <si>
    <t>520101 1501160006</t>
  </si>
  <si>
    <t>Fatimah</t>
  </si>
  <si>
    <t>Abdirrahman Al-Farouk</t>
  </si>
  <si>
    <t>520101 0107850180</t>
  </si>
  <si>
    <t>520107 4107910001</t>
  </si>
  <si>
    <t>520101 2704160001</t>
  </si>
  <si>
    <t>LOBAR</t>
  </si>
  <si>
    <t>M.Tamrin</t>
  </si>
  <si>
    <t>520101 05030842559</t>
  </si>
  <si>
    <t>520101 2709850001</t>
  </si>
  <si>
    <t>520101 1204980003</t>
  </si>
  <si>
    <t>520101 0503084389</t>
  </si>
  <si>
    <t>520101 1208870001</t>
  </si>
  <si>
    <t>520101 4107910066</t>
  </si>
  <si>
    <t>520101 6105130003</t>
  </si>
  <si>
    <t>Guru</t>
  </si>
  <si>
    <t>Naufal Yamani</t>
  </si>
  <si>
    <t>520101 0503084519</t>
  </si>
  <si>
    <t>Putri Hanifa</t>
  </si>
  <si>
    <t>520101 2108090401</t>
  </si>
  <si>
    <t>Khumair Adelia</t>
  </si>
  <si>
    <t>520101 0804150006</t>
  </si>
  <si>
    <t>520101 0609120071</t>
  </si>
  <si>
    <t>Hariyanto</t>
  </si>
  <si>
    <t>520101 6108800003</t>
  </si>
  <si>
    <t>520101 2303060004</t>
  </si>
  <si>
    <t>Kangean</t>
  </si>
  <si>
    <t>Diploma 1/11</t>
  </si>
  <si>
    <t>520101 0503083755</t>
  </si>
  <si>
    <t>Zulkipli</t>
  </si>
  <si>
    <t>520101 0303940006</t>
  </si>
  <si>
    <t xml:space="preserve">Tanggal </t>
  </si>
  <si>
    <t>Buruh Tani/Perkebunan</t>
  </si>
  <si>
    <t>Karyawan Honorer</t>
  </si>
  <si>
    <t>520101 1304110000</t>
  </si>
  <si>
    <t>520101 2512810003</t>
  </si>
  <si>
    <t>520101 7112870072</t>
  </si>
  <si>
    <t>520101 1205080002</t>
  </si>
  <si>
    <t>520101 1205080003</t>
  </si>
  <si>
    <t>Kumbung</t>
  </si>
  <si>
    <t>Petani/Pekebun</t>
  </si>
  <si>
    <t>Peteni/Pekebun</t>
  </si>
  <si>
    <t>520101 0609120058</t>
  </si>
  <si>
    <t>Haji Zaenudin</t>
  </si>
  <si>
    <t>M. Heza Andar Abdillah</t>
  </si>
  <si>
    <t>520101 4810131003</t>
  </si>
  <si>
    <t>Montong Sari</t>
  </si>
  <si>
    <t>520101 1009120062</t>
  </si>
  <si>
    <t>520101 5610810002</t>
  </si>
  <si>
    <t>520101 1101090005</t>
  </si>
  <si>
    <t>Praya</t>
  </si>
  <si>
    <t>520101 0503083712</t>
  </si>
  <si>
    <t>Kasief Arroziq</t>
  </si>
  <si>
    <t>520101 1409130001</t>
  </si>
  <si>
    <t>Sopir</t>
  </si>
  <si>
    <t>520101 0503084613</t>
  </si>
  <si>
    <t>Lemokek</t>
  </si>
  <si>
    <t>Karyawan SWASTA</t>
  </si>
  <si>
    <t>Naufal Akbar</t>
  </si>
  <si>
    <t>520101 0911090037</t>
  </si>
  <si>
    <t>520101 0511130001</t>
  </si>
  <si>
    <t>520101 0503083706</t>
  </si>
  <si>
    <t>520101 0503083717</t>
  </si>
  <si>
    <t xml:space="preserve"> Hj. Budumah</t>
  </si>
  <si>
    <t>520101 4107430009</t>
  </si>
  <si>
    <t>No.KK</t>
  </si>
  <si>
    <t>520101 0503083785</t>
  </si>
  <si>
    <t>520101 0107780087</t>
  </si>
  <si>
    <t>520101 4107780087</t>
  </si>
  <si>
    <t>520101 0503084305</t>
  </si>
  <si>
    <t>Dikhiyat Al Qalbi</t>
  </si>
  <si>
    <t>520101 0107680082</t>
  </si>
  <si>
    <t>520101 52047220001</t>
  </si>
  <si>
    <t>520101 6404040009</t>
  </si>
  <si>
    <t>Pelembak</t>
  </si>
  <si>
    <t>Mengururs Rumah Tangga</t>
  </si>
  <si>
    <t>520101 0503082767</t>
  </si>
  <si>
    <t>520101 1506650002</t>
  </si>
  <si>
    <t>520101 5006660001</t>
  </si>
  <si>
    <t>520101 3003890001</t>
  </si>
  <si>
    <t>520101 2703990002</t>
  </si>
  <si>
    <t>520101 0503083009</t>
  </si>
  <si>
    <t>520101 13112700272</t>
  </si>
  <si>
    <t xml:space="preserve">Dasan geres </t>
  </si>
  <si>
    <t>Makkah</t>
  </si>
  <si>
    <t>520101 11012100024</t>
  </si>
  <si>
    <t>M. Irafa Azka Putra</t>
  </si>
  <si>
    <t>520101 3112820065</t>
  </si>
  <si>
    <t>520101 4610840001</t>
  </si>
  <si>
    <t>520101 1012100024</t>
  </si>
  <si>
    <t>Diploma l/ll</t>
  </si>
  <si>
    <t>520101 2601110038</t>
  </si>
  <si>
    <t>Dasan eresG</t>
  </si>
  <si>
    <t>520101 0503083779</t>
  </si>
  <si>
    <t>520101 0601150001</t>
  </si>
  <si>
    <t>Ahmad Manan</t>
  </si>
  <si>
    <t>Miekayla Putri Al Padila</t>
  </si>
  <si>
    <t>Kelane</t>
  </si>
  <si>
    <t>520101 0503083700</t>
  </si>
  <si>
    <t>Muhammad Sulton Jaelani</t>
  </si>
  <si>
    <t>520101 1003700002</t>
  </si>
  <si>
    <t>520101 6207730001</t>
  </si>
  <si>
    <t>Numpeng</t>
  </si>
  <si>
    <t>520101 0503084692</t>
  </si>
  <si>
    <t>Lina Pebrilia</t>
  </si>
  <si>
    <t>Irna Apriani</t>
  </si>
  <si>
    <t>520101 0107690067</t>
  </si>
  <si>
    <t>520101 4107700250</t>
  </si>
  <si>
    <t>520101 4107950341</t>
  </si>
  <si>
    <t>520101 4311020001</t>
  </si>
  <si>
    <t>520101 1209050001</t>
  </si>
  <si>
    <t>520101 4107970338</t>
  </si>
  <si>
    <t>520101 0503083968</t>
  </si>
  <si>
    <t>Lalu Wirlan Rosandi</t>
  </si>
  <si>
    <t>520101 0107670684</t>
  </si>
  <si>
    <t>520101 4107740183</t>
  </si>
  <si>
    <t>520101 1203961001</t>
  </si>
  <si>
    <t>Tukang Kayu</t>
  </si>
  <si>
    <t>520101 0503084700</t>
  </si>
  <si>
    <t>Muhamad Alvan Maulani</t>
  </si>
  <si>
    <t>Muhamad Alvan Maulana</t>
  </si>
  <si>
    <t>Pohdana Gerung</t>
  </si>
  <si>
    <t>Gerung</t>
  </si>
  <si>
    <t>Muhamad Halqi Khoir</t>
  </si>
  <si>
    <t>520101 0107820568</t>
  </si>
  <si>
    <t>520101 4108850003</t>
  </si>
  <si>
    <t>520101 1502060005</t>
  </si>
  <si>
    <t>520101 2806100001</t>
  </si>
  <si>
    <t>520101 2301160001</t>
  </si>
  <si>
    <t>520101 0503083498</t>
  </si>
  <si>
    <t>Rodiatul Janah</t>
  </si>
  <si>
    <t>520101 0107450137</t>
  </si>
  <si>
    <t>520101 4107720593</t>
  </si>
  <si>
    <t>520101 0107920211</t>
  </si>
  <si>
    <t>520101 4107940222</t>
  </si>
  <si>
    <t>520101 4107970429</t>
  </si>
  <si>
    <t>520101 6405080003</t>
  </si>
  <si>
    <t>520101 7112650050</t>
  </si>
  <si>
    <t>520101 0503082330</t>
  </si>
  <si>
    <t>Diploma lll</t>
  </si>
  <si>
    <t>520101 2209120020</t>
  </si>
  <si>
    <t>520101 0107620569</t>
  </si>
  <si>
    <t>520101 4107670659</t>
  </si>
  <si>
    <t>520101 2805960002</t>
  </si>
  <si>
    <t>520101 0503082772</t>
  </si>
  <si>
    <t>520101 0901650002</t>
  </si>
  <si>
    <t>520101 4707650001</t>
  </si>
  <si>
    <t>520101 2007880001</t>
  </si>
  <si>
    <t>520101 0410780001</t>
  </si>
  <si>
    <t>sumbawa</t>
  </si>
  <si>
    <t>Dasan  Geres Barat</t>
  </si>
  <si>
    <t>520101 0503082344</t>
  </si>
  <si>
    <t>520101 0608140012</t>
  </si>
  <si>
    <t>520101 0512810003</t>
  </si>
  <si>
    <t>520101 6306880002</t>
  </si>
  <si>
    <t>520101 6607050001</t>
  </si>
  <si>
    <t>Jenggik LOTIM</t>
  </si>
  <si>
    <t>520101 2212150014</t>
  </si>
  <si>
    <t>Muhammad Syahrul Arifin</t>
  </si>
  <si>
    <t>Muhammad Baburraziqin</t>
  </si>
  <si>
    <t>Ahmad Malik Asy-Syazili</t>
  </si>
  <si>
    <t>Haji Komaruddin</t>
  </si>
  <si>
    <t>520101 0503086494</t>
  </si>
  <si>
    <t>Lalu Ahamd Hawali</t>
  </si>
  <si>
    <t>Lalu Muhammad Rafiq Amani</t>
  </si>
  <si>
    <t>520101 2401810001</t>
  </si>
  <si>
    <t>520101 6706830002</t>
  </si>
  <si>
    <t>520101 0110150001</t>
  </si>
  <si>
    <t>Kuripan</t>
  </si>
  <si>
    <t>Tidak/Belum Tamat SD</t>
  </si>
  <si>
    <t>PNS</t>
  </si>
  <si>
    <t>Siti Asna Diyanti</t>
  </si>
  <si>
    <t>520101 5405160001</t>
  </si>
  <si>
    <t>Kambeng</t>
  </si>
  <si>
    <t>520101 1909131003</t>
  </si>
  <si>
    <t>520101 0304130001</t>
  </si>
  <si>
    <t>520805 6906840001</t>
  </si>
  <si>
    <t>Karang Baro</t>
  </si>
  <si>
    <t>520101 0503082955</t>
  </si>
  <si>
    <t>520101 1017670271</t>
  </si>
  <si>
    <t>520101 43</t>
  </si>
  <si>
    <t>Montong Betok-LOTIM</t>
  </si>
  <si>
    <t>Buruh Tani</t>
  </si>
  <si>
    <t>Padagang</t>
  </si>
  <si>
    <t xml:space="preserve">Pelajar </t>
  </si>
  <si>
    <t>520101 110615006</t>
  </si>
  <si>
    <t>Maulana Ishak, S.Pd</t>
  </si>
  <si>
    <t>Suniati,S.Pd</t>
  </si>
  <si>
    <t>Aisyah Ayudia Inara</t>
  </si>
  <si>
    <t>520101 5509870001</t>
  </si>
  <si>
    <t>520101 6803160001</t>
  </si>
  <si>
    <t>Borok Bokong</t>
  </si>
  <si>
    <t>Diploma 1V</t>
  </si>
  <si>
    <t>520101 1904160022</t>
  </si>
  <si>
    <t>520101 5407650001</t>
  </si>
  <si>
    <t>520101 4107920332</t>
  </si>
  <si>
    <t>Siti Sulva</t>
  </si>
  <si>
    <t>Fitriani</t>
  </si>
  <si>
    <t>Cucu</t>
  </si>
  <si>
    <t>520101 0107940282</t>
  </si>
  <si>
    <t>520101 4908110003</t>
  </si>
  <si>
    <t>Beruh Tani/Perkebunan</t>
  </si>
  <si>
    <t>f</t>
  </si>
  <si>
    <t>520101 2601150005</t>
  </si>
  <si>
    <t>Auro Zakiya Andini</t>
  </si>
  <si>
    <t>520113 6011850003</t>
  </si>
  <si>
    <t>520113 5709110002</t>
  </si>
  <si>
    <t>Cerai Hidup</t>
  </si>
  <si>
    <t>Diplomat 1V</t>
  </si>
  <si>
    <t>520101 0503082293</t>
  </si>
  <si>
    <t>520101 2609140002</t>
  </si>
  <si>
    <t>Isnaini Miftahurrahmah</t>
  </si>
  <si>
    <t>520101 4908890001</t>
  </si>
  <si>
    <t>520101 6403150008</t>
  </si>
  <si>
    <t>520101 6510160002</t>
  </si>
  <si>
    <t>Belum/Tidak kerja</t>
  </si>
  <si>
    <t>520101 0107570310</t>
  </si>
  <si>
    <t>520101 0107900238</t>
  </si>
  <si>
    <t>Menang</t>
  </si>
  <si>
    <t>520101 0503087884</t>
  </si>
  <si>
    <t>Lalu Mulyadi</t>
  </si>
  <si>
    <t>Baiq Nadia Febriana</t>
  </si>
  <si>
    <t>Baiq Linda Aulia</t>
  </si>
  <si>
    <t>520101 0107780082</t>
  </si>
  <si>
    <t>520101 6402040001</t>
  </si>
  <si>
    <t>520101 6007100001</t>
  </si>
  <si>
    <t>520101 1811090099</t>
  </si>
  <si>
    <t>H. Ilmi Najamudin</t>
  </si>
  <si>
    <t>HJ. Hulaefa</t>
  </si>
  <si>
    <t>Riska Ridho Ilahi</t>
  </si>
  <si>
    <t>Fahat Abdul Aziz</t>
  </si>
  <si>
    <t xml:space="preserve">MOH. Luthfi Abdurrahman </t>
  </si>
  <si>
    <t>520101 7112720066</t>
  </si>
  <si>
    <t>520101 0201880001</t>
  </si>
  <si>
    <t>520101 0803080001</t>
  </si>
  <si>
    <t>Batu Anyar</t>
  </si>
  <si>
    <t>520101 0503084332</t>
  </si>
  <si>
    <t>520101 0107620049</t>
  </si>
  <si>
    <t>520101 0107980271</t>
  </si>
  <si>
    <t>520101 4107640116</t>
  </si>
  <si>
    <t>520101 4510050001</t>
  </si>
  <si>
    <t>Petani/Perkebunan</t>
  </si>
  <si>
    <t>520101 0603120027</t>
  </si>
  <si>
    <t>Saipuloh</t>
  </si>
  <si>
    <t>Akhmad Nizam Aldiaksa</t>
  </si>
  <si>
    <t>Inara Yaumi Rossada</t>
  </si>
  <si>
    <t>520101 5910160002</t>
  </si>
  <si>
    <t>520101 6711870001</t>
  </si>
  <si>
    <t>520101 1202830004</t>
  </si>
  <si>
    <t>Gersik</t>
  </si>
  <si>
    <t>Belum /Tidak Bekerja</t>
  </si>
  <si>
    <t>520101 0503082715</t>
  </si>
  <si>
    <t>520101 6012700001</t>
  </si>
  <si>
    <t>520101 0308120009</t>
  </si>
  <si>
    <t>520101 2912820003</t>
  </si>
  <si>
    <t>Pelangan</t>
  </si>
  <si>
    <t>520101 0503083000</t>
  </si>
  <si>
    <t>520101 0107550084</t>
  </si>
  <si>
    <t>520101 4107600074</t>
  </si>
  <si>
    <t>520101 65004980001</t>
  </si>
  <si>
    <t>520101 0503082934</t>
  </si>
  <si>
    <t>520101 0503084322</t>
  </si>
  <si>
    <t>H. Lalu Muhamad Taufik</t>
  </si>
  <si>
    <t>Faridah</t>
  </si>
  <si>
    <t>Lalu Muhamad Hidayatullah</t>
  </si>
  <si>
    <t>520101 0107650229</t>
  </si>
  <si>
    <t>520101 4107600109</t>
  </si>
  <si>
    <t>520101 1511040002</t>
  </si>
  <si>
    <t>Belum Kawin</t>
  </si>
  <si>
    <t>Tukang Jahit</t>
  </si>
  <si>
    <t>Buruh Tani/Pekerbunan</t>
  </si>
  <si>
    <t>520101 0107970320</t>
  </si>
  <si>
    <t>520101 2011620001</t>
  </si>
  <si>
    <t>520101 4702700003</t>
  </si>
  <si>
    <t>Marlina</t>
  </si>
  <si>
    <t>520101 4101940002</t>
  </si>
  <si>
    <t>520101 0107000164</t>
  </si>
  <si>
    <t>520101 0503082847</t>
  </si>
  <si>
    <t>Sahariyah</t>
  </si>
  <si>
    <t>M. Iqbal</t>
  </si>
  <si>
    <t>520101 0107510029</t>
  </si>
  <si>
    <t>520101 7112580025</t>
  </si>
  <si>
    <t>520101 0709890001</t>
  </si>
  <si>
    <t>520101 2209000002</t>
  </si>
  <si>
    <t>520101 1811090047</t>
  </si>
  <si>
    <t>Palembang</t>
  </si>
  <si>
    <t>Alifa Nurpadiya</t>
  </si>
  <si>
    <t>520101 5506170001</t>
  </si>
  <si>
    <t>520101 0503084536</t>
  </si>
  <si>
    <t>HJ. Sopiyah</t>
  </si>
  <si>
    <t>Lombok Tengah</t>
  </si>
  <si>
    <t>520101 0212090026</t>
  </si>
  <si>
    <t>520101 5010830003</t>
  </si>
  <si>
    <t>520101 4111120002</t>
  </si>
  <si>
    <t>Cemare</t>
  </si>
  <si>
    <t>Gereung</t>
  </si>
  <si>
    <t>520101 0503084254</t>
  </si>
  <si>
    <t>Napsiah</t>
  </si>
  <si>
    <t>Muhammad Helmi Sadikin</t>
  </si>
  <si>
    <t>520101 3112741001</t>
  </si>
  <si>
    <t>520101 7112781001</t>
  </si>
  <si>
    <t>520101 0212911001</t>
  </si>
  <si>
    <t>Teluk Waru</t>
  </si>
  <si>
    <t>520101 0503084429</t>
  </si>
  <si>
    <t>520101 0107600038</t>
  </si>
  <si>
    <t>520101 4107630115</t>
  </si>
  <si>
    <t>520101 2710160029</t>
  </si>
  <si>
    <t>Nur Fateha</t>
  </si>
  <si>
    <t>520101 4107700246</t>
  </si>
  <si>
    <t>520101 0107910094</t>
  </si>
  <si>
    <t>520101 4107920328</t>
  </si>
  <si>
    <t>520101 2405980002</t>
  </si>
  <si>
    <t>520101 5208110002</t>
  </si>
  <si>
    <t>520101 0503083949</t>
  </si>
  <si>
    <t>520101 0503084294</t>
  </si>
  <si>
    <t>Fiqri Andrian Saputra</t>
  </si>
  <si>
    <t>Amrullah Majdi</t>
  </si>
  <si>
    <t>520101 0807730002</t>
  </si>
  <si>
    <t>520101 3012970001</t>
  </si>
  <si>
    <t>520101 0103160001</t>
  </si>
  <si>
    <t>Sekotong</t>
  </si>
  <si>
    <t>520101 050 3083722</t>
  </si>
  <si>
    <t>520101 1581089002</t>
  </si>
  <si>
    <t>520101 0503083922</t>
  </si>
  <si>
    <t>520101 4107420195</t>
  </si>
  <si>
    <t>520101 4107730290</t>
  </si>
  <si>
    <t>T</t>
  </si>
  <si>
    <t>Rabiatul Hadawiah</t>
  </si>
  <si>
    <t>520101 4107900056</t>
  </si>
  <si>
    <t>520101 0209160003</t>
  </si>
  <si>
    <t>Lana Mali'ah</t>
  </si>
  <si>
    <t>Ajiba Alfiyani</t>
  </si>
  <si>
    <t>520101 6212970001</t>
  </si>
  <si>
    <t>520101 4601170002</t>
  </si>
  <si>
    <t>520101 2504180001</t>
  </si>
  <si>
    <t>520101 2601110044</t>
  </si>
  <si>
    <t>520101 2206830004</t>
  </si>
  <si>
    <t>520101 7112850097</t>
  </si>
  <si>
    <t>520101 4204110003</t>
  </si>
  <si>
    <t>520101 2203170001</t>
  </si>
  <si>
    <t>Reyan, Gerung</t>
  </si>
  <si>
    <t>Gerung Utara</t>
  </si>
  <si>
    <t>520101 0503084076</t>
  </si>
  <si>
    <t>520101 0704110037</t>
  </si>
  <si>
    <t>Lalu Muhlis Jayadi</t>
  </si>
  <si>
    <t>Komaria Lavera</t>
  </si>
  <si>
    <t>Baiq Ahyatul Fitri</t>
  </si>
  <si>
    <t>Lalu Barly Azizi</t>
  </si>
  <si>
    <t>Baiq Sabyan Ariyanti</t>
  </si>
  <si>
    <t>520101 0112830002</t>
  </si>
  <si>
    <t>520101 7011910001</t>
  </si>
  <si>
    <t>520101 5912100004</t>
  </si>
  <si>
    <t>520101 3005130001</t>
  </si>
  <si>
    <t>520101 5107180004</t>
  </si>
  <si>
    <t>Cakranegara</t>
  </si>
  <si>
    <t>Akademi/Diploma lll</t>
  </si>
  <si>
    <t>520101 2810140007</t>
  </si>
  <si>
    <t>Muhammad Iwan</t>
  </si>
  <si>
    <t>Hidayatul Humaerah</t>
  </si>
  <si>
    <t>Mubarak Ibnu Muhammad</t>
  </si>
  <si>
    <t>Al Hafidzi Muhammad</t>
  </si>
  <si>
    <t>520101 2702840001</t>
  </si>
  <si>
    <t>520101 6003871001</t>
  </si>
  <si>
    <t>520101 0306120004</t>
  </si>
  <si>
    <t>520101 0107140003</t>
  </si>
  <si>
    <t>Bekasi</t>
  </si>
  <si>
    <t>Diploma 1/II</t>
  </si>
  <si>
    <t>520101 0503084082</t>
  </si>
  <si>
    <t>Mursyida Aulia</t>
  </si>
  <si>
    <t>520101 1607830002</t>
  </si>
  <si>
    <t>520101 4106880001</t>
  </si>
  <si>
    <t>520101 5112150001</t>
  </si>
  <si>
    <t>520101 0503083822</t>
  </si>
  <si>
    <t>520101 0107680089</t>
  </si>
  <si>
    <t>520101 2707170002</t>
  </si>
  <si>
    <t>Muhammad Rozi</t>
  </si>
  <si>
    <t>Ayu Nuryulia Ningsih</t>
  </si>
  <si>
    <t>520101 040790001</t>
  </si>
  <si>
    <t>520101 4307940001</t>
  </si>
  <si>
    <t>520101 0503084405</t>
  </si>
  <si>
    <t>HJ. Laila Marianah</t>
  </si>
  <si>
    <t>520101 0107420161</t>
  </si>
  <si>
    <t>520101 0503084560</t>
  </si>
  <si>
    <t>Mustafa Kamal</t>
  </si>
  <si>
    <t>520101 2004650001</t>
  </si>
  <si>
    <t>520101 5401680001</t>
  </si>
  <si>
    <t>520101 0505940001</t>
  </si>
  <si>
    <t>520101 2610100002</t>
  </si>
  <si>
    <t>520101 2008150002</t>
  </si>
  <si>
    <t xml:space="preserve">M. Arfan </t>
  </si>
  <si>
    <t>Wahyuningsih</t>
  </si>
  <si>
    <t>520101 0410830001</t>
  </si>
  <si>
    <t>520101 5209970001</t>
  </si>
  <si>
    <t>Nu'man Wafi</t>
  </si>
  <si>
    <t>520101 3112720019</t>
  </si>
  <si>
    <t>520101 7112800037</t>
  </si>
  <si>
    <t>520101 0305030001</t>
  </si>
  <si>
    <t>520101 0205060001</t>
  </si>
  <si>
    <t>520101 4708110003</t>
  </si>
  <si>
    <t>520101 1406150001</t>
  </si>
  <si>
    <t>Dasan Gere</t>
  </si>
  <si>
    <t>Tidak/Belum Seekolah</t>
  </si>
  <si>
    <t>520101 0503084485</t>
  </si>
  <si>
    <t>520101 0503082828</t>
  </si>
  <si>
    <t>Hasna Mudrikah</t>
  </si>
  <si>
    <t>520101 4806020001</t>
  </si>
  <si>
    <t>520101 6601190001</t>
  </si>
  <si>
    <t>520101 2508160012</t>
  </si>
  <si>
    <t>Teguh Nurdiansyah</t>
  </si>
  <si>
    <t>Sumbawa</t>
  </si>
  <si>
    <t>520101 2710160025</t>
  </si>
  <si>
    <t>Orang Tua</t>
  </si>
  <si>
    <t>520101 1506650001</t>
  </si>
  <si>
    <t>520101 0811120002</t>
  </si>
  <si>
    <t>520101 0606310001</t>
  </si>
  <si>
    <t>520101 5506400001</t>
  </si>
  <si>
    <t>Tidak Belum Sekolah</t>
  </si>
  <si>
    <t>520101 0503082987</t>
  </si>
  <si>
    <t>Sinie</t>
  </si>
  <si>
    <t>Muhammad Riki Muladi</t>
  </si>
  <si>
    <t>520101 0107600327</t>
  </si>
  <si>
    <t>520101 4706720001</t>
  </si>
  <si>
    <t>520101 0107040276</t>
  </si>
  <si>
    <t>Lingsar</t>
  </si>
  <si>
    <t>520101 0503082883</t>
  </si>
  <si>
    <t>520101 4107520249</t>
  </si>
  <si>
    <t>520101 0803760001</t>
  </si>
  <si>
    <t>520101 4107880143</t>
  </si>
  <si>
    <t>520101 4107900045</t>
  </si>
  <si>
    <t>Arsyaka Ferdinan Syah</t>
  </si>
  <si>
    <t>520307 4202790005</t>
  </si>
  <si>
    <t>520307 2908060002</t>
  </si>
  <si>
    <t>520101 0506160001</t>
  </si>
  <si>
    <t>Rumbuk</t>
  </si>
  <si>
    <t>Selong</t>
  </si>
  <si>
    <t>ulul Azmi</t>
  </si>
  <si>
    <t>520101 0503082439</t>
  </si>
  <si>
    <t>520101 0107400116</t>
  </si>
  <si>
    <t>520101 7112610003</t>
  </si>
  <si>
    <t>520101 5203900001</t>
  </si>
  <si>
    <t>520101 1101920004</t>
  </si>
  <si>
    <t>520101 4806960002</t>
  </si>
  <si>
    <t xml:space="preserve">Dasan Geres Barat </t>
  </si>
  <si>
    <t>520101 1206150017</t>
  </si>
  <si>
    <t>Rusni</t>
  </si>
  <si>
    <t>Haerunisa</t>
  </si>
  <si>
    <t>Irwan Hafiz</t>
  </si>
  <si>
    <t>520101 1210881002</t>
  </si>
  <si>
    <t>527104 6106860001</t>
  </si>
  <si>
    <t>520101 0610150002</t>
  </si>
  <si>
    <t>Kebon Beleq</t>
  </si>
  <si>
    <t>wiraswasta</t>
  </si>
  <si>
    <t>520101 0503082794</t>
  </si>
  <si>
    <t>520101 7005850003</t>
  </si>
  <si>
    <t>Daan Geres Barat</t>
  </si>
  <si>
    <t>520101 0909120045</t>
  </si>
  <si>
    <t>Laiyan Nasia Agustina</t>
  </si>
  <si>
    <t>Lalu Panggi Pandiyama</t>
  </si>
  <si>
    <t>520101 3112750281</t>
  </si>
  <si>
    <t>520101 7112760197</t>
  </si>
  <si>
    <t>520101 1510980004</t>
  </si>
  <si>
    <t>520101 5808150001</t>
  </si>
  <si>
    <t>520101 0503084342</t>
  </si>
  <si>
    <t>520101 0503082816</t>
  </si>
  <si>
    <t>Mul'an</t>
  </si>
  <si>
    <t>Famili Lain</t>
  </si>
  <si>
    <t>520101 0107660021</t>
  </si>
  <si>
    <t>520101 6306670001</t>
  </si>
  <si>
    <t>520101 6210910001</t>
  </si>
  <si>
    <t>520101 6207980001</t>
  </si>
  <si>
    <t>520101 6211020001</t>
  </si>
  <si>
    <t>520101 1804040001</t>
  </si>
  <si>
    <t>520101 0107840225</t>
  </si>
  <si>
    <t>Strata 11</t>
  </si>
  <si>
    <t>520101 0503082852</t>
  </si>
  <si>
    <t>Hj. Baiq Suarni</t>
  </si>
  <si>
    <t>Rima Fahrima,S.Pd</t>
  </si>
  <si>
    <t>Paturrahman</t>
  </si>
  <si>
    <t>KR Jangkong</t>
  </si>
  <si>
    <t>Ilemah</t>
  </si>
  <si>
    <t>520101 0102700002</t>
  </si>
  <si>
    <t>Husanah</t>
  </si>
  <si>
    <t>Eka Safitri</t>
  </si>
  <si>
    <t>M. Eko Usman</t>
  </si>
  <si>
    <t>520101 4108780001</t>
  </si>
  <si>
    <t>520101 5708960006</t>
  </si>
  <si>
    <t>520101 5111060003</t>
  </si>
  <si>
    <t>Transportasi</t>
  </si>
  <si>
    <t>520101 0503082749</t>
  </si>
  <si>
    <t>Aira Indriani</t>
  </si>
  <si>
    <t>520101 7112740002</t>
  </si>
  <si>
    <t>520101 1408960001</t>
  </si>
  <si>
    <t>520101 2510080002</t>
  </si>
  <si>
    <t>520101 6110150002</t>
  </si>
  <si>
    <t>Ombe</t>
  </si>
  <si>
    <t>520101 0503084551</t>
  </si>
  <si>
    <t>520101 0107780066</t>
  </si>
  <si>
    <t>520101 4107860089</t>
  </si>
  <si>
    <t>520101 2306090003</t>
  </si>
  <si>
    <t>Bangket Gawah</t>
  </si>
  <si>
    <t>520112 0703086963</t>
  </si>
  <si>
    <t>Muhazzabul Karim</t>
  </si>
  <si>
    <t>Muafnah A.Ma</t>
  </si>
  <si>
    <t>Kurniawan Abdul Azzam</t>
  </si>
  <si>
    <t>Syahla Salsabila Karim</t>
  </si>
  <si>
    <t>Daffa Karim Ansharri</t>
  </si>
  <si>
    <t>520112 0107690010</t>
  </si>
  <si>
    <t>520101 4107800381</t>
  </si>
  <si>
    <t>520112 1709980002</t>
  </si>
  <si>
    <t>520112 4212130003</t>
  </si>
  <si>
    <t>520112 2708170001</t>
  </si>
  <si>
    <t>Kali Ranget</t>
  </si>
  <si>
    <t>Kupang</t>
  </si>
  <si>
    <t>Diploma</t>
  </si>
  <si>
    <t>TNI</t>
  </si>
  <si>
    <t>520101 0503084579</t>
  </si>
  <si>
    <t xml:space="preserve"> Satemah</t>
  </si>
  <si>
    <t>520101 0107520061</t>
  </si>
  <si>
    <t>Lombok Barat</t>
  </si>
  <si>
    <t>520101 0609120073</t>
  </si>
  <si>
    <t>520101 3112530042</t>
  </si>
  <si>
    <t>520101 7112570072</t>
  </si>
  <si>
    <t>520101 5211780002</t>
  </si>
  <si>
    <t>520101 0503084573</t>
  </si>
  <si>
    <t>520101 0107660136</t>
  </si>
  <si>
    <t>520101 4107730296</t>
  </si>
  <si>
    <t>520101 0706010001</t>
  </si>
  <si>
    <t>520101 4107050151</t>
  </si>
  <si>
    <t>520101 2112090003</t>
  </si>
  <si>
    <t xml:space="preserve"> Tamat SD/Sederajat</t>
  </si>
  <si>
    <t>520101 0503084374</t>
  </si>
  <si>
    <t>Dayang Maesarah</t>
  </si>
  <si>
    <t>Muhammad Farhan Fatihan</t>
  </si>
  <si>
    <t>520101 3112660107</t>
  </si>
  <si>
    <t>520101 4206740003</t>
  </si>
  <si>
    <t>520101 4109980002</t>
  </si>
  <si>
    <t>520101 2407090004</t>
  </si>
  <si>
    <t>520101 0405150002</t>
  </si>
  <si>
    <t>520101 0503084422</t>
  </si>
  <si>
    <t>520101 0503084434</t>
  </si>
  <si>
    <t>520101 680509002</t>
  </si>
  <si>
    <t>520101 0503084555</t>
  </si>
  <si>
    <t>520101 0107730241</t>
  </si>
  <si>
    <t>520101 4107800377</t>
  </si>
  <si>
    <t>520101 6303050001</t>
  </si>
  <si>
    <t>520101 4206070001</t>
  </si>
  <si>
    <t>520101 0503083914</t>
  </si>
  <si>
    <t>Sari'un S.pd</t>
  </si>
  <si>
    <t>Raehanah S.pd</t>
  </si>
  <si>
    <t>Ahmad Sahrial Rubama</t>
  </si>
  <si>
    <t>Anisa Amalia</t>
  </si>
  <si>
    <t xml:space="preserve">Nada Nabila </t>
  </si>
  <si>
    <t>Amira Rosada</t>
  </si>
  <si>
    <t xml:space="preserve"> 520101 0107630083</t>
  </si>
  <si>
    <t xml:space="preserve"> 520101 4107670185</t>
  </si>
  <si>
    <t xml:space="preserve"> 520101 2212920001</t>
  </si>
  <si>
    <t xml:space="preserve"> 520101 6212950001</t>
  </si>
  <si>
    <t xml:space="preserve"> 520101 4107040091</t>
  </si>
  <si>
    <t xml:space="preserve"> 520101 4107000083</t>
  </si>
  <si>
    <t>Bilekedit</t>
  </si>
  <si>
    <t>DIPLOMA IV/STRATA I</t>
  </si>
  <si>
    <t>SLTP/SEDERAJAT</t>
  </si>
  <si>
    <t>BELUM TAMAT SD/SEDERAJAT</t>
  </si>
  <si>
    <t xml:space="preserve"> 520101 0503083817</t>
  </si>
  <si>
    <t>520101 4906890001</t>
  </si>
  <si>
    <t xml:space="preserve"> 520101 0503083801</t>
  </si>
  <si>
    <t>H. Sahrun Rais</t>
  </si>
  <si>
    <t>Sumiatin S.Pd</t>
  </si>
  <si>
    <t>Isni Sahrianti</t>
  </si>
  <si>
    <t>Indi Rahmawati</t>
  </si>
  <si>
    <t>520101 0107680098</t>
  </si>
  <si>
    <t xml:space="preserve"> 520101 4107700260</t>
  </si>
  <si>
    <t xml:space="preserve"> 520101 4402980001</t>
  </si>
  <si>
    <t xml:space="preserve"> 520101 5512030001</t>
  </si>
  <si>
    <t>Pegawai Negeri Sipil (PNS)</t>
  </si>
  <si>
    <t>520101 0503083791</t>
  </si>
  <si>
    <t>Hj. Rahmah</t>
  </si>
  <si>
    <t>Hj Siti Mariam</t>
  </si>
  <si>
    <t>520101 4107500122</t>
  </si>
  <si>
    <t>520101 4107870529</t>
  </si>
  <si>
    <t>Bermi</t>
  </si>
  <si>
    <t>520101 0503082273</t>
  </si>
  <si>
    <t>Muhammad . Amrulloh</t>
  </si>
  <si>
    <t>520101 0107730032</t>
  </si>
  <si>
    <t>520101 2304961001</t>
  </si>
  <si>
    <t>520101 0503083834</t>
  </si>
  <si>
    <t>520101 0107640077</t>
  </si>
  <si>
    <t>Rukiah</t>
  </si>
  <si>
    <t>Tukang Batu</t>
  </si>
  <si>
    <t>520101 0609120069</t>
  </si>
  <si>
    <t>Muslim</t>
  </si>
  <si>
    <t>Thoriq Hudaifi</t>
  </si>
  <si>
    <t>Alkhalifi  Zikri Hamizan</t>
  </si>
  <si>
    <t>520101 5011840002</t>
  </si>
  <si>
    <t>520101 299316000</t>
  </si>
  <si>
    <t>520101 2003160001</t>
  </si>
  <si>
    <t>Jelanteng</t>
  </si>
  <si>
    <t>520101 0503083439</t>
  </si>
  <si>
    <t>520101 5503860001</t>
  </si>
  <si>
    <t>520101 4107930140</t>
  </si>
  <si>
    <t>DIPLOMA IV</t>
  </si>
  <si>
    <t>Muhammad Ihsan AL Fatih</t>
  </si>
  <si>
    <t>520805 4401970000</t>
  </si>
  <si>
    <t>520101 0308150001</t>
  </si>
  <si>
    <t>Terengan Timur</t>
  </si>
  <si>
    <t>520101 0503082299</t>
  </si>
  <si>
    <t>520101 3112560023</t>
  </si>
  <si>
    <t>520101 7112600067</t>
  </si>
  <si>
    <t>520101 2007090011</t>
  </si>
  <si>
    <t>Berambang</t>
  </si>
  <si>
    <t>Tidak Tamat SD/Sederajat</t>
  </si>
  <si>
    <t>520101 0503083403</t>
  </si>
  <si>
    <t>520101 05030846484</t>
  </si>
  <si>
    <t>520101 0107600320</t>
  </si>
  <si>
    <t>520101 4107700252</t>
  </si>
  <si>
    <t>520101 0107930290</t>
  </si>
  <si>
    <t>520101 0107900097</t>
  </si>
  <si>
    <t>520101 1802980001</t>
  </si>
  <si>
    <t>520101 0503082286</t>
  </si>
  <si>
    <t>Muhammad Zulkifli</t>
  </si>
  <si>
    <t>520101 1603780001</t>
  </si>
  <si>
    <t>520101 0609120083</t>
  </si>
  <si>
    <t>Hj. Salwa</t>
  </si>
  <si>
    <t>Hanandi</t>
  </si>
  <si>
    <t>Nurul Fadila</t>
  </si>
  <si>
    <t>520101 1710830001</t>
  </si>
  <si>
    <t>Selat</t>
  </si>
  <si>
    <t>HJ. Rosita</t>
  </si>
  <si>
    <t>520101 0503083860</t>
  </si>
  <si>
    <t>520101 4107390025</t>
  </si>
  <si>
    <t>520101 4112600004</t>
  </si>
  <si>
    <t>520101 1703150021</t>
  </si>
  <si>
    <t>Hj. Siti Patimah</t>
  </si>
  <si>
    <t>Dewi Santi Suryani, SE</t>
  </si>
  <si>
    <t>520101 4107520233</t>
  </si>
  <si>
    <t>520101 4107760284</t>
  </si>
  <si>
    <t>520101 5402890007</t>
  </si>
  <si>
    <t>Rumak</t>
  </si>
  <si>
    <t>DPLOMA IV</t>
  </si>
  <si>
    <t>520101 0503083927</t>
  </si>
  <si>
    <t>520101 4506060006</t>
  </si>
  <si>
    <t>520101 3001150010</t>
  </si>
  <si>
    <t>520101 0503083693</t>
  </si>
  <si>
    <t>Bremi</t>
  </si>
  <si>
    <t>Susi Wahyuni</t>
  </si>
  <si>
    <t>520101 0711070008</t>
  </si>
  <si>
    <t>520101 6305860001</t>
  </si>
  <si>
    <t>Muhammad Muhazar</t>
  </si>
  <si>
    <t>520101 4107540090</t>
  </si>
  <si>
    <t>520101 0107890432</t>
  </si>
  <si>
    <t>520101 010107570487</t>
  </si>
  <si>
    <t>520101 0503083775</t>
  </si>
  <si>
    <t>Muhammad Rifa Ramadan</t>
  </si>
  <si>
    <t>520101 2106170001</t>
  </si>
  <si>
    <t xml:space="preserve"> Ayub</t>
  </si>
  <si>
    <t>520101 0503084626</t>
  </si>
  <si>
    <t>Fathurrozzak</t>
  </si>
  <si>
    <t>520101 0107730069</t>
  </si>
  <si>
    <t>520101 7112750095</t>
  </si>
  <si>
    <t>520101 2402020003</t>
  </si>
  <si>
    <t>520101 5006030004</t>
  </si>
  <si>
    <t>520101 0503082312</t>
  </si>
  <si>
    <t>MiftaHurrohana</t>
  </si>
  <si>
    <t>M. Ilham Hakiki</t>
  </si>
  <si>
    <t>520101 0205170001</t>
  </si>
  <si>
    <t>Jelateng</t>
  </si>
  <si>
    <t>520101 271060006</t>
  </si>
  <si>
    <t>Lalu wirantana</t>
  </si>
  <si>
    <t>Fuji Laksmi</t>
  </si>
  <si>
    <t>Lalu Arga Wiradinata</t>
  </si>
  <si>
    <t>520101 13005920001</t>
  </si>
  <si>
    <t>520101 24109950004</t>
  </si>
  <si>
    <t>520101 1407170001</t>
  </si>
  <si>
    <t>Seganteng-GB.Pande</t>
  </si>
  <si>
    <t>520101 1909140015</t>
  </si>
  <si>
    <t>520101 0610140013</t>
  </si>
  <si>
    <t>520101 0107640078</t>
  </si>
  <si>
    <t>520101 4107680323</t>
  </si>
  <si>
    <t>520101 0503082382</t>
  </si>
  <si>
    <t>Lalu Rizal Fahmi</t>
  </si>
  <si>
    <t>Baiq Melia Yulianti</t>
  </si>
  <si>
    <t>520101 3112630003</t>
  </si>
  <si>
    <t>520101 7112650215</t>
  </si>
  <si>
    <t>520101 0503083487</t>
  </si>
  <si>
    <t>Pengerajin</t>
  </si>
  <si>
    <t>520101 0503083506</t>
  </si>
  <si>
    <t>520101 0303160008</t>
  </si>
  <si>
    <t>520107 4107900116</t>
  </si>
  <si>
    <t>520101 0510130001</t>
  </si>
  <si>
    <t>Kawin Belum Tercatat</t>
  </si>
  <si>
    <t>Labuan Poh</t>
  </si>
  <si>
    <t>Ahmad Fa'izul Bayani</t>
  </si>
  <si>
    <t>520101 0503083480</t>
  </si>
  <si>
    <t>BAIQ Yan</t>
  </si>
  <si>
    <t>Baiq Nayla Zahra Aprilia</t>
  </si>
  <si>
    <t>520101 5904790001</t>
  </si>
  <si>
    <t>Muncan LOTENG</t>
  </si>
  <si>
    <t>520101 0610160014</t>
  </si>
  <si>
    <t>Anis Satul Mukmin</t>
  </si>
  <si>
    <t>Isma Kamila Fatin</t>
  </si>
  <si>
    <t>520101 6801940001</t>
  </si>
  <si>
    <t>520101 6801180002</t>
  </si>
  <si>
    <t>Bilebante</t>
  </si>
  <si>
    <t>520101 0503083866</t>
  </si>
  <si>
    <t>Tidak/Belum Sekolahjat</t>
  </si>
  <si>
    <t>520101 0503082320</t>
  </si>
  <si>
    <t>520101 0107300005</t>
  </si>
  <si>
    <t>520101 0303150005</t>
  </si>
  <si>
    <t>Suhirman</t>
  </si>
  <si>
    <t>Sri yanti Faradila</t>
  </si>
  <si>
    <t>520112  0107840413</t>
  </si>
  <si>
    <t>Lingsar-Keling</t>
  </si>
  <si>
    <t>Jumlah Penduduk</t>
  </si>
  <si>
    <t>Total</t>
  </si>
  <si>
    <t>Jumlah KK</t>
  </si>
  <si>
    <t>Jumlah Duda / Janda</t>
  </si>
  <si>
    <t>Jumlah Lansia ( =&gt;60 )</t>
  </si>
  <si>
    <t>RT 1</t>
  </si>
  <si>
    <t>RT 2</t>
  </si>
  <si>
    <t>RT 3</t>
  </si>
  <si>
    <t>RT 4</t>
  </si>
  <si>
    <t>RT 5</t>
  </si>
  <si>
    <t>JUMLAH TOTAL</t>
  </si>
  <si>
    <t>520101 2611090018</t>
  </si>
  <si>
    <t>DATA INDUK PENDUDUK KELURAHAN DASAN GERES</t>
  </si>
  <si>
    <t>TAHUN 2019</t>
  </si>
  <si>
    <t>Nama Lengkap/ Panggilan</t>
  </si>
  <si>
    <t>LINGKUNGAN DASAN GERES BARAT</t>
  </si>
  <si>
    <t>RT 05</t>
  </si>
  <si>
    <t>RT 01</t>
  </si>
  <si>
    <t>RT 02</t>
  </si>
  <si>
    <t>RT 03</t>
  </si>
  <si>
    <t>RT 04</t>
  </si>
  <si>
    <t>Mengetahui</t>
  </si>
  <si>
    <t>Lurah Dasan Geres</t>
  </si>
  <si>
    <t>Kepala Lingkungan</t>
  </si>
  <si>
    <t>Hulaifi, S.H.</t>
  </si>
  <si>
    <t>NIP. 19841231 201101 1 023</t>
  </si>
  <si>
    <t>527101 4507900000</t>
  </si>
  <si>
    <t>520103 6011850000</t>
  </si>
  <si>
    <t>520103 5709110000</t>
  </si>
  <si>
    <t>RT</t>
  </si>
  <si>
    <t>REKAP DATA PENDUDUK</t>
  </si>
  <si>
    <t>TAHUN 2021</t>
  </si>
  <si>
    <t xml:space="preserve">LINGKUNGAN : </t>
  </si>
  <si>
    <t>RT :</t>
  </si>
  <si>
    <t>(                                                  )</t>
  </si>
  <si>
    <t>(                                  )</t>
  </si>
  <si>
    <t>LINGKUNGAN : ………………………………………….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</si>
</sst>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;@"/>
    <numFmt numFmtId="165" formatCode="m/d;@"/>
    <numFmt numFmtId="166" formatCode="[$-421]dd\ mmmm\ yyyy;@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0" borderId="0" xfId="0" applyFill="1"/>
    <xf numFmtId="0" fontId="3" fillId="2" borderId="0" xfId="0" applyFont="1" applyFill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Border="1"/>
    <xf numFmtId="0" fontId="2" fillId="0" borderId="0" xfId="0" applyFont="1" applyFill="1" applyAlignment="1"/>
    <xf numFmtId="0" fontId="2" fillId="0" borderId="12" xfId="0" applyFont="1" applyFill="1" applyBorder="1"/>
    <xf numFmtId="0" fontId="2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6" fontId="2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3" fontId="5" fillId="0" borderId="4" xfId="0" applyNumberFormat="1" applyFont="1" applyBorder="1" applyAlignment="1">
      <alignment horizontal="center" vertical="center"/>
    </xf>
    <xf numFmtId="3" fontId="0" fillId="0" borderId="0" xfId="0" applyNumberFormat="1"/>
    <xf numFmtId="0" fontId="5" fillId="0" borderId="0" xfId="0" applyFont="1" applyFill="1"/>
    <xf numFmtId="0" fontId="5" fillId="0" borderId="0" xfId="0" applyFont="1"/>
    <xf numFmtId="3" fontId="5" fillId="0" borderId="0" xfId="0" applyNumberFormat="1" applyFont="1"/>
    <xf numFmtId="3" fontId="6" fillId="0" borderId="21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5" fillId="0" borderId="33" xfId="0" applyNumberFormat="1" applyFont="1" applyBorder="1" applyAlignment="1">
      <alignment horizontal="center" vertical="center"/>
    </xf>
    <xf numFmtId="3" fontId="6" fillId="0" borderId="30" xfId="0" applyNumberFormat="1" applyFont="1" applyBorder="1" applyAlignment="1">
      <alignment horizontal="center" vertical="center"/>
    </xf>
    <xf numFmtId="3" fontId="5" fillId="0" borderId="22" xfId="0" applyNumberFormat="1" applyFont="1" applyBorder="1" applyAlignment="1">
      <alignment horizontal="center" vertical="center"/>
    </xf>
    <xf numFmtId="3" fontId="5" fillId="0" borderId="23" xfId="0" applyNumberFormat="1" applyFont="1" applyBorder="1" applyAlignment="1">
      <alignment horizontal="center" vertical="center"/>
    </xf>
    <xf numFmtId="3" fontId="5" fillId="0" borderId="26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19" xfId="0" applyNumberFormat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3" fontId="7" fillId="0" borderId="42" xfId="0" applyNumberFormat="1" applyFont="1" applyBorder="1" applyAlignment="1">
      <alignment horizontal="center" vertical="center"/>
    </xf>
    <xf numFmtId="3" fontId="7" fillId="0" borderId="43" xfId="0" applyNumberFormat="1" applyFont="1" applyBorder="1" applyAlignment="1">
      <alignment horizontal="center" vertical="center"/>
    </xf>
    <xf numFmtId="3" fontId="7" fillId="0" borderId="44" xfId="0" applyNumberFormat="1" applyFont="1" applyBorder="1" applyAlignment="1">
      <alignment horizontal="center" vertical="center"/>
    </xf>
    <xf numFmtId="3" fontId="7" fillId="0" borderId="45" xfId="0" applyNumberFormat="1" applyFont="1" applyBorder="1" applyAlignment="1">
      <alignment horizontal="center" vertical="center"/>
    </xf>
    <xf numFmtId="3" fontId="7" fillId="0" borderId="46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0" fontId="2" fillId="0" borderId="11" xfId="0" applyFont="1" applyFill="1" applyBorder="1"/>
    <xf numFmtId="0" fontId="2" fillId="0" borderId="4" xfId="0" applyFont="1" applyFill="1" applyBorder="1"/>
    <xf numFmtId="165" fontId="2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66" fontId="2" fillId="0" borderId="0" xfId="0" applyNumberFormat="1" applyFont="1" applyFill="1"/>
    <xf numFmtId="0" fontId="2" fillId="0" borderId="0" xfId="0" applyFont="1" applyFill="1" applyAlignment="1">
      <alignment wrapText="1"/>
    </xf>
    <xf numFmtId="0" fontId="3" fillId="4" borderId="4" xfId="0" applyFont="1" applyFill="1" applyBorder="1" applyAlignment="1">
      <alignment horizontal="center" vertical="center" wrapText="1"/>
    </xf>
    <xf numFmtId="166" fontId="3" fillId="4" borderId="4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/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3" fontId="5" fillId="0" borderId="0" xfId="0" applyNumberFormat="1" applyFont="1" applyBorder="1"/>
    <xf numFmtId="0" fontId="5" fillId="0" borderId="0" xfId="0" applyFont="1" applyBorder="1"/>
    <xf numFmtId="166" fontId="6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3" fontId="6" fillId="0" borderId="35" xfId="0" applyNumberFormat="1" applyFont="1" applyBorder="1" applyAlignment="1">
      <alignment horizontal="center" vertical="center"/>
    </xf>
    <xf numFmtId="3" fontId="6" fillId="0" borderId="28" xfId="0" applyNumberFormat="1" applyFont="1" applyBorder="1" applyAlignment="1">
      <alignment horizontal="center" vertical="center"/>
    </xf>
    <xf numFmtId="3" fontId="6" fillId="0" borderId="36" xfId="0" applyNumberFormat="1" applyFont="1" applyBorder="1" applyAlignment="1">
      <alignment horizontal="center" vertical="center"/>
    </xf>
    <xf numFmtId="3" fontId="6" fillId="0" borderId="38" xfId="0" applyNumberFormat="1" applyFont="1" applyBorder="1" applyAlignment="1">
      <alignment horizontal="center" vertical="center"/>
    </xf>
    <xf numFmtId="3" fontId="6" fillId="0" borderId="27" xfId="0" applyNumberFormat="1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6" fillId="0" borderId="29" xfId="0" applyNumberFormat="1" applyFont="1" applyBorder="1" applyAlignment="1">
      <alignment horizontal="center" vertical="center"/>
    </xf>
    <xf numFmtId="3" fontId="6" fillId="0" borderId="37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4" borderId="4" xfId="0" applyNumberFormat="1" applyFon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166" fontId="3" fillId="4" borderId="15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3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"/>
  <sheetViews>
    <sheetView workbookViewId="0">
      <selection activeCell="P10" sqref="P10"/>
    </sheetView>
  </sheetViews>
  <sheetFormatPr defaultRowHeight="15" x14ac:dyDescent="0.25"/>
  <cols>
    <col min="2" max="2" width="19.140625" bestFit="1" customWidth="1"/>
    <col min="3" max="8" width="9.140625" style="62"/>
    <col min="9" max="10" width="10.7109375" style="62" customWidth="1"/>
    <col min="11" max="11" width="9.140625" style="62"/>
    <col min="12" max="13" width="11.7109375" style="62" customWidth="1"/>
    <col min="14" max="14" width="9.140625" style="62"/>
  </cols>
  <sheetData>
    <row r="1" spans="2:15" ht="15.75" thickBot="1" x14ac:dyDescent="0.3"/>
    <row r="2" spans="2:15" s="64" customFormat="1" ht="15.75" thickBot="1" x14ac:dyDescent="0.3">
      <c r="B2" s="139" t="s">
        <v>2518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1"/>
      <c r="O2" s="65"/>
    </row>
    <row r="3" spans="2:15" s="64" customFormat="1" ht="15.75" thickBot="1" x14ac:dyDescent="0.3">
      <c r="B3" s="142" t="s">
        <v>2503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4"/>
      <c r="O3" s="65"/>
    </row>
    <row r="4" spans="2:15" ht="15.75" x14ac:dyDescent="0.25">
      <c r="B4" s="149" t="s">
        <v>2517</v>
      </c>
      <c r="C4" s="138" t="s">
        <v>2488</v>
      </c>
      <c r="D4" s="135"/>
      <c r="E4" s="147" t="s">
        <v>2489</v>
      </c>
      <c r="F4" s="134" t="s">
        <v>2490</v>
      </c>
      <c r="G4" s="135"/>
      <c r="H4" s="136" t="s">
        <v>2489</v>
      </c>
      <c r="I4" s="138" t="s">
        <v>2491</v>
      </c>
      <c r="J4" s="135"/>
      <c r="K4" s="147" t="s">
        <v>2489</v>
      </c>
      <c r="L4" s="134" t="s">
        <v>2492</v>
      </c>
      <c r="M4" s="135"/>
      <c r="N4" s="147" t="s">
        <v>2489</v>
      </c>
    </row>
    <row r="5" spans="2:15" ht="15.75" thickBot="1" x14ac:dyDescent="0.3">
      <c r="B5" s="150"/>
      <c r="C5" s="77" t="s">
        <v>1</v>
      </c>
      <c r="D5" s="78" t="s">
        <v>10</v>
      </c>
      <c r="E5" s="148"/>
      <c r="F5" s="79" t="s">
        <v>1</v>
      </c>
      <c r="G5" s="78" t="s">
        <v>10</v>
      </c>
      <c r="H5" s="137"/>
      <c r="I5" s="77" t="s">
        <v>1</v>
      </c>
      <c r="J5" s="78" t="s">
        <v>10</v>
      </c>
      <c r="K5" s="148"/>
      <c r="L5" s="79" t="s">
        <v>1</v>
      </c>
      <c r="M5" s="78" t="s">
        <v>10</v>
      </c>
      <c r="N5" s="148"/>
    </row>
    <row r="6" spans="2:15" ht="15.75" x14ac:dyDescent="0.25">
      <c r="B6" s="71" t="s">
        <v>2493</v>
      </c>
      <c r="C6" s="72">
        <f>COUNTIF('RT 01'!$H$8:$H$332,"L")</f>
        <v>160</v>
      </c>
      <c r="D6" s="73">
        <f>COUNTIF('RT 01'!$H$8:$H$332,"P")</f>
        <v>164</v>
      </c>
      <c r="E6" s="74">
        <f>SUM(C6:D6)</f>
        <v>324</v>
      </c>
      <c r="F6" s="75">
        <f>COUNTIFS('RT 01'!$F$8:$F$332,"KK",'RT 01'!$H$8:$H$332,"L")</f>
        <v>76</v>
      </c>
      <c r="G6" s="73">
        <f>COUNTIFS('RT 01'!$F$8:$F$332,"KK",'RT 01'!$H$8:$H$332,"P")</f>
        <v>14</v>
      </c>
      <c r="H6" s="76">
        <f>SUM(F6:G6)</f>
        <v>90</v>
      </c>
      <c r="I6" s="72">
        <f>COUNTIFS('RT 01'!$I$8:$I$332,"Cerai Mati",'RT 01'!$H$8:$H$332,"L")+COUNTIFS('RT 01'!$I$8:$I$332,"Cerai Hidup",'RT 01'!$H$8:$H$332,"L")+COUNTIFS('RT 01'!$I$8:$I$332,"Duda",'RT 01'!$H$8:$H$332,"L")</f>
        <v>4</v>
      </c>
      <c r="J6" s="73">
        <f>COUNTIFS('RT 01'!$I$8:$I$332,"Cerai Mati",'RT 01'!$H$8:$H$332,"P")+COUNTIFS('RT 01'!$I$8:$I$332,"Cerai Hidup",'RT 01'!$H$8:$H$332,"P")+COUNTIFS('RT 01'!$I$8:$I$332,"Janda",'RT 01'!$H$8:$H$332,"P")</f>
        <v>15</v>
      </c>
      <c r="K6" s="74">
        <f>SUM(I6:J6)</f>
        <v>19</v>
      </c>
      <c r="L6" s="75">
        <v>19</v>
      </c>
      <c r="M6" s="73">
        <v>13</v>
      </c>
      <c r="N6" s="74">
        <f>SUM(L6:M6)</f>
        <v>32</v>
      </c>
    </row>
    <row r="7" spans="2:15" ht="15.75" x14ac:dyDescent="0.25">
      <c r="B7" s="67" t="s">
        <v>2494</v>
      </c>
      <c r="C7" s="69">
        <f>COUNTIF('RT 02'!$H$8:$H$188,"L")</f>
        <v>90</v>
      </c>
      <c r="D7" s="61">
        <f>COUNTIF('RT 02'!$H$8:$H$188,"P")</f>
        <v>91</v>
      </c>
      <c r="E7" s="66">
        <f t="shared" ref="E7:E8" si="0">SUM(C7:D7)</f>
        <v>181</v>
      </c>
      <c r="F7" s="68">
        <f>COUNTIFS('RT 02'!$F$8:$F$188,"KK",'RT 02'!$H$8:$H$188,"L")</f>
        <v>42</v>
      </c>
      <c r="G7" s="61">
        <f>COUNTIFS('RT 02'!$F$8:$F$188,"KK",'RT 02'!$H$8:$H$188,"P")</f>
        <v>11</v>
      </c>
      <c r="H7" s="70">
        <f t="shared" ref="H7:H8" si="1">SUM(F7:G7)</f>
        <v>53</v>
      </c>
      <c r="I7" s="69">
        <f>COUNTIFS('RT 02'!$I$8:$I$188,"Cerai Mati",'RT 02'!$H$8:$H$188,"L")+COUNTIFS('RT 02'!$I$8:$I$188,"Cerai Hidup",'RT 02'!$H$8:$H$188,"L")+COUNTIFS('RT 02'!$I$8:$I$188,"Duda",'RT 02'!$H$8:$H$188,"L")</f>
        <v>2</v>
      </c>
      <c r="J7" s="61">
        <f>COUNTIFS('RT 02'!$I$8:$I$188,"Cerai Mati",'RT 02'!$H$8:$H$188,"P")+COUNTIFS('RT 02'!$I$8:$I$188,"Cerai Hidup",'RT 02'!$H$8:$H$188,"P")+COUNTIFS('RT 02'!$I$8:$I$188,"Janda",'RT 02'!$H$8:$H$188,"P")</f>
        <v>11</v>
      </c>
      <c r="K7" s="66">
        <f t="shared" ref="K7:K8" si="2">SUM(I7:J7)</f>
        <v>13</v>
      </c>
      <c r="L7" s="68">
        <v>7</v>
      </c>
      <c r="M7" s="61">
        <v>11</v>
      </c>
      <c r="N7" s="66">
        <f t="shared" ref="N7:N8" si="3">SUM(L7:M7)</f>
        <v>18</v>
      </c>
    </row>
    <row r="8" spans="2:15" ht="15.75" x14ac:dyDescent="0.25">
      <c r="B8" s="67" t="s">
        <v>2495</v>
      </c>
      <c r="C8" s="69">
        <f>COUNTIF('RT 03'!$H$8:$H$252,"L")</f>
        <v>110</v>
      </c>
      <c r="D8" s="61">
        <f>COUNTIF('RT 03'!$H$8:$H$252,"P")</f>
        <v>135</v>
      </c>
      <c r="E8" s="66">
        <f t="shared" si="0"/>
        <v>245</v>
      </c>
      <c r="F8" s="68">
        <f>COUNTIFS('RT 03'!$F$8:$F$252,"KK",'RT 03'!$H$8:$H$252,"L")</f>
        <v>45</v>
      </c>
      <c r="G8" s="61">
        <f>COUNTIFS('RT 03'!$F$8:$F$252,"KK",'RT 03'!$H$8:$H$252,"P")</f>
        <v>20</v>
      </c>
      <c r="H8" s="70">
        <f t="shared" si="1"/>
        <v>65</v>
      </c>
      <c r="I8" s="69">
        <f>COUNTIFS('RT 03'!$I$8:$I$252,"Cerai Mati",'RT 03'!$H$8:$H$252,"L")+COUNTIFS('RT 03'!$I$8:$I$252,"Cerai Hidup",'RT 03'!$H$8:$H$252,"L")+COUNTIFS('RT 03'!$I$8:$I$252,"Duda",'RT 03'!$H$8:$H$252,"L")</f>
        <v>3</v>
      </c>
      <c r="J8" s="61">
        <f>COUNTIFS('RT 03'!$I$8:$I$252,"Cerai Mati",'RT 03'!$H$8:$H$252,"P")+COUNTIFS('RT 03'!$I$8:$I$252,"Cerai Hidup",'RT 03'!$H$8:$H$252,"P")+COUNTIFS('RT 03'!$I$8:$I$252,"Janda",'RT 03'!$H$8:$H$252,"P")</f>
        <v>24</v>
      </c>
      <c r="K8" s="66">
        <f t="shared" si="2"/>
        <v>27</v>
      </c>
      <c r="L8" s="68">
        <v>6</v>
      </c>
      <c r="M8" s="61">
        <v>13</v>
      </c>
      <c r="N8" s="66">
        <f t="shared" si="3"/>
        <v>19</v>
      </c>
    </row>
    <row r="9" spans="2:15" ht="15.75" x14ac:dyDescent="0.25">
      <c r="B9" s="67" t="s">
        <v>2496</v>
      </c>
      <c r="C9" s="69">
        <f>COUNTIF('RT 04'!$H$8:$H$223,"L")</f>
        <v>112</v>
      </c>
      <c r="D9" s="61">
        <f>COUNTIF('RT 04'!$H$8:$H$223,"P")</f>
        <v>104</v>
      </c>
      <c r="E9" s="66">
        <f t="shared" ref="E9:E10" si="4">SUM(C9:D9)</f>
        <v>216</v>
      </c>
      <c r="F9" s="68">
        <f>COUNTIFS('RT 04'!$F$8:$F$223,"KK",'RT 04'!$H$8:$H$223,"L")</f>
        <v>49</v>
      </c>
      <c r="G9" s="61">
        <f>COUNTIFS('RT 04'!$F$8:$F$223,"KK",'RT 04'!$H$8:$H$223,"P")</f>
        <v>13</v>
      </c>
      <c r="H9" s="70">
        <f t="shared" ref="H9:H10" si="5">SUM(F9:G9)</f>
        <v>62</v>
      </c>
      <c r="I9" s="69">
        <f>COUNTIFS('RT 04'!$I$8:$I$223,"Cerai Mati",'RT 04'!$H$8:$H$223,"L")+COUNTIFS('RT 04'!$I$8:$I$223,"Cerai Hidup",'RT 04'!$H$8:$H$223,"L")+COUNTIFS('RT 04'!$I$8:$I$223,"Duda",'RT 04'!$H$8:$H$223,"L")</f>
        <v>1</v>
      </c>
      <c r="J9" s="61">
        <f>COUNTIFS('RT 04'!$I$8:$I$223,"Cerai Mati",'RT 04'!$H$8:$H$223,"P")+COUNTIFS('RT 04'!$I$8:$I$223,"Cerai Hidup",'RT 04'!$H$8:$H$223,"P")+COUNTIFS('RT 04'!$I$8:$I$223,"Janda",'RT 04'!$H$8:$H$223,"P")</f>
        <v>12</v>
      </c>
      <c r="K9" s="66">
        <f t="shared" ref="K9:K10" si="6">SUM(I9:J9)</f>
        <v>13</v>
      </c>
      <c r="L9" s="68">
        <v>10</v>
      </c>
      <c r="M9" s="61">
        <v>14</v>
      </c>
      <c r="N9" s="66">
        <f t="shared" ref="N9:N10" si="7">SUM(L9:M9)</f>
        <v>24</v>
      </c>
    </row>
    <row r="10" spans="2:15" ht="16.5" thickBot="1" x14ac:dyDescent="0.3">
      <c r="B10" s="80" t="s">
        <v>2497</v>
      </c>
      <c r="C10" s="81">
        <f>COUNTIF('RT 05'!$H$8:$H$152,"L")</f>
        <v>77</v>
      </c>
      <c r="D10" s="82">
        <f>COUNTIF('RT 05'!$H$8:$H$152,"P")</f>
        <v>68</v>
      </c>
      <c r="E10" s="83">
        <f t="shared" si="4"/>
        <v>145</v>
      </c>
      <c r="F10" s="84">
        <f>COUNTIFS('RT 05'!$F$8:$F$152,"KK",'RT 05'!$H$8:$H$152,"L")</f>
        <v>30</v>
      </c>
      <c r="G10" s="82">
        <f>COUNTIFS('RT 05'!$F$8:$F$152,"KK",'RT 05'!$H$8:$H$152,"P")</f>
        <v>10</v>
      </c>
      <c r="H10" s="85">
        <f t="shared" si="5"/>
        <v>40</v>
      </c>
      <c r="I10" s="81">
        <f>COUNTIFS('RT 05'!$I$8:$I$152,"Cerai Mati",'RT 05'!$H$8:$H$152,"L")+COUNTIFS('RT 05'!$I$8:$I$152,"Cerai Hidup",'RT 05'!$H$8:$H$152,"L")+COUNTIFS('RT 05'!$I$8:$I$152,"Duda",'RT 05'!$H$8:$H$152,"L")</f>
        <v>1</v>
      </c>
      <c r="J10" s="82">
        <f>COUNTIFS('RT 05'!$I$8:$I$152,"Cerai Mati",'RT 05'!$H$8:$H$152,"P")+COUNTIFS('RT 05'!$I$8:$I$152,"Cerai Hidup",'RT 05'!$H$8:$H$152,"P")+COUNTIFS('RT 05'!$I$8:$I$152,"Janda",'RT 05'!$H$8:$H$152,"P")</f>
        <v>11</v>
      </c>
      <c r="K10" s="83">
        <f t="shared" si="6"/>
        <v>12</v>
      </c>
      <c r="L10" s="84">
        <v>5</v>
      </c>
      <c r="M10" s="82">
        <v>7</v>
      </c>
      <c r="N10" s="83">
        <f t="shared" si="7"/>
        <v>12</v>
      </c>
    </row>
    <row r="11" spans="2:15" ht="16.5" thickBot="1" x14ac:dyDescent="0.3">
      <c r="B11" s="86" t="s">
        <v>2498</v>
      </c>
      <c r="C11" s="87">
        <f>SUM(C6:C10)</f>
        <v>549</v>
      </c>
      <c r="D11" s="88">
        <f t="shared" ref="D11:N11" si="8">SUM(D6:D10)</f>
        <v>562</v>
      </c>
      <c r="E11" s="89">
        <f t="shared" si="8"/>
        <v>1111</v>
      </c>
      <c r="F11" s="90">
        <f t="shared" si="8"/>
        <v>242</v>
      </c>
      <c r="G11" s="88">
        <f t="shared" si="8"/>
        <v>68</v>
      </c>
      <c r="H11" s="91">
        <f t="shared" si="8"/>
        <v>310</v>
      </c>
      <c r="I11" s="87">
        <f t="shared" si="8"/>
        <v>11</v>
      </c>
      <c r="J11" s="88">
        <f t="shared" si="8"/>
        <v>73</v>
      </c>
      <c r="K11" s="89">
        <f t="shared" si="8"/>
        <v>84</v>
      </c>
      <c r="L11" s="90">
        <f t="shared" si="8"/>
        <v>47</v>
      </c>
      <c r="M11" s="88">
        <f t="shared" si="8"/>
        <v>58</v>
      </c>
      <c r="N11" s="89">
        <f t="shared" si="8"/>
        <v>105</v>
      </c>
    </row>
    <row r="15" spans="2:15" s="64" customFormat="1" x14ac:dyDescent="0.25">
      <c r="C15" s="146" t="s">
        <v>2509</v>
      </c>
      <c r="D15" s="146"/>
      <c r="E15" s="146"/>
      <c r="F15" s="65"/>
      <c r="G15" s="65"/>
      <c r="H15" s="65"/>
      <c r="I15" s="65"/>
      <c r="J15" s="65"/>
      <c r="K15" s="146"/>
      <c r="L15" s="146"/>
      <c r="M15" s="65"/>
      <c r="N15" s="65"/>
    </row>
    <row r="16" spans="2:15" s="64" customFormat="1" x14ac:dyDescent="0.25">
      <c r="C16" s="146" t="s">
        <v>2510</v>
      </c>
      <c r="D16" s="146"/>
      <c r="E16" s="146"/>
      <c r="F16" s="65"/>
      <c r="G16" s="65"/>
      <c r="H16" s="65"/>
      <c r="I16" s="65"/>
      <c r="J16" s="65"/>
      <c r="K16" s="146" t="s">
        <v>2511</v>
      </c>
      <c r="L16" s="146"/>
      <c r="M16" s="65"/>
      <c r="N16" s="65"/>
    </row>
    <row r="17" spans="3:14" s="64" customFormat="1" x14ac:dyDescent="0.25">
      <c r="C17" s="65"/>
      <c r="E17" s="65"/>
      <c r="F17" s="65"/>
      <c r="G17" s="65"/>
      <c r="H17" s="65"/>
      <c r="I17" s="65"/>
      <c r="J17" s="65"/>
      <c r="L17" s="65"/>
      <c r="M17" s="65"/>
      <c r="N17" s="65"/>
    </row>
    <row r="18" spans="3:14" s="64" customFormat="1" x14ac:dyDescent="0.25">
      <c r="C18" s="65"/>
      <c r="E18" s="65"/>
      <c r="F18" s="65"/>
      <c r="G18" s="65"/>
      <c r="H18" s="65"/>
      <c r="I18" s="65"/>
      <c r="J18" s="65"/>
      <c r="L18" s="65"/>
      <c r="M18" s="65"/>
      <c r="N18" s="65"/>
    </row>
    <row r="19" spans="3:14" s="64" customFormat="1" x14ac:dyDescent="0.25">
      <c r="C19" s="65"/>
      <c r="E19" s="65"/>
      <c r="F19" s="65"/>
      <c r="G19" s="65"/>
      <c r="H19" s="65"/>
      <c r="I19" s="65"/>
      <c r="J19" s="65"/>
      <c r="L19" s="65"/>
      <c r="M19" s="65"/>
      <c r="N19" s="65"/>
    </row>
    <row r="20" spans="3:14" s="64" customFormat="1" x14ac:dyDescent="0.25">
      <c r="C20" s="145" t="s">
        <v>2512</v>
      </c>
      <c r="D20" s="145"/>
      <c r="E20" s="145"/>
      <c r="F20" s="65"/>
      <c r="G20" s="65"/>
      <c r="H20" s="65"/>
      <c r="I20" s="65"/>
      <c r="J20" s="65"/>
      <c r="K20" s="145" t="s">
        <v>946</v>
      </c>
      <c r="L20" s="145"/>
      <c r="M20" s="65"/>
      <c r="N20" s="65"/>
    </row>
    <row r="21" spans="3:14" s="64" customFormat="1" x14ac:dyDescent="0.25">
      <c r="C21" s="145" t="s">
        <v>2513</v>
      </c>
      <c r="D21" s="145"/>
      <c r="E21" s="145"/>
      <c r="F21" s="65"/>
      <c r="G21" s="65"/>
      <c r="H21" s="65"/>
      <c r="I21" s="65"/>
      <c r="J21" s="65"/>
      <c r="K21" s="145"/>
      <c r="L21" s="145"/>
      <c r="M21" s="65"/>
      <c r="N21" s="65"/>
    </row>
  </sheetData>
  <mergeCells count="19">
    <mergeCell ref="C21:E21"/>
    <mergeCell ref="K21:L21"/>
    <mergeCell ref="C15:E15"/>
    <mergeCell ref="K15:L15"/>
    <mergeCell ref="C16:E16"/>
    <mergeCell ref="K16:L16"/>
    <mergeCell ref="C20:E20"/>
    <mergeCell ref="K20:L20"/>
    <mergeCell ref="F4:G4"/>
    <mergeCell ref="H4:H5"/>
    <mergeCell ref="I4:J4"/>
    <mergeCell ref="B2:N2"/>
    <mergeCell ref="B3:N3"/>
    <mergeCell ref="K4:K5"/>
    <mergeCell ref="L4:M4"/>
    <mergeCell ref="N4:N5"/>
    <mergeCell ref="B4:B5"/>
    <mergeCell ref="C4:D4"/>
    <mergeCell ref="E4:E5"/>
  </mergeCells>
  <printOptions horizontalCentered="1" verticalCentered="1"/>
  <pageMargins left="1.37795275590551" right="0.39370078740157499" top="0.78740157480314998" bottom="0.78740157480314998" header="0.31496062992126" footer="0.31496062992126"/>
  <pageSetup paperSize="10000" scale="10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337"/>
  <sheetViews>
    <sheetView zoomScaleNormal="100" zoomScaleSheetLayoutView="112" workbookViewId="0">
      <selection activeCell="L22" sqref="L22"/>
    </sheetView>
  </sheetViews>
  <sheetFormatPr defaultRowHeight="12.75" x14ac:dyDescent="0.2"/>
  <cols>
    <col min="1" max="1" width="9.140625" style="51"/>
    <col min="2" max="2" width="3.7109375" style="51" customWidth="1"/>
    <col min="3" max="3" width="15.7109375" style="51" customWidth="1"/>
    <col min="4" max="4" width="6.7109375" style="51" customWidth="1"/>
    <col min="5" max="5" width="12.7109375" style="100" customWidth="1"/>
    <col min="6" max="6" width="9.7109375" style="51" customWidth="1"/>
    <col min="7" max="7" width="15.7109375" style="51" customWidth="1"/>
    <col min="8" max="8" width="7.7109375" style="51" customWidth="1"/>
    <col min="9" max="9" width="10.7109375" style="51" customWidth="1"/>
    <col min="10" max="10" width="13.7109375" style="100" customWidth="1"/>
    <col min="11" max="11" width="15.7109375" style="101" customWidth="1"/>
    <col min="12" max="12" width="6" style="51" customWidth="1"/>
    <col min="13" max="13" width="4.42578125" style="119" customWidth="1"/>
    <col min="14" max="14" width="6.42578125" style="51" customWidth="1"/>
    <col min="15" max="15" width="5" style="51" customWidth="1"/>
    <col min="16" max="16" width="16.7109375" style="102" customWidth="1"/>
    <col min="17" max="17" width="10.5703125" style="51" bestFit="1" customWidth="1"/>
    <col min="18" max="18" width="15.7109375" style="102" customWidth="1"/>
    <col min="19" max="21" width="9.140625" style="52"/>
    <col min="22" max="22" width="1.5703125" style="52" bestFit="1" customWidth="1"/>
    <col min="23" max="46" width="9.140625" style="52"/>
    <col min="47" max="16384" width="9.140625" style="51"/>
  </cols>
  <sheetData>
    <row r="1" spans="2:46" s="63" customFormat="1" ht="15.75" x14ac:dyDescent="0.25">
      <c r="B1" s="164" t="s">
        <v>2500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5"/>
      <c r="N1" s="164"/>
      <c r="O1" s="164"/>
      <c r="P1" s="164"/>
      <c r="Q1" s="164"/>
      <c r="R1" s="164"/>
    </row>
    <row r="2" spans="2:46" s="63" customFormat="1" ht="15.75" x14ac:dyDescent="0.25">
      <c r="B2" s="164" t="s">
        <v>2501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5"/>
      <c r="N2" s="164"/>
      <c r="O2" s="164"/>
      <c r="P2" s="164"/>
      <c r="Q2" s="164"/>
      <c r="R2" s="164"/>
    </row>
    <row r="3" spans="2:46" s="63" customFormat="1" ht="15.75" x14ac:dyDescent="0.25">
      <c r="B3" s="115" t="s">
        <v>2503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118"/>
      <c r="N3" s="94"/>
      <c r="O3" s="94"/>
      <c r="P3" s="94"/>
      <c r="Q3" s="94"/>
      <c r="R3" s="94"/>
    </row>
    <row r="4" spans="2:46" ht="15.75" x14ac:dyDescent="0.2">
      <c r="B4" s="115" t="s">
        <v>2505</v>
      </c>
    </row>
    <row r="5" spans="2:46" ht="20.100000000000001" customHeight="1" x14ac:dyDescent="0.2">
      <c r="B5" s="160" t="s">
        <v>348</v>
      </c>
      <c r="C5" s="161" t="s">
        <v>1608</v>
      </c>
      <c r="D5" s="162" t="s">
        <v>1609</v>
      </c>
      <c r="E5" s="159" t="s">
        <v>2502</v>
      </c>
      <c r="F5" s="162" t="s">
        <v>356</v>
      </c>
      <c r="G5" s="161" t="s">
        <v>357</v>
      </c>
      <c r="H5" s="162" t="s">
        <v>350</v>
      </c>
      <c r="I5" s="162" t="s">
        <v>351</v>
      </c>
      <c r="J5" s="160" t="s">
        <v>1610</v>
      </c>
      <c r="K5" s="160"/>
      <c r="L5" s="160"/>
      <c r="M5" s="161" t="s">
        <v>1611</v>
      </c>
      <c r="N5" s="160" t="s">
        <v>353</v>
      </c>
      <c r="O5" s="160" t="s">
        <v>1612</v>
      </c>
      <c r="P5" s="159" t="s">
        <v>354</v>
      </c>
      <c r="Q5" s="160" t="s">
        <v>1613</v>
      </c>
      <c r="R5" s="159" t="s">
        <v>355</v>
      </c>
    </row>
    <row r="6" spans="2:46" ht="20.100000000000001" customHeight="1" x14ac:dyDescent="0.2">
      <c r="B6" s="160"/>
      <c r="C6" s="161"/>
      <c r="D6" s="163"/>
      <c r="E6" s="159"/>
      <c r="F6" s="163"/>
      <c r="G6" s="161"/>
      <c r="H6" s="163"/>
      <c r="I6" s="163"/>
      <c r="J6" s="103" t="s">
        <v>1615</v>
      </c>
      <c r="K6" s="104" t="s">
        <v>1616</v>
      </c>
      <c r="L6" s="105" t="s">
        <v>1617</v>
      </c>
      <c r="M6" s="161"/>
      <c r="N6" s="160"/>
      <c r="O6" s="160"/>
      <c r="P6" s="159"/>
      <c r="Q6" s="160"/>
      <c r="R6" s="159"/>
    </row>
    <row r="7" spans="2:46" x14ac:dyDescent="0.2">
      <c r="B7" s="106"/>
      <c r="C7" s="107"/>
      <c r="D7" s="106"/>
      <c r="E7" s="103"/>
      <c r="F7" s="107"/>
      <c r="G7" s="106"/>
      <c r="H7" s="106"/>
      <c r="I7" s="107"/>
      <c r="J7" s="103"/>
      <c r="K7" s="104"/>
      <c r="L7" s="107"/>
      <c r="M7" s="107"/>
      <c r="N7" s="106"/>
      <c r="O7" s="107"/>
      <c r="P7" s="103"/>
      <c r="Q7" s="106"/>
      <c r="R7" s="108"/>
    </row>
    <row r="8" spans="2:46" x14ac:dyDescent="0.2">
      <c r="B8" s="151">
        <v>1</v>
      </c>
      <c r="C8" s="155" t="s">
        <v>1920</v>
      </c>
      <c r="D8" s="92">
        <v>1</v>
      </c>
      <c r="E8" s="19" t="s">
        <v>1167</v>
      </c>
      <c r="F8" s="92" t="s">
        <v>7</v>
      </c>
      <c r="G8" s="95" t="s">
        <v>1921</v>
      </c>
      <c r="H8" s="92" t="s">
        <v>1</v>
      </c>
      <c r="I8" s="92" t="s">
        <v>2</v>
      </c>
      <c r="J8" s="19" t="s">
        <v>1925</v>
      </c>
      <c r="K8" s="58">
        <v>23986</v>
      </c>
      <c r="L8" s="59">
        <v>1965</v>
      </c>
      <c r="M8" s="95">
        <f xml:space="preserve"> 2019-1965</f>
        <v>54</v>
      </c>
      <c r="N8" s="92" t="s">
        <v>3</v>
      </c>
      <c r="O8" s="92" t="s">
        <v>1632</v>
      </c>
      <c r="P8" s="19" t="s">
        <v>1677</v>
      </c>
      <c r="Q8" s="92"/>
      <c r="R8" s="19" t="s">
        <v>39</v>
      </c>
    </row>
    <row r="9" spans="2:46" ht="25.5" x14ac:dyDescent="0.2">
      <c r="B9" s="151"/>
      <c r="C9" s="155"/>
      <c r="D9" s="92">
        <v>2</v>
      </c>
      <c r="E9" s="19" t="s">
        <v>1168</v>
      </c>
      <c r="F9" s="92" t="s">
        <v>12</v>
      </c>
      <c r="G9" s="95" t="s">
        <v>1922</v>
      </c>
      <c r="H9" s="92" t="s">
        <v>10</v>
      </c>
      <c r="I9" s="92" t="s">
        <v>2</v>
      </c>
      <c r="J9" s="19" t="s">
        <v>1926</v>
      </c>
      <c r="K9" s="58">
        <v>23930</v>
      </c>
      <c r="L9" s="59">
        <v>1965</v>
      </c>
      <c r="M9" s="95">
        <f>2019-1965</f>
        <v>54</v>
      </c>
      <c r="N9" s="92" t="s">
        <v>3</v>
      </c>
      <c r="O9" s="92" t="s">
        <v>1632</v>
      </c>
      <c r="P9" s="19" t="s">
        <v>1677</v>
      </c>
      <c r="Q9" s="92"/>
      <c r="R9" s="19" t="s">
        <v>39</v>
      </c>
    </row>
    <row r="10" spans="2:46" ht="25.5" x14ac:dyDescent="0.2">
      <c r="B10" s="151"/>
      <c r="C10" s="155"/>
      <c r="D10" s="92">
        <v>3</v>
      </c>
      <c r="E10" s="19" t="s">
        <v>1169</v>
      </c>
      <c r="F10" s="92" t="s">
        <v>18</v>
      </c>
      <c r="G10" s="95" t="s">
        <v>1923</v>
      </c>
      <c r="H10" s="92" t="s">
        <v>1</v>
      </c>
      <c r="I10" s="92" t="s">
        <v>15</v>
      </c>
      <c r="J10" s="19" t="s">
        <v>1631</v>
      </c>
      <c r="K10" s="58">
        <v>32344</v>
      </c>
      <c r="L10" s="59">
        <v>1988</v>
      </c>
      <c r="M10" s="95">
        <f>2019-1988</f>
        <v>31</v>
      </c>
      <c r="N10" s="92" t="s">
        <v>3</v>
      </c>
      <c r="O10" s="92" t="s">
        <v>1632</v>
      </c>
      <c r="P10" s="19" t="s">
        <v>1677</v>
      </c>
      <c r="Q10" s="92"/>
      <c r="R10" s="19" t="s">
        <v>39</v>
      </c>
    </row>
    <row r="11" spans="2:46" ht="25.5" x14ac:dyDescent="0.2">
      <c r="B11" s="151"/>
      <c r="C11" s="155"/>
      <c r="D11" s="92">
        <v>4</v>
      </c>
      <c r="E11" s="19" t="s">
        <v>501</v>
      </c>
      <c r="F11" s="92" t="s">
        <v>24</v>
      </c>
      <c r="G11" s="95" t="s">
        <v>1924</v>
      </c>
      <c r="H11" s="92" t="s">
        <v>1</v>
      </c>
      <c r="I11" s="92" t="s">
        <v>15</v>
      </c>
      <c r="J11" s="19" t="s">
        <v>1631</v>
      </c>
      <c r="K11" s="58">
        <v>28590</v>
      </c>
      <c r="L11" s="59">
        <v>1978</v>
      </c>
      <c r="M11" s="95">
        <f>2019-1978</f>
        <v>41</v>
      </c>
      <c r="N11" s="92" t="s">
        <v>3</v>
      </c>
      <c r="O11" s="92" t="s">
        <v>1632</v>
      </c>
      <c r="P11" s="19" t="s">
        <v>1677</v>
      </c>
      <c r="Q11" s="92"/>
      <c r="R11" s="19" t="s">
        <v>39</v>
      </c>
    </row>
    <row r="12" spans="2:46" x14ac:dyDescent="0.2">
      <c r="B12" s="151">
        <v>2</v>
      </c>
      <c r="C12" s="155">
        <v>5201011506120010</v>
      </c>
      <c r="D12" s="92">
        <v>5</v>
      </c>
      <c r="E12" s="19" t="s">
        <v>1171</v>
      </c>
      <c r="F12" s="92" t="s">
        <v>7</v>
      </c>
      <c r="G12" s="95" t="s">
        <v>1620</v>
      </c>
      <c r="H12" s="92" t="s">
        <v>1</v>
      </c>
      <c r="I12" s="92" t="s">
        <v>2</v>
      </c>
      <c r="J12" s="19" t="s">
        <v>1621</v>
      </c>
      <c r="K12" s="58">
        <v>43686</v>
      </c>
      <c r="L12" s="59">
        <v>1970</v>
      </c>
      <c r="M12" s="95">
        <f>2019-L12</f>
        <v>49</v>
      </c>
      <c r="N12" s="92" t="s">
        <v>3</v>
      </c>
      <c r="O12" s="92" t="s">
        <v>1632</v>
      </c>
      <c r="P12" s="19" t="s">
        <v>27</v>
      </c>
      <c r="Q12" s="92"/>
      <c r="R12" s="19" t="s">
        <v>39</v>
      </c>
    </row>
    <row r="13" spans="2:46" x14ac:dyDescent="0.2">
      <c r="B13" s="151"/>
      <c r="C13" s="155"/>
      <c r="D13" s="92">
        <v>6</v>
      </c>
      <c r="E13" s="19" t="s">
        <v>1172</v>
      </c>
      <c r="F13" s="92" t="s">
        <v>12</v>
      </c>
      <c r="G13" s="95" t="s">
        <v>1622</v>
      </c>
      <c r="H13" s="92" t="s">
        <v>49</v>
      </c>
      <c r="I13" s="92" t="s">
        <v>2</v>
      </c>
      <c r="J13" s="19" t="s">
        <v>1623</v>
      </c>
      <c r="K13" s="58">
        <v>25679</v>
      </c>
      <c r="L13" s="59">
        <v>1970</v>
      </c>
      <c r="M13" s="95">
        <f>2019-L13</f>
        <v>49</v>
      </c>
      <c r="N13" s="92" t="s">
        <v>3</v>
      </c>
      <c r="O13" s="92" t="s">
        <v>1632</v>
      </c>
      <c r="P13" s="19" t="s">
        <v>27</v>
      </c>
      <c r="Q13" s="92"/>
      <c r="R13" s="19" t="s">
        <v>43</v>
      </c>
    </row>
    <row r="14" spans="2:46" ht="25.5" x14ac:dyDescent="0.2">
      <c r="B14" s="151"/>
      <c r="C14" s="155"/>
      <c r="D14" s="92">
        <v>7</v>
      </c>
      <c r="E14" s="19" t="s">
        <v>1173</v>
      </c>
      <c r="F14" s="92" t="s">
        <v>18</v>
      </c>
      <c r="G14" s="95" t="s">
        <v>1624</v>
      </c>
      <c r="H14" s="92" t="s">
        <v>1</v>
      </c>
      <c r="I14" s="92" t="s">
        <v>15</v>
      </c>
      <c r="J14" s="19" t="s">
        <v>1621</v>
      </c>
      <c r="K14" s="58">
        <v>34764</v>
      </c>
      <c r="L14" s="59">
        <v>1995</v>
      </c>
      <c r="M14" s="95">
        <f>2019-L14</f>
        <v>24</v>
      </c>
      <c r="N14" s="92" t="s">
        <v>3</v>
      </c>
      <c r="O14" s="92" t="s">
        <v>1632</v>
      </c>
      <c r="P14" s="19" t="s">
        <v>27</v>
      </c>
      <c r="Q14" s="92"/>
      <c r="R14" s="19" t="s">
        <v>1625</v>
      </c>
    </row>
    <row r="15" spans="2:46" s="53" customFormat="1" ht="25.5" x14ac:dyDescent="0.2">
      <c r="B15" s="151"/>
      <c r="C15" s="155"/>
      <c r="D15" s="92">
        <v>8</v>
      </c>
      <c r="E15" s="19" t="s">
        <v>1626</v>
      </c>
      <c r="F15" s="92" t="s">
        <v>18</v>
      </c>
      <c r="G15" s="95" t="s">
        <v>1627</v>
      </c>
      <c r="H15" s="92" t="s">
        <v>1</v>
      </c>
      <c r="I15" s="92" t="s">
        <v>15</v>
      </c>
      <c r="J15" s="19" t="s">
        <v>1623</v>
      </c>
      <c r="K15" s="58">
        <v>36194</v>
      </c>
      <c r="L15" s="59">
        <v>1999</v>
      </c>
      <c r="M15" s="95">
        <f>2019-L15</f>
        <v>20</v>
      </c>
      <c r="N15" s="92" t="s">
        <v>3</v>
      </c>
      <c r="O15" s="92" t="s">
        <v>1632</v>
      </c>
      <c r="P15" s="19" t="s">
        <v>35</v>
      </c>
      <c r="Q15" s="92"/>
      <c r="R15" s="19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</row>
    <row r="16" spans="2:46" ht="25.5" x14ac:dyDescent="0.2">
      <c r="B16" s="151"/>
      <c r="C16" s="155"/>
      <c r="D16" s="92">
        <v>9</v>
      </c>
      <c r="E16" s="19" t="s">
        <v>1628</v>
      </c>
      <c r="F16" s="92" t="s">
        <v>18</v>
      </c>
      <c r="G16" s="95" t="s">
        <v>1629</v>
      </c>
      <c r="H16" s="92" t="s">
        <v>10</v>
      </c>
      <c r="I16" s="92" t="s">
        <v>15</v>
      </c>
      <c r="J16" s="19" t="s">
        <v>1621</v>
      </c>
      <c r="K16" s="58">
        <v>38621</v>
      </c>
      <c r="L16" s="59">
        <v>2005</v>
      </c>
      <c r="M16" s="95">
        <f>2019-L16</f>
        <v>14</v>
      </c>
      <c r="N16" s="92" t="s">
        <v>3</v>
      </c>
      <c r="O16" s="92" t="s">
        <v>1632</v>
      </c>
      <c r="P16" s="19"/>
      <c r="Q16" s="92"/>
      <c r="R16" s="19" t="s">
        <v>16</v>
      </c>
    </row>
    <row r="17" spans="2:18" ht="25.5" x14ac:dyDescent="0.2">
      <c r="B17" s="151">
        <v>3</v>
      </c>
      <c r="C17" s="155" t="s">
        <v>1852</v>
      </c>
      <c r="D17" s="92">
        <v>10</v>
      </c>
      <c r="E17" s="19" t="s">
        <v>1174</v>
      </c>
      <c r="F17" s="92" t="s">
        <v>7</v>
      </c>
      <c r="G17" s="95" t="s">
        <v>1853</v>
      </c>
      <c r="H17" s="92" t="s">
        <v>1</v>
      </c>
      <c r="I17" s="92" t="s">
        <v>2</v>
      </c>
      <c r="J17" s="19" t="s">
        <v>1631</v>
      </c>
      <c r="K17" s="58">
        <v>23908</v>
      </c>
      <c r="L17" s="59">
        <v>1965</v>
      </c>
      <c r="M17" s="95">
        <f>2019-1965</f>
        <v>54</v>
      </c>
      <c r="N17" s="92" t="s">
        <v>3</v>
      </c>
      <c r="O17" s="92" t="s">
        <v>1632</v>
      </c>
      <c r="P17" s="19" t="s">
        <v>1732</v>
      </c>
      <c r="Q17" s="92"/>
      <c r="R17" s="19" t="s">
        <v>43</v>
      </c>
    </row>
    <row r="18" spans="2:18" ht="25.5" x14ac:dyDescent="0.2">
      <c r="B18" s="151"/>
      <c r="C18" s="155"/>
      <c r="D18" s="92">
        <v>11</v>
      </c>
      <c r="E18" s="19" t="s">
        <v>1117</v>
      </c>
      <c r="F18" s="92" t="s">
        <v>12</v>
      </c>
      <c r="G18" s="95" t="s">
        <v>1854</v>
      </c>
      <c r="H18" s="92" t="s">
        <v>10</v>
      </c>
      <c r="I18" s="92" t="s">
        <v>2</v>
      </c>
      <c r="J18" s="19" t="s">
        <v>1631</v>
      </c>
      <c r="K18" s="58">
        <v>24386</v>
      </c>
      <c r="L18" s="59">
        <v>1966</v>
      </c>
      <c r="M18" s="95">
        <f>2019-1966</f>
        <v>53</v>
      </c>
      <c r="N18" s="92" t="s">
        <v>3</v>
      </c>
      <c r="O18" s="92" t="s">
        <v>1632</v>
      </c>
      <c r="P18" s="19" t="s">
        <v>1733</v>
      </c>
      <c r="Q18" s="92"/>
      <c r="R18" s="19" t="s">
        <v>43</v>
      </c>
    </row>
    <row r="19" spans="2:18" ht="25.5" x14ac:dyDescent="0.2">
      <c r="B19" s="151"/>
      <c r="C19" s="155"/>
      <c r="D19" s="92">
        <v>12</v>
      </c>
      <c r="E19" s="19" t="s">
        <v>1178</v>
      </c>
      <c r="F19" s="92" t="s">
        <v>18</v>
      </c>
      <c r="G19" s="95" t="s">
        <v>1855</v>
      </c>
      <c r="H19" s="92" t="s">
        <v>1</v>
      </c>
      <c r="I19" s="92" t="s">
        <v>15</v>
      </c>
      <c r="J19" s="19" t="s">
        <v>1631</v>
      </c>
      <c r="K19" s="58">
        <v>32597</v>
      </c>
      <c r="L19" s="59">
        <v>1989</v>
      </c>
      <c r="M19" s="95">
        <f>2019-1989</f>
        <v>30</v>
      </c>
      <c r="N19" s="92" t="s">
        <v>3</v>
      </c>
      <c r="O19" s="92" t="s">
        <v>1632</v>
      </c>
      <c r="P19" s="19" t="s">
        <v>1677</v>
      </c>
      <c r="Q19" s="92"/>
      <c r="R19" s="19" t="s">
        <v>39</v>
      </c>
    </row>
    <row r="20" spans="2:18" ht="25.5" x14ac:dyDescent="0.2">
      <c r="B20" s="151"/>
      <c r="C20" s="155"/>
      <c r="D20" s="92">
        <v>13</v>
      </c>
      <c r="E20" s="19" t="s">
        <v>1179</v>
      </c>
      <c r="F20" s="92" t="s">
        <v>18</v>
      </c>
      <c r="G20" s="95" t="s">
        <v>1856</v>
      </c>
      <c r="H20" s="92" t="s">
        <v>1</v>
      </c>
      <c r="I20" s="92" t="s">
        <v>15</v>
      </c>
      <c r="J20" s="19" t="s">
        <v>1631</v>
      </c>
      <c r="K20" s="58">
        <v>36246</v>
      </c>
      <c r="L20" s="59">
        <v>1999</v>
      </c>
      <c r="M20" s="95">
        <f>2019-1999</f>
        <v>20</v>
      </c>
      <c r="N20" s="92" t="s">
        <v>3</v>
      </c>
      <c r="O20" s="92" t="s">
        <v>1632</v>
      </c>
      <c r="P20" s="19" t="s">
        <v>1641</v>
      </c>
      <c r="Q20" s="92"/>
      <c r="R20" s="19" t="s">
        <v>1625</v>
      </c>
    </row>
    <row r="21" spans="2:18" ht="25.5" x14ac:dyDescent="0.2">
      <c r="B21" s="151"/>
      <c r="C21" s="155"/>
      <c r="D21" s="92">
        <v>14</v>
      </c>
      <c r="E21" s="19" t="s">
        <v>1180</v>
      </c>
      <c r="F21" s="92" t="s">
        <v>1974</v>
      </c>
      <c r="G21" s="95" t="s">
        <v>1181</v>
      </c>
      <c r="H21" s="92" t="s">
        <v>10</v>
      </c>
      <c r="I21" s="92" t="s">
        <v>15</v>
      </c>
      <c r="J21" s="19" t="s">
        <v>1623</v>
      </c>
      <c r="K21" s="58">
        <v>38995</v>
      </c>
      <c r="L21" s="59">
        <v>2006</v>
      </c>
      <c r="M21" s="95">
        <f>2019-2006</f>
        <v>13</v>
      </c>
      <c r="N21" s="92" t="s">
        <v>3</v>
      </c>
      <c r="O21" s="92" t="s">
        <v>1632</v>
      </c>
      <c r="P21" s="19" t="s">
        <v>1635</v>
      </c>
      <c r="Q21" s="92"/>
      <c r="R21" s="19" t="s">
        <v>1625</v>
      </c>
    </row>
    <row r="22" spans="2:18" ht="25.5" x14ac:dyDescent="0.2">
      <c r="B22" s="151">
        <v>4</v>
      </c>
      <c r="C22" s="155" t="s">
        <v>2186</v>
      </c>
      <c r="D22" s="92">
        <v>15</v>
      </c>
      <c r="E22" s="19" t="s">
        <v>1182</v>
      </c>
      <c r="F22" s="92" t="s">
        <v>7</v>
      </c>
      <c r="G22" s="95" t="s">
        <v>2188</v>
      </c>
      <c r="H22" s="92" t="s">
        <v>1</v>
      </c>
      <c r="I22" s="92" t="s">
        <v>2</v>
      </c>
      <c r="J22" s="19" t="s">
        <v>1631</v>
      </c>
      <c r="K22" s="58">
        <v>28345</v>
      </c>
      <c r="L22" s="59">
        <v>1977</v>
      </c>
      <c r="M22" s="95">
        <f>2019-1977</f>
        <v>42</v>
      </c>
      <c r="N22" s="92" t="s">
        <v>3</v>
      </c>
      <c r="O22" s="92" t="s">
        <v>1632</v>
      </c>
      <c r="P22" s="19" t="s">
        <v>1635</v>
      </c>
      <c r="Q22" s="92"/>
      <c r="R22" s="19" t="s">
        <v>39</v>
      </c>
    </row>
    <row r="23" spans="2:18" x14ac:dyDescent="0.2">
      <c r="B23" s="151"/>
      <c r="C23" s="155"/>
      <c r="D23" s="92">
        <v>16</v>
      </c>
      <c r="E23" s="19" t="s">
        <v>1183</v>
      </c>
      <c r="F23" s="92" t="s">
        <v>12</v>
      </c>
      <c r="G23" s="95" t="s">
        <v>1184</v>
      </c>
      <c r="H23" s="92" t="s">
        <v>10</v>
      </c>
      <c r="I23" s="92" t="s">
        <v>2</v>
      </c>
      <c r="J23" s="19" t="s">
        <v>1623</v>
      </c>
      <c r="K23" s="58">
        <v>29586</v>
      </c>
      <c r="L23" s="59">
        <v>1980</v>
      </c>
      <c r="M23" s="95">
        <f>2019-1980</f>
        <v>39</v>
      </c>
      <c r="N23" s="92" t="s">
        <v>3</v>
      </c>
      <c r="O23" s="92" t="s">
        <v>1632</v>
      </c>
      <c r="P23" s="19" t="s">
        <v>1677</v>
      </c>
      <c r="Q23" s="92"/>
      <c r="R23" s="19" t="s">
        <v>39</v>
      </c>
    </row>
    <row r="24" spans="2:18" ht="25.5" x14ac:dyDescent="0.2">
      <c r="B24" s="151"/>
      <c r="C24" s="155"/>
      <c r="D24" s="92">
        <v>17</v>
      </c>
      <c r="E24" s="19" t="s">
        <v>1185</v>
      </c>
      <c r="F24" s="92" t="s">
        <v>18</v>
      </c>
      <c r="G24" s="95" t="s">
        <v>1186</v>
      </c>
      <c r="H24" s="92" t="s">
        <v>1</v>
      </c>
      <c r="I24" s="92" t="s">
        <v>15</v>
      </c>
      <c r="J24" s="19" t="s">
        <v>1623</v>
      </c>
      <c r="K24" s="58">
        <v>39062</v>
      </c>
      <c r="L24" s="59">
        <v>2006</v>
      </c>
      <c r="M24" s="95">
        <f>2019-2006</f>
        <v>13</v>
      </c>
      <c r="N24" s="92" t="s">
        <v>3</v>
      </c>
      <c r="O24" s="92" t="s">
        <v>1632</v>
      </c>
      <c r="P24" s="19" t="s">
        <v>1756</v>
      </c>
      <c r="Q24" s="92"/>
      <c r="R24" s="19" t="s">
        <v>1638</v>
      </c>
    </row>
    <row r="25" spans="2:18" ht="25.5" x14ac:dyDescent="0.2">
      <c r="B25" s="151"/>
      <c r="C25" s="155"/>
      <c r="D25" s="92">
        <v>18</v>
      </c>
      <c r="E25" s="19" t="s">
        <v>1187</v>
      </c>
      <c r="F25" s="92" t="s">
        <v>18</v>
      </c>
      <c r="G25" s="95" t="s">
        <v>2189</v>
      </c>
      <c r="H25" s="92" t="s">
        <v>1</v>
      </c>
      <c r="I25" s="92" t="s">
        <v>15</v>
      </c>
      <c r="J25" s="19" t="s">
        <v>1623</v>
      </c>
      <c r="K25" s="58">
        <v>41221</v>
      </c>
      <c r="L25" s="59">
        <v>2012</v>
      </c>
      <c r="M25" s="95">
        <f>2019-2012</f>
        <v>7</v>
      </c>
      <c r="N25" s="92" t="s">
        <v>3</v>
      </c>
      <c r="O25" s="92" t="s">
        <v>1632</v>
      </c>
      <c r="P25" s="19" t="s">
        <v>1733</v>
      </c>
      <c r="Q25" s="92"/>
      <c r="R25" s="19" t="s">
        <v>1638</v>
      </c>
    </row>
    <row r="26" spans="2:18" ht="25.5" x14ac:dyDescent="0.2">
      <c r="B26" s="151"/>
      <c r="C26" s="155"/>
      <c r="D26" s="92">
        <v>19</v>
      </c>
      <c r="E26" s="19" t="s">
        <v>1188</v>
      </c>
      <c r="F26" s="92" t="s">
        <v>2187</v>
      </c>
      <c r="G26" s="95" t="s">
        <v>2190</v>
      </c>
      <c r="H26" s="92" t="s">
        <v>1</v>
      </c>
      <c r="I26" s="92" t="s">
        <v>2</v>
      </c>
      <c r="J26" s="19" t="s">
        <v>1631</v>
      </c>
      <c r="K26" s="58">
        <v>11480</v>
      </c>
      <c r="L26" s="59">
        <v>1931</v>
      </c>
      <c r="M26" s="95">
        <f>2019-1931</f>
        <v>88</v>
      </c>
      <c r="N26" s="92" t="s">
        <v>3</v>
      </c>
      <c r="O26" s="92" t="s">
        <v>1632</v>
      </c>
      <c r="P26" s="19" t="s">
        <v>2192</v>
      </c>
      <c r="Q26" s="92"/>
      <c r="R26" s="19" t="s">
        <v>1710</v>
      </c>
    </row>
    <row r="27" spans="2:18" ht="25.5" x14ac:dyDescent="0.2">
      <c r="B27" s="151"/>
      <c r="C27" s="155"/>
      <c r="D27" s="92">
        <v>20</v>
      </c>
      <c r="E27" s="19" t="s">
        <v>1189</v>
      </c>
      <c r="F27" s="92" t="s">
        <v>2187</v>
      </c>
      <c r="G27" s="95" t="s">
        <v>2191</v>
      </c>
      <c r="H27" s="92" t="s">
        <v>10</v>
      </c>
      <c r="I27" s="92" t="s">
        <v>2</v>
      </c>
      <c r="J27" s="19" t="s">
        <v>1631</v>
      </c>
      <c r="K27" s="58">
        <v>14777</v>
      </c>
      <c r="L27" s="59">
        <v>1940</v>
      </c>
      <c r="M27" s="95">
        <f>2019-1940</f>
        <v>79</v>
      </c>
      <c r="N27" s="92" t="s">
        <v>3</v>
      </c>
      <c r="O27" s="92" t="s">
        <v>1632</v>
      </c>
      <c r="P27" s="19" t="s">
        <v>1733</v>
      </c>
      <c r="Q27" s="92"/>
      <c r="R27" s="19" t="s">
        <v>1710</v>
      </c>
    </row>
    <row r="28" spans="2:18" ht="25.5" x14ac:dyDescent="0.2">
      <c r="B28" s="151">
        <v>5</v>
      </c>
      <c r="C28" s="155" t="s">
        <v>2053</v>
      </c>
      <c r="D28" s="92">
        <v>21</v>
      </c>
      <c r="E28" s="19" t="s">
        <v>301</v>
      </c>
      <c r="F28" s="92" t="s">
        <v>7</v>
      </c>
      <c r="G28" s="95" t="s">
        <v>2056</v>
      </c>
      <c r="H28" s="92" t="s">
        <v>1</v>
      </c>
      <c r="I28" s="92" t="s">
        <v>2</v>
      </c>
      <c r="J28" s="19" t="s">
        <v>1631</v>
      </c>
      <c r="K28" s="58">
        <v>18810</v>
      </c>
      <c r="L28" s="59">
        <v>1951</v>
      </c>
      <c r="M28" s="95">
        <f>2019-1958</f>
        <v>61</v>
      </c>
      <c r="N28" s="92" t="s">
        <v>3</v>
      </c>
      <c r="O28" s="92" t="s">
        <v>1632</v>
      </c>
      <c r="P28" s="19" t="s">
        <v>1732</v>
      </c>
      <c r="Q28" s="92"/>
      <c r="R28" s="19" t="s">
        <v>1893</v>
      </c>
    </row>
    <row r="29" spans="2:18" ht="25.5" x14ac:dyDescent="0.2">
      <c r="B29" s="151"/>
      <c r="C29" s="155"/>
      <c r="D29" s="92">
        <v>22</v>
      </c>
      <c r="E29" s="19" t="s">
        <v>2054</v>
      </c>
      <c r="F29" s="92" t="s">
        <v>12</v>
      </c>
      <c r="G29" s="95" t="s">
        <v>2057</v>
      </c>
      <c r="H29" s="92" t="s">
        <v>1</v>
      </c>
      <c r="I29" s="92" t="s">
        <v>2</v>
      </c>
      <c r="J29" s="19" t="s">
        <v>1631</v>
      </c>
      <c r="K29" s="58">
        <v>21550</v>
      </c>
      <c r="L29" s="59">
        <v>1958</v>
      </c>
      <c r="M29" s="95">
        <f>2019-1958</f>
        <v>61</v>
      </c>
      <c r="N29" s="92" t="s">
        <v>3</v>
      </c>
      <c r="O29" s="92" t="s">
        <v>1632</v>
      </c>
      <c r="P29" s="19" t="s">
        <v>1635</v>
      </c>
      <c r="Q29" s="92"/>
      <c r="R29" s="19" t="s">
        <v>1764</v>
      </c>
    </row>
    <row r="30" spans="2:18" ht="25.5" x14ac:dyDescent="0.2">
      <c r="B30" s="151"/>
      <c r="C30" s="155"/>
      <c r="D30" s="92">
        <v>23</v>
      </c>
      <c r="E30" s="19" t="s">
        <v>2055</v>
      </c>
      <c r="F30" s="92" t="s">
        <v>18</v>
      </c>
      <c r="G30" s="95" t="s">
        <v>2058</v>
      </c>
      <c r="H30" s="92" t="s">
        <v>1</v>
      </c>
      <c r="I30" s="92" t="s">
        <v>15</v>
      </c>
      <c r="J30" s="19" t="s">
        <v>1631</v>
      </c>
      <c r="K30" s="58">
        <v>32758</v>
      </c>
      <c r="L30" s="59">
        <v>1989</v>
      </c>
      <c r="M30" s="95">
        <f>2019-1989</f>
        <v>30</v>
      </c>
      <c r="N30" s="92" t="s">
        <v>3</v>
      </c>
      <c r="O30" s="92" t="s">
        <v>1632</v>
      </c>
      <c r="P30" s="19" t="s">
        <v>1677</v>
      </c>
      <c r="Q30" s="92"/>
      <c r="R30" s="19" t="s">
        <v>1625</v>
      </c>
    </row>
    <row r="31" spans="2:18" ht="25.5" x14ac:dyDescent="0.2">
      <c r="B31" s="151"/>
      <c r="C31" s="155"/>
      <c r="D31" s="92">
        <v>24</v>
      </c>
      <c r="E31" s="19" t="s">
        <v>1190</v>
      </c>
      <c r="F31" s="92" t="s">
        <v>18</v>
      </c>
      <c r="G31" s="95" t="s">
        <v>2059</v>
      </c>
      <c r="H31" s="92" t="s">
        <v>1</v>
      </c>
      <c r="I31" s="92" t="s">
        <v>15</v>
      </c>
      <c r="J31" s="19" t="s">
        <v>1631</v>
      </c>
      <c r="K31" s="58">
        <v>36791</v>
      </c>
      <c r="L31" s="59">
        <v>2000</v>
      </c>
      <c r="M31" s="95">
        <f>2019-2000</f>
        <v>19</v>
      </c>
      <c r="N31" s="92" t="s">
        <v>3</v>
      </c>
      <c r="O31" s="92" t="s">
        <v>1632</v>
      </c>
      <c r="P31" s="19" t="s">
        <v>1677</v>
      </c>
      <c r="Q31" s="92"/>
      <c r="R31" s="19" t="s">
        <v>1625</v>
      </c>
    </row>
    <row r="32" spans="2:18" ht="25.5" x14ac:dyDescent="0.2">
      <c r="B32" s="151">
        <v>6</v>
      </c>
      <c r="C32" s="151" t="s">
        <v>1630</v>
      </c>
      <c r="D32" s="92">
        <v>25</v>
      </c>
      <c r="E32" s="19" t="s">
        <v>1191</v>
      </c>
      <c r="F32" s="92" t="s">
        <v>7</v>
      </c>
      <c r="G32" s="95" t="s">
        <v>1192</v>
      </c>
      <c r="H32" s="92" t="s">
        <v>1</v>
      </c>
      <c r="I32" s="92" t="s">
        <v>2</v>
      </c>
      <c r="J32" s="19" t="s">
        <v>1631</v>
      </c>
      <c r="K32" s="58">
        <v>21277</v>
      </c>
      <c r="L32" s="59">
        <v>1958</v>
      </c>
      <c r="M32" s="95">
        <f>2019-L32</f>
        <v>61</v>
      </c>
      <c r="N32" s="92" t="s">
        <v>3</v>
      </c>
      <c r="O32" s="92" t="s">
        <v>1632</v>
      </c>
      <c r="P32" s="19" t="s">
        <v>46</v>
      </c>
      <c r="Q32" s="92"/>
      <c r="R32" s="19" t="s">
        <v>43</v>
      </c>
    </row>
    <row r="33" spans="2:18" ht="25.5" x14ac:dyDescent="0.2">
      <c r="B33" s="151"/>
      <c r="C33" s="151"/>
      <c r="D33" s="92">
        <v>26</v>
      </c>
      <c r="E33" s="19" t="s">
        <v>1193</v>
      </c>
      <c r="F33" s="92" t="s">
        <v>12</v>
      </c>
      <c r="G33" s="95" t="s">
        <v>1633</v>
      </c>
      <c r="H33" s="92" t="s">
        <v>10</v>
      </c>
      <c r="I33" s="92" t="s">
        <v>2</v>
      </c>
      <c r="J33" s="19" t="s">
        <v>1634</v>
      </c>
      <c r="K33" s="58">
        <v>23198</v>
      </c>
      <c r="L33" s="59">
        <v>1963</v>
      </c>
      <c r="M33" s="95">
        <f t="shared" ref="M33:M35" si="0">2019-L33</f>
        <v>56</v>
      </c>
      <c r="N33" s="92" t="s">
        <v>3</v>
      </c>
      <c r="O33" s="92" t="s">
        <v>1632</v>
      </c>
      <c r="P33" s="19" t="s">
        <v>1635</v>
      </c>
      <c r="Q33" s="92"/>
      <c r="R33" s="19" t="s">
        <v>1636</v>
      </c>
    </row>
    <row r="34" spans="2:18" ht="25.5" x14ac:dyDescent="0.2">
      <c r="B34" s="151"/>
      <c r="C34" s="151"/>
      <c r="D34" s="92">
        <v>27</v>
      </c>
      <c r="E34" s="19" t="s">
        <v>1194</v>
      </c>
      <c r="F34" s="92" t="s">
        <v>18</v>
      </c>
      <c r="G34" s="95" t="s">
        <v>1637</v>
      </c>
      <c r="H34" s="92" t="s">
        <v>10</v>
      </c>
      <c r="I34" s="92" t="s">
        <v>15</v>
      </c>
      <c r="J34" s="19" t="s">
        <v>1631</v>
      </c>
      <c r="K34" s="58">
        <v>33742</v>
      </c>
      <c r="L34" s="59">
        <v>1992</v>
      </c>
      <c r="M34" s="95">
        <f t="shared" si="0"/>
        <v>27</v>
      </c>
      <c r="N34" s="92" t="s">
        <v>3</v>
      </c>
      <c r="O34" s="92" t="s">
        <v>1632</v>
      </c>
      <c r="P34" s="19" t="s">
        <v>1635</v>
      </c>
      <c r="Q34" s="92"/>
      <c r="R34" s="19" t="s">
        <v>1638</v>
      </c>
    </row>
    <row r="35" spans="2:18" ht="25.5" x14ac:dyDescent="0.2">
      <c r="B35" s="151"/>
      <c r="C35" s="151"/>
      <c r="D35" s="92">
        <v>28</v>
      </c>
      <c r="E35" s="19" t="s">
        <v>1639</v>
      </c>
      <c r="F35" s="92" t="s">
        <v>18</v>
      </c>
      <c r="G35" s="95" t="s">
        <v>1640</v>
      </c>
      <c r="H35" s="92" t="s">
        <v>10</v>
      </c>
      <c r="I35" s="92" t="s">
        <v>15</v>
      </c>
      <c r="J35" s="19" t="s">
        <v>1631</v>
      </c>
      <c r="K35" s="58">
        <v>34579</v>
      </c>
      <c r="L35" s="59">
        <v>1994</v>
      </c>
      <c r="M35" s="95">
        <f t="shared" si="0"/>
        <v>25</v>
      </c>
      <c r="N35" s="92" t="s">
        <v>3</v>
      </c>
      <c r="O35" s="92" t="s">
        <v>1632</v>
      </c>
      <c r="P35" s="19" t="s">
        <v>1641</v>
      </c>
      <c r="Q35" s="92"/>
      <c r="R35" s="19" t="s">
        <v>1625</v>
      </c>
    </row>
    <row r="36" spans="2:18" ht="25.5" x14ac:dyDescent="0.2">
      <c r="B36" s="151">
        <v>7</v>
      </c>
      <c r="C36" s="155" t="s">
        <v>1951</v>
      </c>
      <c r="D36" s="92">
        <v>29</v>
      </c>
      <c r="E36" s="19" t="s">
        <v>1195</v>
      </c>
      <c r="F36" s="92" t="s">
        <v>7</v>
      </c>
      <c r="G36" s="95" t="s">
        <v>1196</v>
      </c>
      <c r="H36" s="92" t="s">
        <v>1</v>
      </c>
      <c r="I36" s="92" t="s">
        <v>2</v>
      </c>
      <c r="J36" s="19" t="s">
        <v>1644</v>
      </c>
      <c r="K36" s="58">
        <v>29138</v>
      </c>
      <c r="L36" s="59">
        <v>1979</v>
      </c>
      <c r="M36" s="95">
        <f>2019-1979</f>
        <v>40</v>
      </c>
      <c r="N36" s="92" t="s">
        <v>3</v>
      </c>
      <c r="O36" s="92" t="s">
        <v>1632</v>
      </c>
      <c r="P36" s="19" t="s">
        <v>1677</v>
      </c>
      <c r="Q36" s="92"/>
      <c r="R36" s="19" t="s">
        <v>1809</v>
      </c>
    </row>
    <row r="37" spans="2:18" ht="25.5" x14ac:dyDescent="0.2">
      <c r="B37" s="151"/>
      <c r="C37" s="155"/>
      <c r="D37" s="92">
        <v>30</v>
      </c>
      <c r="E37" s="19" t="s">
        <v>1197</v>
      </c>
      <c r="F37" s="92" t="s">
        <v>12</v>
      </c>
      <c r="G37" s="95" t="s">
        <v>1952</v>
      </c>
      <c r="H37" s="92" t="s">
        <v>10</v>
      </c>
      <c r="I37" s="92" t="s">
        <v>2</v>
      </c>
      <c r="J37" s="19" t="s">
        <v>1953</v>
      </c>
      <c r="K37" s="58">
        <v>30862</v>
      </c>
      <c r="L37" s="59">
        <v>1984</v>
      </c>
      <c r="M37" s="95">
        <f>2019-1984</f>
        <v>35</v>
      </c>
      <c r="N37" s="92" t="s">
        <v>3</v>
      </c>
      <c r="O37" s="92" t="s">
        <v>1632</v>
      </c>
      <c r="P37" s="19" t="s">
        <v>1677</v>
      </c>
      <c r="Q37" s="92"/>
      <c r="R37" s="19" t="s">
        <v>39</v>
      </c>
    </row>
    <row r="38" spans="2:18" ht="25.5" x14ac:dyDescent="0.2">
      <c r="B38" s="151">
        <v>8</v>
      </c>
      <c r="C38" s="151"/>
      <c r="D38" s="92">
        <v>31</v>
      </c>
      <c r="E38" s="19" t="s">
        <v>1198</v>
      </c>
      <c r="F38" s="92" t="s">
        <v>7</v>
      </c>
      <c r="G38" s="95" t="s">
        <v>1199</v>
      </c>
      <c r="H38" s="92" t="s">
        <v>1</v>
      </c>
      <c r="I38" s="92" t="s">
        <v>2</v>
      </c>
      <c r="J38" s="19"/>
      <c r="K38" s="58">
        <v>28171</v>
      </c>
      <c r="L38" s="93">
        <f t="shared" ref="L38:L42" si="1">YEAR(K38)</f>
        <v>1977</v>
      </c>
      <c r="M38" s="95">
        <f t="shared" ref="M38:M42" si="2">2019-L38</f>
        <v>42</v>
      </c>
      <c r="N38" s="92" t="s">
        <v>3</v>
      </c>
      <c r="O38" s="92"/>
      <c r="P38" s="19" t="s">
        <v>4</v>
      </c>
      <c r="Q38" s="92"/>
      <c r="R38" s="19" t="s">
        <v>54</v>
      </c>
    </row>
    <row r="39" spans="2:18" x14ac:dyDescent="0.2">
      <c r="B39" s="151"/>
      <c r="C39" s="151"/>
      <c r="D39" s="92">
        <v>32</v>
      </c>
      <c r="E39" s="19" t="s">
        <v>1200</v>
      </c>
      <c r="F39" s="92" t="s">
        <v>12</v>
      </c>
      <c r="G39" s="95" t="s">
        <v>1201</v>
      </c>
      <c r="H39" s="92" t="s">
        <v>10</v>
      </c>
      <c r="I39" s="92" t="s">
        <v>2</v>
      </c>
      <c r="J39" s="19"/>
      <c r="K39" s="58">
        <v>28142</v>
      </c>
      <c r="L39" s="93">
        <f t="shared" si="1"/>
        <v>1977</v>
      </c>
      <c r="M39" s="95">
        <f t="shared" si="2"/>
        <v>42</v>
      </c>
      <c r="N39" s="92" t="s">
        <v>3</v>
      </c>
      <c r="O39" s="92"/>
      <c r="P39" s="19" t="s">
        <v>27</v>
      </c>
      <c r="Q39" s="92"/>
      <c r="R39" s="19" t="s">
        <v>28</v>
      </c>
    </row>
    <row r="40" spans="2:18" ht="25.5" x14ac:dyDescent="0.2">
      <c r="B40" s="151"/>
      <c r="C40" s="151"/>
      <c r="D40" s="92">
        <v>33</v>
      </c>
      <c r="E40" s="19" t="s">
        <v>1202</v>
      </c>
      <c r="F40" s="92" t="s">
        <v>18</v>
      </c>
      <c r="G40" s="95" t="s">
        <v>1203</v>
      </c>
      <c r="H40" s="92" t="s">
        <v>10</v>
      </c>
      <c r="I40" s="92" t="s">
        <v>15</v>
      </c>
      <c r="J40" s="19"/>
      <c r="K40" s="58">
        <v>37662</v>
      </c>
      <c r="L40" s="93">
        <f t="shared" si="1"/>
        <v>2003</v>
      </c>
      <c r="M40" s="95">
        <f t="shared" si="2"/>
        <v>16</v>
      </c>
      <c r="N40" s="92" t="s">
        <v>3</v>
      </c>
      <c r="O40" s="92"/>
      <c r="P40" s="19" t="s">
        <v>16</v>
      </c>
      <c r="Q40" s="92"/>
      <c r="R40" s="19" t="s">
        <v>16</v>
      </c>
    </row>
    <row r="41" spans="2:18" ht="25.5" x14ac:dyDescent="0.2">
      <c r="B41" s="151"/>
      <c r="C41" s="151"/>
      <c r="D41" s="92">
        <v>34</v>
      </c>
      <c r="E41" s="19" t="s">
        <v>1204</v>
      </c>
      <c r="F41" s="92" t="s">
        <v>18</v>
      </c>
      <c r="G41" s="95" t="s">
        <v>1205</v>
      </c>
      <c r="H41" s="92" t="s">
        <v>1</v>
      </c>
      <c r="I41" s="92" t="s">
        <v>15</v>
      </c>
      <c r="J41" s="19"/>
      <c r="K41" s="58">
        <v>39950</v>
      </c>
      <c r="L41" s="93">
        <f t="shared" si="1"/>
        <v>2009</v>
      </c>
      <c r="M41" s="95">
        <f t="shared" si="2"/>
        <v>10</v>
      </c>
      <c r="N41" s="92" t="s">
        <v>3</v>
      </c>
      <c r="O41" s="92"/>
      <c r="P41" s="19" t="s">
        <v>16</v>
      </c>
      <c r="Q41" s="92"/>
      <c r="R41" s="19" t="s">
        <v>16</v>
      </c>
    </row>
    <row r="42" spans="2:18" ht="25.5" x14ac:dyDescent="0.2">
      <c r="B42" s="151"/>
      <c r="C42" s="151"/>
      <c r="D42" s="92">
        <v>35</v>
      </c>
      <c r="E42" s="19" t="s">
        <v>1206</v>
      </c>
      <c r="F42" s="92" t="s">
        <v>18</v>
      </c>
      <c r="G42" s="95" t="s">
        <v>1207</v>
      </c>
      <c r="H42" s="92" t="s">
        <v>1</v>
      </c>
      <c r="I42" s="92" t="s">
        <v>15</v>
      </c>
      <c r="J42" s="19"/>
      <c r="K42" s="58">
        <v>40932</v>
      </c>
      <c r="L42" s="93">
        <f t="shared" si="1"/>
        <v>2012</v>
      </c>
      <c r="M42" s="95">
        <f t="shared" si="2"/>
        <v>7</v>
      </c>
      <c r="N42" s="92" t="s">
        <v>3</v>
      </c>
      <c r="O42" s="92"/>
      <c r="P42" s="19" t="s">
        <v>16</v>
      </c>
      <c r="Q42" s="92"/>
      <c r="R42" s="19" t="s">
        <v>16</v>
      </c>
    </row>
    <row r="43" spans="2:18" x14ac:dyDescent="0.2">
      <c r="B43" s="151">
        <v>9</v>
      </c>
      <c r="C43" s="155" t="s">
        <v>1497</v>
      </c>
      <c r="D43" s="92">
        <v>36</v>
      </c>
      <c r="E43" s="19" t="s">
        <v>1208</v>
      </c>
      <c r="F43" s="92" t="s">
        <v>7</v>
      </c>
      <c r="G43" s="95" t="s">
        <v>1497</v>
      </c>
      <c r="H43" s="92" t="s">
        <v>1</v>
      </c>
      <c r="I43" s="92" t="s">
        <v>2</v>
      </c>
      <c r="J43" s="19" t="s">
        <v>1623</v>
      </c>
      <c r="K43" s="58">
        <v>31059</v>
      </c>
      <c r="L43" s="59">
        <v>1965</v>
      </c>
      <c r="M43" s="95">
        <f>2019-1965</f>
        <v>54</v>
      </c>
      <c r="N43" s="92" t="s">
        <v>3</v>
      </c>
      <c r="O43" s="92" t="s">
        <v>1632</v>
      </c>
      <c r="P43" s="19" t="s">
        <v>1641</v>
      </c>
      <c r="Q43" s="92"/>
      <c r="R43" s="19" t="s">
        <v>39</v>
      </c>
    </row>
    <row r="44" spans="2:18" x14ac:dyDescent="0.2">
      <c r="B44" s="151"/>
      <c r="C44" s="155"/>
      <c r="D44" s="92">
        <v>37</v>
      </c>
      <c r="E44" s="19" t="s">
        <v>827</v>
      </c>
      <c r="F44" s="92" t="s">
        <v>12</v>
      </c>
      <c r="G44" s="95" t="s">
        <v>2206</v>
      </c>
      <c r="H44" s="92" t="s">
        <v>10</v>
      </c>
      <c r="I44" s="92" t="s">
        <v>2</v>
      </c>
      <c r="J44" s="19" t="s">
        <v>2209</v>
      </c>
      <c r="K44" s="58">
        <v>28888</v>
      </c>
      <c r="L44" s="59">
        <v>1979</v>
      </c>
      <c r="M44" s="95">
        <f>2019-1979</f>
        <v>40</v>
      </c>
      <c r="N44" s="92" t="s">
        <v>3</v>
      </c>
      <c r="O44" s="92" t="s">
        <v>1632</v>
      </c>
      <c r="P44" s="19" t="s">
        <v>1677</v>
      </c>
      <c r="Q44" s="92"/>
      <c r="R44" s="19" t="s">
        <v>1946</v>
      </c>
    </row>
    <row r="45" spans="2:18" ht="25.5" x14ac:dyDescent="0.2">
      <c r="B45" s="151"/>
      <c r="C45" s="155"/>
      <c r="D45" s="92">
        <v>38</v>
      </c>
      <c r="E45" s="19" t="s">
        <v>1209</v>
      </c>
      <c r="F45" s="92" t="s">
        <v>18</v>
      </c>
      <c r="G45" s="95" t="s">
        <v>2207</v>
      </c>
      <c r="H45" s="92" t="s">
        <v>1</v>
      </c>
      <c r="I45" s="92" t="s">
        <v>15</v>
      </c>
      <c r="J45" s="19" t="s">
        <v>2210</v>
      </c>
      <c r="K45" s="58">
        <v>38958</v>
      </c>
      <c r="L45" s="59">
        <v>2006</v>
      </c>
      <c r="M45" s="95">
        <f>2019-2006</f>
        <v>13</v>
      </c>
      <c r="N45" s="92" t="s">
        <v>3</v>
      </c>
      <c r="O45" s="92" t="s">
        <v>1632</v>
      </c>
      <c r="P45" s="19" t="s">
        <v>1732</v>
      </c>
      <c r="Q45" s="92"/>
      <c r="R45" s="19" t="s">
        <v>1625</v>
      </c>
    </row>
    <row r="46" spans="2:18" ht="25.5" x14ac:dyDescent="0.2">
      <c r="B46" s="151"/>
      <c r="C46" s="155"/>
      <c r="D46" s="92">
        <v>39</v>
      </c>
      <c r="E46" s="19" t="s">
        <v>2205</v>
      </c>
      <c r="F46" s="92" t="s">
        <v>18</v>
      </c>
      <c r="G46" s="95" t="s">
        <v>2208</v>
      </c>
      <c r="H46" s="92" t="s">
        <v>1</v>
      </c>
      <c r="I46" s="92" t="s">
        <v>15</v>
      </c>
      <c r="J46" s="19" t="s">
        <v>1623</v>
      </c>
      <c r="K46" s="58">
        <v>42526</v>
      </c>
      <c r="L46" s="59">
        <v>2016</v>
      </c>
      <c r="M46" s="95">
        <f>2019-2016</f>
        <v>3</v>
      </c>
      <c r="N46" s="92" t="s">
        <v>3</v>
      </c>
      <c r="O46" s="92" t="s">
        <v>1632</v>
      </c>
      <c r="P46" s="19" t="s">
        <v>1733</v>
      </c>
      <c r="Q46" s="92"/>
      <c r="R46" s="19" t="s">
        <v>1638</v>
      </c>
    </row>
    <row r="47" spans="2:18" ht="25.5" x14ac:dyDescent="0.2">
      <c r="B47" s="151">
        <v>10</v>
      </c>
      <c r="C47" s="155" t="s">
        <v>2183</v>
      </c>
      <c r="D47" s="92">
        <v>40</v>
      </c>
      <c r="E47" s="19" t="s">
        <v>1210</v>
      </c>
      <c r="F47" s="92" t="s">
        <v>7</v>
      </c>
      <c r="G47" s="95" t="s">
        <v>1211</v>
      </c>
      <c r="H47" s="92" t="s">
        <v>10</v>
      </c>
      <c r="I47" s="92" t="s">
        <v>1735</v>
      </c>
      <c r="J47" s="19" t="s">
        <v>2185</v>
      </c>
      <c r="K47" s="58">
        <v>23723</v>
      </c>
      <c r="L47" s="59">
        <v>1964</v>
      </c>
      <c r="M47" s="95">
        <f>2019-1964</f>
        <v>55</v>
      </c>
      <c r="N47" s="92" t="s">
        <v>3</v>
      </c>
      <c r="O47" s="92" t="s">
        <v>1632</v>
      </c>
      <c r="P47" s="19" t="s">
        <v>1641</v>
      </c>
      <c r="Q47" s="92"/>
      <c r="R47" s="19" t="s">
        <v>1764</v>
      </c>
    </row>
    <row r="48" spans="2:18" ht="25.5" x14ac:dyDescent="0.2">
      <c r="B48" s="151"/>
      <c r="C48" s="155"/>
      <c r="D48" s="92">
        <v>41</v>
      </c>
      <c r="E48" s="19" t="s">
        <v>2184</v>
      </c>
      <c r="F48" s="92" t="s">
        <v>18</v>
      </c>
      <c r="G48" s="95" t="s">
        <v>1212</v>
      </c>
      <c r="H48" s="92" t="s">
        <v>1</v>
      </c>
      <c r="I48" s="92" t="s">
        <v>15</v>
      </c>
      <c r="J48" s="19" t="s">
        <v>1898</v>
      </c>
      <c r="K48" s="58">
        <v>34895</v>
      </c>
      <c r="L48" s="59">
        <v>1995</v>
      </c>
      <c r="M48" s="95">
        <f>2019-1995</f>
        <v>24</v>
      </c>
      <c r="N48" s="92" t="s">
        <v>3</v>
      </c>
      <c r="O48" s="92" t="s">
        <v>1632</v>
      </c>
      <c r="P48" s="19" t="s">
        <v>1677</v>
      </c>
      <c r="Q48" s="92"/>
      <c r="R48" s="19" t="s">
        <v>1625</v>
      </c>
    </row>
    <row r="49" spans="1:47" s="97" customFormat="1" ht="25.5" x14ac:dyDescent="0.2">
      <c r="A49" s="54"/>
      <c r="B49" s="151">
        <v>11</v>
      </c>
      <c r="C49" s="155" t="s">
        <v>1845</v>
      </c>
      <c r="D49" s="92">
        <v>42</v>
      </c>
      <c r="E49" s="19" t="s">
        <v>1213</v>
      </c>
      <c r="F49" s="92" t="s">
        <v>7</v>
      </c>
      <c r="G49" s="95" t="s">
        <v>1847</v>
      </c>
      <c r="H49" s="92" t="s">
        <v>1</v>
      </c>
      <c r="I49" s="92" t="s">
        <v>2</v>
      </c>
      <c r="J49" s="19" t="s">
        <v>1644</v>
      </c>
      <c r="K49" s="58">
        <v>21692</v>
      </c>
      <c r="L49" s="92">
        <v>1959</v>
      </c>
      <c r="M49" s="59">
        <f>2019-1959</f>
        <v>60</v>
      </c>
      <c r="N49" s="92" t="s">
        <v>3</v>
      </c>
      <c r="O49" s="92" t="s">
        <v>1632</v>
      </c>
      <c r="P49" s="19" t="s">
        <v>1641</v>
      </c>
      <c r="Q49" s="92"/>
      <c r="R49" s="19" t="s">
        <v>39</v>
      </c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96"/>
    </row>
    <row r="50" spans="1:47" s="97" customFormat="1" ht="15.75" customHeight="1" x14ac:dyDescent="0.2">
      <c r="A50" s="54"/>
      <c r="B50" s="151"/>
      <c r="C50" s="155"/>
      <c r="D50" s="92">
        <v>43</v>
      </c>
      <c r="E50" s="19" t="s">
        <v>1101</v>
      </c>
      <c r="F50" s="92" t="s">
        <v>12</v>
      </c>
      <c r="G50" s="95" t="s">
        <v>1848</v>
      </c>
      <c r="H50" s="92" t="s">
        <v>10</v>
      </c>
      <c r="I50" s="92" t="s">
        <v>2</v>
      </c>
      <c r="J50" s="19" t="s">
        <v>1850</v>
      </c>
      <c r="K50" s="58">
        <v>29858</v>
      </c>
      <c r="L50" s="92">
        <v>1981</v>
      </c>
      <c r="M50" s="59">
        <f>2019-1981</f>
        <v>38</v>
      </c>
      <c r="N50" s="92" t="s">
        <v>3</v>
      </c>
      <c r="O50" s="92" t="s">
        <v>1632</v>
      </c>
      <c r="P50" s="19" t="s">
        <v>1641</v>
      </c>
      <c r="Q50" s="92"/>
      <c r="R50" s="19" t="s">
        <v>1851</v>
      </c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96"/>
    </row>
    <row r="51" spans="1:47" s="97" customFormat="1" ht="25.5" x14ac:dyDescent="0.2">
      <c r="A51" s="54"/>
      <c r="B51" s="151"/>
      <c r="C51" s="155"/>
      <c r="D51" s="92">
        <v>44</v>
      </c>
      <c r="E51" s="19" t="s">
        <v>1846</v>
      </c>
      <c r="F51" s="92" t="s">
        <v>18</v>
      </c>
      <c r="G51" s="95" t="s">
        <v>1214</v>
      </c>
      <c r="H51" s="92" t="s">
        <v>1</v>
      </c>
      <c r="I51" s="92" t="s">
        <v>15</v>
      </c>
      <c r="J51" s="19" t="s">
        <v>1623</v>
      </c>
      <c r="K51" s="58">
        <v>37544</v>
      </c>
      <c r="L51" s="92">
        <v>2002</v>
      </c>
      <c r="M51" s="59">
        <f>2019-2002</f>
        <v>17</v>
      </c>
      <c r="N51" s="92" t="s">
        <v>3</v>
      </c>
      <c r="O51" s="92" t="s">
        <v>1632</v>
      </c>
      <c r="P51" s="19" t="s">
        <v>1732</v>
      </c>
      <c r="Q51" s="92"/>
      <c r="R51" s="19" t="s">
        <v>1625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96"/>
    </row>
    <row r="52" spans="1:47" s="97" customFormat="1" ht="25.5" x14ac:dyDescent="0.2">
      <c r="A52" s="54"/>
      <c r="B52" s="151"/>
      <c r="C52" s="155"/>
      <c r="D52" s="92">
        <v>45</v>
      </c>
      <c r="E52" s="19" t="s">
        <v>1215</v>
      </c>
      <c r="F52" s="92" t="s">
        <v>18</v>
      </c>
      <c r="G52" s="95" t="s">
        <v>1849</v>
      </c>
      <c r="H52" s="92" t="s">
        <v>10</v>
      </c>
      <c r="I52" s="92" t="s">
        <v>15</v>
      </c>
      <c r="J52" s="19" t="s">
        <v>1623</v>
      </c>
      <c r="K52" s="58">
        <v>38101</v>
      </c>
      <c r="L52" s="92">
        <v>2004</v>
      </c>
      <c r="M52" s="59">
        <f>2019-2004</f>
        <v>15</v>
      </c>
      <c r="N52" s="92" t="s">
        <v>3</v>
      </c>
      <c r="O52" s="92" t="s">
        <v>1632</v>
      </c>
      <c r="P52" s="19" t="s">
        <v>1635</v>
      </c>
      <c r="Q52" s="92"/>
      <c r="R52" s="19" t="s">
        <v>1674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96"/>
    </row>
    <row r="53" spans="1:47" ht="25.5" x14ac:dyDescent="0.2">
      <c r="B53" s="151">
        <v>12</v>
      </c>
      <c r="C53" s="155" t="s">
        <v>2228</v>
      </c>
      <c r="D53" s="92">
        <v>46</v>
      </c>
      <c r="E53" s="19" t="s">
        <v>1216</v>
      </c>
      <c r="F53" s="92" t="s">
        <v>7</v>
      </c>
      <c r="G53" s="95" t="s">
        <v>1217</v>
      </c>
      <c r="H53" s="92" t="s">
        <v>1</v>
      </c>
      <c r="I53" s="92" t="s">
        <v>2</v>
      </c>
      <c r="J53" s="19" t="s">
        <v>1631</v>
      </c>
      <c r="K53" s="58">
        <v>21351</v>
      </c>
      <c r="L53" s="59">
        <v>1958</v>
      </c>
      <c r="M53" s="95">
        <f>2019-1958</f>
        <v>61</v>
      </c>
      <c r="N53" s="92" t="s">
        <v>3</v>
      </c>
      <c r="O53" s="92" t="s">
        <v>1632</v>
      </c>
      <c r="P53" s="19" t="s">
        <v>1732</v>
      </c>
      <c r="Q53" s="92"/>
      <c r="R53" s="19" t="s">
        <v>1893</v>
      </c>
    </row>
    <row r="54" spans="1:47" ht="25.5" x14ac:dyDescent="0.2">
      <c r="B54" s="151"/>
      <c r="C54" s="155"/>
      <c r="D54" s="92">
        <v>47</v>
      </c>
      <c r="E54" s="19" t="s">
        <v>1218</v>
      </c>
      <c r="F54" s="92" t="s">
        <v>12</v>
      </c>
      <c r="G54" s="95" t="s">
        <v>1219</v>
      </c>
      <c r="H54" s="92" t="s">
        <v>10</v>
      </c>
      <c r="I54" s="92" t="s">
        <v>2</v>
      </c>
      <c r="J54" s="19" t="s">
        <v>2230</v>
      </c>
      <c r="K54" s="58">
        <v>22447</v>
      </c>
      <c r="L54" s="59">
        <v>1961</v>
      </c>
      <c r="M54" s="95">
        <f>2019-1961</f>
        <v>58</v>
      </c>
      <c r="N54" s="92" t="s">
        <v>3</v>
      </c>
      <c r="O54" s="92" t="s">
        <v>1632</v>
      </c>
      <c r="P54" s="19" t="s">
        <v>1732</v>
      </c>
      <c r="Q54" s="92"/>
      <c r="R54" s="19" t="s">
        <v>1764</v>
      </c>
    </row>
    <row r="55" spans="1:47" ht="25.5" x14ac:dyDescent="0.2">
      <c r="B55" s="151"/>
      <c r="C55" s="155"/>
      <c r="D55" s="92">
        <v>48</v>
      </c>
      <c r="E55" s="19" t="s">
        <v>796</v>
      </c>
      <c r="F55" s="92" t="s">
        <v>18</v>
      </c>
      <c r="G55" s="95" t="s">
        <v>1220</v>
      </c>
      <c r="H55" s="92" t="s">
        <v>1</v>
      </c>
      <c r="I55" s="92" t="s">
        <v>15</v>
      </c>
      <c r="J55" s="19" t="s">
        <v>1631</v>
      </c>
      <c r="K55" s="58">
        <v>31109</v>
      </c>
      <c r="L55" s="59">
        <v>1984</v>
      </c>
      <c r="M55" s="95">
        <f>2019-1984</f>
        <v>35</v>
      </c>
      <c r="N55" s="92" t="s">
        <v>3</v>
      </c>
      <c r="O55" s="92" t="s">
        <v>1632</v>
      </c>
      <c r="P55" s="19" t="s">
        <v>1641</v>
      </c>
      <c r="Q55" s="92"/>
      <c r="R55" s="19" t="s">
        <v>39</v>
      </c>
    </row>
    <row r="56" spans="1:47" ht="25.5" x14ac:dyDescent="0.2">
      <c r="B56" s="151"/>
      <c r="C56" s="155"/>
      <c r="D56" s="92">
        <v>49</v>
      </c>
      <c r="E56" s="19" t="s">
        <v>1273</v>
      </c>
      <c r="F56" s="92" t="s">
        <v>18</v>
      </c>
      <c r="G56" s="95" t="s">
        <v>2229</v>
      </c>
      <c r="H56" s="92" t="s">
        <v>10</v>
      </c>
      <c r="I56" s="92" t="s">
        <v>15</v>
      </c>
      <c r="J56" s="19" t="s">
        <v>2230</v>
      </c>
      <c r="K56" s="58">
        <v>31197</v>
      </c>
      <c r="L56" s="59">
        <v>1985</v>
      </c>
      <c r="M56" s="95">
        <f>2019-1985</f>
        <v>34</v>
      </c>
      <c r="N56" s="92" t="s">
        <v>3</v>
      </c>
      <c r="O56" s="92" t="s">
        <v>1632</v>
      </c>
      <c r="P56" s="19" t="s">
        <v>1641</v>
      </c>
      <c r="Q56" s="92"/>
      <c r="R56" s="19" t="s">
        <v>1638</v>
      </c>
    </row>
    <row r="57" spans="1:47" ht="25.5" x14ac:dyDescent="0.2">
      <c r="B57" s="151">
        <v>13</v>
      </c>
      <c r="C57" s="155" t="s">
        <v>2193</v>
      </c>
      <c r="D57" s="92">
        <v>50</v>
      </c>
      <c r="E57" s="19" t="s">
        <v>2194</v>
      </c>
      <c r="F57" s="92" t="s">
        <v>7</v>
      </c>
      <c r="G57" s="95" t="s">
        <v>2196</v>
      </c>
      <c r="H57" s="92" t="s">
        <v>1</v>
      </c>
      <c r="I57" s="92" t="s">
        <v>2</v>
      </c>
      <c r="J57" s="19" t="s">
        <v>2199</v>
      </c>
      <c r="K57" s="58">
        <v>22098</v>
      </c>
      <c r="L57" s="59">
        <v>1960</v>
      </c>
      <c r="M57" s="95">
        <f>2019-1960</f>
        <v>59</v>
      </c>
      <c r="N57" s="92" t="s">
        <v>3</v>
      </c>
      <c r="O57" s="92" t="s">
        <v>1632</v>
      </c>
      <c r="P57" s="19" t="s">
        <v>1732</v>
      </c>
      <c r="Q57" s="92"/>
      <c r="R57" s="19" t="s">
        <v>1808</v>
      </c>
    </row>
    <row r="58" spans="1:47" ht="25.5" x14ac:dyDescent="0.2">
      <c r="B58" s="151"/>
      <c r="C58" s="155"/>
      <c r="D58" s="92">
        <v>51</v>
      </c>
      <c r="E58" s="19" t="s">
        <v>834</v>
      </c>
      <c r="F58" s="92" t="s">
        <v>12</v>
      </c>
      <c r="G58" s="95" t="s">
        <v>2197</v>
      </c>
      <c r="H58" s="92" t="s">
        <v>10</v>
      </c>
      <c r="I58" s="92" t="s">
        <v>2</v>
      </c>
      <c r="J58" s="19" t="s">
        <v>1631</v>
      </c>
      <c r="K58" s="58">
        <v>26457</v>
      </c>
      <c r="L58" s="59">
        <v>1972</v>
      </c>
      <c r="M58" s="95">
        <f>2019-1972</f>
        <v>47</v>
      </c>
      <c r="N58" s="92" t="s">
        <v>3</v>
      </c>
      <c r="O58" s="92" t="s">
        <v>1632</v>
      </c>
      <c r="P58" s="19" t="s">
        <v>1732</v>
      </c>
      <c r="Q58" s="92"/>
      <c r="R58" s="19" t="s">
        <v>1764</v>
      </c>
    </row>
    <row r="59" spans="1:47" ht="25.5" x14ac:dyDescent="0.2">
      <c r="B59" s="151"/>
      <c r="C59" s="155"/>
      <c r="D59" s="92">
        <v>52</v>
      </c>
      <c r="E59" s="19" t="s">
        <v>2195</v>
      </c>
      <c r="F59" s="92" t="s">
        <v>18</v>
      </c>
      <c r="G59" s="95" t="s">
        <v>1221</v>
      </c>
      <c r="H59" s="92" t="s">
        <v>1</v>
      </c>
      <c r="I59" s="92" t="s">
        <v>15</v>
      </c>
      <c r="J59" s="19" t="s">
        <v>1631</v>
      </c>
      <c r="K59" s="58">
        <v>35982</v>
      </c>
      <c r="L59" s="59">
        <v>1998</v>
      </c>
      <c r="M59" s="95">
        <f>2019-1998</f>
        <v>21</v>
      </c>
      <c r="N59" s="92" t="s">
        <v>3</v>
      </c>
      <c r="O59" s="92" t="s">
        <v>1632</v>
      </c>
      <c r="P59" s="19" t="s">
        <v>1677</v>
      </c>
      <c r="Q59" s="92"/>
      <c r="R59" s="19" t="s">
        <v>1625</v>
      </c>
    </row>
    <row r="60" spans="1:47" ht="25.5" x14ac:dyDescent="0.2">
      <c r="B60" s="151"/>
      <c r="C60" s="155"/>
      <c r="D60" s="92">
        <v>53</v>
      </c>
      <c r="E60" s="19" t="s">
        <v>1222</v>
      </c>
      <c r="F60" s="92" t="s">
        <v>18</v>
      </c>
      <c r="G60" s="95" t="s">
        <v>2198</v>
      </c>
      <c r="H60" s="92" t="s">
        <v>1</v>
      </c>
      <c r="I60" s="92" t="s">
        <v>15</v>
      </c>
      <c r="J60" s="19" t="s">
        <v>1631</v>
      </c>
      <c r="K60" s="58">
        <v>38776</v>
      </c>
      <c r="L60" s="59">
        <v>2005</v>
      </c>
      <c r="M60" s="95">
        <f>2019-2005</f>
        <v>14</v>
      </c>
      <c r="N60" s="92" t="s">
        <v>3</v>
      </c>
      <c r="O60" s="92" t="s">
        <v>1632</v>
      </c>
      <c r="P60" s="19" t="s">
        <v>1635</v>
      </c>
      <c r="Q60" s="92"/>
      <c r="R60" s="19" t="s">
        <v>1625</v>
      </c>
    </row>
    <row r="61" spans="1:47" x14ac:dyDescent="0.2">
      <c r="B61" s="151">
        <v>14</v>
      </c>
      <c r="C61" s="151"/>
      <c r="D61" s="92">
        <v>54</v>
      </c>
      <c r="E61" s="19" t="s">
        <v>648</v>
      </c>
      <c r="F61" s="92" t="s">
        <v>7</v>
      </c>
      <c r="G61" s="95" t="s">
        <v>1223</v>
      </c>
      <c r="H61" s="92" t="s">
        <v>10</v>
      </c>
      <c r="I61" s="92" t="s">
        <v>21</v>
      </c>
      <c r="J61" s="19"/>
      <c r="K61" s="58">
        <v>30411</v>
      </c>
      <c r="L61" s="93">
        <f t="shared" ref="L61:L66" si="3">YEAR(K61)</f>
        <v>1983</v>
      </c>
      <c r="M61" s="95">
        <f t="shared" ref="M61:M66" si="4">2019-L61</f>
        <v>36</v>
      </c>
      <c r="N61" s="92" t="s">
        <v>3</v>
      </c>
      <c r="O61" s="92"/>
      <c r="P61" s="19" t="s">
        <v>27</v>
      </c>
      <c r="Q61" s="92"/>
      <c r="R61" s="19" t="s">
        <v>28</v>
      </c>
    </row>
    <row r="62" spans="1:47" ht="25.5" x14ac:dyDescent="0.2">
      <c r="B62" s="151"/>
      <c r="C62" s="151"/>
      <c r="D62" s="92">
        <v>55</v>
      </c>
      <c r="E62" s="19" t="s">
        <v>1224</v>
      </c>
      <c r="F62" s="92" t="s">
        <v>18</v>
      </c>
      <c r="G62" s="95" t="s">
        <v>1225</v>
      </c>
      <c r="H62" s="92" t="s">
        <v>1</v>
      </c>
      <c r="I62" s="92" t="s">
        <v>15</v>
      </c>
      <c r="J62" s="19"/>
      <c r="K62" s="58">
        <v>37574</v>
      </c>
      <c r="L62" s="93">
        <f t="shared" si="3"/>
        <v>2002</v>
      </c>
      <c r="M62" s="95">
        <f t="shared" si="4"/>
        <v>17</v>
      </c>
      <c r="N62" s="92" t="s">
        <v>3</v>
      </c>
      <c r="O62" s="92"/>
      <c r="P62" s="19" t="s">
        <v>16</v>
      </c>
      <c r="Q62" s="92"/>
      <c r="R62" s="19" t="s">
        <v>16</v>
      </c>
    </row>
    <row r="63" spans="1:47" x14ac:dyDescent="0.2">
      <c r="B63" s="151">
        <v>15</v>
      </c>
      <c r="C63" s="151"/>
      <c r="D63" s="92">
        <v>56</v>
      </c>
      <c r="E63" s="19" t="s">
        <v>1226</v>
      </c>
      <c r="F63" s="92" t="s">
        <v>7</v>
      </c>
      <c r="G63" s="95" t="s">
        <v>1227</v>
      </c>
      <c r="H63" s="92" t="s">
        <v>1</v>
      </c>
      <c r="I63" s="92" t="s">
        <v>2</v>
      </c>
      <c r="J63" s="19"/>
      <c r="K63" s="58">
        <v>15341</v>
      </c>
      <c r="L63" s="93">
        <f t="shared" si="3"/>
        <v>1941</v>
      </c>
      <c r="M63" s="95">
        <f t="shared" si="4"/>
        <v>78</v>
      </c>
      <c r="N63" s="92" t="s">
        <v>3</v>
      </c>
      <c r="O63" s="92"/>
      <c r="P63" s="19" t="s">
        <v>46</v>
      </c>
      <c r="Q63" s="92"/>
      <c r="R63" s="19" t="s">
        <v>977</v>
      </c>
    </row>
    <row r="64" spans="1:47" x14ac:dyDescent="0.2">
      <c r="B64" s="151"/>
      <c r="C64" s="151"/>
      <c r="D64" s="92">
        <v>57</v>
      </c>
      <c r="E64" s="19" t="s">
        <v>1228</v>
      </c>
      <c r="F64" s="92" t="s">
        <v>12</v>
      </c>
      <c r="G64" s="95" t="s">
        <v>1229</v>
      </c>
      <c r="H64" s="92" t="s">
        <v>10</v>
      </c>
      <c r="I64" s="92" t="s">
        <v>2</v>
      </c>
      <c r="J64" s="19"/>
      <c r="K64" s="58">
        <v>16802</v>
      </c>
      <c r="L64" s="93">
        <f t="shared" si="3"/>
        <v>1945</v>
      </c>
      <c r="M64" s="95">
        <f t="shared" si="4"/>
        <v>74</v>
      </c>
      <c r="N64" s="92" t="s">
        <v>3</v>
      </c>
      <c r="O64" s="92"/>
      <c r="P64" s="19" t="s">
        <v>46</v>
      </c>
      <c r="Q64" s="92"/>
      <c r="R64" s="19" t="s">
        <v>16</v>
      </c>
    </row>
    <row r="65" spans="2:18" ht="25.5" x14ac:dyDescent="0.2">
      <c r="B65" s="151">
        <v>16</v>
      </c>
      <c r="C65" s="151"/>
      <c r="D65" s="92">
        <v>58</v>
      </c>
      <c r="E65" s="19" t="s">
        <v>1230</v>
      </c>
      <c r="F65" s="92" t="s">
        <v>7</v>
      </c>
      <c r="G65" s="95" t="s">
        <v>1231</v>
      </c>
      <c r="H65" s="92" t="s">
        <v>1</v>
      </c>
      <c r="I65" s="92" t="s">
        <v>2</v>
      </c>
      <c r="J65" s="19"/>
      <c r="K65" s="58">
        <v>30944</v>
      </c>
      <c r="L65" s="93">
        <f t="shared" si="3"/>
        <v>1984</v>
      </c>
      <c r="M65" s="95">
        <f t="shared" si="4"/>
        <v>35</v>
      </c>
      <c r="N65" s="92" t="s">
        <v>3</v>
      </c>
      <c r="O65" s="92"/>
      <c r="P65" s="19" t="s">
        <v>4</v>
      </c>
      <c r="Q65" s="92"/>
      <c r="R65" s="19" t="s">
        <v>54</v>
      </c>
    </row>
    <row r="66" spans="2:18" x14ac:dyDescent="0.2">
      <c r="B66" s="151"/>
      <c r="C66" s="151"/>
      <c r="D66" s="92">
        <v>59</v>
      </c>
      <c r="E66" s="19" t="s">
        <v>1232</v>
      </c>
      <c r="F66" s="92" t="s">
        <v>12</v>
      </c>
      <c r="G66" s="95" t="s">
        <v>1233</v>
      </c>
      <c r="H66" s="92" t="s">
        <v>10</v>
      </c>
      <c r="I66" s="92" t="s">
        <v>2</v>
      </c>
      <c r="J66" s="19"/>
      <c r="K66" s="58">
        <v>32750</v>
      </c>
      <c r="L66" s="93">
        <f t="shared" si="3"/>
        <v>1989</v>
      </c>
      <c r="M66" s="95">
        <f t="shared" si="4"/>
        <v>30</v>
      </c>
      <c r="N66" s="92" t="s">
        <v>3</v>
      </c>
      <c r="O66" s="92"/>
      <c r="P66" s="19" t="s">
        <v>27</v>
      </c>
      <c r="Q66" s="92"/>
      <c r="R66" s="19" t="s">
        <v>54</v>
      </c>
    </row>
    <row r="67" spans="2:18" ht="25.5" x14ac:dyDescent="0.2">
      <c r="B67" s="151">
        <v>17</v>
      </c>
      <c r="C67" s="155" t="s">
        <v>2238</v>
      </c>
      <c r="D67" s="92">
        <v>60</v>
      </c>
      <c r="E67" s="19" t="s">
        <v>1234</v>
      </c>
      <c r="F67" s="92" t="s">
        <v>7</v>
      </c>
      <c r="G67" s="95" t="s">
        <v>1235</v>
      </c>
      <c r="H67" s="92" t="s">
        <v>10</v>
      </c>
      <c r="I67" s="92" t="s">
        <v>1735</v>
      </c>
      <c r="J67" s="19" t="s">
        <v>1623</v>
      </c>
      <c r="K67" s="58">
        <v>23559</v>
      </c>
      <c r="L67" s="59">
        <v>1964</v>
      </c>
      <c r="M67" s="95">
        <f>2019-1964</f>
        <v>55</v>
      </c>
      <c r="N67" s="92" t="s">
        <v>3</v>
      </c>
      <c r="O67" s="92" t="s">
        <v>1632</v>
      </c>
      <c r="P67" s="19" t="s">
        <v>1733</v>
      </c>
      <c r="Q67" s="92"/>
      <c r="R67" s="19" t="s">
        <v>1808</v>
      </c>
    </row>
    <row r="68" spans="2:18" ht="25.5" x14ac:dyDescent="0.2">
      <c r="B68" s="151"/>
      <c r="C68" s="155"/>
      <c r="D68" s="92">
        <v>61</v>
      </c>
      <c r="E68" s="19" t="s">
        <v>1236</v>
      </c>
      <c r="F68" s="92" t="s">
        <v>18</v>
      </c>
      <c r="G68" s="95" t="s">
        <v>1237</v>
      </c>
      <c r="H68" s="92" t="s">
        <v>1</v>
      </c>
      <c r="I68" s="92" t="s">
        <v>15</v>
      </c>
      <c r="J68" s="19" t="s">
        <v>1631</v>
      </c>
      <c r="K68" s="58">
        <v>34436</v>
      </c>
      <c r="L68" s="59">
        <v>1994</v>
      </c>
      <c r="M68" s="95">
        <f>2019-1994</f>
        <v>25</v>
      </c>
      <c r="N68" s="92" t="s">
        <v>3</v>
      </c>
      <c r="O68" s="92" t="s">
        <v>1632</v>
      </c>
      <c r="P68" s="19" t="s">
        <v>1677</v>
      </c>
      <c r="Q68" s="92"/>
      <c r="R68" s="19" t="s">
        <v>1638</v>
      </c>
    </row>
    <row r="69" spans="2:18" ht="25.5" x14ac:dyDescent="0.2">
      <c r="B69" s="151"/>
      <c r="C69" s="155"/>
      <c r="D69" s="92">
        <v>62</v>
      </c>
      <c r="E69" s="19" t="s">
        <v>1238</v>
      </c>
      <c r="F69" s="92" t="s">
        <v>18</v>
      </c>
      <c r="G69" s="95" t="s">
        <v>1239</v>
      </c>
      <c r="H69" s="92" t="s">
        <v>1</v>
      </c>
      <c r="I69" s="92" t="s">
        <v>15</v>
      </c>
      <c r="J69" s="19" t="s">
        <v>1623</v>
      </c>
      <c r="K69" s="58">
        <v>36885</v>
      </c>
      <c r="L69" s="59">
        <v>2000</v>
      </c>
      <c r="M69" s="95">
        <f>2019-2000</f>
        <v>19</v>
      </c>
      <c r="N69" s="92" t="s">
        <v>3</v>
      </c>
      <c r="O69" s="92" t="s">
        <v>1632</v>
      </c>
      <c r="P69" s="19" t="s">
        <v>1641</v>
      </c>
      <c r="Q69" s="92"/>
      <c r="R69" s="19" t="s">
        <v>1625</v>
      </c>
    </row>
    <row r="70" spans="2:18" x14ac:dyDescent="0.2">
      <c r="B70" s="151"/>
      <c r="C70" s="155"/>
      <c r="D70" s="92">
        <v>63</v>
      </c>
      <c r="E70" s="19" t="s">
        <v>1240</v>
      </c>
      <c r="F70" s="92" t="s">
        <v>18</v>
      </c>
      <c r="G70" s="95" t="s">
        <v>1241</v>
      </c>
      <c r="H70" s="92" t="s">
        <v>10</v>
      </c>
      <c r="I70" s="92" t="s">
        <v>15</v>
      </c>
      <c r="J70" s="19" t="s">
        <v>1623</v>
      </c>
      <c r="K70" s="58">
        <v>38113</v>
      </c>
      <c r="L70" s="59">
        <v>2004</v>
      </c>
      <c r="M70" s="95">
        <f>2019-2004</f>
        <v>15</v>
      </c>
      <c r="N70" s="92" t="s">
        <v>3</v>
      </c>
      <c r="O70" s="92" t="s">
        <v>1632</v>
      </c>
      <c r="P70" s="19" t="s">
        <v>1732</v>
      </c>
      <c r="Q70" s="92"/>
      <c r="R70" s="19" t="s">
        <v>1625</v>
      </c>
    </row>
    <row r="71" spans="2:18" ht="25.5" x14ac:dyDescent="0.2">
      <c r="B71" s="151">
        <v>18</v>
      </c>
      <c r="C71" s="155" t="s">
        <v>2200</v>
      </c>
      <c r="D71" s="92">
        <v>64</v>
      </c>
      <c r="E71" s="19" t="s">
        <v>1242</v>
      </c>
      <c r="F71" s="92" t="s">
        <v>7</v>
      </c>
      <c r="G71" s="95" t="s">
        <v>2201</v>
      </c>
      <c r="H71" s="92" t="s">
        <v>10</v>
      </c>
      <c r="I71" s="92" t="s">
        <v>1735</v>
      </c>
      <c r="J71" s="19" t="s">
        <v>1631</v>
      </c>
      <c r="K71" s="58">
        <v>19176</v>
      </c>
      <c r="L71" s="59">
        <v>1952</v>
      </c>
      <c r="M71" s="95">
        <f>2019-1952</f>
        <v>67</v>
      </c>
      <c r="N71" s="92" t="s">
        <v>3</v>
      </c>
      <c r="O71" s="92" t="s">
        <v>1632</v>
      </c>
      <c r="P71" s="19" t="s">
        <v>1733</v>
      </c>
      <c r="Q71" s="92"/>
      <c r="R71" s="19" t="s">
        <v>1764</v>
      </c>
    </row>
    <row r="72" spans="2:18" ht="25.5" x14ac:dyDescent="0.2">
      <c r="B72" s="151"/>
      <c r="C72" s="155"/>
      <c r="D72" s="92">
        <v>65</v>
      </c>
      <c r="E72" s="19" t="s">
        <v>1244</v>
      </c>
      <c r="F72" s="92" t="s">
        <v>18</v>
      </c>
      <c r="G72" s="95" t="s">
        <v>2202</v>
      </c>
      <c r="H72" s="92" t="s">
        <v>1</v>
      </c>
      <c r="I72" s="92" t="s">
        <v>15</v>
      </c>
      <c r="J72" s="19" t="s">
        <v>1631</v>
      </c>
      <c r="K72" s="58">
        <v>27827</v>
      </c>
      <c r="L72" s="59">
        <v>1976</v>
      </c>
      <c r="M72" s="95">
        <f>2019-1976</f>
        <v>43</v>
      </c>
      <c r="N72" s="92" t="s">
        <v>3</v>
      </c>
      <c r="O72" s="92" t="s">
        <v>1632</v>
      </c>
      <c r="P72" s="19" t="s">
        <v>1732</v>
      </c>
      <c r="Q72" s="92"/>
      <c r="R72" s="19" t="s">
        <v>1808</v>
      </c>
    </row>
    <row r="73" spans="2:18" ht="25.5" x14ac:dyDescent="0.2">
      <c r="B73" s="151"/>
      <c r="C73" s="155"/>
      <c r="D73" s="92">
        <v>66</v>
      </c>
      <c r="E73" s="19" t="s">
        <v>1246</v>
      </c>
      <c r="F73" s="92" t="s">
        <v>18</v>
      </c>
      <c r="G73" s="95" t="s">
        <v>2203</v>
      </c>
      <c r="H73" s="92" t="s">
        <v>10</v>
      </c>
      <c r="I73" s="92" t="s">
        <v>15</v>
      </c>
      <c r="J73" s="19" t="s">
        <v>1631</v>
      </c>
      <c r="K73" s="58">
        <v>32508</v>
      </c>
      <c r="L73" s="59">
        <v>1988</v>
      </c>
      <c r="M73" s="95">
        <f>2019-1988</f>
        <v>31</v>
      </c>
      <c r="N73" s="92" t="s">
        <v>3</v>
      </c>
      <c r="O73" s="92" t="s">
        <v>1632</v>
      </c>
      <c r="P73" s="19" t="s">
        <v>1677</v>
      </c>
      <c r="Q73" s="92"/>
      <c r="R73" s="19" t="s">
        <v>1625</v>
      </c>
    </row>
    <row r="74" spans="2:18" ht="25.5" x14ac:dyDescent="0.2">
      <c r="B74" s="151"/>
      <c r="C74" s="155"/>
      <c r="D74" s="92">
        <v>67</v>
      </c>
      <c r="E74" s="19" t="s">
        <v>1247</v>
      </c>
      <c r="F74" s="92" t="s">
        <v>18</v>
      </c>
      <c r="G74" s="95" t="s">
        <v>2204</v>
      </c>
      <c r="H74" s="92" t="s">
        <v>10</v>
      </c>
      <c r="I74" s="92" t="s">
        <v>15</v>
      </c>
      <c r="J74" s="19" t="s">
        <v>1631</v>
      </c>
      <c r="K74" s="58">
        <v>33103</v>
      </c>
      <c r="L74" s="59">
        <v>1990</v>
      </c>
      <c r="M74" s="95">
        <f>2019-1990</f>
        <v>29</v>
      </c>
      <c r="N74" s="92" t="s">
        <v>3</v>
      </c>
      <c r="O74" s="92" t="s">
        <v>1632</v>
      </c>
      <c r="P74" s="19" t="s">
        <v>1677</v>
      </c>
      <c r="Q74" s="92"/>
      <c r="R74" s="19" t="s">
        <v>39</v>
      </c>
    </row>
    <row r="75" spans="2:18" x14ac:dyDescent="0.2">
      <c r="B75" s="151">
        <v>19</v>
      </c>
      <c r="C75" s="151"/>
      <c r="D75" s="92">
        <v>68</v>
      </c>
      <c r="E75" s="19" t="s">
        <v>1248</v>
      </c>
      <c r="F75" s="92" t="s">
        <v>7</v>
      </c>
      <c r="G75" s="95" t="s">
        <v>1249</v>
      </c>
      <c r="H75" s="92" t="s">
        <v>1</v>
      </c>
      <c r="I75" s="92" t="s">
        <v>2</v>
      </c>
      <c r="J75" s="19"/>
      <c r="K75" s="58">
        <v>28125</v>
      </c>
      <c r="L75" s="93">
        <f t="shared" ref="L75:L77" si="5">YEAR(K75)</f>
        <v>1976</v>
      </c>
      <c r="M75" s="95">
        <f t="shared" ref="M75:M77" si="6">2019-L75</f>
        <v>43</v>
      </c>
      <c r="N75" s="92" t="s">
        <v>3</v>
      </c>
      <c r="O75" s="92"/>
      <c r="P75" s="19" t="s">
        <v>35</v>
      </c>
      <c r="Q75" s="92"/>
      <c r="R75" s="19" t="s">
        <v>43</v>
      </c>
    </row>
    <row r="76" spans="2:18" x14ac:dyDescent="0.2">
      <c r="B76" s="151"/>
      <c r="C76" s="151"/>
      <c r="D76" s="92">
        <v>69</v>
      </c>
      <c r="E76" s="19" t="s">
        <v>1250</v>
      </c>
      <c r="F76" s="92" t="s">
        <v>12</v>
      </c>
      <c r="G76" s="95" t="s">
        <v>1251</v>
      </c>
      <c r="H76" s="92" t="s">
        <v>10</v>
      </c>
      <c r="I76" s="92" t="s">
        <v>2</v>
      </c>
      <c r="J76" s="19"/>
      <c r="K76" s="58">
        <v>28855</v>
      </c>
      <c r="L76" s="93">
        <f t="shared" si="5"/>
        <v>1978</v>
      </c>
      <c r="M76" s="95">
        <f t="shared" si="6"/>
        <v>41</v>
      </c>
      <c r="N76" s="92" t="s">
        <v>3</v>
      </c>
      <c r="O76" s="92"/>
      <c r="P76" s="19" t="s">
        <v>27</v>
      </c>
      <c r="Q76" s="92"/>
      <c r="R76" s="19" t="s">
        <v>43</v>
      </c>
    </row>
    <row r="77" spans="2:18" x14ac:dyDescent="0.2">
      <c r="B77" s="151"/>
      <c r="C77" s="151"/>
      <c r="D77" s="92">
        <v>70</v>
      </c>
      <c r="E77" s="19" t="s">
        <v>1252</v>
      </c>
      <c r="F77" s="92" t="s">
        <v>18</v>
      </c>
      <c r="G77" s="95" t="s">
        <v>1253</v>
      </c>
      <c r="H77" s="92" t="s">
        <v>10</v>
      </c>
      <c r="I77" s="92" t="s">
        <v>15</v>
      </c>
      <c r="J77" s="19"/>
      <c r="K77" s="58">
        <v>38264</v>
      </c>
      <c r="L77" s="93">
        <f t="shared" si="5"/>
        <v>2004</v>
      </c>
      <c r="M77" s="95">
        <f t="shared" si="6"/>
        <v>15</v>
      </c>
      <c r="N77" s="92" t="s">
        <v>3</v>
      </c>
      <c r="O77" s="92"/>
      <c r="P77" s="19" t="s">
        <v>16</v>
      </c>
      <c r="Q77" s="92"/>
      <c r="R77" s="19" t="s">
        <v>16</v>
      </c>
    </row>
    <row r="78" spans="2:18" ht="25.5" x14ac:dyDescent="0.2">
      <c r="B78" s="151">
        <v>20</v>
      </c>
      <c r="C78" s="155" t="s">
        <v>2032</v>
      </c>
      <c r="D78" s="92">
        <v>71</v>
      </c>
      <c r="E78" s="19" t="s">
        <v>1188</v>
      </c>
      <c r="F78" s="92" t="s">
        <v>7</v>
      </c>
      <c r="G78" s="95" t="s">
        <v>2033</v>
      </c>
      <c r="H78" s="92" t="s">
        <v>1</v>
      </c>
      <c r="I78" s="92" t="s">
        <v>2</v>
      </c>
      <c r="J78" s="19" t="s">
        <v>1631</v>
      </c>
      <c r="K78" s="58">
        <v>21941</v>
      </c>
      <c r="L78" s="59">
        <v>1960</v>
      </c>
      <c r="M78" s="95">
        <f>2019-1960</f>
        <v>59</v>
      </c>
      <c r="N78" s="92" t="s">
        <v>3</v>
      </c>
      <c r="O78" s="92" t="s">
        <v>1632</v>
      </c>
      <c r="P78" s="19" t="s">
        <v>1641</v>
      </c>
      <c r="Q78" s="92"/>
      <c r="R78" s="19" t="s">
        <v>39</v>
      </c>
    </row>
    <row r="79" spans="2:18" ht="15" customHeight="1" x14ac:dyDescent="0.2">
      <c r="B79" s="151"/>
      <c r="C79" s="155"/>
      <c r="D79" s="92">
        <v>72</v>
      </c>
      <c r="E79" s="19" t="s">
        <v>1254</v>
      </c>
      <c r="F79" s="92" t="s">
        <v>12</v>
      </c>
      <c r="G79" s="95" t="s">
        <v>2034</v>
      </c>
      <c r="H79" s="92" t="s">
        <v>10</v>
      </c>
      <c r="I79" s="92" t="s">
        <v>1255</v>
      </c>
      <c r="J79" s="19" t="s">
        <v>1644</v>
      </c>
      <c r="K79" s="58">
        <v>22098</v>
      </c>
      <c r="L79" s="59">
        <v>1960</v>
      </c>
      <c r="M79" s="95">
        <f>2019-1960</f>
        <v>59</v>
      </c>
      <c r="N79" s="92" t="s">
        <v>3</v>
      </c>
      <c r="O79" s="92" t="s">
        <v>1632</v>
      </c>
      <c r="P79" s="19" t="s">
        <v>1641</v>
      </c>
      <c r="Q79" s="92"/>
      <c r="R79" s="19" t="s">
        <v>1851</v>
      </c>
    </row>
    <row r="80" spans="2:18" ht="25.5" x14ac:dyDescent="0.2">
      <c r="B80" s="151"/>
      <c r="C80" s="155"/>
      <c r="D80" s="92">
        <v>73</v>
      </c>
      <c r="E80" s="19" t="s">
        <v>1256</v>
      </c>
      <c r="F80" s="92" t="s">
        <v>18</v>
      </c>
      <c r="G80" s="95" t="s">
        <v>2035</v>
      </c>
      <c r="H80" s="92" t="s">
        <v>10</v>
      </c>
      <c r="I80" s="92" t="s">
        <v>15</v>
      </c>
      <c r="J80" s="19" t="s">
        <v>1644</v>
      </c>
      <c r="K80" s="58">
        <v>35910</v>
      </c>
      <c r="L80" s="59">
        <v>1998</v>
      </c>
      <c r="M80" s="95">
        <f>2019-1998</f>
        <v>21</v>
      </c>
      <c r="N80" s="92" t="s">
        <v>3</v>
      </c>
      <c r="O80" s="92" t="s">
        <v>1632</v>
      </c>
      <c r="P80" s="19" t="s">
        <v>1677</v>
      </c>
      <c r="Q80" s="92"/>
      <c r="R80" s="19" t="s">
        <v>1638</v>
      </c>
    </row>
    <row r="81" spans="2:18" x14ac:dyDescent="0.2">
      <c r="B81" s="151">
        <v>21</v>
      </c>
      <c r="C81" s="151"/>
      <c r="D81" s="92">
        <v>74</v>
      </c>
      <c r="E81" s="19" t="s">
        <v>1257</v>
      </c>
      <c r="F81" s="92" t="s">
        <v>7</v>
      </c>
      <c r="G81" s="95" t="s">
        <v>1258</v>
      </c>
      <c r="H81" s="92" t="s">
        <v>1</v>
      </c>
      <c r="I81" s="92" t="s">
        <v>2</v>
      </c>
      <c r="J81" s="19"/>
      <c r="K81" s="58">
        <v>30721</v>
      </c>
      <c r="L81" s="93">
        <f t="shared" ref="L81:L94" si="7">YEAR(K81)</f>
        <v>1984</v>
      </c>
      <c r="M81" s="95">
        <f t="shared" ref="M81:M94" si="8">2019-L81</f>
        <v>35</v>
      </c>
      <c r="N81" s="92" t="s">
        <v>3</v>
      </c>
      <c r="O81" s="92"/>
      <c r="P81" s="19" t="s">
        <v>27</v>
      </c>
      <c r="Q81" s="92"/>
      <c r="R81" s="19" t="s">
        <v>39</v>
      </c>
    </row>
    <row r="82" spans="2:18" ht="25.5" x14ac:dyDescent="0.2">
      <c r="B82" s="151"/>
      <c r="C82" s="151"/>
      <c r="D82" s="92">
        <v>75</v>
      </c>
      <c r="E82" s="19" t="s">
        <v>1259</v>
      </c>
      <c r="F82" s="92" t="s">
        <v>12</v>
      </c>
      <c r="G82" s="95">
        <v>5271054306850000</v>
      </c>
      <c r="H82" s="92" t="s">
        <v>10</v>
      </c>
      <c r="I82" s="92" t="s">
        <v>2</v>
      </c>
      <c r="J82" s="19"/>
      <c r="K82" s="58">
        <v>30470</v>
      </c>
      <c r="L82" s="93">
        <f t="shared" si="7"/>
        <v>1983</v>
      </c>
      <c r="M82" s="95">
        <f t="shared" si="8"/>
        <v>36</v>
      </c>
      <c r="N82" s="92" t="s">
        <v>3</v>
      </c>
      <c r="O82" s="92"/>
      <c r="P82" s="19" t="s">
        <v>4</v>
      </c>
      <c r="Q82" s="92"/>
      <c r="R82" s="19" t="s">
        <v>11</v>
      </c>
    </row>
    <row r="83" spans="2:18" x14ac:dyDescent="0.2">
      <c r="B83" s="151"/>
      <c r="C83" s="151"/>
      <c r="D83" s="92">
        <v>76</v>
      </c>
      <c r="E83" s="19" t="s">
        <v>1260</v>
      </c>
      <c r="F83" s="92" t="s">
        <v>1261</v>
      </c>
      <c r="G83" s="95" t="s">
        <v>1262</v>
      </c>
      <c r="H83" s="92" t="s">
        <v>10</v>
      </c>
      <c r="I83" s="92" t="s">
        <v>15</v>
      </c>
      <c r="J83" s="19"/>
      <c r="K83" s="58">
        <v>41908</v>
      </c>
      <c r="L83" s="93">
        <f t="shared" si="7"/>
        <v>2014</v>
      </c>
      <c r="M83" s="95">
        <f t="shared" si="8"/>
        <v>5</v>
      </c>
      <c r="N83" s="92" t="s">
        <v>3</v>
      </c>
      <c r="O83" s="92"/>
      <c r="P83" s="19" t="s">
        <v>16</v>
      </c>
      <c r="Q83" s="92"/>
      <c r="R83" s="19" t="s">
        <v>16</v>
      </c>
    </row>
    <row r="84" spans="2:18" x14ac:dyDescent="0.2">
      <c r="B84" s="152">
        <v>22</v>
      </c>
      <c r="C84" s="152"/>
      <c r="D84" s="92">
        <v>77</v>
      </c>
      <c r="E84" s="19" t="s">
        <v>1263</v>
      </c>
      <c r="F84" s="92" t="s">
        <v>7</v>
      </c>
      <c r="G84" s="95" t="s">
        <v>1264</v>
      </c>
      <c r="H84" s="92" t="s">
        <v>1</v>
      </c>
      <c r="I84" s="92" t="s">
        <v>2</v>
      </c>
      <c r="J84" s="19"/>
      <c r="K84" s="58">
        <v>27029</v>
      </c>
      <c r="L84" s="93">
        <f t="shared" si="7"/>
        <v>1973</v>
      </c>
      <c r="M84" s="95">
        <f t="shared" si="8"/>
        <v>46</v>
      </c>
      <c r="N84" s="92" t="s">
        <v>3</v>
      </c>
      <c r="O84" s="92"/>
      <c r="P84" s="19" t="s">
        <v>16</v>
      </c>
      <c r="Q84" s="92"/>
      <c r="R84" s="19" t="s">
        <v>28</v>
      </c>
    </row>
    <row r="85" spans="2:18" x14ac:dyDescent="0.2">
      <c r="B85" s="153"/>
      <c r="C85" s="153"/>
      <c r="D85" s="92">
        <v>78</v>
      </c>
      <c r="E85" s="19" t="s">
        <v>1265</v>
      </c>
      <c r="F85" s="92" t="s">
        <v>12</v>
      </c>
      <c r="G85" s="95" t="s">
        <v>1266</v>
      </c>
      <c r="H85" s="92" t="s">
        <v>10</v>
      </c>
      <c r="I85" s="92" t="s">
        <v>2</v>
      </c>
      <c r="J85" s="19"/>
      <c r="K85" s="58">
        <v>29409</v>
      </c>
      <c r="L85" s="93">
        <f t="shared" si="7"/>
        <v>1980</v>
      </c>
      <c r="M85" s="95">
        <f t="shared" si="8"/>
        <v>39</v>
      </c>
      <c r="N85" s="92" t="s">
        <v>3</v>
      </c>
      <c r="O85" s="92"/>
      <c r="P85" s="19" t="s">
        <v>35</v>
      </c>
      <c r="Q85" s="92"/>
      <c r="R85" s="19" t="s">
        <v>43</v>
      </c>
    </row>
    <row r="86" spans="2:18" x14ac:dyDescent="0.2">
      <c r="B86" s="153"/>
      <c r="C86" s="153"/>
      <c r="D86" s="92">
        <v>79</v>
      </c>
      <c r="E86" s="19" t="s">
        <v>1267</v>
      </c>
      <c r="F86" s="92" t="s">
        <v>18</v>
      </c>
      <c r="G86" s="95" t="s">
        <v>1268</v>
      </c>
      <c r="H86" s="92" t="s">
        <v>10</v>
      </c>
      <c r="I86" s="92" t="s">
        <v>15</v>
      </c>
      <c r="J86" s="19"/>
      <c r="K86" s="58">
        <v>37083</v>
      </c>
      <c r="L86" s="93">
        <f t="shared" si="7"/>
        <v>2001</v>
      </c>
      <c r="M86" s="95">
        <f t="shared" si="8"/>
        <v>18</v>
      </c>
      <c r="N86" s="92" t="s">
        <v>3</v>
      </c>
      <c r="O86" s="92"/>
      <c r="P86" s="19" t="s">
        <v>46</v>
      </c>
      <c r="Q86" s="92"/>
      <c r="R86" s="19" t="s">
        <v>16</v>
      </c>
    </row>
    <row r="87" spans="2:18" ht="25.5" x14ac:dyDescent="0.2">
      <c r="B87" s="154"/>
      <c r="C87" s="154"/>
      <c r="D87" s="92">
        <v>80</v>
      </c>
      <c r="E87" s="19" t="s">
        <v>1269</v>
      </c>
      <c r="F87" s="92" t="s">
        <v>18</v>
      </c>
      <c r="G87" s="95" t="s">
        <v>1270</v>
      </c>
      <c r="H87" s="92" t="s">
        <v>10</v>
      </c>
      <c r="I87" s="92" t="s">
        <v>15</v>
      </c>
      <c r="J87" s="19"/>
      <c r="K87" s="58">
        <v>40704</v>
      </c>
      <c r="L87" s="93">
        <f t="shared" si="7"/>
        <v>2011</v>
      </c>
      <c r="M87" s="95">
        <f t="shared" si="8"/>
        <v>8</v>
      </c>
      <c r="N87" s="92" t="s">
        <v>3</v>
      </c>
      <c r="O87" s="92"/>
      <c r="P87" s="19" t="s">
        <v>16</v>
      </c>
      <c r="Q87" s="92"/>
      <c r="R87" s="19" t="s">
        <v>16</v>
      </c>
    </row>
    <row r="88" spans="2:18" x14ac:dyDescent="0.2">
      <c r="B88" s="151">
        <v>23</v>
      </c>
      <c r="C88" s="151"/>
      <c r="D88" s="92">
        <v>81</v>
      </c>
      <c r="E88" s="19" t="s">
        <v>1271</v>
      </c>
      <c r="F88" s="92" t="s">
        <v>7</v>
      </c>
      <c r="G88" s="95" t="s">
        <v>1272</v>
      </c>
      <c r="H88" s="92" t="s">
        <v>1</v>
      </c>
      <c r="I88" s="92" t="s">
        <v>2</v>
      </c>
      <c r="J88" s="19"/>
      <c r="K88" s="58">
        <v>29358</v>
      </c>
      <c r="L88" s="93">
        <f t="shared" si="7"/>
        <v>1980</v>
      </c>
      <c r="M88" s="95">
        <f t="shared" si="8"/>
        <v>39</v>
      </c>
      <c r="N88" s="92" t="s">
        <v>3</v>
      </c>
      <c r="O88" s="92"/>
      <c r="P88" s="19" t="s">
        <v>35</v>
      </c>
      <c r="Q88" s="92"/>
      <c r="R88" s="19" t="s">
        <v>28</v>
      </c>
    </row>
    <row r="89" spans="2:18" x14ac:dyDescent="0.2">
      <c r="B89" s="151"/>
      <c r="C89" s="151"/>
      <c r="D89" s="92">
        <v>82</v>
      </c>
      <c r="E89" s="19" t="s">
        <v>1273</v>
      </c>
      <c r="F89" s="92" t="s">
        <v>12</v>
      </c>
      <c r="G89" s="95" t="s">
        <v>1274</v>
      </c>
      <c r="H89" s="92" t="s">
        <v>10</v>
      </c>
      <c r="I89" s="92" t="s">
        <v>2</v>
      </c>
      <c r="J89" s="19"/>
      <c r="K89" s="58">
        <v>29579</v>
      </c>
      <c r="L89" s="93">
        <f t="shared" si="7"/>
        <v>1980</v>
      </c>
      <c r="M89" s="95">
        <f t="shared" si="8"/>
        <v>39</v>
      </c>
      <c r="N89" s="92" t="s">
        <v>3</v>
      </c>
      <c r="O89" s="92"/>
      <c r="P89" s="19" t="s">
        <v>35</v>
      </c>
      <c r="Q89" s="92"/>
      <c r="R89" s="19" t="s">
        <v>43</v>
      </c>
    </row>
    <row r="90" spans="2:18" ht="25.5" x14ac:dyDescent="0.2">
      <c r="B90" s="151"/>
      <c r="C90" s="151"/>
      <c r="D90" s="92">
        <v>83</v>
      </c>
      <c r="E90" s="19" t="s">
        <v>1275</v>
      </c>
      <c r="F90" s="92" t="s">
        <v>18</v>
      </c>
      <c r="G90" s="95" t="s">
        <v>1276</v>
      </c>
      <c r="H90" s="92" t="s">
        <v>10</v>
      </c>
      <c r="I90" s="92" t="s">
        <v>15</v>
      </c>
      <c r="J90" s="19"/>
      <c r="K90" s="58">
        <v>40297</v>
      </c>
      <c r="L90" s="93">
        <f t="shared" si="7"/>
        <v>2010</v>
      </c>
      <c r="M90" s="95">
        <f t="shared" si="8"/>
        <v>9</v>
      </c>
      <c r="N90" s="92" t="s">
        <v>3</v>
      </c>
      <c r="O90" s="92"/>
      <c r="P90" s="19" t="s">
        <v>16</v>
      </c>
      <c r="Q90" s="92"/>
      <c r="R90" s="19" t="s">
        <v>16</v>
      </c>
    </row>
    <row r="91" spans="2:18" ht="25.5" x14ac:dyDescent="0.2">
      <c r="B91" s="151"/>
      <c r="C91" s="151"/>
      <c r="D91" s="92">
        <v>84</v>
      </c>
      <c r="E91" s="19" t="s">
        <v>1277</v>
      </c>
      <c r="F91" s="92" t="s">
        <v>18</v>
      </c>
      <c r="G91" s="95" t="s">
        <v>1278</v>
      </c>
      <c r="H91" s="92" t="s">
        <v>1</v>
      </c>
      <c r="I91" s="92" t="s">
        <v>15</v>
      </c>
      <c r="J91" s="19"/>
      <c r="K91" s="58">
        <v>41253</v>
      </c>
      <c r="L91" s="93">
        <f t="shared" si="7"/>
        <v>2012</v>
      </c>
      <c r="M91" s="95">
        <f t="shared" si="8"/>
        <v>7</v>
      </c>
      <c r="N91" s="92" t="s">
        <v>3</v>
      </c>
      <c r="O91" s="92"/>
      <c r="P91" s="19" t="s">
        <v>16</v>
      </c>
      <c r="Q91" s="92"/>
      <c r="R91" s="19" t="s">
        <v>16</v>
      </c>
    </row>
    <row r="92" spans="2:18" x14ac:dyDescent="0.2">
      <c r="B92" s="151">
        <v>24</v>
      </c>
      <c r="C92" s="151"/>
      <c r="D92" s="92">
        <v>85</v>
      </c>
      <c r="E92" s="19" t="s">
        <v>1279</v>
      </c>
      <c r="F92" s="92" t="s">
        <v>7</v>
      </c>
      <c r="G92" s="95" t="s">
        <v>1280</v>
      </c>
      <c r="H92" s="92" t="s">
        <v>1</v>
      </c>
      <c r="I92" s="92" t="s">
        <v>2</v>
      </c>
      <c r="J92" s="19"/>
      <c r="K92" s="58">
        <v>23742</v>
      </c>
      <c r="L92" s="93">
        <f t="shared" si="7"/>
        <v>1964</v>
      </c>
      <c r="M92" s="95">
        <f t="shared" si="8"/>
        <v>55</v>
      </c>
      <c r="N92" s="92" t="s">
        <v>3</v>
      </c>
      <c r="O92" s="92"/>
      <c r="P92" s="19" t="s">
        <v>46</v>
      </c>
      <c r="Q92" s="92"/>
      <c r="R92" s="19" t="s">
        <v>39</v>
      </c>
    </row>
    <row r="93" spans="2:18" x14ac:dyDescent="0.2">
      <c r="B93" s="151"/>
      <c r="C93" s="151"/>
      <c r="D93" s="92">
        <v>86</v>
      </c>
      <c r="E93" s="19" t="s">
        <v>1281</v>
      </c>
      <c r="F93" s="92" t="s">
        <v>12</v>
      </c>
      <c r="G93" s="95" t="s">
        <v>1282</v>
      </c>
      <c r="H93" s="92" t="s">
        <v>10</v>
      </c>
      <c r="I93" s="92" t="s">
        <v>2</v>
      </c>
      <c r="J93" s="19"/>
      <c r="K93" s="58">
        <v>25568</v>
      </c>
      <c r="L93" s="93">
        <f t="shared" si="7"/>
        <v>1969</v>
      </c>
      <c r="M93" s="95">
        <f t="shared" si="8"/>
        <v>50</v>
      </c>
      <c r="N93" s="92" t="s">
        <v>3</v>
      </c>
      <c r="O93" s="92"/>
      <c r="P93" s="19" t="s">
        <v>46</v>
      </c>
      <c r="Q93" s="92"/>
      <c r="R93" s="19" t="s">
        <v>16</v>
      </c>
    </row>
    <row r="94" spans="2:18" x14ac:dyDescent="0.2">
      <c r="B94" s="151"/>
      <c r="C94" s="151"/>
      <c r="D94" s="92">
        <v>87</v>
      </c>
      <c r="E94" s="19" t="s">
        <v>1283</v>
      </c>
      <c r="F94" s="92" t="s">
        <v>18</v>
      </c>
      <c r="G94" s="95" t="s">
        <v>1284</v>
      </c>
      <c r="H94" s="92" t="s">
        <v>1</v>
      </c>
      <c r="I94" s="92" t="s">
        <v>15</v>
      </c>
      <c r="J94" s="19"/>
      <c r="K94" s="58">
        <v>38306</v>
      </c>
      <c r="L94" s="93">
        <f t="shared" si="7"/>
        <v>2004</v>
      </c>
      <c r="M94" s="95">
        <f t="shared" si="8"/>
        <v>15</v>
      </c>
      <c r="N94" s="92" t="s">
        <v>3</v>
      </c>
      <c r="O94" s="92"/>
      <c r="P94" s="19" t="s">
        <v>16</v>
      </c>
      <c r="Q94" s="92"/>
      <c r="R94" s="19" t="s">
        <v>16</v>
      </c>
    </row>
    <row r="95" spans="2:18" ht="25.5" x14ac:dyDescent="0.2">
      <c r="B95" s="92">
        <v>25</v>
      </c>
      <c r="C95" s="95" t="s">
        <v>2027</v>
      </c>
      <c r="D95" s="92">
        <v>88</v>
      </c>
      <c r="E95" s="19" t="s">
        <v>1285</v>
      </c>
      <c r="F95" s="92" t="s">
        <v>7</v>
      </c>
      <c r="G95" s="95" t="s">
        <v>2028</v>
      </c>
      <c r="H95" s="92" t="s">
        <v>10</v>
      </c>
      <c r="I95" s="92" t="s">
        <v>1735</v>
      </c>
      <c r="J95" s="19" t="s">
        <v>1631</v>
      </c>
      <c r="K95" s="58">
        <v>25922</v>
      </c>
      <c r="L95" s="59">
        <v>1970</v>
      </c>
      <c r="M95" s="95">
        <f>2019-1970</f>
        <v>49</v>
      </c>
      <c r="N95" s="92" t="s">
        <v>3</v>
      </c>
      <c r="O95" s="92" t="s">
        <v>1632</v>
      </c>
      <c r="P95" s="19" t="s">
        <v>1635</v>
      </c>
      <c r="Q95" s="92"/>
      <c r="R95" s="19" t="s">
        <v>1808</v>
      </c>
    </row>
    <row r="96" spans="2:18" ht="25.5" x14ac:dyDescent="0.2">
      <c r="B96" s="152">
        <v>26</v>
      </c>
      <c r="C96" s="155" t="s">
        <v>2012</v>
      </c>
      <c r="D96" s="92">
        <v>89</v>
      </c>
      <c r="E96" s="19" t="s">
        <v>1286</v>
      </c>
      <c r="F96" s="92" t="s">
        <v>7</v>
      </c>
      <c r="G96" s="95" t="s">
        <v>2013</v>
      </c>
      <c r="H96" s="92" t="s">
        <v>1</v>
      </c>
      <c r="I96" s="92" t="s">
        <v>2</v>
      </c>
      <c r="J96" s="19" t="s">
        <v>1644</v>
      </c>
      <c r="K96" s="58">
        <v>25568</v>
      </c>
      <c r="L96" s="59">
        <v>1969</v>
      </c>
      <c r="M96" s="95">
        <f>2019-1969</f>
        <v>50</v>
      </c>
      <c r="N96" s="92" t="s">
        <v>3</v>
      </c>
      <c r="O96" s="92" t="s">
        <v>1632</v>
      </c>
      <c r="P96" s="19" t="s">
        <v>1732</v>
      </c>
      <c r="Q96" s="92"/>
      <c r="R96" s="19" t="s">
        <v>2017</v>
      </c>
    </row>
    <row r="97" spans="2:18" ht="25.5" x14ac:dyDescent="0.2">
      <c r="B97" s="153"/>
      <c r="C97" s="155"/>
      <c r="D97" s="92">
        <v>90</v>
      </c>
      <c r="E97" s="19" t="s">
        <v>1287</v>
      </c>
      <c r="F97" s="92" t="s">
        <v>12</v>
      </c>
      <c r="G97" s="95" t="s">
        <v>2015</v>
      </c>
      <c r="H97" s="92" t="s">
        <v>10</v>
      </c>
      <c r="I97" s="92" t="s">
        <v>2</v>
      </c>
      <c r="J97" s="19" t="s">
        <v>1644</v>
      </c>
      <c r="K97" s="58">
        <v>23383</v>
      </c>
      <c r="L97" s="59">
        <v>1964</v>
      </c>
      <c r="M97" s="95">
        <f>2019-1964</f>
        <v>55</v>
      </c>
      <c r="N97" s="92" t="s">
        <v>3</v>
      </c>
      <c r="O97" s="92" t="s">
        <v>1632</v>
      </c>
      <c r="P97" s="19" t="s">
        <v>1652</v>
      </c>
      <c r="Q97" s="92"/>
      <c r="R97" s="19" t="s">
        <v>1808</v>
      </c>
    </row>
    <row r="98" spans="2:18" ht="25.5" x14ac:dyDescent="0.2">
      <c r="B98" s="153"/>
      <c r="C98" s="155"/>
      <c r="D98" s="92">
        <v>91</v>
      </c>
      <c r="E98" s="19" t="s">
        <v>1290</v>
      </c>
      <c r="F98" s="92" t="s">
        <v>18</v>
      </c>
      <c r="G98" s="95" t="s">
        <v>2014</v>
      </c>
      <c r="H98" s="92" t="s">
        <v>1</v>
      </c>
      <c r="I98" s="92" t="s">
        <v>15</v>
      </c>
      <c r="J98" s="19" t="s">
        <v>1644</v>
      </c>
      <c r="K98" s="58">
        <v>35596</v>
      </c>
      <c r="L98" s="59">
        <v>1997</v>
      </c>
      <c r="M98" s="95">
        <f>2019-1997</f>
        <v>22</v>
      </c>
      <c r="N98" s="92" t="s">
        <v>3</v>
      </c>
      <c r="O98" s="92" t="s">
        <v>1632</v>
      </c>
      <c r="P98" s="19" t="s">
        <v>1677</v>
      </c>
      <c r="Q98" s="92"/>
      <c r="R98" s="19" t="s">
        <v>1625</v>
      </c>
    </row>
    <row r="99" spans="2:18" ht="25.5" x14ac:dyDescent="0.2">
      <c r="B99" s="154"/>
      <c r="C99" s="155"/>
      <c r="D99" s="92">
        <v>92</v>
      </c>
      <c r="E99" s="19" t="s">
        <v>1291</v>
      </c>
      <c r="F99" s="92" t="s">
        <v>18</v>
      </c>
      <c r="G99" s="95" t="s">
        <v>2016</v>
      </c>
      <c r="H99" s="92" t="s">
        <v>1</v>
      </c>
      <c r="I99" s="92" t="s">
        <v>15</v>
      </c>
      <c r="J99" s="19" t="s">
        <v>1644</v>
      </c>
      <c r="K99" s="58">
        <v>38035</v>
      </c>
      <c r="L99" s="59">
        <v>2004</v>
      </c>
      <c r="M99" s="95">
        <f>2019-2004</f>
        <v>15</v>
      </c>
      <c r="N99" s="92" t="s">
        <v>3</v>
      </c>
      <c r="O99" s="92" t="s">
        <v>1632</v>
      </c>
      <c r="P99" s="19" t="s">
        <v>1732</v>
      </c>
      <c r="Q99" s="92"/>
      <c r="R99" s="19" t="s">
        <v>1625</v>
      </c>
    </row>
    <row r="100" spans="2:18" x14ac:dyDescent="0.2">
      <c r="B100" s="151">
        <v>27</v>
      </c>
      <c r="C100" s="151"/>
      <c r="D100" s="92">
        <v>93</v>
      </c>
      <c r="E100" s="19" t="s">
        <v>1292</v>
      </c>
      <c r="F100" s="92" t="s">
        <v>7</v>
      </c>
      <c r="G100" s="95" t="s">
        <v>1293</v>
      </c>
      <c r="H100" s="92" t="s">
        <v>10</v>
      </c>
      <c r="I100" s="92" t="s">
        <v>21</v>
      </c>
      <c r="J100" s="19"/>
      <c r="K100" s="58">
        <v>20682</v>
      </c>
      <c r="L100" s="93">
        <f t="shared" ref="L100:L104" si="9">YEAR(K100)</f>
        <v>1956</v>
      </c>
      <c r="M100" s="95">
        <f t="shared" ref="M100:M104" si="10">2019-L100</f>
        <v>63</v>
      </c>
      <c r="N100" s="92" t="s">
        <v>3</v>
      </c>
      <c r="O100" s="92"/>
      <c r="P100" s="19" t="s">
        <v>46</v>
      </c>
      <c r="Q100" s="92"/>
      <c r="R100" s="19" t="s">
        <v>54</v>
      </c>
    </row>
    <row r="101" spans="2:18" x14ac:dyDescent="0.2">
      <c r="B101" s="151"/>
      <c r="C101" s="151"/>
      <c r="D101" s="92">
        <v>94</v>
      </c>
      <c r="E101" s="19" t="s">
        <v>1294</v>
      </c>
      <c r="F101" s="92" t="s">
        <v>18</v>
      </c>
      <c r="G101" s="95" t="s">
        <v>1295</v>
      </c>
      <c r="H101" s="92" t="s">
        <v>10</v>
      </c>
      <c r="I101" s="92" t="s">
        <v>15</v>
      </c>
      <c r="J101" s="19"/>
      <c r="K101" s="58">
        <v>32759</v>
      </c>
      <c r="L101" s="93">
        <f t="shared" si="9"/>
        <v>1989</v>
      </c>
      <c r="M101" s="95">
        <f t="shared" si="10"/>
        <v>30</v>
      </c>
      <c r="N101" s="92" t="s">
        <v>3</v>
      </c>
      <c r="O101" s="92"/>
      <c r="P101" s="19" t="s">
        <v>4</v>
      </c>
      <c r="Q101" s="92"/>
      <c r="R101" s="19" t="s">
        <v>11</v>
      </c>
    </row>
    <row r="102" spans="2:18" x14ac:dyDescent="0.2">
      <c r="B102" s="151">
        <v>28</v>
      </c>
      <c r="C102" s="151"/>
      <c r="D102" s="92">
        <v>95</v>
      </c>
      <c r="E102" s="19" t="s">
        <v>1296</v>
      </c>
      <c r="F102" s="92" t="s">
        <v>7</v>
      </c>
      <c r="G102" s="95" t="s">
        <v>1297</v>
      </c>
      <c r="H102" s="92" t="s">
        <v>1</v>
      </c>
      <c r="I102" s="92" t="s">
        <v>2</v>
      </c>
      <c r="J102" s="19"/>
      <c r="K102" s="58">
        <v>22988</v>
      </c>
      <c r="L102" s="93">
        <f t="shared" si="9"/>
        <v>1962</v>
      </c>
      <c r="M102" s="95">
        <f t="shared" si="10"/>
        <v>57</v>
      </c>
      <c r="N102" s="92" t="s">
        <v>3</v>
      </c>
      <c r="O102" s="92"/>
      <c r="P102" s="19" t="s">
        <v>46</v>
      </c>
      <c r="Q102" s="92"/>
      <c r="R102" s="19" t="s">
        <v>28</v>
      </c>
    </row>
    <row r="103" spans="2:18" x14ac:dyDescent="0.2">
      <c r="B103" s="151"/>
      <c r="C103" s="151"/>
      <c r="D103" s="92">
        <v>96</v>
      </c>
      <c r="E103" s="19" t="s">
        <v>1298</v>
      </c>
      <c r="F103" s="92" t="s">
        <v>12</v>
      </c>
      <c r="G103" s="95" t="s">
        <v>1299</v>
      </c>
      <c r="H103" s="92" t="s">
        <v>10</v>
      </c>
      <c r="I103" s="92" t="s">
        <v>2</v>
      </c>
      <c r="J103" s="19"/>
      <c r="K103" s="58">
        <v>22812</v>
      </c>
      <c r="L103" s="93">
        <f t="shared" si="9"/>
        <v>1962</v>
      </c>
      <c r="M103" s="95">
        <f t="shared" si="10"/>
        <v>57</v>
      </c>
      <c r="N103" s="92" t="s">
        <v>3</v>
      </c>
      <c r="O103" s="92"/>
      <c r="P103" s="19" t="s">
        <v>46</v>
      </c>
      <c r="Q103" s="92"/>
      <c r="R103" s="19" t="s">
        <v>43</v>
      </c>
    </row>
    <row r="104" spans="2:18" x14ac:dyDescent="0.2">
      <c r="B104" s="151"/>
      <c r="C104" s="151"/>
      <c r="D104" s="92">
        <v>97</v>
      </c>
      <c r="E104" s="19" t="s">
        <v>1300</v>
      </c>
      <c r="F104" s="92" t="s">
        <v>18</v>
      </c>
      <c r="G104" s="95" t="s">
        <v>1301</v>
      </c>
      <c r="H104" s="92" t="s">
        <v>10</v>
      </c>
      <c r="I104" s="92" t="s">
        <v>15</v>
      </c>
      <c r="J104" s="19"/>
      <c r="K104" s="58">
        <v>31856</v>
      </c>
      <c r="L104" s="93">
        <f t="shared" si="9"/>
        <v>1987</v>
      </c>
      <c r="M104" s="95">
        <f t="shared" si="10"/>
        <v>32</v>
      </c>
      <c r="N104" s="92" t="s">
        <v>3</v>
      </c>
      <c r="O104" s="92"/>
      <c r="P104" s="19" t="s">
        <v>46</v>
      </c>
      <c r="Q104" s="92"/>
      <c r="R104" s="19" t="s">
        <v>28</v>
      </c>
    </row>
    <row r="105" spans="2:18" ht="25.5" x14ac:dyDescent="0.2">
      <c r="B105" s="151">
        <v>29</v>
      </c>
      <c r="C105" s="151" t="s">
        <v>1642</v>
      </c>
      <c r="D105" s="92">
        <v>98</v>
      </c>
      <c r="E105" s="19" t="s">
        <v>1302</v>
      </c>
      <c r="F105" s="92" t="s">
        <v>7</v>
      </c>
      <c r="G105" s="95" t="s">
        <v>1643</v>
      </c>
      <c r="H105" s="92" t="s">
        <v>1</v>
      </c>
      <c r="I105" s="92" t="s">
        <v>2</v>
      </c>
      <c r="J105" s="19" t="s">
        <v>1644</v>
      </c>
      <c r="K105" s="58">
        <v>30787</v>
      </c>
      <c r="L105" s="59">
        <v>1984</v>
      </c>
      <c r="M105" s="95">
        <f>2019-1984</f>
        <v>35</v>
      </c>
      <c r="N105" s="92" t="s">
        <v>3</v>
      </c>
      <c r="O105" s="92" t="s">
        <v>1632</v>
      </c>
      <c r="P105" s="19" t="s">
        <v>1645</v>
      </c>
      <c r="Q105" s="92"/>
      <c r="R105" s="19" t="s">
        <v>1625</v>
      </c>
    </row>
    <row r="106" spans="2:18" ht="25.5" x14ac:dyDescent="0.2">
      <c r="B106" s="151"/>
      <c r="C106" s="151"/>
      <c r="D106" s="92">
        <v>99</v>
      </c>
      <c r="E106" s="19" t="s">
        <v>1303</v>
      </c>
      <c r="F106" s="92" t="s">
        <v>12</v>
      </c>
      <c r="G106" s="95" t="s">
        <v>1646</v>
      </c>
      <c r="H106" s="92" t="s">
        <v>10</v>
      </c>
      <c r="I106" s="92" t="s">
        <v>2</v>
      </c>
      <c r="J106" s="19" t="s">
        <v>1647</v>
      </c>
      <c r="K106" s="58">
        <v>30672</v>
      </c>
      <c r="L106" s="59">
        <v>1982</v>
      </c>
      <c r="M106" s="95">
        <f>2019-1982</f>
        <v>37</v>
      </c>
      <c r="N106" s="92" t="s">
        <v>3</v>
      </c>
      <c r="O106" s="92" t="s">
        <v>1632</v>
      </c>
      <c r="P106" s="19" t="s">
        <v>27</v>
      </c>
      <c r="Q106" s="92"/>
      <c r="R106" s="19" t="s">
        <v>1648</v>
      </c>
    </row>
    <row r="107" spans="2:18" ht="25.5" x14ac:dyDescent="0.2">
      <c r="B107" s="151"/>
      <c r="C107" s="151"/>
      <c r="D107" s="92">
        <v>100</v>
      </c>
      <c r="E107" s="19" t="s">
        <v>1649</v>
      </c>
      <c r="F107" s="92" t="s">
        <v>18</v>
      </c>
      <c r="G107" s="95" t="s">
        <v>1650</v>
      </c>
      <c r="H107" s="92" t="s">
        <v>1</v>
      </c>
      <c r="I107" s="92" t="s">
        <v>15</v>
      </c>
      <c r="J107" s="19" t="s">
        <v>1651</v>
      </c>
      <c r="K107" s="58">
        <v>41021</v>
      </c>
      <c r="L107" s="59">
        <v>2012</v>
      </c>
      <c r="M107" s="95">
        <f>2019-2012</f>
        <v>7</v>
      </c>
      <c r="N107" s="92" t="s">
        <v>3</v>
      </c>
      <c r="O107" s="92" t="s">
        <v>1632</v>
      </c>
      <c r="P107" s="19" t="s">
        <v>1652</v>
      </c>
      <c r="Q107" s="92"/>
      <c r="R107" s="19" t="s">
        <v>16</v>
      </c>
    </row>
    <row r="108" spans="2:18" x14ac:dyDescent="0.2">
      <c r="B108" s="151">
        <v>30</v>
      </c>
      <c r="C108" s="151"/>
      <c r="D108" s="92">
        <v>101</v>
      </c>
      <c r="E108" s="19" t="s">
        <v>1304</v>
      </c>
      <c r="F108" s="92" t="s">
        <v>7</v>
      </c>
      <c r="G108" s="95" t="s">
        <v>1305</v>
      </c>
      <c r="H108" s="92" t="s">
        <v>10</v>
      </c>
      <c r="I108" s="92" t="s">
        <v>21</v>
      </c>
      <c r="J108" s="19"/>
      <c r="K108" s="58">
        <v>19890</v>
      </c>
      <c r="L108" s="93">
        <f t="shared" ref="L108:L109" si="11">YEAR(K108)</f>
        <v>1954</v>
      </c>
      <c r="M108" s="95">
        <f t="shared" ref="M108:M109" si="12">2019-L108</f>
        <v>65</v>
      </c>
      <c r="N108" s="92" t="s">
        <v>3</v>
      </c>
      <c r="O108" s="92"/>
      <c r="P108" s="19" t="s">
        <v>16</v>
      </c>
      <c r="Q108" s="92"/>
      <c r="R108" s="19" t="s">
        <v>28</v>
      </c>
    </row>
    <row r="109" spans="2:18" x14ac:dyDescent="0.2">
      <c r="B109" s="151"/>
      <c r="C109" s="151"/>
      <c r="D109" s="92">
        <v>102</v>
      </c>
      <c r="E109" s="19" t="s">
        <v>1306</v>
      </c>
      <c r="F109" s="92" t="s">
        <v>18</v>
      </c>
      <c r="G109" s="95" t="s">
        <v>1307</v>
      </c>
      <c r="H109" s="92" t="s">
        <v>10</v>
      </c>
      <c r="I109" s="92" t="s">
        <v>15</v>
      </c>
      <c r="J109" s="19"/>
      <c r="K109" s="58">
        <v>28595</v>
      </c>
      <c r="L109" s="93">
        <f t="shared" si="11"/>
        <v>1978</v>
      </c>
      <c r="M109" s="95">
        <f t="shared" si="12"/>
        <v>41</v>
      </c>
      <c r="N109" s="92" t="s">
        <v>3</v>
      </c>
      <c r="O109" s="92"/>
      <c r="P109" s="19" t="s">
        <v>46</v>
      </c>
      <c r="Q109" s="92"/>
      <c r="R109" s="19" t="s">
        <v>28</v>
      </c>
    </row>
    <row r="110" spans="2:18" ht="25.5" x14ac:dyDescent="0.2">
      <c r="B110" s="151">
        <v>31</v>
      </c>
      <c r="C110" s="151" t="s">
        <v>2036</v>
      </c>
      <c r="D110" s="92">
        <v>103</v>
      </c>
      <c r="E110" s="19" t="s">
        <v>1308</v>
      </c>
      <c r="F110" s="92" t="s">
        <v>7</v>
      </c>
      <c r="G110" s="95" t="s">
        <v>1309</v>
      </c>
      <c r="H110" s="92" t="s">
        <v>1</v>
      </c>
      <c r="I110" s="92" t="s">
        <v>2</v>
      </c>
      <c r="J110" s="19" t="s">
        <v>1631</v>
      </c>
      <c r="K110" s="58">
        <v>23924</v>
      </c>
      <c r="L110" s="59">
        <v>1965</v>
      </c>
      <c r="M110" s="95">
        <f>2019-1965</f>
        <v>54</v>
      </c>
      <c r="N110" s="92" t="s">
        <v>3</v>
      </c>
      <c r="O110" s="92" t="s">
        <v>1632</v>
      </c>
      <c r="P110" s="19" t="s">
        <v>1732</v>
      </c>
      <c r="Q110" s="92"/>
      <c r="R110" s="19" t="s">
        <v>1808</v>
      </c>
    </row>
    <row r="111" spans="2:18" ht="14.25" customHeight="1" x14ac:dyDescent="0.2">
      <c r="B111" s="151"/>
      <c r="C111" s="151"/>
      <c r="D111" s="92">
        <v>104</v>
      </c>
      <c r="E111" s="19" t="s">
        <v>2255</v>
      </c>
      <c r="F111" s="92" t="s">
        <v>12</v>
      </c>
      <c r="G111" s="95" t="s">
        <v>1310</v>
      </c>
      <c r="H111" s="92" t="s">
        <v>10</v>
      </c>
      <c r="I111" s="92" t="s">
        <v>2</v>
      </c>
      <c r="J111" s="19" t="s">
        <v>1631</v>
      </c>
      <c r="K111" s="58">
        <v>24273</v>
      </c>
      <c r="L111" s="59">
        <v>1968</v>
      </c>
      <c r="M111" s="95">
        <f>2019-1968</f>
        <v>51</v>
      </c>
      <c r="N111" s="92" t="s">
        <v>3</v>
      </c>
      <c r="O111" s="92" t="s">
        <v>1632</v>
      </c>
      <c r="P111" s="19" t="s">
        <v>1732</v>
      </c>
      <c r="Q111" s="92"/>
      <c r="R111" s="19" t="s">
        <v>1851</v>
      </c>
    </row>
    <row r="112" spans="2:18" ht="25.5" x14ac:dyDescent="0.2">
      <c r="B112" s="151"/>
      <c r="C112" s="151"/>
      <c r="D112" s="92">
        <v>105</v>
      </c>
      <c r="E112" s="19" t="s">
        <v>1311</v>
      </c>
      <c r="F112" s="92" t="s">
        <v>18</v>
      </c>
      <c r="G112" s="95" t="s">
        <v>1312</v>
      </c>
      <c r="H112" s="92" t="s">
        <v>10</v>
      </c>
      <c r="I112" s="92" t="s">
        <v>15</v>
      </c>
      <c r="J112" s="19" t="s">
        <v>1631</v>
      </c>
      <c r="K112" s="58">
        <v>36394</v>
      </c>
      <c r="L112" s="59">
        <v>1999</v>
      </c>
      <c r="M112" s="95">
        <f>2019-1999</f>
        <v>20</v>
      </c>
      <c r="N112" s="92" t="s">
        <v>3</v>
      </c>
      <c r="O112" s="92" t="s">
        <v>1632</v>
      </c>
      <c r="P112" s="19" t="s">
        <v>1641</v>
      </c>
      <c r="Q112" s="92"/>
      <c r="R112" s="19" t="s">
        <v>1625</v>
      </c>
    </row>
    <row r="113" spans="2:18" ht="25.5" x14ac:dyDescent="0.2">
      <c r="B113" s="151">
        <v>32</v>
      </c>
      <c r="C113" s="155" t="s">
        <v>2231</v>
      </c>
      <c r="D113" s="92">
        <v>106</v>
      </c>
      <c r="E113" s="19" t="s">
        <v>1313</v>
      </c>
      <c r="F113" s="92" t="s">
        <v>7</v>
      </c>
      <c r="G113" s="95" t="s">
        <v>2234</v>
      </c>
      <c r="H113" s="92" t="s">
        <v>1</v>
      </c>
      <c r="I113" s="92" t="s">
        <v>2</v>
      </c>
      <c r="J113" s="19" t="s">
        <v>1631</v>
      </c>
      <c r="K113" s="58">
        <v>27759</v>
      </c>
      <c r="L113" s="59">
        <v>1975</v>
      </c>
      <c r="M113" s="95">
        <f>2019-1975</f>
        <v>44</v>
      </c>
      <c r="N113" s="92" t="s">
        <v>3</v>
      </c>
      <c r="O113" s="92" t="s">
        <v>1632</v>
      </c>
      <c r="P113" s="19" t="s">
        <v>1641</v>
      </c>
      <c r="Q113" s="92"/>
      <c r="R113" s="19" t="s">
        <v>1808</v>
      </c>
    </row>
    <row r="114" spans="2:18" ht="25.5" x14ac:dyDescent="0.2">
      <c r="B114" s="151"/>
      <c r="C114" s="155"/>
      <c r="D114" s="92">
        <v>107</v>
      </c>
      <c r="E114" s="19" t="s">
        <v>1315</v>
      </c>
      <c r="F114" s="92" t="s">
        <v>12</v>
      </c>
      <c r="G114" s="95" t="s">
        <v>2235</v>
      </c>
      <c r="H114" s="92" t="s">
        <v>10</v>
      </c>
      <c r="I114" s="92" t="s">
        <v>2</v>
      </c>
      <c r="J114" s="19" t="s">
        <v>1631</v>
      </c>
      <c r="K114" s="58">
        <v>28125</v>
      </c>
      <c r="L114" s="59">
        <v>1976</v>
      </c>
      <c r="M114" s="95">
        <f>2019-1976</f>
        <v>43</v>
      </c>
      <c r="N114" s="92" t="s">
        <v>3</v>
      </c>
      <c r="O114" s="92" t="s">
        <v>1632</v>
      </c>
      <c r="P114" s="19" t="s">
        <v>1732</v>
      </c>
      <c r="Q114" s="92"/>
      <c r="R114" s="19" t="s">
        <v>1764</v>
      </c>
    </row>
    <row r="115" spans="2:18" ht="25.5" x14ac:dyDescent="0.2">
      <c r="B115" s="151"/>
      <c r="C115" s="155"/>
      <c r="D115" s="92">
        <v>108</v>
      </c>
      <c r="E115" s="19" t="s">
        <v>2233</v>
      </c>
      <c r="F115" s="92" t="s">
        <v>18</v>
      </c>
      <c r="G115" s="95" t="s">
        <v>2236</v>
      </c>
      <c r="H115" s="92" t="s">
        <v>1</v>
      </c>
      <c r="I115" s="92" t="s">
        <v>15</v>
      </c>
      <c r="J115" s="19" t="s">
        <v>1736</v>
      </c>
      <c r="K115" s="58">
        <v>36086</v>
      </c>
      <c r="L115" s="59">
        <v>1995</v>
      </c>
      <c r="M115" s="95">
        <f>2019-1995</f>
        <v>24</v>
      </c>
      <c r="N115" s="92" t="s">
        <v>3</v>
      </c>
      <c r="O115" s="92" t="s">
        <v>1632</v>
      </c>
      <c r="P115" s="19" t="s">
        <v>1641</v>
      </c>
      <c r="Q115" s="92"/>
      <c r="R115" s="19" t="s">
        <v>1638</v>
      </c>
    </row>
    <row r="116" spans="2:18" ht="25.5" x14ac:dyDescent="0.2">
      <c r="B116" s="151"/>
      <c r="C116" s="155"/>
      <c r="D116" s="92">
        <v>109</v>
      </c>
      <c r="E116" s="19" t="s">
        <v>1316</v>
      </c>
      <c r="F116" s="92" t="s">
        <v>18</v>
      </c>
      <c r="G116" s="95" t="s">
        <v>1317</v>
      </c>
      <c r="H116" s="92" t="s">
        <v>10</v>
      </c>
      <c r="I116" s="92" t="s">
        <v>15</v>
      </c>
      <c r="J116" s="19" t="s">
        <v>1631</v>
      </c>
      <c r="K116" s="58">
        <v>40911</v>
      </c>
      <c r="L116" s="59">
        <v>2012</v>
      </c>
      <c r="M116" s="95">
        <f>2019-2012</f>
        <v>7</v>
      </c>
      <c r="N116" s="92" t="s">
        <v>3</v>
      </c>
      <c r="O116" s="92" t="s">
        <v>1632</v>
      </c>
      <c r="P116" s="19" t="s">
        <v>1733</v>
      </c>
      <c r="Q116" s="92"/>
      <c r="R116" s="19" t="s">
        <v>1638</v>
      </c>
    </row>
    <row r="117" spans="2:18" ht="25.5" x14ac:dyDescent="0.2">
      <c r="B117" s="151"/>
      <c r="C117" s="155"/>
      <c r="D117" s="92">
        <v>110</v>
      </c>
      <c r="E117" s="19" t="s">
        <v>2232</v>
      </c>
      <c r="F117" s="92" t="s">
        <v>18</v>
      </c>
      <c r="G117" s="95" t="s">
        <v>2237</v>
      </c>
      <c r="H117" s="92" t="s">
        <v>10</v>
      </c>
      <c r="I117" s="92" t="s">
        <v>15</v>
      </c>
      <c r="J117" s="19" t="s">
        <v>1736</v>
      </c>
      <c r="K117" s="58">
        <v>42234</v>
      </c>
      <c r="L117" s="59">
        <v>2015</v>
      </c>
      <c r="M117" s="95">
        <f>2019-2015</f>
        <v>4</v>
      </c>
      <c r="N117" s="92" t="s">
        <v>3</v>
      </c>
      <c r="O117" s="92" t="s">
        <v>1632</v>
      </c>
      <c r="P117" s="19" t="s">
        <v>1733</v>
      </c>
      <c r="Q117" s="92"/>
      <c r="R117" s="19" t="s">
        <v>1638</v>
      </c>
    </row>
    <row r="118" spans="2:18" x14ac:dyDescent="0.2">
      <c r="B118" s="151">
        <v>33</v>
      </c>
      <c r="C118" s="151"/>
      <c r="D118" s="92">
        <v>111</v>
      </c>
      <c r="E118" s="19" t="s">
        <v>1318</v>
      </c>
      <c r="F118" s="92" t="s">
        <v>7</v>
      </c>
      <c r="G118" s="95" t="s">
        <v>1319</v>
      </c>
      <c r="H118" s="92" t="s">
        <v>1</v>
      </c>
      <c r="I118" s="92" t="s">
        <v>2</v>
      </c>
      <c r="J118" s="19"/>
      <c r="K118" s="58">
        <v>18399</v>
      </c>
      <c r="L118" s="93">
        <f t="shared" ref="L118:L122" si="13">YEAR(K118)</f>
        <v>1950</v>
      </c>
      <c r="M118" s="95">
        <f t="shared" ref="M118:M122" si="14">2019-L118</f>
        <v>69</v>
      </c>
      <c r="N118" s="92" t="s">
        <v>3</v>
      </c>
      <c r="O118" s="92"/>
      <c r="P118" s="19" t="s">
        <v>16</v>
      </c>
      <c r="Q118" s="92"/>
      <c r="R118" s="19" t="s">
        <v>28</v>
      </c>
    </row>
    <row r="119" spans="2:18" x14ac:dyDescent="0.2">
      <c r="B119" s="151"/>
      <c r="C119" s="151"/>
      <c r="D119" s="92">
        <v>112</v>
      </c>
      <c r="E119" s="19" t="s">
        <v>1320</v>
      </c>
      <c r="F119" s="92" t="s">
        <v>12</v>
      </c>
      <c r="G119" s="95" t="s">
        <v>1321</v>
      </c>
      <c r="H119" s="92" t="s">
        <v>10</v>
      </c>
      <c r="I119" s="92" t="s">
        <v>2</v>
      </c>
      <c r="J119" s="19"/>
      <c r="K119" s="58">
        <v>22105</v>
      </c>
      <c r="L119" s="93">
        <f t="shared" si="13"/>
        <v>1960</v>
      </c>
      <c r="M119" s="95">
        <f t="shared" si="14"/>
        <v>59</v>
      </c>
      <c r="N119" s="92" t="s">
        <v>3</v>
      </c>
      <c r="O119" s="92"/>
      <c r="P119" s="19" t="s">
        <v>16</v>
      </c>
      <c r="Q119" s="92"/>
      <c r="R119" s="19" t="s">
        <v>28</v>
      </c>
    </row>
    <row r="120" spans="2:18" x14ac:dyDescent="0.2">
      <c r="B120" s="151"/>
      <c r="C120" s="151"/>
      <c r="D120" s="92">
        <v>113</v>
      </c>
      <c r="E120" s="19" t="s">
        <v>1322</v>
      </c>
      <c r="F120" s="92" t="s">
        <v>18</v>
      </c>
      <c r="G120" s="95" t="s">
        <v>1323</v>
      </c>
      <c r="H120" s="92" t="s">
        <v>1</v>
      </c>
      <c r="I120" s="92" t="s">
        <v>15</v>
      </c>
      <c r="J120" s="19"/>
      <c r="K120" s="58">
        <v>30845</v>
      </c>
      <c r="L120" s="93">
        <f t="shared" si="13"/>
        <v>1984</v>
      </c>
      <c r="M120" s="95">
        <f t="shared" si="14"/>
        <v>35</v>
      </c>
      <c r="N120" s="92" t="s">
        <v>3</v>
      </c>
      <c r="O120" s="92"/>
      <c r="P120" s="19" t="s">
        <v>27</v>
      </c>
      <c r="Q120" s="92"/>
      <c r="R120" s="19" t="s">
        <v>28</v>
      </c>
    </row>
    <row r="121" spans="2:18" ht="25.5" x14ac:dyDescent="0.2">
      <c r="B121" s="151"/>
      <c r="C121" s="151"/>
      <c r="D121" s="92">
        <v>114</v>
      </c>
      <c r="E121" s="19" t="s">
        <v>1324</v>
      </c>
      <c r="F121" s="92" t="s">
        <v>18</v>
      </c>
      <c r="G121" s="95" t="s">
        <v>1325</v>
      </c>
      <c r="H121" s="92" t="s">
        <v>10</v>
      </c>
      <c r="I121" s="92" t="s">
        <v>15</v>
      </c>
      <c r="J121" s="19"/>
      <c r="K121" s="58">
        <v>35231</v>
      </c>
      <c r="L121" s="93">
        <f t="shared" si="13"/>
        <v>1996</v>
      </c>
      <c r="M121" s="95">
        <f t="shared" si="14"/>
        <v>23</v>
      </c>
      <c r="N121" s="92" t="s">
        <v>3</v>
      </c>
      <c r="O121" s="92"/>
      <c r="P121" s="19" t="s">
        <v>27</v>
      </c>
      <c r="Q121" s="92"/>
      <c r="R121" s="19" t="s">
        <v>28</v>
      </c>
    </row>
    <row r="122" spans="2:18" x14ac:dyDescent="0.2">
      <c r="B122" s="92">
        <v>34</v>
      </c>
      <c r="C122" s="95"/>
      <c r="D122" s="92">
        <v>115</v>
      </c>
      <c r="E122" s="19" t="s">
        <v>1326</v>
      </c>
      <c r="F122" s="92" t="s">
        <v>7</v>
      </c>
      <c r="G122" s="95" t="s">
        <v>1327</v>
      </c>
      <c r="H122" s="92" t="s">
        <v>10</v>
      </c>
      <c r="I122" s="92" t="s">
        <v>21</v>
      </c>
      <c r="J122" s="19"/>
      <c r="K122" s="58">
        <v>16437</v>
      </c>
      <c r="L122" s="93">
        <f t="shared" si="13"/>
        <v>1944</v>
      </c>
      <c r="M122" s="95">
        <f t="shared" si="14"/>
        <v>75</v>
      </c>
      <c r="N122" s="92" t="s">
        <v>3</v>
      </c>
      <c r="O122" s="92"/>
      <c r="P122" s="19" t="s">
        <v>16</v>
      </c>
      <c r="Q122" s="92"/>
      <c r="R122" s="19" t="s">
        <v>16</v>
      </c>
    </row>
    <row r="123" spans="2:18" x14ac:dyDescent="0.2">
      <c r="B123" s="151">
        <v>35</v>
      </c>
      <c r="C123" s="155" t="s">
        <v>2018</v>
      </c>
      <c r="D123" s="92">
        <v>116</v>
      </c>
      <c r="E123" s="19" t="s">
        <v>2019</v>
      </c>
      <c r="F123" s="92" t="s">
        <v>7</v>
      </c>
      <c r="G123" s="95" t="s">
        <v>2024</v>
      </c>
      <c r="H123" s="92" t="s">
        <v>1</v>
      </c>
      <c r="I123" s="92" t="s">
        <v>2</v>
      </c>
      <c r="J123" s="19" t="s">
        <v>1623</v>
      </c>
      <c r="K123" s="58">
        <v>30662</v>
      </c>
      <c r="L123" s="59">
        <v>1983</v>
      </c>
      <c r="M123" s="95">
        <f>2019-1983</f>
        <v>36</v>
      </c>
      <c r="N123" s="92" t="s">
        <v>3</v>
      </c>
      <c r="O123" s="92" t="s">
        <v>1632</v>
      </c>
      <c r="P123" s="19" t="s">
        <v>1677</v>
      </c>
      <c r="Q123" s="92"/>
      <c r="R123" s="19" t="s">
        <v>39</v>
      </c>
    </row>
    <row r="124" spans="2:18" ht="15.75" customHeight="1" x14ac:dyDescent="0.2">
      <c r="B124" s="151"/>
      <c r="C124" s="155"/>
      <c r="D124" s="92">
        <v>117</v>
      </c>
      <c r="E124" s="19" t="s">
        <v>1328</v>
      </c>
      <c r="F124" s="92" t="s">
        <v>12</v>
      </c>
      <c r="G124" s="95" t="s">
        <v>2023</v>
      </c>
      <c r="H124" s="92" t="s">
        <v>10</v>
      </c>
      <c r="I124" s="92" t="s">
        <v>2</v>
      </c>
      <c r="J124" s="19" t="s">
        <v>2025</v>
      </c>
      <c r="K124" s="58">
        <v>32102</v>
      </c>
      <c r="L124" s="59">
        <v>1987</v>
      </c>
      <c r="M124" s="95">
        <f>2019-1987</f>
        <v>32</v>
      </c>
      <c r="N124" s="92" t="s">
        <v>3</v>
      </c>
      <c r="O124" s="92" t="s">
        <v>1632</v>
      </c>
      <c r="P124" s="19" t="s">
        <v>1677</v>
      </c>
      <c r="Q124" s="92"/>
      <c r="R124" s="19" t="s">
        <v>1851</v>
      </c>
    </row>
    <row r="125" spans="2:18" ht="25.5" x14ac:dyDescent="0.2">
      <c r="B125" s="151"/>
      <c r="C125" s="155"/>
      <c r="D125" s="92">
        <v>118</v>
      </c>
      <c r="E125" s="19" t="s">
        <v>2020</v>
      </c>
      <c r="F125" s="92" t="s">
        <v>18</v>
      </c>
      <c r="G125" s="95" t="s">
        <v>1329</v>
      </c>
      <c r="H125" s="92" t="s">
        <v>1</v>
      </c>
      <c r="I125" s="92" t="s">
        <v>15</v>
      </c>
      <c r="J125" s="19" t="s">
        <v>1623</v>
      </c>
      <c r="K125" s="58">
        <v>40955</v>
      </c>
      <c r="L125" s="59">
        <v>2012</v>
      </c>
      <c r="M125" s="95">
        <f>2019-2012</f>
        <v>7</v>
      </c>
      <c r="N125" s="92" t="s">
        <v>3</v>
      </c>
      <c r="O125" s="92" t="s">
        <v>1632</v>
      </c>
      <c r="P125" s="19" t="s">
        <v>1652</v>
      </c>
      <c r="Q125" s="92"/>
      <c r="R125" s="19" t="s">
        <v>1638</v>
      </c>
    </row>
    <row r="126" spans="2:18" ht="25.5" x14ac:dyDescent="0.2">
      <c r="B126" s="151"/>
      <c r="C126" s="155"/>
      <c r="D126" s="92">
        <v>119</v>
      </c>
      <c r="E126" s="19" t="s">
        <v>2021</v>
      </c>
      <c r="F126" s="92" t="s">
        <v>18</v>
      </c>
      <c r="G126" s="95" t="s">
        <v>2022</v>
      </c>
      <c r="H126" s="92" t="s">
        <v>10</v>
      </c>
      <c r="I126" s="92" t="s">
        <v>15</v>
      </c>
      <c r="J126" s="19" t="s">
        <v>1623</v>
      </c>
      <c r="K126" s="58">
        <v>42662</v>
      </c>
      <c r="L126" s="59">
        <v>2016</v>
      </c>
      <c r="M126" s="95">
        <f>2019-2016</f>
        <v>3</v>
      </c>
      <c r="N126" s="92" t="s">
        <v>3</v>
      </c>
      <c r="O126" s="92" t="s">
        <v>1632</v>
      </c>
      <c r="P126" s="19" t="s">
        <v>1652</v>
      </c>
      <c r="Q126" s="92"/>
      <c r="R126" s="19" t="s">
        <v>2026</v>
      </c>
    </row>
    <row r="127" spans="2:18" x14ac:dyDescent="0.2">
      <c r="B127" s="151">
        <v>36</v>
      </c>
      <c r="C127" s="155" t="s">
        <v>1653</v>
      </c>
      <c r="D127" s="92">
        <v>120</v>
      </c>
      <c r="E127" s="19" t="s">
        <v>1654</v>
      </c>
      <c r="F127" s="92" t="s">
        <v>7</v>
      </c>
      <c r="G127" s="95" t="s">
        <v>1330</v>
      </c>
      <c r="H127" s="92" t="s">
        <v>1</v>
      </c>
      <c r="I127" s="92" t="s">
        <v>2</v>
      </c>
      <c r="J127" s="19" t="s">
        <v>1623</v>
      </c>
      <c r="K127" s="58">
        <v>31101</v>
      </c>
      <c r="L127" s="59">
        <v>1985</v>
      </c>
      <c r="M127" s="95">
        <f>2019-L127</f>
        <v>34</v>
      </c>
      <c r="N127" s="92" t="s">
        <v>3</v>
      </c>
      <c r="O127" s="92" t="s">
        <v>1632</v>
      </c>
      <c r="P127" s="19" t="s">
        <v>27</v>
      </c>
      <c r="Q127" s="92"/>
      <c r="R127" s="19" t="s">
        <v>28</v>
      </c>
    </row>
    <row r="128" spans="2:18" x14ac:dyDescent="0.2">
      <c r="B128" s="151"/>
      <c r="C128" s="155"/>
      <c r="D128" s="92">
        <v>121</v>
      </c>
      <c r="E128" s="19" t="s">
        <v>827</v>
      </c>
      <c r="F128" s="92" t="s">
        <v>12</v>
      </c>
      <c r="G128" s="95" t="s">
        <v>1331</v>
      </c>
      <c r="H128" s="92" t="s">
        <v>10</v>
      </c>
      <c r="I128" s="92" t="s">
        <v>2</v>
      </c>
      <c r="J128" s="19" t="s">
        <v>1623</v>
      </c>
      <c r="K128" s="58">
        <v>32856</v>
      </c>
      <c r="L128" s="59">
        <v>1989</v>
      </c>
      <c r="M128" s="95">
        <f>2019-L128</f>
        <v>30</v>
      </c>
      <c r="N128" s="92" t="s">
        <v>3</v>
      </c>
      <c r="O128" s="92" t="s">
        <v>1632</v>
      </c>
      <c r="P128" s="19" t="s">
        <v>27</v>
      </c>
      <c r="Q128" s="92"/>
      <c r="R128" s="19" t="s">
        <v>28</v>
      </c>
    </row>
    <row r="129" spans="2:22" ht="25.5" x14ac:dyDescent="0.2">
      <c r="B129" s="151"/>
      <c r="C129" s="155"/>
      <c r="D129" s="92">
        <v>122</v>
      </c>
      <c r="E129" s="19" t="s">
        <v>1332</v>
      </c>
      <c r="F129" s="92" t="s">
        <v>18</v>
      </c>
      <c r="G129" s="95" t="s">
        <v>1333</v>
      </c>
      <c r="H129" s="92" t="s">
        <v>10</v>
      </c>
      <c r="I129" s="92" t="s">
        <v>15</v>
      </c>
      <c r="J129" s="19" t="s">
        <v>1623</v>
      </c>
      <c r="K129" s="58">
        <v>40764</v>
      </c>
      <c r="L129" s="59">
        <v>2011</v>
      </c>
      <c r="M129" s="95">
        <f>2019-L129</f>
        <v>8</v>
      </c>
      <c r="N129" s="92" t="s">
        <v>3</v>
      </c>
      <c r="O129" s="92" t="s">
        <v>1632</v>
      </c>
      <c r="P129" s="19" t="s">
        <v>1655</v>
      </c>
      <c r="Q129" s="92"/>
      <c r="R129" s="19" t="s">
        <v>16</v>
      </c>
    </row>
    <row r="130" spans="2:22" ht="25.5" x14ac:dyDescent="0.2">
      <c r="B130" s="151"/>
      <c r="C130" s="155"/>
      <c r="D130" s="92">
        <v>123</v>
      </c>
      <c r="E130" s="19" t="s">
        <v>2062</v>
      </c>
      <c r="F130" s="92" t="s">
        <v>18</v>
      </c>
      <c r="G130" s="95" t="s">
        <v>2063</v>
      </c>
      <c r="H130" s="92" t="s">
        <v>10</v>
      </c>
      <c r="I130" s="92" t="s">
        <v>15</v>
      </c>
      <c r="J130" s="19" t="s">
        <v>1736</v>
      </c>
      <c r="K130" s="58">
        <v>42901</v>
      </c>
      <c r="L130" s="59">
        <v>2017</v>
      </c>
      <c r="M130" s="95">
        <f>2019-L130</f>
        <v>2</v>
      </c>
      <c r="N130" s="92" t="s">
        <v>3</v>
      </c>
      <c r="O130" s="92" t="s">
        <v>1632</v>
      </c>
      <c r="P130" s="19"/>
      <c r="Q130" s="92"/>
      <c r="R130" s="19"/>
    </row>
    <row r="131" spans="2:22" x14ac:dyDescent="0.2">
      <c r="B131" s="151">
        <v>37</v>
      </c>
      <c r="C131" s="151"/>
      <c r="D131" s="92">
        <v>124</v>
      </c>
      <c r="E131" s="19" t="s">
        <v>1334</v>
      </c>
      <c r="F131" s="92" t="s">
        <v>7</v>
      </c>
      <c r="G131" s="95" t="s">
        <v>1335</v>
      </c>
      <c r="H131" s="92" t="s">
        <v>1</v>
      </c>
      <c r="I131" s="92" t="s">
        <v>2</v>
      </c>
      <c r="J131" s="19"/>
      <c r="K131" s="58">
        <v>25203</v>
      </c>
      <c r="L131" s="93">
        <f t="shared" ref="L131:L134" si="15">YEAR(K131)</f>
        <v>1968</v>
      </c>
      <c r="M131" s="95">
        <f t="shared" ref="M131:M134" si="16">2019-L131</f>
        <v>51</v>
      </c>
      <c r="N131" s="92" t="s">
        <v>3</v>
      </c>
      <c r="O131" s="92"/>
      <c r="P131" s="19" t="s">
        <v>46</v>
      </c>
      <c r="Q131" s="92"/>
      <c r="R131" s="19" t="s">
        <v>37</v>
      </c>
    </row>
    <row r="132" spans="2:22" x14ac:dyDescent="0.2">
      <c r="B132" s="151"/>
      <c r="C132" s="151"/>
      <c r="D132" s="92">
        <v>125</v>
      </c>
      <c r="E132" s="19" t="s">
        <v>1336</v>
      </c>
      <c r="F132" s="92" t="s">
        <v>12</v>
      </c>
      <c r="G132" s="95" t="s">
        <v>1337</v>
      </c>
      <c r="H132" s="92" t="s">
        <v>10</v>
      </c>
      <c r="I132" s="92" t="s">
        <v>2</v>
      </c>
      <c r="J132" s="19"/>
      <c r="K132" s="58">
        <v>24107</v>
      </c>
      <c r="L132" s="93">
        <f t="shared" si="15"/>
        <v>1965</v>
      </c>
      <c r="M132" s="95">
        <f t="shared" si="16"/>
        <v>54</v>
      </c>
      <c r="N132" s="92" t="s">
        <v>3</v>
      </c>
      <c r="O132" s="92"/>
      <c r="P132" s="19" t="s">
        <v>46</v>
      </c>
      <c r="Q132" s="92"/>
      <c r="R132" s="19" t="s">
        <v>37</v>
      </c>
    </row>
    <row r="133" spans="2:22" x14ac:dyDescent="0.2">
      <c r="B133" s="151"/>
      <c r="C133" s="151"/>
      <c r="D133" s="92">
        <v>126</v>
      </c>
      <c r="E133" s="19" t="s">
        <v>1338</v>
      </c>
      <c r="F133" s="92" t="s">
        <v>18</v>
      </c>
      <c r="G133" s="95" t="s">
        <v>1339</v>
      </c>
      <c r="H133" s="92" t="s">
        <v>10</v>
      </c>
      <c r="I133" s="92" t="s">
        <v>15</v>
      </c>
      <c r="J133" s="19"/>
      <c r="K133" s="58">
        <v>35824</v>
      </c>
      <c r="L133" s="93">
        <f t="shared" si="15"/>
        <v>1998</v>
      </c>
      <c r="M133" s="95">
        <f t="shared" si="16"/>
        <v>21</v>
      </c>
      <c r="N133" s="92" t="s">
        <v>3</v>
      </c>
      <c r="O133" s="92"/>
      <c r="P133" s="19" t="s">
        <v>35</v>
      </c>
      <c r="Q133" s="92"/>
      <c r="R133" s="19" t="s">
        <v>16</v>
      </c>
    </row>
    <row r="134" spans="2:22" x14ac:dyDescent="0.2">
      <c r="B134" s="92">
        <v>38</v>
      </c>
      <c r="C134" s="95"/>
      <c r="D134" s="92">
        <v>127</v>
      </c>
      <c r="E134" s="19" t="s">
        <v>1340</v>
      </c>
      <c r="F134" s="92" t="s">
        <v>7</v>
      </c>
      <c r="G134" s="95" t="s">
        <v>1341</v>
      </c>
      <c r="H134" s="92" t="s">
        <v>10</v>
      </c>
      <c r="I134" s="92" t="s">
        <v>21</v>
      </c>
      <c r="J134" s="19"/>
      <c r="K134" s="58">
        <v>11323</v>
      </c>
      <c r="L134" s="93">
        <f t="shared" si="15"/>
        <v>1930</v>
      </c>
      <c r="M134" s="95">
        <f t="shared" si="16"/>
        <v>89</v>
      </c>
      <c r="N134" s="92" t="s">
        <v>3</v>
      </c>
      <c r="O134" s="92"/>
      <c r="P134" s="19" t="s">
        <v>16</v>
      </c>
      <c r="Q134" s="92"/>
      <c r="R134" s="19" t="s">
        <v>16</v>
      </c>
    </row>
    <row r="135" spans="2:22" ht="25.5" x14ac:dyDescent="0.2">
      <c r="B135" s="151">
        <v>39</v>
      </c>
      <c r="C135" s="155">
        <v>5201010503082720</v>
      </c>
      <c r="D135" s="92">
        <v>128</v>
      </c>
      <c r="E135" s="19" t="s">
        <v>1342</v>
      </c>
      <c r="F135" s="92" t="s">
        <v>7</v>
      </c>
      <c r="G135" s="95" t="s">
        <v>1656</v>
      </c>
      <c r="H135" s="92" t="s">
        <v>1</v>
      </c>
      <c r="I135" s="92" t="s">
        <v>2</v>
      </c>
      <c r="J135" s="19" t="s">
        <v>1644</v>
      </c>
      <c r="K135" s="58">
        <v>28291</v>
      </c>
      <c r="L135" s="59">
        <v>1977</v>
      </c>
      <c r="M135" s="95">
        <f>2019-L135</f>
        <v>42</v>
      </c>
      <c r="N135" s="92" t="s">
        <v>3</v>
      </c>
      <c r="O135" s="92" t="s">
        <v>1632</v>
      </c>
      <c r="P135" s="19" t="s">
        <v>46</v>
      </c>
      <c r="Q135" s="92"/>
      <c r="R135" s="19" t="s">
        <v>39</v>
      </c>
    </row>
    <row r="136" spans="2:22" ht="25.5" x14ac:dyDescent="0.2">
      <c r="B136" s="151"/>
      <c r="C136" s="155"/>
      <c r="D136" s="92">
        <v>129</v>
      </c>
      <c r="E136" s="19" t="s">
        <v>1657</v>
      </c>
      <c r="F136" s="92" t="s">
        <v>12</v>
      </c>
      <c r="G136" s="95" t="s">
        <v>1658</v>
      </c>
      <c r="H136" s="92" t="s">
        <v>10</v>
      </c>
      <c r="I136" s="92" t="s">
        <v>2</v>
      </c>
      <c r="J136" s="19" t="s">
        <v>1659</v>
      </c>
      <c r="K136" s="58">
        <v>29985</v>
      </c>
      <c r="L136" s="59">
        <v>1982</v>
      </c>
      <c r="M136" s="95">
        <f>2019-L136</f>
        <v>37</v>
      </c>
      <c r="N136" s="92" t="s">
        <v>3</v>
      </c>
      <c r="O136" s="92" t="s">
        <v>1632</v>
      </c>
      <c r="P136" s="19" t="s">
        <v>35</v>
      </c>
      <c r="Q136" s="92"/>
      <c r="R136" s="19" t="s">
        <v>43</v>
      </c>
    </row>
    <row r="137" spans="2:22" ht="25.5" x14ac:dyDescent="0.2">
      <c r="B137" s="151"/>
      <c r="C137" s="155"/>
      <c r="D137" s="92">
        <v>130</v>
      </c>
      <c r="E137" s="19" t="s">
        <v>1343</v>
      </c>
      <c r="F137" s="92" t="s">
        <v>18</v>
      </c>
      <c r="G137" s="95" t="s">
        <v>1660</v>
      </c>
      <c r="H137" s="92" t="s">
        <v>10</v>
      </c>
      <c r="I137" s="92" t="s">
        <v>15</v>
      </c>
      <c r="J137" s="19" t="s">
        <v>1623</v>
      </c>
      <c r="K137" s="58">
        <v>37760</v>
      </c>
      <c r="L137" s="59">
        <v>2003</v>
      </c>
      <c r="M137" s="95">
        <f>2019-L137</f>
        <v>16</v>
      </c>
      <c r="N137" s="92" t="s">
        <v>3</v>
      </c>
      <c r="O137" s="92" t="s">
        <v>1632</v>
      </c>
      <c r="P137" s="19" t="s">
        <v>46</v>
      </c>
      <c r="Q137" s="92"/>
      <c r="R137" s="19" t="s">
        <v>1625</v>
      </c>
    </row>
    <row r="138" spans="2:22" ht="25.5" x14ac:dyDescent="0.2">
      <c r="B138" s="151"/>
      <c r="C138" s="155"/>
      <c r="D138" s="92">
        <v>131</v>
      </c>
      <c r="E138" s="19" t="s">
        <v>1661</v>
      </c>
      <c r="F138" s="92" t="s">
        <v>18</v>
      </c>
      <c r="G138" s="95" t="s">
        <v>1662</v>
      </c>
      <c r="H138" s="92" t="s">
        <v>1</v>
      </c>
      <c r="I138" s="92" t="s">
        <v>15</v>
      </c>
      <c r="J138" s="19" t="s">
        <v>1623</v>
      </c>
      <c r="K138" s="58">
        <v>39905</v>
      </c>
      <c r="L138" s="59">
        <v>2009</v>
      </c>
      <c r="M138" s="95">
        <f>2019-L138</f>
        <v>10</v>
      </c>
      <c r="N138" s="92" t="s">
        <v>3</v>
      </c>
      <c r="O138" s="92" t="s">
        <v>1632</v>
      </c>
      <c r="P138" s="19" t="s">
        <v>16</v>
      </c>
      <c r="Q138" s="92"/>
      <c r="R138" s="19" t="s">
        <v>1663</v>
      </c>
    </row>
    <row r="139" spans="2:22" x14ac:dyDescent="0.2">
      <c r="B139" s="151">
        <v>40</v>
      </c>
      <c r="C139" s="151"/>
      <c r="D139" s="92">
        <v>132</v>
      </c>
      <c r="E139" s="19" t="s">
        <v>1344</v>
      </c>
      <c r="F139" s="92" t="s">
        <v>7</v>
      </c>
      <c r="G139" s="95" t="s">
        <v>1345</v>
      </c>
      <c r="H139" s="92" t="s">
        <v>1</v>
      </c>
      <c r="I139" s="92" t="s">
        <v>2</v>
      </c>
      <c r="J139" s="19"/>
      <c r="K139" s="58">
        <v>13880</v>
      </c>
      <c r="L139" s="93">
        <f t="shared" ref="L139:L140" si="17">YEAR(K139)</f>
        <v>1937</v>
      </c>
      <c r="M139" s="95">
        <f t="shared" ref="M139:M140" si="18">2019-L139</f>
        <v>82</v>
      </c>
      <c r="N139" s="92" t="s">
        <v>3</v>
      </c>
      <c r="O139" s="92"/>
      <c r="P139" s="19" t="s">
        <v>16</v>
      </c>
      <c r="Q139" s="92"/>
      <c r="R139" s="19" t="s">
        <v>28</v>
      </c>
    </row>
    <row r="140" spans="2:22" x14ac:dyDescent="0.2">
      <c r="B140" s="151"/>
      <c r="C140" s="151"/>
      <c r="D140" s="92">
        <v>133</v>
      </c>
      <c r="E140" s="19" t="s">
        <v>1346</v>
      </c>
      <c r="F140" s="92" t="s">
        <v>12</v>
      </c>
      <c r="G140" s="95" t="s">
        <v>1348</v>
      </c>
      <c r="H140" s="92" t="s">
        <v>10</v>
      </c>
      <c r="I140" s="92" t="s">
        <v>2</v>
      </c>
      <c r="J140" s="19"/>
      <c r="K140" s="58">
        <v>12036</v>
      </c>
      <c r="L140" s="93">
        <f t="shared" si="17"/>
        <v>1932</v>
      </c>
      <c r="M140" s="95">
        <f t="shared" si="18"/>
        <v>87</v>
      </c>
      <c r="N140" s="92" t="s">
        <v>3</v>
      </c>
      <c r="O140" s="92"/>
      <c r="P140" s="19" t="s">
        <v>16</v>
      </c>
      <c r="Q140" s="92"/>
      <c r="R140" s="19" t="s">
        <v>1347</v>
      </c>
    </row>
    <row r="141" spans="2:22" ht="25.5" x14ac:dyDescent="0.2">
      <c r="B141" s="151">
        <v>41</v>
      </c>
      <c r="C141" s="155" t="s">
        <v>2256</v>
      </c>
      <c r="D141" s="92">
        <v>134</v>
      </c>
      <c r="E141" s="19" t="s">
        <v>1349</v>
      </c>
      <c r="F141" s="92" t="s">
        <v>7</v>
      </c>
      <c r="G141" s="95" t="s">
        <v>2256</v>
      </c>
      <c r="H141" s="92" t="s">
        <v>1</v>
      </c>
      <c r="I141" s="92" t="s">
        <v>2</v>
      </c>
      <c r="J141" s="19" t="s">
        <v>1631</v>
      </c>
      <c r="K141" s="58">
        <v>25600</v>
      </c>
      <c r="L141" s="59">
        <v>1970</v>
      </c>
      <c r="M141" s="95">
        <f>2019-1970</f>
        <v>49</v>
      </c>
      <c r="N141" s="92" t="s">
        <v>3</v>
      </c>
      <c r="O141" s="92" t="s">
        <v>1632</v>
      </c>
      <c r="P141" s="19" t="s">
        <v>1732</v>
      </c>
      <c r="Q141" s="92"/>
      <c r="R141" s="19" t="s">
        <v>2263</v>
      </c>
      <c r="V141" s="52" t="s">
        <v>1978</v>
      </c>
    </row>
    <row r="142" spans="2:22" ht="25.5" x14ac:dyDescent="0.2">
      <c r="B142" s="151"/>
      <c r="C142" s="155"/>
      <c r="D142" s="92">
        <v>135</v>
      </c>
      <c r="E142" s="19" t="s">
        <v>2257</v>
      </c>
      <c r="F142" s="92" t="s">
        <v>12</v>
      </c>
      <c r="G142" s="95" t="s">
        <v>2260</v>
      </c>
      <c r="H142" s="92" t="s">
        <v>10</v>
      </c>
      <c r="I142" s="92" t="s">
        <v>2</v>
      </c>
      <c r="J142" s="19" t="s">
        <v>1631</v>
      </c>
      <c r="K142" s="58">
        <v>28703</v>
      </c>
      <c r="L142" s="59">
        <v>1978</v>
      </c>
      <c r="M142" s="95">
        <f>2019-1978</f>
        <v>41</v>
      </c>
      <c r="N142" s="92" t="s">
        <v>3</v>
      </c>
      <c r="O142" s="92" t="s">
        <v>1632</v>
      </c>
      <c r="P142" s="19" t="s">
        <v>1732</v>
      </c>
      <c r="Q142" s="92"/>
      <c r="R142" s="19" t="s">
        <v>1851</v>
      </c>
    </row>
    <row r="143" spans="2:22" ht="25.5" x14ac:dyDescent="0.2">
      <c r="B143" s="151"/>
      <c r="C143" s="155"/>
      <c r="D143" s="92">
        <v>136</v>
      </c>
      <c r="E143" s="19" t="s">
        <v>2258</v>
      </c>
      <c r="F143" s="92" t="s">
        <v>18</v>
      </c>
      <c r="G143" s="95" t="s">
        <v>2261</v>
      </c>
      <c r="H143" s="92" t="s">
        <v>10</v>
      </c>
      <c r="I143" s="92" t="s">
        <v>1350</v>
      </c>
      <c r="J143" s="19" t="s">
        <v>1623</v>
      </c>
      <c r="K143" s="58">
        <v>36389</v>
      </c>
      <c r="L143" s="59">
        <v>1998</v>
      </c>
      <c r="M143" s="95">
        <f>2019-1998</f>
        <v>21</v>
      </c>
      <c r="N143" s="92" t="s">
        <v>3</v>
      </c>
      <c r="O143" s="92" t="s">
        <v>1632</v>
      </c>
      <c r="P143" s="19" t="s">
        <v>1732</v>
      </c>
      <c r="Q143" s="92"/>
      <c r="R143" s="19" t="s">
        <v>1638</v>
      </c>
    </row>
    <row r="144" spans="2:22" ht="25.5" x14ac:dyDescent="0.2">
      <c r="B144" s="151"/>
      <c r="C144" s="155"/>
      <c r="D144" s="92">
        <v>137</v>
      </c>
      <c r="E144" s="19" t="s">
        <v>1351</v>
      </c>
      <c r="F144" s="92" t="s">
        <v>18</v>
      </c>
      <c r="G144" s="95" t="s">
        <v>2262</v>
      </c>
      <c r="H144" s="92" t="s">
        <v>10</v>
      </c>
      <c r="I144" s="92" t="s">
        <v>15</v>
      </c>
      <c r="J144" s="19" t="s">
        <v>1623</v>
      </c>
      <c r="K144" s="58">
        <v>38667</v>
      </c>
      <c r="L144" s="59">
        <v>2006</v>
      </c>
      <c r="M144" s="95">
        <f>2019-2006</f>
        <v>13</v>
      </c>
      <c r="N144" s="92" t="s">
        <v>3</v>
      </c>
      <c r="O144" s="92" t="s">
        <v>1632</v>
      </c>
      <c r="P144" s="19" t="s">
        <v>1733</v>
      </c>
      <c r="Q144" s="92"/>
      <c r="R144" s="19" t="s">
        <v>1638</v>
      </c>
    </row>
    <row r="145" spans="2:18" ht="25.5" x14ac:dyDescent="0.2">
      <c r="B145" s="151"/>
      <c r="C145" s="155"/>
      <c r="D145" s="92">
        <v>138</v>
      </c>
      <c r="E145" s="19" t="s">
        <v>2259</v>
      </c>
      <c r="F145" s="92" t="s">
        <v>18</v>
      </c>
      <c r="G145" s="95" t="s">
        <v>1352</v>
      </c>
      <c r="H145" s="92" t="s">
        <v>1</v>
      </c>
      <c r="I145" s="92" t="s">
        <v>15</v>
      </c>
      <c r="J145" s="19" t="s">
        <v>1898</v>
      </c>
      <c r="K145" s="58">
        <v>40281</v>
      </c>
      <c r="L145" s="59">
        <v>2010</v>
      </c>
      <c r="M145" s="95">
        <f>2019-2010</f>
        <v>9</v>
      </c>
      <c r="N145" s="92" t="s">
        <v>3</v>
      </c>
      <c r="O145" s="92" t="s">
        <v>1632</v>
      </c>
      <c r="P145" s="19" t="s">
        <v>1652</v>
      </c>
      <c r="Q145" s="92"/>
      <c r="R145" s="19" t="s">
        <v>1638</v>
      </c>
    </row>
    <row r="146" spans="2:18" ht="25.5" x14ac:dyDescent="0.2">
      <c r="B146" s="151"/>
      <c r="C146" s="155"/>
      <c r="D146" s="92">
        <v>139</v>
      </c>
      <c r="E146" s="19" t="s">
        <v>1353</v>
      </c>
      <c r="F146" s="92" t="s">
        <v>18</v>
      </c>
      <c r="G146" s="95" t="s">
        <v>1354</v>
      </c>
      <c r="H146" s="92" t="s">
        <v>1</v>
      </c>
      <c r="I146" s="92" t="s">
        <v>15</v>
      </c>
      <c r="J146" s="19" t="s">
        <v>1623</v>
      </c>
      <c r="K146" s="58">
        <v>40905</v>
      </c>
      <c r="L146" s="59">
        <v>2011</v>
      </c>
      <c r="M146" s="95">
        <f>2019-2011</f>
        <v>8</v>
      </c>
      <c r="N146" s="92" t="s">
        <v>3</v>
      </c>
      <c r="O146" s="92" t="s">
        <v>1632</v>
      </c>
      <c r="P146" s="19" t="s">
        <v>1733</v>
      </c>
      <c r="Q146" s="92"/>
      <c r="R146" s="19" t="s">
        <v>1638</v>
      </c>
    </row>
    <row r="147" spans="2:18" ht="25.5" x14ac:dyDescent="0.2">
      <c r="B147" s="152">
        <v>42</v>
      </c>
      <c r="C147" s="155" t="s">
        <v>2264</v>
      </c>
      <c r="D147" s="92">
        <v>140</v>
      </c>
      <c r="E147" s="19" t="s">
        <v>47</v>
      </c>
      <c r="F147" s="92" t="s">
        <v>7</v>
      </c>
      <c r="G147" s="95" t="s">
        <v>1355</v>
      </c>
      <c r="H147" s="92" t="s">
        <v>1</v>
      </c>
      <c r="I147" s="92" t="s">
        <v>2</v>
      </c>
      <c r="J147" s="19" t="s">
        <v>1631</v>
      </c>
      <c r="K147" s="58">
        <v>25273</v>
      </c>
      <c r="L147" s="59">
        <v>1989</v>
      </c>
      <c r="M147" s="95">
        <f>2019-1989</f>
        <v>30</v>
      </c>
      <c r="N147" s="92" t="s">
        <v>3</v>
      </c>
      <c r="O147" s="92" t="s">
        <v>1632</v>
      </c>
      <c r="P147" s="19" t="s">
        <v>1732</v>
      </c>
      <c r="Q147" s="92"/>
      <c r="R147" s="19" t="s">
        <v>1830</v>
      </c>
    </row>
    <row r="148" spans="2:18" ht="25.5" x14ac:dyDescent="0.2">
      <c r="B148" s="153"/>
      <c r="C148" s="155"/>
      <c r="D148" s="92">
        <v>141</v>
      </c>
      <c r="E148" s="19" t="s">
        <v>1356</v>
      </c>
      <c r="F148" s="92" t="s">
        <v>12</v>
      </c>
      <c r="G148" s="95" t="s">
        <v>2266</v>
      </c>
      <c r="H148" s="92" t="s">
        <v>10</v>
      </c>
      <c r="I148" s="92" t="s">
        <v>2</v>
      </c>
      <c r="J148" s="19" t="s">
        <v>2270</v>
      </c>
      <c r="K148" s="58">
        <v>27394</v>
      </c>
      <c r="L148" s="59">
        <v>1974</v>
      </c>
      <c r="M148" s="95">
        <f>2019-1974</f>
        <v>45</v>
      </c>
      <c r="N148" s="92" t="s">
        <v>3</v>
      </c>
      <c r="O148" s="92" t="s">
        <v>1632</v>
      </c>
      <c r="P148" s="19" t="s">
        <v>1732</v>
      </c>
      <c r="Q148" s="92"/>
      <c r="R148" s="19" t="s">
        <v>1851</v>
      </c>
    </row>
    <row r="149" spans="2:18" x14ac:dyDescent="0.2">
      <c r="B149" s="153"/>
      <c r="C149" s="155"/>
      <c r="D149" s="92">
        <v>142</v>
      </c>
      <c r="E149" s="19" t="s">
        <v>1357</v>
      </c>
      <c r="F149" s="92" t="s">
        <v>18</v>
      </c>
      <c r="G149" s="95" t="s">
        <v>1358</v>
      </c>
      <c r="H149" s="92" t="s">
        <v>10</v>
      </c>
      <c r="I149" s="92" t="s">
        <v>15</v>
      </c>
      <c r="J149" s="19" t="s">
        <v>2270</v>
      </c>
      <c r="K149" s="58">
        <v>34412</v>
      </c>
      <c r="L149" s="59">
        <v>1994</v>
      </c>
      <c r="M149" s="95">
        <f>2019-1994</f>
        <v>25</v>
      </c>
      <c r="N149" s="92" t="s">
        <v>3</v>
      </c>
      <c r="O149" s="92" t="s">
        <v>1632</v>
      </c>
      <c r="P149" s="19" t="s">
        <v>1641</v>
      </c>
      <c r="Q149" s="92"/>
      <c r="R149" s="19" t="s">
        <v>1772</v>
      </c>
    </row>
    <row r="150" spans="2:18" ht="25.5" x14ac:dyDescent="0.2">
      <c r="B150" s="153"/>
      <c r="C150" s="155"/>
      <c r="D150" s="92">
        <v>143</v>
      </c>
      <c r="E150" s="19" t="s">
        <v>1359</v>
      </c>
      <c r="F150" s="92" t="s">
        <v>18</v>
      </c>
      <c r="G150" s="98" t="s">
        <v>2267</v>
      </c>
      <c r="H150" s="92" t="s">
        <v>1</v>
      </c>
      <c r="I150" s="92" t="s">
        <v>15</v>
      </c>
      <c r="J150" s="19" t="s">
        <v>2270</v>
      </c>
      <c r="K150" s="58">
        <v>36021</v>
      </c>
      <c r="L150" s="59">
        <v>1998</v>
      </c>
      <c r="M150" s="95">
        <f>2019-1998</f>
        <v>21</v>
      </c>
      <c r="N150" s="92" t="s">
        <v>3</v>
      </c>
      <c r="O150" s="92" t="s">
        <v>1632</v>
      </c>
      <c r="P150" s="19" t="s">
        <v>1677</v>
      </c>
      <c r="Q150" s="92"/>
      <c r="R150" s="19" t="s">
        <v>1638</v>
      </c>
    </row>
    <row r="151" spans="2:18" ht="25.5" x14ac:dyDescent="0.2">
      <c r="B151" s="153"/>
      <c r="C151" s="155"/>
      <c r="D151" s="92">
        <v>144</v>
      </c>
      <c r="E151" s="19" t="s">
        <v>1360</v>
      </c>
      <c r="F151" s="92" t="s">
        <v>18</v>
      </c>
      <c r="G151" s="95" t="s">
        <v>2268</v>
      </c>
      <c r="H151" s="92" t="s">
        <v>1</v>
      </c>
      <c r="I151" s="92" t="s">
        <v>15</v>
      </c>
      <c r="J151" s="19" t="s">
        <v>2270</v>
      </c>
      <c r="K151" s="58">
        <v>39746</v>
      </c>
      <c r="L151" s="59">
        <v>2008</v>
      </c>
      <c r="M151" s="95">
        <f>2019-2008</f>
        <v>11</v>
      </c>
      <c r="N151" s="92" t="s">
        <v>3</v>
      </c>
      <c r="O151" s="92" t="s">
        <v>1632</v>
      </c>
      <c r="P151" s="19" t="s">
        <v>1635</v>
      </c>
      <c r="Q151" s="92"/>
      <c r="R151" s="19" t="s">
        <v>1625</v>
      </c>
    </row>
    <row r="152" spans="2:18" ht="25.5" x14ac:dyDescent="0.2">
      <c r="B152" s="154"/>
      <c r="C152" s="155"/>
      <c r="D152" s="92">
        <v>145</v>
      </c>
      <c r="E152" s="19" t="s">
        <v>2265</v>
      </c>
      <c r="F152" s="92" t="s">
        <v>75</v>
      </c>
      <c r="G152" s="95" t="s">
        <v>2269</v>
      </c>
      <c r="H152" s="92" t="s">
        <v>10</v>
      </c>
      <c r="I152" s="92" t="s">
        <v>15</v>
      </c>
      <c r="J152" s="19" t="s">
        <v>1623</v>
      </c>
      <c r="K152" s="58">
        <v>42298</v>
      </c>
      <c r="L152" s="59">
        <v>2015</v>
      </c>
      <c r="M152" s="95">
        <f>2019-2015</f>
        <v>4</v>
      </c>
      <c r="N152" s="92" t="s">
        <v>3</v>
      </c>
      <c r="O152" s="92" t="s">
        <v>1632</v>
      </c>
      <c r="P152" s="19" t="s">
        <v>1733</v>
      </c>
      <c r="Q152" s="92"/>
      <c r="R152" s="19" t="s">
        <v>1638</v>
      </c>
    </row>
    <row r="153" spans="2:18" x14ac:dyDescent="0.2">
      <c r="B153" s="151">
        <v>43</v>
      </c>
      <c r="C153" s="151"/>
      <c r="D153" s="92">
        <v>146</v>
      </c>
      <c r="E153" s="19" t="s">
        <v>1361</v>
      </c>
      <c r="F153" s="92" t="s">
        <v>7</v>
      </c>
      <c r="G153" s="95" t="s">
        <v>1362</v>
      </c>
      <c r="H153" s="92" t="s">
        <v>1</v>
      </c>
      <c r="I153" s="92" t="s">
        <v>2</v>
      </c>
      <c r="J153" s="19"/>
      <c r="K153" s="58">
        <v>21124</v>
      </c>
      <c r="L153" s="93">
        <f t="shared" ref="L153:L159" si="19">YEAR(K153)</f>
        <v>1957</v>
      </c>
      <c r="M153" s="95">
        <f t="shared" ref="M153:M159" si="20">2019-L153</f>
        <v>62</v>
      </c>
      <c r="N153" s="92" t="s">
        <v>3</v>
      </c>
      <c r="O153" s="92"/>
      <c r="P153" s="19" t="s">
        <v>16</v>
      </c>
      <c r="Q153" s="92"/>
      <c r="R153" s="19" t="s">
        <v>43</v>
      </c>
    </row>
    <row r="154" spans="2:18" x14ac:dyDescent="0.2">
      <c r="B154" s="151"/>
      <c r="C154" s="151"/>
      <c r="D154" s="92">
        <v>147</v>
      </c>
      <c r="E154" s="19" t="s">
        <v>1363</v>
      </c>
      <c r="F154" s="92" t="s">
        <v>12</v>
      </c>
      <c r="G154" s="95" t="s">
        <v>1364</v>
      </c>
      <c r="H154" s="92" t="s">
        <v>10</v>
      </c>
      <c r="I154" s="92" t="s">
        <v>2</v>
      </c>
      <c r="J154" s="19"/>
      <c r="K154" s="58">
        <v>23604</v>
      </c>
      <c r="L154" s="93">
        <f t="shared" si="19"/>
        <v>1964</v>
      </c>
      <c r="M154" s="95">
        <f t="shared" si="20"/>
        <v>55</v>
      </c>
      <c r="N154" s="92" t="s">
        <v>3</v>
      </c>
      <c r="O154" s="92"/>
      <c r="P154" s="19" t="s">
        <v>16</v>
      </c>
      <c r="Q154" s="92"/>
      <c r="R154" s="19" t="s">
        <v>43</v>
      </c>
    </row>
    <row r="155" spans="2:18" x14ac:dyDescent="0.2">
      <c r="B155" s="151"/>
      <c r="C155" s="151"/>
      <c r="D155" s="92">
        <v>148</v>
      </c>
      <c r="E155" s="19" t="s">
        <v>1365</v>
      </c>
      <c r="F155" s="92" t="s">
        <v>18</v>
      </c>
      <c r="G155" s="95" t="s">
        <v>1366</v>
      </c>
      <c r="H155" s="92" t="s">
        <v>1</v>
      </c>
      <c r="I155" s="92" t="s">
        <v>15</v>
      </c>
      <c r="J155" s="19"/>
      <c r="K155" s="58">
        <v>34516</v>
      </c>
      <c r="L155" s="93">
        <f t="shared" si="19"/>
        <v>1994</v>
      </c>
      <c r="M155" s="95">
        <f t="shared" si="20"/>
        <v>25</v>
      </c>
      <c r="N155" s="92" t="s">
        <v>3</v>
      </c>
      <c r="O155" s="92"/>
      <c r="P155" s="19" t="s">
        <v>27</v>
      </c>
      <c r="Q155" s="92"/>
      <c r="R155" s="19" t="s">
        <v>16</v>
      </c>
    </row>
    <row r="156" spans="2:18" x14ac:dyDescent="0.2">
      <c r="B156" s="151"/>
      <c r="C156" s="151"/>
      <c r="D156" s="92">
        <v>149</v>
      </c>
      <c r="E156" s="19" t="s">
        <v>1367</v>
      </c>
      <c r="F156" s="92" t="s">
        <v>18</v>
      </c>
      <c r="G156" s="95" t="s">
        <v>1368</v>
      </c>
      <c r="H156" s="92" t="s">
        <v>10</v>
      </c>
      <c r="I156" s="92" t="s">
        <v>15</v>
      </c>
      <c r="J156" s="19"/>
      <c r="K156" s="58">
        <v>38346</v>
      </c>
      <c r="L156" s="93">
        <f t="shared" si="19"/>
        <v>2004</v>
      </c>
      <c r="M156" s="95">
        <f t="shared" si="20"/>
        <v>15</v>
      </c>
      <c r="N156" s="92" t="s">
        <v>3</v>
      </c>
      <c r="O156" s="92"/>
      <c r="P156" s="19" t="s">
        <v>16</v>
      </c>
      <c r="Q156" s="92"/>
      <c r="R156" s="19" t="s">
        <v>16</v>
      </c>
    </row>
    <row r="157" spans="2:18" x14ac:dyDescent="0.2">
      <c r="B157" s="92">
        <v>44</v>
      </c>
      <c r="C157" s="95"/>
      <c r="D157" s="92">
        <v>150</v>
      </c>
      <c r="E157" s="19" t="s">
        <v>224</v>
      </c>
      <c r="F157" s="92" t="s">
        <v>7</v>
      </c>
      <c r="G157" s="95" t="s">
        <v>1369</v>
      </c>
      <c r="H157" s="92" t="s">
        <v>1</v>
      </c>
      <c r="I157" s="92" t="s">
        <v>80</v>
      </c>
      <c r="J157" s="19"/>
      <c r="K157" s="58">
        <v>32690</v>
      </c>
      <c r="L157" s="93">
        <f t="shared" si="19"/>
        <v>1989</v>
      </c>
      <c r="M157" s="95">
        <f t="shared" si="20"/>
        <v>30</v>
      </c>
      <c r="N157" s="92" t="s">
        <v>3</v>
      </c>
      <c r="O157" s="92"/>
      <c r="P157" s="19" t="s">
        <v>16</v>
      </c>
      <c r="Q157" s="92"/>
      <c r="R157" s="19" t="s">
        <v>43</v>
      </c>
    </row>
    <row r="158" spans="2:18" x14ac:dyDescent="0.2">
      <c r="B158" s="152">
        <v>45</v>
      </c>
      <c r="C158" s="152"/>
      <c r="D158" s="92">
        <v>151</v>
      </c>
      <c r="E158" s="19" t="s">
        <v>1370</v>
      </c>
      <c r="F158" s="92" t="s">
        <v>7</v>
      </c>
      <c r="G158" s="95" t="s">
        <v>1371</v>
      </c>
      <c r="H158" s="92" t="s">
        <v>10</v>
      </c>
      <c r="I158" s="92" t="s">
        <v>21</v>
      </c>
      <c r="J158" s="19"/>
      <c r="K158" s="58">
        <v>29128</v>
      </c>
      <c r="L158" s="93">
        <f t="shared" si="19"/>
        <v>1979</v>
      </c>
      <c r="M158" s="95">
        <f t="shared" si="20"/>
        <v>40</v>
      </c>
      <c r="N158" s="92" t="s">
        <v>3</v>
      </c>
      <c r="O158" s="92"/>
      <c r="P158" s="19" t="s">
        <v>35</v>
      </c>
      <c r="Q158" s="92"/>
      <c r="R158" s="19" t="s">
        <v>28</v>
      </c>
    </row>
    <row r="159" spans="2:18" x14ac:dyDescent="0.2">
      <c r="B159" s="154"/>
      <c r="C159" s="154"/>
      <c r="D159" s="92">
        <v>152</v>
      </c>
      <c r="E159" s="19" t="s">
        <v>1372</v>
      </c>
      <c r="F159" s="92" t="s">
        <v>18</v>
      </c>
      <c r="G159" s="95" t="s">
        <v>1373</v>
      </c>
      <c r="H159" s="92" t="s">
        <v>1</v>
      </c>
      <c r="I159" s="92" t="s">
        <v>15</v>
      </c>
      <c r="J159" s="19"/>
      <c r="K159" s="58">
        <v>37708</v>
      </c>
      <c r="L159" s="93">
        <f t="shared" si="19"/>
        <v>2003</v>
      </c>
      <c r="M159" s="95">
        <f t="shared" si="20"/>
        <v>16</v>
      </c>
      <c r="N159" s="92" t="s">
        <v>3</v>
      </c>
      <c r="O159" s="92"/>
      <c r="P159" s="19" t="s">
        <v>16</v>
      </c>
      <c r="Q159" s="92"/>
      <c r="R159" s="19" t="s">
        <v>16</v>
      </c>
    </row>
    <row r="160" spans="2:18" x14ac:dyDescent="0.2">
      <c r="B160" s="152">
        <v>46</v>
      </c>
      <c r="C160" s="156">
        <v>5201130603080140</v>
      </c>
      <c r="D160" s="92">
        <v>153</v>
      </c>
      <c r="E160" s="19" t="s">
        <v>1374</v>
      </c>
      <c r="F160" s="92" t="s">
        <v>7</v>
      </c>
      <c r="G160" s="95">
        <v>5201133112680180</v>
      </c>
      <c r="H160" s="92" t="s">
        <v>1</v>
      </c>
      <c r="I160" s="92" t="s">
        <v>2</v>
      </c>
      <c r="J160" s="19" t="s">
        <v>1949</v>
      </c>
      <c r="K160" s="58">
        <v>25203</v>
      </c>
      <c r="L160" s="59">
        <v>1968</v>
      </c>
      <c r="M160" s="95">
        <f>2019-1968</f>
        <v>51</v>
      </c>
      <c r="N160" s="92" t="s">
        <v>3</v>
      </c>
      <c r="O160" s="92" t="s">
        <v>1632</v>
      </c>
      <c r="P160" s="19" t="s">
        <v>1641</v>
      </c>
      <c r="Q160" s="92"/>
      <c r="R160" s="19" t="s">
        <v>39</v>
      </c>
    </row>
    <row r="161" spans="2:18" ht="25.5" x14ac:dyDescent="0.2">
      <c r="B161" s="153"/>
      <c r="C161" s="157"/>
      <c r="D161" s="92">
        <v>154</v>
      </c>
      <c r="E161" s="19" t="s">
        <v>1375</v>
      </c>
      <c r="F161" s="92" t="s">
        <v>12</v>
      </c>
      <c r="G161" s="95" t="s">
        <v>1376</v>
      </c>
      <c r="H161" s="92" t="s">
        <v>10</v>
      </c>
      <c r="I161" s="92" t="s">
        <v>2</v>
      </c>
      <c r="J161" s="19" t="s">
        <v>1623</v>
      </c>
      <c r="K161" s="58">
        <v>30498</v>
      </c>
      <c r="L161" s="59">
        <v>1983</v>
      </c>
      <c r="M161" s="95">
        <f>2019-1983</f>
        <v>36</v>
      </c>
      <c r="N161" s="92" t="s">
        <v>3</v>
      </c>
      <c r="O161" s="92" t="s">
        <v>1632</v>
      </c>
      <c r="P161" s="19" t="s">
        <v>1641</v>
      </c>
      <c r="Q161" s="92"/>
      <c r="R161" s="19" t="s">
        <v>1851</v>
      </c>
    </row>
    <row r="162" spans="2:18" ht="25.5" x14ac:dyDescent="0.2">
      <c r="B162" s="153"/>
      <c r="C162" s="157"/>
      <c r="D162" s="92">
        <v>155</v>
      </c>
      <c r="E162" s="19" t="s">
        <v>1377</v>
      </c>
      <c r="F162" s="92" t="s">
        <v>18</v>
      </c>
      <c r="G162" s="95" t="s">
        <v>1378</v>
      </c>
      <c r="H162" s="92" t="s">
        <v>1</v>
      </c>
      <c r="I162" s="92" t="s">
        <v>15</v>
      </c>
      <c r="J162" s="19" t="s">
        <v>1623</v>
      </c>
      <c r="K162" s="58">
        <v>41584</v>
      </c>
      <c r="L162" s="59">
        <v>2013</v>
      </c>
      <c r="M162" s="95">
        <f>2019-2013</f>
        <v>6</v>
      </c>
      <c r="N162" s="92" t="s">
        <v>3</v>
      </c>
      <c r="O162" s="92" t="s">
        <v>1632</v>
      </c>
      <c r="P162" s="19" t="s">
        <v>1733</v>
      </c>
      <c r="Q162" s="92"/>
      <c r="R162" s="19" t="s">
        <v>1638</v>
      </c>
    </row>
    <row r="163" spans="2:18" ht="25.5" x14ac:dyDescent="0.2">
      <c r="B163" s="154"/>
      <c r="C163" s="158"/>
      <c r="D163" s="92">
        <v>156</v>
      </c>
      <c r="E163" s="19" t="s">
        <v>1947</v>
      </c>
      <c r="F163" s="92" t="s">
        <v>18</v>
      </c>
      <c r="G163" s="95" t="s">
        <v>1948</v>
      </c>
      <c r="H163" s="92" t="s">
        <v>10</v>
      </c>
      <c r="I163" s="92" t="s">
        <v>15</v>
      </c>
      <c r="J163" s="19" t="s">
        <v>1898</v>
      </c>
      <c r="K163" s="58">
        <v>42504</v>
      </c>
      <c r="L163" s="59">
        <v>2016</v>
      </c>
      <c r="M163" s="95">
        <f>2019-2016</f>
        <v>3</v>
      </c>
      <c r="N163" s="92" t="s">
        <v>3</v>
      </c>
      <c r="O163" s="92" t="s">
        <v>1632</v>
      </c>
      <c r="P163" s="19" t="s">
        <v>1733</v>
      </c>
      <c r="Q163" s="92"/>
      <c r="R163" s="19" t="s">
        <v>1638</v>
      </c>
    </row>
    <row r="164" spans="2:18" x14ac:dyDescent="0.2">
      <c r="B164" s="151">
        <v>47</v>
      </c>
      <c r="C164" s="155" t="s">
        <v>2499</v>
      </c>
      <c r="D164" s="92">
        <v>157</v>
      </c>
      <c r="E164" s="19" t="s">
        <v>999</v>
      </c>
      <c r="F164" s="92" t="s">
        <v>7</v>
      </c>
      <c r="G164" s="95" t="s">
        <v>2170</v>
      </c>
      <c r="H164" s="92" t="s">
        <v>1</v>
      </c>
      <c r="I164" s="92" t="s">
        <v>2</v>
      </c>
      <c r="J164" s="19" t="s">
        <v>1623</v>
      </c>
      <c r="K164" s="58">
        <v>26664</v>
      </c>
      <c r="L164" s="59">
        <v>1972</v>
      </c>
      <c r="M164" s="95">
        <f>2019-1972</f>
        <v>47</v>
      </c>
      <c r="N164" s="92" t="s">
        <v>3</v>
      </c>
      <c r="O164" s="92" t="s">
        <v>1632</v>
      </c>
      <c r="P164" s="19" t="s">
        <v>1732</v>
      </c>
      <c r="Q164" s="92"/>
      <c r="R164" s="19" t="s">
        <v>39</v>
      </c>
    </row>
    <row r="165" spans="2:18" x14ac:dyDescent="0.2">
      <c r="B165" s="151"/>
      <c r="C165" s="155"/>
      <c r="D165" s="92">
        <v>158</v>
      </c>
      <c r="E165" s="19" t="s">
        <v>1021</v>
      </c>
      <c r="F165" s="92" t="s">
        <v>12</v>
      </c>
      <c r="G165" s="95" t="s">
        <v>2171</v>
      </c>
      <c r="H165" s="92" t="s">
        <v>10</v>
      </c>
      <c r="I165" s="92" t="s">
        <v>2</v>
      </c>
      <c r="J165" s="19" t="s">
        <v>1623</v>
      </c>
      <c r="K165" s="58">
        <v>29586</v>
      </c>
      <c r="L165" s="59">
        <v>1980</v>
      </c>
      <c r="M165" s="95">
        <f>2019-1980</f>
        <v>39</v>
      </c>
      <c r="N165" s="92" t="s">
        <v>3</v>
      </c>
      <c r="O165" s="92" t="s">
        <v>1632</v>
      </c>
      <c r="P165" s="19" t="s">
        <v>1641</v>
      </c>
      <c r="Q165" s="92"/>
      <c r="R165" s="19" t="s">
        <v>1816</v>
      </c>
    </row>
    <row r="166" spans="2:18" ht="25.5" x14ac:dyDescent="0.2">
      <c r="B166" s="151"/>
      <c r="C166" s="155"/>
      <c r="D166" s="92">
        <v>159</v>
      </c>
      <c r="E166" s="19" t="s">
        <v>1379</v>
      </c>
      <c r="F166" s="92" t="s">
        <v>18</v>
      </c>
      <c r="G166" s="95" t="s">
        <v>2172</v>
      </c>
      <c r="H166" s="92" t="s">
        <v>1</v>
      </c>
      <c r="I166" s="92" t="s">
        <v>15</v>
      </c>
      <c r="J166" s="19" t="s">
        <v>1623</v>
      </c>
      <c r="K166" s="58">
        <v>37744</v>
      </c>
      <c r="L166" s="59">
        <v>2003</v>
      </c>
      <c r="M166" s="95">
        <f>2019-2003</f>
        <v>16</v>
      </c>
      <c r="N166" s="92" t="s">
        <v>3</v>
      </c>
      <c r="O166" s="92" t="s">
        <v>1632</v>
      </c>
      <c r="P166" s="19" t="s">
        <v>1733</v>
      </c>
      <c r="Q166" s="92"/>
      <c r="R166" s="19" t="s">
        <v>1638</v>
      </c>
    </row>
    <row r="167" spans="2:18" ht="25.5" x14ac:dyDescent="0.2">
      <c r="B167" s="151"/>
      <c r="C167" s="155"/>
      <c r="D167" s="92">
        <v>160</v>
      </c>
      <c r="E167" s="19" t="s">
        <v>1380</v>
      </c>
      <c r="F167" s="92" t="s">
        <v>18</v>
      </c>
      <c r="G167" s="95" t="s">
        <v>2173</v>
      </c>
      <c r="H167" s="92" t="s">
        <v>1</v>
      </c>
      <c r="I167" s="92" t="s">
        <v>15</v>
      </c>
      <c r="J167" s="19" t="s">
        <v>2176</v>
      </c>
      <c r="K167" s="58">
        <v>38474</v>
      </c>
      <c r="L167" s="59">
        <v>2006</v>
      </c>
      <c r="M167" s="95">
        <f>2019-2006</f>
        <v>13</v>
      </c>
      <c r="N167" s="92" t="s">
        <v>3</v>
      </c>
      <c r="O167" s="92" t="s">
        <v>1632</v>
      </c>
      <c r="P167" s="19" t="s">
        <v>1733</v>
      </c>
      <c r="Q167" s="92"/>
      <c r="R167" s="19" t="s">
        <v>1638</v>
      </c>
    </row>
    <row r="168" spans="2:18" ht="25.5" x14ac:dyDescent="0.2">
      <c r="B168" s="151"/>
      <c r="C168" s="155"/>
      <c r="D168" s="92">
        <v>161</v>
      </c>
      <c r="E168" s="19" t="s">
        <v>1381</v>
      </c>
      <c r="F168" s="92" t="s">
        <v>18</v>
      </c>
      <c r="G168" s="95" t="s">
        <v>2174</v>
      </c>
      <c r="H168" s="92" t="s">
        <v>10</v>
      </c>
      <c r="I168" s="92" t="s">
        <v>15</v>
      </c>
      <c r="J168" s="19" t="s">
        <v>1623</v>
      </c>
      <c r="K168" s="58">
        <v>40762</v>
      </c>
      <c r="L168" s="59">
        <v>2011</v>
      </c>
      <c r="M168" s="95">
        <f>2019-2011</f>
        <v>8</v>
      </c>
      <c r="N168" s="92" t="s">
        <v>3</v>
      </c>
      <c r="O168" s="92" t="s">
        <v>1632</v>
      </c>
      <c r="P168" s="19" t="s">
        <v>1733</v>
      </c>
      <c r="Q168" s="92"/>
      <c r="R168" s="19" t="s">
        <v>1638</v>
      </c>
    </row>
    <row r="169" spans="2:18" ht="25.5" x14ac:dyDescent="0.2">
      <c r="B169" s="151"/>
      <c r="C169" s="155"/>
      <c r="D169" s="92">
        <v>162</v>
      </c>
      <c r="E169" s="19" t="s">
        <v>2169</v>
      </c>
      <c r="F169" s="92" t="s">
        <v>18</v>
      </c>
      <c r="G169" s="95" t="s">
        <v>2175</v>
      </c>
      <c r="H169" s="92" t="s">
        <v>10</v>
      </c>
      <c r="I169" s="92" t="s">
        <v>15</v>
      </c>
      <c r="J169" s="19" t="s">
        <v>1623</v>
      </c>
      <c r="K169" s="58">
        <v>42169</v>
      </c>
      <c r="L169" s="59">
        <v>2015</v>
      </c>
      <c r="M169" s="95">
        <f>2019-2015</f>
        <v>4</v>
      </c>
      <c r="N169" s="92" t="s">
        <v>3</v>
      </c>
      <c r="O169" s="92" t="s">
        <v>1632</v>
      </c>
      <c r="P169" s="19" t="s">
        <v>2177</v>
      </c>
      <c r="Q169" s="92"/>
      <c r="R169" s="19" t="s">
        <v>1638</v>
      </c>
    </row>
    <row r="170" spans="2:18" x14ac:dyDescent="0.2">
      <c r="B170" s="151">
        <v>48</v>
      </c>
      <c r="C170" s="155" t="s">
        <v>1664</v>
      </c>
      <c r="D170" s="92">
        <v>163</v>
      </c>
      <c r="E170" s="19" t="s">
        <v>1382</v>
      </c>
      <c r="F170" s="92" t="s">
        <v>7</v>
      </c>
      <c r="G170" s="95" t="s">
        <v>1383</v>
      </c>
      <c r="H170" s="92" t="s">
        <v>1</v>
      </c>
      <c r="I170" s="92" t="s">
        <v>2</v>
      </c>
      <c r="J170" s="19" t="s">
        <v>1623</v>
      </c>
      <c r="K170" s="58">
        <v>24107</v>
      </c>
      <c r="L170" s="59">
        <v>1965</v>
      </c>
      <c r="M170" s="95">
        <f t="shared" ref="M170:M194" si="21">2019-L170</f>
        <v>54</v>
      </c>
      <c r="N170" s="92" t="s">
        <v>3</v>
      </c>
      <c r="O170" s="92" t="s">
        <v>1632</v>
      </c>
      <c r="P170" s="19" t="s">
        <v>35</v>
      </c>
      <c r="Q170" s="92"/>
      <c r="R170" s="19" t="s">
        <v>39</v>
      </c>
    </row>
    <row r="171" spans="2:18" x14ac:dyDescent="0.2">
      <c r="B171" s="151"/>
      <c r="C171" s="155"/>
      <c r="D171" s="92">
        <v>164</v>
      </c>
      <c r="E171" s="19" t="s">
        <v>1384</v>
      </c>
      <c r="F171" s="92" t="s">
        <v>12</v>
      </c>
      <c r="G171" s="95" t="s">
        <v>1385</v>
      </c>
      <c r="H171" s="92" t="s">
        <v>10</v>
      </c>
      <c r="I171" s="92" t="s">
        <v>2</v>
      </c>
      <c r="J171" s="19" t="s">
        <v>1623</v>
      </c>
      <c r="K171" s="58">
        <v>26664</v>
      </c>
      <c r="L171" s="59">
        <v>1972</v>
      </c>
      <c r="M171" s="95">
        <f t="shared" si="21"/>
        <v>47</v>
      </c>
      <c r="N171" s="92" t="s">
        <v>3</v>
      </c>
      <c r="O171" s="92" t="s">
        <v>1632</v>
      </c>
      <c r="P171" s="19" t="s">
        <v>35</v>
      </c>
      <c r="Q171" s="92"/>
      <c r="R171" s="19" t="s">
        <v>1648</v>
      </c>
    </row>
    <row r="172" spans="2:18" ht="25.5" x14ac:dyDescent="0.2">
      <c r="B172" s="151"/>
      <c r="C172" s="155"/>
      <c r="D172" s="92">
        <v>165</v>
      </c>
      <c r="E172" s="19" t="s">
        <v>1386</v>
      </c>
      <c r="F172" s="92" t="s">
        <v>18</v>
      </c>
      <c r="G172" s="95" t="s">
        <v>1387</v>
      </c>
      <c r="H172" s="92" t="s">
        <v>10</v>
      </c>
      <c r="I172" s="92" t="s">
        <v>15</v>
      </c>
      <c r="J172" s="19" t="s">
        <v>1665</v>
      </c>
      <c r="K172" s="58">
        <v>34186</v>
      </c>
      <c r="L172" s="59">
        <v>1993</v>
      </c>
      <c r="M172" s="95">
        <f t="shared" si="21"/>
        <v>26</v>
      </c>
      <c r="N172" s="92" t="s">
        <v>3</v>
      </c>
      <c r="O172" s="92" t="s">
        <v>1632</v>
      </c>
      <c r="P172" s="19" t="s">
        <v>1666</v>
      </c>
      <c r="Q172" s="92"/>
      <c r="R172" s="19" t="s">
        <v>1625</v>
      </c>
    </row>
    <row r="173" spans="2:18" ht="25.5" x14ac:dyDescent="0.2">
      <c r="B173" s="151"/>
      <c r="C173" s="155"/>
      <c r="D173" s="92">
        <v>166</v>
      </c>
      <c r="E173" s="19" t="s">
        <v>1388</v>
      </c>
      <c r="F173" s="92" t="s">
        <v>18</v>
      </c>
      <c r="G173" s="95" t="s">
        <v>1389</v>
      </c>
      <c r="H173" s="92" t="s">
        <v>1</v>
      </c>
      <c r="I173" s="92" t="s">
        <v>15</v>
      </c>
      <c r="J173" s="19" t="s">
        <v>1623</v>
      </c>
      <c r="K173" s="58">
        <v>34924</v>
      </c>
      <c r="L173" s="59">
        <v>1995</v>
      </c>
      <c r="M173" s="95">
        <f t="shared" si="21"/>
        <v>24</v>
      </c>
      <c r="N173" s="92" t="s">
        <v>3</v>
      </c>
      <c r="O173" s="92" t="s">
        <v>1632</v>
      </c>
      <c r="P173" s="19" t="s">
        <v>27</v>
      </c>
      <c r="Q173" s="92"/>
      <c r="R173" s="19" t="s">
        <v>16</v>
      </c>
    </row>
    <row r="174" spans="2:18" x14ac:dyDescent="0.2">
      <c r="B174" s="151"/>
      <c r="C174" s="155"/>
      <c r="D174" s="92">
        <v>167</v>
      </c>
      <c r="E174" s="19" t="s">
        <v>1667</v>
      </c>
      <c r="F174" s="92" t="s">
        <v>18</v>
      </c>
      <c r="G174" s="95" t="s">
        <v>1390</v>
      </c>
      <c r="H174" s="92" t="s">
        <v>10</v>
      </c>
      <c r="I174" s="92" t="s">
        <v>15</v>
      </c>
      <c r="J174" s="19" t="s">
        <v>1623</v>
      </c>
      <c r="K174" s="58">
        <v>38082</v>
      </c>
      <c r="L174" s="59">
        <v>2004</v>
      </c>
      <c r="M174" s="95">
        <f t="shared" si="21"/>
        <v>15</v>
      </c>
      <c r="N174" s="92" t="s">
        <v>3</v>
      </c>
      <c r="O174" s="92" t="s">
        <v>1632</v>
      </c>
      <c r="P174" s="19" t="s">
        <v>1668</v>
      </c>
      <c r="Q174" s="92"/>
      <c r="R174" s="19" t="s">
        <v>16</v>
      </c>
    </row>
    <row r="175" spans="2:18" ht="25.5" x14ac:dyDescent="0.2">
      <c r="B175" s="151"/>
      <c r="C175" s="155"/>
      <c r="D175" s="92">
        <v>168</v>
      </c>
      <c r="E175" s="19" t="s">
        <v>1669</v>
      </c>
      <c r="F175" s="92" t="s">
        <v>18</v>
      </c>
      <c r="G175" s="95" t="s">
        <v>1391</v>
      </c>
      <c r="H175" s="92" t="s">
        <v>10</v>
      </c>
      <c r="I175" s="92" t="s">
        <v>15</v>
      </c>
      <c r="J175" s="19" t="s">
        <v>1623</v>
      </c>
      <c r="K175" s="58">
        <v>41593</v>
      </c>
      <c r="L175" s="59">
        <v>2013</v>
      </c>
      <c r="M175" s="95">
        <f t="shared" si="21"/>
        <v>6</v>
      </c>
      <c r="N175" s="92" t="s">
        <v>3</v>
      </c>
      <c r="O175" s="92" t="s">
        <v>1632</v>
      </c>
      <c r="P175" s="19" t="s">
        <v>1668</v>
      </c>
      <c r="Q175" s="92"/>
      <c r="R175" s="19" t="s">
        <v>16</v>
      </c>
    </row>
    <row r="176" spans="2:18" ht="25.5" x14ac:dyDescent="0.2">
      <c r="B176" s="151">
        <v>49</v>
      </c>
      <c r="C176" s="155" t="s">
        <v>2047</v>
      </c>
      <c r="D176" s="92">
        <v>169</v>
      </c>
      <c r="E176" s="19" t="s">
        <v>1392</v>
      </c>
      <c r="F176" s="92" t="s">
        <v>7</v>
      </c>
      <c r="G176" s="95" t="s">
        <v>2048</v>
      </c>
      <c r="H176" s="92" t="s">
        <v>1</v>
      </c>
      <c r="I176" s="92" t="s">
        <v>2</v>
      </c>
      <c r="J176" s="19" t="s">
        <v>1631</v>
      </c>
      <c r="K176" s="58">
        <v>22970</v>
      </c>
      <c r="L176" s="59">
        <v>1962</v>
      </c>
      <c r="M176" s="95">
        <f t="shared" si="21"/>
        <v>57</v>
      </c>
      <c r="N176" s="92" t="s">
        <v>3</v>
      </c>
      <c r="O176" s="92" t="s">
        <v>1632</v>
      </c>
      <c r="P176" s="19" t="s">
        <v>1732</v>
      </c>
      <c r="Q176" s="92"/>
      <c r="R176" s="19" t="s">
        <v>1893</v>
      </c>
    </row>
    <row r="177" spans="2:18" ht="25.5" x14ac:dyDescent="0.2">
      <c r="B177" s="151"/>
      <c r="C177" s="155"/>
      <c r="D177" s="92">
        <v>170</v>
      </c>
      <c r="E177" s="19" t="s">
        <v>1254</v>
      </c>
      <c r="F177" s="92" t="s">
        <v>12</v>
      </c>
      <c r="G177" s="95" t="s">
        <v>2049</v>
      </c>
      <c r="H177" s="92" t="s">
        <v>10</v>
      </c>
      <c r="I177" s="92" t="s">
        <v>2</v>
      </c>
      <c r="J177" s="19" t="s">
        <v>1631</v>
      </c>
      <c r="K177" s="58">
        <v>43503</v>
      </c>
      <c r="L177" s="59">
        <v>1970</v>
      </c>
      <c r="M177" s="95">
        <f t="shared" si="21"/>
        <v>49</v>
      </c>
      <c r="N177" s="92" t="s">
        <v>3</v>
      </c>
      <c r="O177" s="92" t="s">
        <v>1632</v>
      </c>
      <c r="P177" s="19" t="s">
        <v>1732</v>
      </c>
      <c r="Q177" s="92"/>
      <c r="R177" s="19" t="s">
        <v>1851</v>
      </c>
    </row>
    <row r="178" spans="2:18" ht="25.5" x14ac:dyDescent="0.2">
      <c r="B178" s="151"/>
      <c r="C178" s="155"/>
      <c r="D178" s="92">
        <v>171</v>
      </c>
      <c r="E178" s="19" t="s">
        <v>2050</v>
      </c>
      <c r="F178" s="92" t="s">
        <v>18</v>
      </c>
      <c r="G178" s="95" t="s">
        <v>2051</v>
      </c>
      <c r="H178" s="92" t="s">
        <v>10</v>
      </c>
      <c r="I178" s="92" t="s">
        <v>15</v>
      </c>
      <c r="J178" s="19" t="s">
        <v>1631</v>
      </c>
      <c r="K178" s="58">
        <v>34700</v>
      </c>
      <c r="L178" s="59">
        <v>1995</v>
      </c>
      <c r="M178" s="95">
        <f t="shared" si="21"/>
        <v>24</v>
      </c>
      <c r="N178" s="92" t="s">
        <v>3</v>
      </c>
      <c r="O178" s="92" t="s">
        <v>1632</v>
      </c>
      <c r="P178" s="19" t="s">
        <v>1635</v>
      </c>
      <c r="Q178" s="92"/>
      <c r="R178" s="19" t="s">
        <v>1638</v>
      </c>
    </row>
    <row r="179" spans="2:18" ht="25.5" x14ac:dyDescent="0.2">
      <c r="B179" s="151"/>
      <c r="C179" s="155"/>
      <c r="D179" s="92">
        <v>172</v>
      </c>
      <c r="E179" s="19" t="s">
        <v>1395</v>
      </c>
      <c r="F179" s="92" t="s">
        <v>18</v>
      </c>
      <c r="G179" s="95" t="s">
        <v>2052</v>
      </c>
      <c r="H179" s="92" t="s">
        <v>1</v>
      </c>
      <c r="I179" s="92" t="s">
        <v>15</v>
      </c>
      <c r="J179" s="19" t="s">
        <v>1623</v>
      </c>
      <c r="K179" s="58">
        <v>35751</v>
      </c>
      <c r="L179" s="59">
        <v>1997</v>
      </c>
      <c r="M179" s="95">
        <f t="shared" si="21"/>
        <v>22</v>
      </c>
      <c r="N179" s="92" t="s">
        <v>3</v>
      </c>
      <c r="O179" s="92" t="s">
        <v>1632</v>
      </c>
      <c r="P179" s="19" t="s">
        <v>1677</v>
      </c>
      <c r="Q179" s="92"/>
      <c r="R179" s="19" t="s">
        <v>1638</v>
      </c>
    </row>
    <row r="180" spans="2:18" ht="25.5" x14ac:dyDescent="0.2">
      <c r="B180" s="151"/>
      <c r="C180" s="155"/>
      <c r="D180" s="92">
        <v>173</v>
      </c>
      <c r="E180" s="19" t="s">
        <v>1396</v>
      </c>
      <c r="F180" s="92" t="s">
        <v>18</v>
      </c>
      <c r="G180" s="95" t="s">
        <v>2052</v>
      </c>
      <c r="H180" s="92" t="s">
        <v>1</v>
      </c>
      <c r="I180" s="92" t="s">
        <v>15</v>
      </c>
      <c r="J180" s="19" t="s">
        <v>1631</v>
      </c>
      <c r="K180" s="58">
        <v>36740</v>
      </c>
      <c r="L180" s="59">
        <v>2000</v>
      </c>
      <c r="M180" s="95">
        <f t="shared" si="21"/>
        <v>19</v>
      </c>
      <c r="N180" s="92" t="s">
        <v>3</v>
      </c>
      <c r="O180" s="92" t="s">
        <v>1632</v>
      </c>
      <c r="P180" s="19" t="s">
        <v>1641</v>
      </c>
      <c r="Q180" s="92"/>
      <c r="R180" s="19" t="s">
        <v>1638</v>
      </c>
    </row>
    <row r="181" spans="2:18" ht="25.5" x14ac:dyDescent="0.2">
      <c r="B181" s="151">
        <v>50</v>
      </c>
      <c r="C181" s="155" t="s">
        <v>2178</v>
      </c>
      <c r="D181" s="92">
        <v>174</v>
      </c>
      <c r="E181" s="19" t="s">
        <v>1397</v>
      </c>
      <c r="F181" s="92" t="s">
        <v>7</v>
      </c>
      <c r="G181" s="95" t="s">
        <v>1398</v>
      </c>
      <c r="H181" s="92" t="s">
        <v>1</v>
      </c>
      <c r="I181" s="92" t="s">
        <v>2</v>
      </c>
      <c r="J181" s="19" t="s">
        <v>1644</v>
      </c>
      <c r="K181" s="58">
        <v>26634</v>
      </c>
      <c r="L181" s="59">
        <v>1972</v>
      </c>
      <c r="M181" s="95">
        <f t="shared" si="21"/>
        <v>47</v>
      </c>
      <c r="N181" s="92" t="s">
        <v>3</v>
      </c>
      <c r="O181" s="92" t="s">
        <v>1632</v>
      </c>
      <c r="P181" s="19" t="s">
        <v>1732</v>
      </c>
      <c r="Q181" s="92"/>
      <c r="R181" s="19" t="s">
        <v>1710</v>
      </c>
    </row>
    <row r="182" spans="2:18" ht="25.5" x14ac:dyDescent="0.2">
      <c r="B182" s="151"/>
      <c r="C182" s="155"/>
      <c r="D182" s="92">
        <v>175</v>
      </c>
      <c r="E182" s="19" t="s">
        <v>542</v>
      </c>
      <c r="F182" s="92" t="s">
        <v>12</v>
      </c>
      <c r="G182" s="95" t="s">
        <v>1399</v>
      </c>
      <c r="H182" s="92" t="s">
        <v>10</v>
      </c>
      <c r="I182" s="92" t="s">
        <v>2</v>
      </c>
      <c r="J182" s="19" t="s">
        <v>1644</v>
      </c>
      <c r="K182" s="58">
        <v>28855</v>
      </c>
      <c r="L182" s="59">
        <v>1978</v>
      </c>
      <c r="M182" s="95">
        <f t="shared" si="21"/>
        <v>41</v>
      </c>
      <c r="N182" s="92" t="s">
        <v>3</v>
      </c>
      <c r="O182" s="92" t="s">
        <v>1632</v>
      </c>
      <c r="P182" s="19" t="s">
        <v>1732</v>
      </c>
      <c r="Q182" s="92"/>
      <c r="R182" s="19" t="s">
        <v>1710</v>
      </c>
    </row>
    <row r="183" spans="2:18" ht="25.5" x14ac:dyDescent="0.2">
      <c r="B183" s="151"/>
      <c r="C183" s="155"/>
      <c r="D183" s="92">
        <v>176</v>
      </c>
      <c r="E183" s="19" t="s">
        <v>1400</v>
      </c>
      <c r="F183" s="92" t="s">
        <v>18</v>
      </c>
      <c r="G183" s="95" t="s">
        <v>1401</v>
      </c>
      <c r="H183" s="92" t="s">
        <v>10</v>
      </c>
      <c r="I183" s="92" t="s">
        <v>15</v>
      </c>
      <c r="J183" s="19" t="s">
        <v>1644</v>
      </c>
      <c r="K183" s="58">
        <v>40413</v>
      </c>
      <c r="L183" s="59">
        <v>2010</v>
      </c>
      <c r="M183" s="95">
        <f t="shared" si="21"/>
        <v>9</v>
      </c>
      <c r="N183" s="92" t="s">
        <v>3</v>
      </c>
      <c r="O183" s="92" t="s">
        <v>1632</v>
      </c>
      <c r="P183" s="19" t="s">
        <v>1733</v>
      </c>
      <c r="Q183" s="92"/>
      <c r="R183" s="19" t="s">
        <v>2026</v>
      </c>
    </row>
    <row r="184" spans="2:18" x14ac:dyDescent="0.2">
      <c r="B184" s="151">
        <v>51</v>
      </c>
      <c r="C184" s="151"/>
      <c r="D184" s="92">
        <v>177</v>
      </c>
      <c r="E184" s="19" t="s">
        <v>1402</v>
      </c>
      <c r="F184" s="92" t="s">
        <v>7</v>
      </c>
      <c r="G184" s="95" t="s">
        <v>1403</v>
      </c>
      <c r="H184" s="92" t="s">
        <v>1</v>
      </c>
      <c r="I184" s="92" t="s">
        <v>2</v>
      </c>
      <c r="J184" s="19"/>
      <c r="K184" s="58">
        <v>27211</v>
      </c>
      <c r="L184" s="93">
        <f t="shared" ref="L184:L194" si="22">YEAR(K184)</f>
        <v>1974</v>
      </c>
      <c r="M184" s="95">
        <f t="shared" si="21"/>
        <v>45</v>
      </c>
      <c r="N184" s="92" t="s">
        <v>3</v>
      </c>
      <c r="O184" s="92"/>
      <c r="P184" s="19" t="s">
        <v>46</v>
      </c>
      <c r="Q184" s="92"/>
      <c r="R184" s="19" t="s">
        <v>28</v>
      </c>
    </row>
    <row r="185" spans="2:18" x14ac:dyDescent="0.2">
      <c r="B185" s="151"/>
      <c r="C185" s="151"/>
      <c r="D185" s="92">
        <v>178</v>
      </c>
      <c r="E185" s="19" t="s">
        <v>1404</v>
      </c>
      <c r="F185" s="92" t="s">
        <v>12</v>
      </c>
      <c r="G185" s="95" t="s">
        <v>1405</v>
      </c>
      <c r="H185" s="92" t="s">
        <v>10</v>
      </c>
      <c r="I185" s="92" t="s">
        <v>2</v>
      </c>
      <c r="J185" s="19"/>
      <c r="K185" s="58">
        <v>28756</v>
      </c>
      <c r="L185" s="93">
        <f t="shared" si="22"/>
        <v>1978</v>
      </c>
      <c r="M185" s="95">
        <f t="shared" si="21"/>
        <v>41</v>
      </c>
      <c r="N185" s="92" t="s">
        <v>3</v>
      </c>
      <c r="O185" s="92"/>
      <c r="P185" s="19" t="s">
        <v>46</v>
      </c>
      <c r="Q185" s="92"/>
      <c r="R185" s="19" t="s">
        <v>43</v>
      </c>
    </row>
    <row r="186" spans="2:18" ht="25.5" x14ac:dyDescent="0.2">
      <c r="B186" s="151"/>
      <c r="C186" s="151"/>
      <c r="D186" s="92">
        <v>179</v>
      </c>
      <c r="E186" s="19" t="s">
        <v>1406</v>
      </c>
      <c r="F186" s="92" t="s">
        <v>18</v>
      </c>
      <c r="G186" s="95" t="s">
        <v>1407</v>
      </c>
      <c r="H186" s="92" t="s">
        <v>10</v>
      </c>
      <c r="I186" s="92" t="s">
        <v>15</v>
      </c>
      <c r="J186" s="19"/>
      <c r="K186" s="58">
        <v>38480</v>
      </c>
      <c r="L186" s="93">
        <f t="shared" si="22"/>
        <v>2005</v>
      </c>
      <c r="M186" s="95">
        <f t="shared" si="21"/>
        <v>14</v>
      </c>
      <c r="N186" s="92" t="s">
        <v>3</v>
      </c>
      <c r="O186" s="92"/>
      <c r="P186" s="19" t="s">
        <v>16</v>
      </c>
      <c r="Q186" s="92"/>
      <c r="R186" s="19" t="s">
        <v>16</v>
      </c>
    </row>
    <row r="187" spans="2:18" x14ac:dyDescent="0.2">
      <c r="B187" s="152">
        <v>52</v>
      </c>
      <c r="C187" s="152"/>
      <c r="D187" s="92">
        <v>180</v>
      </c>
      <c r="E187" s="19" t="s">
        <v>1408</v>
      </c>
      <c r="F187" s="92" t="s">
        <v>7</v>
      </c>
      <c r="G187" s="95" t="s">
        <v>1409</v>
      </c>
      <c r="H187" s="92" t="s">
        <v>1</v>
      </c>
      <c r="I187" s="92" t="s">
        <v>2</v>
      </c>
      <c r="J187" s="19"/>
      <c r="K187" s="58">
        <v>29082</v>
      </c>
      <c r="L187" s="93">
        <f t="shared" si="22"/>
        <v>1979</v>
      </c>
      <c r="M187" s="95">
        <f t="shared" si="21"/>
        <v>40</v>
      </c>
      <c r="N187" s="92" t="s">
        <v>3</v>
      </c>
      <c r="O187" s="92"/>
      <c r="P187" s="19" t="s">
        <v>16</v>
      </c>
      <c r="Q187" s="92"/>
      <c r="R187" s="19" t="s">
        <v>1347</v>
      </c>
    </row>
    <row r="188" spans="2:18" x14ac:dyDescent="0.2">
      <c r="B188" s="153"/>
      <c r="C188" s="153"/>
      <c r="D188" s="92">
        <v>181</v>
      </c>
      <c r="E188" s="19" t="s">
        <v>1410</v>
      </c>
      <c r="F188" s="92" t="s">
        <v>12</v>
      </c>
      <c r="G188" s="95" t="s">
        <v>1411</v>
      </c>
      <c r="H188" s="92" t="s">
        <v>10</v>
      </c>
      <c r="I188" s="92" t="s">
        <v>2</v>
      </c>
      <c r="J188" s="19"/>
      <c r="K188" s="58">
        <v>32873</v>
      </c>
      <c r="L188" s="93">
        <f t="shared" si="22"/>
        <v>1989</v>
      </c>
      <c r="M188" s="95">
        <f t="shared" si="21"/>
        <v>30</v>
      </c>
      <c r="N188" s="92" t="s">
        <v>3</v>
      </c>
      <c r="O188" s="92"/>
      <c r="P188" s="19" t="s">
        <v>16</v>
      </c>
      <c r="Q188" s="92"/>
      <c r="R188" s="19" t="s">
        <v>1347</v>
      </c>
    </row>
    <row r="189" spans="2:18" x14ac:dyDescent="0.2">
      <c r="B189" s="153"/>
      <c r="C189" s="153"/>
      <c r="D189" s="92">
        <v>182</v>
      </c>
      <c r="E189" s="19" t="s">
        <v>1412</v>
      </c>
      <c r="F189" s="92" t="s">
        <v>18</v>
      </c>
      <c r="G189" s="95" t="s">
        <v>1413</v>
      </c>
      <c r="H189" s="92" t="s">
        <v>1</v>
      </c>
      <c r="I189" s="92" t="s">
        <v>15</v>
      </c>
      <c r="J189" s="19"/>
      <c r="K189" s="58">
        <v>37120</v>
      </c>
      <c r="L189" s="93">
        <f t="shared" si="22"/>
        <v>2001</v>
      </c>
      <c r="M189" s="95">
        <f t="shared" si="21"/>
        <v>18</v>
      </c>
      <c r="N189" s="92" t="s">
        <v>3</v>
      </c>
      <c r="O189" s="92"/>
      <c r="P189" s="19" t="s">
        <v>16</v>
      </c>
      <c r="Q189" s="92"/>
      <c r="R189" s="19" t="s">
        <v>16</v>
      </c>
    </row>
    <row r="190" spans="2:18" x14ac:dyDescent="0.2">
      <c r="B190" s="153"/>
      <c r="C190" s="153"/>
      <c r="D190" s="92">
        <v>183</v>
      </c>
      <c r="E190" s="19" t="s">
        <v>1414</v>
      </c>
      <c r="F190" s="92" t="s">
        <v>18</v>
      </c>
      <c r="G190" s="95" t="s">
        <v>1416</v>
      </c>
      <c r="H190" s="92" t="s">
        <v>10</v>
      </c>
      <c r="I190" s="92" t="s">
        <v>1415</v>
      </c>
      <c r="J190" s="19"/>
      <c r="K190" s="58">
        <v>38060</v>
      </c>
      <c r="L190" s="93">
        <f t="shared" si="22"/>
        <v>2004</v>
      </c>
      <c r="M190" s="95">
        <f t="shared" si="21"/>
        <v>15</v>
      </c>
      <c r="N190" s="92" t="s">
        <v>3</v>
      </c>
      <c r="O190" s="92"/>
      <c r="P190" s="19" t="s">
        <v>16</v>
      </c>
      <c r="Q190" s="92"/>
      <c r="R190" s="19" t="s">
        <v>16</v>
      </c>
    </row>
    <row r="191" spans="2:18" x14ac:dyDescent="0.2">
      <c r="B191" s="154"/>
      <c r="C191" s="154"/>
      <c r="D191" s="92">
        <v>184</v>
      </c>
      <c r="E191" s="19" t="s">
        <v>1417</v>
      </c>
      <c r="F191" s="92" t="s">
        <v>18</v>
      </c>
      <c r="G191" s="95" t="s">
        <v>1418</v>
      </c>
      <c r="H191" s="92" t="s">
        <v>10</v>
      </c>
      <c r="I191" s="92" t="s">
        <v>1350</v>
      </c>
      <c r="J191" s="19"/>
      <c r="K191" s="58">
        <v>40888</v>
      </c>
      <c r="L191" s="93">
        <f t="shared" si="22"/>
        <v>2011</v>
      </c>
      <c r="M191" s="95">
        <f t="shared" si="21"/>
        <v>8</v>
      </c>
      <c r="N191" s="92" t="s">
        <v>3</v>
      </c>
      <c r="O191" s="92"/>
      <c r="P191" s="19" t="s">
        <v>16</v>
      </c>
      <c r="Q191" s="92"/>
      <c r="R191" s="19" t="s">
        <v>16</v>
      </c>
    </row>
    <row r="192" spans="2:18" x14ac:dyDescent="0.2">
      <c r="B192" s="151">
        <v>53</v>
      </c>
      <c r="C192" s="151"/>
      <c r="D192" s="92">
        <v>185</v>
      </c>
      <c r="E192" s="19" t="s">
        <v>1419</v>
      </c>
      <c r="F192" s="92" t="s">
        <v>7</v>
      </c>
      <c r="G192" s="95" t="s">
        <v>1420</v>
      </c>
      <c r="H192" s="92" t="s">
        <v>1</v>
      </c>
      <c r="I192" s="92" t="s">
        <v>2</v>
      </c>
      <c r="J192" s="19"/>
      <c r="K192" s="58">
        <v>27759</v>
      </c>
      <c r="L192" s="93">
        <f t="shared" si="22"/>
        <v>1975</v>
      </c>
      <c r="M192" s="95">
        <f t="shared" si="21"/>
        <v>44</v>
      </c>
      <c r="N192" s="92" t="s">
        <v>3</v>
      </c>
      <c r="O192" s="92"/>
      <c r="P192" s="19" t="s">
        <v>46</v>
      </c>
      <c r="Q192" s="92"/>
      <c r="R192" s="19" t="s">
        <v>1347</v>
      </c>
    </row>
    <row r="193" spans="2:18" x14ac:dyDescent="0.2">
      <c r="B193" s="151"/>
      <c r="C193" s="151"/>
      <c r="D193" s="92">
        <v>186</v>
      </c>
      <c r="E193" s="19" t="s">
        <v>1421</v>
      </c>
      <c r="F193" s="92" t="s">
        <v>12</v>
      </c>
      <c r="G193" s="95" t="s">
        <v>1422</v>
      </c>
      <c r="H193" s="92" t="s">
        <v>10</v>
      </c>
      <c r="I193" s="92" t="s">
        <v>2</v>
      </c>
      <c r="J193" s="19"/>
      <c r="K193" s="58">
        <v>28520</v>
      </c>
      <c r="L193" s="93">
        <f t="shared" si="22"/>
        <v>1978</v>
      </c>
      <c r="M193" s="95">
        <f t="shared" si="21"/>
        <v>41</v>
      </c>
      <c r="N193" s="92" t="s">
        <v>3</v>
      </c>
      <c r="O193" s="92"/>
      <c r="P193" s="19" t="s">
        <v>46</v>
      </c>
      <c r="Q193" s="92"/>
      <c r="R193" s="19" t="s">
        <v>1347</v>
      </c>
    </row>
    <row r="194" spans="2:18" ht="25.5" x14ac:dyDescent="0.2">
      <c r="B194" s="151"/>
      <c r="C194" s="151"/>
      <c r="D194" s="92">
        <v>187</v>
      </c>
      <c r="E194" s="19" t="s">
        <v>1423</v>
      </c>
      <c r="F194" s="92" t="s">
        <v>18</v>
      </c>
      <c r="G194" s="95" t="s">
        <v>1424</v>
      </c>
      <c r="H194" s="92" t="s">
        <v>1</v>
      </c>
      <c r="I194" s="92" t="s">
        <v>15</v>
      </c>
      <c r="J194" s="19"/>
      <c r="K194" s="58">
        <v>40291</v>
      </c>
      <c r="L194" s="93">
        <f t="shared" si="22"/>
        <v>2010</v>
      </c>
      <c r="M194" s="95">
        <f t="shared" si="21"/>
        <v>9</v>
      </c>
      <c r="N194" s="92" t="s">
        <v>3</v>
      </c>
      <c r="O194" s="92"/>
      <c r="P194" s="19" t="s">
        <v>16</v>
      </c>
      <c r="Q194" s="92"/>
      <c r="R194" s="19" t="s">
        <v>16</v>
      </c>
    </row>
    <row r="195" spans="2:18" ht="25.5" x14ac:dyDescent="0.2">
      <c r="B195" s="151">
        <v>54</v>
      </c>
      <c r="C195" s="155" t="s">
        <v>2029</v>
      </c>
      <c r="D195" s="92">
        <v>188</v>
      </c>
      <c r="E195" s="19" t="s">
        <v>1425</v>
      </c>
      <c r="F195" s="92" t="s">
        <v>7</v>
      </c>
      <c r="G195" s="95" t="s">
        <v>2030</v>
      </c>
      <c r="H195" s="92" t="s">
        <v>1</v>
      </c>
      <c r="I195" s="92" t="s">
        <v>2</v>
      </c>
      <c r="J195" s="19" t="s">
        <v>1644</v>
      </c>
      <c r="K195" s="58">
        <v>29586</v>
      </c>
      <c r="L195" s="59">
        <v>1980</v>
      </c>
      <c r="M195" s="95">
        <f>2019-1980</f>
        <v>39</v>
      </c>
      <c r="N195" s="92" t="s">
        <v>3</v>
      </c>
      <c r="O195" s="92" t="s">
        <v>1632</v>
      </c>
      <c r="P195" s="19" t="s">
        <v>1677</v>
      </c>
      <c r="Q195" s="92"/>
      <c r="R195" s="19" t="s">
        <v>39</v>
      </c>
    </row>
    <row r="196" spans="2:18" ht="25.5" x14ac:dyDescent="0.2">
      <c r="B196" s="151"/>
      <c r="C196" s="155"/>
      <c r="D196" s="92">
        <v>189</v>
      </c>
      <c r="E196" s="19" t="s">
        <v>1426</v>
      </c>
      <c r="F196" s="92" t="s">
        <v>12</v>
      </c>
      <c r="G196" s="95" t="s">
        <v>1427</v>
      </c>
      <c r="H196" s="92" t="s">
        <v>10</v>
      </c>
      <c r="I196" s="92" t="s">
        <v>2</v>
      </c>
      <c r="J196" s="19" t="s">
        <v>2031</v>
      </c>
      <c r="K196" s="58">
        <v>31515</v>
      </c>
      <c r="L196" s="59">
        <v>1986</v>
      </c>
      <c r="M196" s="95">
        <f>2019-1986</f>
        <v>33</v>
      </c>
      <c r="N196" s="92" t="s">
        <v>3</v>
      </c>
      <c r="O196" s="92" t="s">
        <v>1632</v>
      </c>
      <c r="P196" s="19" t="s">
        <v>1677</v>
      </c>
      <c r="Q196" s="92"/>
      <c r="R196" s="19" t="s">
        <v>1851</v>
      </c>
    </row>
    <row r="197" spans="2:18" ht="38.25" x14ac:dyDescent="0.2">
      <c r="B197" s="151"/>
      <c r="C197" s="155"/>
      <c r="D197" s="92">
        <v>190</v>
      </c>
      <c r="E197" s="19" t="s">
        <v>1428</v>
      </c>
      <c r="F197" s="92" t="s">
        <v>18</v>
      </c>
      <c r="G197" s="95" t="s">
        <v>1429</v>
      </c>
      <c r="H197" s="92" t="s">
        <v>1</v>
      </c>
      <c r="I197" s="92" t="s">
        <v>1350</v>
      </c>
      <c r="J197" s="19" t="s">
        <v>1623</v>
      </c>
      <c r="K197" s="58">
        <v>40960</v>
      </c>
      <c r="L197" s="59">
        <v>2012</v>
      </c>
      <c r="M197" s="95">
        <f>2019-2012</f>
        <v>7</v>
      </c>
      <c r="N197" s="92" t="s">
        <v>3</v>
      </c>
      <c r="O197" s="92" t="s">
        <v>1632</v>
      </c>
      <c r="P197" s="19" t="s">
        <v>1733</v>
      </c>
      <c r="Q197" s="92"/>
      <c r="R197" s="19" t="s">
        <v>1638</v>
      </c>
    </row>
    <row r="198" spans="2:18" x14ac:dyDescent="0.2">
      <c r="B198" s="151">
        <v>55</v>
      </c>
      <c r="C198" s="151"/>
      <c r="D198" s="92">
        <v>191</v>
      </c>
      <c r="E198" s="19" t="s">
        <v>1435</v>
      </c>
      <c r="F198" s="92" t="s">
        <v>7</v>
      </c>
      <c r="G198" s="95" t="s">
        <v>1436</v>
      </c>
      <c r="H198" s="92" t="s">
        <v>1</v>
      </c>
      <c r="I198" s="92" t="s">
        <v>2</v>
      </c>
      <c r="J198" s="19"/>
      <c r="K198" s="58">
        <v>21185</v>
      </c>
      <c r="L198" s="93">
        <f t="shared" ref="L198:L226" si="23">YEAR(K198)</f>
        <v>1957</v>
      </c>
      <c r="M198" s="95">
        <f t="shared" ref="M198:M226" si="24">2019-L198</f>
        <v>62</v>
      </c>
      <c r="N198" s="92" t="s">
        <v>3</v>
      </c>
      <c r="O198" s="92"/>
      <c r="P198" s="19" t="s">
        <v>35</v>
      </c>
      <c r="Q198" s="92"/>
      <c r="R198" s="19" t="s">
        <v>1347</v>
      </c>
    </row>
    <row r="199" spans="2:18" x14ac:dyDescent="0.2">
      <c r="B199" s="151"/>
      <c r="C199" s="151"/>
      <c r="D199" s="92">
        <v>192</v>
      </c>
      <c r="E199" s="19" t="s">
        <v>1437</v>
      </c>
      <c r="F199" s="92" t="s">
        <v>12</v>
      </c>
      <c r="G199" s="95" t="s">
        <v>1438</v>
      </c>
      <c r="H199" s="92" t="s">
        <v>10</v>
      </c>
      <c r="I199" s="92" t="s">
        <v>2</v>
      </c>
      <c r="J199" s="19"/>
      <c r="K199" s="58">
        <v>26401</v>
      </c>
      <c r="L199" s="93">
        <f t="shared" si="23"/>
        <v>1972</v>
      </c>
      <c r="M199" s="95">
        <f t="shared" si="24"/>
        <v>47</v>
      </c>
      <c r="N199" s="92" t="s">
        <v>3</v>
      </c>
      <c r="O199" s="92"/>
      <c r="P199" s="19" t="s">
        <v>35</v>
      </c>
      <c r="Q199" s="92"/>
      <c r="R199" s="19" t="s">
        <v>16</v>
      </c>
    </row>
    <row r="200" spans="2:18" ht="25.5" x14ac:dyDescent="0.2">
      <c r="B200" s="151"/>
      <c r="C200" s="151"/>
      <c r="D200" s="92">
        <v>193</v>
      </c>
      <c r="E200" s="19" t="s">
        <v>1439</v>
      </c>
      <c r="F200" s="92" t="s">
        <v>18</v>
      </c>
      <c r="G200" s="95" t="s">
        <v>1440</v>
      </c>
      <c r="H200" s="92" t="s">
        <v>1</v>
      </c>
      <c r="I200" s="92" t="s">
        <v>15</v>
      </c>
      <c r="J200" s="19"/>
      <c r="K200" s="58">
        <v>36834</v>
      </c>
      <c r="L200" s="93">
        <f t="shared" si="23"/>
        <v>2000</v>
      </c>
      <c r="M200" s="95">
        <f t="shared" si="24"/>
        <v>19</v>
      </c>
      <c r="N200" s="92" t="s">
        <v>3</v>
      </c>
      <c r="O200" s="92"/>
      <c r="P200" s="19" t="s">
        <v>46</v>
      </c>
      <c r="Q200" s="92"/>
      <c r="R200" s="19" t="s">
        <v>16</v>
      </c>
    </row>
    <row r="201" spans="2:18" ht="25.5" x14ac:dyDescent="0.2">
      <c r="B201" s="151"/>
      <c r="C201" s="151"/>
      <c r="D201" s="92">
        <v>194</v>
      </c>
      <c r="E201" s="19" t="s">
        <v>1441</v>
      </c>
      <c r="F201" s="92" t="s">
        <v>18</v>
      </c>
      <c r="G201" s="95" t="s">
        <v>1442</v>
      </c>
      <c r="H201" s="92" t="s">
        <v>10</v>
      </c>
      <c r="I201" s="92" t="s">
        <v>15</v>
      </c>
      <c r="J201" s="19"/>
      <c r="K201" s="58">
        <v>40489</v>
      </c>
      <c r="L201" s="93">
        <f t="shared" si="23"/>
        <v>2010</v>
      </c>
      <c r="M201" s="95">
        <f t="shared" si="24"/>
        <v>9</v>
      </c>
      <c r="N201" s="92" t="s">
        <v>3</v>
      </c>
      <c r="O201" s="92"/>
      <c r="P201" s="19" t="s">
        <v>46</v>
      </c>
      <c r="Q201" s="92"/>
      <c r="R201" s="19" t="s">
        <v>16</v>
      </c>
    </row>
    <row r="202" spans="2:18" ht="25.5" x14ac:dyDescent="0.2">
      <c r="B202" s="151"/>
      <c r="C202" s="151"/>
      <c r="D202" s="92">
        <v>195</v>
      </c>
      <c r="E202" s="19" t="s">
        <v>1443</v>
      </c>
      <c r="F202" s="92" t="s">
        <v>18</v>
      </c>
      <c r="G202" s="95" t="s">
        <v>1444</v>
      </c>
      <c r="H202" s="92" t="s">
        <v>10</v>
      </c>
      <c r="I202" s="92" t="s">
        <v>15</v>
      </c>
      <c r="J202" s="19"/>
      <c r="K202" s="58">
        <v>39397</v>
      </c>
      <c r="L202" s="93">
        <f t="shared" si="23"/>
        <v>2007</v>
      </c>
      <c r="M202" s="95">
        <f t="shared" si="24"/>
        <v>12</v>
      </c>
      <c r="N202" s="92" t="s">
        <v>3</v>
      </c>
      <c r="O202" s="92"/>
      <c r="P202" s="19" t="s">
        <v>16</v>
      </c>
      <c r="Q202" s="92"/>
      <c r="R202" s="19" t="s">
        <v>16</v>
      </c>
    </row>
    <row r="203" spans="2:18" ht="25.5" x14ac:dyDescent="0.2">
      <c r="B203" s="152">
        <v>56</v>
      </c>
      <c r="C203" s="152" t="s">
        <v>1954</v>
      </c>
      <c r="D203" s="92">
        <v>196</v>
      </c>
      <c r="E203" s="19" t="s">
        <v>1445</v>
      </c>
      <c r="F203" s="92" t="s">
        <v>7</v>
      </c>
      <c r="G203" s="95" t="s">
        <v>1955</v>
      </c>
      <c r="H203" s="92" t="s">
        <v>1</v>
      </c>
      <c r="I203" s="92" t="s">
        <v>2</v>
      </c>
      <c r="J203" s="19" t="s">
        <v>1957</v>
      </c>
      <c r="K203" s="58">
        <v>24836</v>
      </c>
      <c r="L203" s="93">
        <f t="shared" si="23"/>
        <v>1967</v>
      </c>
      <c r="M203" s="95">
        <f t="shared" si="24"/>
        <v>52</v>
      </c>
      <c r="N203" s="92" t="s">
        <v>3</v>
      </c>
      <c r="O203" s="92" t="s">
        <v>1632</v>
      </c>
      <c r="P203" s="19" t="s">
        <v>1677</v>
      </c>
      <c r="Q203" s="92"/>
      <c r="R203" s="19" t="s">
        <v>1958</v>
      </c>
    </row>
    <row r="204" spans="2:18" x14ac:dyDescent="0.2">
      <c r="B204" s="153"/>
      <c r="C204" s="153"/>
      <c r="D204" s="92">
        <v>197</v>
      </c>
      <c r="E204" s="19" t="s">
        <v>1446</v>
      </c>
      <c r="F204" s="92" t="s">
        <v>12</v>
      </c>
      <c r="G204" s="95" t="s">
        <v>1447</v>
      </c>
      <c r="H204" s="92" t="s">
        <v>10</v>
      </c>
      <c r="I204" s="92" t="s">
        <v>2</v>
      </c>
      <c r="J204" s="19" t="s">
        <v>1623</v>
      </c>
      <c r="K204" s="58">
        <v>25202</v>
      </c>
      <c r="L204" s="93">
        <f t="shared" si="23"/>
        <v>1968</v>
      </c>
      <c r="M204" s="95">
        <f t="shared" si="24"/>
        <v>51</v>
      </c>
      <c r="N204" s="92" t="s">
        <v>3</v>
      </c>
      <c r="O204" s="92" t="s">
        <v>1632</v>
      </c>
      <c r="P204" s="19" t="s">
        <v>1732</v>
      </c>
      <c r="Q204" s="92"/>
      <c r="R204" s="19" t="s">
        <v>1959</v>
      </c>
    </row>
    <row r="205" spans="2:18" ht="25.5" x14ac:dyDescent="0.2">
      <c r="B205" s="154"/>
      <c r="C205" s="154"/>
      <c r="D205" s="92">
        <v>198</v>
      </c>
      <c r="E205" s="19" t="s">
        <v>1449</v>
      </c>
      <c r="F205" s="92" t="s">
        <v>18</v>
      </c>
      <c r="G205" s="95" t="s">
        <v>1450</v>
      </c>
      <c r="H205" s="92" t="s">
        <v>1</v>
      </c>
      <c r="I205" s="92" t="s">
        <v>15</v>
      </c>
      <c r="J205" s="19" t="s">
        <v>1644</v>
      </c>
      <c r="K205" s="58">
        <v>37906</v>
      </c>
      <c r="L205" s="93">
        <f t="shared" si="23"/>
        <v>2003</v>
      </c>
      <c r="M205" s="95">
        <f t="shared" si="24"/>
        <v>16</v>
      </c>
      <c r="N205" s="92" t="s">
        <v>3</v>
      </c>
      <c r="O205" s="92" t="s">
        <v>1632</v>
      </c>
      <c r="P205" s="19" t="s">
        <v>1635</v>
      </c>
      <c r="Q205" s="92"/>
      <c r="R205" s="19" t="s">
        <v>1960</v>
      </c>
    </row>
    <row r="206" spans="2:18" x14ac:dyDescent="0.2">
      <c r="B206" s="151">
        <v>57</v>
      </c>
      <c r="C206" s="151"/>
      <c r="D206" s="92">
        <v>199</v>
      </c>
      <c r="E206" s="19" t="s">
        <v>1451</v>
      </c>
      <c r="F206" s="92" t="s">
        <v>7</v>
      </c>
      <c r="G206" s="95" t="s">
        <v>1452</v>
      </c>
      <c r="H206" s="92" t="s">
        <v>1</v>
      </c>
      <c r="I206" s="92" t="s">
        <v>2</v>
      </c>
      <c r="J206" s="19"/>
      <c r="K206" s="58">
        <v>21464</v>
      </c>
      <c r="L206" s="93">
        <f t="shared" si="23"/>
        <v>1958</v>
      </c>
      <c r="M206" s="95">
        <f t="shared" si="24"/>
        <v>61</v>
      </c>
      <c r="N206" s="92" t="s">
        <v>3</v>
      </c>
      <c r="O206" s="92"/>
      <c r="P206" s="19" t="s">
        <v>27</v>
      </c>
      <c r="Q206" s="92"/>
      <c r="R206" s="19" t="s">
        <v>28</v>
      </c>
    </row>
    <row r="207" spans="2:18" x14ac:dyDescent="0.2">
      <c r="B207" s="151"/>
      <c r="C207" s="151"/>
      <c r="D207" s="92">
        <v>200</v>
      </c>
      <c r="E207" s="19" t="s">
        <v>529</v>
      </c>
      <c r="F207" s="92" t="s">
        <v>12</v>
      </c>
      <c r="G207" s="95" t="s">
        <v>1453</v>
      </c>
      <c r="H207" s="92" t="s">
        <v>10</v>
      </c>
      <c r="I207" s="92" t="s">
        <v>2</v>
      </c>
      <c r="J207" s="19"/>
      <c r="K207" s="58">
        <v>25568</v>
      </c>
      <c r="L207" s="93">
        <f t="shared" si="23"/>
        <v>1969</v>
      </c>
      <c r="M207" s="95">
        <f t="shared" si="24"/>
        <v>50</v>
      </c>
      <c r="N207" s="92" t="s">
        <v>3</v>
      </c>
      <c r="O207" s="92"/>
      <c r="P207" s="19" t="s">
        <v>27</v>
      </c>
      <c r="Q207" s="92"/>
      <c r="R207" s="19" t="s">
        <v>16</v>
      </c>
    </row>
    <row r="208" spans="2:18" ht="25.5" x14ac:dyDescent="0.2">
      <c r="B208" s="151"/>
      <c r="C208" s="151"/>
      <c r="D208" s="92">
        <v>201</v>
      </c>
      <c r="E208" s="19" t="s">
        <v>1454</v>
      </c>
      <c r="F208" s="92" t="s">
        <v>18</v>
      </c>
      <c r="G208" s="95" t="s">
        <v>1455</v>
      </c>
      <c r="H208" s="92" t="s">
        <v>1</v>
      </c>
      <c r="I208" s="92" t="s">
        <v>15</v>
      </c>
      <c r="J208" s="19"/>
      <c r="K208" s="58">
        <v>38701</v>
      </c>
      <c r="L208" s="93">
        <f t="shared" si="23"/>
        <v>2005</v>
      </c>
      <c r="M208" s="95">
        <f t="shared" si="24"/>
        <v>14</v>
      </c>
      <c r="N208" s="92" t="s">
        <v>3</v>
      </c>
      <c r="O208" s="92"/>
      <c r="P208" s="19" t="s">
        <v>16</v>
      </c>
      <c r="Q208" s="92"/>
      <c r="R208" s="19" t="s">
        <v>16</v>
      </c>
    </row>
    <row r="209" spans="2:18" ht="25.5" x14ac:dyDescent="0.2">
      <c r="B209" s="151"/>
      <c r="C209" s="151"/>
      <c r="D209" s="92">
        <v>202</v>
      </c>
      <c r="E209" s="19" t="s">
        <v>1456</v>
      </c>
      <c r="F209" s="92" t="s">
        <v>24</v>
      </c>
      <c r="G209" s="95" t="s">
        <v>1457</v>
      </c>
      <c r="H209" s="92" t="s">
        <v>10</v>
      </c>
      <c r="I209" s="92" t="s">
        <v>15</v>
      </c>
      <c r="J209" s="19"/>
      <c r="K209" s="58">
        <v>35800</v>
      </c>
      <c r="L209" s="93">
        <f t="shared" si="23"/>
        <v>1998</v>
      </c>
      <c r="M209" s="95">
        <f t="shared" si="24"/>
        <v>21</v>
      </c>
      <c r="N209" s="92" t="s">
        <v>3</v>
      </c>
      <c r="O209" s="92"/>
      <c r="P209" s="19" t="s">
        <v>27</v>
      </c>
      <c r="Q209" s="92"/>
      <c r="R209" s="19" t="s">
        <v>16</v>
      </c>
    </row>
    <row r="210" spans="2:18" ht="25.5" x14ac:dyDescent="0.2">
      <c r="B210" s="151"/>
      <c r="C210" s="151"/>
      <c r="D210" s="92">
        <v>203</v>
      </c>
      <c r="E210" s="19" t="s">
        <v>1458</v>
      </c>
      <c r="F210" s="92" t="s">
        <v>24</v>
      </c>
      <c r="G210" s="95" t="s">
        <v>1459</v>
      </c>
      <c r="H210" s="92" t="s">
        <v>1</v>
      </c>
      <c r="I210" s="92" t="s">
        <v>15</v>
      </c>
      <c r="J210" s="19"/>
      <c r="K210" s="58">
        <v>36570</v>
      </c>
      <c r="L210" s="93">
        <f t="shared" si="23"/>
        <v>2000</v>
      </c>
      <c r="M210" s="95">
        <f t="shared" si="24"/>
        <v>19</v>
      </c>
      <c r="N210" s="92" t="s">
        <v>3</v>
      </c>
      <c r="O210" s="92"/>
      <c r="P210" s="19" t="s">
        <v>46</v>
      </c>
      <c r="Q210" s="92"/>
      <c r="R210" s="19" t="s">
        <v>16</v>
      </c>
    </row>
    <row r="211" spans="2:18" x14ac:dyDescent="0.2">
      <c r="B211" s="151">
        <v>58</v>
      </c>
      <c r="C211" s="151"/>
      <c r="D211" s="92">
        <v>204</v>
      </c>
      <c r="E211" s="19" t="s">
        <v>1460</v>
      </c>
      <c r="F211" s="92" t="s">
        <v>7</v>
      </c>
      <c r="G211" s="95" t="s">
        <v>1461</v>
      </c>
      <c r="H211" s="92" t="s">
        <v>1</v>
      </c>
      <c r="I211" s="92" t="s">
        <v>80</v>
      </c>
      <c r="J211" s="19"/>
      <c r="K211" s="58">
        <v>21466</v>
      </c>
      <c r="L211" s="93">
        <f t="shared" si="23"/>
        <v>1958</v>
      </c>
      <c r="M211" s="95">
        <f t="shared" si="24"/>
        <v>61</v>
      </c>
      <c r="N211" s="92" t="s">
        <v>3</v>
      </c>
      <c r="O211" s="92"/>
      <c r="P211" s="19" t="s">
        <v>16</v>
      </c>
      <c r="Q211" s="92"/>
      <c r="R211" s="19" t="s">
        <v>39</v>
      </c>
    </row>
    <row r="212" spans="2:18" ht="25.5" x14ac:dyDescent="0.2">
      <c r="B212" s="151"/>
      <c r="C212" s="151"/>
      <c r="D212" s="92">
        <v>205</v>
      </c>
      <c r="E212" s="19" t="s">
        <v>1462</v>
      </c>
      <c r="F212" s="92" t="s">
        <v>18</v>
      </c>
      <c r="G212" s="95" t="s">
        <v>1463</v>
      </c>
      <c r="H212" s="92" t="s">
        <v>1</v>
      </c>
      <c r="I212" s="92" t="s">
        <v>15</v>
      </c>
      <c r="J212" s="19"/>
      <c r="K212" s="58">
        <v>32498</v>
      </c>
      <c r="L212" s="93">
        <f t="shared" si="23"/>
        <v>1988</v>
      </c>
      <c r="M212" s="95">
        <f t="shared" si="24"/>
        <v>31</v>
      </c>
      <c r="N212" s="92" t="s">
        <v>3</v>
      </c>
      <c r="O212" s="92"/>
      <c r="P212" s="19" t="s">
        <v>27</v>
      </c>
      <c r="Q212" s="92"/>
      <c r="R212" s="19" t="s">
        <v>16</v>
      </c>
    </row>
    <row r="213" spans="2:18" x14ac:dyDescent="0.2">
      <c r="B213" s="151">
        <v>59</v>
      </c>
      <c r="C213" s="151"/>
      <c r="D213" s="92">
        <v>206</v>
      </c>
      <c r="E213" s="19" t="s">
        <v>1473</v>
      </c>
      <c r="F213" s="92" t="s">
        <v>7</v>
      </c>
      <c r="G213" s="95" t="s">
        <v>1474</v>
      </c>
      <c r="H213" s="92" t="s">
        <v>1</v>
      </c>
      <c r="I213" s="92" t="s">
        <v>15</v>
      </c>
      <c r="J213" s="19"/>
      <c r="K213" s="58">
        <v>33603</v>
      </c>
      <c r="L213" s="93">
        <f t="shared" si="23"/>
        <v>1991</v>
      </c>
      <c r="M213" s="95">
        <f t="shared" si="24"/>
        <v>28</v>
      </c>
      <c r="N213" s="92" t="s">
        <v>3</v>
      </c>
      <c r="O213" s="92"/>
      <c r="P213" s="19" t="s">
        <v>27</v>
      </c>
      <c r="Q213" s="92"/>
      <c r="R213" s="19" t="s">
        <v>39</v>
      </c>
    </row>
    <row r="214" spans="2:18" x14ac:dyDescent="0.2">
      <c r="B214" s="151"/>
      <c r="C214" s="151"/>
      <c r="D214" s="92">
        <v>207</v>
      </c>
      <c r="E214" s="19" t="s">
        <v>1475</v>
      </c>
      <c r="F214" s="92" t="s">
        <v>24</v>
      </c>
      <c r="G214" s="95" t="s">
        <v>1476</v>
      </c>
      <c r="H214" s="92" t="s">
        <v>1</v>
      </c>
      <c r="I214" s="92" t="s">
        <v>15</v>
      </c>
      <c r="J214" s="19"/>
      <c r="K214" s="58">
        <v>36842</v>
      </c>
      <c r="L214" s="93">
        <f t="shared" si="23"/>
        <v>2000</v>
      </c>
      <c r="M214" s="95">
        <f t="shared" si="24"/>
        <v>19</v>
      </c>
      <c r="N214" s="92" t="s">
        <v>3</v>
      </c>
      <c r="O214" s="92"/>
      <c r="P214" s="19" t="s">
        <v>46</v>
      </c>
      <c r="Q214" s="92"/>
      <c r="R214" s="19" t="s">
        <v>16</v>
      </c>
    </row>
    <row r="215" spans="2:18" x14ac:dyDescent="0.2">
      <c r="B215" s="151"/>
      <c r="C215" s="151"/>
      <c r="D215" s="92">
        <v>208</v>
      </c>
      <c r="E215" s="19" t="s">
        <v>1477</v>
      </c>
      <c r="F215" s="92" t="s">
        <v>24</v>
      </c>
      <c r="G215" s="95" t="s">
        <v>1478</v>
      </c>
      <c r="H215" s="92" t="s">
        <v>1</v>
      </c>
      <c r="I215" s="92" t="s">
        <v>15</v>
      </c>
      <c r="J215" s="19"/>
      <c r="K215" s="58">
        <v>36970</v>
      </c>
      <c r="L215" s="93">
        <f t="shared" si="23"/>
        <v>2001</v>
      </c>
      <c r="M215" s="95">
        <f t="shared" si="24"/>
        <v>18</v>
      </c>
      <c r="N215" s="92" t="s">
        <v>3</v>
      </c>
      <c r="O215" s="92"/>
      <c r="P215" s="19" t="s">
        <v>46</v>
      </c>
      <c r="Q215" s="92"/>
      <c r="R215" s="19" t="s">
        <v>16</v>
      </c>
    </row>
    <row r="216" spans="2:18" x14ac:dyDescent="0.2">
      <c r="B216" s="152">
        <v>60</v>
      </c>
      <c r="C216" s="152"/>
      <c r="D216" s="92">
        <v>209</v>
      </c>
      <c r="E216" s="19" t="s">
        <v>1479</v>
      </c>
      <c r="F216" s="92" t="s">
        <v>7</v>
      </c>
      <c r="G216" s="95" t="s">
        <v>1480</v>
      </c>
      <c r="H216" s="92" t="s">
        <v>1</v>
      </c>
      <c r="I216" s="92" t="s">
        <v>2</v>
      </c>
      <c r="J216" s="19"/>
      <c r="K216" s="58">
        <v>32641</v>
      </c>
      <c r="L216" s="93">
        <f t="shared" si="23"/>
        <v>1989</v>
      </c>
      <c r="M216" s="95">
        <f t="shared" si="24"/>
        <v>30</v>
      </c>
      <c r="N216" s="92" t="s">
        <v>3</v>
      </c>
      <c r="O216" s="92"/>
      <c r="P216" s="19" t="s">
        <v>27</v>
      </c>
      <c r="Q216" s="92"/>
      <c r="R216" s="19" t="s">
        <v>28</v>
      </c>
    </row>
    <row r="217" spans="2:18" x14ac:dyDescent="0.2">
      <c r="B217" s="153"/>
      <c r="C217" s="153"/>
      <c r="D217" s="92">
        <v>210</v>
      </c>
      <c r="E217" s="19" t="s">
        <v>1481</v>
      </c>
      <c r="F217" s="92" t="s">
        <v>12</v>
      </c>
      <c r="G217" s="95" t="s">
        <v>1482</v>
      </c>
      <c r="H217" s="92" t="s">
        <v>10</v>
      </c>
      <c r="I217" s="92" t="s">
        <v>2</v>
      </c>
      <c r="J217" s="19"/>
      <c r="K217" s="58">
        <v>33699</v>
      </c>
      <c r="L217" s="93">
        <f t="shared" si="23"/>
        <v>1992</v>
      </c>
      <c r="M217" s="95">
        <f t="shared" si="24"/>
        <v>27</v>
      </c>
      <c r="N217" s="92" t="s">
        <v>3</v>
      </c>
      <c r="O217" s="92"/>
      <c r="P217" s="19" t="s">
        <v>27</v>
      </c>
      <c r="Q217" s="92"/>
      <c r="R217" s="19" t="s">
        <v>16</v>
      </c>
    </row>
    <row r="218" spans="2:18" x14ac:dyDescent="0.2">
      <c r="B218" s="154"/>
      <c r="C218" s="154"/>
      <c r="D218" s="92">
        <v>211</v>
      </c>
      <c r="E218" s="19" t="s">
        <v>1483</v>
      </c>
      <c r="F218" s="92" t="s">
        <v>18</v>
      </c>
      <c r="G218" s="95" t="s">
        <v>1484</v>
      </c>
      <c r="H218" s="92" t="s">
        <v>1</v>
      </c>
      <c r="I218" s="92" t="s">
        <v>15</v>
      </c>
      <c r="J218" s="19"/>
      <c r="K218" s="58">
        <v>41793</v>
      </c>
      <c r="L218" s="93">
        <f t="shared" si="23"/>
        <v>2014</v>
      </c>
      <c r="M218" s="95">
        <f t="shared" si="24"/>
        <v>5</v>
      </c>
      <c r="N218" s="92" t="s">
        <v>3</v>
      </c>
      <c r="O218" s="92"/>
      <c r="P218" s="19" t="s">
        <v>16</v>
      </c>
      <c r="Q218" s="92"/>
      <c r="R218" s="19" t="s">
        <v>16</v>
      </c>
    </row>
    <row r="219" spans="2:18" x14ac:dyDescent="0.2">
      <c r="B219" s="151">
        <v>61</v>
      </c>
      <c r="C219" s="151"/>
      <c r="D219" s="92">
        <v>212</v>
      </c>
      <c r="E219" s="19" t="s">
        <v>1485</v>
      </c>
      <c r="F219" s="92" t="s">
        <v>7</v>
      </c>
      <c r="G219" s="95" t="s">
        <v>1486</v>
      </c>
      <c r="H219" s="92" t="s">
        <v>1</v>
      </c>
      <c r="I219" s="92" t="s">
        <v>2</v>
      </c>
      <c r="J219" s="19"/>
      <c r="K219" s="58">
        <v>23109</v>
      </c>
      <c r="L219" s="93">
        <f t="shared" si="23"/>
        <v>1963</v>
      </c>
      <c r="M219" s="95">
        <f t="shared" si="24"/>
        <v>56</v>
      </c>
      <c r="N219" s="92" t="s">
        <v>3</v>
      </c>
      <c r="O219" s="92"/>
      <c r="P219" s="19" t="s">
        <v>27</v>
      </c>
      <c r="Q219" s="92"/>
      <c r="R219" s="19" t="s">
        <v>1314</v>
      </c>
    </row>
    <row r="220" spans="2:18" x14ac:dyDescent="0.2">
      <c r="B220" s="151"/>
      <c r="C220" s="151"/>
      <c r="D220" s="92">
        <v>213</v>
      </c>
      <c r="E220" s="19" t="s">
        <v>1487</v>
      </c>
      <c r="F220" s="92" t="s">
        <v>12</v>
      </c>
      <c r="G220" s="95" t="s">
        <v>1488</v>
      </c>
      <c r="H220" s="92" t="s">
        <v>10</v>
      </c>
      <c r="I220" s="92" t="s">
        <v>2</v>
      </c>
      <c r="J220" s="19"/>
      <c r="K220" s="58">
        <v>25203</v>
      </c>
      <c r="L220" s="93">
        <f t="shared" si="23"/>
        <v>1968</v>
      </c>
      <c r="M220" s="95">
        <f t="shared" si="24"/>
        <v>51</v>
      </c>
      <c r="N220" s="92" t="s">
        <v>3</v>
      </c>
      <c r="O220" s="92"/>
      <c r="P220" s="19" t="s">
        <v>27</v>
      </c>
      <c r="Q220" s="92"/>
      <c r="R220" s="19" t="s">
        <v>11</v>
      </c>
    </row>
    <row r="221" spans="2:18" ht="25.5" x14ac:dyDescent="0.2">
      <c r="B221" s="151"/>
      <c r="C221" s="151"/>
      <c r="D221" s="92">
        <v>214</v>
      </c>
      <c r="E221" s="19" t="s">
        <v>1489</v>
      </c>
      <c r="F221" s="92" t="s">
        <v>18</v>
      </c>
      <c r="G221" s="95" t="s">
        <v>1490</v>
      </c>
      <c r="H221" s="92" t="s">
        <v>1</v>
      </c>
      <c r="I221" s="92" t="s">
        <v>15</v>
      </c>
      <c r="J221" s="19"/>
      <c r="K221" s="58">
        <v>37762</v>
      </c>
      <c r="L221" s="93">
        <f t="shared" si="23"/>
        <v>2003</v>
      </c>
      <c r="M221" s="95">
        <f t="shared" si="24"/>
        <v>16</v>
      </c>
      <c r="N221" s="92" t="s">
        <v>3</v>
      </c>
      <c r="O221" s="92"/>
      <c r="P221" s="19" t="s">
        <v>16</v>
      </c>
      <c r="Q221" s="92"/>
      <c r="R221" s="19" t="s">
        <v>16</v>
      </c>
    </row>
    <row r="222" spans="2:18" x14ac:dyDescent="0.2">
      <c r="B222" s="151">
        <v>62</v>
      </c>
      <c r="C222" s="151"/>
      <c r="D222" s="92">
        <v>215</v>
      </c>
      <c r="E222" s="19" t="s">
        <v>827</v>
      </c>
      <c r="F222" s="92" t="s">
        <v>7</v>
      </c>
      <c r="G222" s="95" t="s">
        <v>1491</v>
      </c>
      <c r="H222" s="92" t="s">
        <v>10</v>
      </c>
      <c r="I222" s="92" t="s">
        <v>21</v>
      </c>
      <c r="J222" s="19"/>
      <c r="K222" s="58">
        <v>34711</v>
      </c>
      <c r="L222" s="93">
        <f t="shared" si="23"/>
        <v>1995</v>
      </c>
      <c r="M222" s="95">
        <f t="shared" si="24"/>
        <v>24</v>
      </c>
      <c r="N222" s="92" t="s">
        <v>3</v>
      </c>
      <c r="O222" s="92"/>
      <c r="P222" s="19" t="s">
        <v>46</v>
      </c>
      <c r="Q222" s="92"/>
      <c r="R222" s="19" t="s">
        <v>28</v>
      </c>
    </row>
    <row r="223" spans="2:18" ht="25.5" x14ac:dyDescent="0.2">
      <c r="B223" s="151"/>
      <c r="C223" s="151"/>
      <c r="D223" s="92">
        <v>216</v>
      </c>
      <c r="E223" s="19" t="s">
        <v>1492</v>
      </c>
      <c r="F223" s="92" t="s">
        <v>18</v>
      </c>
      <c r="G223" s="95" t="s">
        <v>1493</v>
      </c>
      <c r="H223" s="92" t="s">
        <v>10</v>
      </c>
      <c r="I223" s="92" t="s">
        <v>15</v>
      </c>
      <c r="J223" s="19"/>
      <c r="K223" s="58">
        <v>41843</v>
      </c>
      <c r="L223" s="93">
        <f t="shared" si="23"/>
        <v>2014</v>
      </c>
      <c r="M223" s="95">
        <f t="shared" si="24"/>
        <v>5</v>
      </c>
      <c r="N223" s="92" t="s">
        <v>3</v>
      </c>
      <c r="O223" s="92"/>
      <c r="P223" s="19" t="s">
        <v>16</v>
      </c>
      <c r="Q223" s="92"/>
      <c r="R223" s="19" t="s">
        <v>16</v>
      </c>
    </row>
    <row r="224" spans="2:18" x14ac:dyDescent="0.2">
      <c r="B224" s="151">
        <v>63</v>
      </c>
      <c r="C224" s="151"/>
      <c r="D224" s="92">
        <v>217</v>
      </c>
      <c r="E224" s="19" t="s">
        <v>1494</v>
      </c>
      <c r="F224" s="92" t="s">
        <v>7</v>
      </c>
      <c r="G224" s="95" t="s">
        <v>1495</v>
      </c>
      <c r="H224" s="92" t="s">
        <v>10</v>
      </c>
      <c r="I224" s="92" t="s">
        <v>21</v>
      </c>
      <c r="J224" s="19"/>
      <c r="K224" s="58">
        <v>21732</v>
      </c>
      <c r="L224" s="93">
        <f t="shared" si="23"/>
        <v>1959</v>
      </c>
      <c r="M224" s="95">
        <f t="shared" si="24"/>
        <v>60</v>
      </c>
      <c r="N224" s="92" t="s">
        <v>3</v>
      </c>
      <c r="O224" s="92"/>
      <c r="P224" s="19" t="s">
        <v>16</v>
      </c>
      <c r="Q224" s="92"/>
      <c r="R224" s="19" t="s">
        <v>28</v>
      </c>
    </row>
    <row r="225" spans="2:18" x14ac:dyDescent="0.2">
      <c r="B225" s="151"/>
      <c r="C225" s="151"/>
      <c r="D225" s="92">
        <v>218</v>
      </c>
      <c r="E225" s="19" t="s">
        <v>1496</v>
      </c>
      <c r="F225" s="92" t="s">
        <v>18</v>
      </c>
      <c r="G225" s="95" t="s">
        <v>1497</v>
      </c>
      <c r="H225" s="92" t="s">
        <v>1</v>
      </c>
      <c r="I225" s="92" t="s">
        <v>15</v>
      </c>
      <c r="J225" s="19"/>
      <c r="K225" s="58">
        <v>31059</v>
      </c>
      <c r="L225" s="93">
        <f t="shared" si="23"/>
        <v>1985</v>
      </c>
      <c r="M225" s="95">
        <f t="shared" si="24"/>
        <v>34</v>
      </c>
      <c r="N225" s="92" t="s">
        <v>3</v>
      </c>
      <c r="O225" s="92"/>
      <c r="P225" s="19" t="s">
        <v>46</v>
      </c>
      <c r="Q225" s="92"/>
      <c r="R225" s="19" t="s">
        <v>28</v>
      </c>
    </row>
    <row r="226" spans="2:18" x14ac:dyDescent="0.2">
      <c r="B226" s="151"/>
      <c r="C226" s="151"/>
      <c r="D226" s="92">
        <v>219</v>
      </c>
      <c r="E226" s="19" t="s">
        <v>1498</v>
      </c>
      <c r="F226" s="92" t="s">
        <v>18</v>
      </c>
      <c r="G226" s="95" t="s">
        <v>1499</v>
      </c>
      <c r="H226" s="92" t="s">
        <v>1</v>
      </c>
      <c r="I226" s="92" t="s">
        <v>15</v>
      </c>
      <c r="J226" s="19"/>
      <c r="K226" s="58">
        <v>33727</v>
      </c>
      <c r="L226" s="93">
        <f t="shared" si="23"/>
        <v>1992</v>
      </c>
      <c r="M226" s="95">
        <f t="shared" si="24"/>
        <v>27</v>
      </c>
      <c r="N226" s="92" t="s">
        <v>3</v>
      </c>
      <c r="O226" s="92"/>
      <c r="P226" s="19" t="s">
        <v>27</v>
      </c>
      <c r="Q226" s="92"/>
      <c r="R226" s="19" t="s">
        <v>16</v>
      </c>
    </row>
    <row r="227" spans="2:18" ht="25.5" x14ac:dyDescent="0.2">
      <c r="B227" s="151">
        <v>64</v>
      </c>
      <c r="C227" s="155">
        <v>5201012209120020</v>
      </c>
      <c r="D227" s="92">
        <v>220</v>
      </c>
      <c r="E227" s="19" t="s">
        <v>1670</v>
      </c>
      <c r="F227" s="92" t="s">
        <v>7</v>
      </c>
      <c r="G227" s="95" t="s">
        <v>1500</v>
      </c>
      <c r="H227" s="92" t="s">
        <v>1</v>
      </c>
      <c r="I227" s="92" t="s">
        <v>2</v>
      </c>
      <c r="J227" s="19" t="s">
        <v>1623</v>
      </c>
      <c r="K227" s="58">
        <v>24716</v>
      </c>
      <c r="L227" s="59">
        <v>1967</v>
      </c>
      <c r="M227" s="95">
        <f t="shared" ref="M227:M247" si="25">2019-L227</f>
        <v>52</v>
      </c>
      <c r="N227" s="92" t="s">
        <v>3</v>
      </c>
      <c r="O227" s="92" t="s">
        <v>1632</v>
      </c>
      <c r="P227" s="19" t="s">
        <v>27</v>
      </c>
      <c r="Q227" s="92"/>
      <c r="R227" s="19" t="s">
        <v>39</v>
      </c>
    </row>
    <row r="228" spans="2:18" ht="16.5" customHeight="1" x14ac:dyDescent="0.2">
      <c r="B228" s="151"/>
      <c r="C228" s="155"/>
      <c r="D228" s="92">
        <v>221</v>
      </c>
      <c r="E228" s="19" t="s">
        <v>1501</v>
      </c>
      <c r="F228" s="92" t="s">
        <v>12</v>
      </c>
      <c r="G228" s="95" t="s">
        <v>1502</v>
      </c>
      <c r="H228" s="92" t="s">
        <v>10</v>
      </c>
      <c r="I228" s="92" t="s">
        <v>2</v>
      </c>
      <c r="J228" s="19" t="s">
        <v>1671</v>
      </c>
      <c r="K228" s="58">
        <v>26201</v>
      </c>
      <c r="L228" s="59">
        <v>1971</v>
      </c>
      <c r="M228" s="95">
        <f t="shared" si="25"/>
        <v>48</v>
      </c>
      <c r="N228" s="92" t="s">
        <v>3</v>
      </c>
      <c r="O228" s="92" t="s">
        <v>1632</v>
      </c>
      <c r="P228" s="19" t="s">
        <v>27</v>
      </c>
      <c r="Q228" s="92"/>
      <c r="R228" s="19" t="s">
        <v>1648</v>
      </c>
    </row>
    <row r="229" spans="2:18" ht="25.5" x14ac:dyDescent="0.2">
      <c r="B229" s="151"/>
      <c r="C229" s="155"/>
      <c r="D229" s="92">
        <v>222</v>
      </c>
      <c r="E229" s="19" t="s">
        <v>1503</v>
      </c>
      <c r="F229" s="92" t="s">
        <v>18</v>
      </c>
      <c r="G229" s="95" t="s">
        <v>1504</v>
      </c>
      <c r="H229" s="92" t="s">
        <v>10</v>
      </c>
      <c r="I229" s="92" t="s">
        <v>15</v>
      </c>
      <c r="J229" s="19" t="s">
        <v>1672</v>
      </c>
      <c r="K229" s="58">
        <v>35427</v>
      </c>
      <c r="L229" s="59">
        <v>1996</v>
      </c>
      <c r="M229" s="95">
        <f t="shared" si="25"/>
        <v>23</v>
      </c>
      <c r="N229" s="92" t="s">
        <v>3</v>
      </c>
      <c r="O229" s="92" t="s">
        <v>1632</v>
      </c>
      <c r="P229" s="19" t="s">
        <v>1673</v>
      </c>
      <c r="Q229" s="92"/>
      <c r="R229" s="19" t="s">
        <v>1625</v>
      </c>
    </row>
    <row r="230" spans="2:18" ht="38.25" x14ac:dyDescent="0.2">
      <c r="B230" s="151"/>
      <c r="C230" s="155"/>
      <c r="D230" s="92">
        <v>223</v>
      </c>
      <c r="E230" s="19" t="s">
        <v>1505</v>
      </c>
      <c r="F230" s="92" t="s">
        <v>18</v>
      </c>
      <c r="G230" s="95" t="s">
        <v>1506</v>
      </c>
      <c r="H230" s="92" t="s">
        <v>1</v>
      </c>
      <c r="I230" s="92" t="s">
        <v>15</v>
      </c>
      <c r="J230" s="19" t="s">
        <v>1672</v>
      </c>
      <c r="K230" s="58">
        <v>37810</v>
      </c>
      <c r="L230" s="59">
        <v>2003</v>
      </c>
      <c r="M230" s="95">
        <f t="shared" si="25"/>
        <v>16</v>
      </c>
      <c r="N230" s="92" t="s">
        <v>3</v>
      </c>
      <c r="O230" s="92" t="s">
        <v>1632</v>
      </c>
      <c r="P230" s="19" t="s">
        <v>35</v>
      </c>
      <c r="Q230" s="92"/>
      <c r="R230" s="19" t="s">
        <v>1625</v>
      </c>
    </row>
    <row r="231" spans="2:18" ht="25.5" x14ac:dyDescent="0.2">
      <c r="B231" s="151"/>
      <c r="C231" s="155"/>
      <c r="D231" s="92">
        <v>224</v>
      </c>
      <c r="E231" s="19" t="s">
        <v>1507</v>
      </c>
      <c r="F231" s="92" t="s">
        <v>18</v>
      </c>
      <c r="G231" s="95" t="s">
        <v>1508</v>
      </c>
      <c r="H231" s="92" t="s">
        <v>10</v>
      </c>
      <c r="I231" s="92" t="s">
        <v>15</v>
      </c>
      <c r="J231" s="19" t="s">
        <v>1672</v>
      </c>
      <c r="K231" s="58">
        <v>40187</v>
      </c>
      <c r="L231" s="59">
        <v>2010</v>
      </c>
      <c r="M231" s="95">
        <f t="shared" si="25"/>
        <v>9</v>
      </c>
      <c r="N231" s="92" t="s">
        <v>3</v>
      </c>
      <c r="O231" s="92" t="s">
        <v>1632</v>
      </c>
      <c r="P231" s="19" t="s">
        <v>16</v>
      </c>
      <c r="Q231" s="92"/>
      <c r="R231" s="19" t="s">
        <v>1674</v>
      </c>
    </row>
    <row r="232" spans="2:18" x14ac:dyDescent="0.2">
      <c r="B232" s="151">
        <v>65</v>
      </c>
      <c r="C232" s="155" t="s">
        <v>1928</v>
      </c>
      <c r="D232" s="92">
        <v>225</v>
      </c>
      <c r="E232" s="19" t="s">
        <v>742</v>
      </c>
      <c r="F232" s="92" t="s">
        <v>7</v>
      </c>
      <c r="G232" s="95" t="s">
        <v>1929</v>
      </c>
      <c r="H232" s="92" t="s">
        <v>1</v>
      </c>
      <c r="I232" s="92" t="s">
        <v>2</v>
      </c>
      <c r="J232" s="19" t="s">
        <v>1932</v>
      </c>
      <c r="K232" s="58">
        <v>29749</v>
      </c>
      <c r="L232" s="59">
        <v>1981</v>
      </c>
      <c r="M232" s="95">
        <f t="shared" si="25"/>
        <v>38</v>
      </c>
      <c r="N232" s="92" t="s">
        <v>3</v>
      </c>
      <c r="O232" s="92" t="s">
        <v>1632</v>
      </c>
      <c r="P232" s="19" t="s">
        <v>1732</v>
      </c>
      <c r="Q232" s="92"/>
      <c r="R232" s="19" t="s">
        <v>39</v>
      </c>
    </row>
    <row r="233" spans="2:18" ht="25.5" x14ac:dyDescent="0.2">
      <c r="B233" s="151"/>
      <c r="C233" s="155"/>
      <c r="D233" s="92">
        <v>226</v>
      </c>
      <c r="E233" s="19" t="s">
        <v>1509</v>
      </c>
      <c r="F233" s="92" t="s">
        <v>12</v>
      </c>
      <c r="G233" s="95" t="s">
        <v>1930</v>
      </c>
      <c r="H233" s="92" t="s">
        <v>10</v>
      </c>
      <c r="I233" s="92" t="s">
        <v>2</v>
      </c>
      <c r="J233" s="19" t="s">
        <v>1644</v>
      </c>
      <c r="K233" s="58">
        <v>32317</v>
      </c>
      <c r="L233" s="59">
        <v>1988</v>
      </c>
      <c r="M233" s="95">
        <f t="shared" si="25"/>
        <v>31</v>
      </c>
      <c r="N233" s="92" t="s">
        <v>3</v>
      </c>
      <c r="O233" s="92" t="s">
        <v>1632</v>
      </c>
      <c r="P233" s="19" t="s">
        <v>1641</v>
      </c>
      <c r="Q233" s="92"/>
      <c r="R233" s="19" t="s">
        <v>39</v>
      </c>
    </row>
    <row r="234" spans="2:18" ht="25.5" x14ac:dyDescent="0.2">
      <c r="B234" s="151"/>
      <c r="C234" s="155"/>
      <c r="D234" s="92">
        <v>227</v>
      </c>
      <c r="E234" s="19" t="s">
        <v>1510</v>
      </c>
      <c r="F234" s="92" t="s">
        <v>18</v>
      </c>
      <c r="G234" s="95" t="s">
        <v>1931</v>
      </c>
      <c r="H234" s="92" t="s">
        <v>10</v>
      </c>
      <c r="I234" s="92" t="s">
        <v>15</v>
      </c>
      <c r="J234" s="19" t="s">
        <v>1644</v>
      </c>
      <c r="K234" s="58">
        <v>38559</v>
      </c>
      <c r="L234" s="59">
        <v>2005</v>
      </c>
      <c r="M234" s="95">
        <f t="shared" si="25"/>
        <v>14</v>
      </c>
      <c r="N234" s="92" t="s">
        <v>3</v>
      </c>
      <c r="O234" s="92" t="s">
        <v>1632</v>
      </c>
      <c r="P234" s="19" t="s">
        <v>1635</v>
      </c>
      <c r="Q234" s="92"/>
      <c r="R234" s="19" t="s">
        <v>1625</v>
      </c>
    </row>
    <row r="235" spans="2:18" x14ac:dyDescent="0.2">
      <c r="B235" s="152">
        <v>66</v>
      </c>
      <c r="C235" s="152"/>
      <c r="D235" s="92">
        <v>228</v>
      </c>
      <c r="E235" s="19" t="s">
        <v>1318</v>
      </c>
      <c r="F235" s="92" t="s">
        <v>7</v>
      </c>
      <c r="G235" s="95" t="s">
        <v>1511</v>
      </c>
      <c r="H235" s="92" t="s">
        <v>1</v>
      </c>
      <c r="I235" s="92" t="s">
        <v>80</v>
      </c>
      <c r="J235" s="19"/>
      <c r="K235" s="58">
        <v>20089</v>
      </c>
      <c r="L235" s="93">
        <f t="shared" ref="L235:L247" si="26">YEAR(K235)</f>
        <v>1954</v>
      </c>
      <c r="M235" s="95">
        <f t="shared" si="25"/>
        <v>65</v>
      </c>
      <c r="N235" s="92" t="s">
        <v>3</v>
      </c>
      <c r="O235" s="92"/>
      <c r="P235" s="19" t="s">
        <v>16</v>
      </c>
      <c r="Q235" s="92"/>
      <c r="R235" s="19" t="s">
        <v>37</v>
      </c>
    </row>
    <row r="236" spans="2:18" x14ac:dyDescent="0.2">
      <c r="B236" s="153"/>
      <c r="C236" s="153"/>
      <c r="D236" s="92">
        <v>229</v>
      </c>
      <c r="E236" s="19" t="s">
        <v>1512</v>
      </c>
      <c r="F236" s="92" t="s">
        <v>18</v>
      </c>
      <c r="G236" s="95">
        <v>5269049100010100</v>
      </c>
      <c r="H236" s="92" t="s">
        <v>10</v>
      </c>
      <c r="I236" s="92" t="s">
        <v>15</v>
      </c>
      <c r="J236" s="19"/>
      <c r="K236" s="58">
        <v>33357</v>
      </c>
      <c r="L236" s="93">
        <f t="shared" si="26"/>
        <v>1991</v>
      </c>
      <c r="M236" s="95">
        <f t="shared" si="25"/>
        <v>28</v>
      </c>
      <c r="N236" s="92" t="s">
        <v>3</v>
      </c>
      <c r="O236" s="92"/>
      <c r="P236" s="19" t="s">
        <v>27</v>
      </c>
      <c r="Q236" s="92"/>
      <c r="R236" s="19" t="s">
        <v>28</v>
      </c>
    </row>
    <row r="237" spans="2:18" x14ac:dyDescent="0.2">
      <c r="B237" s="153"/>
      <c r="C237" s="153"/>
      <c r="D237" s="92">
        <v>230</v>
      </c>
      <c r="E237" s="19" t="s">
        <v>1513</v>
      </c>
      <c r="F237" s="92" t="s">
        <v>18</v>
      </c>
      <c r="G237" s="95" t="s">
        <v>1514</v>
      </c>
      <c r="H237" s="92" t="s">
        <v>1</v>
      </c>
      <c r="I237" s="92" t="s">
        <v>15</v>
      </c>
      <c r="J237" s="19"/>
      <c r="K237" s="58">
        <v>35013</v>
      </c>
      <c r="L237" s="93">
        <f t="shared" si="26"/>
        <v>1995</v>
      </c>
      <c r="M237" s="95">
        <f t="shared" si="25"/>
        <v>24</v>
      </c>
      <c r="N237" s="92" t="s">
        <v>3</v>
      </c>
      <c r="O237" s="92"/>
      <c r="P237" s="19" t="s">
        <v>35</v>
      </c>
      <c r="Q237" s="92"/>
      <c r="R237" s="19" t="s">
        <v>16</v>
      </c>
    </row>
    <row r="238" spans="2:18" x14ac:dyDescent="0.2">
      <c r="B238" s="154"/>
      <c r="C238" s="154"/>
      <c r="D238" s="92">
        <v>231</v>
      </c>
      <c r="E238" s="19" t="s">
        <v>1426</v>
      </c>
      <c r="F238" s="92" t="s">
        <v>18</v>
      </c>
      <c r="G238" s="95" t="s">
        <v>1515</v>
      </c>
      <c r="H238" s="92" t="s">
        <v>10</v>
      </c>
      <c r="I238" s="92" t="s">
        <v>15</v>
      </c>
      <c r="J238" s="19"/>
      <c r="K238" s="58">
        <v>35929</v>
      </c>
      <c r="L238" s="93">
        <f t="shared" si="26"/>
        <v>1998</v>
      </c>
      <c r="M238" s="95">
        <f t="shared" si="25"/>
        <v>21</v>
      </c>
      <c r="N238" s="92" t="s">
        <v>3</v>
      </c>
      <c r="O238" s="92"/>
      <c r="P238" s="19" t="s">
        <v>35</v>
      </c>
      <c r="Q238" s="92"/>
      <c r="R238" s="19" t="s">
        <v>16</v>
      </c>
    </row>
    <row r="239" spans="2:18" ht="25.5" x14ac:dyDescent="0.2">
      <c r="B239" s="151">
        <v>67</v>
      </c>
      <c r="C239" s="151"/>
      <c r="D239" s="92">
        <v>232</v>
      </c>
      <c r="E239" s="19" t="s">
        <v>1516</v>
      </c>
      <c r="F239" s="92" t="s">
        <v>7</v>
      </c>
      <c r="G239" s="95" t="s">
        <v>1517</v>
      </c>
      <c r="H239" s="92" t="s">
        <v>1</v>
      </c>
      <c r="I239" s="92" t="s">
        <v>2</v>
      </c>
      <c r="J239" s="19"/>
      <c r="K239" s="58">
        <v>21185</v>
      </c>
      <c r="L239" s="93">
        <f t="shared" si="26"/>
        <v>1957</v>
      </c>
      <c r="M239" s="95">
        <f t="shared" si="25"/>
        <v>62</v>
      </c>
      <c r="N239" s="92" t="s">
        <v>3</v>
      </c>
      <c r="O239" s="92"/>
      <c r="P239" s="19" t="s">
        <v>35</v>
      </c>
      <c r="Q239" s="92"/>
      <c r="R239" s="19" t="s">
        <v>977</v>
      </c>
    </row>
    <row r="240" spans="2:18" x14ac:dyDescent="0.2">
      <c r="B240" s="151"/>
      <c r="C240" s="151"/>
      <c r="D240" s="92">
        <v>233</v>
      </c>
      <c r="E240" s="19" t="s">
        <v>1518</v>
      </c>
      <c r="F240" s="92" t="s">
        <v>12</v>
      </c>
      <c r="G240" s="95" t="s">
        <v>1519</v>
      </c>
      <c r="H240" s="92" t="s">
        <v>10</v>
      </c>
      <c r="I240" s="92" t="s">
        <v>2</v>
      </c>
      <c r="J240" s="19"/>
      <c r="K240" s="58">
        <v>22281</v>
      </c>
      <c r="L240" s="93">
        <f t="shared" si="26"/>
        <v>1960</v>
      </c>
      <c r="M240" s="95">
        <f t="shared" si="25"/>
        <v>59</v>
      </c>
      <c r="N240" s="92" t="s">
        <v>3</v>
      </c>
      <c r="O240" s="92"/>
      <c r="P240" s="19" t="s">
        <v>46</v>
      </c>
      <c r="Q240" s="92"/>
      <c r="R240" s="19" t="s">
        <v>16</v>
      </c>
    </row>
    <row r="241" spans="2:18" x14ac:dyDescent="0.2">
      <c r="B241" s="151"/>
      <c r="C241" s="151"/>
      <c r="D241" s="92">
        <v>234</v>
      </c>
      <c r="E241" s="19" t="s">
        <v>1520</v>
      </c>
      <c r="F241" s="92" t="s">
        <v>18</v>
      </c>
      <c r="G241" s="95" t="s">
        <v>1521</v>
      </c>
      <c r="H241" s="92" t="s">
        <v>10</v>
      </c>
      <c r="I241" s="92" t="s">
        <v>15</v>
      </c>
      <c r="J241" s="19"/>
      <c r="K241" s="58">
        <v>30701</v>
      </c>
      <c r="L241" s="93">
        <f t="shared" si="26"/>
        <v>1984</v>
      </c>
      <c r="M241" s="95">
        <f t="shared" si="25"/>
        <v>35</v>
      </c>
      <c r="N241" s="92" t="s">
        <v>3</v>
      </c>
      <c r="O241" s="92"/>
      <c r="P241" s="19" t="s">
        <v>4</v>
      </c>
      <c r="Q241" s="92"/>
      <c r="R241" s="19" t="s">
        <v>11</v>
      </c>
    </row>
    <row r="242" spans="2:18" ht="25.5" x14ac:dyDescent="0.2">
      <c r="B242" s="151"/>
      <c r="C242" s="151"/>
      <c r="D242" s="92">
        <v>235</v>
      </c>
      <c r="E242" s="19" t="s">
        <v>1522</v>
      </c>
      <c r="F242" s="92" t="s">
        <v>18</v>
      </c>
      <c r="G242" s="95" t="s">
        <v>1523</v>
      </c>
      <c r="H242" s="92" t="s">
        <v>1</v>
      </c>
      <c r="I242" s="92" t="s">
        <v>15</v>
      </c>
      <c r="J242" s="19"/>
      <c r="K242" s="58">
        <v>32070</v>
      </c>
      <c r="L242" s="93">
        <f t="shared" si="26"/>
        <v>1987</v>
      </c>
      <c r="M242" s="95">
        <f t="shared" si="25"/>
        <v>32</v>
      </c>
      <c r="N242" s="92" t="s">
        <v>3</v>
      </c>
      <c r="O242" s="92"/>
      <c r="P242" s="19" t="s">
        <v>4</v>
      </c>
      <c r="Q242" s="92"/>
      <c r="R242" s="19" t="s">
        <v>54</v>
      </c>
    </row>
    <row r="243" spans="2:18" x14ac:dyDescent="0.2">
      <c r="B243" s="151"/>
      <c r="C243" s="151"/>
      <c r="D243" s="92">
        <v>236</v>
      </c>
      <c r="E243" s="19" t="s">
        <v>1524</v>
      </c>
      <c r="F243" s="92" t="s">
        <v>18</v>
      </c>
      <c r="G243" s="95" t="s">
        <v>1525</v>
      </c>
      <c r="H243" s="92" t="s">
        <v>10</v>
      </c>
      <c r="I243" s="92" t="s">
        <v>15</v>
      </c>
      <c r="J243" s="19"/>
      <c r="K243" s="58">
        <v>35053</v>
      </c>
      <c r="L243" s="93">
        <f t="shared" si="26"/>
        <v>1995</v>
      </c>
      <c r="M243" s="95">
        <f t="shared" si="25"/>
        <v>24</v>
      </c>
      <c r="N243" s="92" t="s">
        <v>3</v>
      </c>
      <c r="O243" s="92"/>
      <c r="P243" s="19" t="s">
        <v>27</v>
      </c>
      <c r="Q243" s="92"/>
      <c r="R243" s="19" t="s">
        <v>16</v>
      </c>
    </row>
    <row r="244" spans="2:18" x14ac:dyDescent="0.2">
      <c r="B244" s="152">
        <v>68</v>
      </c>
      <c r="C244" s="152"/>
      <c r="D244" s="92">
        <v>237</v>
      </c>
      <c r="E244" s="19" t="s">
        <v>1526</v>
      </c>
      <c r="F244" s="92" t="s">
        <v>7</v>
      </c>
      <c r="G244" s="95" t="s">
        <v>1527</v>
      </c>
      <c r="H244" s="92" t="s">
        <v>1</v>
      </c>
      <c r="I244" s="92" t="s">
        <v>2</v>
      </c>
      <c r="J244" s="19"/>
      <c r="K244" s="58">
        <v>28562</v>
      </c>
      <c r="L244" s="93">
        <f t="shared" si="26"/>
        <v>1978</v>
      </c>
      <c r="M244" s="95">
        <f t="shared" si="25"/>
        <v>41</v>
      </c>
      <c r="N244" s="92" t="s">
        <v>3</v>
      </c>
      <c r="O244" s="92"/>
      <c r="P244" s="19" t="s">
        <v>4</v>
      </c>
      <c r="Q244" s="92"/>
      <c r="R244" s="19" t="s">
        <v>17</v>
      </c>
    </row>
    <row r="245" spans="2:18" ht="25.5" x14ac:dyDescent="0.2">
      <c r="B245" s="153"/>
      <c r="C245" s="153"/>
      <c r="D245" s="92">
        <v>238</v>
      </c>
      <c r="E245" s="19" t="s">
        <v>1528</v>
      </c>
      <c r="F245" s="92" t="s">
        <v>12</v>
      </c>
      <c r="G245" s="95" t="s">
        <v>1529</v>
      </c>
      <c r="H245" s="92" t="s">
        <v>10</v>
      </c>
      <c r="I245" s="92" t="s">
        <v>2</v>
      </c>
      <c r="J245" s="19"/>
      <c r="K245" s="58">
        <v>29543</v>
      </c>
      <c r="L245" s="93">
        <f t="shared" si="26"/>
        <v>1980</v>
      </c>
      <c r="M245" s="95">
        <f t="shared" si="25"/>
        <v>39</v>
      </c>
      <c r="N245" s="92" t="s">
        <v>3</v>
      </c>
      <c r="O245" s="92"/>
      <c r="P245" s="19" t="s">
        <v>4</v>
      </c>
      <c r="Q245" s="92"/>
      <c r="R245" s="19" t="s">
        <v>16</v>
      </c>
    </row>
    <row r="246" spans="2:18" ht="38.25" x14ac:dyDescent="0.2">
      <c r="B246" s="153"/>
      <c r="C246" s="153"/>
      <c r="D246" s="92">
        <v>239</v>
      </c>
      <c r="E246" s="19" t="s">
        <v>1530</v>
      </c>
      <c r="F246" s="92" t="s">
        <v>18</v>
      </c>
      <c r="G246" s="95" t="s">
        <v>1531</v>
      </c>
      <c r="H246" s="92" t="s">
        <v>10</v>
      </c>
      <c r="I246" s="92" t="s">
        <v>15</v>
      </c>
      <c r="J246" s="19"/>
      <c r="K246" s="58">
        <v>39275</v>
      </c>
      <c r="L246" s="93">
        <f t="shared" si="26"/>
        <v>2007</v>
      </c>
      <c r="M246" s="95">
        <f t="shared" si="25"/>
        <v>12</v>
      </c>
      <c r="N246" s="92" t="s">
        <v>3</v>
      </c>
      <c r="O246" s="92"/>
      <c r="P246" s="19" t="s">
        <v>16</v>
      </c>
      <c r="Q246" s="92"/>
      <c r="R246" s="19" t="s">
        <v>16</v>
      </c>
    </row>
    <row r="247" spans="2:18" ht="25.5" x14ac:dyDescent="0.2">
      <c r="B247" s="154"/>
      <c r="C247" s="154"/>
      <c r="D247" s="92">
        <v>240</v>
      </c>
      <c r="E247" s="19" t="s">
        <v>1532</v>
      </c>
      <c r="F247" s="92" t="s">
        <v>18</v>
      </c>
      <c r="G247" s="95" t="s">
        <v>1533</v>
      </c>
      <c r="H247" s="92" t="s">
        <v>10</v>
      </c>
      <c r="I247" s="92" t="s">
        <v>15</v>
      </c>
      <c r="J247" s="19"/>
      <c r="K247" s="58">
        <v>40768</v>
      </c>
      <c r="L247" s="93">
        <f t="shared" si="26"/>
        <v>2011</v>
      </c>
      <c r="M247" s="95">
        <f t="shared" si="25"/>
        <v>8</v>
      </c>
      <c r="N247" s="92" t="s">
        <v>3</v>
      </c>
      <c r="O247" s="92"/>
      <c r="P247" s="19" t="s">
        <v>16</v>
      </c>
      <c r="Q247" s="92"/>
      <c r="R247" s="19" t="s">
        <v>16</v>
      </c>
    </row>
    <row r="248" spans="2:18" ht="25.5" x14ac:dyDescent="0.2">
      <c r="B248" s="151">
        <v>69</v>
      </c>
      <c r="C248" s="155" t="s">
        <v>2250</v>
      </c>
      <c r="D248" s="92">
        <v>241</v>
      </c>
      <c r="E248" s="19" t="s">
        <v>1534</v>
      </c>
      <c r="F248" s="92" t="s">
        <v>7</v>
      </c>
      <c r="G248" s="95" t="s">
        <v>1535</v>
      </c>
      <c r="H248" s="92" t="s">
        <v>1</v>
      </c>
      <c r="I248" s="92" t="s">
        <v>2</v>
      </c>
      <c r="J248" s="19" t="s">
        <v>1631</v>
      </c>
      <c r="K248" s="58">
        <v>18064</v>
      </c>
      <c r="L248" s="59">
        <v>1949</v>
      </c>
      <c r="M248" s="95">
        <f>2019-1949</f>
        <v>70</v>
      </c>
      <c r="N248" s="92" t="s">
        <v>3</v>
      </c>
      <c r="O248" s="92" t="s">
        <v>1632</v>
      </c>
      <c r="P248" s="19" t="s">
        <v>1677</v>
      </c>
      <c r="Q248" s="92"/>
      <c r="R248" s="19" t="s">
        <v>43</v>
      </c>
    </row>
    <row r="249" spans="2:18" x14ac:dyDescent="0.2">
      <c r="B249" s="151"/>
      <c r="C249" s="155"/>
      <c r="D249" s="92">
        <v>242</v>
      </c>
      <c r="E249" s="19" t="s">
        <v>2251</v>
      </c>
      <c r="F249" s="92" t="s">
        <v>12</v>
      </c>
      <c r="G249" s="95" t="s">
        <v>1536</v>
      </c>
      <c r="H249" s="92" t="s">
        <v>10</v>
      </c>
      <c r="I249" s="92" t="s">
        <v>2</v>
      </c>
      <c r="J249" s="19" t="s">
        <v>2254</v>
      </c>
      <c r="K249" s="58">
        <v>20006</v>
      </c>
      <c r="L249" s="59">
        <v>1954</v>
      </c>
      <c r="M249" s="95">
        <f>2019-1954</f>
        <v>65</v>
      </c>
      <c r="N249" s="92" t="s">
        <v>3</v>
      </c>
      <c r="O249" s="92" t="s">
        <v>1632</v>
      </c>
      <c r="P249" s="19" t="s">
        <v>1677</v>
      </c>
      <c r="Q249" s="92"/>
      <c r="R249" s="19" t="s">
        <v>2045</v>
      </c>
    </row>
    <row r="250" spans="2:18" ht="25.5" x14ac:dyDescent="0.2">
      <c r="B250" s="151"/>
      <c r="C250" s="155"/>
      <c r="D250" s="92">
        <v>243</v>
      </c>
      <c r="E250" s="19" t="s">
        <v>2252</v>
      </c>
      <c r="F250" s="92" t="s">
        <v>18</v>
      </c>
      <c r="G250" s="95" t="s">
        <v>1537</v>
      </c>
      <c r="H250" s="92" t="s">
        <v>10</v>
      </c>
      <c r="I250" s="92" t="s">
        <v>15</v>
      </c>
      <c r="J250" s="19" t="s">
        <v>1631</v>
      </c>
      <c r="K250" s="58">
        <v>30947</v>
      </c>
      <c r="L250" s="59">
        <v>1984</v>
      </c>
      <c r="M250" s="95">
        <f>2019-1984</f>
        <v>35</v>
      </c>
      <c r="N250" s="92" t="s">
        <v>3</v>
      </c>
      <c r="O250" s="92" t="s">
        <v>1632</v>
      </c>
      <c r="P250" s="19" t="s">
        <v>1968</v>
      </c>
      <c r="Q250" s="92"/>
      <c r="R250" s="19" t="s">
        <v>1791</v>
      </c>
    </row>
    <row r="251" spans="2:18" ht="25.5" x14ac:dyDescent="0.2">
      <c r="B251" s="151"/>
      <c r="C251" s="155"/>
      <c r="D251" s="92">
        <v>244</v>
      </c>
      <c r="E251" s="19" t="s">
        <v>2253</v>
      </c>
      <c r="F251" s="92" t="s">
        <v>18</v>
      </c>
      <c r="G251" s="95" t="s">
        <v>1538</v>
      </c>
      <c r="H251" s="92" t="s">
        <v>1</v>
      </c>
      <c r="I251" s="92" t="s">
        <v>15</v>
      </c>
      <c r="J251" s="19" t="s">
        <v>1631</v>
      </c>
      <c r="K251" s="58">
        <v>34097</v>
      </c>
      <c r="L251" s="59">
        <v>1993</v>
      </c>
      <c r="M251" s="95">
        <f>2019-1993</f>
        <v>26</v>
      </c>
      <c r="N251" s="92" t="s">
        <v>3</v>
      </c>
      <c r="O251" s="92" t="s">
        <v>1632</v>
      </c>
      <c r="P251" s="19" t="s">
        <v>1677</v>
      </c>
      <c r="Q251" s="92"/>
      <c r="R251" s="19" t="s">
        <v>1625</v>
      </c>
    </row>
    <row r="252" spans="2:18" x14ac:dyDescent="0.2">
      <c r="B252" s="152">
        <v>70</v>
      </c>
      <c r="C252" s="152"/>
      <c r="D252" s="92">
        <v>245</v>
      </c>
      <c r="E252" s="19" t="s">
        <v>1539</v>
      </c>
      <c r="F252" s="92" t="s">
        <v>7</v>
      </c>
      <c r="G252" s="95" t="s">
        <v>1540</v>
      </c>
      <c r="H252" s="92" t="s">
        <v>1</v>
      </c>
      <c r="I252" s="92" t="s">
        <v>2</v>
      </c>
      <c r="J252" s="19"/>
      <c r="K252" s="58">
        <v>25933</v>
      </c>
      <c r="L252" s="93">
        <f t="shared" ref="L252:L261" si="27">YEAR(K252)</f>
        <v>1970</v>
      </c>
      <c r="M252" s="95">
        <f t="shared" ref="M252:M261" si="28">2019-L252</f>
        <v>49</v>
      </c>
      <c r="N252" s="92" t="s">
        <v>3</v>
      </c>
      <c r="O252" s="92"/>
      <c r="P252" s="19" t="s">
        <v>4</v>
      </c>
      <c r="Q252" s="92"/>
      <c r="R252" s="19" t="s">
        <v>54</v>
      </c>
    </row>
    <row r="253" spans="2:18" x14ac:dyDescent="0.2">
      <c r="B253" s="153"/>
      <c r="C253" s="153"/>
      <c r="D253" s="92">
        <v>246</v>
      </c>
      <c r="E253" s="19" t="s">
        <v>1541</v>
      </c>
      <c r="F253" s="92" t="s">
        <v>12</v>
      </c>
      <c r="G253" s="95" t="s">
        <v>1542</v>
      </c>
      <c r="H253" s="92" t="s">
        <v>10</v>
      </c>
      <c r="I253" s="92" t="s">
        <v>2</v>
      </c>
      <c r="J253" s="19"/>
      <c r="K253" s="58">
        <v>29220</v>
      </c>
      <c r="L253" s="93">
        <f t="shared" si="27"/>
        <v>1979</v>
      </c>
      <c r="M253" s="95">
        <f t="shared" si="28"/>
        <v>40</v>
      </c>
      <c r="N253" s="92" t="s">
        <v>3</v>
      </c>
      <c r="O253" s="92"/>
      <c r="P253" s="19" t="s">
        <v>27</v>
      </c>
      <c r="Q253" s="92"/>
      <c r="R253" s="19" t="s">
        <v>43</v>
      </c>
    </row>
    <row r="254" spans="2:18" x14ac:dyDescent="0.2">
      <c r="B254" s="153"/>
      <c r="C254" s="153"/>
      <c r="D254" s="92">
        <v>247</v>
      </c>
      <c r="E254" s="19" t="s">
        <v>1543</v>
      </c>
      <c r="F254" s="92" t="s">
        <v>18</v>
      </c>
      <c r="G254" s="95" t="s">
        <v>1544</v>
      </c>
      <c r="H254" s="92" t="s">
        <v>10</v>
      </c>
      <c r="I254" s="92" t="s">
        <v>15</v>
      </c>
      <c r="J254" s="19"/>
      <c r="K254" s="58">
        <v>36903</v>
      </c>
      <c r="L254" s="93">
        <f t="shared" si="27"/>
        <v>2001</v>
      </c>
      <c r="M254" s="95">
        <f t="shared" si="28"/>
        <v>18</v>
      </c>
      <c r="N254" s="92" t="s">
        <v>3</v>
      </c>
      <c r="O254" s="92"/>
      <c r="P254" s="19" t="s">
        <v>46</v>
      </c>
      <c r="Q254" s="92"/>
      <c r="R254" s="19" t="s">
        <v>16</v>
      </c>
    </row>
    <row r="255" spans="2:18" ht="25.5" x14ac:dyDescent="0.2">
      <c r="B255" s="153"/>
      <c r="C255" s="153"/>
      <c r="D255" s="92">
        <v>248</v>
      </c>
      <c r="E255" s="19" t="s">
        <v>1545</v>
      </c>
      <c r="F255" s="92" t="s">
        <v>18</v>
      </c>
      <c r="G255" s="95" t="s">
        <v>1546</v>
      </c>
      <c r="H255" s="92" t="s">
        <v>1</v>
      </c>
      <c r="I255" s="92" t="s">
        <v>15</v>
      </c>
      <c r="J255" s="19"/>
      <c r="K255" s="58">
        <v>37752</v>
      </c>
      <c r="L255" s="93">
        <f t="shared" si="27"/>
        <v>2003</v>
      </c>
      <c r="M255" s="95">
        <f t="shared" si="28"/>
        <v>16</v>
      </c>
      <c r="N255" s="92" t="s">
        <v>3</v>
      </c>
      <c r="O255" s="92"/>
      <c r="P255" s="19" t="s">
        <v>16</v>
      </c>
      <c r="Q255" s="92"/>
      <c r="R255" s="19" t="s">
        <v>16</v>
      </c>
    </row>
    <row r="256" spans="2:18" x14ac:dyDescent="0.2">
      <c r="B256" s="154"/>
      <c r="C256" s="154"/>
      <c r="D256" s="92">
        <v>249</v>
      </c>
      <c r="E256" s="19" t="s">
        <v>1547</v>
      </c>
      <c r="F256" s="92" t="s">
        <v>18</v>
      </c>
      <c r="G256" s="95" t="s">
        <v>1548</v>
      </c>
      <c r="H256" s="92" t="s">
        <v>10</v>
      </c>
      <c r="I256" s="92" t="s">
        <v>15</v>
      </c>
      <c r="J256" s="19"/>
      <c r="K256" s="58">
        <v>39913</v>
      </c>
      <c r="L256" s="93">
        <f t="shared" si="27"/>
        <v>2009</v>
      </c>
      <c r="M256" s="95">
        <f t="shared" si="28"/>
        <v>10</v>
      </c>
      <c r="N256" s="92" t="s">
        <v>3</v>
      </c>
      <c r="O256" s="92"/>
      <c r="P256" s="19" t="s">
        <v>16</v>
      </c>
      <c r="Q256" s="92"/>
      <c r="R256" s="19" t="s">
        <v>16</v>
      </c>
    </row>
    <row r="257" spans="2:18" x14ac:dyDescent="0.2">
      <c r="B257" s="151">
        <v>71</v>
      </c>
      <c r="C257" s="151"/>
      <c r="D257" s="92">
        <v>250</v>
      </c>
      <c r="E257" s="19" t="s">
        <v>1549</v>
      </c>
      <c r="F257" s="92" t="s">
        <v>7</v>
      </c>
      <c r="G257" s="95" t="s">
        <v>1550</v>
      </c>
      <c r="H257" s="92" t="s">
        <v>1</v>
      </c>
      <c r="I257" s="92" t="s">
        <v>2</v>
      </c>
      <c r="J257" s="19"/>
      <c r="K257" s="58">
        <v>22659</v>
      </c>
      <c r="L257" s="93">
        <f t="shared" si="27"/>
        <v>1962</v>
      </c>
      <c r="M257" s="95">
        <f t="shared" si="28"/>
        <v>57</v>
      </c>
      <c r="N257" s="92" t="s">
        <v>3</v>
      </c>
      <c r="O257" s="92"/>
      <c r="P257" s="19" t="s">
        <v>4</v>
      </c>
      <c r="Q257" s="92"/>
      <c r="R257" s="19" t="s">
        <v>54</v>
      </c>
    </row>
    <row r="258" spans="2:18" x14ac:dyDescent="0.2">
      <c r="B258" s="151"/>
      <c r="C258" s="151"/>
      <c r="D258" s="92">
        <v>251</v>
      </c>
      <c r="E258" s="19" t="s">
        <v>1370</v>
      </c>
      <c r="F258" s="92" t="s">
        <v>12</v>
      </c>
      <c r="G258" s="95" t="s">
        <v>1551</v>
      </c>
      <c r="H258" s="92" t="s">
        <v>10</v>
      </c>
      <c r="I258" s="92" t="s">
        <v>2</v>
      </c>
      <c r="J258" s="19"/>
      <c r="K258" s="58">
        <v>23742</v>
      </c>
      <c r="L258" s="93">
        <f t="shared" si="27"/>
        <v>1964</v>
      </c>
      <c r="M258" s="95">
        <f t="shared" si="28"/>
        <v>55</v>
      </c>
      <c r="N258" s="92" t="s">
        <v>3</v>
      </c>
      <c r="O258" s="92"/>
      <c r="P258" s="19" t="s">
        <v>16</v>
      </c>
      <c r="Q258" s="92"/>
      <c r="R258" s="19" t="s">
        <v>43</v>
      </c>
    </row>
    <row r="259" spans="2:18" ht="25.5" x14ac:dyDescent="0.2">
      <c r="B259" s="151"/>
      <c r="C259" s="151"/>
      <c r="D259" s="92">
        <v>252</v>
      </c>
      <c r="E259" s="19" t="s">
        <v>1552</v>
      </c>
      <c r="F259" s="92" t="s">
        <v>18</v>
      </c>
      <c r="G259" s="95" t="s">
        <v>1553</v>
      </c>
      <c r="H259" s="92" t="s">
        <v>1</v>
      </c>
      <c r="I259" s="92" t="s">
        <v>15</v>
      </c>
      <c r="J259" s="19"/>
      <c r="K259" s="58">
        <v>33082</v>
      </c>
      <c r="L259" s="93">
        <f t="shared" si="27"/>
        <v>1990</v>
      </c>
      <c r="M259" s="95">
        <f t="shared" si="28"/>
        <v>29</v>
      </c>
      <c r="N259" s="92" t="s">
        <v>3</v>
      </c>
      <c r="O259" s="92"/>
      <c r="P259" s="19" t="s">
        <v>27</v>
      </c>
      <c r="Q259" s="92"/>
      <c r="R259" s="19" t="s">
        <v>16</v>
      </c>
    </row>
    <row r="260" spans="2:18" x14ac:dyDescent="0.2">
      <c r="B260" s="151"/>
      <c r="C260" s="151"/>
      <c r="D260" s="92">
        <v>253</v>
      </c>
      <c r="E260" s="19" t="s">
        <v>1554</v>
      </c>
      <c r="F260" s="92" t="s">
        <v>18</v>
      </c>
      <c r="G260" s="95" t="s">
        <v>1555</v>
      </c>
      <c r="H260" s="92" t="s">
        <v>1</v>
      </c>
      <c r="I260" s="92" t="s">
        <v>15</v>
      </c>
      <c r="J260" s="19"/>
      <c r="K260" s="58">
        <v>34289</v>
      </c>
      <c r="L260" s="93">
        <f t="shared" si="27"/>
        <v>1993</v>
      </c>
      <c r="M260" s="95">
        <f t="shared" si="28"/>
        <v>26</v>
      </c>
      <c r="N260" s="92" t="s">
        <v>3</v>
      </c>
      <c r="O260" s="92"/>
      <c r="P260" s="19" t="s">
        <v>27</v>
      </c>
      <c r="Q260" s="92"/>
      <c r="R260" s="19" t="s">
        <v>16</v>
      </c>
    </row>
    <row r="261" spans="2:18" ht="19.5" customHeight="1" x14ac:dyDescent="0.2">
      <c r="B261" s="151"/>
      <c r="C261" s="151"/>
      <c r="D261" s="92">
        <v>254</v>
      </c>
      <c r="E261" s="19" t="s">
        <v>1556</v>
      </c>
      <c r="F261" s="92" t="s">
        <v>18</v>
      </c>
      <c r="G261" s="95" t="s">
        <v>1557</v>
      </c>
      <c r="H261" s="92"/>
      <c r="I261" s="92" t="s">
        <v>15</v>
      </c>
      <c r="J261" s="19"/>
      <c r="K261" s="58">
        <v>36225</v>
      </c>
      <c r="L261" s="93">
        <f t="shared" si="27"/>
        <v>1999</v>
      </c>
      <c r="M261" s="95">
        <f t="shared" si="28"/>
        <v>20</v>
      </c>
      <c r="N261" s="92" t="s">
        <v>3</v>
      </c>
      <c r="O261" s="92"/>
      <c r="P261" s="19" t="s">
        <v>46</v>
      </c>
      <c r="Q261" s="92"/>
      <c r="R261" s="19" t="s">
        <v>16</v>
      </c>
    </row>
    <row r="262" spans="2:18" x14ac:dyDescent="0.2">
      <c r="B262" s="152">
        <v>72</v>
      </c>
      <c r="C262" s="152" t="s">
        <v>1861</v>
      </c>
      <c r="D262" s="92">
        <v>255</v>
      </c>
      <c r="E262" s="19" t="s">
        <v>872</v>
      </c>
      <c r="F262" s="92" t="s">
        <v>7</v>
      </c>
      <c r="G262" s="95" t="s">
        <v>1863</v>
      </c>
      <c r="H262" s="92" t="s">
        <v>1</v>
      </c>
      <c r="I262" s="92" t="s">
        <v>2</v>
      </c>
      <c r="J262" s="19" t="s">
        <v>1623</v>
      </c>
      <c r="K262" s="58">
        <v>30316</v>
      </c>
      <c r="L262" s="59">
        <v>1982</v>
      </c>
      <c r="M262" s="95">
        <f>2019-1982</f>
        <v>37</v>
      </c>
      <c r="N262" s="92" t="s">
        <v>3</v>
      </c>
      <c r="O262" s="92" t="s">
        <v>1632</v>
      </c>
      <c r="P262" s="19" t="s">
        <v>1677</v>
      </c>
      <c r="Q262" s="92"/>
      <c r="R262" s="19" t="s">
        <v>39</v>
      </c>
    </row>
    <row r="263" spans="2:18" x14ac:dyDescent="0.2">
      <c r="B263" s="153"/>
      <c r="C263" s="153"/>
      <c r="D263" s="92">
        <v>256</v>
      </c>
      <c r="E263" s="19" t="s">
        <v>1558</v>
      </c>
      <c r="F263" s="92" t="s">
        <v>12</v>
      </c>
      <c r="G263" s="95" t="s">
        <v>1864</v>
      </c>
      <c r="H263" s="92" t="s">
        <v>10</v>
      </c>
      <c r="I263" s="92" t="s">
        <v>2</v>
      </c>
      <c r="J263" s="19" t="s">
        <v>1678</v>
      </c>
      <c r="K263" s="58">
        <v>31047</v>
      </c>
      <c r="L263" s="59">
        <v>1984</v>
      </c>
      <c r="M263" s="95">
        <f>2019-1984</f>
        <v>35</v>
      </c>
      <c r="N263" s="92" t="s">
        <v>3</v>
      </c>
      <c r="O263" s="92" t="s">
        <v>1632</v>
      </c>
      <c r="P263" s="19" t="s">
        <v>1866</v>
      </c>
      <c r="Q263" s="92"/>
      <c r="R263" s="19" t="s">
        <v>39</v>
      </c>
    </row>
    <row r="264" spans="2:18" ht="25.5" x14ac:dyDescent="0.2">
      <c r="B264" s="153"/>
      <c r="C264" s="153"/>
      <c r="D264" s="92">
        <v>257</v>
      </c>
      <c r="E264" s="19" t="s">
        <v>1559</v>
      </c>
      <c r="F264" s="92" t="s">
        <v>18</v>
      </c>
      <c r="G264" s="95" t="s">
        <v>1560</v>
      </c>
      <c r="H264" s="92" t="s">
        <v>1</v>
      </c>
      <c r="I264" s="92" t="s">
        <v>15</v>
      </c>
      <c r="J264" s="19" t="s">
        <v>1623</v>
      </c>
      <c r="K264" s="58">
        <v>40482</v>
      </c>
      <c r="L264" s="59">
        <v>2010</v>
      </c>
      <c r="M264" s="95">
        <f>2019-2010</f>
        <v>9</v>
      </c>
      <c r="N264" s="92" t="s">
        <v>3</v>
      </c>
      <c r="O264" s="92" t="s">
        <v>1632</v>
      </c>
      <c r="P264" s="19" t="s">
        <v>1733</v>
      </c>
      <c r="Q264" s="92"/>
      <c r="R264" s="19" t="s">
        <v>1638</v>
      </c>
    </row>
    <row r="265" spans="2:18" ht="25.5" x14ac:dyDescent="0.2">
      <c r="B265" s="154"/>
      <c r="C265" s="154"/>
      <c r="D265" s="92">
        <v>258</v>
      </c>
      <c r="E265" s="19" t="s">
        <v>1862</v>
      </c>
      <c r="F265" s="92" t="s">
        <v>18</v>
      </c>
      <c r="G265" s="95" t="s">
        <v>1865</v>
      </c>
      <c r="H265" s="92" t="s">
        <v>1</v>
      </c>
      <c r="I265" s="92" t="s">
        <v>15</v>
      </c>
      <c r="J265" s="19" t="s">
        <v>1678</v>
      </c>
      <c r="K265" s="58">
        <v>42177</v>
      </c>
      <c r="L265" s="59">
        <v>2015</v>
      </c>
      <c r="M265" s="95">
        <f>2019-2015</f>
        <v>4</v>
      </c>
      <c r="N265" s="92" t="s">
        <v>3</v>
      </c>
      <c r="O265" s="92" t="s">
        <v>1632</v>
      </c>
      <c r="P265" s="19" t="s">
        <v>1733</v>
      </c>
      <c r="Q265" s="92"/>
      <c r="R265" s="19" t="s">
        <v>1638</v>
      </c>
    </row>
    <row r="266" spans="2:18" x14ac:dyDescent="0.2">
      <c r="B266" s="151">
        <v>73</v>
      </c>
      <c r="C266" s="151"/>
      <c r="D266" s="92">
        <v>259</v>
      </c>
      <c r="E266" s="19" t="s">
        <v>1561</v>
      </c>
      <c r="F266" s="92" t="s">
        <v>7</v>
      </c>
      <c r="G266" s="95" t="s">
        <v>1562</v>
      </c>
      <c r="H266" s="92" t="s">
        <v>1</v>
      </c>
      <c r="I266" s="92" t="s">
        <v>2</v>
      </c>
      <c r="J266" s="19"/>
      <c r="K266" s="58">
        <v>16437</v>
      </c>
      <c r="L266" s="93">
        <f t="shared" ref="L266:L295" si="29">YEAR(K266)</f>
        <v>1944</v>
      </c>
      <c r="M266" s="95">
        <f t="shared" ref="M266:M295" si="30">2019-L266</f>
        <v>75</v>
      </c>
      <c r="N266" s="92" t="s">
        <v>3</v>
      </c>
      <c r="O266" s="92"/>
      <c r="P266" s="19" t="s">
        <v>27</v>
      </c>
      <c r="Q266" s="92"/>
      <c r="R266" s="19" t="s">
        <v>977</v>
      </c>
    </row>
    <row r="267" spans="2:18" x14ac:dyDescent="0.2">
      <c r="B267" s="151"/>
      <c r="C267" s="151"/>
      <c r="D267" s="92">
        <v>260</v>
      </c>
      <c r="E267" s="19" t="s">
        <v>1563</v>
      </c>
      <c r="F267" s="92" t="s">
        <v>12</v>
      </c>
      <c r="G267" s="95" t="s">
        <v>1564</v>
      </c>
      <c r="H267" s="92" t="s">
        <v>10</v>
      </c>
      <c r="I267" s="92" t="s">
        <v>2</v>
      </c>
      <c r="J267" s="19"/>
      <c r="K267" s="58">
        <v>24472</v>
      </c>
      <c r="L267" s="93">
        <f t="shared" si="29"/>
        <v>1966</v>
      </c>
      <c r="M267" s="95">
        <f t="shared" si="30"/>
        <v>53</v>
      </c>
      <c r="N267" s="92" t="s">
        <v>3</v>
      </c>
      <c r="O267" s="92"/>
      <c r="P267" s="19" t="s">
        <v>46</v>
      </c>
      <c r="Q267" s="92"/>
      <c r="R267" s="19" t="s">
        <v>16</v>
      </c>
    </row>
    <row r="268" spans="2:18" ht="16.5" customHeight="1" x14ac:dyDescent="0.2">
      <c r="B268" s="151"/>
      <c r="C268" s="151"/>
      <c r="D268" s="92">
        <v>261</v>
      </c>
      <c r="E268" s="19" t="s">
        <v>1565</v>
      </c>
      <c r="F268" s="92" t="s">
        <v>18</v>
      </c>
      <c r="G268" s="95" t="s">
        <v>1566</v>
      </c>
      <c r="H268" s="92" t="s">
        <v>10</v>
      </c>
      <c r="I268" s="92" t="s">
        <v>15</v>
      </c>
      <c r="J268" s="19"/>
      <c r="K268" s="58">
        <v>41198</v>
      </c>
      <c r="L268" s="93">
        <f t="shared" si="29"/>
        <v>2012</v>
      </c>
      <c r="M268" s="95">
        <f t="shared" si="30"/>
        <v>7</v>
      </c>
      <c r="N268" s="92" t="s">
        <v>3</v>
      </c>
      <c r="O268" s="92"/>
      <c r="P268" s="19" t="s">
        <v>16</v>
      </c>
      <c r="Q268" s="92"/>
      <c r="R268" s="19" t="s">
        <v>16</v>
      </c>
    </row>
    <row r="269" spans="2:18" x14ac:dyDescent="0.2">
      <c r="B269" s="151">
        <v>74</v>
      </c>
      <c r="C269" s="151"/>
      <c r="D269" s="92">
        <v>262</v>
      </c>
      <c r="E269" s="19" t="s">
        <v>1567</v>
      </c>
      <c r="F269" s="92" t="s">
        <v>7</v>
      </c>
      <c r="G269" s="95">
        <v>0</v>
      </c>
      <c r="H269" s="92" t="s">
        <v>1</v>
      </c>
      <c r="I269" s="92" t="s">
        <v>2</v>
      </c>
      <c r="J269" s="19"/>
      <c r="K269" s="58">
        <v>43647</v>
      </c>
      <c r="L269" s="93">
        <f t="shared" si="29"/>
        <v>2019</v>
      </c>
      <c r="M269" s="95">
        <f t="shared" si="30"/>
        <v>0</v>
      </c>
      <c r="N269" s="92" t="s">
        <v>3</v>
      </c>
      <c r="O269" s="92"/>
      <c r="P269" s="19" t="s">
        <v>4</v>
      </c>
      <c r="Q269" s="92"/>
      <c r="R269" s="19" t="s">
        <v>977</v>
      </c>
    </row>
    <row r="270" spans="2:18" x14ac:dyDescent="0.2">
      <c r="B270" s="151"/>
      <c r="C270" s="151"/>
      <c r="D270" s="92">
        <v>263</v>
      </c>
      <c r="E270" s="19" t="s">
        <v>1568</v>
      </c>
      <c r="F270" s="92" t="s">
        <v>12</v>
      </c>
      <c r="G270" s="95">
        <v>0</v>
      </c>
      <c r="H270" s="92" t="s">
        <v>10</v>
      </c>
      <c r="I270" s="92" t="s">
        <v>2</v>
      </c>
      <c r="J270" s="19"/>
      <c r="K270" s="58">
        <v>19541</v>
      </c>
      <c r="L270" s="93">
        <f t="shared" si="29"/>
        <v>1953</v>
      </c>
      <c r="M270" s="95">
        <f t="shared" si="30"/>
        <v>66</v>
      </c>
      <c r="N270" s="92" t="s">
        <v>3</v>
      </c>
      <c r="O270" s="92"/>
      <c r="P270" s="19" t="s">
        <v>46</v>
      </c>
      <c r="Q270" s="92"/>
      <c r="R270" s="19" t="s">
        <v>43</v>
      </c>
    </row>
    <row r="271" spans="2:18" x14ac:dyDescent="0.2">
      <c r="B271" s="151"/>
      <c r="C271" s="151"/>
      <c r="D271" s="92">
        <v>264</v>
      </c>
      <c r="E271" s="19" t="s">
        <v>1569</v>
      </c>
      <c r="F271" s="92" t="s">
        <v>18</v>
      </c>
      <c r="G271" s="95">
        <v>0</v>
      </c>
      <c r="H271" s="92" t="s">
        <v>10</v>
      </c>
      <c r="I271" s="92" t="s">
        <v>21</v>
      </c>
      <c r="J271" s="19"/>
      <c r="K271" s="58">
        <v>31594</v>
      </c>
      <c r="L271" s="93">
        <f t="shared" si="29"/>
        <v>1986</v>
      </c>
      <c r="M271" s="95">
        <f t="shared" si="30"/>
        <v>33</v>
      </c>
      <c r="N271" s="92" t="s">
        <v>3</v>
      </c>
      <c r="O271" s="92"/>
      <c r="P271" s="19" t="s">
        <v>4</v>
      </c>
      <c r="Q271" s="92"/>
      <c r="R271" s="19" t="s">
        <v>43</v>
      </c>
    </row>
    <row r="272" spans="2:18" x14ac:dyDescent="0.2">
      <c r="B272" s="151"/>
      <c r="C272" s="151"/>
      <c r="D272" s="92">
        <v>265</v>
      </c>
      <c r="E272" s="19" t="s">
        <v>1570</v>
      </c>
      <c r="F272" s="92" t="s">
        <v>24</v>
      </c>
      <c r="G272" s="95">
        <v>0</v>
      </c>
      <c r="H272" s="92" t="s">
        <v>10</v>
      </c>
      <c r="I272" s="92" t="s">
        <v>15</v>
      </c>
      <c r="J272" s="19"/>
      <c r="K272" s="58">
        <v>39264</v>
      </c>
      <c r="L272" s="93">
        <f t="shared" si="29"/>
        <v>2007</v>
      </c>
      <c r="M272" s="95">
        <f t="shared" si="30"/>
        <v>12</v>
      </c>
      <c r="N272" s="92" t="s">
        <v>3</v>
      </c>
      <c r="O272" s="92"/>
      <c r="P272" s="19" t="s">
        <v>16</v>
      </c>
      <c r="Q272" s="92"/>
      <c r="R272" s="19" t="s">
        <v>16</v>
      </c>
    </row>
    <row r="273" spans="2:18" ht="25.5" x14ac:dyDescent="0.2">
      <c r="B273" s="152">
        <v>75</v>
      </c>
      <c r="C273" s="152" t="s">
        <v>2239</v>
      </c>
      <c r="D273" s="92">
        <v>266</v>
      </c>
      <c r="E273" s="19" t="s">
        <v>1571</v>
      </c>
      <c r="F273" s="92" t="s">
        <v>7</v>
      </c>
      <c r="G273" s="95" t="s">
        <v>2242</v>
      </c>
      <c r="H273" s="92" t="s">
        <v>1</v>
      </c>
      <c r="I273" s="92" t="s">
        <v>2</v>
      </c>
      <c r="J273" s="19" t="s">
        <v>1631</v>
      </c>
      <c r="K273" s="58">
        <v>24472</v>
      </c>
      <c r="L273" s="93">
        <f t="shared" si="29"/>
        <v>1966</v>
      </c>
      <c r="M273" s="95">
        <f t="shared" si="30"/>
        <v>53</v>
      </c>
      <c r="N273" s="92" t="s">
        <v>3</v>
      </c>
      <c r="O273" s="92" t="s">
        <v>1632</v>
      </c>
      <c r="P273" s="19" t="s">
        <v>2249</v>
      </c>
      <c r="Q273" s="92"/>
      <c r="R273" s="19" t="s">
        <v>1946</v>
      </c>
    </row>
    <row r="274" spans="2:18" ht="25.5" x14ac:dyDescent="0.2">
      <c r="B274" s="153"/>
      <c r="C274" s="153"/>
      <c r="D274" s="92">
        <v>267</v>
      </c>
      <c r="E274" s="19" t="s">
        <v>1572</v>
      </c>
      <c r="F274" s="92" t="s">
        <v>12</v>
      </c>
      <c r="G274" s="95" t="s">
        <v>2243</v>
      </c>
      <c r="H274" s="92" t="s">
        <v>10</v>
      </c>
      <c r="I274" s="92" t="s">
        <v>2</v>
      </c>
      <c r="J274" s="19" t="s">
        <v>1631</v>
      </c>
      <c r="K274" s="58">
        <v>24623</v>
      </c>
      <c r="L274" s="93">
        <f t="shared" si="29"/>
        <v>1967</v>
      </c>
      <c r="M274" s="95">
        <f t="shared" si="30"/>
        <v>52</v>
      </c>
      <c r="N274" s="92" t="s">
        <v>3</v>
      </c>
      <c r="O274" s="92" t="s">
        <v>1632</v>
      </c>
      <c r="P274" s="19" t="s">
        <v>1968</v>
      </c>
      <c r="Q274" s="92"/>
      <c r="R274" s="19" t="s">
        <v>1946</v>
      </c>
    </row>
    <row r="275" spans="2:18" x14ac:dyDescent="0.2">
      <c r="B275" s="153"/>
      <c r="C275" s="153"/>
      <c r="D275" s="92">
        <v>268</v>
      </c>
      <c r="E275" s="19" t="s">
        <v>1573</v>
      </c>
      <c r="F275" s="92" t="s">
        <v>18</v>
      </c>
      <c r="G275" s="95" t="s">
        <v>2244</v>
      </c>
      <c r="H275" s="92" t="s">
        <v>10</v>
      </c>
      <c r="I275" s="92" t="s">
        <v>15</v>
      </c>
      <c r="J275" s="19" t="s">
        <v>1672</v>
      </c>
      <c r="K275" s="58">
        <v>33533</v>
      </c>
      <c r="L275" s="93">
        <f t="shared" si="29"/>
        <v>1991</v>
      </c>
      <c r="M275" s="95">
        <f t="shared" si="30"/>
        <v>28</v>
      </c>
      <c r="N275" s="92" t="s">
        <v>3</v>
      </c>
      <c r="O275" s="92" t="s">
        <v>1632</v>
      </c>
      <c r="P275" s="19" t="s">
        <v>1677</v>
      </c>
      <c r="Q275" s="92"/>
      <c r="R275" s="19" t="s">
        <v>1625</v>
      </c>
    </row>
    <row r="276" spans="2:18" x14ac:dyDescent="0.2">
      <c r="B276" s="153"/>
      <c r="C276" s="153"/>
      <c r="D276" s="92">
        <v>269</v>
      </c>
      <c r="E276" s="19" t="s">
        <v>1574</v>
      </c>
      <c r="F276" s="92" t="s">
        <v>18</v>
      </c>
      <c r="G276" s="95" t="s">
        <v>2245</v>
      </c>
      <c r="H276" s="92" t="s">
        <v>10</v>
      </c>
      <c r="I276" s="92" t="s">
        <v>15</v>
      </c>
      <c r="J276" s="19" t="s">
        <v>1898</v>
      </c>
      <c r="K276" s="58">
        <v>34172</v>
      </c>
      <c r="L276" s="93">
        <f t="shared" si="29"/>
        <v>1993</v>
      </c>
      <c r="M276" s="95">
        <f t="shared" si="30"/>
        <v>26</v>
      </c>
      <c r="N276" s="92" t="s">
        <v>3</v>
      </c>
      <c r="O276" s="92" t="s">
        <v>1632</v>
      </c>
      <c r="P276" s="19" t="s">
        <v>1641</v>
      </c>
      <c r="Q276" s="92"/>
      <c r="R276" s="19" t="s">
        <v>1625</v>
      </c>
    </row>
    <row r="277" spans="2:18" x14ac:dyDescent="0.2">
      <c r="B277" s="153"/>
      <c r="C277" s="153"/>
      <c r="D277" s="92">
        <v>270</v>
      </c>
      <c r="E277" s="19" t="s">
        <v>1575</v>
      </c>
      <c r="F277" s="92" t="s">
        <v>18</v>
      </c>
      <c r="G277" s="95" t="s">
        <v>2246</v>
      </c>
      <c r="H277" s="92" t="s">
        <v>10</v>
      </c>
      <c r="I277" s="92" t="s">
        <v>15</v>
      </c>
      <c r="J277" s="19" t="s">
        <v>1623</v>
      </c>
      <c r="K277" s="58">
        <v>37582</v>
      </c>
      <c r="L277" s="93">
        <f t="shared" si="29"/>
        <v>2002</v>
      </c>
      <c r="M277" s="95">
        <f t="shared" si="30"/>
        <v>17</v>
      </c>
      <c r="N277" s="92" t="s">
        <v>3</v>
      </c>
      <c r="O277" s="92" t="s">
        <v>1632</v>
      </c>
      <c r="P277" s="19" t="s">
        <v>1732</v>
      </c>
      <c r="Q277" s="92"/>
      <c r="R277" s="19" t="s">
        <v>1625</v>
      </c>
    </row>
    <row r="278" spans="2:18" ht="25.5" x14ac:dyDescent="0.2">
      <c r="B278" s="153"/>
      <c r="C278" s="153"/>
      <c r="D278" s="92">
        <v>271</v>
      </c>
      <c r="E278" s="19" t="s">
        <v>1576</v>
      </c>
      <c r="F278" s="92" t="s">
        <v>18</v>
      </c>
      <c r="G278" s="95" t="s">
        <v>2247</v>
      </c>
      <c r="H278" s="92" t="s">
        <v>1</v>
      </c>
      <c r="I278" s="92" t="s">
        <v>15</v>
      </c>
      <c r="J278" s="19" t="s">
        <v>2071</v>
      </c>
      <c r="K278" s="58">
        <v>42112</v>
      </c>
      <c r="L278" s="93">
        <f t="shared" si="29"/>
        <v>2015</v>
      </c>
      <c r="M278" s="95">
        <f t="shared" si="30"/>
        <v>4</v>
      </c>
      <c r="N278" s="92" t="s">
        <v>3</v>
      </c>
      <c r="O278" s="92" t="s">
        <v>1632</v>
      </c>
      <c r="P278" s="19" t="s">
        <v>1635</v>
      </c>
      <c r="Q278" s="92"/>
      <c r="R278" s="19" t="s">
        <v>1625</v>
      </c>
    </row>
    <row r="279" spans="2:18" ht="25.5" x14ac:dyDescent="0.2">
      <c r="B279" s="154"/>
      <c r="C279" s="154"/>
      <c r="D279" s="92">
        <v>272</v>
      </c>
      <c r="E279" s="19" t="s">
        <v>2240</v>
      </c>
      <c r="F279" s="92" t="s">
        <v>2241</v>
      </c>
      <c r="G279" s="95" t="s">
        <v>2248</v>
      </c>
      <c r="H279" s="92" t="s">
        <v>1</v>
      </c>
      <c r="I279" s="92" t="s">
        <v>15</v>
      </c>
      <c r="J279" s="19" t="s">
        <v>1631</v>
      </c>
      <c r="K279" s="58">
        <v>31001</v>
      </c>
      <c r="L279" s="93">
        <f t="shared" si="29"/>
        <v>1984</v>
      </c>
      <c r="M279" s="95">
        <f t="shared" si="30"/>
        <v>35</v>
      </c>
      <c r="N279" s="92" t="s">
        <v>3</v>
      </c>
      <c r="O279" s="92" t="s">
        <v>1632</v>
      </c>
      <c r="P279" s="19" t="s">
        <v>1677</v>
      </c>
      <c r="Q279" s="92"/>
      <c r="R279" s="19" t="s">
        <v>1809</v>
      </c>
    </row>
    <row r="280" spans="2:18" x14ac:dyDescent="0.2">
      <c r="B280" s="151">
        <v>76</v>
      </c>
      <c r="C280" s="151"/>
      <c r="D280" s="92">
        <v>273</v>
      </c>
      <c r="E280" s="19" t="s">
        <v>1577</v>
      </c>
      <c r="F280" s="92" t="s">
        <v>7</v>
      </c>
      <c r="G280" s="95" t="s">
        <v>1578</v>
      </c>
      <c r="H280" s="92" t="s">
        <v>1</v>
      </c>
      <c r="I280" s="92" t="s">
        <v>2</v>
      </c>
      <c r="J280" s="19"/>
      <c r="K280" s="58">
        <v>30366</v>
      </c>
      <c r="L280" s="93">
        <f t="shared" si="29"/>
        <v>1983</v>
      </c>
      <c r="M280" s="95">
        <f t="shared" si="30"/>
        <v>36</v>
      </c>
      <c r="N280" s="92" t="s">
        <v>3</v>
      </c>
      <c r="O280" s="92"/>
      <c r="P280" s="19" t="s">
        <v>4</v>
      </c>
      <c r="Q280" s="92"/>
      <c r="R280" s="19" t="s">
        <v>54</v>
      </c>
    </row>
    <row r="281" spans="2:18" x14ac:dyDescent="0.2">
      <c r="B281" s="151"/>
      <c r="C281" s="151"/>
      <c r="D281" s="92">
        <v>274</v>
      </c>
      <c r="E281" s="19" t="s">
        <v>1579</v>
      </c>
      <c r="F281" s="92" t="s">
        <v>12</v>
      </c>
      <c r="G281" s="95" t="s">
        <v>1580</v>
      </c>
      <c r="H281" s="92" t="s">
        <v>10</v>
      </c>
      <c r="I281" s="92" t="s">
        <v>2</v>
      </c>
      <c r="J281" s="19"/>
      <c r="K281" s="58">
        <v>32580</v>
      </c>
      <c r="L281" s="93">
        <f t="shared" si="29"/>
        <v>1989</v>
      </c>
      <c r="M281" s="95">
        <f t="shared" si="30"/>
        <v>30</v>
      </c>
      <c r="N281" s="92" t="s">
        <v>3</v>
      </c>
      <c r="O281" s="92"/>
      <c r="P281" s="19" t="s">
        <v>4</v>
      </c>
      <c r="Q281" s="92"/>
      <c r="R281" s="19" t="s">
        <v>16</v>
      </c>
    </row>
    <row r="282" spans="2:18" ht="25.5" x14ac:dyDescent="0.2">
      <c r="B282" s="151"/>
      <c r="C282" s="151"/>
      <c r="D282" s="92">
        <v>275</v>
      </c>
      <c r="E282" s="19" t="s">
        <v>1581</v>
      </c>
      <c r="F282" s="92" t="s">
        <v>18</v>
      </c>
      <c r="G282" s="95">
        <v>0</v>
      </c>
      <c r="H282" s="92" t="s">
        <v>1</v>
      </c>
      <c r="I282" s="92" t="s">
        <v>15</v>
      </c>
      <c r="J282" s="19"/>
      <c r="K282" s="58">
        <v>41750</v>
      </c>
      <c r="L282" s="93">
        <f t="shared" si="29"/>
        <v>2014</v>
      </c>
      <c r="M282" s="95">
        <f t="shared" si="30"/>
        <v>5</v>
      </c>
      <c r="N282" s="92" t="s">
        <v>3</v>
      </c>
      <c r="O282" s="92"/>
      <c r="P282" s="19" t="s">
        <v>16</v>
      </c>
      <c r="Q282" s="92"/>
      <c r="R282" s="19" t="s">
        <v>16</v>
      </c>
    </row>
    <row r="283" spans="2:18" x14ac:dyDescent="0.2">
      <c r="B283" s="151">
        <v>77</v>
      </c>
      <c r="C283" s="151"/>
      <c r="D283" s="92">
        <v>276</v>
      </c>
      <c r="E283" s="19" t="s">
        <v>1582</v>
      </c>
      <c r="F283" s="92" t="s">
        <v>7</v>
      </c>
      <c r="G283" s="95" t="s">
        <v>1583</v>
      </c>
      <c r="H283" s="92" t="s">
        <v>1</v>
      </c>
      <c r="I283" s="92" t="s">
        <v>2</v>
      </c>
      <c r="J283" s="19"/>
      <c r="K283" s="58">
        <v>30498</v>
      </c>
      <c r="L283" s="93">
        <f t="shared" si="29"/>
        <v>1983</v>
      </c>
      <c r="M283" s="95">
        <f t="shared" si="30"/>
        <v>36</v>
      </c>
      <c r="N283" s="92" t="s">
        <v>3</v>
      </c>
      <c r="O283" s="92"/>
      <c r="P283" s="19" t="s">
        <v>27</v>
      </c>
      <c r="Q283" s="92"/>
      <c r="R283" s="19" t="s">
        <v>28</v>
      </c>
    </row>
    <row r="284" spans="2:18" x14ac:dyDescent="0.2">
      <c r="B284" s="151"/>
      <c r="C284" s="151"/>
      <c r="D284" s="92">
        <v>277</v>
      </c>
      <c r="E284" s="19" t="s">
        <v>1584</v>
      </c>
      <c r="F284" s="92" t="s">
        <v>12</v>
      </c>
      <c r="G284" s="95" t="s">
        <v>1585</v>
      </c>
      <c r="H284" s="92" t="s">
        <v>10</v>
      </c>
      <c r="I284" s="92" t="s">
        <v>2</v>
      </c>
      <c r="J284" s="19"/>
      <c r="K284" s="58">
        <v>30599</v>
      </c>
      <c r="L284" s="93">
        <f t="shared" si="29"/>
        <v>1983</v>
      </c>
      <c r="M284" s="95">
        <f t="shared" si="30"/>
        <v>36</v>
      </c>
      <c r="N284" s="92" t="s">
        <v>3</v>
      </c>
      <c r="O284" s="92"/>
      <c r="P284" s="19" t="s">
        <v>35</v>
      </c>
      <c r="Q284" s="92"/>
      <c r="R284" s="19" t="s">
        <v>54</v>
      </c>
    </row>
    <row r="285" spans="2:18" ht="25.5" x14ac:dyDescent="0.2">
      <c r="B285" s="151"/>
      <c r="C285" s="151"/>
      <c r="D285" s="92">
        <v>278</v>
      </c>
      <c r="E285" s="19" t="s">
        <v>1586</v>
      </c>
      <c r="F285" s="92" t="s">
        <v>18</v>
      </c>
      <c r="G285" s="95" t="s">
        <v>1587</v>
      </c>
      <c r="H285" s="92" t="s">
        <v>10</v>
      </c>
      <c r="I285" s="92" t="s">
        <v>15</v>
      </c>
      <c r="J285" s="19"/>
      <c r="K285" s="58">
        <v>41460</v>
      </c>
      <c r="L285" s="93">
        <f t="shared" si="29"/>
        <v>2013</v>
      </c>
      <c r="M285" s="95">
        <f t="shared" si="30"/>
        <v>6</v>
      </c>
      <c r="N285" s="92" t="s">
        <v>3</v>
      </c>
      <c r="O285" s="92"/>
      <c r="P285" s="19" t="s">
        <v>16</v>
      </c>
      <c r="Q285" s="92"/>
      <c r="R285" s="19" t="s">
        <v>16</v>
      </c>
    </row>
    <row r="286" spans="2:18" x14ac:dyDescent="0.2">
      <c r="B286" s="151">
        <v>78</v>
      </c>
      <c r="C286" s="151"/>
      <c r="D286" s="92">
        <v>279</v>
      </c>
      <c r="E286" s="19" t="s">
        <v>1588</v>
      </c>
      <c r="F286" s="92" t="s">
        <v>7</v>
      </c>
      <c r="G286" s="95" t="s">
        <v>1589</v>
      </c>
      <c r="H286" s="92" t="s">
        <v>1</v>
      </c>
      <c r="I286" s="92" t="s">
        <v>2</v>
      </c>
      <c r="J286" s="19"/>
      <c r="K286" s="58">
        <v>22304</v>
      </c>
      <c r="L286" s="93">
        <f t="shared" si="29"/>
        <v>1961</v>
      </c>
      <c r="M286" s="95">
        <f t="shared" si="30"/>
        <v>58</v>
      </c>
      <c r="N286" s="92" t="s">
        <v>3</v>
      </c>
      <c r="O286" s="92"/>
      <c r="P286" s="19" t="s">
        <v>27</v>
      </c>
      <c r="Q286" s="92"/>
      <c r="R286" s="19" t="s">
        <v>28</v>
      </c>
    </row>
    <row r="287" spans="2:18" x14ac:dyDescent="0.2">
      <c r="B287" s="151"/>
      <c r="C287" s="151"/>
      <c r="D287" s="92">
        <v>280</v>
      </c>
      <c r="E287" s="19" t="s">
        <v>1590</v>
      </c>
      <c r="F287" s="92" t="s">
        <v>12</v>
      </c>
      <c r="G287" s="95" t="s">
        <v>1591</v>
      </c>
      <c r="H287" s="92" t="s">
        <v>10</v>
      </c>
      <c r="I287" s="92" t="s">
        <v>2</v>
      </c>
      <c r="J287" s="19"/>
      <c r="K287" s="58">
        <v>28490</v>
      </c>
      <c r="L287" s="93">
        <f t="shared" si="29"/>
        <v>1977</v>
      </c>
      <c r="M287" s="95">
        <f t="shared" si="30"/>
        <v>42</v>
      </c>
      <c r="N287" s="92" t="s">
        <v>3</v>
      </c>
      <c r="O287" s="92"/>
      <c r="P287" s="19" t="s">
        <v>35</v>
      </c>
      <c r="Q287" s="92"/>
      <c r="R287" s="19" t="s">
        <v>28</v>
      </c>
    </row>
    <row r="288" spans="2:18" ht="25.5" x14ac:dyDescent="0.2">
      <c r="B288" s="151"/>
      <c r="C288" s="151"/>
      <c r="D288" s="92">
        <v>281</v>
      </c>
      <c r="E288" s="19" t="s">
        <v>1592</v>
      </c>
      <c r="F288" s="92" t="s">
        <v>18</v>
      </c>
      <c r="G288" s="95" t="s">
        <v>1593</v>
      </c>
      <c r="H288" s="92" t="s">
        <v>1</v>
      </c>
      <c r="I288" s="92" t="s">
        <v>15</v>
      </c>
      <c r="J288" s="19"/>
      <c r="K288" s="58">
        <v>33156</v>
      </c>
      <c r="L288" s="93">
        <f t="shared" si="29"/>
        <v>1990</v>
      </c>
      <c r="M288" s="95">
        <f t="shared" si="30"/>
        <v>29</v>
      </c>
      <c r="N288" s="92" t="s">
        <v>3</v>
      </c>
      <c r="O288" s="92"/>
      <c r="P288" s="19" t="s">
        <v>27</v>
      </c>
      <c r="Q288" s="92"/>
      <c r="R288" s="19" t="s">
        <v>16</v>
      </c>
    </row>
    <row r="289" spans="1:47" ht="25.5" x14ac:dyDescent="0.2">
      <c r="B289" s="151"/>
      <c r="C289" s="151"/>
      <c r="D289" s="92">
        <v>282</v>
      </c>
      <c r="E289" s="19" t="s">
        <v>1594</v>
      </c>
      <c r="F289" s="92" t="s">
        <v>18</v>
      </c>
      <c r="G289" s="95" t="s">
        <v>1595</v>
      </c>
      <c r="H289" s="92" t="s">
        <v>10</v>
      </c>
      <c r="I289" s="92" t="s">
        <v>15</v>
      </c>
      <c r="J289" s="19"/>
      <c r="K289" s="58">
        <v>34302</v>
      </c>
      <c r="L289" s="93">
        <f t="shared" si="29"/>
        <v>1993</v>
      </c>
      <c r="M289" s="95">
        <f t="shared" si="30"/>
        <v>26</v>
      </c>
      <c r="N289" s="92" t="s">
        <v>3</v>
      </c>
      <c r="O289" s="92"/>
      <c r="P289" s="19" t="s">
        <v>27</v>
      </c>
      <c r="Q289" s="92"/>
      <c r="R289" s="19" t="s">
        <v>16</v>
      </c>
    </row>
    <row r="290" spans="1:47" ht="25.5" x14ac:dyDescent="0.2">
      <c r="B290" s="151"/>
      <c r="C290" s="151"/>
      <c r="D290" s="92">
        <v>283</v>
      </c>
      <c r="E290" s="19" t="s">
        <v>1596</v>
      </c>
      <c r="F290" s="92" t="s">
        <v>18</v>
      </c>
      <c r="G290" s="95" t="s">
        <v>1597</v>
      </c>
      <c r="H290" s="92" t="s">
        <v>1</v>
      </c>
      <c r="I290" s="92" t="s">
        <v>15</v>
      </c>
      <c r="J290" s="19"/>
      <c r="K290" s="58">
        <v>37516</v>
      </c>
      <c r="L290" s="93">
        <f t="shared" si="29"/>
        <v>2002</v>
      </c>
      <c r="M290" s="95">
        <f t="shared" si="30"/>
        <v>17</v>
      </c>
      <c r="N290" s="92" t="s">
        <v>3</v>
      </c>
      <c r="O290" s="92"/>
      <c r="P290" s="19" t="s">
        <v>16</v>
      </c>
      <c r="Q290" s="92"/>
      <c r="R290" s="19" t="s">
        <v>16</v>
      </c>
    </row>
    <row r="291" spans="1:47" ht="25.5" x14ac:dyDescent="0.2">
      <c r="B291" s="151"/>
      <c r="C291" s="151"/>
      <c r="D291" s="92">
        <v>284</v>
      </c>
      <c r="E291" s="19" t="s">
        <v>1598</v>
      </c>
      <c r="F291" s="92" t="s">
        <v>18</v>
      </c>
      <c r="G291" s="95" t="s">
        <v>1599</v>
      </c>
      <c r="H291" s="92" t="s">
        <v>10</v>
      </c>
      <c r="I291" s="92" t="s">
        <v>15</v>
      </c>
      <c r="J291" s="19"/>
      <c r="K291" s="58">
        <v>37943</v>
      </c>
      <c r="L291" s="93">
        <f t="shared" si="29"/>
        <v>2003</v>
      </c>
      <c r="M291" s="95">
        <f t="shared" si="30"/>
        <v>16</v>
      </c>
      <c r="N291" s="92" t="s">
        <v>3</v>
      </c>
      <c r="O291" s="92"/>
      <c r="P291" s="19" t="s">
        <v>16</v>
      </c>
      <c r="Q291" s="92"/>
      <c r="R291" s="19" t="s">
        <v>16</v>
      </c>
    </row>
    <row r="292" spans="1:47" x14ac:dyDescent="0.2">
      <c r="B292" s="151">
        <v>79</v>
      </c>
      <c r="C292" s="151"/>
      <c r="D292" s="92">
        <v>285</v>
      </c>
      <c r="E292" s="19" t="s">
        <v>1600</v>
      </c>
      <c r="F292" s="92" t="s">
        <v>7</v>
      </c>
      <c r="G292" s="95" t="s">
        <v>1601</v>
      </c>
      <c r="H292" s="92" t="s">
        <v>10</v>
      </c>
      <c r="I292" s="92" t="s">
        <v>21</v>
      </c>
      <c r="J292" s="19"/>
      <c r="K292" s="58">
        <v>14427</v>
      </c>
      <c r="L292" s="93">
        <f t="shared" si="29"/>
        <v>1939</v>
      </c>
      <c r="M292" s="95">
        <f t="shared" si="30"/>
        <v>80</v>
      </c>
      <c r="N292" s="92" t="s">
        <v>3</v>
      </c>
      <c r="O292" s="92"/>
      <c r="P292" s="19" t="s">
        <v>46</v>
      </c>
      <c r="Q292" s="92"/>
      <c r="R292" s="19" t="s">
        <v>16</v>
      </c>
    </row>
    <row r="293" spans="1:47" ht="25.5" x14ac:dyDescent="0.2">
      <c r="B293" s="151"/>
      <c r="C293" s="151"/>
      <c r="D293" s="92">
        <v>286</v>
      </c>
      <c r="E293" s="19" t="s">
        <v>1602</v>
      </c>
      <c r="F293" s="92" t="s">
        <v>18</v>
      </c>
      <c r="G293" s="95" t="s">
        <v>1603</v>
      </c>
      <c r="H293" s="92" t="s">
        <v>10</v>
      </c>
      <c r="I293" s="92" t="s">
        <v>15</v>
      </c>
      <c r="J293" s="19"/>
      <c r="K293" s="58">
        <v>29220</v>
      </c>
      <c r="L293" s="93">
        <f t="shared" si="29"/>
        <v>1979</v>
      </c>
      <c r="M293" s="95">
        <f t="shared" si="30"/>
        <v>40</v>
      </c>
      <c r="N293" s="92" t="s">
        <v>3</v>
      </c>
      <c r="O293" s="92"/>
      <c r="P293" s="19" t="s">
        <v>4</v>
      </c>
      <c r="Q293" s="92"/>
      <c r="R293" s="19" t="s">
        <v>54</v>
      </c>
    </row>
    <row r="294" spans="1:47" ht="25.5" x14ac:dyDescent="0.2">
      <c r="B294" s="151"/>
      <c r="C294" s="151"/>
      <c r="D294" s="92">
        <v>287</v>
      </c>
      <c r="E294" s="19" t="s">
        <v>1604</v>
      </c>
      <c r="F294" s="92" t="s">
        <v>18</v>
      </c>
      <c r="G294" s="95" t="s">
        <v>1605</v>
      </c>
      <c r="H294" s="92" t="s">
        <v>10</v>
      </c>
      <c r="I294" s="92" t="s">
        <v>15</v>
      </c>
      <c r="J294" s="19"/>
      <c r="K294" s="58">
        <v>30681</v>
      </c>
      <c r="L294" s="93">
        <f t="shared" si="29"/>
        <v>1983</v>
      </c>
      <c r="M294" s="95">
        <f t="shared" si="30"/>
        <v>36</v>
      </c>
      <c r="N294" s="92" t="s">
        <v>3</v>
      </c>
      <c r="O294" s="92"/>
      <c r="P294" s="19" t="s">
        <v>4</v>
      </c>
      <c r="Q294" s="92"/>
      <c r="R294" s="19" t="s">
        <v>54</v>
      </c>
    </row>
    <row r="295" spans="1:47" x14ac:dyDescent="0.2">
      <c r="B295" s="92">
        <v>80</v>
      </c>
      <c r="C295" s="95"/>
      <c r="D295" s="92">
        <v>288</v>
      </c>
      <c r="E295" s="19" t="s">
        <v>1606</v>
      </c>
      <c r="F295" s="92" t="s">
        <v>7</v>
      </c>
      <c r="G295" s="95">
        <v>0</v>
      </c>
      <c r="H295" s="92" t="s">
        <v>10</v>
      </c>
      <c r="I295" s="92" t="s">
        <v>21</v>
      </c>
      <c r="J295" s="19"/>
      <c r="K295" s="58">
        <v>18628</v>
      </c>
      <c r="L295" s="93">
        <f t="shared" si="29"/>
        <v>1950</v>
      </c>
      <c r="M295" s="95">
        <f t="shared" si="30"/>
        <v>69</v>
      </c>
      <c r="N295" s="92" t="s">
        <v>3</v>
      </c>
      <c r="O295" s="92"/>
      <c r="P295" s="19" t="s">
        <v>16</v>
      </c>
      <c r="Q295" s="92"/>
      <c r="R295" s="19" t="s">
        <v>16</v>
      </c>
    </row>
    <row r="296" spans="1:47" x14ac:dyDescent="0.2">
      <c r="B296" s="151">
        <v>81</v>
      </c>
      <c r="C296" s="155">
        <v>5201011012100020</v>
      </c>
      <c r="D296" s="92">
        <v>289</v>
      </c>
      <c r="E296" s="19" t="s">
        <v>1675</v>
      </c>
      <c r="F296" s="92" t="s">
        <v>7</v>
      </c>
      <c r="G296" s="95">
        <v>5201013112820060</v>
      </c>
      <c r="H296" s="92" t="s">
        <v>1</v>
      </c>
      <c r="I296" s="92" t="s">
        <v>2</v>
      </c>
      <c r="J296" s="19" t="s">
        <v>1623</v>
      </c>
      <c r="K296" s="58">
        <v>43830</v>
      </c>
      <c r="L296" s="59">
        <v>1982</v>
      </c>
      <c r="M296" s="95">
        <f xml:space="preserve"> 2019-1982</f>
        <v>37</v>
      </c>
      <c r="N296" s="92" t="s">
        <v>1676</v>
      </c>
      <c r="O296" s="92" t="s">
        <v>1632</v>
      </c>
      <c r="P296" s="19" t="s">
        <v>1677</v>
      </c>
      <c r="Q296" s="92"/>
      <c r="R296" s="19" t="s">
        <v>39</v>
      </c>
    </row>
    <row r="297" spans="1:47" x14ac:dyDescent="0.2">
      <c r="B297" s="151"/>
      <c r="C297" s="155"/>
      <c r="D297" s="92">
        <v>290</v>
      </c>
      <c r="E297" s="19" t="s">
        <v>1558</v>
      </c>
      <c r="F297" s="92" t="s">
        <v>12</v>
      </c>
      <c r="G297" s="95">
        <v>5201014610840000</v>
      </c>
      <c r="H297" s="92" t="s">
        <v>10</v>
      </c>
      <c r="I297" s="92" t="s">
        <v>2</v>
      </c>
      <c r="J297" s="19" t="s">
        <v>1678</v>
      </c>
      <c r="K297" s="58">
        <v>43830</v>
      </c>
      <c r="L297" s="59">
        <v>1984</v>
      </c>
      <c r="M297" s="95">
        <f xml:space="preserve"> 2019-1984</f>
        <v>35</v>
      </c>
      <c r="N297" s="92" t="s">
        <v>3</v>
      </c>
      <c r="O297" s="92" t="s">
        <v>1632</v>
      </c>
      <c r="P297" s="19" t="s">
        <v>1679</v>
      </c>
      <c r="Q297" s="92"/>
      <c r="R297" s="19" t="s">
        <v>39</v>
      </c>
    </row>
    <row r="298" spans="1:47" ht="25.5" x14ac:dyDescent="0.2">
      <c r="B298" s="151"/>
      <c r="C298" s="155"/>
      <c r="D298" s="92">
        <v>291</v>
      </c>
      <c r="E298" s="19" t="s">
        <v>1559</v>
      </c>
      <c r="F298" s="92" t="s">
        <v>18</v>
      </c>
      <c r="G298" s="95">
        <v>5201013010100000</v>
      </c>
      <c r="H298" s="92" t="s">
        <v>1</v>
      </c>
      <c r="I298" s="92" t="s">
        <v>15</v>
      </c>
      <c r="J298" s="19" t="s">
        <v>1623</v>
      </c>
      <c r="K298" s="58">
        <v>43768</v>
      </c>
      <c r="L298" s="59">
        <v>2010</v>
      </c>
      <c r="M298" s="95">
        <f xml:space="preserve"> 2019-2010</f>
        <v>9</v>
      </c>
      <c r="N298" s="92" t="s">
        <v>1676</v>
      </c>
      <c r="O298" s="92" t="s">
        <v>1632</v>
      </c>
      <c r="P298" s="19" t="s">
        <v>1680</v>
      </c>
      <c r="Q298" s="92"/>
      <c r="R298" s="19" t="s">
        <v>1674</v>
      </c>
    </row>
    <row r="299" spans="1:47" ht="25.5" x14ac:dyDescent="0.2">
      <c r="B299" s="151"/>
      <c r="C299" s="155"/>
      <c r="D299" s="92">
        <v>292</v>
      </c>
      <c r="E299" s="19" t="s">
        <v>1681</v>
      </c>
      <c r="F299" s="92" t="s">
        <v>18</v>
      </c>
      <c r="G299" s="95">
        <v>5201012206150000</v>
      </c>
      <c r="H299" s="92" t="s">
        <v>1</v>
      </c>
      <c r="I299" s="92" t="s">
        <v>15</v>
      </c>
      <c r="J299" s="19" t="s">
        <v>1678</v>
      </c>
      <c r="K299" s="58">
        <v>43638</v>
      </c>
      <c r="L299" s="59">
        <v>2015</v>
      </c>
      <c r="M299" s="95">
        <f>2019-2015</f>
        <v>4</v>
      </c>
      <c r="N299" s="92" t="s">
        <v>3</v>
      </c>
      <c r="O299" s="92" t="s">
        <v>1632</v>
      </c>
      <c r="P299" s="19" t="s">
        <v>1680</v>
      </c>
      <c r="Q299" s="92"/>
      <c r="R299" s="19" t="s">
        <v>1674</v>
      </c>
    </row>
    <row r="300" spans="1:47" ht="25.5" x14ac:dyDescent="0.2">
      <c r="B300" s="92">
        <v>82</v>
      </c>
      <c r="C300" s="95">
        <v>5201010503082930</v>
      </c>
      <c r="D300" s="92">
        <v>293</v>
      </c>
      <c r="E300" s="19" t="s">
        <v>1682</v>
      </c>
      <c r="F300" s="92" t="s">
        <v>7</v>
      </c>
      <c r="G300" s="95" t="s">
        <v>1694</v>
      </c>
      <c r="H300" s="92" t="s">
        <v>1</v>
      </c>
      <c r="I300" s="92" t="s">
        <v>80</v>
      </c>
      <c r="J300" s="19" t="s">
        <v>1644</v>
      </c>
      <c r="K300" s="58">
        <v>19535</v>
      </c>
      <c r="L300" s="59">
        <v>1953</v>
      </c>
      <c r="M300" s="95">
        <f>2019-L300</f>
        <v>66</v>
      </c>
      <c r="N300" s="92" t="s">
        <v>101</v>
      </c>
      <c r="O300" s="92" t="s">
        <v>1632</v>
      </c>
      <c r="P300" s="19" t="s">
        <v>1683</v>
      </c>
      <c r="Q300" s="92"/>
      <c r="R300" s="19" t="s">
        <v>1684</v>
      </c>
    </row>
    <row r="301" spans="1:47" ht="25.5" x14ac:dyDescent="0.2">
      <c r="B301" s="151">
        <v>83</v>
      </c>
      <c r="C301" s="151" t="s">
        <v>1690</v>
      </c>
      <c r="D301" s="92">
        <v>294</v>
      </c>
      <c r="E301" s="19" t="s">
        <v>1691</v>
      </c>
      <c r="F301" s="92" t="s">
        <v>7</v>
      </c>
      <c r="G301" s="92" t="s">
        <v>1695</v>
      </c>
      <c r="H301" s="92" t="s">
        <v>1</v>
      </c>
      <c r="I301" s="92" t="s">
        <v>2</v>
      </c>
      <c r="J301" s="19" t="s">
        <v>1698</v>
      </c>
      <c r="K301" s="58">
        <v>33808</v>
      </c>
      <c r="L301" s="93">
        <f t="shared" ref="L301:L302" si="31">YEAR(K301)</f>
        <v>1992</v>
      </c>
      <c r="M301" s="95">
        <f t="shared" ref="M301:M302" si="32">2019-L301</f>
        <v>27</v>
      </c>
      <c r="N301" s="92" t="s">
        <v>101</v>
      </c>
      <c r="O301" s="92" t="s">
        <v>1632</v>
      </c>
      <c r="P301" s="19" t="s">
        <v>1666</v>
      </c>
      <c r="Q301" s="92"/>
      <c r="R301" s="19" t="s">
        <v>1702</v>
      </c>
    </row>
    <row r="302" spans="1:47" ht="25.5" x14ac:dyDescent="0.2">
      <c r="B302" s="151"/>
      <c r="C302" s="151"/>
      <c r="D302" s="92">
        <v>295</v>
      </c>
      <c r="E302" s="19" t="s">
        <v>1692</v>
      </c>
      <c r="F302" s="92" t="s">
        <v>12</v>
      </c>
      <c r="G302" s="92" t="s">
        <v>1696</v>
      </c>
      <c r="H302" s="92" t="s">
        <v>10</v>
      </c>
      <c r="I302" s="92" t="s">
        <v>2</v>
      </c>
      <c r="J302" s="19" t="s">
        <v>1699</v>
      </c>
      <c r="K302" s="58">
        <v>33879</v>
      </c>
      <c r="L302" s="93">
        <f t="shared" si="31"/>
        <v>1992</v>
      </c>
      <c r="M302" s="95">
        <f t="shared" si="32"/>
        <v>27</v>
      </c>
      <c r="N302" s="92" t="s">
        <v>101</v>
      </c>
      <c r="O302" s="92" t="s">
        <v>1632</v>
      </c>
      <c r="P302" s="19" t="s">
        <v>1700</v>
      </c>
      <c r="Q302" s="92"/>
      <c r="R302" s="19" t="s">
        <v>1703</v>
      </c>
    </row>
    <row r="303" spans="1:47" ht="25.5" x14ac:dyDescent="0.2">
      <c r="B303" s="151"/>
      <c r="C303" s="151"/>
      <c r="D303" s="92">
        <v>296</v>
      </c>
      <c r="E303" s="19" t="s">
        <v>1693</v>
      </c>
      <c r="F303" s="92" t="s">
        <v>18</v>
      </c>
      <c r="G303" s="92" t="s">
        <v>1697</v>
      </c>
      <c r="H303" s="92" t="s">
        <v>10</v>
      </c>
      <c r="I303" s="92" t="s">
        <v>15</v>
      </c>
      <c r="J303" s="19" t="s">
        <v>1698</v>
      </c>
      <c r="K303" s="58">
        <v>43523</v>
      </c>
      <c r="L303" s="92">
        <f>YEAR(K303)</f>
        <v>2019</v>
      </c>
      <c r="M303" s="95">
        <f>2019-L303</f>
        <v>0</v>
      </c>
      <c r="N303" s="92" t="s">
        <v>101</v>
      </c>
      <c r="O303" s="92" t="s">
        <v>1632</v>
      </c>
      <c r="P303" s="19" t="s">
        <v>1701</v>
      </c>
      <c r="Q303" s="92"/>
      <c r="R303" s="19" t="s">
        <v>1704</v>
      </c>
    </row>
    <row r="304" spans="1:47" s="97" customFormat="1" ht="38.25" x14ac:dyDescent="0.2">
      <c r="A304" s="54"/>
      <c r="B304" s="151">
        <v>84</v>
      </c>
      <c r="C304" s="151" t="s">
        <v>1857</v>
      </c>
      <c r="D304" s="92">
        <v>297</v>
      </c>
      <c r="E304" s="19" t="s">
        <v>1129</v>
      </c>
      <c r="F304" s="92" t="s">
        <v>7</v>
      </c>
      <c r="G304" s="92" t="s">
        <v>1858</v>
      </c>
      <c r="H304" s="92" t="s">
        <v>1</v>
      </c>
      <c r="I304" s="92" t="s">
        <v>2</v>
      </c>
      <c r="J304" s="19" t="s">
        <v>1644</v>
      </c>
      <c r="K304" s="58">
        <v>25933</v>
      </c>
      <c r="L304" s="59">
        <v>1970</v>
      </c>
      <c r="M304" s="59">
        <f t="shared" ref="M304:M332" si="33">2019-L304</f>
        <v>49</v>
      </c>
      <c r="N304" s="92" t="s">
        <v>3</v>
      </c>
      <c r="O304" s="92" t="s">
        <v>1632</v>
      </c>
      <c r="P304" s="19" t="s">
        <v>1641</v>
      </c>
      <c r="Q304" s="92"/>
      <c r="R304" s="19" t="s">
        <v>39</v>
      </c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96"/>
    </row>
    <row r="305" spans="1:177" s="97" customFormat="1" ht="25.5" x14ac:dyDescent="0.2">
      <c r="A305" s="54"/>
      <c r="B305" s="151"/>
      <c r="C305" s="151"/>
      <c r="D305" s="92">
        <v>298</v>
      </c>
      <c r="E305" s="19" t="s">
        <v>1131</v>
      </c>
      <c r="F305" s="92" t="s">
        <v>12</v>
      </c>
      <c r="G305" s="92" t="s">
        <v>1132</v>
      </c>
      <c r="H305" s="92" t="s">
        <v>10</v>
      </c>
      <c r="I305" s="92" t="s">
        <v>2</v>
      </c>
      <c r="J305" s="19" t="s">
        <v>1859</v>
      </c>
      <c r="K305" s="58">
        <v>30441</v>
      </c>
      <c r="L305" s="59">
        <v>1983</v>
      </c>
      <c r="M305" s="59">
        <f t="shared" si="33"/>
        <v>36</v>
      </c>
      <c r="N305" s="92" t="s">
        <v>3</v>
      </c>
      <c r="O305" s="92" t="s">
        <v>1632</v>
      </c>
      <c r="P305" s="19" t="s">
        <v>1641</v>
      </c>
      <c r="Q305" s="92"/>
      <c r="R305" s="19" t="s">
        <v>1764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96"/>
    </row>
    <row r="306" spans="1:177" s="97" customFormat="1" ht="25.5" x14ac:dyDescent="0.2">
      <c r="A306" s="54"/>
      <c r="B306" s="151"/>
      <c r="C306" s="151"/>
      <c r="D306" s="92">
        <v>299</v>
      </c>
      <c r="E306" s="19" t="s">
        <v>1133</v>
      </c>
      <c r="F306" s="92" t="s">
        <v>18</v>
      </c>
      <c r="G306" s="92" t="s">
        <v>1134</v>
      </c>
      <c r="H306" s="92" t="s">
        <v>10</v>
      </c>
      <c r="I306" s="92" t="s">
        <v>15</v>
      </c>
      <c r="J306" s="19" t="s">
        <v>1623</v>
      </c>
      <c r="K306" s="58">
        <v>37705</v>
      </c>
      <c r="L306" s="59">
        <v>2003</v>
      </c>
      <c r="M306" s="59">
        <f t="shared" si="33"/>
        <v>16</v>
      </c>
      <c r="N306" s="92" t="s">
        <v>3</v>
      </c>
      <c r="O306" s="92" t="s">
        <v>1632</v>
      </c>
      <c r="P306" s="19" t="s">
        <v>1635</v>
      </c>
      <c r="Q306" s="92"/>
      <c r="R306" s="19" t="s">
        <v>1625</v>
      </c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96"/>
    </row>
    <row r="307" spans="1:177" s="97" customFormat="1" ht="25.5" x14ac:dyDescent="0.2">
      <c r="A307" s="54"/>
      <c r="B307" s="151"/>
      <c r="C307" s="151"/>
      <c r="D307" s="92">
        <v>300</v>
      </c>
      <c r="E307" s="19" t="s">
        <v>1135</v>
      </c>
      <c r="F307" s="92" t="s">
        <v>18</v>
      </c>
      <c r="G307" s="92" t="s">
        <v>1136</v>
      </c>
      <c r="H307" s="92" t="s">
        <v>10</v>
      </c>
      <c r="I307" s="92" t="s">
        <v>15</v>
      </c>
      <c r="J307" s="19" t="s">
        <v>1860</v>
      </c>
      <c r="K307" s="58">
        <v>41613</v>
      </c>
      <c r="L307" s="59">
        <v>2013</v>
      </c>
      <c r="M307" s="59">
        <f t="shared" si="33"/>
        <v>6</v>
      </c>
      <c r="N307" s="92" t="s">
        <v>3</v>
      </c>
      <c r="O307" s="92" t="s">
        <v>1632</v>
      </c>
      <c r="P307" s="19" t="s">
        <v>1733</v>
      </c>
      <c r="Q307" s="92"/>
      <c r="R307" s="19" t="s">
        <v>1638</v>
      </c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96"/>
    </row>
    <row r="308" spans="1:177" s="97" customFormat="1" ht="25.5" x14ac:dyDescent="0.2">
      <c r="A308" s="54"/>
      <c r="B308" s="151"/>
      <c r="C308" s="151"/>
      <c r="D308" s="92">
        <v>301</v>
      </c>
      <c r="E308" s="19" t="s">
        <v>1137</v>
      </c>
      <c r="F308" s="92" t="s">
        <v>18</v>
      </c>
      <c r="G308" s="92" t="s">
        <v>1138</v>
      </c>
      <c r="H308" s="92" t="s">
        <v>10</v>
      </c>
      <c r="I308" s="92" t="s">
        <v>15</v>
      </c>
      <c r="J308" s="19" t="s">
        <v>1623</v>
      </c>
      <c r="K308" s="58">
        <v>41921</v>
      </c>
      <c r="L308" s="59">
        <v>2014</v>
      </c>
      <c r="M308" s="59">
        <f t="shared" si="33"/>
        <v>5</v>
      </c>
      <c r="N308" s="92" t="s">
        <v>3</v>
      </c>
      <c r="O308" s="92" t="s">
        <v>1632</v>
      </c>
      <c r="P308" s="19" t="s">
        <v>1733</v>
      </c>
      <c r="Q308" s="92"/>
      <c r="R308" s="19" t="s">
        <v>1638</v>
      </c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96"/>
    </row>
    <row r="309" spans="1:177" ht="38.25" x14ac:dyDescent="0.2">
      <c r="B309" s="151">
        <v>85</v>
      </c>
      <c r="C309" s="151" t="s">
        <v>2037</v>
      </c>
      <c r="D309" s="92">
        <v>302</v>
      </c>
      <c r="E309" s="19" t="s">
        <v>2038</v>
      </c>
      <c r="F309" s="92" t="s">
        <v>7</v>
      </c>
      <c r="G309" s="92" t="s">
        <v>2041</v>
      </c>
      <c r="H309" s="92" t="s">
        <v>1</v>
      </c>
      <c r="I309" s="92" t="s">
        <v>2</v>
      </c>
      <c r="J309" s="19" t="s">
        <v>1631</v>
      </c>
      <c r="K309" s="58">
        <v>23749</v>
      </c>
      <c r="L309" s="59">
        <v>1965</v>
      </c>
      <c r="M309" s="59">
        <f t="shared" si="33"/>
        <v>54</v>
      </c>
      <c r="N309" s="92" t="s">
        <v>3</v>
      </c>
      <c r="O309" s="92" t="s">
        <v>1632</v>
      </c>
      <c r="P309" s="19" t="s">
        <v>1732</v>
      </c>
      <c r="Q309" s="92"/>
      <c r="R309" s="19" t="s">
        <v>2045</v>
      </c>
    </row>
    <row r="310" spans="1:177" ht="25.5" x14ac:dyDescent="0.2">
      <c r="B310" s="151"/>
      <c r="C310" s="151"/>
      <c r="D310" s="92">
        <v>303</v>
      </c>
      <c r="E310" s="19" t="s">
        <v>2039</v>
      </c>
      <c r="F310" s="92" t="s">
        <v>12</v>
      </c>
      <c r="G310" s="92" t="s">
        <v>2042</v>
      </c>
      <c r="H310" s="92" t="s">
        <v>10</v>
      </c>
      <c r="I310" s="92" t="s">
        <v>2</v>
      </c>
      <c r="J310" s="19" t="s">
        <v>1631</v>
      </c>
      <c r="K310" s="58">
        <v>21922</v>
      </c>
      <c r="L310" s="59">
        <v>1960</v>
      </c>
      <c r="M310" s="59">
        <f t="shared" si="33"/>
        <v>59</v>
      </c>
      <c r="N310" s="92" t="s">
        <v>3</v>
      </c>
      <c r="O310" s="92" t="s">
        <v>1632</v>
      </c>
      <c r="P310" s="19" t="s">
        <v>1732</v>
      </c>
      <c r="Q310" s="92"/>
      <c r="R310" s="19" t="s">
        <v>2046</v>
      </c>
    </row>
    <row r="311" spans="1:177" ht="25.5" x14ac:dyDescent="0.2">
      <c r="B311" s="151"/>
      <c r="C311" s="151"/>
      <c r="D311" s="92">
        <v>304</v>
      </c>
      <c r="E311" s="19" t="s">
        <v>2040</v>
      </c>
      <c r="F311" s="92" t="s">
        <v>18</v>
      </c>
      <c r="G311" s="92" t="s">
        <v>2043</v>
      </c>
      <c r="H311" s="92" t="s">
        <v>1</v>
      </c>
      <c r="I311" s="92" t="s">
        <v>2044</v>
      </c>
      <c r="J311" s="19" t="s">
        <v>1631</v>
      </c>
      <c r="K311" s="58">
        <v>38306</v>
      </c>
      <c r="L311" s="59">
        <v>2004</v>
      </c>
      <c r="M311" s="59">
        <f t="shared" si="33"/>
        <v>15</v>
      </c>
      <c r="N311" s="92" t="s">
        <v>3</v>
      </c>
      <c r="O311" s="92" t="s">
        <v>1632</v>
      </c>
      <c r="P311" s="19" t="s">
        <v>1732</v>
      </c>
      <c r="Q311" s="92"/>
      <c r="R311" s="19" t="s">
        <v>1625</v>
      </c>
    </row>
    <row r="312" spans="1:177" ht="25.5" x14ac:dyDescent="0.2">
      <c r="B312" s="151">
        <v>86</v>
      </c>
      <c r="C312" s="151" t="s">
        <v>2060</v>
      </c>
      <c r="D312" s="92">
        <v>305</v>
      </c>
      <c r="E312" s="19" t="s">
        <v>900</v>
      </c>
      <c r="F312" s="92" t="s">
        <v>7</v>
      </c>
      <c r="G312" s="92" t="s">
        <v>901</v>
      </c>
      <c r="H312" s="92" t="s">
        <v>1</v>
      </c>
      <c r="I312" s="92" t="s">
        <v>2</v>
      </c>
      <c r="J312" s="19" t="s">
        <v>1644</v>
      </c>
      <c r="K312" s="58">
        <v>28039</v>
      </c>
      <c r="L312" s="59">
        <v>1976</v>
      </c>
      <c r="M312" s="59">
        <f t="shared" si="33"/>
        <v>43</v>
      </c>
      <c r="N312" s="92" t="s">
        <v>3</v>
      </c>
      <c r="O312" s="92" t="s">
        <v>1632</v>
      </c>
      <c r="P312" s="19" t="s">
        <v>1677</v>
      </c>
      <c r="Q312" s="92"/>
      <c r="R312" s="19" t="s">
        <v>1809</v>
      </c>
    </row>
    <row r="313" spans="1:177" ht="25.5" x14ac:dyDescent="0.2">
      <c r="B313" s="151"/>
      <c r="C313" s="151"/>
      <c r="D313" s="92">
        <v>306</v>
      </c>
      <c r="E313" s="19" t="s">
        <v>902</v>
      </c>
      <c r="F313" s="92" t="s">
        <v>12</v>
      </c>
      <c r="G313" s="92" t="s">
        <v>903</v>
      </c>
      <c r="H313" s="92" t="s">
        <v>10</v>
      </c>
      <c r="I313" s="92" t="s">
        <v>2</v>
      </c>
      <c r="J313" s="19" t="s">
        <v>2061</v>
      </c>
      <c r="K313" s="58">
        <v>28552</v>
      </c>
      <c r="L313" s="59">
        <v>1978</v>
      </c>
      <c r="M313" s="59">
        <f t="shared" si="33"/>
        <v>41</v>
      </c>
      <c r="N313" s="92" t="s">
        <v>3</v>
      </c>
      <c r="O313" s="99" t="s">
        <v>1632</v>
      </c>
      <c r="P313" s="19" t="s">
        <v>1677</v>
      </c>
      <c r="Q313" s="92"/>
      <c r="R313" s="19" t="s">
        <v>1764</v>
      </c>
    </row>
    <row r="314" spans="1:177" x14ac:dyDescent="0.2">
      <c r="B314" s="151"/>
      <c r="C314" s="151"/>
      <c r="D314" s="92">
        <v>307</v>
      </c>
      <c r="E314" s="19" t="s">
        <v>904</v>
      </c>
      <c r="F314" s="92" t="s">
        <v>18</v>
      </c>
      <c r="G314" s="92" t="s">
        <v>905</v>
      </c>
      <c r="H314" s="92" t="s">
        <v>10</v>
      </c>
      <c r="I314" s="92" t="s">
        <v>15</v>
      </c>
      <c r="J314" s="19" t="s">
        <v>2061</v>
      </c>
      <c r="K314" s="58">
        <v>37091</v>
      </c>
      <c r="L314" s="59">
        <v>2001</v>
      </c>
      <c r="M314" s="59">
        <f t="shared" si="33"/>
        <v>18</v>
      </c>
      <c r="N314" s="92" t="s">
        <v>3</v>
      </c>
      <c r="O314" s="99" t="s">
        <v>1632</v>
      </c>
      <c r="P314" s="19" t="s">
        <v>1732</v>
      </c>
      <c r="Q314" s="92"/>
      <c r="R314" s="19" t="s">
        <v>1625</v>
      </c>
    </row>
    <row r="315" spans="1:177" ht="25.5" x14ac:dyDescent="0.2">
      <c r="B315" s="151"/>
      <c r="C315" s="151"/>
      <c r="D315" s="92">
        <v>308</v>
      </c>
      <c r="E315" s="19" t="s">
        <v>906</v>
      </c>
      <c r="F315" s="92" t="s">
        <v>18</v>
      </c>
      <c r="G315" s="92" t="s">
        <v>907</v>
      </c>
      <c r="H315" s="92" t="s">
        <v>1</v>
      </c>
      <c r="I315" s="92" t="s">
        <v>15</v>
      </c>
      <c r="J315" s="19" t="s">
        <v>1631</v>
      </c>
      <c r="K315" s="58">
        <v>39986</v>
      </c>
      <c r="L315" s="59">
        <v>2009</v>
      </c>
      <c r="M315" s="59">
        <f t="shared" si="33"/>
        <v>10</v>
      </c>
      <c r="N315" s="92" t="s">
        <v>3</v>
      </c>
      <c r="O315" s="99" t="s">
        <v>1632</v>
      </c>
      <c r="P315" s="19" t="s">
        <v>1733</v>
      </c>
      <c r="Q315" s="92"/>
      <c r="R315" s="19" t="s">
        <v>1638</v>
      </c>
    </row>
    <row r="316" spans="1:177" ht="25.5" x14ac:dyDescent="0.2">
      <c r="B316" s="152">
        <v>87</v>
      </c>
      <c r="C316" s="152" t="s">
        <v>2150</v>
      </c>
      <c r="D316" s="92">
        <v>309</v>
      </c>
      <c r="E316" s="19" t="s">
        <v>2151</v>
      </c>
      <c r="F316" s="92" t="s">
        <v>7</v>
      </c>
      <c r="G316" s="92" t="s">
        <v>2153</v>
      </c>
      <c r="H316" s="92" t="s">
        <v>1</v>
      </c>
      <c r="I316" s="92" t="s">
        <v>2</v>
      </c>
      <c r="J316" s="19" t="s">
        <v>1644</v>
      </c>
      <c r="K316" s="58">
        <v>32877</v>
      </c>
      <c r="L316" s="59">
        <v>1990</v>
      </c>
      <c r="M316" s="59">
        <f t="shared" si="33"/>
        <v>29</v>
      </c>
      <c r="N316" s="92" t="s">
        <v>3</v>
      </c>
      <c r="O316" s="92" t="s">
        <v>1632</v>
      </c>
      <c r="P316" s="19" t="s">
        <v>1677</v>
      </c>
      <c r="Q316" s="92"/>
      <c r="R316" s="19" t="s">
        <v>1772</v>
      </c>
    </row>
    <row r="317" spans="1:177" ht="25.5" x14ac:dyDescent="0.2">
      <c r="B317" s="154"/>
      <c r="C317" s="154"/>
      <c r="D317" s="92">
        <v>310</v>
      </c>
      <c r="E317" s="19" t="s">
        <v>2152</v>
      </c>
      <c r="F317" s="92" t="s">
        <v>12</v>
      </c>
      <c r="G317" s="92" t="s">
        <v>2154</v>
      </c>
      <c r="H317" s="92" t="s">
        <v>10</v>
      </c>
      <c r="I317" s="92" t="s">
        <v>2</v>
      </c>
      <c r="J317" s="19" t="s">
        <v>1644</v>
      </c>
      <c r="K317" s="58">
        <v>34400</v>
      </c>
      <c r="L317" s="59">
        <v>1994</v>
      </c>
      <c r="M317" s="59">
        <f t="shared" si="33"/>
        <v>25</v>
      </c>
      <c r="N317" s="92" t="s">
        <v>3</v>
      </c>
      <c r="O317" s="92" t="s">
        <v>1632</v>
      </c>
      <c r="P317" s="19" t="s">
        <v>1677</v>
      </c>
      <c r="Q317" s="92"/>
      <c r="R317" s="19" t="s">
        <v>1764</v>
      </c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2"/>
      <c r="CQ317" s="52"/>
      <c r="CR317" s="52"/>
      <c r="CS317" s="52"/>
      <c r="CT317" s="52"/>
      <c r="CU317" s="52"/>
      <c r="CV317" s="52"/>
      <c r="CW317" s="52"/>
      <c r="CX317" s="52"/>
      <c r="CY317" s="52"/>
      <c r="CZ317" s="52"/>
      <c r="DA317" s="52"/>
      <c r="DB317" s="52"/>
      <c r="DC317" s="52"/>
      <c r="DD317" s="52"/>
      <c r="DE317" s="52"/>
      <c r="DF317" s="52"/>
      <c r="DG317" s="52"/>
      <c r="DH317" s="52"/>
      <c r="DI317" s="52"/>
      <c r="DJ317" s="52"/>
      <c r="DK317" s="52"/>
      <c r="DL317" s="52"/>
      <c r="DM317" s="52"/>
      <c r="DN317" s="52"/>
      <c r="DO317" s="52"/>
      <c r="DP317" s="52"/>
      <c r="DQ317" s="52"/>
      <c r="DR317" s="52"/>
      <c r="DS317" s="52"/>
      <c r="DT317" s="52"/>
      <c r="DU317" s="52"/>
      <c r="DV317" s="52"/>
      <c r="DW317" s="52"/>
      <c r="DX317" s="52"/>
      <c r="DY317" s="52"/>
      <c r="DZ317" s="52"/>
      <c r="EA317" s="52"/>
      <c r="EB317" s="52"/>
      <c r="EC317" s="52"/>
      <c r="ED317" s="52"/>
      <c r="EE317" s="52"/>
      <c r="EF317" s="52"/>
      <c r="EG317" s="52"/>
      <c r="EH317" s="52"/>
      <c r="EI317" s="52"/>
      <c r="EJ317" s="52"/>
      <c r="EK317" s="52"/>
      <c r="EL317" s="52"/>
      <c r="EM317" s="52"/>
      <c r="EN317" s="52"/>
      <c r="EO317" s="52"/>
      <c r="EP317" s="52"/>
      <c r="EQ317" s="52"/>
      <c r="ER317" s="52"/>
      <c r="ES317" s="52"/>
      <c r="ET317" s="52"/>
      <c r="EU317" s="52"/>
      <c r="EV317" s="52"/>
      <c r="EW317" s="52"/>
      <c r="EX317" s="52"/>
      <c r="EY317" s="52"/>
      <c r="EZ317" s="52"/>
      <c r="FA317" s="52"/>
      <c r="FB317" s="52"/>
      <c r="FC317" s="52"/>
      <c r="FD317" s="52"/>
      <c r="FE317" s="52"/>
      <c r="FF317" s="52"/>
      <c r="FG317" s="52"/>
      <c r="FH317" s="52"/>
      <c r="FI317" s="52"/>
      <c r="FJ317" s="52"/>
      <c r="FK317" s="52"/>
      <c r="FL317" s="52"/>
      <c r="FM317" s="52"/>
      <c r="FN317" s="52"/>
      <c r="FO317" s="52"/>
      <c r="FP317" s="52"/>
      <c r="FQ317" s="52"/>
      <c r="FR317" s="52"/>
      <c r="FS317" s="52"/>
      <c r="FT317" s="52"/>
      <c r="FU317" s="52"/>
    </row>
    <row r="318" spans="1:177" x14ac:dyDescent="0.2">
      <c r="B318" s="151">
        <v>88</v>
      </c>
      <c r="C318" s="151" t="s">
        <v>2179</v>
      </c>
      <c r="D318" s="92">
        <v>311</v>
      </c>
      <c r="E318" s="19" t="s">
        <v>936</v>
      </c>
      <c r="F318" s="92" t="s">
        <v>7</v>
      </c>
      <c r="G318" s="92" t="s">
        <v>937</v>
      </c>
      <c r="H318" s="92" t="s">
        <v>1</v>
      </c>
      <c r="I318" s="92" t="s">
        <v>2</v>
      </c>
      <c r="J318" s="19" t="s">
        <v>1623</v>
      </c>
      <c r="K318" s="58">
        <v>25841</v>
      </c>
      <c r="L318" s="59">
        <v>1970</v>
      </c>
      <c r="M318" s="59">
        <f t="shared" si="33"/>
        <v>49</v>
      </c>
      <c r="N318" s="92" t="s">
        <v>3</v>
      </c>
      <c r="O318" s="92" t="s">
        <v>1632</v>
      </c>
      <c r="P318" s="19" t="s">
        <v>1968</v>
      </c>
      <c r="Q318" s="92"/>
      <c r="R318" s="19" t="s">
        <v>39</v>
      </c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  <c r="CK318" s="52"/>
      <c r="CL318" s="52"/>
      <c r="CM318" s="52"/>
      <c r="CN318" s="52"/>
      <c r="CO318" s="52"/>
      <c r="CP318" s="52"/>
      <c r="CQ318" s="52"/>
      <c r="CR318" s="52"/>
      <c r="CS318" s="52"/>
      <c r="CT318" s="52"/>
      <c r="CU318" s="52"/>
      <c r="CV318" s="52"/>
      <c r="CW318" s="52"/>
      <c r="CX318" s="52"/>
      <c r="CY318" s="52"/>
      <c r="CZ318" s="52"/>
      <c r="DA318" s="52"/>
      <c r="DB318" s="52"/>
      <c r="DC318" s="52"/>
      <c r="DD318" s="52"/>
      <c r="DE318" s="52"/>
      <c r="DF318" s="52"/>
      <c r="DG318" s="52"/>
      <c r="DH318" s="52"/>
      <c r="DI318" s="52"/>
      <c r="DJ318" s="52"/>
      <c r="DK318" s="52"/>
      <c r="DL318" s="52"/>
      <c r="DM318" s="52"/>
      <c r="DN318" s="52"/>
      <c r="DO318" s="52"/>
      <c r="DP318" s="52"/>
      <c r="DQ318" s="52"/>
      <c r="DR318" s="52"/>
      <c r="DS318" s="52"/>
      <c r="DT318" s="52"/>
      <c r="DU318" s="52"/>
      <c r="DV318" s="52"/>
      <c r="DW318" s="52"/>
      <c r="DX318" s="52"/>
      <c r="DY318" s="52"/>
      <c r="DZ318" s="52"/>
      <c r="EA318" s="52"/>
      <c r="EB318" s="52"/>
      <c r="EC318" s="52"/>
      <c r="ED318" s="52"/>
      <c r="EE318" s="52"/>
      <c r="EF318" s="52"/>
      <c r="EG318" s="52"/>
      <c r="EH318" s="52"/>
      <c r="EI318" s="52"/>
      <c r="EJ318" s="52"/>
      <c r="EK318" s="52"/>
      <c r="EL318" s="52"/>
      <c r="EM318" s="52"/>
      <c r="EN318" s="52"/>
      <c r="EO318" s="52"/>
      <c r="EP318" s="52"/>
      <c r="EQ318" s="52"/>
      <c r="ER318" s="52"/>
      <c r="ES318" s="52"/>
      <c r="ET318" s="52"/>
      <c r="EU318" s="52"/>
      <c r="EV318" s="52"/>
      <c r="EW318" s="52"/>
      <c r="EX318" s="52"/>
      <c r="EY318" s="52"/>
      <c r="EZ318" s="52"/>
      <c r="FA318" s="52"/>
      <c r="FB318" s="52"/>
      <c r="FC318" s="52"/>
      <c r="FD318" s="52"/>
      <c r="FE318" s="52"/>
      <c r="FF318" s="52"/>
      <c r="FG318" s="52"/>
      <c r="FH318" s="52"/>
      <c r="FI318" s="52"/>
      <c r="FJ318" s="52"/>
      <c r="FK318" s="52"/>
      <c r="FL318" s="52"/>
      <c r="FM318" s="52"/>
      <c r="FN318" s="52"/>
      <c r="FO318" s="52"/>
      <c r="FP318" s="52"/>
      <c r="FQ318" s="52"/>
      <c r="FR318" s="52"/>
      <c r="FS318" s="52"/>
      <c r="FT318" s="52"/>
      <c r="FU318" s="52"/>
    </row>
    <row r="319" spans="1:177" ht="25.5" x14ac:dyDescent="0.2">
      <c r="B319" s="151"/>
      <c r="C319" s="151"/>
      <c r="D319" s="92">
        <v>312</v>
      </c>
      <c r="E319" s="19" t="s">
        <v>938</v>
      </c>
      <c r="F319" s="92" t="s">
        <v>12</v>
      </c>
      <c r="G319" s="92" t="s">
        <v>2181</v>
      </c>
      <c r="H319" s="92" t="s">
        <v>10</v>
      </c>
      <c r="I319" s="92" t="s">
        <v>2</v>
      </c>
      <c r="J319" s="19" t="s">
        <v>1623</v>
      </c>
      <c r="K319" s="58">
        <v>30169</v>
      </c>
      <c r="L319" s="59">
        <v>1982</v>
      </c>
      <c r="M319" s="59">
        <f t="shared" si="33"/>
        <v>37</v>
      </c>
      <c r="N319" s="92" t="s">
        <v>3</v>
      </c>
      <c r="O319" s="92" t="s">
        <v>1632</v>
      </c>
      <c r="P319" s="19" t="s">
        <v>1968</v>
      </c>
      <c r="Q319" s="92"/>
      <c r="R319" s="19" t="s">
        <v>1946</v>
      </c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  <c r="CK319" s="52"/>
      <c r="CL319" s="52"/>
      <c r="CM319" s="52"/>
      <c r="CN319" s="52"/>
      <c r="CO319" s="52"/>
      <c r="CP319" s="52"/>
      <c r="CQ319" s="52"/>
      <c r="CR319" s="52"/>
      <c r="CS319" s="52"/>
      <c r="CT319" s="52"/>
      <c r="CU319" s="52"/>
      <c r="CV319" s="52"/>
      <c r="CW319" s="52"/>
      <c r="CX319" s="52"/>
      <c r="CY319" s="52"/>
      <c r="CZ319" s="52"/>
      <c r="DA319" s="52"/>
      <c r="DB319" s="52"/>
      <c r="DC319" s="52"/>
      <c r="DD319" s="52"/>
      <c r="DE319" s="52"/>
      <c r="DF319" s="52"/>
      <c r="DG319" s="52"/>
      <c r="DH319" s="52"/>
      <c r="DI319" s="52"/>
      <c r="DJ319" s="52"/>
      <c r="DK319" s="52"/>
      <c r="DL319" s="52"/>
      <c r="DM319" s="52"/>
      <c r="DN319" s="52"/>
      <c r="DO319" s="52"/>
      <c r="DP319" s="52"/>
      <c r="DQ319" s="52"/>
      <c r="DR319" s="52"/>
      <c r="DS319" s="52"/>
      <c r="DT319" s="52"/>
      <c r="DU319" s="52"/>
      <c r="DV319" s="52"/>
      <c r="DW319" s="52"/>
      <c r="DX319" s="52"/>
      <c r="DY319" s="52"/>
      <c r="DZ319" s="52"/>
      <c r="EA319" s="52"/>
      <c r="EB319" s="52"/>
      <c r="EC319" s="52"/>
      <c r="ED319" s="52"/>
      <c r="EE319" s="52"/>
      <c r="EF319" s="52"/>
      <c r="EG319" s="52"/>
      <c r="EH319" s="52"/>
      <c r="EI319" s="52"/>
      <c r="EJ319" s="52"/>
      <c r="EK319" s="52"/>
      <c r="EL319" s="52"/>
      <c r="EM319" s="52"/>
      <c r="EN319" s="52"/>
      <c r="EO319" s="52"/>
      <c r="EP319" s="52"/>
      <c r="EQ319" s="52"/>
      <c r="ER319" s="52"/>
      <c r="ES319" s="52"/>
      <c r="ET319" s="52"/>
      <c r="EU319" s="52"/>
      <c r="EV319" s="52"/>
      <c r="EW319" s="52"/>
      <c r="EX319" s="52"/>
      <c r="EY319" s="52"/>
      <c r="EZ319" s="52"/>
      <c r="FA319" s="52"/>
      <c r="FB319" s="52"/>
      <c r="FC319" s="52"/>
      <c r="FD319" s="52"/>
      <c r="FE319" s="52"/>
      <c r="FF319" s="52"/>
      <c r="FG319" s="52"/>
      <c r="FH319" s="52"/>
      <c r="FI319" s="52"/>
      <c r="FJ319" s="52"/>
      <c r="FK319" s="52"/>
      <c r="FL319" s="52"/>
      <c r="FM319" s="52"/>
      <c r="FN319" s="52"/>
      <c r="FO319" s="52"/>
      <c r="FP319" s="52"/>
      <c r="FQ319" s="52"/>
      <c r="FR319" s="52"/>
      <c r="FS319" s="52"/>
      <c r="FT319" s="52"/>
      <c r="FU319" s="52"/>
    </row>
    <row r="320" spans="1:177" ht="25.5" x14ac:dyDescent="0.2">
      <c r="B320" s="151"/>
      <c r="C320" s="151"/>
      <c r="D320" s="92">
        <v>313</v>
      </c>
      <c r="E320" s="19" t="s">
        <v>940</v>
      </c>
      <c r="F320" s="92" t="s">
        <v>18</v>
      </c>
      <c r="G320" s="92" t="s">
        <v>941</v>
      </c>
      <c r="H320" s="92" t="s">
        <v>1</v>
      </c>
      <c r="I320" s="92" t="s">
        <v>15</v>
      </c>
      <c r="J320" s="19" t="s">
        <v>1623</v>
      </c>
      <c r="K320" s="58">
        <v>38950</v>
      </c>
      <c r="L320" s="59">
        <v>2006</v>
      </c>
      <c r="M320" s="59">
        <f t="shared" si="33"/>
        <v>13</v>
      </c>
      <c r="N320" s="92" t="s">
        <v>3</v>
      </c>
      <c r="O320" s="92" t="s">
        <v>1632</v>
      </c>
      <c r="P320" s="19" t="s">
        <v>1635</v>
      </c>
      <c r="Q320" s="92"/>
      <c r="R320" s="19" t="s">
        <v>1625</v>
      </c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2"/>
      <c r="CQ320" s="52"/>
      <c r="CR320" s="52"/>
      <c r="CS320" s="52"/>
      <c r="CT320" s="52"/>
      <c r="CU320" s="52"/>
      <c r="CV320" s="52"/>
      <c r="CW320" s="52"/>
      <c r="CX320" s="52"/>
      <c r="CY320" s="52"/>
      <c r="CZ320" s="52"/>
      <c r="DA320" s="52"/>
      <c r="DB320" s="52"/>
      <c r="DC320" s="52"/>
      <c r="DD320" s="52"/>
      <c r="DE320" s="52"/>
      <c r="DF320" s="52"/>
      <c r="DG320" s="52"/>
      <c r="DH320" s="52"/>
      <c r="DI320" s="52"/>
      <c r="DJ320" s="52"/>
      <c r="DK320" s="52"/>
      <c r="DL320" s="52"/>
      <c r="DM320" s="52"/>
      <c r="DN320" s="52"/>
      <c r="DO320" s="52"/>
      <c r="DP320" s="52"/>
      <c r="DQ320" s="52"/>
      <c r="DR320" s="52"/>
      <c r="DS320" s="52"/>
      <c r="DT320" s="52"/>
      <c r="DU320" s="52"/>
      <c r="DV320" s="52"/>
      <c r="DW320" s="52"/>
      <c r="DX320" s="52"/>
      <c r="DY320" s="52"/>
      <c r="DZ320" s="52"/>
      <c r="EA320" s="52"/>
      <c r="EB320" s="52"/>
      <c r="EC320" s="52"/>
      <c r="ED320" s="52"/>
      <c r="EE320" s="52"/>
      <c r="EF320" s="52"/>
      <c r="EG320" s="52"/>
      <c r="EH320" s="52"/>
      <c r="EI320" s="52"/>
      <c r="EJ320" s="52"/>
      <c r="EK320" s="52"/>
      <c r="EL320" s="52"/>
      <c r="EM320" s="52"/>
      <c r="EN320" s="52"/>
      <c r="EO320" s="52"/>
      <c r="EP320" s="52"/>
      <c r="EQ320" s="52"/>
      <c r="ER320" s="52"/>
      <c r="ES320" s="52"/>
      <c r="ET320" s="52"/>
      <c r="EU320" s="52"/>
      <c r="EV320" s="52"/>
      <c r="EW320" s="52"/>
      <c r="EX320" s="52"/>
      <c r="EY320" s="52"/>
      <c r="EZ320" s="52"/>
      <c r="FA320" s="52"/>
      <c r="FB320" s="52"/>
      <c r="FC320" s="52"/>
      <c r="FD320" s="52"/>
      <c r="FE320" s="52"/>
      <c r="FF320" s="52"/>
      <c r="FG320" s="52"/>
      <c r="FH320" s="52"/>
      <c r="FI320" s="52"/>
      <c r="FJ320" s="52"/>
      <c r="FK320" s="52"/>
      <c r="FL320" s="52"/>
      <c r="FM320" s="52"/>
      <c r="FN320" s="52"/>
      <c r="FO320" s="52"/>
      <c r="FP320" s="52"/>
      <c r="FQ320" s="52"/>
      <c r="FR320" s="52"/>
      <c r="FS320" s="52"/>
      <c r="FT320" s="52"/>
      <c r="FU320" s="52"/>
    </row>
    <row r="321" spans="1:178" ht="25.5" x14ac:dyDescent="0.2">
      <c r="B321" s="151"/>
      <c r="C321" s="151"/>
      <c r="D321" s="92">
        <v>314</v>
      </c>
      <c r="E321" s="19" t="s">
        <v>942</v>
      </c>
      <c r="F321" s="92" t="s">
        <v>18</v>
      </c>
      <c r="G321" s="92" t="s">
        <v>943</v>
      </c>
      <c r="H321" s="92" t="s">
        <v>1</v>
      </c>
      <c r="I321" s="92" t="s">
        <v>15</v>
      </c>
      <c r="J321" s="19" t="s">
        <v>1623</v>
      </c>
      <c r="K321" s="58">
        <v>40761</v>
      </c>
      <c r="L321" s="59">
        <v>2011</v>
      </c>
      <c r="M321" s="59">
        <f t="shared" si="33"/>
        <v>8</v>
      </c>
      <c r="N321" s="92" t="s">
        <v>3</v>
      </c>
      <c r="O321" s="92" t="s">
        <v>1632</v>
      </c>
      <c r="P321" s="19" t="s">
        <v>1733</v>
      </c>
      <c r="Q321" s="92"/>
      <c r="R321" s="19" t="s">
        <v>1638</v>
      </c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  <c r="CK321" s="52"/>
      <c r="CL321" s="52"/>
      <c r="CM321" s="52"/>
      <c r="CN321" s="52"/>
      <c r="CO321" s="52"/>
      <c r="CP321" s="52"/>
      <c r="CQ321" s="52"/>
      <c r="CR321" s="52"/>
      <c r="CS321" s="52"/>
      <c r="CT321" s="52"/>
      <c r="CU321" s="52"/>
      <c r="CV321" s="52"/>
      <c r="CW321" s="52"/>
      <c r="CX321" s="52"/>
      <c r="CY321" s="52"/>
      <c r="CZ321" s="52"/>
      <c r="DA321" s="52"/>
      <c r="DB321" s="52"/>
      <c r="DC321" s="52"/>
      <c r="DD321" s="52"/>
      <c r="DE321" s="52"/>
      <c r="DF321" s="52"/>
      <c r="DG321" s="52"/>
      <c r="DH321" s="52"/>
      <c r="DI321" s="52"/>
      <c r="DJ321" s="52"/>
      <c r="DK321" s="52"/>
      <c r="DL321" s="52"/>
      <c r="DM321" s="52"/>
      <c r="DN321" s="52"/>
      <c r="DO321" s="52"/>
      <c r="DP321" s="52"/>
      <c r="DQ321" s="52"/>
      <c r="DR321" s="52"/>
      <c r="DS321" s="52"/>
      <c r="DT321" s="52"/>
      <c r="DU321" s="52"/>
      <c r="DV321" s="52"/>
      <c r="DW321" s="52"/>
      <c r="DX321" s="52"/>
      <c r="DY321" s="52"/>
      <c r="DZ321" s="52"/>
      <c r="EA321" s="52"/>
      <c r="EB321" s="52"/>
      <c r="EC321" s="52"/>
      <c r="ED321" s="52"/>
      <c r="EE321" s="52"/>
      <c r="EF321" s="52"/>
      <c r="EG321" s="52"/>
      <c r="EH321" s="52"/>
      <c r="EI321" s="52"/>
      <c r="EJ321" s="52"/>
      <c r="EK321" s="52"/>
      <c r="EL321" s="52"/>
      <c r="EM321" s="52"/>
      <c r="EN321" s="52"/>
      <c r="EO321" s="52"/>
      <c r="EP321" s="52"/>
      <c r="EQ321" s="52"/>
      <c r="ER321" s="52"/>
      <c r="ES321" s="52"/>
      <c r="ET321" s="52"/>
      <c r="EU321" s="52"/>
      <c r="EV321" s="52"/>
      <c r="EW321" s="52"/>
      <c r="EX321" s="52"/>
      <c r="EY321" s="52"/>
      <c r="EZ321" s="52"/>
      <c r="FA321" s="52"/>
      <c r="FB321" s="52"/>
      <c r="FC321" s="52"/>
      <c r="FD321" s="52"/>
      <c r="FE321" s="52"/>
      <c r="FF321" s="52"/>
      <c r="FG321" s="52"/>
      <c r="FH321" s="52"/>
      <c r="FI321" s="52"/>
      <c r="FJ321" s="52"/>
      <c r="FK321" s="52"/>
      <c r="FL321" s="52"/>
      <c r="FM321" s="52"/>
      <c r="FN321" s="52"/>
      <c r="FO321" s="52"/>
      <c r="FP321" s="52"/>
      <c r="FQ321" s="52"/>
      <c r="FR321" s="52"/>
      <c r="FS321" s="52"/>
      <c r="FT321" s="52"/>
      <c r="FU321" s="52"/>
    </row>
    <row r="322" spans="1:178" ht="25.5" x14ac:dyDescent="0.2">
      <c r="B322" s="151"/>
      <c r="C322" s="151"/>
      <c r="D322" s="92">
        <v>315</v>
      </c>
      <c r="E322" s="19" t="s">
        <v>944</v>
      </c>
      <c r="F322" s="92" t="s">
        <v>18</v>
      </c>
      <c r="G322" s="92" t="s">
        <v>945</v>
      </c>
      <c r="H322" s="92" t="s">
        <v>1</v>
      </c>
      <c r="I322" s="92" t="s">
        <v>15</v>
      </c>
      <c r="J322" s="19" t="s">
        <v>1623</v>
      </c>
      <c r="K322" s="58">
        <v>41444</v>
      </c>
      <c r="L322" s="59">
        <v>2013</v>
      </c>
      <c r="M322" s="59">
        <f t="shared" si="33"/>
        <v>6</v>
      </c>
      <c r="N322" s="92" t="s">
        <v>3</v>
      </c>
      <c r="O322" s="92" t="s">
        <v>1632</v>
      </c>
      <c r="P322" s="19" t="s">
        <v>1733</v>
      </c>
      <c r="Q322" s="92"/>
      <c r="R322" s="19" t="s">
        <v>1638</v>
      </c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  <c r="CK322" s="52"/>
      <c r="CL322" s="52"/>
      <c r="CM322" s="52"/>
      <c r="CN322" s="52"/>
      <c r="CO322" s="52"/>
      <c r="CP322" s="52"/>
      <c r="CQ322" s="52"/>
      <c r="CR322" s="52"/>
      <c r="CS322" s="52"/>
      <c r="CT322" s="52"/>
      <c r="CU322" s="52"/>
      <c r="CV322" s="52"/>
      <c r="CW322" s="52"/>
      <c r="CX322" s="52"/>
      <c r="CY322" s="52"/>
      <c r="CZ322" s="52"/>
      <c r="DA322" s="52"/>
      <c r="DB322" s="52"/>
      <c r="DC322" s="52"/>
      <c r="DD322" s="52"/>
      <c r="DE322" s="52"/>
      <c r="DF322" s="52"/>
      <c r="DG322" s="52"/>
      <c r="DH322" s="52"/>
      <c r="DI322" s="52"/>
      <c r="DJ322" s="52"/>
      <c r="DK322" s="52"/>
      <c r="DL322" s="52"/>
      <c r="DM322" s="52"/>
      <c r="DN322" s="52"/>
      <c r="DO322" s="52"/>
      <c r="DP322" s="52"/>
      <c r="DQ322" s="52"/>
      <c r="DR322" s="52"/>
      <c r="DS322" s="52"/>
      <c r="DT322" s="52"/>
      <c r="DU322" s="52"/>
      <c r="DV322" s="52"/>
      <c r="DW322" s="52"/>
      <c r="DX322" s="52"/>
      <c r="DY322" s="52"/>
      <c r="DZ322" s="52"/>
      <c r="EA322" s="52"/>
      <c r="EB322" s="52"/>
      <c r="EC322" s="52"/>
      <c r="ED322" s="52"/>
      <c r="EE322" s="52"/>
      <c r="EF322" s="52"/>
      <c r="EG322" s="52"/>
      <c r="EH322" s="52"/>
      <c r="EI322" s="52"/>
      <c r="EJ322" s="52"/>
      <c r="EK322" s="52"/>
      <c r="EL322" s="52"/>
      <c r="EM322" s="52"/>
      <c r="EN322" s="52"/>
      <c r="EO322" s="52"/>
      <c r="EP322" s="52"/>
      <c r="EQ322" s="52"/>
      <c r="ER322" s="52"/>
      <c r="ES322" s="52"/>
      <c r="ET322" s="52"/>
      <c r="EU322" s="52"/>
      <c r="EV322" s="52"/>
      <c r="EW322" s="52"/>
      <c r="EX322" s="52"/>
      <c r="EY322" s="52"/>
      <c r="EZ322" s="52"/>
      <c r="FA322" s="52"/>
      <c r="FB322" s="52"/>
      <c r="FC322" s="52"/>
      <c r="FD322" s="52"/>
      <c r="FE322" s="52"/>
      <c r="FF322" s="52"/>
      <c r="FG322" s="52"/>
      <c r="FH322" s="52"/>
      <c r="FI322" s="52"/>
      <c r="FJ322" s="52"/>
      <c r="FK322" s="52"/>
      <c r="FL322" s="52"/>
      <c r="FM322" s="52"/>
      <c r="FN322" s="52"/>
      <c r="FO322" s="52"/>
      <c r="FP322" s="52"/>
      <c r="FQ322" s="52"/>
      <c r="FR322" s="52"/>
      <c r="FS322" s="52"/>
      <c r="FT322" s="52"/>
      <c r="FU322" s="52"/>
    </row>
    <row r="323" spans="1:178" s="97" customFormat="1" ht="25.5" x14ac:dyDescent="0.2">
      <c r="A323" s="54"/>
      <c r="B323" s="151"/>
      <c r="C323" s="151"/>
      <c r="D323" s="92">
        <v>316</v>
      </c>
      <c r="E323" s="19" t="s">
        <v>2180</v>
      </c>
      <c r="F323" s="92" t="s">
        <v>18</v>
      </c>
      <c r="G323" s="92" t="s">
        <v>2182</v>
      </c>
      <c r="H323" s="92" t="s">
        <v>10</v>
      </c>
      <c r="I323" s="92" t="s">
        <v>15</v>
      </c>
      <c r="J323" s="19" t="s">
        <v>1623</v>
      </c>
      <c r="K323" s="58">
        <v>43491</v>
      </c>
      <c r="L323" s="59">
        <v>2019</v>
      </c>
      <c r="M323" s="59">
        <f t="shared" si="33"/>
        <v>0</v>
      </c>
      <c r="N323" s="92" t="s">
        <v>3</v>
      </c>
      <c r="O323" s="92" t="s">
        <v>1632</v>
      </c>
      <c r="P323" s="19" t="s">
        <v>1733</v>
      </c>
      <c r="Q323" s="92"/>
      <c r="R323" s="19" t="s">
        <v>1638</v>
      </c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  <c r="CK323" s="52"/>
      <c r="CL323" s="52"/>
      <c r="CM323" s="52"/>
      <c r="CN323" s="52"/>
      <c r="CO323" s="52"/>
      <c r="CP323" s="52"/>
      <c r="CQ323" s="52"/>
      <c r="CR323" s="52"/>
      <c r="CS323" s="52"/>
      <c r="CT323" s="52"/>
      <c r="CU323" s="52"/>
      <c r="CV323" s="52"/>
      <c r="CW323" s="52"/>
      <c r="CX323" s="52"/>
      <c r="CY323" s="52"/>
      <c r="CZ323" s="52"/>
      <c r="DA323" s="52"/>
      <c r="DB323" s="52"/>
      <c r="DC323" s="52"/>
      <c r="DD323" s="52"/>
      <c r="DE323" s="52"/>
      <c r="DF323" s="52"/>
      <c r="DG323" s="52"/>
      <c r="DH323" s="52"/>
      <c r="DI323" s="52"/>
      <c r="DJ323" s="52"/>
      <c r="DK323" s="52"/>
      <c r="DL323" s="52"/>
      <c r="DM323" s="52"/>
      <c r="DN323" s="52"/>
      <c r="DO323" s="52"/>
      <c r="DP323" s="52"/>
      <c r="DQ323" s="52"/>
      <c r="DR323" s="52"/>
      <c r="DS323" s="52"/>
      <c r="DT323" s="52"/>
      <c r="DU323" s="52"/>
      <c r="DV323" s="52"/>
      <c r="DW323" s="52"/>
      <c r="DX323" s="52"/>
      <c r="DY323" s="52"/>
      <c r="DZ323" s="52"/>
      <c r="EA323" s="52"/>
      <c r="EB323" s="52"/>
      <c r="EC323" s="52"/>
      <c r="ED323" s="52"/>
      <c r="EE323" s="52"/>
      <c r="EF323" s="52"/>
      <c r="EG323" s="52"/>
      <c r="EH323" s="52"/>
      <c r="EI323" s="52"/>
      <c r="EJ323" s="52"/>
      <c r="EK323" s="52"/>
      <c r="EL323" s="52"/>
      <c r="EM323" s="52"/>
      <c r="EN323" s="52"/>
      <c r="EO323" s="52"/>
      <c r="EP323" s="52"/>
      <c r="EQ323" s="52"/>
      <c r="ER323" s="52"/>
      <c r="ES323" s="52"/>
      <c r="ET323" s="52"/>
      <c r="EU323" s="52"/>
      <c r="EV323" s="52"/>
      <c r="EW323" s="52"/>
      <c r="EX323" s="52"/>
      <c r="EY323" s="52"/>
      <c r="EZ323" s="52"/>
      <c r="FA323" s="52"/>
      <c r="FB323" s="52"/>
      <c r="FC323" s="52"/>
      <c r="FD323" s="52"/>
      <c r="FE323" s="52"/>
      <c r="FF323" s="52"/>
      <c r="FG323" s="52"/>
      <c r="FH323" s="52"/>
      <c r="FI323" s="52"/>
      <c r="FJ323" s="52"/>
      <c r="FK323" s="52"/>
      <c r="FL323" s="52"/>
      <c r="FM323" s="52"/>
      <c r="FN323" s="52"/>
      <c r="FO323" s="52"/>
      <c r="FP323" s="52"/>
      <c r="FQ323" s="52"/>
      <c r="FR323" s="52"/>
      <c r="FS323" s="52"/>
      <c r="FT323" s="52"/>
      <c r="FU323" s="52"/>
      <c r="FV323" s="96"/>
    </row>
    <row r="324" spans="1:178" ht="25.5" x14ac:dyDescent="0.2">
      <c r="B324" s="151">
        <v>89</v>
      </c>
      <c r="C324" s="151" t="s">
        <v>2212</v>
      </c>
      <c r="D324" s="92">
        <v>317</v>
      </c>
      <c r="E324" s="19" t="s">
        <v>1031</v>
      </c>
      <c r="F324" s="92" t="s">
        <v>7</v>
      </c>
      <c r="G324" s="92" t="s">
        <v>2213</v>
      </c>
      <c r="H324" s="92" t="s">
        <v>1</v>
      </c>
      <c r="I324" s="92" t="s">
        <v>2</v>
      </c>
      <c r="J324" s="19" t="s">
        <v>2218</v>
      </c>
      <c r="K324" s="58">
        <v>18270</v>
      </c>
      <c r="L324" s="59">
        <v>1950</v>
      </c>
      <c r="M324" s="59">
        <f t="shared" si="33"/>
        <v>69</v>
      </c>
      <c r="N324" s="92" t="s">
        <v>3</v>
      </c>
      <c r="O324" s="92" t="s">
        <v>1632</v>
      </c>
      <c r="P324" s="19" t="s">
        <v>1733</v>
      </c>
      <c r="Q324" s="92"/>
      <c r="R324" s="19" t="s">
        <v>1808</v>
      </c>
    </row>
    <row r="325" spans="1:178" ht="25.5" x14ac:dyDescent="0.2">
      <c r="B325" s="151"/>
      <c r="C325" s="151"/>
      <c r="D325" s="92">
        <v>318</v>
      </c>
      <c r="E325" s="19" t="s">
        <v>1032</v>
      </c>
      <c r="F325" s="92" t="s">
        <v>12</v>
      </c>
      <c r="G325" s="92" t="s">
        <v>2214</v>
      </c>
      <c r="H325" s="92" t="s">
        <v>10</v>
      </c>
      <c r="I325" s="92" t="s">
        <v>2</v>
      </c>
      <c r="J325" s="19" t="s">
        <v>1623</v>
      </c>
      <c r="K325" s="58">
        <v>23742</v>
      </c>
      <c r="L325" s="59">
        <v>1964</v>
      </c>
      <c r="M325" s="59">
        <f t="shared" si="33"/>
        <v>55</v>
      </c>
      <c r="N325" s="92" t="s">
        <v>3</v>
      </c>
      <c r="O325" s="92" t="s">
        <v>1632</v>
      </c>
      <c r="P325" s="19" t="s">
        <v>1732</v>
      </c>
      <c r="Q325" s="92"/>
      <c r="R325" s="19" t="s">
        <v>1764</v>
      </c>
    </row>
    <row r="326" spans="1:178" x14ac:dyDescent="0.2">
      <c r="B326" s="151"/>
      <c r="C326" s="151"/>
      <c r="D326" s="92">
        <v>319</v>
      </c>
      <c r="E326" s="19" t="s">
        <v>1033</v>
      </c>
      <c r="F326" s="92" t="s">
        <v>18</v>
      </c>
      <c r="G326" s="92" t="s">
        <v>2215</v>
      </c>
      <c r="H326" s="92" t="s">
        <v>10</v>
      </c>
      <c r="I326" s="92" t="s">
        <v>15</v>
      </c>
      <c r="J326" s="19" t="s">
        <v>1623</v>
      </c>
      <c r="K326" s="58">
        <v>33210</v>
      </c>
      <c r="L326" s="59">
        <v>1990</v>
      </c>
      <c r="M326" s="59">
        <f t="shared" si="33"/>
        <v>29</v>
      </c>
      <c r="N326" s="92" t="s">
        <v>3</v>
      </c>
      <c r="O326" s="92" t="s">
        <v>1632</v>
      </c>
      <c r="P326" s="19" t="s">
        <v>1677</v>
      </c>
      <c r="Q326" s="92"/>
      <c r="R326" s="19" t="s">
        <v>1625</v>
      </c>
    </row>
    <row r="327" spans="1:178" ht="25.5" x14ac:dyDescent="0.2">
      <c r="B327" s="151"/>
      <c r="C327" s="151"/>
      <c r="D327" s="92">
        <v>320</v>
      </c>
      <c r="E327" s="19" t="s">
        <v>512</v>
      </c>
      <c r="F327" s="92" t="s">
        <v>18</v>
      </c>
      <c r="G327" s="92" t="s">
        <v>2216</v>
      </c>
      <c r="H327" s="92" t="s">
        <v>1</v>
      </c>
      <c r="I327" s="92" t="s">
        <v>15</v>
      </c>
      <c r="J327" s="19" t="s">
        <v>1623</v>
      </c>
      <c r="K327" s="58">
        <v>33614</v>
      </c>
      <c r="L327" s="59">
        <v>1992</v>
      </c>
      <c r="M327" s="59">
        <f t="shared" si="33"/>
        <v>27</v>
      </c>
      <c r="N327" s="92" t="s">
        <v>3</v>
      </c>
      <c r="O327" s="92" t="s">
        <v>1632</v>
      </c>
      <c r="P327" s="19" t="s">
        <v>1677</v>
      </c>
      <c r="Q327" s="92"/>
      <c r="R327" s="19" t="s">
        <v>1638</v>
      </c>
    </row>
    <row r="328" spans="1:178" ht="25.5" x14ac:dyDescent="0.2">
      <c r="B328" s="151"/>
      <c r="C328" s="151"/>
      <c r="D328" s="92">
        <v>321</v>
      </c>
      <c r="E328" s="19" t="s">
        <v>1034</v>
      </c>
      <c r="F328" s="92" t="s">
        <v>18</v>
      </c>
      <c r="G328" s="92" t="s">
        <v>2217</v>
      </c>
      <c r="H328" s="92" t="s">
        <v>10</v>
      </c>
      <c r="I328" s="92" t="s">
        <v>15</v>
      </c>
      <c r="J328" s="19" t="s">
        <v>1623</v>
      </c>
      <c r="K328" s="58">
        <v>35282</v>
      </c>
      <c r="L328" s="59">
        <v>1996</v>
      </c>
      <c r="M328" s="59">
        <f t="shared" si="33"/>
        <v>23</v>
      </c>
      <c r="N328" s="92" t="s">
        <v>3</v>
      </c>
      <c r="O328" s="92" t="s">
        <v>1632</v>
      </c>
      <c r="P328" s="19" t="s">
        <v>1677</v>
      </c>
      <c r="Q328" s="92"/>
      <c r="R328" s="19" t="s">
        <v>1638</v>
      </c>
    </row>
    <row r="329" spans="1:178" ht="25.5" x14ac:dyDescent="0.2">
      <c r="B329" s="151"/>
      <c r="C329" s="151"/>
      <c r="D329" s="92">
        <v>322</v>
      </c>
      <c r="E329" s="19" t="s">
        <v>1035</v>
      </c>
      <c r="F329" s="92" t="s">
        <v>18</v>
      </c>
      <c r="G329" s="92" t="s">
        <v>1036</v>
      </c>
      <c r="H329" s="92" t="s">
        <v>1</v>
      </c>
      <c r="I329" s="92" t="s">
        <v>15</v>
      </c>
      <c r="J329" s="19" t="s">
        <v>1631</v>
      </c>
      <c r="K329" s="58">
        <v>36891</v>
      </c>
      <c r="L329" s="59">
        <v>2000</v>
      </c>
      <c r="M329" s="59">
        <f t="shared" si="33"/>
        <v>19</v>
      </c>
      <c r="N329" s="92" t="s">
        <v>3</v>
      </c>
      <c r="O329" s="92" t="s">
        <v>1632</v>
      </c>
      <c r="P329" s="19" t="s">
        <v>1635</v>
      </c>
      <c r="Q329" s="92"/>
      <c r="R329" s="19" t="s">
        <v>1625</v>
      </c>
    </row>
    <row r="330" spans="1:178" x14ac:dyDescent="0.2">
      <c r="B330" s="151">
        <v>90</v>
      </c>
      <c r="C330" s="151" t="s">
        <v>2219</v>
      </c>
      <c r="D330" s="92">
        <v>323</v>
      </c>
      <c r="E330" s="19" t="s">
        <v>2220</v>
      </c>
      <c r="F330" s="92" t="s">
        <v>7</v>
      </c>
      <c r="G330" s="92" t="s">
        <v>2223</v>
      </c>
      <c r="H330" s="92" t="s">
        <v>1</v>
      </c>
      <c r="I330" s="92" t="s">
        <v>2</v>
      </c>
      <c r="J330" s="19" t="s">
        <v>1623</v>
      </c>
      <c r="K330" s="58">
        <v>32487</v>
      </c>
      <c r="L330" s="59">
        <v>1988</v>
      </c>
      <c r="M330" s="59">
        <f t="shared" si="33"/>
        <v>31</v>
      </c>
      <c r="N330" s="92" t="s">
        <v>3</v>
      </c>
      <c r="O330" s="92" t="s">
        <v>1632</v>
      </c>
      <c r="P330" s="19" t="s">
        <v>2227</v>
      </c>
      <c r="Q330" s="92"/>
      <c r="R330" s="19"/>
    </row>
    <row r="331" spans="1:178" x14ac:dyDescent="0.2">
      <c r="B331" s="151"/>
      <c r="C331" s="151"/>
      <c r="D331" s="92">
        <v>324</v>
      </c>
      <c r="E331" s="19" t="s">
        <v>2221</v>
      </c>
      <c r="F331" s="92" t="s">
        <v>12</v>
      </c>
      <c r="G331" s="92" t="s">
        <v>2224</v>
      </c>
      <c r="H331" s="92" t="s">
        <v>10</v>
      </c>
      <c r="I331" s="92" t="s">
        <v>2</v>
      </c>
      <c r="J331" s="19" t="s">
        <v>2226</v>
      </c>
      <c r="K331" s="58">
        <v>31584</v>
      </c>
      <c r="L331" s="59">
        <v>1986</v>
      </c>
      <c r="M331" s="59">
        <f t="shared" si="33"/>
        <v>33</v>
      </c>
      <c r="N331" s="92" t="s">
        <v>3</v>
      </c>
      <c r="O331" s="92" t="s">
        <v>1632</v>
      </c>
      <c r="P331" s="19" t="s">
        <v>2227</v>
      </c>
      <c r="Q331" s="92"/>
      <c r="R331" s="19"/>
    </row>
    <row r="332" spans="1:178" x14ac:dyDescent="0.2">
      <c r="B332" s="151"/>
      <c r="C332" s="151"/>
      <c r="D332" s="92">
        <v>325</v>
      </c>
      <c r="E332" s="19" t="s">
        <v>2222</v>
      </c>
      <c r="F332" s="92" t="s">
        <v>18</v>
      </c>
      <c r="G332" s="92" t="s">
        <v>2225</v>
      </c>
      <c r="H332" s="92" t="s">
        <v>1</v>
      </c>
      <c r="I332" s="92" t="s">
        <v>15</v>
      </c>
      <c r="J332" s="19" t="s">
        <v>1672</v>
      </c>
      <c r="K332" s="58">
        <v>42165</v>
      </c>
      <c r="L332" s="59">
        <v>2015</v>
      </c>
      <c r="M332" s="59">
        <f t="shared" si="33"/>
        <v>4</v>
      </c>
      <c r="N332" s="92" t="s">
        <v>3</v>
      </c>
      <c r="O332" s="92" t="s">
        <v>1632</v>
      </c>
      <c r="P332" s="19" t="s">
        <v>1638</v>
      </c>
      <c r="Q332" s="92"/>
      <c r="R332" s="19"/>
    </row>
    <row r="333" spans="1:178" s="57" customFormat="1" ht="15" x14ac:dyDescent="0.25">
      <c r="D333" s="166" t="s">
        <v>2509</v>
      </c>
      <c r="E333" s="166"/>
      <c r="F333" s="166"/>
      <c r="K333" s="125"/>
      <c r="L333" s="120"/>
      <c r="P333" s="121"/>
      <c r="R333" s="121"/>
    </row>
    <row r="334" spans="1:178" s="57" customFormat="1" ht="15" x14ac:dyDescent="0.25">
      <c r="D334" s="166" t="s">
        <v>2510</v>
      </c>
      <c r="E334" s="166"/>
      <c r="F334" s="166"/>
      <c r="K334" s="125"/>
      <c r="L334" s="120"/>
      <c r="P334" s="146" t="s">
        <v>2511</v>
      </c>
      <c r="Q334" s="146"/>
      <c r="R334" s="121"/>
    </row>
    <row r="335" spans="1:178" s="57" customFormat="1" ht="15" x14ac:dyDescent="0.25">
      <c r="D335" s="122"/>
      <c r="E335" s="123"/>
      <c r="F335" s="122"/>
      <c r="K335" s="125"/>
      <c r="L335" s="120"/>
      <c r="P335" s="64"/>
      <c r="Q335" s="65"/>
      <c r="R335" s="121"/>
    </row>
    <row r="336" spans="1:178" s="57" customFormat="1" ht="14.25" x14ac:dyDescent="0.2">
      <c r="D336" s="167" t="s">
        <v>2512</v>
      </c>
      <c r="E336" s="167"/>
      <c r="F336" s="167"/>
      <c r="K336" s="125"/>
      <c r="L336" s="120"/>
      <c r="P336" s="145" t="s">
        <v>946</v>
      </c>
      <c r="Q336" s="145"/>
      <c r="R336" s="121"/>
    </row>
    <row r="337" spans="4:18" s="57" customFormat="1" ht="14.25" x14ac:dyDescent="0.2">
      <c r="D337" s="167" t="s">
        <v>2513</v>
      </c>
      <c r="E337" s="167"/>
      <c r="F337" s="167"/>
      <c r="K337" s="125"/>
      <c r="L337" s="120"/>
      <c r="P337" s="121"/>
      <c r="R337" s="121"/>
    </row>
  </sheetData>
  <autoFilter ref="A7:FV334"/>
  <mergeCells count="191">
    <mergeCell ref="D337:F337"/>
    <mergeCell ref="C266:C268"/>
    <mergeCell ref="C269:C272"/>
    <mergeCell ref="C280:C282"/>
    <mergeCell ref="C283:C285"/>
    <mergeCell ref="C286:C291"/>
    <mergeCell ref="C292:C294"/>
    <mergeCell ref="C216:C218"/>
    <mergeCell ref="C219:C221"/>
    <mergeCell ref="C131:C133"/>
    <mergeCell ref="C139:C140"/>
    <mergeCell ref="C153:C156"/>
    <mergeCell ref="C127:C130"/>
    <mergeCell ref="C123:C126"/>
    <mergeCell ref="D333:F333"/>
    <mergeCell ref="D334:F334"/>
    <mergeCell ref="P334:Q334"/>
    <mergeCell ref="D336:F336"/>
    <mergeCell ref="P336:Q336"/>
    <mergeCell ref="C158:C159"/>
    <mergeCell ref="C184:C186"/>
    <mergeCell ref="C192:C194"/>
    <mergeCell ref="C198:C202"/>
    <mergeCell ref="C206:C210"/>
    <mergeCell ref="C211:C212"/>
    <mergeCell ref="C213:C215"/>
    <mergeCell ref="C232:C234"/>
    <mergeCell ref="C135:C138"/>
    <mergeCell ref="C227:C231"/>
    <mergeCell ref="B1:R1"/>
    <mergeCell ref="B2:R2"/>
    <mergeCell ref="C38:C42"/>
    <mergeCell ref="C61:C62"/>
    <mergeCell ref="C63:C64"/>
    <mergeCell ref="C65:C66"/>
    <mergeCell ref="C75:C77"/>
    <mergeCell ref="C81:C83"/>
    <mergeCell ref="C84:C87"/>
    <mergeCell ref="B63:B64"/>
    <mergeCell ref="B65:B66"/>
    <mergeCell ref="B22:B27"/>
    <mergeCell ref="C32:C35"/>
    <mergeCell ref="B12:B16"/>
    <mergeCell ref="B32:B35"/>
    <mergeCell ref="B36:B37"/>
    <mergeCell ref="B38:B42"/>
    <mergeCell ref="B47:B48"/>
    <mergeCell ref="B49:B52"/>
    <mergeCell ref="C49:C52"/>
    <mergeCell ref="C88:C91"/>
    <mergeCell ref="C57:C60"/>
    <mergeCell ref="B309:B311"/>
    <mergeCell ref="B316:B317"/>
    <mergeCell ref="C312:C315"/>
    <mergeCell ref="C316:C317"/>
    <mergeCell ref="B312:B315"/>
    <mergeCell ref="B269:B272"/>
    <mergeCell ref="B280:B282"/>
    <mergeCell ref="B283:B285"/>
    <mergeCell ref="B286:B291"/>
    <mergeCell ref="B292:B294"/>
    <mergeCell ref="B296:B299"/>
    <mergeCell ref="B301:B303"/>
    <mergeCell ref="B304:B308"/>
    <mergeCell ref="C301:C303"/>
    <mergeCell ref="C309:C311"/>
    <mergeCell ref="C296:C299"/>
    <mergeCell ref="B273:B279"/>
    <mergeCell ref="C273:C279"/>
    <mergeCell ref="C304:C308"/>
    <mergeCell ref="C187:C191"/>
    <mergeCell ref="B203:B205"/>
    <mergeCell ref="B266:B268"/>
    <mergeCell ref="B206:B210"/>
    <mergeCell ref="B131:B133"/>
    <mergeCell ref="C203:C205"/>
    <mergeCell ref="B135:B138"/>
    <mergeCell ref="B235:B238"/>
    <mergeCell ref="B244:B247"/>
    <mergeCell ref="B252:B256"/>
    <mergeCell ref="B262:B265"/>
    <mergeCell ref="C262:C265"/>
    <mergeCell ref="B127:B130"/>
    <mergeCell ref="C248:C251"/>
    <mergeCell ref="B232:B234"/>
    <mergeCell ref="B239:B243"/>
    <mergeCell ref="B248:B251"/>
    <mergeCell ref="B176:B180"/>
    <mergeCell ref="C222:C223"/>
    <mergeCell ref="C224:C226"/>
    <mergeCell ref="C235:C238"/>
    <mergeCell ref="C239:C243"/>
    <mergeCell ref="C244:C247"/>
    <mergeCell ref="C252:C256"/>
    <mergeCell ref="C257:C261"/>
    <mergeCell ref="B257:B261"/>
    <mergeCell ref="B224:B226"/>
    <mergeCell ref="B227:B231"/>
    <mergeCell ref="B123:B126"/>
    <mergeCell ref="C105:C107"/>
    <mergeCell ref="C110:C112"/>
    <mergeCell ref="B324:B329"/>
    <mergeCell ref="C324:C329"/>
    <mergeCell ref="C8:C11"/>
    <mergeCell ref="C330:C332"/>
    <mergeCell ref="B330:B332"/>
    <mergeCell ref="C53:C56"/>
    <mergeCell ref="B53:B56"/>
    <mergeCell ref="B57:B60"/>
    <mergeCell ref="B113:B117"/>
    <mergeCell ref="C113:C117"/>
    <mergeCell ref="C78:C80"/>
    <mergeCell ref="C67:C70"/>
    <mergeCell ref="B67:B70"/>
    <mergeCell ref="C164:C169"/>
    <mergeCell ref="B164:B169"/>
    <mergeCell ref="C181:C183"/>
    <mergeCell ref="C318:C323"/>
    <mergeCell ref="B318:B323"/>
    <mergeCell ref="C47:C48"/>
    <mergeCell ref="C12:C16"/>
    <mergeCell ref="B61:B62"/>
    <mergeCell ref="C43:C46"/>
    <mergeCell ref="B43:B46"/>
    <mergeCell ref="R5:R6"/>
    <mergeCell ref="C22:C27"/>
    <mergeCell ref="C28:C31"/>
    <mergeCell ref="B28:B31"/>
    <mergeCell ref="B5:B6"/>
    <mergeCell ref="C5:C6"/>
    <mergeCell ref="D5:D6"/>
    <mergeCell ref="E5:E6"/>
    <mergeCell ref="F5:F6"/>
    <mergeCell ref="G5:G6"/>
    <mergeCell ref="H5:H6"/>
    <mergeCell ref="I5:I6"/>
    <mergeCell ref="J5:L5"/>
    <mergeCell ref="N5:N6"/>
    <mergeCell ref="O5:O6"/>
    <mergeCell ref="P5:P6"/>
    <mergeCell ref="Q5:Q6"/>
    <mergeCell ref="B8:B11"/>
    <mergeCell ref="C36:C37"/>
    <mergeCell ref="M5:M6"/>
    <mergeCell ref="C17:C21"/>
    <mergeCell ref="B17:B21"/>
    <mergeCell ref="B139:B140"/>
    <mergeCell ref="B141:B146"/>
    <mergeCell ref="B153:B156"/>
    <mergeCell ref="B170:B175"/>
    <mergeCell ref="C170:C175"/>
    <mergeCell ref="B222:B223"/>
    <mergeCell ref="B181:B183"/>
    <mergeCell ref="B184:B186"/>
    <mergeCell ref="B192:B194"/>
    <mergeCell ref="B195:B197"/>
    <mergeCell ref="B198:B202"/>
    <mergeCell ref="C195:C197"/>
    <mergeCell ref="C176:C180"/>
    <mergeCell ref="B211:B212"/>
    <mergeCell ref="B213:B215"/>
    <mergeCell ref="B219:B221"/>
    <mergeCell ref="C147:C152"/>
    <mergeCell ref="C141:C146"/>
    <mergeCell ref="B216:B218"/>
    <mergeCell ref="B147:B152"/>
    <mergeCell ref="B158:B159"/>
    <mergeCell ref="B160:B163"/>
    <mergeCell ref="C160:C163"/>
    <mergeCell ref="B187:B191"/>
    <mergeCell ref="B92:B94"/>
    <mergeCell ref="B84:B87"/>
    <mergeCell ref="B96:B99"/>
    <mergeCell ref="B102:B104"/>
    <mergeCell ref="B105:B107"/>
    <mergeCell ref="B108:B109"/>
    <mergeCell ref="B110:B112"/>
    <mergeCell ref="B118:B121"/>
    <mergeCell ref="C71:C74"/>
    <mergeCell ref="C96:C99"/>
    <mergeCell ref="B100:B101"/>
    <mergeCell ref="B71:B74"/>
    <mergeCell ref="B75:B77"/>
    <mergeCell ref="B78:B80"/>
    <mergeCell ref="B81:B83"/>
    <mergeCell ref="B88:B91"/>
    <mergeCell ref="C92:C94"/>
    <mergeCell ref="C100:C101"/>
    <mergeCell ref="C102:C104"/>
    <mergeCell ref="C108:C109"/>
    <mergeCell ref="C118:C121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97"/>
  <sheetViews>
    <sheetView workbookViewId="0">
      <pane ySplit="6" topLeftCell="A128" activePane="bottomLeft" state="frozen"/>
      <selection pane="bottomLeft" activeCell="E134" sqref="E134"/>
    </sheetView>
  </sheetViews>
  <sheetFormatPr defaultRowHeight="12.75" x14ac:dyDescent="0.25"/>
  <cols>
    <col min="1" max="1" width="9.140625" style="56"/>
    <col min="2" max="2" width="3.42578125" style="56" bestFit="1" customWidth="1"/>
    <col min="3" max="3" width="15.7109375" style="56" customWidth="1"/>
    <col min="4" max="4" width="6.7109375" style="56" customWidth="1"/>
    <col min="5" max="5" width="12.7109375" style="100" customWidth="1"/>
    <col min="6" max="6" width="9.7109375" style="56" customWidth="1"/>
    <col min="7" max="7" width="15.7109375" style="56" customWidth="1"/>
    <col min="8" max="8" width="7.7109375" style="56" customWidth="1"/>
    <col min="9" max="9" width="10.7109375" style="56" customWidth="1"/>
    <col min="10" max="10" width="13.7109375" style="100" customWidth="1"/>
    <col min="11" max="11" width="14.7109375" style="109" customWidth="1"/>
    <col min="12" max="12" width="6.28515625" style="110" bestFit="1" customWidth="1"/>
    <col min="13" max="13" width="5" style="110" bestFit="1" customWidth="1"/>
    <col min="14" max="14" width="6.42578125" style="56" bestFit="1" customWidth="1"/>
    <col min="15" max="15" width="5.42578125" style="56" bestFit="1" customWidth="1"/>
    <col min="16" max="16" width="16.7109375" style="100" customWidth="1"/>
    <col min="17" max="17" width="7.5703125" style="56" bestFit="1" customWidth="1"/>
    <col min="18" max="18" width="15.7109375" style="100" customWidth="1"/>
    <col min="19" max="16384" width="9.140625" style="56"/>
  </cols>
  <sheetData>
    <row r="1" spans="2:18" s="63" customFormat="1" ht="15.75" x14ac:dyDescent="0.25">
      <c r="B1" s="164" t="s">
        <v>2500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2:18" s="63" customFormat="1" ht="15.75" x14ac:dyDescent="0.25">
      <c r="B2" s="164" t="s">
        <v>2501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</row>
    <row r="3" spans="2:18" s="63" customFormat="1" ht="15.75" x14ac:dyDescent="0.25">
      <c r="B3" s="115" t="s">
        <v>2503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2:18" ht="15.75" x14ac:dyDescent="0.25">
      <c r="B4" s="115" t="s">
        <v>2506</v>
      </c>
    </row>
    <row r="5" spans="2:18" ht="20.100000000000001" customHeight="1" x14ac:dyDescent="0.25">
      <c r="B5" s="160" t="s">
        <v>348</v>
      </c>
      <c r="C5" s="160" t="s">
        <v>1689</v>
      </c>
      <c r="D5" s="159" t="s">
        <v>1609</v>
      </c>
      <c r="E5" s="159" t="s">
        <v>2502</v>
      </c>
      <c r="F5" s="159" t="s">
        <v>356</v>
      </c>
      <c r="G5" s="161" t="s">
        <v>357</v>
      </c>
      <c r="H5" s="159" t="s">
        <v>350</v>
      </c>
      <c r="I5" s="159" t="s">
        <v>351</v>
      </c>
      <c r="J5" s="160" t="s">
        <v>1610</v>
      </c>
      <c r="K5" s="160"/>
      <c r="L5" s="160"/>
      <c r="M5" s="168" t="s">
        <v>1611</v>
      </c>
      <c r="N5" s="160" t="s">
        <v>353</v>
      </c>
      <c r="O5" s="160" t="s">
        <v>1612</v>
      </c>
      <c r="P5" s="159" t="s">
        <v>354</v>
      </c>
      <c r="Q5" s="160" t="s">
        <v>1613</v>
      </c>
      <c r="R5" s="159" t="s">
        <v>355</v>
      </c>
    </row>
    <row r="6" spans="2:18" ht="20.100000000000001" customHeight="1" x14ac:dyDescent="0.25">
      <c r="B6" s="160"/>
      <c r="C6" s="160"/>
      <c r="D6" s="159"/>
      <c r="E6" s="159"/>
      <c r="F6" s="159"/>
      <c r="G6" s="161"/>
      <c r="H6" s="159"/>
      <c r="I6" s="159"/>
      <c r="J6" s="103" t="s">
        <v>1615</v>
      </c>
      <c r="K6" s="104" t="s">
        <v>1616</v>
      </c>
      <c r="L6" s="105" t="s">
        <v>1617</v>
      </c>
      <c r="M6" s="168"/>
      <c r="N6" s="160"/>
      <c r="O6" s="160"/>
      <c r="P6" s="159"/>
      <c r="Q6" s="160"/>
      <c r="R6" s="159"/>
    </row>
    <row r="7" spans="2:18" x14ac:dyDescent="0.25">
      <c r="B7" s="106"/>
      <c r="C7" s="106"/>
      <c r="D7" s="106"/>
      <c r="E7" s="103"/>
      <c r="F7" s="106"/>
      <c r="G7" s="107"/>
      <c r="H7" s="106"/>
      <c r="I7" s="106"/>
      <c r="J7" s="103"/>
      <c r="K7" s="104"/>
      <c r="L7" s="105"/>
      <c r="M7" s="105"/>
      <c r="N7" s="106"/>
      <c r="O7" s="106"/>
      <c r="P7" s="103"/>
      <c r="Q7" s="106"/>
      <c r="R7" s="103"/>
    </row>
    <row r="8" spans="2:18" x14ac:dyDescent="0.25">
      <c r="B8" s="151">
        <v>1</v>
      </c>
      <c r="C8" s="151"/>
      <c r="D8" s="92">
        <v>1</v>
      </c>
      <c r="E8" s="19" t="s">
        <v>923</v>
      </c>
      <c r="F8" s="92" t="s">
        <v>7</v>
      </c>
      <c r="G8" s="92" t="s">
        <v>924</v>
      </c>
      <c r="H8" s="92" t="s">
        <v>1</v>
      </c>
      <c r="I8" s="92" t="s">
        <v>2</v>
      </c>
      <c r="J8" s="19"/>
      <c r="K8" s="58">
        <v>31071</v>
      </c>
      <c r="L8" s="59">
        <f>YEAR(K8)</f>
        <v>1985</v>
      </c>
      <c r="M8" s="59">
        <f>2019-L8</f>
        <v>34</v>
      </c>
      <c r="N8" s="92" t="s">
        <v>3</v>
      </c>
      <c r="O8" s="92"/>
      <c r="P8" s="19" t="s">
        <v>27</v>
      </c>
      <c r="Q8" s="92"/>
      <c r="R8" s="19" t="s">
        <v>11</v>
      </c>
    </row>
    <row r="9" spans="2:18" x14ac:dyDescent="0.25">
      <c r="B9" s="151"/>
      <c r="C9" s="151"/>
      <c r="D9" s="92">
        <v>2</v>
      </c>
      <c r="E9" s="19" t="s">
        <v>925</v>
      </c>
      <c r="F9" s="92" t="s">
        <v>12</v>
      </c>
      <c r="G9" s="92" t="s">
        <v>2514</v>
      </c>
      <c r="H9" s="92" t="s">
        <v>10</v>
      </c>
      <c r="I9" s="92" t="s">
        <v>2</v>
      </c>
      <c r="J9" s="19"/>
      <c r="K9" s="58">
        <v>33059</v>
      </c>
      <c r="L9" s="59">
        <f t="shared" ref="L9:L17" si="0">YEAR(K9)</f>
        <v>1990</v>
      </c>
      <c r="M9" s="59">
        <f t="shared" ref="M9:M66" si="1">2019-L9</f>
        <v>29</v>
      </c>
      <c r="N9" s="92" t="s">
        <v>3</v>
      </c>
      <c r="O9" s="92"/>
      <c r="P9" s="19" t="s">
        <v>4</v>
      </c>
      <c r="Q9" s="92"/>
      <c r="R9" s="19" t="s">
        <v>54</v>
      </c>
    </row>
    <row r="10" spans="2:18" ht="25.5" x14ac:dyDescent="0.25">
      <c r="B10" s="151">
        <v>2</v>
      </c>
      <c r="C10" s="151"/>
      <c r="D10" s="92">
        <v>3</v>
      </c>
      <c r="E10" s="19" t="s">
        <v>930</v>
      </c>
      <c r="F10" s="92" t="s">
        <v>7</v>
      </c>
      <c r="G10" s="92" t="s">
        <v>931</v>
      </c>
      <c r="H10" s="92" t="s">
        <v>10</v>
      </c>
      <c r="I10" s="92" t="s">
        <v>21</v>
      </c>
      <c r="J10" s="19"/>
      <c r="K10" s="58">
        <v>21915</v>
      </c>
      <c r="L10" s="59">
        <f t="shared" si="0"/>
        <v>1959</v>
      </c>
      <c r="M10" s="59">
        <f t="shared" si="1"/>
        <v>60</v>
      </c>
      <c r="N10" s="92" t="s">
        <v>3</v>
      </c>
      <c r="O10" s="92"/>
      <c r="P10" s="19" t="s">
        <v>27</v>
      </c>
      <c r="Q10" s="92"/>
      <c r="R10" s="19" t="s">
        <v>37</v>
      </c>
    </row>
    <row r="11" spans="2:18" x14ac:dyDescent="0.25">
      <c r="B11" s="151"/>
      <c r="C11" s="151"/>
      <c r="D11" s="92">
        <v>4</v>
      </c>
      <c r="E11" s="19" t="s">
        <v>932</v>
      </c>
      <c r="F11" s="92" t="s">
        <v>18</v>
      </c>
      <c r="G11" s="92" t="s">
        <v>933</v>
      </c>
      <c r="H11" s="92" t="s">
        <v>1</v>
      </c>
      <c r="I11" s="92" t="s">
        <v>15</v>
      </c>
      <c r="J11" s="19"/>
      <c r="K11" s="58">
        <v>33805</v>
      </c>
      <c r="L11" s="59">
        <f t="shared" si="0"/>
        <v>1992</v>
      </c>
      <c r="M11" s="59">
        <f t="shared" si="1"/>
        <v>27</v>
      </c>
      <c r="N11" s="92" t="s">
        <v>3</v>
      </c>
      <c r="O11" s="92"/>
      <c r="P11" s="19" t="s">
        <v>27</v>
      </c>
      <c r="Q11" s="92"/>
      <c r="R11" s="19" t="s">
        <v>16</v>
      </c>
    </row>
    <row r="12" spans="2:18" x14ac:dyDescent="0.25">
      <c r="B12" s="151"/>
      <c r="C12" s="151"/>
      <c r="D12" s="92">
        <v>5</v>
      </c>
      <c r="E12" s="19" t="s">
        <v>934</v>
      </c>
      <c r="F12" s="92" t="s">
        <v>18</v>
      </c>
      <c r="G12" s="92" t="s">
        <v>935</v>
      </c>
      <c r="H12" s="92" t="s">
        <v>1</v>
      </c>
      <c r="I12" s="92" t="s">
        <v>15</v>
      </c>
      <c r="J12" s="19"/>
      <c r="K12" s="58">
        <v>34935</v>
      </c>
      <c r="L12" s="59">
        <f t="shared" si="0"/>
        <v>1995</v>
      </c>
      <c r="M12" s="59">
        <f t="shared" si="1"/>
        <v>24</v>
      </c>
      <c r="N12" s="92" t="s">
        <v>3</v>
      </c>
      <c r="O12" s="92"/>
      <c r="P12" s="19" t="s">
        <v>27</v>
      </c>
      <c r="Q12" s="92"/>
      <c r="R12" s="19" t="s">
        <v>16</v>
      </c>
    </row>
    <row r="13" spans="2:18" x14ac:dyDescent="0.25">
      <c r="B13" s="151">
        <v>3</v>
      </c>
      <c r="C13" s="151"/>
      <c r="D13" s="92">
        <v>6</v>
      </c>
      <c r="E13" s="19" t="s">
        <v>936</v>
      </c>
      <c r="F13" s="92" t="s">
        <v>7</v>
      </c>
      <c r="G13" s="92" t="s">
        <v>937</v>
      </c>
      <c r="H13" s="92" t="s">
        <v>1</v>
      </c>
      <c r="I13" s="92" t="s">
        <v>2</v>
      </c>
      <c r="J13" s="19"/>
      <c r="K13" s="58">
        <v>25841</v>
      </c>
      <c r="L13" s="59">
        <f t="shared" si="0"/>
        <v>1970</v>
      </c>
      <c r="M13" s="59">
        <f t="shared" si="1"/>
        <v>49</v>
      </c>
      <c r="N13" s="92" t="s">
        <v>3</v>
      </c>
      <c r="O13" s="92"/>
      <c r="P13" s="19" t="s">
        <v>4</v>
      </c>
      <c r="Q13" s="92"/>
      <c r="R13" s="19" t="s">
        <v>39</v>
      </c>
    </row>
    <row r="14" spans="2:18" ht="25.5" x14ac:dyDescent="0.25">
      <c r="B14" s="151"/>
      <c r="C14" s="151"/>
      <c r="D14" s="92">
        <v>7</v>
      </c>
      <c r="E14" s="19" t="s">
        <v>938</v>
      </c>
      <c r="F14" s="92" t="s">
        <v>12</v>
      </c>
      <c r="G14" s="92" t="s">
        <v>939</v>
      </c>
      <c r="H14" s="92" t="s">
        <v>10</v>
      </c>
      <c r="I14" s="92" t="s">
        <v>2</v>
      </c>
      <c r="J14" s="19"/>
      <c r="K14" s="58">
        <v>30110</v>
      </c>
      <c r="L14" s="59">
        <f t="shared" si="0"/>
        <v>1982</v>
      </c>
      <c r="M14" s="59">
        <f t="shared" si="1"/>
        <v>37</v>
      </c>
      <c r="N14" s="92" t="s">
        <v>3</v>
      </c>
      <c r="O14" s="92"/>
      <c r="P14" s="19" t="s">
        <v>4</v>
      </c>
      <c r="Q14" s="92"/>
      <c r="R14" s="19" t="s">
        <v>11</v>
      </c>
    </row>
    <row r="15" spans="2:18" ht="25.5" x14ac:dyDescent="0.25">
      <c r="B15" s="151"/>
      <c r="C15" s="151"/>
      <c r="D15" s="92">
        <v>8</v>
      </c>
      <c r="E15" s="19" t="s">
        <v>940</v>
      </c>
      <c r="F15" s="92" t="s">
        <v>18</v>
      </c>
      <c r="G15" s="92" t="s">
        <v>941</v>
      </c>
      <c r="H15" s="92" t="s">
        <v>1</v>
      </c>
      <c r="I15" s="92" t="s">
        <v>15</v>
      </c>
      <c r="J15" s="19"/>
      <c r="K15" s="58">
        <v>38889</v>
      </c>
      <c r="L15" s="59">
        <f t="shared" si="0"/>
        <v>2006</v>
      </c>
      <c r="M15" s="59">
        <f t="shared" si="1"/>
        <v>13</v>
      </c>
      <c r="N15" s="92" t="s">
        <v>3</v>
      </c>
      <c r="O15" s="92"/>
      <c r="P15" s="19" t="s">
        <v>16</v>
      </c>
      <c r="Q15" s="92"/>
      <c r="R15" s="19" t="s">
        <v>16</v>
      </c>
    </row>
    <row r="16" spans="2:18" ht="25.5" x14ac:dyDescent="0.25">
      <c r="B16" s="151"/>
      <c r="C16" s="151"/>
      <c r="D16" s="92">
        <v>9</v>
      </c>
      <c r="E16" s="19" t="s">
        <v>942</v>
      </c>
      <c r="F16" s="92" t="s">
        <v>18</v>
      </c>
      <c r="G16" s="92" t="s">
        <v>943</v>
      </c>
      <c r="H16" s="92" t="s">
        <v>1</v>
      </c>
      <c r="I16" s="92" t="s">
        <v>15</v>
      </c>
      <c r="J16" s="19"/>
      <c r="K16" s="58">
        <v>40702</v>
      </c>
      <c r="L16" s="59">
        <f t="shared" si="0"/>
        <v>2011</v>
      </c>
      <c r="M16" s="59">
        <f t="shared" si="1"/>
        <v>8</v>
      </c>
      <c r="N16" s="92" t="s">
        <v>3</v>
      </c>
      <c r="O16" s="92"/>
      <c r="P16" s="19" t="s">
        <v>16</v>
      </c>
      <c r="Q16" s="92"/>
      <c r="R16" s="19" t="s">
        <v>16</v>
      </c>
    </row>
    <row r="17" spans="2:18" ht="25.5" x14ac:dyDescent="0.25">
      <c r="B17" s="151"/>
      <c r="C17" s="151"/>
      <c r="D17" s="92">
        <v>10</v>
      </c>
      <c r="E17" s="19" t="s">
        <v>944</v>
      </c>
      <c r="F17" s="92" t="s">
        <v>18</v>
      </c>
      <c r="G17" s="92" t="s">
        <v>945</v>
      </c>
      <c r="H17" s="92" t="s">
        <v>1</v>
      </c>
      <c r="I17" s="92" t="s">
        <v>15</v>
      </c>
      <c r="J17" s="19"/>
      <c r="K17" s="58">
        <v>41444</v>
      </c>
      <c r="L17" s="59">
        <f t="shared" si="0"/>
        <v>2013</v>
      </c>
      <c r="M17" s="59">
        <f t="shared" si="1"/>
        <v>6</v>
      </c>
      <c r="N17" s="92" t="s">
        <v>3</v>
      </c>
      <c r="O17" s="92"/>
      <c r="P17" s="19" t="s">
        <v>16</v>
      </c>
      <c r="Q17" s="92"/>
      <c r="R17" s="19" t="s">
        <v>16</v>
      </c>
    </row>
    <row r="18" spans="2:18" ht="25.5" x14ac:dyDescent="0.25">
      <c r="B18" s="151">
        <v>4</v>
      </c>
      <c r="C18" s="151" t="s">
        <v>2317</v>
      </c>
      <c r="D18" s="92">
        <v>11</v>
      </c>
      <c r="E18" s="19" t="s">
        <v>946</v>
      </c>
      <c r="F18" s="92" t="s">
        <v>7</v>
      </c>
      <c r="G18" s="92" t="s">
        <v>2318</v>
      </c>
      <c r="H18" s="92" t="s">
        <v>1</v>
      </c>
      <c r="I18" s="92" t="s">
        <v>2</v>
      </c>
      <c r="J18" s="19" t="s">
        <v>1631</v>
      </c>
      <c r="K18" s="58">
        <v>28125</v>
      </c>
      <c r="L18" s="59">
        <v>1976</v>
      </c>
      <c r="M18" s="59">
        <f t="shared" si="1"/>
        <v>43</v>
      </c>
      <c r="N18" s="92" t="s">
        <v>3</v>
      </c>
      <c r="O18" s="92" t="s">
        <v>1632</v>
      </c>
      <c r="P18" s="19" t="s">
        <v>1677</v>
      </c>
      <c r="Q18" s="92"/>
      <c r="R18" s="19" t="s">
        <v>39</v>
      </c>
    </row>
    <row r="19" spans="2:18" ht="15.75" customHeight="1" x14ac:dyDescent="0.25">
      <c r="B19" s="151"/>
      <c r="C19" s="151"/>
      <c r="D19" s="92">
        <v>12</v>
      </c>
      <c r="E19" s="19" t="s">
        <v>143</v>
      </c>
      <c r="F19" s="92" t="s">
        <v>12</v>
      </c>
      <c r="G19" s="92" t="s">
        <v>2319</v>
      </c>
      <c r="H19" s="92" t="s">
        <v>10</v>
      </c>
      <c r="I19" s="92" t="s">
        <v>2</v>
      </c>
      <c r="J19" s="19" t="s">
        <v>1631</v>
      </c>
      <c r="K19" s="58">
        <v>29373</v>
      </c>
      <c r="L19" s="59">
        <v>1980</v>
      </c>
      <c r="M19" s="59">
        <f t="shared" si="1"/>
        <v>39</v>
      </c>
      <c r="N19" s="92" t="s">
        <v>3</v>
      </c>
      <c r="O19" s="92" t="s">
        <v>1632</v>
      </c>
      <c r="P19" s="19" t="s">
        <v>1641</v>
      </c>
      <c r="Q19" s="92"/>
      <c r="R19" s="19" t="s">
        <v>1764</v>
      </c>
    </row>
    <row r="20" spans="2:18" ht="15.75" customHeight="1" x14ac:dyDescent="0.25">
      <c r="B20" s="151"/>
      <c r="C20" s="151"/>
      <c r="D20" s="92">
        <v>13</v>
      </c>
      <c r="E20" s="19" t="s">
        <v>949</v>
      </c>
      <c r="F20" s="92" t="s">
        <v>18</v>
      </c>
      <c r="G20" s="92" t="s">
        <v>2320</v>
      </c>
      <c r="H20" s="92" t="s">
        <v>10</v>
      </c>
      <c r="I20" s="92" t="s">
        <v>15</v>
      </c>
      <c r="J20" s="19" t="s">
        <v>1631</v>
      </c>
      <c r="K20" s="58">
        <v>38414</v>
      </c>
      <c r="L20" s="59">
        <v>2005</v>
      </c>
      <c r="M20" s="59">
        <f t="shared" si="1"/>
        <v>14</v>
      </c>
      <c r="N20" s="92" t="s">
        <v>3</v>
      </c>
      <c r="O20" s="92" t="s">
        <v>1632</v>
      </c>
      <c r="P20" s="19" t="s">
        <v>1635</v>
      </c>
      <c r="Q20" s="92"/>
      <c r="R20" s="19" t="s">
        <v>1625</v>
      </c>
    </row>
    <row r="21" spans="2:18" ht="15.75" customHeight="1" x14ac:dyDescent="0.25">
      <c r="B21" s="151"/>
      <c r="C21" s="151"/>
      <c r="D21" s="92">
        <v>14</v>
      </c>
      <c r="E21" s="19" t="s">
        <v>950</v>
      </c>
      <c r="F21" s="92" t="s">
        <v>18</v>
      </c>
      <c r="G21" s="92" t="s">
        <v>2321</v>
      </c>
      <c r="H21" s="92" t="s">
        <v>10</v>
      </c>
      <c r="I21" s="92" t="s">
        <v>15</v>
      </c>
      <c r="J21" s="19" t="s">
        <v>1631</v>
      </c>
      <c r="K21" s="58">
        <v>39265</v>
      </c>
      <c r="L21" s="59">
        <v>2007</v>
      </c>
      <c r="M21" s="59">
        <f t="shared" si="1"/>
        <v>12</v>
      </c>
      <c r="N21" s="92" t="s">
        <v>3</v>
      </c>
      <c r="O21" s="92" t="s">
        <v>1632</v>
      </c>
      <c r="P21" s="19" t="s">
        <v>1635</v>
      </c>
      <c r="Q21" s="92"/>
      <c r="R21" s="19" t="s">
        <v>1625</v>
      </c>
    </row>
    <row r="22" spans="2:18" ht="15.75" customHeight="1" x14ac:dyDescent="0.25">
      <c r="B22" s="151"/>
      <c r="C22" s="151"/>
      <c r="D22" s="92">
        <v>15</v>
      </c>
      <c r="E22" s="19" t="s">
        <v>951</v>
      </c>
      <c r="F22" s="92" t="s">
        <v>18</v>
      </c>
      <c r="G22" s="92" t="s">
        <v>952</v>
      </c>
      <c r="H22" s="92" t="s">
        <v>10</v>
      </c>
      <c r="I22" s="92" t="s">
        <v>15</v>
      </c>
      <c r="J22" s="19" t="s">
        <v>1631</v>
      </c>
      <c r="K22" s="58">
        <v>40601</v>
      </c>
      <c r="L22" s="59">
        <v>2011</v>
      </c>
      <c r="M22" s="59">
        <f t="shared" si="1"/>
        <v>8</v>
      </c>
      <c r="N22" s="92" t="s">
        <v>3</v>
      </c>
      <c r="O22" s="92" t="s">
        <v>1632</v>
      </c>
      <c r="P22" s="19" t="s">
        <v>1733</v>
      </c>
      <c r="Q22" s="92"/>
      <c r="R22" s="19" t="s">
        <v>1638</v>
      </c>
    </row>
    <row r="23" spans="2:18" ht="15.75" customHeight="1" x14ac:dyDescent="0.25">
      <c r="B23" s="151"/>
      <c r="C23" s="151"/>
      <c r="D23" s="92">
        <v>16</v>
      </c>
      <c r="E23" s="19" t="s">
        <v>953</v>
      </c>
      <c r="F23" s="92" t="s">
        <v>2187</v>
      </c>
      <c r="G23" s="92" t="s">
        <v>954</v>
      </c>
      <c r="H23" s="92" t="s">
        <v>10</v>
      </c>
      <c r="I23" s="92" t="s">
        <v>1735</v>
      </c>
      <c r="J23" s="19" t="s">
        <v>1631</v>
      </c>
      <c r="K23" s="58">
        <v>16802</v>
      </c>
      <c r="L23" s="59">
        <v>1945</v>
      </c>
      <c r="M23" s="59">
        <f t="shared" si="1"/>
        <v>74</v>
      </c>
      <c r="N23" s="92" t="s">
        <v>3</v>
      </c>
      <c r="O23" s="92" t="s">
        <v>1632</v>
      </c>
      <c r="P23" s="19" t="s">
        <v>1733</v>
      </c>
      <c r="Q23" s="92"/>
      <c r="R23" s="19" t="s">
        <v>1638</v>
      </c>
    </row>
    <row r="24" spans="2:18" x14ac:dyDescent="0.25">
      <c r="B24" s="151">
        <v>5</v>
      </c>
      <c r="C24" s="151" t="s">
        <v>2271</v>
      </c>
      <c r="D24" s="92">
        <v>17</v>
      </c>
      <c r="E24" s="19" t="s">
        <v>955</v>
      </c>
      <c r="F24" s="92" t="s">
        <v>7</v>
      </c>
      <c r="G24" s="92" t="s">
        <v>2272</v>
      </c>
      <c r="H24" s="92" t="s">
        <v>1</v>
      </c>
      <c r="I24" s="92" t="s">
        <v>2</v>
      </c>
      <c r="J24" s="19" t="s">
        <v>1623</v>
      </c>
      <c r="K24" s="58">
        <v>29325</v>
      </c>
      <c r="L24" s="59">
        <v>1980</v>
      </c>
      <c r="M24" s="59">
        <f t="shared" si="1"/>
        <v>39</v>
      </c>
      <c r="N24" s="92" t="s">
        <v>3</v>
      </c>
      <c r="O24" s="92" t="s">
        <v>1632</v>
      </c>
      <c r="P24" s="19" t="s">
        <v>1677</v>
      </c>
      <c r="Q24" s="92"/>
      <c r="R24" s="19" t="s">
        <v>39</v>
      </c>
    </row>
    <row r="25" spans="2:18" x14ac:dyDescent="0.25">
      <c r="B25" s="151"/>
      <c r="C25" s="151"/>
      <c r="D25" s="92">
        <v>18</v>
      </c>
      <c r="E25" s="19" t="s">
        <v>956</v>
      </c>
      <c r="F25" s="92" t="s">
        <v>12</v>
      </c>
      <c r="G25" s="92" t="s">
        <v>2273</v>
      </c>
      <c r="H25" s="92" t="s">
        <v>10</v>
      </c>
      <c r="I25" s="92" t="s">
        <v>2</v>
      </c>
      <c r="J25" s="19" t="s">
        <v>2275</v>
      </c>
      <c r="K25" s="58">
        <v>31430</v>
      </c>
      <c r="L25" s="59">
        <v>1986</v>
      </c>
      <c r="M25" s="59">
        <f t="shared" si="1"/>
        <v>33</v>
      </c>
      <c r="N25" s="92" t="s">
        <v>3</v>
      </c>
      <c r="O25" s="92" t="s">
        <v>1632</v>
      </c>
      <c r="P25" s="19" t="s">
        <v>1677</v>
      </c>
      <c r="Q25" s="92"/>
      <c r="R25" s="19" t="s">
        <v>39</v>
      </c>
    </row>
    <row r="26" spans="2:18" ht="25.5" x14ac:dyDescent="0.25">
      <c r="B26" s="151"/>
      <c r="C26" s="151"/>
      <c r="D26" s="92">
        <v>19</v>
      </c>
      <c r="E26" s="19" t="s">
        <v>957</v>
      </c>
      <c r="F26" s="92" t="s">
        <v>18</v>
      </c>
      <c r="G26" s="92" t="s">
        <v>2274</v>
      </c>
      <c r="H26" s="92" t="s">
        <v>1</v>
      </c>
      <c r="I26" s="92" t="s">
        <v>15</v>
      </c>
      <c r="J26" s="19" t="s">
        <v>1623</v>
      </c>
      <c r="K26" s="58">
        <v>39987</v>
      </c>
      <c r="L26" s="59">
        <v>2009</v>
      </c>
      <c r="M26" s="59">
        <f t="shared" si="1"/>
        <v>10</v>
      </c>
      <c r="N26" s="92" t="s">
        <v>3</v>
      </c>
      <c r="O26" s="92" t="s">
        <v>1632</v>
      </c>
      <c r="P26" s="19" t="s">
        <v>1635</v>
      </c>
      <c r="Q26" s="92"/>
      <c r="R26" s="19" t="s">
        <v>1625</v>
      </c>
    </row>
    <row r="27" spans="2:18" ht="25.5" x14ac:dyDescent="0.25">
      <c r="B27" s="151">
        <v>6</v>
      </c>
      <c r="C27" s="151"/>
      <c r="D27" s="92">
        <v>20</v>
      </c>
      <c r="E27" s="19" t="s">
        <v>958</v>
      </c>
      <c r="F27" s="92" t="s">
        <v>7</v>
      </c>
      <c r="G27" s="92" t="s">
        <v>959</v>
      </c>
      <c r="H27" s="92" t="s">
        <v>1</v>
      </c>
      <c r="I27" s="92" t="s">
        <v>2</v>
      </c>
      <c r="J27" s="19"/>
      <c r="K27" s="58">
        <v>26330</v>
      </c>
      <c r="L27" s="59">
        <f t="shared" ref="L27:L34" si="2">YEAR(K27)</f>
        <v>1972</v>
      </c>
      <c r="M27" s="59">
        <f t="shared" si="1"/>
        <v>47</v>
      </c>
      <c r="N27" s="92" t="s">
        <v>3</v>
      </c>
      <c r="O27" s="92"/>
      <c r="P27" s="19" t="s">
        <v>4</v>
      </c>
      <c r="Q27" s="92"/>
      <c r="R27" s="19" t="s">
        <v>11</v>
      </c>
    </row>
    <row r="28" spans="2:18" ht="38.25" x14ac:dyDescent="0.25">
      <c r="B28" s="151"/>
      <c r="C28" s="151"/>
      <c r="D28" s="92">
        <v>21</v>
      </c>
      <c r="E28" s="19" t="s">
        <v>960</v>
      </c>
      <c r="F28" s="92" t="s">
        <v>12</v>
      </c>
      <c r="G28" s="92" t="s">
        <v>961</v>
      </c>
      <c r="H28" s="92" t="s">
        <v>10</v>
      </c>
      <c r="I28" s="92" t="s">
        <v>2</v>
      </c>
      <c r="J28" s="19"/>
      <c r="K28" s="58">
        <v>28260</v>
      </c>
      <c r="L28" s="59">
        <f t="shared" si="2"/>
        <v>1977</v>
      </c>
      <c r="M28" s="59">
        <f t="shared" si="1"/>
        <v>42</v>
      </c>
      <c r="N28" s="92" t="s">
        <v>3</v>
      </c>
      <c r="O28" s="92"/>
      <c r="P28" s="19" t="s">
        <v>4</v>
      </c>
      <c r="Q28" s="92"/>
      <c r="R28" s="19" t="s">
        <v>16</v>
      </c>
    </row>
    <row r="29" spans="2:18" x14ac:dyDescent="0.25">
      <c r="B29" s="151"/>
      <c r="C29" s="151"/>
      <c r="D29" s="92">
        <v>22</v>
      </c>
      <c r="E29" s="19" t="s">
        <v>962</v>
      </c>
      <c r="F29" s="92" t="s">
        <v>18</v>
      </c>
      <c r="G29" s="92" t="s">
        <v>963</v>
      </c>
      <c r="H29" s="92" t="s">
        <v>1</v>
      </c>
      <c r="I29" s="92" t="s">
        <v>15</v>
      </c>
      <c r="J29" s="19"/>
      <c r="K29" s="58">
        <v>37806</v>
      </c>
      <c r="L29" s="59">
        <f t="shared" si="2"/>
        <v>2003</v>
      </c>
      <c r="M29" s="59">
        <f t="shared" si="1"/>
        <v>16</v>
      </c>
      <c r="N29" s="92" t="s">
        <v>3</v>
      </c>
      <c r="O29" s="92"/>
      <c r="P29" s="19" t="s">
        <v>16</v>
      </c>
      <c r="Q29" s="92"/>
      <c r="R29" s="19" t="s">
        <v>16</v>
      </c>
    </row>
    <row r="30" spans="2:18" ht="25.5" x14ac:dyDescent="0.25">
      <c r="B30" s="151"/>
      <c r="C30" s="151"/>
      <c r="D30" s="92">
        <v>23</v>
      </c>
      <c r="E30" s="19" t="s">
        <v>964</v>
      </c>
      <c r="F30" s="92" t="s">
        <v>18</v>
      </c>
      <c r="G30" s="92" t="s">
        <v>965</v>
      </c>
      <c r="H30" s="92" t="s">
        <v>10</v>
      </c>
      <c r="I30" s="92" t="s">
        <v>15</v>
      </c>
      <c r="J30" s="19"/>
      <c r="K30" s="58">
        <v>39482</v>
      </c>
      <c r="L30" s="59">
        <f t="shared" si="2"/>
        <v>2008</v>
      </c>
      <c r="M30" s="59">
        <f t="shared" si="1"/>
        <v>11</v>
      </c>
      <c r="N30" s="92" t="s">
        <v>3</v>
      </c>
      <c r="O30" s="92"/>
      <c r="P30" s="19" t="s">
        <v>16</v>
      </c>
      <c r="Q30" s="92"/>
      <c r="R30" s="19" t="s">
        <v>16</v>
      </c>
    </row>
    <row r="31" spans="2:18" ht="25.5" x14ac:dyDescent="0.25">
      <c r="B31" s="151"/>
      <c r="C31" s="151"/>
      <c r="D31" s="92">
        <v>24</v>
      </c>
      <c r="E31" s="19" t="s">
        <v>966</v>
      </c>
      <c r="F31" s="92" t="s">
        <v>18</v>
      </c>
      <c r="G31" s="92" t="s">
        <v>967</v>
      </c>
      <c r="H31" s="92" t="s">
        <v>1</v>
      </c>
      <c r="I31" s="92" t="s">
        <v>15</v>
      </c>
      <c r="J31" s="19"/>
      <c r="K31" s="58">
        <v>41682</v>
      </c>
      <c r="L31" s="59">
        <f t="shared" si="2"/>
        <v>2014</v>
      </c>
      <c r="M31" s="59">
        <f t="shared" si="1"/>
        <v>5</v>
      </c>
      <c r="N31" s="92" t="s">
        <v>3</v>
      </c>
      <c r="O31" s="92"/>
      <c r="P31" s="19" t="s">
        <v>16</v>
      </c>
      <c r="Q31" s="92"/>
      <c r="R31" s="19" t="s">
        <v>16</v>
      </c>
    </row>
    <row r="32" spans="2:18" x14ac:dyDescent="0.25">
      <c r="B32" s="151">
        <v>7</v>
      </c>
      <c r="C32" s="151"/>
      <c r="D32" s="92">
        <v>25</v>
      </c>
      <c r="E32" s="19" t="s">
        <v>968</v>
      </c>
      <c r="F32" s="92" t="s">
        <v>7</v>
      </c>
      <c r="G32" s="92" t="s">
        <v>969</v>
      </c>
      <c r="H32" s="92" t="s">
        <v>10</v>
      </c>
      <c r="I32" s="92" t="s">
        <v>21</v>
      </c>
      <c r="J32" s="19"/>
      <c r="K32" s="58">
        <v>23376</v>
      </c>
      <c r="L32" s="59">
        <f t="shared" si="2"/>
        <v>1963</v>
      </c>
      <c r="M32" s="59">
        <f t="shared" si="1"/>
        <v>56</v>
      </c>
      <c r="N32" s="92" t="s">
        <v>3</v>
      </c>
      <c r="O32" s="92"/>
      <c r="P32" s="19" t="s">
        <v>35</v>
      </c>
      <c r="Q32" s="92"/>
      <c r="R32" s="19" t="s">
        <v>43</v>
      </c>
    </row>
    <row r="33" spans="2:18" x14ac:dyDescent="0.25">
      <c r="B33" s="151"/>
      <c r="C33" s="151"/>
      <c r="D33" s="92">
        <v>26</v>
      </c>
      <c r="E33" s="19" t="s">
        <v>970</v>
      </c>
      <c r="F33" s="92" t="s">
        <v>18</v>
      </c>
      <c r="G33" s="92" t="s">
        <v>2515</v>
      </c>
      <c r="H33" s="92" t="s">
        <v>10</v>
      </c>
      <c r="I33" s="92" t="s">
        <v>21</v>
      </c>
      <c r="J33" s="19"/>
      <c r="K33" s="58">
        <v>31371</v>
      </c>
      <c r="L33" s="59">
        <f t="shared" si="2"/>
        <v>1985</v>
      </c>
      <c r="M33" s="59">
        <f t="shared" si="1"/>
        <v>34</v>
      </c>
      <c r="N33" s="92" t="s">
        <v>3</v>
      </c>
      <c r="O33" s="92"/>
      <c r="P33" s="19" t="s">
        <v>4</v>
      </c>
      <c r="Q33" s="92"/>
      <c r="R33" s="19" t="s">
        <v>17</v>
      </c>
    </row>
    <row r="34" spans="2:18" ht="25.5" x14ac:dyDescent="0.25">
      <c r="B34" s="151"/>
      <c r="C34" s="151"/>
      <c r="D34" s="92">
        <v>27</v>
      </c>
      <c r="E34" s="19" t="s">
        <v>971</v>
      </c>
      <c r="F34" s="92" t="s">
        <v>24</v>
      </c>
      <c r="G34" s="92" t="s">
        <v>2516</v>
      </c>
      <c r="H34" s="92" t="s">
        <v>10</v>
      </c>
      <c r="I34" s="92" t="s">
        <v>15</v>
      </c>
      <c r="J34" s="19"/>
      <c r="K34" s="58">
        <v>40803</v>
      </c>
      <c r="L34" s="59">
        <f t="shared" si="2"/>
        <v>2011</v>
      </c>
      <c r="M34" s="59">
        <f t="shared" si="1"/>
        <v>8</v>
      </c>
      <c r="N34" s="92" t="s">
        <v>3</v>
      </c>
      <c r="O34" s="92"/>
      <c r="P34" s="19" t="s">
        <v>16</v>
      </c>
      <c r="Q34" s="92"/>
      <c r="R34" s="19" t="s">
        <v>16</v>
      </c>
    </row>
    <row r="35" spans="2:18" ht="25.5" x14ac:dyDescent="0.25">
      <c r="B35" s="151">
        <v>8</v>
      </c>
      <c r="C35" s="151" t="s">
        <v>2299</v>
      </c>
      <c r="D35" s="92">
        <v>28</v>
      </c>
      <c r="E35" s="19" t="s">
        <v>972</v>
      </c>
      <c r="F35" s="92" t="s">
        <v>7</v>
      </c>
      <c r="G35" s="92" t="s">
        <v>2300</v>
      </c>
      <c r="H35" s="92" t="s">
        <v>1</v>
      </c>
      <c r="I35" s="92" t="s">
        <v>2</v>
      </c>
      <c r="J35" s="19" t="s">
        <v>1631</v>
      </c>
      <c r="K35" s="58">
        <v>24114</v>
      </c>
      <c r="L35" s="59">
        <v>1966</v>
      </c>
      <c r="M35" s="59">
        <f t="shared" si="1"/>
        <v>53</v>
      </c>
      <c r="N35" s="92" t="s">
        <v>3</v>
      </c>
      <c r="O35" s="92"/>
      <c r="P35" s="19" t="s">
        <v>1677</v>
      </c>
      <c r="Q35" s="92"/>
      <c r="R35" s="19" t="s">
        <v>1816</v>
      </c>
    </row>
    <row r="36" spans="2:18" ht="25.5" x14ac:dyDescent="0.25">
      <c r="B36" s="151"/>
      <c r="C36" s="151"/>
      <c r="D36" s="92">
        <v>29</v>
      </c>
      <c r="E36" s="19" t="s">
        <v>287</v>
      </c>
      <c r="F36" s="92" t="s">
        <v>12</v>
      </c>
      <c r="G36" s="92" t="s">
        <v>2301</v>
      </c>
      <c r="H36" s="92" t="s">
        <v>10</v>
      </c>
      <c r="I36" s="92" t="s">
        <v>2</v>
      </c>
      <c r="J36" s="19" t="s">
        <v>1631</v>
      </c>
      <c r="K36" s="58">
        <v>28862</v>
      </c>
      <c r="L36" s="59">
        <v>1979</v>
      </c>
      <c r="M36" s="59">
        <f t="shared" si="1"/>
        <v>40</v>
      </c>
      <c r="N36" s="92" t="s">
        <v>3</v>
      </c>
      <c r="O36" s="92"/>
      <c r="P36" s="19" t="s">
        <v>1677</v>
      </c>
      <c r="Q36" s="92"/>
      <c r="R36" s="19" t="s">
        <v>1764</v>
      </c>
    </row>
    <row r="37" spans="2:18" x14ac:dyDescent="0.25">
      <c r="B37" s="151"/>
      <c r="C37" s="151"/>
      <c r="D37" s="92">
        <v>30</v>
      </c>
      <c r="E37" s="19" t="s">
        <v>973</v>
      </c>
      <c r="F37" s="92" t="s">
        <v>18</v>
      </c>
      <c r="G37" s="92" t="s">
        <v>2302</v>
      </c>
      <c r="H37" s="92" t="s">
        <v>1</v>
      </c>
      <c r="I37" s="92" t="s">
        <v>15</v>
      </c>
      <c r="J37" s="19" t="s">
        <v>1623</v>
      </c>
      <c r="K37" s="58">
        <v>37078</v>
      </c>
      <c r="L37" s="59">
        <v>2001</v>
      </c>
      <c r="M37" s="59">
        <f t="shared" si="1"/>
        <v>18</v>
      </c>
      <c r="N37" s="92" t="s">
        <v>3</v>
      </c>
      <c r="O37" s="92"/>
      <c r="P37" s="19" t="s">
        <v>2305</v>
      </c>
      <c r="Q37" s="92"/>
      <c r="R37" s="19" t="s">
        <v>1625</v>
      </c>
    </row>
    <row r="38" spans="2:18" ht="25.5" x14ac:dyDescent="0.25">
      <c r="B38" s="151"/>
      <c r="C38" s="151"/>
      <c r="D38" s="92">
        <v>31</v>
      </c>
      <c r="E38" s="19" t="s">
        <v>974</v>
      </c>
      <c r="F38" s="92" t="s">
        <v>18</v>
      </c>
      <c r="G38" s="92" t="s">
        <v>2303</v>
      </c>
      <c r="H38" s="92" t="s">
        <v>10</v>
      </c>
      <c r="I38" s="92" t="s">
        <v>15</v>
      </c>
      <c r="J38" s="19" t="s">
        <v>1623</v>
      </c>
      <c r="K38" s="58">
        <v>38499</v>
      </c>
      <c r="L38" s="59">
        <v>2005</v>
      </c>
      <c r="M38" s="59">
        <f t="shared" si="1"/>
        <v>14</v>
      </c>
      <c r="N38" s="92" t="s">
        <v>3</v>
      </c>
      <c r="O38" s="92"/>
      <c r="P38" s="19" t="s">
        <v>1635</v>
      </c>
      <c r="Q38" s="92"/>
      <c r="R38" s="19" t="s">
        <v>1625</v>
      </c>
    </row>
    <row r="39" spans="2:18" ht="25.5" x14ac:dyDescent="0.25">
      <c r="B39" s="151"/>
      <c r="C39" s="151"/>
      <c r="D39" s="92">
        <v>32</v>
      </c>
      <c r="E39" s="19" t="s">
        <v>975</v>
      </c>
      <c r="F39" s="92" t="s">
        <v>18</v>
      </c>
      <c r="G39" s="92" t="s">
        <v>2304</v>
      </c>
      <c r="H39" s="92" t="s">
        <v>1</v>
      </c>
      <c r="I39" s="92" t="s">
        <v>15</v>
      </c>
      <c r="J39" s="19" t="s">
        <v>1898</v>
      </c>
      <c r="K39" s="58">
        <v>40168</v>
      </c>
      <c r="L39" s="59">
        <v>2009</v>
      </c>
      <c r="M39" s="59">
        <f t="shared" si="1"/>
        <v>10</v>
      </c>
      <c r="N39" s="92" t="s">
        <v>3</v>
      </c>
      <c r="O39" s="92"/>
      <c r="P39" s="19" t="s">
        <v>1733</v>
      </c>
      <c r="Q39" s="92"/>
      <c r="R39" s="19" t="s">
        <v>1638</v>
      </c>
    </row>
    <row r="40" spans="2:18" x14ac:dyDescent="0.25">
      <c r="B40" s="151">
        <v>9</v>
      </c>
      <c r="C40" s="151"/>
      <c r="D40" s="92">
        <v>33</v>
      </c>
      <c r="E40" s="19" t="s">
        <v>976</v>
      </c>
      <c r="F40" s="92" t="s">
        <v>7</v>
      </c>
      <c r="G40" s="92" t="s">
        <v>978</v>
      </c>
      <c r="H40" s="92" t="s">
        <v>1</v>
      </c>
      <c r="I40" s="92" t="s">
        <v>2</v>
      </c>
      <c r="J40" s="19"/>
      <c r="K40" s="58">
        <v>31412</v>
      </c>
      <c r="L40" s="59">
        <f t="shared" ref="L40:L53" si="3">YEAR(K40)</f>
        <v>1985</v>
      </c>
      <c r="M40" s="59">
        <f t="shared" si="1"/>
        <v>34</v>
      </c>
      <c r="N40" s="92" t="s">
        <v>3</v>
      </c>
      <c r="O40" s="92"/>
      <c r="P40" s="19" t="s">
        <v>27</v>
      </c>
      <c r="Q40" s="92"/>
      <c r="R40" s="19" t="s">
        <v>977</v>
      </c>
    </row>
    <row r="41" spans="2:18" x14ac:dyDescent="0.25">
      <c r="B41" s="151"/>
      <c r="C41" s="151"/>
      <c r="D41" s="92">
        <v>34</v>
      </c>
      <c r="E41" s="19" t="s">
        <v>979</v>
      </c>
      <c r="F41" s="92" t="s">
        <v>12</v>
      </c>
      <c r="G41" s="92" t="s">
        <v>980</v>
      </c>
      <c r="H41" s="92" t="s">
        <v>10</v>
      </c>
      <c r="I41" s="92" t="s">
        <v>2</v>
      </c>
      <c r="J41" s="19"/>
      <c r="K41" s="58">
        <v>24179</v>
      </c>
      <c r="L41" s="59">
        <f t="shared" si="3"/>
        <v>1966</v>
      </c>
      <c r="M41" s="59">
        <f t="shared" si="1"/>
        <v>53</v>
      </c>
      <c r="N41" s="92" t="s">
        <v>3</v>
      </c>
      <c r="O41" s="92"/>
      <c r="P41" s="19" t="s">
        <v>35</v>
      </c>
      <c r="Q41" s="92"/>
      <c r="R41" s="19" t="s">
        <v>16</v>
      </c>
    </row>
    <row r="42" spans="2:18" x14ac:dyDescent="0.25">
      <c r="B42" s="151"/>
      <c r="C42" s="151"/>
      <c r="D42" s="92">
        <v>35</v>
      </c>
      <c r="E42" s="19" t="s">
        <v>981</v>
      </c>
      <c r="F42" s="92" t="s">
        <v>18</v>
      </c>
      <c r="G42" s="92" t="s">
        <v>982</v>
      </c>
      <c r="H42" s="92" t="s">
        <v>10</v>
      </c>
      <c r="I42" s="92" t="s">
        <v>21</v>
      </c>
      <c r="J42" s="19"/>
      <c r="K42" s="58">
        <v>32256</v>
      </c>
      <c r="L42" s="59">
        <f t="shared" si="3"/>
        <v>1988</v>
      </c>
      <c r="M42" s="59">
        <f t="shared" si="1"/>
        <v>31</v>
      </c>
      <c r="N42" s="92" t="s">
        <v>3</v>
      </c>
      <c r="O42" s="92"/>
      <c r="P42" s="19" t="s">
        <v>4</v>
      </c>
      <c r="Q42" s="92"/>
      <c r="R42" s="19" t="s">
        <v>54</v>
      </c>
    </row>
    <row r="43" spans="2:18" x14ac:dyDescent="0.25">
      <c r="B43" s="151"/>
      <c r="C43" s="151"/>
      <c r="D43" s="92">
        <v>36</v>
      </c>
      <c r="E43" s="19" t="s">
        <v>983</v>
      </c>
      <c r="F43" s="92" t="s">
        <v>18</v>
      </c>
      <c r="G43" s="92" t="s">
        <v>984</v>
      </c>
      <c r="H43" s="92" t="s">
        <v>10</v>
      </c>
      <c r="I43" s="92" t="s">
        <v>15</v>
      </c>
      <c r="J43" s="19"/>
      <c r="K43" s="58">
        <v>33016</v>
      </c>
      <c r="L43" s="59">
        <f t="shared" si="3"/>
        <v>1990</v>
      </c>
      <c r="M43" s="59">
        <f t="shared" si="1"/>
        <v>29</v>
      </c>
      <c r="N43" s="92" t="s">
        <v>3</v>
      </c>
      <c r="O43" s="92"/>
      <c r="P43" s="19" t="s">
        <v>4</v>
      </c>
      <c r="Q43" s="92"/>
      <c r="R43" s="19" t="s">
        <v>16</v>
      </c>
    </row>
    <row r="44" spans="2:18" x14ac:dyDescent="0.25">
      <c r="B44" s="151">
        <v>10</v>
      </c>
      <c r="C44" s="151"/>
      <c r="D44" s="92">
        <v>37</v>
      </c>
      <c r="E44" s="19" t="s">
        <v>591</v>
      </c>
      <c r="F44" s="92" t="s">
        <v>7</v>
      </c>
      <c r="G44" s="92">
        <v>0</v>
      </c>
      <c r="H44" s="92" t="s">
        <v>1</v>
      </c>
      <c r="I44" s="92" t="s">
        <v>2</v>
      </c>
      <c r="J44" s="19"/>
      <c r="K44" s="58">
        <v>29586</v>
      </c>
      <c r="L44" s="59">
        <f t="shared" si="3"/>
        <v>1980</v>
      </c>
      <c r="M44" s="59">
        <f t="shared" si="1"/>
        <v>39</v>
      </c>
      <c r="N44" s="92" t="s">
        <v>3</v>
      </c>
      <c r="O44" s="92"/>
      <c r="P44" s="19" t="s">
        <v>27</v>
      </c>
      <c r="Q44" s="92"/>
      <c r="R44" s="19" t="s">
        <v>11</v>
      </c>
    </row>
    <row r="45" spans="2:18" x14ac:dyDescent="0.25">
      <c r="B45" s="151"/>
      <c r="C45" s="151"/>
      <c r="D45" s="92">
        <v>38</v>
      </c>
      <c r="E45" s="19" t="s">
        <v>985</v>
      </c>
      <c r="F45" s="92" t="s">
        <v>12</v>
      </c>
      <c r="G45" s="92">
        <v>0</v>
      </c>
      <c r="H45" s="92" t="s">
        <v>10</v>
      </c>
      <c r="I45" s="92" t="s">
        <v>2</v>
      </c>
      <c r="J45" s="19"/>
      <c r="K45" s="58">
        <v>29586</v>
      </c>
      <c r="L45" s="59">
        <f t="shared" si="3"/>
        <v>1980</v>
      </c>
      <c r="M45" s="59">
        <f t="shared" si="1"/>
        <v>39</v>
      </c>
      <c r="N45" s="92" t="s">
        <v>3</v>
      </c>
      <c r="O45" s="92"/>
      <c r="P45" s="19" t="s">
        <v>27</v>
      </c>
      <c r="Q45" s="92"/>
      <c r="R45" s="19" t="s">
        <v>986</v>
      </c>
    </row>
    <row r="46" spans="2:18" x14ac:dyDescent="0.25">
      <c r="B46" s="151"/>
      <c r="C46" s="151"/>
      <c r="D46" s="92">
        <v>39</v>
      </c>
      <c r="E46" s="19" t="s">
        <v>987</v>
      </c>
      <c r="F46" s="92" t="s">
        <v>18</v>
      </c>
      <c r="G46" s="92">
        <v>0</v>
      </c>
      <c r="H46" s="92" t="s">
        <v>10</v>
      </c>
      <c r="I46" s="92" t="s">
        <v>15</v>
      </c>
      <c r="J46" s="19"/>
      <c r="K46" s="58">
        <v>35795</v>
      </c>
      <c r="L46" s="59">
        <f t="shared" si="3"/>
        <v>1997</v>
      </c>
      <c r="M46" s="59">
        <f t="shared" si="1"/>
        <v>22</v>
      </c>
      <c r="N46" s="92" t="s">
        <v>3</v>
      </c>
      <c r="O46" s="92"/>
      <c r="P46" s="19" t="s">
        <v>35</v>
      </c>
      <c r="Q46" s="92"/>
      <c r="R46" s="19" t="s">
        <v>16</v>
      </c>
    </row>
    <row r="47" spans="2:18" x14ac:dyDescent="0.25">
      <c r="B47" s="151"/>
      <c r="C47" s="151"/>
      <c r="D47" s="92">
        <v>40</v>
      </c>
      <c r="E47" s="19" t="s">
        <v>988</v>
      </c>
      <c r="F47" s="92" t="s">
        <v>18</v>
      </c>
      <c r="G47" s="92">
        <v>0</v>
      </c>
      <c r="H47" s="92" t="s">
        <v>10</v>
      </c>
      <c r="I47" s="92" t="s">
        <v>15</v>
      </c>
      <c r="J47" s="19"/>
      <c r="K47" s="58">
        <v>37256</v>
      </c>
      <c r="L47" s="59">
        <f t="shared" si="3"/>
        <v>2001</v>
      </c>
      <c r="M47" s="59">
        <f t="shared" si="1"/>
        <v>18</v>
      </c>
      <c r="N47" s="92" t="s">
        <v>3</v>
      </c>
      <c r="O47" s="92"/>
      <c r="P47" s="19" t="s">
        <v>46</v>
      </c>
      <c r="Q47" s="92"/>
      <c r="R47" s="19" t="s">
        <v>16</v>
      </c>
    </row>
    <row r="48" spans="2:18" x14ac:dyDescent="0.25">
      <c r="B48" s="151"/>
      <c r="C48" s="151"/>
      <c r="D48" s="92">
        <v>41</v>
      </c>
      <c r="E48" s="19" t="s">
        <v>989</v>
      </c>
      <c r="F48" s="92" t="s">
        <v>18</v>
      </c>
      <c r="G48" s="92">
        <v>0</v>
      </c>
      <c r="H48" s="92" t="s">
        <v>1</v>
      </c>
      <c r="I48" s="92" t="s">
        <v>15</v>
      </c>
      <c r="J48" s="19"/>
      <c r="K48" s="58">
        <v>38717</v>
      </c>
      <c r="L48" s="59">
        <f t="shared" si="3"/>
        <v>2005</v>
      </c>
      <c r="M48" s="59">
        <f t="shared" si="1"/>
        <v>14</v>
      </c>
      <c r="N48" s="92" t="s">
        <v>3</v>
      </c>
      <c r="O48" s="92"/>
      <c r="P48" s="19" t="s">
        <v>16</v>
      </c>
      <c r="Q48" s="92"/>
      <c r="R48" s="19" t="s">
        <v>16</v>
      </c>
    </row>
    <row r="49" spans="2:18" x14ac:dyDescent="0.25">
      <c r="B49" s="151"/>
      <c r="C49" s="151"/>
      <c r="D49" s="92">
        <v>42</v>
      </c>
      <c r="E49" s="19" t="s">
        <v>990</v>
      </c>
      <c r="F49" s="92" t="s">
        <v>18</v>
      </c>
      <c r="G49" s="92">
        <v>0</v>
      </c>
      <c r="H49" s="92" t="s">
        <v>1</v>
      </c>
      <c r="I49" s="92" t="s">
        <v>15</v>
      </c>
      <c r="J49" s="19"/>
      <c r="K49" s="58">
        <v>42004</v>
      </c>
      <c r="L49" s="59">
        <f t="shared" si="3"/>
        <v>2014</v>
      </c>
      <c r="M49" s="59">
        <f t="shared" si="1"/>
        <v>5</v>
      </c>
      <c r="N49" s="92" t="s">
        <v>3</v>
      </c>
      <c r="O49" s="92"/>
      <c r="P49" s="19" t="s">
        <v>16</v>
      </c>
      <c r="Q49" s="92"/>
      <c r="R49" s="19" t="s">
        <v>16</v>
      </c>
    </row>
    <row r="50" spans="2:18" x14ac:dyDescent="0.25">
      <c r="B50" s="151">
        <v>11</v>
      </c>
      <c r="C50" s="151"/>
      <c r="D50" s="92">
        <v>43</v>
      </c>
      <c r="E50" s="19" t="s">
        <v>991</v>
      </c>
      <c r="F50" s="92" t="s">
        <v>7</v>
      </c>
      <c r="G50" s="92" t="s">
        <v>992</v>
      </c>
      <c r="H50" s="92" t="s">
        <v>1</v>
      </c>
      <c r="I50" s="92" t="s">
        <v>2</v>
      </c>
      <c r="J50" s="19"/>
      <c r="K50" s="58">
        <v>23742</v>
      </c>
      <c r="L50" s="59">
        <f t="shared" si="3"/>
        <v>1964</v>
      </c>
      <c r="M50" s="59">
        <f t="shared" si="1"/>
        <v>55</v>
      </c>
      <c r="N50" s="92" t="s">
        <v>3</v>
      </c>
      <c r="O50" s="92"/>
      <c r="P50" s="19" t="s">
        <v>16</v>
      </c>
      <c r="Q50" s="92"/>
      <c r="R50" s="19" t="s">
        <v>28</v>
      </c>
    </row>
    <row r="51" spans="2:18" x14ac:dyDescent="0.25">
      <c r="B51" s="151"/>
      <c r="C51" s="151"/>
      <c r="D51" s="92">
        <v>44</v>
      </c>
      <c r="E51" s="19" t="s">
        <v>993</v>
      </c>
      <c r="F51" s="92" t="s">
        <v>12</v>
      </c>
      <c r="G51" s="92" t="s">
        <v>994</v>
      </c>
      <c r="H51" s="92" t="s">
        <v>10</v>
      </c>
      <c r="I51" s="92" t="s">
        <v>2</v>
      </c>
      <c r="J51" s="19"/>
      <c r="K51" s="58">
        <v>25209</v>
      </c>
      <c r="L51" s="59">
        <f t="shared" si="3"/>
        <v>1969</v>
      </c>
      <c r="M51" s="59">
        <f t="shared" si="1"/>
        <v>50</v>
      </c>
      <c r="N51" s="92" t="s">
        <v>3</v>
      </c>
      <c r="O51" s="92"/>
      <c r="P51" s="19" t="s">
        <v>16</v>
      </c>
      <c r="Q51" s="92"/>
      <c r="R51" s="19" t="s">
        <v>43</v>
      </c>
    </row>
    <row r="52" spans="2:18" x14ac:dyDescent="0.25">
      <c r="B52" s="151"/>
      <c r="C52" s="151"/>
      <c r="D52" s="92">
        <v>45</v>
      </c>
      <c r="E52" s="19" t="s">
        <v>995</v>
      </c>
      <c r="F52" s="92" t="s">
        <v>18</v>
      </c>
      <c r="G52" s="92" t="s">
        <v>996</v>
      </c>
      <c r="H52" s="92" t="s">
        <v>1</v>
      </c>
      <c r="I52" s="92" t="s">
        <v>15</v>
      </c>
      <c r="J52" s="19"/>
      <c r="K52" s="58">
        <v>32779</v>
      </c>
      <c r="L52" s="59">
        <f t="shared" si="3"/>
        <v>1989</v>
      </c>
      <c r="M52" s="59">
        <f t="shared" si="1"/>
        <v>30</v>
      </c>
      <c r="N52" s="92" t="s">
        <v>3</v>
      </c>
      <c r="O52" s="92"/>
      <c r="P52" s="19" t="s">
        <v>4</v>
      </c>
      <c r="Q52" s="92"/>
      <c r="R52" s="19" t="s">
        <v>54</v>
      </c>
    </row>
    <row r="53" spans="2:18" x14ac:dyDescent="0.25">
      <c r="B53" s="151"/>
      <c r="C53" s="151"/>
      <c r="D53" s="92">
        <v>46</v>
      </c>
      <c r="E53" s="19" t="s">
        <v>997</v>
      </c>
      <c r="F53" s="92" t="s">
        <v>18</v>
      </c>
      <c r="G53" s="92" t="s">
        <v>998</v>
      </c>
      <c r="H53" s="92" t="s">
        <v>1</v>
      </c>
      <c r="I53" s="92" t="s">
        <v>15</v>
      </c>
      <c r="J53" s="19"/>
      <c r="K53" s="58">
        <v>35785</v>
      </c>
      <c r="L53" s="59">
        <f t="shared" si="3"/>
        <v>1997</v>
      </c>
      <c r="M53" s="59">
        <f t="shared" si="1"/>
        <v>22</v>
      </c>
      <c r="N53" s="92" t="s">
        <v>3</v>
      </c>
      <c r="O53" s="92"/>
      <c r="P53" s="19" t="s">
        <v>35</v>
      </c>
      <c r="Q53" s="92"/>
      <c r="R53" s="19" t="s">
        <v>16</v>
      </c>
    </row>
    <row r="54" spans="2:18" ht="25.5" x14ac:dyDescent="0.25">
      <c r="B54" s="151">
        <v>12</v>
      </c>
      <c r="C54" s="151" t="s">
        <v>2158</v>
      </c>
      <c r="D54" s="92">
        <v>47</v>
      </c>
      <c r="E54" s="19" t="s">
        <v>999</v>
      </c>
      <c r="F54" s="92" t="s">
        <v>7</v>
      </c>
      <c r="G54" s="92" t="s">
        <v>2160</v>
      </c>
      <c r="H54" s="92" t="s">
        <v>1</v>
      </c>
      <c r="I54" s="92" t="s">
        <v>2</v>
      </c>
      <c r="J54" s="19" t="s">
        <v>1631</v>
      </c>
      <c r="K54" s="58">
        <v>23852</v>
      </c>
      <c r="L54" s="59">
        <v>1965</v>
      </c>
      <c r="M54" s="59">
        <f t="shared" si="1"/>
        <v>54</v>
      </c>
      <c r="N54" s="92" t="s">
        <v>3</v>
      </c>
      <c r="O54" s="92" t="s">
        <v>1632</v>
      </c>
      <c r="P54" s="19" t="s">
        <v>1755</v>
      </c>
      <c r="Q54" s="92"/>
      <c r="R54" s="19" t="s">
        <v>39</v>
      </c>
    </row>
    <row r="55" spans="2:18" ht="25.5" x14ac:dyDescent="0.25">
      <c r="B55" s="151"/>
      <c r="C55" s="151"/>
      <c r="D55" s="92">
        <v>48</v>
      </c>
      <c r="E55" s="19" t="s">
        <v>636</v>
      </c>
      <c r="F55" s="92" t="s">
        <v>12</v>
      </c>
      <c r="G55" s="92" t="s">
        <v>2161</v>
      </c>
      <c r="H55" s="92" t="s">
        <v>49</v>
      </c>
      <c r="I55" s="92" t="s">
        <v>2</v>
      </c>
      <c r="J55" s="19" t="s">
        <v>1631</v>
      </c>
      <c r="K55" s="58">
        <v>24851</v>
      </c>
      <c r="L55" s="59">
        <v>1968</v>
      </c>
      <c r="M55" s="59">
        <f t="shared" si="1"/>
        <v>51</v>
      </c>
      <c r="N55" s="92" t="s">
        <v>3</v>
      </c>
      <c r="O55" s="92" t="s">
        <v>1632</v>
      </c>
      <c r="P55" s="19" t="s">
        <v>1677</v>
      </c>
      <c r="Q55" s="92"/>
      <c r="R55" s="19" t="s">
        <v>1764</v>
      </c>
    </row>
    <row r="56" spans="2:18" ht="25.5" x14ac:dyDescent="0.25">
      <c r="B56" s="151"/>
      <c r="C56" s="151"/>
      <c r="D56" s="92">
        <v>49</v>
      </c>
      <c r="E56" s="19" t="s">
        <v>1002</v>
      </c>
      <c r="F56" s="92" t="s">
        <v>18</v>
      </c>
      <c r="G56" s="92" t="s">
        <v>2162</v>
      </c>
      <c r="H56" s="92" t="s">
        <v>1</v>
      </c>
      <c r="I56" s="92" t="s">
        <v>15</v>
      </c>
      <c r="J56" s="19" t="s">
        <v>1631</v>
      </c>
      <c r="K56" s="58">
        <v>34459</v>
      </c>
      <c r="L56" s="59">
        <v>1994</v>
      </c>
      <c r="M56" s="59">
        <f t="shared" si="1"/>
        <v>25</v>
      </c>
      <c r="N56" s="92" t="s">
        <v>3</v>
      </c>
      <c r="O56" s="92" t="s">
        <v>1632</v>
      </c>
      <c r="P56" s="19" t="s">
        <v>1677</v>
      </c>
      <c r="Q56" s="92"/>
      <c r="R56" s="19" t="s">
        <v>39</v>
      </c>
    </row>
    <row r="57" spans="2:18" ht="25.5" x14ac:dyDescent="0.25">
      <c r="B57" s="151"/>
      <c r="C57" s="151"/>
      <c r="D57" s="92">
        <v>50</v>
      </c>
      <c r="E57" s="19" t="s">
        <v>2159</v>
      </c>
      <c r="F57" s="92" t="s">
        <v>18</v>
      </c>
      <c r="G57" s="92" t="s">
        <v>2163</v>
      </c>
      <c r="H57" s="92" t="s">
        <v>1</v>
      </c>
      <c r="I57" s="92" t="s">
        <v>80</v>
      </c>
      <c r="J57" s="19" t="s">
        <v>1672</v>
      </c>
      <c r="K57" s="58">
        <v>40477</v>
      </c>
      <c r="L57" s="59">
        <v>2010</v>
      </c>
      <c r="M57" s="59">
        <f t="shared" si="1"/>
        <v>9</v>
      </c>
      <c r="N57" s="92" t="s">
        <v>3</v>
      </c>
      <c r="O57" s="92" t="s">
        <v>1632</v>
      </c>
      <c r="P57" s="19" t="s">
        <v>1733</v>
      </c>
      <c r="Q57" s="92"/>
      <c r="R57" s="19" t="s">
        <v>1638</v>
      </c>
    </row>
    <row r="58" spans="2:18" x14ac:dyDescent="0.25">
      <c r="B58" s="151">
        <v>13</v>
      </c>
      <c r="C58" s="151"/>
      <c r="D58" s="92">
        <v>51</v>
      </c>
      <c r="E58" s="19" t="s">
        <v>1003</v>
      </c>
      <c r="F58" s="92" t="s">
        <v>7</v>
      </c>
      <c r="G58" s="92" t="s">
        <v>1004</v>
      </c>
      <c r="H58" s="92" t="s">
        <v>1</v>
      </c>
      <c r="I58" s="92" t="s">
        <v>15</v>
      </c>
      <c r="J58" s="19"/>
      <c r="K58" s="58">
        <v>28855</v>
      </c>
      <c r="L58" s="59">
        <f t="shared" ref="L58:L64" si="4">YEAR(K58)</f>
        <v>1978</v>
      </c>
      <c r="M58" s="59">
        <f t="shared" si="1"/>
        <v>41</v>
      </c>
      <c r="N58" s="92" t="s">
        <v>3</v>
      </c>
      <c r="O58" s="92"/>
      <c r="P58" s="19" t="s">
        <v>4</v>
      </c>
      <c r="Q58" s="92"/>
      <c r="R58" s="19" t="s">
        <v>54</v>
      </c>
    </row>
    <row r="59" spans="2:18" ht="38.25" x14ac:dyDescent="0.25">
      <c r="B59" s="151"/>
      <c r="C59" s="151"/>
      <c r="D59" s="92">
        <v>52</v>
      </c>
      <c r="E59" s="19" t="s">
        <v>1005</v>
      </c>
      <c r="F59" s="92" t="s">
        <v>12</v>
      </c>
      <c r="G59" s="92" t="s">
        <v>1006</v>
      </c>
      <c r="H59" s="92" t="s">
        <v>10</v>
      </c>
      <c r="I59" s="92" t="s">
        <v>2</v>
      </c>
      <c r="J59" s="19"/>
      <c r="K59" s="58">
        <v>33431</v>
      </c>
      <c r="L59" s="59">
        <f t="shared" si="4"/>
        <v>1991</v>
      </c>
      <c r="M59" s="59">
        <f t="shared" si="1"/>
        <v>28</v>
      </c>
      <c r="N59" s="92" t="s">
        <v>3</v>
      </c>
      <c r="O59" s="92"/>
      <c r="P59" s="19" t="s">
        <v>4</v>
      </c>
      <c r="Q59" s="92"/>
      <c r="R59" s="19" t="s">
        <v>16</v>
      </c>
    </row>
    <row r="60" spans="2:18" ht="25.5" x14ac:dyDescent="0.25">
      <c r="B60" s="151"/>
      <c r="C60" s="151"/>
      <c r="D60" s="92">
        <v>53</v>
      </c>
      <c r="E60" s="19" t="s">
        <v>1007</v>
      </c>
      <c r="F60" s="92" t="s">
        <v>18</v>
      </c>
      <c r="G60" s="92" t="s">
        <v>1008</v>
      </c>
      <c r="H60" s="92" t="s">
        <v>1</v>
      </c>
      <c r="I60" s="92" t="s">
        <v>15</v>
      </c>
      <c r="J60" s="19"/>
      <c r="K60" s="58">
        <v>41605</v>
      </c>
      <c r="L60" s="59">
        <f t="shared" si="4"/>
        <v>2013</v>
      </c>
      <c r="M60" s="59">
        <f t="shared" si="1"/>
        <v>6</v>
      </c>
      <c r="N60" s="92" t="s">
        <v>3</v>
      </c>
      <c r="O60" s="92"/>
      <c r="P60" s="19" t="s">
        <v>16</v>
      </c>
      <c r="Q60" s="92"/>
      <c r="R60" s="19" t="s">
        <v>16</v>
      </c>
    </row>
    <row r="61" spans="2:18" x14ac:dyDescent="0.25">
      <c r="B61" s="151">
        <v>14</v>
      </c>
      <c r="C61" s="151"/>
      <c r="D61" s="92">
        <v>54</v>
      </c>
      <c r="E61" s="19" t="s">
        <v>1009</v>
      </c>
      <c r="F61" s="92" t="s">
        <v>7</v>
      </c>
      <c r="G61" s="92" t="s">
        <v>1010</v>
      </c>
      <c r="H61" s="92" t="s">
        <v>1</v>
      </c>
      <c r="I61" s="92" t="s">
        <v>2</v>
      </c>
      <c r="J61" s="19"/>
      <c r="K61" s="58">
        <v>28855</v>
      </c>
      <c r="L61" s="59">
        <f t="shared" si="4"/>
        <v>1978</v>
      </c>
      <c r="M61" s="59">
        <f t="shared" si="1"/>
        <v>41</v>
      </c>
      <c r="N61" s="92" t="s">
        <v>3</v>
      </c>
      <c r="O61" s="92"/>
      <c r="P61" s="19" t="s">
        <v>46</v>
      </c>
      <c r="Q61" s="92"/>
      <c r="R61" s="19" t="s">
        <v>37</v>
      </c>
    </row>
    <row r="62" spans="2:18" x14ac:dyDescent="0.25">
      <c r="B62" s="151"/>
      <c r="C62" s="151"/>
      <c r="D62" s="92">
        <v>55</v>
      </c>
      <c r="E62" s="19" t="s">
        <v>1011</v>
      </c>
      <c r="F62" s="92" t="s">
        <v>12</v>
      </c>
      <c r="G62" s="92" t="s">
        <v>1012</v>
      </c>
      <c r="H62" s="92" t="s">
        <v>10</v>
      </c>
      <c r="I62" s="92" t="s">
        <v>2</v>
      </c>
      <c r="J62" s="19"/>
      <c r="K62" s="58">
        <v>28855</v>
      </c>
      <c r="L62" s="59">
        <f t="shared" si="4"/>
        <v>1978</v>
      </c>
      <c r="M62" s="59">
        <f t="shared" si="1"/>
        <v>41</v>
      </c>
      <c r="N62" s="92" t="s">
        <v>3</v>
      </c>
      <c r="O62" s="92"/>
      <c r="P62" s="19" t="s">
        <v>35</v>
      </c>
      <c r="Q62" s="92"/>
      <c r="R62" s="19" t="s">
        <v>37</v>
      </c>
    </row>
    <row r="63" spans="2:18" x14ac:dyDescent="0.25">
      <c r="B63" s="151"/>
      <c r="C63" s="151"/>
      <c r="D63" s="92">
        <v>56</v>
      </c>
      <c r="E63" s="19" t="s">
        <v>1013</v>
      </c>
      <c r="F63" s="92" t="s">
        <v>18</v>
      </c>
      <c r="G63" s="92" t="s">
        <v>1014</v>
      </c>
      <c r="H63" s="92" t="s">
        <v>10</v>
      </c>
      <c r="I63" s="92" t="s">
        <v>15</v>
      </c>
      <c r="J63" s="19"/>
      <c r="K63" s="58">
        <v>37822</v>
      </c>
      <c r="L63" s="59">
        <f t="shared" si="4"/>
        <v>2003</v>
      </c>
      <c r="M63" s="59">
        <f t="shared" si="1"/>
        <v>16</v>
      </c>
      <c r="N63" s="92" t="s">
        <v>3</v>
      </c>
      <c r="O63" s="92"/>
      <c r="P63" s="19" t="s">
        <v>16</v>
      </c>
      <c r="Q63" s="92"/>
      <c r="R63" s="19" t="s">
        <v>16</v>
      </c>
    </row>
    <row r="64" spans="2:18" x14ac:dyDescent="0.25">
      <c r="B64" s="151"/>
      <c r="C64" s="151"/>
      <c r="D64" s="92">
        <v>57</v>
      </c>
      <c r="E64" s="19" t="s">
        <v>1015</v>
      </c>
      <c r="F64" s="92" t="s">
        <v>18</v>
      </c>
      <c r="G64" s="92" t="s">
        <v>1016</v>
      </c>
      <c r="H64" s="92" t="s">
        <v>1</v>
      </c>
      <c r="I64" s="92" t="s">
        <v>15</v>
      </c>
      <c r="J64" s="19"/>
      <c r="K64" s="58">
        <v>41201</v>
      </c>
      <c r="L64" s="59">
        <f t="shared" si="4"/>
        <v>2012</v>
      </c>
      <c r="M64" s="59">
        <f t="shared" si="1"/>
        <v>7</v>
      </c>
      <c r="N64" s="92" t="s">
        <v>3</v>
      </c>
      <c r="O64" s="92"/>
      <c r="P64" s="19" t="s">
        <v>16</v>
      </c>
      <c r="Q64" s="92"/>
      <c r="R64" s="19" t="s">
        <v>16</v>
      </c>
    </row>
    <row r="65" spans="2:18" ht="25.5" x14ac:dyDescent="0.25">
      <c r="B65" s="151">
        <v>15</v>
      </c>
      <c r="C65" s="151" t="s">
        <v>2306</v>
      </c>
      <c r="D65" s="92">
        <v>58</v>
      </c>
      <c r="E65" s="19" t="s">
        <v>1017</v>
      </c>
      <c r="F65" s="92" t="s">
        <v>7</v>
      </c>
      <c r="G65" s="92" t="s">
        <v>2309</v>
      </c>
      <c r="H65" s="92" t="s">
        <v>10</v>
      </c>
      <c r="I65" s="92" t="s">
        <v>2</v>
      </c>
      <c r="J65" s="19" t="s">
        <v>1631</v>
      </c>
      <c r="K65" s="58">
        <v>24472</v>
      </c>
      <c r="L65" s="59">
        <v>1966</v>
      </c>
      <c r="M65" s="59">
        <f t="shared" si="1"/>
        <v>53</v>
      </c>
      <c r="N65" s="92" t="s">
        <v>3</v>
      </c>
      <c r="O65" s="92" t="s">
        <v>1632</v>
      </c>
      <c r="P65" s="19" t="s">
        <v>1677</v>
      </c>
      <c r="Q65" s="92"/>
      <c r="R65" s="19" t="s">
        <v>1808</v>
      </c>
    </row>
    <row r="66" spans="2:18" ht="25.5" x14ac:dyDescent="0.25">
      <c r="B66" s="151"/>
      <c r="C66" s="151"/>
      <c r="D66" s="92">
        <v>59</v>
      </c>
      <c r="E66" s="19" t="s">
        <v>151</v>
      </c>
      <c r="F66" s="92" t="s">
        <v>12</v>
      </c>
      <c r="G66" s="92" t="s">
        <v>2310</v>
      </c>
      <c r="H66" s="92" t="s">
        <v>10</v>
      </c>
      <c r="I66" s="92" t="s">
        <v>2</v>
      </c>
      <c r="J66" s="19" t="s">
        <v>1623</v>
      </c>
      <c r="K66" s="58">
        <v>27066</v>
      </c>
      <c r="L66" s="59">
        <v>1974</v>
      </c>
      <c r="M66" s="59">
        <f t="shared" si="1"/>
        <v>45</v>
      </c>
      <c r="N66" s="92" t="s">
        <v>3</v>
      </c>
      <c r="O66" s="92" t="s">
        <v>1632</v>
      </c>
      <c r="P66" s="19" t="s">
        <v>1732</v>
      </c>
      <c r="Q66" s="92"/>
      <c r="R66" s="19" t="s">
        <v>1764</v>
      </c>
    </row>
    <row r="67" spans="2:18" ht="25.5" x14ac:dyDescent="0.25">
      <c r="B67" s="151"/>
      <c r="C67" s="151"/>
      <c r="D67" s="92">
        <v>60</v>
      </c>
      <c r="E67" s="19" t="s">
        <v>2307</v>
      </c>
      <c r="F67" s="92" t="s">
        <v>18</v>
      </c>
      <c r="G67" s="92" t="s">
        <v>2311</v>
      </c>
      <c r="H67" s="92" t="s">
        <v>10</v>
      </c>
      <c r="I67" s="92" t="s">
        <v>15</v>
      </c>
      <c r="J67" s="19" t="s">
        <v>1631</v>
      </c>
      <c r="K67" s="58">
        <v>35804</v>
      </c>
      <c r="L67" s="59">
        <v>1998</v>
      </c>
      <c r="M67" s="59">
        <f t="shared" ref="M67:M125" si="5">2019-L67</f>
        <v>21</v>
      </c>
      <c r="N67" s="92" t="s">
        <v>3</v>
      </c>
      <c r="O67" s="92" t="s">
        <v>1632</v>
      </c>
      <c r="P67" s="19" t="s">
        <v>1641</v>
      </c>
      <c r="Q67" s="92"/>
      <c r="R67" s="19" t="s">
        <v>1625</v>
      </c>
    </row>
    <row r="68" spans="2:18" ht="25.5" x14ac:dyDescent="0.25">
      <c r="B68" s="151"/>
      <c r="C68" s="151"/>
      <c r="D68" s="92">
        <v>61</v>
      </c>
      <c r="E68" s="19" t="s">
        <v>1018</v>
      </c>
      <c r="F68" s="92" t="s">
        <v>18</v>
      </c>
      <c r="G68" s="92" t="s">
        <v>2312</v>
      </c>
      <c r="H68" s="92" t="s">
        <v>1</v>
      </c>
      <c r="I68" s="92" t="s">
        <v>15</v>
      </c>
      <c r="J68" s="19" t="s">
        <v>1631</v>
      </c>
      <c r="K68" s="58">
        <v>40018</v>
      </c>
      <c r="L68" s="59">
        <v>2009</v>
      </c>
      <c r="M68" s="59">
        <f t="shared" si="5"/>
        <v>10</v>
      </c>
      <c r="N68" s="92" t="s">
        <v>3</v>
      </c>
      <c r="O68" s="92" t="s">
        <v>1632</v>
      </c>
      <c r="P68" s="19" t="s">
        <v>1635</v>
      </c>
      <c r="Q68" s="92"/>
      <c r="R68" s="19" t="s">
        <v>1625</v>
      </c>
    </row>
    <row r="69" spans="2:18" ht="25.5" x14ac:dyDescent="0.25">
      <c r="B69" s="151"/>
      <c r="C69" s="151"/>
      <c r="D69" s="92">
        <v>62</v>
      </c>
      <c r="E69" s="19" t="s">
        <v>2308</v>
      </c>
      <c r="F69" s="92" t="s">
        <v>18</v>
      </c>
      <c r="G69" s="92" t="s">
        <v>2313</v>
      </c>
      <c r="H69" s="92" t="s">
        <v>1</v>
      </c>
      <c r="I69" s="92" t="s">
        <v>15</v>
      </c>
      <c r="J69" s="19" t="s">
        <v>1631</v>
      </c>
      <c r="K69" s="58">
        <v>42099</v>
      </c>
      <c r="L69" s="59">
        <v>2015</v>
      </c>
      <c r="M69" s="59">
        <f t="shared" si="5"/>
        <v>4</v>
      </c>
      <c r="N69" s="92" t="s">
        <v>3</v>
      </c>
      <c r="O69" s="92" t="s">
        <v>1632</v>
      </c>
      <c r="P69" s="19" t="s">
        <v>1733</v>
      </c>
      <c r="Q69" s="92"/>
      <c r="R69" s="19" t="s">
        <v>1638</v>
      </c>
    </row>
    <row r="70" spans="2:18" x14ac:dyDescent="0.25">
      <c r="B70" s="151">
        <v>16</v>
      </c>
      <c r="C70" s="151"/>
      <c r="D70" s="92">
        <v>63</v>
      </c>
      <c r="E70" s="19" t="s">
        <v>1019</v>
      </c>
      <c r="F70" s="92" t="s">
        <v>7</v>
      </c>
      <c r="G70" s="92" t="s">
        <v>1020</v>
      </c>
      <c r="H70" s="92" t="s">
        <v>1</v>
      </c>
      <c r="I70" s="92" t="s">
        <v>2</v>
      </c>
      <c r="J70" s="19"/>
      <c r="K70" s="58">
        <v>32222</v>
      </c>
      <c r="L70" s="59">
        <f t="shared" ref="L70:L72" si="6">YEAR(K70)</f>
        <v>1988</v>
      </c>
      <c r="M70" s="59">
        <f t="shared" si="5"/>
        <v>31</v>
      </c>
      <c r="N70" s="92" t="s">
        <v>3</v>
      </c>
      <c r="O70" s="92"/>
      <c r="P70" s="19" t="s">
        <v>27</v>
      </c>
      <c r="Q70" s="92"/>
      <c r="R70" s="19" t="s">
        <v>37</v>
      </c>
    </row>
    <row r="71" spans="2:18" x14ac:dyDescent="0.25">
      <c r="B71" s="151"/>
      <c r="C71" s="151"/>
      <c r="D71" s="92">
        <v>64</v>
      </c>
      <c r="E71" s="19" t="s">
        <v>1021</v>
      </c>
      <c r="F71" s="92" t="s">
        <v>12</v>
      </c>
      <c r="G71" s="92" t="s">
        <v>1022</v>
      </c>
      <c r="H71" s="92" t="s">
        <v>10</v>
      </c>
      <c r="I71" s="92" t="s">
        <v>2</v>
      </c>
      <c r="J71" s="19"/>
      <c r="K71" s="58">
        <v>32873</v>
      </c>
      <c r="L71" s="59">
        <f t="shared" si="6"/>
        <v>1989</v>
      </c>
      <c r="M71" s="59">
        <f t="shared" si="5"/>
        <v>30</v>
      </c>
      <c r="N71" s="92" t="s">
        <v>3</v>
      </c>
      <c r="O71" s="92"/>
      <c r="P71" s="19" t="s">
        <v>35</v>
      </c>
      <c r="Q71" s="92"/>
      <c r="R71" s="19" t="s">
        <v>16</v>
      </c>
    </row>
    <row r="72" spans="2:18" ht="25.5" x14ac:dyDescent="0.25">
      <c r="B72" s="151"/>
      <c r="C72" s="151"/>
      <c r="D72" s="92">
        <v>65</v>
      </c>
      <c r="E72" s="19" t="s">
        <v>1023</v>
      </c>
      <c r="F72" s="92" t="s">
        <v>18</v>
      </c>
      <c r="G72" s="92" t="s">
        <v>1024</v>
      </c>
      <c r="H72" s="92" t="s">
        <v>1</v>
      </c>
      <c r="I72" s="92" t="s">
        <v>15</v>
      </c>
      <c r="J72" s="19"/>
      <c r="K72" s="58">
        <v>40033</v>
      </c>
      <c r="L72" s="59">
        <f t="shared" si="6"/>
        <v>2009</v>
      </c>
      <c r="M72" s="59">
        <f t="shared" si="5"/>
        <v>10</v>
      </c>
      <c r="N72" s="92" t="s">
        <v>3</v>
      </c>
      <c r="O72" s="92"/>
      <c r="P72" s="19" t="s">
        <v>16</v>
      </c>
      <c r="Q72" s="92"/>
      <c r="R72" s="19" t="s">
        <v>16</v>
      </c>
    </row>
    <row r="73" spans="2:18" ht="25.5" x14ac:dyDescent="0.25">
      <c r="B73" s="151">
        <v>17</v>
      </c>
      <c r="C73" s="151" t="s">
        <v>1787</v>
      </c>
      <c r="D73" s="92">
        <v>66</v>
      </c>
      <c r="E73" s="19" t="s">
        <v>1025</v>
      </c>
      <c r="F73" s="92" t="s">
        <v>7</v>
      </c>
      <c r="G73" s="92" t="s">
        <v>1788</v>
      </c>
      <c r="H73" s="92" t="s">
        <v>1</v>
      </c>
      <c r="I73" s="92" t="s">
        <v>2</v>
      </c>
      <c r="J73" s="19" t="s">
        <v>1677</v>
      </c>
      <c r="K73" s="58">
        <v>30658</v>
      </c>
      <c r="L73" s="59">
        <v>1983</v>
      </c>
      <c r="M73" s="59">
        <f t="shared" si="5"/>
        <v>36</v>
      </c>
      <c r="N73" s="92" t="s">
        <v>3</v>
      </c>
      <c r="O73" s="92" t="s">
        <v>1632</v>
      </c>
      <c r="P73" s="19" t="s">
        <v>1677</v>
      </c>
      <c r="Q73" s="92"/>
      <c r="R73" s="19" t="s">
        <v>39</v>
      </c>
    </row>
    <row r="74" spans="2:18" x14ac:dyDescent="0.25">
      <c r="B74" s="151"/>
      <c r="C74" s="151"/>
      <c r="D74" s="92">
        <v>67</v>
      </c>
      <c r="E74" s="19" t="s">
        <v>1026</v>
      </c>
      <c r="F74" s="92" t="s">
        <v>12</v>
      </c>
      <c r="G74" s="92" t="s">
        <v>1789</v>
      </c>
      <c r="H74" s="92" t="s">
        <v>10</v>
      </c>
      <c r="I74" s="92" t="s">
        <v>2</v>
      </c>
      <c r="J74" s="19" t="s">
        <v>1677</v>
      </c>
      <c r="K74" s="58">
        <v>31882</v>
      </c>
      <c r="L74" s="59">
        <v>1987</v>
      </c>
      <c r="M74" s="59">
        <f t="shared" si="5"/>
        <v>32</v>
      </c>
      <c r="N74" s="92" t="s">
        <v>3</v>
      </c>
      <c r="O74" s="92" t="s">
        <v>1632</v>
      </c>
      <c r="P74" s="19" t="s">
        <v>1677</v>
      </c>
      <c r="Q74" s="92"/>
      <c r="R74" s="19" t="s">
        <v>1791</v>
      </c>
    </row>
    <row r="75" spans="2:18" ht="25.5" x14ac:dyDescent="0.25">
      <c r="B75" s="151"/>
      <c r="C75" s="151"/>
      <c r="D75" s="92">
        <v>68</v>
      </c>
      <c r="E75" s="19" t="s">
        <v>1027</v>
      </c>
      <c r="F75" s="92" t="s">
        <v>75</v>
      </c>
      <c r="G75" s="92" t="s">
        <v>1790</v>
      </c>
      <c r="H75" s="92" t="s">
        <v>10</v>
      </c>
      <c r="I75" s="92" t="s">
        <v>15</v>
      </c>
      <c r="J75" s="19" t="s">
        <v>1733</v>
      </c>
      <c r="K75" s="58">
        <v>41415</v>
      </c>
      <c r="L75" s="59">
        <v>2013</v>
      </c>
      <c r="M75" s="59">
        <f t="shared" si="5"/>
        <v>6</v>
      </c>
      <c r="N75" s="92" t="s">
        <v>3</v>
      </c>
      <c r="O75" s="92" t="s">
        <v>1632</v>
      </c>
      <c r="P75" s="19" t="s">
        <v>1733</v>
      </c>
      <c r="Q75" s="92"/>
      <c r="R75" s="19" t="s">
        <v>1638</v>
      </c>
    </row>
    <row r="76" spans="2:18" x14ac:dyDescent="0.25">
      <c r="B76" s="151">
        <v>18</v>
      </c>
      <c r="C76" s="151" t="s">
        <v>1798</v>
      </c>
      <c r="D76" s="92">
        <v>69</v>
      </c>
      <c r="E76" s="19" t="s">
        <v>1799</v>
      </c>
      <c r="F76" s="92" t="s">
        <v>7</v>
      </c>
      <c r="G76" s="92" t="s">
        <v>1028</v>
      </c>
      <c r="H76" s="92" t="s">
        <v>1</v>
      </c>
      <c r="I76" s="92" t="s">
        <v>2</v>
      </c>
      <c r="J76" s="19" t="s">
        <v>1802</v>
      </c>
      <c r="K76" s="58">
        <v>29085</v>
      </c>
      <c r="L76" s="59">
        <v>1979</v>
      </c>
      <c r="M76" s="59">
        <f t="shared" si="5"/>
        <v>40</v>
      </c>
      <c r="N76" s="92" t="s">
        <v>3</v>
      </c>
      <c r="O76" s="92" t="s">
        <v>1632</v>
      </c>
      <c r="P76" s="19" t="s">
        <v>1803</v>
      </c>
      <c r="Q76" s="92"/>
      <c r="R76" s="19" t="s">
        <v>39</v>
      </c>
    </row>
    <row r="77" spans="2:18" ht="25.5" x14ac:dyDescent="0.25">
      <c r="B77" s="151"/>
      <c r="C77" s="151"/>
      <c r="D77" s="92">
        <v>70</v>
      </c>
      <c r="E77" s="19" t="s">
        <v>1029</v>
      </c>
      <c r="F77" s="92" t="s">
        <v>12</v>
      </c>
      <c r="G77" s="92" t="s">
        <v>1800</v>
      </c>
      <c r="H77" s="92" t="s">
        <v>10</v>
      </c>
      <c r="I77" s="92" t="s">
        <v>2</v>
      </c>
      <c r="J77" s="19" t="s">
        <v>1623</v>
      </c>
      <c r="K77" s="58">
        <v>29454</v>
      </c>
      <c r="L77" s="59">
        <v>1980</v>
      </c>
      <c r="M77" s="59">
        <f t="shared" si="5"/>
        <v>39</v>
      </c>
      <c r="N77" s="92" t="s">
        <v>3</v>
      </c>
      <c r="O77" s="92" t="s">
        <v>1632</v>
      </c>
      <c r="P77" s="19" t="s">
        <v>1641</v>
      </c>
      <c r="Q77" s="92"/>
      <c r="R77" s="19" t="s">
        <v>1764</v>
      </c>
    </row>
    <row r="78" spans="2:18" x14ac:dyDescent="0.25">
      <c r="B78" s="151"/>
      <c r="C78" s="151"/>
      <c r="D78" s="92">
        <v>71</v>
      </c>
      <c r="E78" s="19" t="s">
        <v>1030</v>
      </c>
      <c r="F78" s="92" t="s">
        <v>18</v>
      </c>
      <c r="G78" s="92" t="s">
        <v>1801</v>
      </c>
      <c r="H78" s="92" t="s">
        <v>1</v>
      </c>
      <c r="I78" s="92" t="s">
        <v>15</v>
      </c>
      <c r="J78" s="19" t="s">
        <v>1623</v>
      </c>
      <c r="K78" s="58">
        <v>38799</v>
      </c>
      <c r="L78" s="59">
        <v>2006</v>
      </c>
      <c r="M78" s="59">
        <f t="shared" si="5"/>
        <v>13</v>
      </c>
      <c r="N78" s="92" t="s">
        <v>3</v>
      </c>
      <c r="O78" s="92" t="s">
        <v>1632</v>
      </c>
      <c r="P78" s="19" t="s">
        <v>1755</v>
      </c>
      <c r="Q78" s="92"/>
      <c r="R78" s="19" t="s">
        <v>1625</v>
      </c>
    </row>
    <row r="79" spans="2:18" x14ac:dyDescent="0.25">
      <c r="B79" s="151">
        <v>19</v>
      </c>
      <c r="C79" s="151"/>
      <c r="D79" s="92">
        <v>72</v>
      </c>
      <c r="E79" s="19" t="s">
        <v>780</v>
      </c>
      <c r="F79" s="92" t="s">
        <v>7</v>
      </c>
      <c r="G79" s="92" t="s">
        <v>1037</v>
      </c>
      <c r="H79" s="92" t="s">
        <v>1</v>
      </c>
      <c r="I79" s="92" t="s">
        <v>2</v>
      </c>
      <c r="J79" s="19"/>
      <c r="K79" s="58">
        <v>15706</v>
      </c>
      <c r="L79" s="59">
        <f t="shared" ref="L79:L81" si="7">YEAR(K79)</f>
        <v>1942</v>
      </c>
      <c r="M79" s="59">
        <f t="shared" si="5"/>
        <v>77</v>
      </c>
      <c r="N79" s="92" t="s">
        <v>3</v>
      </c>
      <c r="O79" s="92"/>
      <c r="P79" s="19" t="s">
        <v>27</v>
      </c>
      <c r="Q79" s="92"/>
      <c r="R79" s="19" t="s">
        <v>39</v>
      </c>
    </row>
    <row r="80" spans="2:18" x14ac:dyDescent="0.25">
      <c r="B80" s="151"/>
      <c r="C80" s="151"/>
      <c r="D80" s="92">
        <v>73</v>
      </c>
      <c r="E80" s="19" t="s">
        <v>1038</v>
      </c>
      <c r="F80" s="92" t="s">
        <v>18</v>
      </c>
      <c r="G80" s="92" t="s">
        <v>1039</v>
      </c>
      <c r="H80" s="92" t="s">
        <v>10</v>
      </c>
      <c r="I80" s="92" t="s">
        <v>15</v>
      </c>
      <c r="J80" s="19"/>
      <c r="K80" s="58">
        <v>30852</v>
      </c>
      <c r="L80" s="59">
        <f t="shared" si="7"/>
        <v>1984</v>
      </c>
      <c r="M80" s="59">
        <f t="shared" si="5"/>
        <v>35</v>
      </c>
      <c r="N80" s="92" t="s">
        <v>3</v>
      </c>
      <c r="O80" s="92"/>
      <c r="P80" s="19" t="s">
        <v>46</v>
      </c>
      <c r="Q80" s="92"/>
      <c r="R80" s="19" t="s">
        <v>16</v>
      </c>
    </row>
    <row r="81" spans="2:18" ht="25.5" x14ac:dyDescent="0.25">
      <c r="B81" s="151"/>
      <c r="C81" s="151"/>
      <c r="D81" s="92">
        <v>74</v>
      </c>
      <c r="E81" s="19" t="s">
        <v>1040</v>
      </c>
      <c r="F81" s="92" t="s">
        <v>24</v>
      </c>
      <c r="G81" s="92">
        <v>0</v>
      </c>
      <c r="H81" s="92" t="s">
        <v>10</v>
      </c>
      <c r="I81" s="92" t="s">
        <v>15</v>
      </c>
      <c r="J81" s="19"/>
      <c r="K81" s="58">
        <v>38943</v>
      </c>
      <c r="L81" s="59">
        <f t="shared" si="7"/>
        <v>2006</v>
      </c>
      <c r="M81" s="59">
        <f t="shared" si="5"/>
        <v>13</v>
      </c>
      <c r="N81" s="92" t="s">
        <v>3</v>
      </c>
      <c r="O81" s="92"/>
      <c r="P81" s="19" t="s">
        <v>16</v>
      </c>
      <c r="Q81" s="92"/>
      <c r="R81" s="19" t="s">
        <v>16</v>
      </c>
    </row>
    <row r="82" spans="2:18" ht="25.5" x14ac:dyDescent="0.25">
      <c r="B82" s="151">
        <v>20</v>
      </c>
      <c r="C82" s="151" t="s">
        <v>1784</v>
      </c>
      <c r="D82" s="92">
        <v>75</v>
      </c>
      <c r="E82" s="19" t="s">
        <v>1783</v>
      </c>
      <c r="F82" s="92" t="s">
        <v>7</v>
      </c>
      <c r="G82" s="92" t="s">
        <v>1785</v>
      </c>
      <c r="H82" s="92" t="s">
        <v>1</v>
      </c>
      <c r="I82" s="92" t="s">
        <v>2</v>
      </c>
      <c r="J82" s="19" t="s">
        <v>1631</v>
      </c>
      <c r="K82" s="58">
        <v>21182</v>
      </c>
      <c r="L82" s="59">
        <v>1957</v>
      </c>
      <c r="M82" s="59">
        <f t="shared" si="5"/>
        <v>62</v>
      </c>
      <c r="N82" s="92" t="s">
        <v>3</v>
      </c>
      <c r="O82" s="92"/>
      <c r="P82" s="19" t="s">
        <v>1677</v>
      </c>
      <c r="Q82" s="92"/>
      <c r="R82" s="19" t="s">
        <v>39</v>
      </c>
    </row>
    <row r="83" spans="2:18" ht="25.5" x14ac:dyDescent="0.25">
      <c r="B83" s="151"/>
      <c r="C83" s="151"/>
      <c r="D83" s="92">
        <v>76</v>
      </c>
      <c r="E83" s="19" t="s">
        <v>151</v>
      </c>
      <c r="F83" s="92" t="s">
        <v>12</v>
      </c>
      <c r="G83" s="92" t="s">
        <v>1041</v>
      </c>
      <c r="H83" s="92" t="s">
        <v>10</v>
      </c>
      <c r="I83" s="92" t="s">
        <v>2</v>
      </c>
      <c r="J83" s="19" t="s">
        <v>1631</v>
      </c>
      <c r="K83" s="58">
        <v>24106</v>
      </c>
      <c r="L83" s="59">
        <v>1965</v>
      </c>
      <c r="M83" s="59">
        <f t="shared" si="5"/>
        <v>54</v>
      </c>
      <c r="N83" s="92" t="s">
        <v>3</v>
      </c>
      <c r="O83" s="92"/>
      <c r="P83" s="19" t="s">
        <v>1732</v>
      </c>
      <c r="Q83" s="92"/>
      <c r="R83" s="19" t="s">
        <v>43</v>
      </c>
    </row>
    <row r="84" spans="2:18" ht="25.5" x14ac:dyDescent="0.25">
      <c r="B84" s="151"/>
      <c r="C84" s="151"/>
      <c r="D84" s="92">
        <v>77</v>
      </c>
      <c r="E84" s="19" t="s">
        <v>1042</v>
      </c>
      <c r="F84" s="92" t="s">
        <v>18</v>
      </c>
      <c r="G84" s="92" t="s">
        <v>1786</v>
      </c>
      <c r="H84" s="92" t="s">
        <v>1</v>
      </c>
      <c r="I84" s="92" t="s">
        <v>15</v>
      </c>
      <c r="J84" s="19" t="s">
        <v>1631</v>
      </c>
      <c r="K84" s="58">
        <v>36133</v>
      </c>
      <c r="L84" s="59">
        <v>1998</v>
      </c>
      <c r="M84" s="59">
        <f t="shared" si="5"/>
        <v>21</v>
      </c>
      <c r="N84" s="92" t="s">
        <v>3</v>
      </c>
      <c r="O84" s="92"/>
      <c r="P84" s="19" t="s">
        <v>1677</v>
      </c>
      <c r="Q84" s="92"/>
      <c r="R84" s="19" t="s">
        <v>1625</v>
      </c>
    </row>
    <row r="85" spans="2:18" ht="25.5" x14ac:dyDescent="0.25">
      <c r="B85" s="151">
        <v>21</v>
      </c>
      <c r="C85" s="151" t="s">
        <v>1767</v>
      </c>
      <c r="D85" s="92">
        <v>78</v>
      </c>
      <c r="E85" s="19" t="s">
        <v>1064</v>
      </c>
      <c r="F85" s="92" t="s">
        <v>7</v>
      </c>
      <c r="G85" s="92" t="s">
        <v>1765</v>
      </c>
      <c r="H85" s="92" t="s">
        <v>1</v>
      </c>
      <c r="I85" s="92" t="s">
        <v>2</v>
      </c>
      <c r="J85" s="19" t="s">
        <v>1631</v>
      </c>
      <c r="K85" s="58">
        <v>29815</v>
      </c>
      <c r="L85" s="59">
        <v>1981</v>
      </c>
      <c r="M85" s="59">
        <f t="shared" si="5"/>
        <v>38</v>
      </c>
      <c r="N85" s="92" t="s">
        <v>3</v>
      </c>
      <c r="O85" s="92"/>
      <c r="P85" s="19" t="s">
        <v>1677</v>
      </c>
      <c r="Q85" s="92"/>
      <c r="R85" s="19" t="s">
        <v>39</v>
      </c>
    </row>
    <row r="86" spans="2:18" ht="25.5" x14ac:dyDescent="0.25">
      <c r="B86" s="151"/>
      <c r="C86" s="151"/>
      <c r="D86" s="92">
        <v>79</v>
      </c>
      <c r="E86" s="19" t="s">
        <v>1043</v>
      </c>
      <c r="F86" s="92" t="s">
        <v>12</v>
      </c>
      <c r="G86" s="92" t="s">
        <v>1766</v>
      </c>
      <c r="H86" s="92" t="s">
        <v>10</v>
      </c>
      <c r="I86" s="92" t="s">
        <v>2</v>
      </c>
      <c r="J86" s="19" t="s">
        <v>1631</v>
      </c>
      <c r="K86" s="58">
        <v>33428</v>
      </c>
      <c r="L86" s="59">
        <v>1991</v>
      </c>
      <c r="M86" s="59">
        <f t="shared" si="5"/>
        <v>28</v>
      </c>
      <c r="N86" s="92" t="s">
        <v>3</v>
      </c>
      <c r="O86" s="92"/>
      <c r="P86" s="19" t="s">
        <v>1677</v>
      </c>
      <c r="Q86" s="92"/>
      <c r="R86" s="19" t="s">
        <v>1764</v>
      </c>
    </row>
    <row r="87" spans="2:18" ht="25.5" x14ac:dyDescent="0.25">
      <c r="B87" s="151"/>
      <c r="C87" s="151"/>
      <c r="D87" s="92">
        <v>80</v>
      </c>
      <c r="E87" s="19" t="s">
        <v>1044</v>
      </c>
      <c r="F87" s="92" t="s">
        <v>18</v>
      </c>
      <c r="G87" s="92" t="s">
        <v>1045</v>
      </c>
      <c r="H87" s="92" t="s">
        <v>1</v>
      </c>
      <c r="I87" s="92" t="s">
        <v>15</v>
      </c>
      <c r="J87" s="19" t="s">
        <v>1631</v>
      </c>
      <c r="K87" s="58">
        <v>41548</v>
      </c>
      <c r="L87" s="59">
        <v>2013</v>
      </c>
      <c r="M87" s="59">
        <f t="shared" si="5"/>
        <v>6</v>
      </c>
      <c r="N87" s="92" t="s">
        <v>3</v>
      </c>
      <c r="O87" s="92"/>
      <c r="P87" s="19" t="s">
        <v>1733</v>
      </c>
      <c r="Q87" s="92"/>
      <c r="R87" s="19" t="s">
        <v>1638</v>
      </c>
    </row>
    <row r="88" spans="2:18" ht="25.5" x14ac:dyDescent="0.25">
      <c r="B88" s="151">
        <v>22</v>
      </c>
      <c r="C88" s="151" t="s">
        <v>1797</v>
      </c>
      <c r="D88" s="92">
        <v>81</v>
      </c>
      <c r="E88" s="19" t="s">
        <v>1046</v>
      </c>
      <c r="F88" s="92" t="s">
        <v>7</v>
      </c>
      <c r="G88" s="92" t="s">
        <v>1047</v>
      </c>
      <c r="H88" s="92" t="s">
        <v>1</v>
      </c>
      <c r="I88" s="92" t="s">
        <v>2</v>
      </c>
      <c r="J88" s="19" t="s">
        <v>1631</v>
      </c>
      <c r="K88" s="58">
        <v>29227</v>
      </c>
      <c r="L88" s="59">
        <v>1980</v>
      </c>
      <c r="M88" s="59">
        <f t="shared" si="5"/>
        <v>39</v>
      </c>
      <c r="N88" s="92" t="s">
        <v>3</v>
      </c>
      <c r="O88" s="92" t="s">
        <v>1632</v>
      </c>
      <c r="P88" s="19" t="s">
        <v>1677</v>
      </c>
      <c r="Q88" s="92"/>
      <c r="R88" s="19" t="s">
        <v>39</v>
      </c>
    </row>
    <row r="89" spans="2:18" ht="25.5" x14ac:dyDescent="0.25">
      <c r="B89" s="151"/>
      <c r="C89" s="151"/>
      <c r="D89" s="92">
        <v>82</v>
      </c>
      <c r="E89" s="19" t="s">
        <v>42</v>
      </c>
      <c r="F89" s="92" t="s">
        <v>12</v>
      </c>
      <c r="G89" s="92" t="s">
        <v>1048</v>
      </c>
      <c r="H89" s="92" t="s">
        <v>10</v>
      </c>
      <c r="I89" s="92" t="s">
        <v>2</v>
      </c>
      <c r="J89" s="19" t="s">
        <v>1623</v>
      </c>
      <c r="K89" s="58">
        <v>29423</v>
      </c>
      <c r="L89" s="59">
        <v>1980</v>
      </c>
      <c r="M89" s="59">
        <f t="shared" si="5"/>
        <v>39</v>
      </c>
      <c r="N89" s="92" t="s">
        <v>3</v>
      </c>
      <c r="O89" s="92" t="s">
        <v>1632</v>
      </c>
      <c r="P89" s="19" t="s">
        <v>1732</v>
      </c>
      <c r="Q89" s="92"/>
      <c r="R89" s="19" t="s">
        <v>1764</v>
      </c>
    </row>
    <row r="90" spans="2:18" ht="25.5" x14ac:dyDescent="0.25">
      <c r="B90" s="151"/>
      <c r="C90" s="151"/>
      <c r="D90" s="92">
        <v>83</v>
      </c>
      <c r="E90" s="19" t="s">
        <v>1796</v>
      </c>
      <c r="F90" s="92" t="s">
        <v>18</v>
      </c>
      <c r="G90" s="92" t="s">
        <v>1049</v>
      </c>
      <c r="H90" s="92" t="s">
        <v>10</v>
      </c>
      <c r="I90" s="92" t="s">
        <v>15</v>
      </c>
      <c r="J90" s="19" t="s">
        <v>1623</v>
      </c>
      <c r="K90" s="58">
        <v>41786</v>
      </c>
      <c r="L90" s="59">
        <v>2014</v>
      </c>
      <c r="M90" s="59">
        <f t="shared" si="5"/>
        <v>5</v>
      </c>
      <c r="N90" s="92" t="s">
        <v>3</v>
      </c>
      <c r="O90" s="92" t="s">
        <v>1632</v>
      </c>
      <c r="P90" s="19" t="s">
        <v>1733</v>
      </c>
      <c r="Q90" s="92"/>
      <c r="R90" s="19" t="s">
        <v>1638</v>
      </c>
    </row>
    <row r="91" spans="2:18" x14ac:dyDescent="0.25">
      <c r="B91" s="151">
        <v>23</v>
      </c>
      <c r="C91" s="151"/>
      <c r="D91" s="92">
        <v>84</v>
      </c>
      <c r="E91" s="19" t="s">
        <v>166</v>
      </c>
      <c r="F91" s="92" t="s">
        <v>7</v>
      </c>
      <c r="G91" s="92" t="s">
        <v>1050</v>
      </c>
      <c r="H91" s="92" t="s">
        <v>10</v>
      </c>
      <c r="I91" s="92" t="s">
        <v>21</v>
      </c>
      <c r="J91" s="19"/>
      <c r="K91" s="58">
        <v>17349</v>
      </c>
      <c r="L91" s="59">
        <f t="shared" ref="L91:L93" si="8">YEAR(K91)</f>
        <v>1947</v>
      </c>
      <c r="M91" s="59">
        <f t="shared" si="5"/>
        <v>72</v>
      </c>
      <c r="N91" s="92" t="s">
        <v>3</v>
      </c>
      <c r="O91" s="92"/>
      <c r="P91" s="19" t="s">
        <v>16</v>
      </c>
      <c r="Q91" s="92"/>
      <c r="R91" s="19" t="s">
        <v>16</v>
      </c>
    </row>
    <row r="92" spans="2:18" x14ac:dyDescent="0.25">
      <c r="B92" s="151"/>
      <c r="C92" s="151"/>
      <c r="D92" s="92">
        <v>85</v>
      </c>
      <c r="E92" s="19" t="s">
        <v>1051</v>
      </c>
      <c r="F92" s="92" t="s">
        <v>24</v>
      </c>
      <c r="G92" s="92" t="s">
        <v>1052</v>
      </c>
      <c r="H92" s="92" t="s">
        <v>1</v>
      </c>
      <c r="I92" s="92" t="s">
        <v>15</v>
      </c>
      <c r="J92" s="19"/>
      <c r="K92" s="58">
        <v>34670</v>
      </c>
      <c r="L92" s="59">
        <f t="shared" si="8"/>
        <v>1994</v>
      </c>
      <c r="M92" s="59">
        <f t="shared" si="5"/>
        <v>25</v>
      </c>
      <c r="N92" s="92" t="s">
        <v>3</v>
      </c>
      <c r="O92" s="92"/>
      <c r="P92" s="19" t="s">
        <v>27</v>
      </c>
      <c r="Q92" s="92"/>
      <c r="R92" s="19" t="s">
        <v>28</v>
      </c>
    </row>
    <row r="93" spans="2:18" x14ac:dyDescent="0.25">
      <c r="B93" s="151"/>
      <c r="C93" s="151"/>
      <c r="D93" s="92">
        <v>86</v>
      </c>
      <c r="E93" s="19" t="s">
        <v>1053</v>
      </c>
      <c r="F93" s="92" t="s">
        <v>24</v>
      </c>
      <c r="G93" s="92" t="s">
        <v>1054</v>
      </c>
      <c r="H93" s="92" t="s">
        <v>1</v>
      </c>
      <c r="I93" s="92" t="s">
        <v>15</v>
      </c>
      <c r="J93" s="19"/>
      <c r="K93" s="58">
        <v>36358</v>
      </c>
      <c r="L93" s="59">
        <f t="shared" si="8"/>
        <v>1999</v>
      </c>
      <c r="M93" s="59">
        <f t="shared" si="5"/>
        <v>20</v>
      </c>
      <c r="N93" s="92" t="s">
        <v>3</v>
      </c>
      <c r="O93" s="92"/>
      <c r="P93" s="19" t="s">
        <v>35</v>
      </c>
      <c r="Q93" s="92"/>
      <c r="R93" s="19" t="s">
        <v>16</v>
      </c>
    </row>
    <row r="94" spans="2:18" ht="25.5" x14ac:dyDescent="0.25">
      <c r="B94" s="151">
        <v>24</v>
      </c>
      <c r="C94" s="151" t="s">
        <v>1760</v>
      </c>
      <c r="D94" s="92">
        <v>87</v>
      </c>
      <c r="E94" s="19" t="s">
        <v>1055</v>
      </c>
      <c r="F94" s="92" t="s">
        <v>7</v>
      </c>
      <c r="G94" s="92" t="s">
        <v>1761</v>
      </c>
      <c r="H94" s="92" t="s">
        <v>1</v>
      </c>
      <c r="I94" s="92" t="s">
        <v>2</v>
      </c>
      <c r="J94" s="19"/>
      <c r="K94" s="58">
        <v>16071</v>
      </c>
      <c r="L94" s="59">
        <v>1943</v>
      </c>
      <c r="M94" s="59">
        <f t="shared" si="5"/>
        <v>76</v>
      </c>
      <c r="N94" s="92" t="s">
        <v>3</v>
      </c>
      <c r="O94" s="92" t="s">
        <v>1632</v>
      </c>
      <c r="P94" s="19" t="s">
        <v>1732</v>
      </c>
      <c r="Q94" s="92"/>
      <c r="R94" s="19" t="s">
        <v>1710</v>
      </c>
    </row>
    <row r="95" spans="2:18" ht="25.5" x14ac:dyDescent="0.25">
      <c r="B95" s="151"/>
      <c r="C95" s="151"/>
      <c r="D95" s="92">
        <v>88</v>
      </c>
      <c r="E95" s="19" t="s">
        <v>1056</v>
      </c>
      <c r="F95" s="92" t="s">
        <v>12</v>
      </c>
      <c r="G95" s="92" t="s">
        <v>1762</v>
      </c>
      <c r="H95" s="92" t="s">
        <v>10</v>
      </c>
      <c r="I95" s="92" t="s">
        <v>2</v>
      </c>
      <c r="J95" s="19"/>
      <c r="K95" s="58">
        <v>19359</v>
      </c>
      <c r="L95" s="59">
        <v>1952</v>
      </c>
      <c r="M95" s="59">
        <f t="shared" si="5"/>
        <v>67</v>
      </c>
      <c r="N95" s="92" t="s">
        <v>3</v>
      </c>
      <c r="O95" s="92" t="s">
        <v>1632</v>
      </c>
      <c r="P95" s="19" t="s">
        <v>1641</v>
      </c>
      <c r="Q95" s="92"/>
      <c r="R95" s="19" t="s">
        <v>1764</v>
      </c>
    </row>
    <row r="96" spans="2:18" x14ac:dyDescent="0.25">
      <c r="B96" s="151"/>
      <c r="C96" s="151"/>
      <c r="D96" s="92">
        <v>89</v>
      </c>
      <c r="E96" s="19" t="s">
        <v>1057</v>
      </c>
      <c r="F96" s="92" t="s">
        <v>18</v>
      </c>
      <c r="G96" s="92" t="s">
        <v>1763</v>
      </c>
      <c r="H96" s="92" t="s">
        <v>1</v>
      </c>
      <c r="I96" s="92" t="s">
        <v>15</v>
      </c>
      <c r="J96" s="19"/>
      <c r="K96" s="58">
        <v>32420</v>
      </c>
      <c r="L96" s="59">
        <v>1988</v>
      </c>
      <c r="M96" s="59">
        <f t="shared" si="5"/>
        <v>31</v>
      </c>
      <c r="N96" s="92" t="s">
        <v>3</v>
      </c>
      <c r="O96" s="92" t="s">
        <v>1632</v>
      </c>
      <c r="P96" s="19" t="s">
        <v>1677</v>
      </c>
      <c r="Q96" s="92"/>
      <c r="R96" s="19" t="s">
        <v>39</v>
      </c>
    </row>
    <row r="97" spans="2:18" ht="25.5" x14ac:dyDescent="0.25">
      <c r="B97" s="151">
        <v>25</v>
      </c>
      <c r="C97" s="151" t="s">
        <v>1950</v>
      </c>
      <c r="D97" s="92">
        <v>90</v>
      </c>
      <c r="E97" s="19" t="s">
        <v>1058</v>
      </c>
      <c r="F97" s="92" t="s">
        <v>7</v>
      </c>
      <c r="G97" s="92" t="s">
        <v>1059</v>
      </c>
      <c r="H97" s="92" t="s">
        <v>1</v>
      </c>
      <c r="I97" s="92" t="s">
        <v>2</v>
      </c>
      <c r="J97" s="19"/>
      <c r="K97" s="58">
        <v>31412</v>
      </c>
      <c r="L97" s="59">
        <f t="shared" ref="L97:L105" si="9">YEAR(K97)</f>
        <v>1985</v>
      </c>
      <c r="M97" s="59">
        <f t="shared" si="5"/>
        <v>34</v>
      </c>
      <c r="N97" s="92" t="s">
        <v>3</v>
      </c>
      <c r="O97" s="92"/>
      <c r="P97" s="19" t="s">
        <v>4</v>
      </c>
      <c r="Q97" s="92"/>
      <c r="R97" s="19" t="s">
        <v>39</v>
      </c>
    </row>
    <row r="98" spans="2:18" x14ac:dyDescent="0.25">
      <c r="B98" s="151"/>
      <c r="C98" s="151"/>
      <c r="D98" s="92">
        <v>91</v>
      </c>
      <c r="E98" s="19" t="s">
        <v>1060</v>
      </c>
      <c r="F98" s="92" t="s">
        <v>12</v>
      </c>
      <c r="G98" s="92" t="s">
        <v>1061</v>
      </c>
      <c r="H98" s="92" t="s">
        <v>10</v>
      </c>
      <c r="I98" s="92" t="s">
        <v>2</v>
      </c>
      <c r="J98" s="19"/>
      <c r="K98" s="58">
        <v>33333</v>
      </c>
      <c r="L98" s="59">
        <f t="shared" si="9"/>
        <v>1991</v>
      </c>
      <c r="M98" s="59">
        <f t="shared" si="5"/>
        <v>28</v>
      </c>
      <c r="N98" s="92" t="s">
        <v>3</v>
      </c>
      <c r="O98" s="92"/>
      <c r="P98" s="19" t="s">
        <v>27</v>
      </c>
      <c r="Q98" s="92"/>
      <c r="R98" s="19" t="s">
        <v>43</v>
      </c>
    </row>
    <row r="99" spans="2:18" ht="25.5" x14ac:dyDescent="0.25">
      <c r="B99" s="151"/>
      <c r="C99" s="151"/>
      <c r="D99" s="92">
        <v>92</v>
      </c>
      <c r="E99" s="19" t="s">
        <v>1062</v>
      </c>
      <c r="F99" s="92" t="s">
        <v>18</v>
      </c>
      <c r="G99" s="92" t="s">
        <v>1063</v>
      </c>
      <c r="H99" s="92" t="s">
        <v>1</v>
      </c>
      <c r="I99" s="92" t="s">
        <v>15</v>
      </c>
      <c r="J99" s="19"/>
      <c r="K99" s="58">
        <v>41505</v>
      </c>
      <c r="L99" s="59">
        <f t="shared" si="9"/>
        <v>2013</v>
      </c>
      <c r="M99" s="59">
        <f t="shared" si="5"/>
        <v>6</v>
      </c>
      <c r="N99" s="92" t="s">
        <v>3</v>
      </c>
      <c r="O99" s="92"/>
      <c r="P99" s="19" t="s">
        <v>16</v>
      </c>
      <c r="Q99" s="92"/>
      <c r="R99" s="19" t="s">
        <v>16</v>
      </c>
    </row>
    <row r="100" spans="2:18" x14ac:dyDescent="0.25">
      <c r="B100" s="151">
        <v>26</v>
      </c>
      <c r="C100" s="151"/>
      <c r="D100" s="92">
        <v>93</v>
      </c>
      <c r="E100" s="19" t="s">
        <v>1064</v>
      </c>
      <c r="F100" s="92" t="s">
        <v>7</v>
      </c>
      <c r="G100" s="92" t="s">
        <v>1065</v>
      </c>
      <c r="H100" s="92" t="s">
        <v>1</v>
      </c>
      <c r="I100" s="92" t="s">
        <v>2</v>
      </c>
      <c r="J100" s="19"/>
      <c r="K100" s="58">
        <v>28855</v>
      </c>
      <c r="L100" s="59">
        <f t="shared" si="9"/>
        <v>1978</v>
      </c>
      <c r="M100" s="59">
        <f t="shared" si="5"/>
        <v>41</v>
      </c>
      <c r="N100" s="92" t="s">
        <v>3</v>
      </c>
      <c r="O100" s="92"/>
      <c r="P100" s="19" t="s">
        <v>46</v>
      </c>
      <c r="Q100" s="92"/>
      <c r="R100" s="19" t="s">
        <v>28</v>
      </c>
    </row>
    <row r="101" spans="2:18" x14ac:dyDescent="0.25">
      <c r="B101" s="151"/>
      <c r="C101" s="151"/>
      <c r="D101" s="92">
        <v>94</v>
      </c>
      <c r="E101" s="19" t="s">
        <v>1066</v>
      </c>
      <c r="F101" s="92" t="s">
        <v>12</v>
      </c>
      <c r="G101" s="92" t="s">
        <v>1067</v>
      </c>
      <c r="H101" s="92" t="s">
        <v>10</v>
      </c>
      <c r="I101" s="92" t="s">
        <v>2</v>
      </c>
      <c r="J101" s="19"/>
      <c r="K101" s="58">
        <v>30133</v>
      </c>
      <c r="L101" s="59">
        <f t="shared" si="9"/>
        <v>1982</v>
      </c>
      <c r="M101" s="59">
        <f t="shared" si="5"/>
        <v>37</v>
      </c>
      <c r="N101" s="92" t="s">
        <v>3</v>
      </c>
      <c r="O101" s="92"/>
      <c r="P101" s="19" t="s">
        <v>35</v>
      </c>
      <c r="Q101" s="92"/>
      <c r="R101" s="19" t="s">
        <v>16</v>
      </c>
    </row>
    <row r="102" spans="2:18" x14ac:dyDescent="0.25">
      <c r="B102" s="151"/>
      <c r="C102" s="151"/>
      <c r="D102" s="92">
        <v>95</v>
      </c>
      <c r="E102" s="19" t="s">
        <v>1068</v>
      </c>
      <c r="F102" s="92" t="s">
        <v>18</v>
      </c>
      <c r="G102" s="92" t="s">
        <v>1069</v>
      </c>
      <c r="H102" s="92" t="s">
        <v>10</v>
      </c>
      <c r="I102" s="92" t="s">
        <v>15</v>
      </c>
      <c r="J102" s="19"/>
      <c r="K102" s="58">
        <v>38132</v>
      </c>
      <c r="L102" s="59">
        <f t="shared" si="9"/>
        <v>2004</v>
      </c>
      <c r="M102" s="59">
        <f t="shared" si="5"/>
        <v>15</v>
      </c>
      <c r="N102" s="92" t="s">
        <v>3</v>
      </c>
      <c r="O102" s="92"/>
      <c r="P102" s="19" t="s">
        <v>16</v>
      </c>
      <c r="Q102" s="92"/>
      <c r="R102" s="19" t="s">
        <v>16</v>
      </c>
    </row>
    <row r="103" spans="2:18" x14ac:dyDescent="0.25">
      <c r="B103" s="151"/>
      <c r="C103" s="151"/>
      <c r="D103" s="92">
        <v>96</v>
      </c>
      <c r="E103" s="19" t="s">
        <v>1070</v>
      </c>
      <c r="F103" s="92" t="s">
        <v>18</v>
      </c>
      <c r="G103" s="92" t="s">
        <v>1071</v>
      </c>
      <c r="H103" s="92" t="s">
        <v>10</v>
      </c>
      <c r="I103" s="92" t="s">
        <v>15</v>
      </c>
      <c r="J103" s="19"/>
      <c r="K103" s="58">
        <v>40971</v>
      </c>
      <c r="L103" s="59">
        <f t="shared" si="9"/>
        <v>2012</v>
      </c>
      <c r="M103" s="59">
        <f t="shared" si="5"/>
        <v>7</v>
      </c>
      <c r="N103" s="92" t="s">
        <v>3</v>
      </c>
      <c r="O103" s="92"/>
      <c r="P103" s="19" t="s">
        <v>16</v>
      </c>
      <c r="Q103" s="92"/>
      <c r="R103" s="19" t="s">
        <v>16</v>
      </c>
    </row>
    <row r="104" spans="2:18" x14ac:dyDescent="0.25">
      <c r="B104" s="151">
        <v>27</v>
      </c>
      <c r="C104" s="151"/>
      <c r="D104" s="92">
        <v>97</v>
      </c>
      <c r="E104" s="19" t="s">
        <v>1072</v>
      </c>
      <c r="F104" s="92" t="s">
        <v>7</v>
      </c>
      <c r="G104" s="92" t="s">
        <v>1073</v>
      </c>
      <c r="H104" s="92" t="s">
        <v>1</v>
      </c>
      <c r="I104" s="92" t="s">
        <v>2</v>
      </c>
      <c r="J104" s="19"/>
      <c r="K104" s="58">
        <v>25418</v>
      </c>
      <c r="L104" s="59">
        <f t="shared" si="9"/>
        <v>1969</v>
      </c>
      <c r="M104" s="59">
        <f t="shared" si="5"/>
        <v>50</v>
      </c>
      <c r="N104" s="92" t="s">
        <v>3</v>
      </c>
      <c r="O104" s="92"/>
      <c r="P104" s="19" t="s">
        <v>16</v>
      </c>
      <c r="Q104" s="92"/>
      <c r="R104" s="19" t="s">
        <v>28</v>
      </c>
    </row>
    <row r="105" spans="2:18" x14ac:dyDescent="0.25">
      <c r="B105" s="151"/>
      <c r="C105" s="151"/>
      <c r="D105" s="92">
        <v>98</v>
      </c>
      <c r="E105" s="19" t="s">
        <v>1074</v>
      </c>
      <c r="F105" s="92" t="s">
        <v>12</v>
      </c>
      <c r="G105" s="92" t="s">
        <v>1075</v>
      </c>
      <c r="H105" s="92" t="s">
        <v>10</v>
      </c>
      <c r="I105" s="92" t="s">
        <v>2</v>
      </c>
      <c r="J105" s="19"/>
      <c r="K105" s="58">
        <v>25661</v>
      </c>
      <c r="L105" s="59">
        <f t="shared" si="9"/>
        <v>1970</v>
      </c>
      <c r="M105" s="59">
        <f t="shared" si="5"/>
        <v>49</v>
      </c>
      <c r="N105" s="92" t="s">
        <v>3</v>
      </c>
      <c r="O105" s="92"/>
      <c r="P105" s="19" t="s">
        <v>35</v>
      </c>
      <c r="Q105" s="92"/>
      <c r="R105" s="19" t="s">
        <v>16</v>
      </c>
    </row>
    <row r="106" spans="2:18" ht="25.5" x14ac:dyDescent="0.25">
      <c r="B106" s="151">
        <v>28</v>
      </c>
      <c r="C106" s="151" t="s">
        <v>1711</v>
      </c>
      <c r="D106" s="92">
        <v>99</v>
      </c>
      <c r="E106" s="19" t="s">
        <v>1076</v>
      </c>
      <c r="F106" s="92" t="s">
        <v>7</v>
      </c>
      <c r="G106" s="92" t="s">
        <v>1077</v>
      </c>
      <c r="H106" s="92" t="s">
        <v>10</v>
      </c>
      <c r="I106" s="92" t="s">
        <v>1712</v>
      </c>
      <c r="J106" s="19" t="s">
        <v>1647</v>
      </c>
      <c r="K106" s="58">
        <v>20454</v>
      </c>
      <c r="L106" s="59">
        <v>1955</v>
      </c>
      <c r="M106" s="59">
        <f t="shared" si="5"/>
        <v>64</v>
      </c>
      <c r="N106" s="92" t="s">
        <v>3</v>
      </c>
      <c r="O106" s="92"/>
      <c r="P106" s="19" t="s">
        <v>46</v>
      </c>
      <c r="Q106" s="92"/>
      <c r="R106" s="19" t="s">
        <v>43</v>
      </c>
    </row>
    <row r="107" spans="2:18" ht="25.5" x14ac:dyDescent="0.25">
      <c r="B107" s="151"/>
      <c r="C107" s="151"/>
      <c r="D107" s="92">
        <v>100</v>
      </c>
      <c r="E107" s="19" t="s">
        <v>1078</v>
      </c>
      <c r="F107" s="92" t="s">
        <v>18</v>
      </c>
      <c r="G107" s="92" t="s">
        <v>1079</v>
      </c>
      <c r="H107" s="92" t="s">
        <v>1</v>
      </c>
      <c r="I107" s="92" t="s">
        <v>15</v>
      </c>
      <c r="J107" s="19" t="s">
        <v>1623</v>
      </c>
      <c r="K107" s="58">
        <v>33486</v>
      </c>
      <c r="L107" s="59">
        <v>1991</v>
      </c>
      <c r="M107" s="59">
        <f t="shared" si="5"/>
        <v>28</v>
      </c>
      <c r="N107" s="92" t="s">
        <v>3</v>
      </c>
      <c r="O107" s="92"/>
      <c r="P107" s="19" t="s">
        <v>1677</v>
      </c>
      <c r="Q107" s="92"/>
      <c r="R107" s="19" t="s">
        <v>1625</v>
      </c>
    </row>
    <row r="108" spans="2:18" x14ac:dyDescent="0.25">
      <c r="B108" s="151">
        <v>29</v>
      </c>
      <c r="C108" s="151"/>
      <c r="D108" s="92">
        <v>101</v>
      </c>
      <c r="E108" s="19" t="s">
        <v>1080</v>
      </c>
      <c r="F108" s="92" t="s">
        <v>7</v>
      </c>
      <c r="G108" s="92" t="s">
        <v>1081</v>
      </c>
      <c r="H108" s="92" t="s">
        <v>10</v>
      </c>
      <c r="I108" s="92" t="s">
        <v>21</v>
      </c>
      <c r="J108" s="19"/>
      <c r="K108" s="58">
        <v>15523</v>
      </c>
      <c r="L108" s="59">
        <f t="shared" ref="L108:L111" si="10">YEAR(K108)</f>
        <v>1942</v>
      </c>
      <c r="M108" s="59">
        <f t="shared" si="5"/>
        <v>77</v>
      </c>
      <c r="N108" s="92" t="s">
        <v>3</v>
      </c>
      <c r="O108" s="92"/>
      <c r="P108" s="19" t="s">
        <v>46</v>
      </c>
      <c r="Q108" s="92"/>
      <c r="R108" s="19" t="s">
        <v>39</v>
      </c>
    </row>
    <row r="109" spans="2:18" x14ac:dyDescent="0.25">
      <c r="B109" s="151"/>
      <c r="C109" s="151"/>
      <c r="D109" s="92">
        <v>102</v>
      </c>
      <c r="E109" s="19" t="s">
        <v>1082</v>
      </c>
      <c r="F109" s="92" t="s">
        <v>18</v>
      </c>
      <c r="G109" s="92" t="s">
        <v>1083</v>
      </c>
      <c r="H109" s="92" t="s">
        <v>10</v>
      </c>
      <c r="I109" s="92" t="s">
        <v>15</v>
      </c>
      <c r="J109" s="19"/>
      <c r="K109" s="58">
        <v>29723</v>
      </c>
      <c r="L109" s="59">
        <f t="shared" si="10"/>
        <v>1981</v>
      </c>
      <c r="M109" s="59">
        <f t="shared" si="5"/>
        <v>38</v>
      </c>
      <c r="N109" s="92" t="s">
        <v>3</v>
      </c>
      <c r="O109" s="92"/>
      <c r="P109" s="19" t="s">
        <v>4</v>
      </c>
      <c r="Q109" s="92"/>
      <c r="R109" s="19" t="s">
        <v>11</v>
      </c>
    </row>
    <row r="110" spans="2:18" ht="25.5" x14ac:dyDescent="0.25">
      <c r="B110" s="151"/>
      <c r="C110" s="151"/>
      <c r="D110" s="92">
        <v>103</v>
      </c>
      <c r="E110" s="19" t="s">
        <v>1084</v>
      </c>
      <c r="F110" s="92" t="s">
        <v>18</v>
      </c>
      <c r="G110" s="92" t="s">
        <v>1085</v>
      </c>
      <c r="H110" s="92" t="s">
        <v>10</v>
      </c>
      <c r="I110" s="92" t="s">
        <v>15</v>
      </c>
      <c r="J110" s="19"/>
      <c r="K110" s="58">
        <v>31976</v>
      </c>
      <c r="L110" s="59">
        <f t="shared" si="10"/>
        <v>1987</v>
      </c>
      <c r="M110" s="59">
        <f t="shared" si="5"/>
        <v>32</v>
      </c>
      <c r="N110" s="92" t="s">
        <v>3</v>
      </c>
      <c r="O110" s="92"/>
      <c r="P110" s="19" t="s">
        <v>4</v>
      </c>
      <c r="Q110" s="92"/>
      <c r="R110" s="19" t="s">
        <v>11</v>
      </c>
    </row>
    <row r="111" spans="2:18" ht="25.5" x14ac:dyDescent="0.25">
      <c r="B111" s="151"/>
      <c r="C111" s="151"/>
      <c r="D111" s="92">
        <v>104</v>
      </c>
      <c r="E111" s="19" t="s">
        <v>1086</v>
      </c>
      <c r="F111" s="92" t="s">
        <v>18</v>
      </c>
      <c r="G111" s="92" t="s">
        <v>1087</v>
      </c>
      <c r="H111" s="92" t="s">
        <v>1</v>
      </c>
      <c r="I111" s="92" t="s">
        <v>15</v>
      </c>
      <c r="J111" s="19"/>
      <c r="K111" s="58">
        <v>34675</v>
      </c>
      <c r="L111" s="59">
        <f t="shared" si="10"/>
        <v>1994</v>
      </c>
      <c r="M111" s="59">
        <f t="shared" si="5"/>
        <v>25</v>
      </c>
      <c r="N111" s="92" t="s">
        <v>3</v>
      </c>
      <c r="O111" s="92"/>
      <c r="P111" s="19" t="s">
        <v>27</v>
      </c>
      <c r="Q111" s="92"/>
      <c r="R111" s="19" t="s">
        <v>16</v>
      </c>
    </row>
    <row r="112" spans="2:18" ht="25.5" x14ac:dyDescent="0.25">
      <c r="B112" s="151">
        <v>30</v>
      </c>
      <c r="C112" s="151" t="s">
        <v>2064</v>
      </c>
      <c r="D112" s="92">
        <v>105</v>
      </c>
      <c r="E112" s="19" t="s">
        <v>1088</v>
      </c>
      <c r="F112" s="92" t="s">
        <v>7</v>
      </c>
      <c r="G112" s="92" t="s">
        <v>1089</v>
      </c>
      <c r="H112" s="92" t="s">
        <v>1</v>
      </c>
      <c r="I112" s="92" t="s">
        <v>2</v>
      </c>
      <c r="J112" s="19" t="s">
        <v>1631</v>
      </c>
      <c r="K112" s="58">
        <v>28490</v>
      </c>
      <c r="L112" s="59">
        <v>1977</v>
      </c>
      <c r="M112" s="59">
        <f t="shared" si="5"/>
        <v>42</v>
      </c>
      <c r="N112" s="92" t="s">
        <v>3</v>
      </c>
      <c r="O112" s="92" t="s">
        <v>1632</v>
      </c>
      <c r="P112" s="19" t="s">
        <v>1732</v>
      </c>
      <c r="Q112" s="92"/>
      <c r="R112" s="19" t="s">
        <v>39</v>
      </c>
    </row>
    <row r="113" spans="2:18" ht="25.5" x14ac:dyDescent="0.25">
      <c r="B113" s="151"/>
      <c r="C113" s="151"/>
      <c r="D113" s="92">
        <v>106</v>
      </c>
      <c r="E113" s="19" t="s">
        <v>2065</v>
      </c>
      <c r="F113" s="92" t="s">
        <v>12</v>
      </c>
      <c r="G113" s="92" t="s">
        <v>1090</v>
      </c>
      <c r="H113" s="92" t="s">
        <v>10</v>
      </c>
      <c r="I113" s="92" t="s">
        <v>2</v>
      </c>
      <c r="J113" s="19" t="s">
        <v>2066</v>
      </c>
      <c r="K113" s="58">
        <v>29593</v>
      </c>
      <c r="L113" s="59">
        <v>1981</v>
      </c>
      <c r="M113" s="59">
        <f t="shared" si="5"/>
        <v>38</v>
      </c>
      <c r="N113" s="92" t="s">
        <v>3</v>
      </c>
      <c r="O113" s="92" t="s">
        <v>1632</v>
      </c>
      <c r="P113" s="19" t="s">
        <v>1641</v>
      </c>
      <c r="Q113" s="92"/>
      <c r="R113" s="19" t="s">
        <v>1764</v>
      </c>
    </row>
    <row r="114" spans="2:18" ht="25.5" x14ac:dyDescent="0.25">
      <c r="B114" s="151"/>
      <c r="C114" s="151"/>
      <c r="D114" s="92">
        <v>107</v>
      </c>
      <c r="E114" s="19" t="s">
        <v>1091</v>
      </c>
      <c r="F114" s="92" t="s">
        <v>18</v>
      </c>
      <c r="G114" s="92" t="s">
        <v>1092</v>
      </c>
      <c r="H114" s="92" t="s">
        <v>1</v>
      </c>
      <c r="I114" s="92" t="s">
        <v>15</v>
      </c>
      <c r="J114" s="19" t="s">
        <v>1631</v>
      </c>
      <c r="K114" s="58">
        <v>36188</v>
      </c>
      <c r="L114" s="59">
        <v>1999</v>
      </c>
      <c r="M114" s="59">
        <f t="shared" si="5"/>
        <v>20</v>
      </c>
      <c r="N114" s="92" t="s">
        <v>3</v>
      </c>
      <c r="O114" s="92" t="s">
        <v>1632</v>
      </c>
      <c r="P114" s="19" t="s">
        <v>1732</v>
      </c>
      <c r="Q114" s="92"/>
      <c r="R114" s="19" t="s">
        <v>1625</v>
      </c>
    </row>
    <row r="115" spans="2:18" ht="25.5" x14ac:dyDescent="0.25">
      <c r="B115" s="151"/>
      <c r="C115" s="151"/>
      <c r="D115" s="92">
        <v>108</v>
      </c>
      <c r="E115" s="19" t="s">
        <v>1093</v>
      </c>
      <c r="F115" s="92" t="s">
        <v>18</v>
      </c>
      <c r="G115" s="92" t="s">
        <v>1094</v>
      </c>
      <c r="H115" s="92" t="s">
        <v>1</v>
      </c>
      <c r="I115" s="92" t="s">
        <v>15</v>
      </c>
      <c r="J115" s="19" t="s">
        <v>1623</v>
      </c>
      <c r="K115" s="58">
        <v>39294</v>
      </c>
      <c r="L115" s="59">
        <v>2007</v>
      </c>
      <c r="M115" s="59">
        <f t="shared" si="5"/>
        <v>12</v>
      </c>
      <c r="N115" s="92" t="s">
        <v>3</v>
      </c>
      <c r="O115" s="92" t="s">
        <v>1632</v>
      </c>
      <c r="P115" s="19" t="s">
        <v>1733</v>
      </c>
      <c r="Q115" s="92"/>
      <c r="R115" s="19" t="s">
        <v>1638</v>
      </c>
    </row>
    <row r="116" spans="2:18" ht="25.5" x14ac:dyDescent="0.25">
      <c r="B116" s="151"/>
      <c r="C116" s="151"/>
      <c r="D116" s="92">
        <v>109</v>
      </c>
      <c r="E116" s="19" t="s">
        <v>1095</v>
      </c>
      <c r="F116" s="92" t="s">
        <v>18</v>
      </c>
      <c r="G116" s="92" t="s">
        <v>1096</v>
      </c>
      <c r="H116" s="92" t="s">
        <v>1</v>
      </c>
      <c r="I116" s="92" t="s">
        <v>15</v>
      </c>
      <c r="J116" s="19" t="s">
        <v>1623</v>
      </c>
      <c r="K116" s="58">
        <v>41782</v>
      </c>
      <c r="L116" s="59">
        <v>2014</v>
      </c>
      <c r="M116" s="59">
        <f t="shared" si="5"/>
        <v>5</v>
      </c>
      <c r="N116" s="92" t="s">
        <v>3</v>
      </c>
      <c r="O116" s="92" t="s">
        <v>1632</v>
      </c>
      <c r="P116" s="19" t="s">
        <v>1733</v>
      </c>
      <c r="Q116" s="92"/>
      <c r="R116" s="19" t="s">
        <v>1638</v>
      </c>
    </row>
    <row r="117" spans="2:18" x14ac:dyDescent="0.25">
      <c r="B117" s="151">
        <v>31</v>
      </c>
      <c r="C117" s="151"/>
      <c r="D117" s="92">
        <v>110</v>
      </c>
      <c r="E117" s="19" t="s">
        <v>664</v>
      </c>
      <c r="F117" s="92" t="s">
        <v>7</v>
      </c>
      <c r="G117" s="92" t="s">
        <v>1097</v>
      </c>
      <c r="H117" s="92" t="s">
        <v>10</v>
      </c>
      <c r="I117" s="92" t="s">
        <v>15</v>
      </c>
      <c r="J117" s="19"/>
      <c r="K117" s="58">
        <v>23742</v>
      </c>
      <c r="L117" s="59">
        <f t="shared" ref="L117:L118" si="11">YEAR(K117)</f>
        <v>1964</v>
      </c>
      <c r="M117" s="59">
        <f t="shared" si="5"/>
        <v>55</v>
      </c>
      <c r="N117" s="92" t="s">
        <v>3</v>
      </c>
      <c r="O117" s="92"/>
      <c r="P117" s="19" t="s">
        <v>46</v>
      </c>
      <c r="Q117" s="92"/>
      <c r="R117" s="19" t="s">
        <v>43</v>
      </c>
    </row>
    <row r="118" spans="2:18" x14ac:dyDescent="0.25">
      <c r="B118" s="151"/>
      <c r="C118" s="151"/>
      <c r="D118" s="92">
        <v>111</v>
      </c>
      <c r="E118" s="19" t="s">
        <v>336</v>
      </c>
      <c r="F118" s="92" t="s">
        <v>24</v>
      </c>
      <c r="G118" s="92" t="s">
        <v>1098</v>
      </c>
      <c r="H118" s="92" t="s">
        <v>10</v>
      </c>
      <c r="I118" s="92" t="s">
        <v>15</v>
      </c>
      <c r="J118" s="19"/>
      <c r="K118" s="58">
        <v>24289</v>
      </c>
      <c r="L118" s="59">
        <f t="shared" si="11"/>
        <v>1966</v>
      </c>
      <c r="M118" s="59">
        <f t="shared" si="5"/>
        <v>53</v>
      </c>
      <c r="N118" s="92" t="s">
        <v>3</v>
      </c>
      <c r="O118" s="92"/>
      <c r="P118" s="19" t="s">
        <v>46</v>
      </c>
      <c r="Q118" s="92"/>
      <c r="R118" s="19" t="s">
        <v>16</v>
      </c>
    </row>
    <row r="119" spans="2:18" x14ac:dyDescent="0.25">
      <c r="B119" s="152">
        <v>32</v>
      </c>
      <c r="C119" s="152" t="s">
        <v>1793</v>
      </c>
      <c r="D119" s="92">
        <v>112</v>
      </c>
      <c r="E119" s="19" t="s">
        <v>1099</v>
      </c>
      <c r="F119" s="92" t="s">
        <v>7</v>
      </c>
      <c r="G119" s="92" t="s">
        <v>1100</v>
      </c>
      <c r="H119" s="92" t="s">
        <v>1</v>
      </c>
      <c r="I119" s="92" t="s">
        <v>2</v>
      </c>
      <c r="J119" s="19" t="s">
        <v>1677</v>
      </c>
      <c r="K119" s="58">
        <v>29493</v>
      </c>
      <c r="L119" s="59">
        <v>1980</v>
      </c>
      <c r="M119" s="59">
        <f t="shared" si="5"/>
        <v>39</v>
      </c>
      <c r="N119" s="92" t="s">
        <v>3</v>
      </c>
      <c r="O119" s="92" t="s">
        <v>1632</v>
      </c>
      <c r="P119" s="19" t="s">
        <v>1677</v>
      </c>
      <c r="Q119" s="92"/>
      <c r="R119" s="19" t="s">
        <v>39</v>
      </c>
    </row>
    <row r="120" spans="2:18" ht="25.5" x14ac:dyDescent="0.25">
      <c r="B120" s="153"/>
      <c r="C120" s="153"/>
      <c r="D120" s="92">
        <v>113</v>
      </c>
      <c r="E120" s="19" t="s">
        <v>1101</v>
      </c>
      <c r="F120" s="92" t="s">
        <v>12</v>
      </c>
      <c r="G120" s="92" t="s">
        <v>1102</v>
      </c>
      <c r="H120" s="92" t="s">
        <v>10</v>
      </c>
      <c r="I120" s="92" t="s">
        <v>2</v>
      </c>
      <c r="J120" s="19" t="s">
        <v>1677</v>
      </c>
      <c r="K120" s="58">
        <v>32910</v>
      </c>
      <c r="L120" s="59">
        <v>1990</v>
      </c>
      <c r="M120" s="59">
        <f t="shared" si="5"/>
        <v>29</v>
      </c>
      <c r="N120" s="92" t="s">
        <v>3</v>
      </c>
      <c r="O120" s="92" t="s">
        <v>1632</v>
      </c>
      <c r="P120" s="19" t="s">
        <v>1677</v>
      </c>
      <c r="Q120" s="92"/>
      <c r="R120" s="19" t="s">
        <v>1764</v>
      </c>
    </row>
    <row r="121" spans="2:18" ht="25.5" x14ac:dyDescent="0.25">
      <c r="B121" s="153"/>
      <c r="C121" s="153"/>
      <c r="D121" s="92">
        <v>114</v>
      </c>
      <c r="E121" s="19" t="s">
        <v>1792</v>
      </c>
      <c r="F121" s="92" t="s">
        <v>18</v>
      </c>
      <c r="G121" s="92" t="s">
        <v>1103</v>
      </c>
      <c r="H121" s="92" t="s">
        <v>1</v>
      </c>
      <c r="I121" s="92" t="s">
        <v>15</v>
      </c>
      <c r="J121" s="19" t="s">
        <v>1733</v>
      </c>
      <c r="K121" s="58">
        <v>40046</v>
      </c>
      <c r="L121" s="59">
        <v>2009</v>
      </c>
      <c r="M121" s="59">
        <f t="shared" si="5"/>
        <v>10</v>
      </c>
      <c r="N121" s="92" t="s">
        <v>3</v>
      </c>
      <c r="O121" s="92" t="s">
        <v>1632</v>
      </c>
      <c r="P121" s="19" t="s">
        <v>1733</v>
      </c>
      <c r="Q121" s="92"/>
      <c r="R121" s="19" t="s">
        <v>1638</v>
      </c>
    </row>
    <row r="122" spans="2:18" ht="25.5" x14ac:dyDescent="0.25">
      <c r="B122" s="154"/>
      <c r="C122" s="154"/>
      <c r="D122" s="92">
        <v>115</v>
      </c>
      <c r="E122" s="19" t="s">
        <v>1794</v>
      </c>
      <c r="F122" s="92" t="s">
        <v>18</v>
      </c>
      <c r="G122" s="92" t="s">
        <v>1795</v>
      </c>
      <c r="H122" s="92" t="s">
        <v>10</v>
      </c>
      <c r="I122" s="92" t="s">
        <v>15</v>
      </c>
      <c r="J122" s="19" t="s">
        <v>1733</v>
      </c>
      <c r="K122" s="58">
        <v>42240</v>
      </c>
      <c r="L122" s="59">
        <v>2015</v>
      </c>
      <c r="M122" s="59">
        <f t="shared" si="5"/>
        <v>4</v>
      </c>
      <c r="N122" s="92" t="s">
        <v>3</v>
      </c>
      <c r="O122" s="92" t="s">
        <v>1632</v>
      </c>
      <c r="P122" s="19" t="s">
        <v>1733</v>
      </c>
      <c r="Q122" s="92"/>
      <c r="R122" s="19" t="s">
        <v>1638</v>
      </c>
    </row>
    <row r="123" spans="2:18" x14ac:dyDescent="0.25">
      <c r="B123" s="92">
        <v>33</v>
      </c>
      <c r="C123" s="92"/>
      <c r="D123" s="92">
        <v>116</v>
      </c>
      <c r="E123" s="19" t="s">
        <v>1104</v>
      </c>
      <c r="F123" s="92" t="s">
        <v>7</v>
      </c>
      <c r="G123" s="92" t="s">
        <v>1105</v>
      </c>
      <c r="H123" s="92" t="s">
        <v>10</v>
      </c>
      <c r="I123" s="92" t="s">
        <v>21</v>
      </c>
      <c r="J123" s="19"/>
      <c r="K123" s="58">
        <v>22098</v>
      </c>
      <c r="L123" s="59">
        <f t="shared" ref="L123:L129" si="12">YEAR(K123)</f>
        <v>1960</v>
      </c>
      <c r="M123" s="59">
        <f t="shared" si="5"/>
        <v>59</v>
      </c>
      <c r="N123" s="92" t="s">
        <v>3</v>
      </c>
      <c r="O123" s="92"/>
      <c r="P123" s="19" t="s">
        <v>16</v>
      </c>
      <c r="Q123" s="92"/>
      <c r="R123" s="19" t="s">
        <v>16</v>
      </c>
    </row>
    <row r="124" spans="2:18" x14ac:dyDescent="0.25">
      <c r="B124" s="151">
        <v>34</v>
      </c>
      <c r="C124" s="151"/>
      <c r="D124" s="92">
        <v>117</v>
      </c>
      <c r="E124" s="19" t="s">
        <v>636</v>
      </c>
      <c r="F124" s="92" t="s">
        <v>7</v>
      </c>
      <c r="G124" s="92" t="s">
        <v>779</v>
      </c>
      <c r="H124" s="92" t="s">
        <v>10</v>
      </c>
      <c r="I124" s="92" t="s">
        <v>15</v>
      </c>
      <c r="J124" s="19"/>
      <c r="K124" s="58">
        <v>21550</v>
      </c>
      <c r="L124" s="59">
        <f t="shared" si="12"/>
        <v>1958</v>
      </c>
      <c r="M124" s="59">
        <f t="shared" si="5"/>
        <v>61</v>
      </c>
      <c r="N124" s="92" t="s">
        <v>3</v>
      </c>
      <c r="O124" s="92"/>
      <c r="P124" s="19" t="s">
        <v>46</v>
      </c>
      <c r="Q124" s="92"/>
      <c r="R124" s="19" t="s">
        <v>11</v>
      </c>
    </row>
    <row r="125" spans="2:18" x14ac:dyDescent="0.25">
      <c r="B125" s="151"/>
      <c r="C125" s="151"/>
      <c r="D125" s="92">
        <v>118</v>
      </c>
      <c r="E125" s="19" t="s">
        <v>1106</v>
      </c>
      <c r="F125" s="92" t="s">
        <v>18</v>
      </c>
      <c r="G125" s="92" t="s">
        <v>1107</v>
      </c>
      <c r="H125" s="92" t="s">
        <v>10</v>
      </c>
      <c r="I125" s="92" t="s">
        <v>15</v>
      </c>
      <c r="J125" s="19"/>
      <c r="K125" s="58">
        <v>28125</v>
      </c>
      <c r="L125" s="59">
        <f t="shared" si="12"/>
        <v>1976</v>
      </c>
      <c r="M125" s="59">
        <f t="shared" si="5"/>
        <v>43</v>
      </c>
      <c r="N125" s="92" t="s">
        <v>3</v>
      </c>
      <c r="O125" s="92"/>
      <c r="P125" s="19" t="s">
        <v>16</v>
      </c>
      <c r="Q125" s="92"/>
      <c r="R125" s="19" t="s">
        <v>28</v>
      </c>
    </row>
    <row r="126" spans="2:18" x14ac:dyDescent="0.25">
      <c r="B126" s="151"/>
      <c r="C126" s="151"/>
      <c r="D126" s="92">
        <v>119</v>
      </c>
      <c r="E126" s="19" t="s">
        <v>1108</v>
      </c>
      <c r="F126" s="92" t="s">
        <v>18</v>
      </c>
      <c r="G126" s="92" t="s">
        <v>1109</v>
      </c>
      <c r="H126" s="92" t="s">
        <v>1</v>
      </c>
      <c r="I126" s="92" t="s">
        <v>15</v>
      </c>
      <c r="J126" s="19"/>
      <c r="K126" s="58">
        <v>36617</v>
      </c>
      <c r="L126" s="59">
        <f t="shared" si="12"/>
        <v>2000</v>
      </c>
      <c r="M126" s="59">
        <f t="shared" ref="M126:M188" si="13">2019-L126</f>
        <v>19</v>
      </c>
      <c r="N126" s="92" t="s">
        <v>3</v>
      </c>
      <c r="O126" s="92"/>
      <c r="P126" s="19" t="s">
        <v>35</v>
      </c>
      <c r="Q126" s="92"/>
      <c r="R126" s="19" t="s">
        <v>16</v>
      </c>
    </row>
    <row r="127" spans="2:18" x14ac:dyDescent="0.25">
      <c r="B127" s="151">
        <v>35</v>
      </c>
      <c r="C127" s="151"/>
      <c r="D127" s="92">
        <v>120</v>
      </c>
      <c r="E127" s="19" t="s">
        <v>1110</v>
      </c>
      <c r="F127" s="92" t="s">
        <v>7</v>
      </c>
      <c r="G127" s="92" t="s">
        <v>1111</v>
      </c>
      <c r="H127" s="92" t="s">
        <v>1</v>
      </c>
      <c r="I127" s="92" t="s">
        <v>2</v>
      </c>
      <c r="J127" s="19"/>
      <c r="K127" s="58">
        <v>17349</v>
      </c>
      <c r="L127" s="59">
        <f t="shared" si="12"/>
        <v>1947</v>
      </c>
      <c r="M127" s="59">
        <f t="shared" si="13"/>
        <v>72</v>
      </c>
      <c r="N127" s="92" t="s">
        <v>3</v>
      </c>
      <c r="O127" s="92"/>
      <c r="P127" s="19" t="s">
        <v>16</v>
      </c>
      <c r="Q127" s="92"/>
      <c r="R127" s="19" t="s">
        <v>37</v>
      </c>
    </row>
    <row r="128" spans="2:18" x14ac:dyDescent="0.25">
      <c r="B128" s="151"/>
      <c r="C128" s="151"/>
      <c r="D128" s="92">
        <v>121</v>
      </c>
      <c r="E128" s="19" t="s">
        <v>1112</v>
      </c>
      <c r="F128" s="92" t="s">
        <v>12</v>
      </c>
      <c r="G128" s="92" t="s">
        <v>1113</v>
      </c>
      <c r="H128" s="92" t="s">
        <v>10</v>
      </c>
      <c r="I128" s="92" t="s">
        <v>2</v>
      </c>
      <c r="J128" s="19"/>
      <c r="K128" s="58">
        <v>19176</v>
      </c>
      <c r="L128" s="59">
        <f t="shared" si="12"/>
        <v>1952</v>
      </c>
      <c r="M128" s="59">
        <f t="shared" si="13"/>
        <v>67</v>
      </c>
      <c r="N128" s="92" t="s">
        <v>3</v>
      </c>
      <c r="O128" s="92"/>
      <c r="P128" s="19" t="s">
        <v>16</v>
      </c>
      <c r="Q128" s="92"/>
      <c r="R128" s="19" t="s">
        <v>37</v>
      </c>
    </row>
    <row r="129" spans="2:18" x14ac:dyDescent="0.25">
      <c r="B129" s="151"/>
      <c r="C129" s="151"/>
      <c r="D129" s="92">
        <v>122</v>
      </c>
      <c r="E129" s="19" t="s">
        <v>1114</v>
      </c>
      <c r="F129" s="92" t="s">
        <v>18</v>
      </c>
      <c r="G129" s="92" t="s">
        <v>1115</v>
      </c>
      <c r="H129" s="92" t="s">
        <v>10</v>
      </c>
      <c r="I129" s="92" t="s">
        <v>15</v>
      </c>
      <c r="J129" s="19"/>
      <c r="K129" s="58">
        <v>30864</v>
      </c>
      <c r="L129" s="59">
        <f t="shared" si="12"/>
        <v>1984</v>
      </c>
      <c r="M129" s="59">
        <f t="shared" si="13"/>
        <v>35</v>
      </c>
      <c r="N129" s="92" t="s">
        <v>3</v>
      </c>
      <c r="O129" s="92"/>
      <c r="P129" s="19" t="s">
        <v>16</v>
      </c>
      <c r="Q129" s="92"/>
      <c r="R129" s="19" t="s">
        <v>28</v>
      </c>
    </row>
    <row r="130" spans="2:18" x14ac:dyDescent="0.25">
      <c r="B130" s="151">
        <v>36</v>
      </c>
      <c r="C130" s="151" t="s">
        <v>2295</v>
      </c>
      <c r="D130" s="92">
        <v>123</v>
      </c>
      <c r="E130" s="19" t="s">
        <v>1116</v>
      </c>
      <c r="F130" s="92" t="s">
        <v>7</v>
      </c>
      <c r="G130" s="92" t="s">
        <v>2296</v>
      </c>
      <c r="H130" s="92" t="s">
        <v>1</v>
      </c>
      <c r="I130" s="92" t="s">
        <v>2</v>
      </c>
      <c r="J130" s="19" t="s">
        <v>1623</v>
      </c>
      <c r="K130" s="58">
        <v>19724</v>
      </c>
      <c r="L130" s="59">
        <v>1953</v>
      </c>
      <c r="M130" s="59">
        <f t="shared" si="13"/>
        <v>66</v>
      </c>
      <c r="N130" s="92" t="s">
        <v>3</v>
      </c>
      <c r="O130" s="92" t="s">
        <v>1723</v>
      </c>
      <c r="P130" s="19" t="s">
        <v>1732</v>
      </c>
      <c r="Q130" s="92"/>
      <c r="R130" s="19" t="s">
        <v>1816</v>
      </c>
    </row>
    <row r="131" spans="2:18" ht="25.5" x14ac:dyDescent="0.25">
      <c r="B131" s="151"/>
      <c r="C131" s="151"/>
      <c r="D131" s="92">
        <v>124</v>
      </c>
      <c r="E131" s="19" t="s">
        <v>1117</v>
      </c>
      <c r="F131" s="92" t="s">
        <v>12</v>
      </c>
      <c r="G131" s="92" t="s">
        <v>2297</v>
      </c>
      <c r="H131" s="92" t="s">
        <v>10</v>
      </c>
      <c r="I131" s="92" t="s">
        <v>2</v>
      </c>
      <c r="J131" s="19" t="s">
        <v>1623</v>
      </c>
      <c r="K131" s="58">
        <v>21185</v>
      </c>
      <c r="L131" s="59">
        <v>1957</v>
      </c>
      <c r="M131" s="59">
        <f t="shared" si="13"/>
        <v>62</v>
      </c>
      <c r="N131" s="92" t="s">
        <v>3</v>
      </c>
      <c r="O131" s="92" t="s">
        <v>1632</v>
      </c>
      <c r="P131" s="19" t="s">
        <v>1733</v>
      </c>
      <c r="Q131" s="92"/>
      <c r="R131" s="19" t="s">
        <v>1764</v>
      </c>
    </row>
    <row r="132" spans="2:18" ht="25.5" x14ac:dyDescent="0.25">
      <c r="B132" s="151"/>
      <c r="C132" s="151"/>
      <c r="D132" s="92">
        <v>125</v>
      </c>
      <c r="E132" s="19" t="s">
        <v>1118</v>
      </c>
      <c r="F132" s="92" t="s">
        <v>18</v>
      </c>
      <c r="G132" s="92" t="s">
        <v>2298</v>
      </c>
      <c r="H132" s="92" t="s">
        <v>10</v>
      </c>
      <c r="I132" s="92" t="s">
        <v>2</v>
      </c>
      <c r="J132" s="19" t="s">
        <v>1631</v>
      </c>
      <c r="K132" s="58">
        <v>28835</v>
      </c>
      <c r="L132" s="59">
        <v>1978</v>
      </c>
      <c r="M132" s="59">
        <f t="shared" si="13"/>
        <v>41</v>
      </c>
      <c r="N132" s="92" t="s">
        <v>3</v>
      </c>
      <c r="O132" s="92" t="s">
        <v>1632</v>
      </c>
      <c r="P132" s="19" t="s">
        <v>1732</v>
      </c>
      <c r="Q132" s="92"/>
      <c r="R132" s="19" t="s">
        <v>1638</v>
      </c>
    </row>
    <row r="133" spans="2:18" ht="25.5" x14ac:dyDescent="0.25">
      <c r="B133" s="151">
        <v>37</v>
      </c>
      <c r="C133" s="151" t="s">
        <v>2067</v>
      </c>
      <c r="D133" s="92">
        <v>126</v>
      </c>
      <c r="E133" s="19" t="s">
        <v>1122</v>
      </c>
      <c r="F133" s="92" t="s">
        <v>7</v>
      </c>
      <c r="G133" s="92" t="s">
        <v>1123</v>
      </c>
      <c r="H133" s="92" t="s">
        <v>1</v>
      </c>
      <c r="I133" s="92" t="s">
        <v>2</v>
      </c>
      <c r="J133" s="19" t="s">
        <v>1631</v>
      </c>
      <c r="K133" s="58">
        <v>28239</v>
      </c>
      <c r="L133" s="59">
        <v>1977</v>
      </c>
      <c r="M133" s="59">
        <f t="shared" si="13"/>
        <v>42</v>
      </c>
      <c r="N133" s="92" t="s">
        <v>3</v>
      </c>
      <c r="O133" s="92" t="s">
        <v>1632</v>
      </c>
      <c r="P133" s="19" t="s">
        <v>1677</v>
      </c>
      <c r="Q133" s="92"/>
      <c r="R133" s="19" t="s">
        <v>39</v>
      </c>
    </row>
    <row r="134" spans="2:18" x14ac:dyDescent="0.25">
      <c r="B134" s="151"/>
      <c r="C134" s="151"/>
      <c r="D134" s="92">
        <v>127</v>
      </c>
      <c r="E134" s="19" t="s">
        <v>151</v>
      </c>
      <c r="F134" s="92" t="s">
        <v>12</v>
      </c>
      <c r="G134" s="92" t="s">
        <v>2068</v>
      </c>
      <c r="H134" s="92" t="s">
        <v>10</v>
      </c>
      <c r="I134" s="92" t="s">
        <v>2</v>
      </c>
      <c r="J134" s="19" t="s">
        <v>2070</v>
      </c>
      <c r="K134" s="58">
        <v>30599</v>
      </c>
      <c r="L134" s="59">
        <v>1983</v>
      </c>
      <c r="M134" s="59">
        <f t="shared" si="13"/>
        <v>36</v>
      </c>
      <c r="N134" s="92" t="s">
        <v>3</v>
      </c>
      <c r="O134" s="92" t="s">
        <v>1632</v>
      </c>
      <c r="P134" s="19" t="s">
        <v>1641</v>
      </c>
      <c r="Q134" s="92"/>
      <c r="R134" s="19" t="s">
        <v>39</v>
      </c>
    </row>
    <row r="135" spans="2:18" ht="25.5" x14ac:dyDescent="0.25">
      <c r="B135" s="151"/>
      <c r="C135" s="151"/>
      <c r="D135" s="92">
        <v>128</v>
      </c>
      <c r="E135" s="19" t="s">
        <v>1124</v>
      </c>
      <c r="F135" s="92" t="s">
        <v>18</v>
      </c>
      <c r="G135" s="92" t="s">
        <v>1125</v>
      </c>
      <c r="H135" s="92" t="s">
        <v>1</v>
      </c>
      <c r="I135" s="92" t="s">
        <v>15</v>
      </c>
      <c r="J135" s="19" t="s">
        <v>1672</v>
      </c>
      <c r="K135" s="58">
        <v>40100</v>
      </c>
      <c r="L135" s="59">
        <v>2009</v>
      </c>
      <c r="M135" s="59">
        <f t="shared" si="13"/>
        <v>10</v>
      </c>
      <c r="N135" s="92" t="s">
        <v>3</v>
      </c>
      <c r="O135" s="92" t="s">
        <v>1632</v>
      </c>
      <c r="P135" s="19" t="s">
        <v>1733</v>
      </c>
      <c r="Q135" s="92"/>
      <c r="R135" s="19" t="s">
        <v>1638</v>
      </c>
    </row>
    <row r="136" spans="2:18" ht="25.5" x14ac:dyDescent="0.25">
      <c r="B136" s="151"/>
      <c r="C136" s="151"/>
      <c r="D136" s="92">
        <v>129</v>
      </c>
      <c r="E136" s="19" t="s">
        <v>1126</v>
      </c>
      <c r="F136" s="92" t="s">
        <v>18</v>
      </c>
      <c r="G136" s="92" t="s">
        <v>2069</v>
      </c>
      <c r="H136" s="92" t="s">
        <v>10</v>
      </c>
      <c r="I136" s="92" t="s">
        <v>15</v>
      </c>
      <c r="J136" s="19" t="s">
        <v>2071</v>
      </c>
      <c r="K136" s="58">
        <v>40919</v>
      </c>
      <c r="L136" s="59">
        <v>2012</v>
      </c>
      <c r="M136" s="59">
        <f t="shared" si="13"/>
        <v>7</v>
      </c>
      <c r="N136" s="92" t="s">
        <v>3</v>
      </c>
      <c r="O136" s="92" t="s">
        <v>1632</v>
      </c>
      <c r="P136" s="19" t="s">
        <v>1733</v>
      </c>
      <c r="Q136" s="92"/>
      <c r="R136" s="19" t="s">
        <v>1638</v>
      </c>
    </row>
    <row r="137" spans="2:18" x14ac:dyDescent="0.25">
      <c r="B137" s="92">
        <v>38</v>
      </c>
      <c r="C137" s="92"/>
      <c r="D137" s="92">
        <v>130</v>
      </c>
      <c r="E137" s="19" t="s">
        <v>1127</v>
      </c>
      <c r="F137" s="92" t="s">
        <v>7</v>
      </c>
      <c r="G137" s="92" t="s">
        <v>1128</v>
      </c>
      <c r="H137" s="92" t="s">
        <v>10</v>
      </c>
      <c r="I137" s="92" t="s">
        <v>21</v>
      </c>
      <c r="J137" s="19"/>
      <c r="K137" s="58">
        <v>20454</v>
      </c>
      <c r="L137" s="59">
        <f t="shared" ref="L137:L145" si="14">YEAR(K137)</f>
        <v>1955</v>
      </c>
      <c r="M137" s="59">
        <f t="shared" si="13"/>
        <v>64</v>
      </c>
      <c r="N137" s="92" t="s">
        <v>3</v>
      </c>
      <c r="O137" s="92"/>
      <c r="P137" s="19" t="s">
        <v>16</v>
      </c>
      <c r="Q137" s="92"/>
      <c r="R137" s="19" t="s">
        <v>16</v>
      </c>
    </row>
    <row r="138" spans="2:18" ht="38.25" x14ac:dyDescent="0.25">
      <c r="B138" s="151">
        <v>39</v>
      </c>
      <c r="C138" s="151"/>
      <c r="D138" s="92">
        <v>131</v>
      </c>
      <c r="E138" s="19" t="s">
        <v>1129</v>
      </c>
      <c r="F138" s="92" t="s">
        <v>7</v>
      </c>
      <c r="G138" s="92" t="s">
        <v>1130</v>
      </c>
      <c r="H138" s="92" t="s">
        <v>1</v>
      </c>
      <c r="I138" s="92" t="s">
        <v>2</v>
      </c>
      <c r="J138" s="19"/>
      <c r="K138" s="58">
        <v>25933</v>
      </c>
      <c r="L138" s="59">
        <f t="shared" si="14"/>
        <v>1970</v>
      </c>
      <c r="M138" s="59">
        <f t="shared" si="13"/>
        <v>49</v>
      </c>
      <c r="N138" s="92" t="s">
        <v>3</v>
      </c>
      <c r="O138" s="92"/>
      <c r="P138" s="19" t="s">
        <v>35</v>
      </c>
      <c r="Q138" s="92"/>
      <c r="R138" s="19" t="s">
        <v>28</v>
      </c>
    </row>
    <row r="139" spans="2:18" x14ac:dyDescent="0.25">
      <c r="B139" s="151"/>
      <c r="C139" s="151"/>
      <c r="D139" s="92">
        <v>132</v>
      </c>
      <c r="E139" s="19" t="s">
        <v>1131</v>
      </c>
      <c r="F139" s="92" t="s">
        <v>12</v>
      </c>
      <c r="G139" s="92" t="s">
        <v>1132</v>
      </c>
      <c r="H139" s="92" t="s">
        <v>10</v>
      </c>
      <c r="I139" s="92" t="s">
        <v>2</v>
      </c>
      <c r="J139" s="19"/>
      <c r="K139" s="58">
        <v>30441</v>
      </c>
      <c r="L139" s="59">
        <f t="shared" si="14"/>
        <v>1983</v>
      </c>
      <c r="M139" s="59">
        <f t="shared" si="13"/>
        <v>36</v>
      </c>
      <c r="N139" s="92" t="s">
        <v>3</v>
      </c>
      <c r="O139" s="92"/>
      <c r="P139" s="19" t="s">
        <v>35</v>
      </c>
      <c r="Q139" s="92"/>
      <c r="R139" s="19" t="s">
        <v>16</v>
      </c>
    </row>
    <row r="140" spans="2:18" ht="25.5" x14ac:dyDescent="0.25">
      <c r="B140" s="151"/>
      <c r="C140" s="151"/>
      <c r="D140" s="92">
        <v>133</v>
      </c>
      <c r="E140" s="19" t="s">
        <v>1133</v>
      </c>
      <c r="F140" s="92" t="s">
        <v>18</v>
      </c>
      <c r="G140" s="92" t="s">
        <v>1134</v>
      </c>
      <c r="H140" s="92" t="s">
        <v>10</v>
      </c>
      <c r="I140" s="92" t="s">
        <v>15</v>
      </c>
      <c r="J140" s="19"/>
      <c r="K140" s="58">
        <v>37705</v>
      </c>
      <c r="L140" s="59">
        <f t="shared" si="14"/>
        <v>2003</v>
      </c>
      <c r="M140" s="59">
        <f t="shared" si="13"/>
        <v>16</v>
      </c>
      <c r="N140" s="92" t="s">
        <v>3</v>
      </c>
      <c r="O140" s="92"/>
      <c r="P140" s="19" t="s">
        <v>46</v>
      </c>
      <c r="Q140" s="92"/>
      <c r="R140" s="19" t="s">
        <v>16</v>
      </c>
    </row>
    <row r="141" spans="2:18" x14ac:dyDescent="0.25">
      <c r="B141" s="151"/>
      <c r="C141" s="151"/>
      <c r="D141" s="92">
        <v>134</v>
      </c>
      <c r="E141" s="19" t="s">
        <v>1135</v>
      </c>
      <c r="F141" s="92" t="s">
        <v>18</v>
      </c>
      <c r="G141" s="92" t="s">
        <v>1136</v>
      </c>
      <c r="H141" s="92" t="s">
        <v>10</v>
      </c>
      <c r="I141" s="92" t="s">
        <v>15</v>
      </c>
      <c r="J141" s="19"/>
      <c r="K141" s="58">
        <v>41406</v>
      </c>
      <c r="L141" s="59">
        <f t="shared" si="14"/>
        <v>2013</v>
      </c>
      <c r="M141" s="59">
        <f t="shared" si="13"/>
        <v>6</v>
      </c>
      <c r="N141" s="92" t="s">
        <v>3</v>
      </c>
      <c r="O141" s="92"/>
      <c r="P141" s="19" t="s">
        <v>16</v>
      </c>
      <c r="Q141" s="92"/>
      <c r="R141" s="19" t="s">
        <v>16</v>
      </c>
    </row>
    <row r="142" spans="2:18" x14ac:dyDescent="0.25">
      <c r="B142" s="151"/>
      <c r="C142" s="151"/>
      <c r="D142" s="92">
        <v>135</v>
      </c>
      <c r="E142" s="19" t="s">
        <v>1137</v>
      </c>
      <c r="F142" s="92" t="s">
        <v>18</v>
      </c>
      <c r="G142" s="92" t="s">
        <v>1138</v>
      </c>
      <c r="H142" s="92" t="s">
        <v>10</v>
      </c>
      <c r="I142" s="92" t="s">
        <v>15</v>
      </c>
      <c r="J142" s="19"/>
      <c r="K142" s="58">
        <v>41892</v>
      </c>
      <c r="L142" s="59">
        <f t="shared" si="14"/>
        <v>2014</v>
      </c>
      <c r="M142" s="59">
        <f t="shared" si="13"/>
        <v>5</v>
      </c>
      <c r="N142" s="92" t="s">
        <v>3</v>
      </c>
      <c r="O142" s="92"/>
      <c r="P142" s="19" t="s">
        <v>16</v>
      </c>
      <c r="Q142" s="92"/>
      <c r="R142" s="19" t="s">
        <v>16</v>
      </c>
    </row>
    <row r="143" spans="2:18" x14ac:dyDescent="0.25">
      <c r="B143" s="151">
        <v>40</v>
      </c>
      <c r="C143" s="151"/>
      <c r="D143" s="92">
        <v>136</v>
      </c>
      <c r="E143" s="19" t="s">
        <v>1139</v>
      </c>
      <c r="F143" s="92" t="s">
        <v>7</v>
      </c>
      <c r="G143" s="92" t="s">
        <v>1140</v>
      </c>
      <c r="H143" s="92" t="s">
        <v>1</v>
      </c>
      <c r="I143" s="92" t="s">
        <v>2</v>
      </c>
      <c r="J143" s="19"/>
      <c r="K143" s="58">
        <v>29809</v>
      </c>
      <c r="L143" s="59">
        <f t="shared" si="14"/>
        <v>1981</v>
      </c>
      <c r="M143" s="59">
        <f t="shared" si="13"/>
        <v>38</v>
      </c>
      <c r="N143" s="92" t="s">
        <v>3</v>
      </c>
      <c r="O143" s="92"/>
      <c r="P143" s="19" t="s">
        <v>27</v>
      </c>
      <c r="Q143" s="92"/>
      <c r="R143" s="19" t="s">
        <v>28</v>
      </c>
    </row>
    <row r="144" spans="2:18" ht="25.5" x14ac:dyDescent="0.25">
      <c r="B144" s="151"/>
      <c r="C144" s="151"/>
      <c r="D144" s="92">
        <v>137</v>
      </c>
      <c r="E144" s="19" t="s">
        <v>1141</v>
      </c>
      <c r="F144" s="92" t="s">
        <v>12</v>
      </c>
      <c r="G144" s="92" t="s">
        <v>1142</v>
      </c>
      <c r="H144" s="92" t="s">
        <v>10</v>
      </c>
      <c r="I144" s="92" t="s">
        <v>2</v>
      </c>
      <c r="J144" s="19"/>
      <c r="K144" s="58">
        <v>30144</v>
      </c>
      <c r="L144" s="59">
        <f t="shared" si="14"/>
        <v>1982</v>
      </c>
      <c r="M144" s="59">
        <f t="shared" si="13"/>
        <v>37</v>
      </c>
      <c r="N144" s="92" t="s">
        <v>3</v>
      </c>
      <c r="O144" s="92"/>
      <c r="P144" s="19" t="s">
        <v>27</v>
      </c>
      <c r="Q144" s="92"/>
      <c r="R144" s="19" t="s">
        <v>16</v>
      </c>
    </row>
    <row r="145" spans="2:18" ht="25.5" x14ac:dyDescent="0.25">
      <c r="B145" s="151"/>
      <c r="C145" s="151"/>
      <c r="D145" s="92">
        <v>138</v>
      </c>
      <c r="E145" s="19" t="s">
        <v>1143</v>
      </c>
      <c r="F145" s="92" t="s">
        <v>18</v>
      </c>
      <c r="G145" s="92" t="s">
        <v>1144</v>
      </c>
      <c r="H145" s="92" t="s">
        <v>1</v>
      </c>
      <c r="I145" s="92" t="s">
        <v>15</v>
      </c>
      <c r="J145" s="19"/>
      <c r="K145" s="58">
        <v>40860</v>
      </c>
      <c r="L145" s="59">
        <f t="shared" si="14"/>
        <v>2011</v>
      </c>
      <c r="M145" s="59">
        <f t="shared" si="13"/>
        <v>8</v>
      </c>
      <c r="N145" s="92" t="s">
        <v>3</v>
      </c>
      <c r="O145" s="92"/>
      <c r="P145" s="19" t="s">
        <v>16</v>
      </c>
      <c r="Q145" s="92"/>
      <c r="R145" s="19" t="s">
        <v>16</v>
      </c>
    </row>
    <row r="146" spans="2:18" ht="25.5" x14ac:dyDescent="0.25">
      <c r="B146" s="151">
        <v>41</v>
      </c>
      <c r="C146" s="151" t="s">
        <v>2315</v>
      </c>
      <c r="D146" s="92">
        <v>139</v>
      </c>
      <c r="E146" s="19" t="s">
        <v>1145</v>
      </c>
      <c r="F146" s="92" t="s">
        <v>7</v>
      </c>
      <c r="G146" s="92" t="s">
        <v>1146</v>
      </c>
      <c r="H146" s="92" t="s">
        <v>1</v>
      </c>
      <c r="I146" s="92" t="s">
        <v>2</v>
      </c>
      <c r="J146" s="19" t="s">
        <v>1631</v>
      </c>
      <c r="K146" s="58">
        <v>22288</v>
      </c>
      <c r="L146" s="59">
        <v>1961</v>
      </c>
      <c r="M146" s="59">
        <f t="shared" si="13"/>
        <v>58</v>
      </c>
      <c r="N146" s="92" t="s">
        <v>3</v>
      </c>
      <c r="O146" s="92" t="s">
        <v>1632</v>
      </c>
      <c r="P146" s="19" t="s">
        <v>1732</v>
      </c>
      <c r="Q146" s="92"/>
      <c r="R146" s="19" t="s">
        <v>1893</v>
      </c>
    </row>
    <row r="147" spans="2:18" ht="25.5" x14ac:dyDescent="0.25">
      <c r="B147" s="151"/>
      <c r="C147" s="151"/>
      <c r="D147" s="92">
        <v>140</v>
      </c>
      <c r="E147" s="19" t="s">
        <v>1147</v>
      </c>
      <c r="F147" s="92" t="s">
        <v>12</v>
      </c>
      <c r="G147" s="92" t="s">
        <v>1148</v>
      </c>
      <c r="H147" s="92" t="s">
        <v>10</v>
      </c>
      <c r="I147" s="92" t="s">
        <v>2</v>
      </c>
      <c r="J147" s="19" t="s">
        <v>1631</v>
      </c>
      <c r="K147" s="58">
        <v>23749</v>
      </c>
      <c r="L147" s="59">
        <v>1965</v>
      </c>
      <c r="M147" s="59">
        <f t="shared" si="13"/>
        <v>54</v>
      </c>
      <c r="N147" s="92" t="s">
        <v>3</v>
      </c>
      <c r="O147" s="92" t="s">
        <v>1632</v>
      </c>
      <c r="P147" s="19" t="s">
        <v>1732</v>
      </c>
      <c r="Q147" s="92"/>
      <c r="R147" s="19" t="s">
        <v>1764</v>
      </c>
    </row>
    <row r="148" spans="2:18" ht="25.5" x14ac:dyDescent="0.25">
      <c r="B148" s="151"/>
      <c r="C148" s="151"/>
      <c r="D148" s="92">
        <v>141</v>
      </c>
      <c r="E148" s="19" t="s">
        <v>1149</v>
      </c>
      <c r="F148" s="92" t="s">
        <v>18</v>
      </c>
      <c r="G148" s="92" t="s">
        <v>1150</v>
      </c>
      <c r="H148" s="92" t="s">
        <v>10</v>
      </c>
      <c r="I148" s="92" t="s">
        <v>2</v>
      </c>
      <c r="J148" s="19" t="s">
        <v>1631</v>
      </c>
      <c r="K148" s="58">
        <v>36336</v>
      </c>
      <c r="L148" s="59">
        <v>1999</v>
      </c>
      <c r="M148" s="59">
        <f t="shared" si="13"/>
        <v>20</v>
      </c>
      <c r="N148" s="92" t="s">
        <v>3</v>
      </c>
      <c r="O148" s="92" t="s">
        <v>1632</v>
      </c>
      <c r="P148" s="19" t="s">
        <v>1641</v>
      </c>
      <c r="Q148" s="92"/>
      <c r="R148" s="19" t="s">
        <v>1625</v>
      </c>
    </row>
    <row r="149" spans="2:18" ht="25.5" x14ac:dyDescent="0.25">
      <c r="B149" s="151"/>
      <c r="C149" s="151"/>
      <c r="D149" s="92">
        <v>142</v>
      </c>
      <c r="E149" s="19" t="s">
        <v>1151</v>
      </c>
      <c r="F149" s="92" t="s">
        <v>18</v>
      </c>
      <c r="G149" s="92" t="s">
        <v>2316</v>
      </c>
      <c r="H149" s="92" t="s">
        <v>10</v>
      </c>
      <c r="I149" s="92" t="s">
        <v>15</v>
      </c>
      <c r="J149" s="19" t="s">
        <v>1736</v>
      </c>
      <c r="K149" s="58">
        <v>39961</v>
      </c>
      <c r="L149" s="59">
        <v>2009</v>
      </c>
      <c r="M149" s="59">
        <f t="shared" si="13"/>
        <v>10</v>
      </c>
      <c r="N149" s="92" t="s">
        <v>3</v>
      </c>
      <c r="O149" s="92" t="s">
        <v>1632</v>
      </c>
      <c r="P149" s="19" t="s">
        <v>1635</v>
      </c>
      <c r="Q149" s="92"/>
      <c r="R149" s="19" t="s">
        <v>1625</v>
      </c>
    </row>
    <row r="150" spans="2:18" ht="25.5" x14ac:dyDescent="0.25">
      <c r="B150" s="151">
        <v>42</v>
      </c>
      <c r="C150" s="151" t="s">
        <v>2291</v>
      </c>
      <c r="D150" s="92">
        <v>143</v>
      </c>
      <c r="E150" s="19" t="s">
        <v>1152</v>
      </c>
      <c r="F150" s="92" t="s">
        <v>7</v>
      </c>
      <c r="G150" s="92" t="s">
        <v>2293</v>
      </c>
      <c r="H150" s="92" t="s">
        <v>1</v>
      </c>
      <c r="I150" s="92" t="s">
        <v>2</v>
      </c>
      <c r="J150" s="19" t="s">
        <v>1647</v>
      </c>
      <c r="K150" s="58">
        <v>19000</v>
      </c>
      <c r="L150" s="59">
        <v>1952</v>
      </c>
      <c r="M150" s="59">
        <f t="shared" si="13"/>
        <v>67</v>
      </c>
      <c r="N150" s="92" t="s">
        <v>3</v>
      </c>
      <c r="O150" s="92" t="s">
        <v>1632</v>
      </c>
      <c r="P150" s="19" t="s">
        <v>1635</v>
      </c>
      <c r="Q150" s="92"/>
      <c r="R150" s="19" t="s">
        <v>1710</v>
      </c>
    </row>
    <row r="151" spans="2:18" ht="25.5" x14ac:dyDescent="0.25">
      <c r="B151" s="151"/>
      <c r="C151" s="151"/>
      <c r="D151" s="92">
        <v>144</v>
      </c>
      <c r="E151" s="19" t="s">
        <v>2292</v>
      </c>
      <c r="F151" s="92" t="s">
        <v>12</v>
      </c>
      <c r="G151" s="92" t="s">
        <v>1153</v>
      </c>
      <c r="H151" s="92" t="s">
        <v>10</v>
      </c>
      <c r="I151" s="92" t="s">
        <v>2</v>
      </c>
      <c r="J151" s="19" t="s">
        <v>2294</v>
      </c>
      <c r="K151" s="58">
        <v>25567</v>
      </c>
      <c r="L151" s="59">
        <v>1969</v>
      </c>
      <c r="M151" s="59">
        <f t="shared" si="13"/>
        <v>50</v>
      </c>
      <c r="N151" s="92" t="s">
        <v>3</v>
      </c>
      <c r="O151" s="92" t="s">
        <v>1632</v>
      </c>
      <c r="P151" s="19" t="s">
        <v>1635</v>
      </c>
      <c r="Q151" s="92"/>
      <c r="R151" s="19" t="s">
        <v>1764</v>
      </c>
    </row>
    <row r="152" spans="2:18" ht="25.5" x14ac:dyDescent="0.25">
      <c r="B152" s="151"/>
      <c r="C152" s="151"/>
      <c r="D152" s="92">
        <v>145</v>
      </c>
      <c r="E152" s="19" t="s">
        <v>693</v>
      </c>
      <c r="F152" s="92" t="s">
        <v>18</v>
      </c>
      <c r="G152" s="92" t="s">
        <v>2293</v>
      </c>
      <c r="H152" s="92" t="s">
        <v>1</v>
      </c>
      <c r="I152" s="92" t="s">
        <v>15</v>
      </c>
      <c r="J152" s="19" t="s">
        <v>1631</v>
      </c>
      <c r="K152" s="58">
        <v>31823</v>
      </c>
      <c r="L152" s="59">
        <v>1987</v>
      </c>
      <c r="M152" s="59">
        <f t="shared" si="13"/>
        <v>32</v>
      </c>
      <c r="N152" s="92" t="s">
        <v>3</v>
      </c>
      <c r="O152" s="92" t="s">
        <v>1632</v>
      </c>
      <c r="P152" s="19" t="s">
        <v>1677</v>
      </c>
      <c r="Q152" s="92"/>
      <c r="R152" s="19" t="s">
        <v>16</v>
      </c>
    </row>
    <row r="153" spans="2:18" ht="25.5" x14ac:dyDescent="0.25">
      <c r="B153" s="151">
        <v>43</v>
      </c>
      <c r="C153" s="151" t="s">
        <v>2314</v>
      </c>
      <c r="D153" s="92">
        <v>146</v>
      </c>
      <c r="E153" s="19" t="s">
        <v>1154</v>
      </c>
      <c r="F153" s="92" t="s">
        <v>7</v>
      </c>
      <c r="G153" s="92" t="s">
        <v>1155</v>
      </c>
      <c r="H153" s="92" t="s">
        <v>1</v>
      </c>
      <c r="I153" s="92" t="s">
        <v>2</v>
      </c>
      <c r="J153" s="19" t="s">
        <v>1631</v>
      </c>
      <c r="K153" s="58">
        <v>21922</v>
      </c>
      <c r="L153" s="59">
        <v>1960</v>
      </c>
      <c r="M153" s="59">
        <f t="shared" si="13"/>
        <v>59</v>
      </c>
      <c r="N153" s="92" t="s">
        <v>3</v>
      </c>
      <c r="O153" s="92" t="s">
        <v>1632</v>
      </c>
      <c r="P153" s="19" t="s">
        <v>1732</v>
      </c>
      <c r="Q153" s="92"/>
      <c r="R153" s="19" t="s">
        <v>1710</v>
      </c>
    </row>
    <row r="154" spans="2:18" ht="25.5" x14ac:dyDescent="0.25">
      <c r="B154" s="151"/>
      <c r="C154" s="151"/>
      <c r="D154" s="92">
        <v>147</v>
      </c>
      <c r="E154" s="19" t="s">
        <v>1021</v>
      </c>
      <c r="F154" s="92" t="s">
        <v>12</v>
      </c>
      <c r="G154" s="92" t="s">
        <v>1156</v>
      </c>
      <c r="H154" s="92" t="s">
        <v>10</v>
      </c>
      <c r="I154" s="92" t="s">
        <v>2</v>
      </c>
      <c r="J154" s="19" t="s">
        <v>1631</v>
      </c>
      <c r="K154" s="58">
        <v>24844</v>
      </c>
      <c r="L154" s="59">
        <v>1968</v>
      </c>
      <c r="M154" s="59">
        <f t="shared" si="13"/>
        <v>51</v>
      </c>
      <c r="N154" s="92" t="s">
        <v>3</v>
      </c>
      <c r="O154" s="92" t="s">
        <v>1632</v>
      </c>
      <c r="P154" s="19" t="s">
        <v>1732</v>
      </c>
      <c r="Q154" s="92"/>
      <c r="R154" s="19" t="s">
        <v>1710</v>
      </c>
    </row>
    <row r="155" spans="2:18" ht="25.5" x14ac:dyDescent="0.25">
      <c r="B155" s="151"/>
      <c r="C155" s="151"/>
      <c r="D155" s="92">
        <v>148</v>
      </c>
      <c r="E155" s="19" t="s">
        <v>1157</v>
      </c>
      <c r="F155" s="92" t="s">
        <v>18</v>
      </c>
      <c r="G155" s="92" t="s">
        <v>1158</v>
      </c>
      <c r="H155" s="92" t="s">
        <v>1</v>
      </c>
      <c r="I155" s="92" t="s">
        <v>15</v>
      </c>
      <c r="J155" s="19" t="s">
        <v>1631</v>
      </c>
      <c r="K155" s="58">
        <v>34669</v>
      </c>
      <c r="L155" s="59">
        <v>1994</v>
      </c>
      <c r="M155" s="59">
        <f t="shared" si="13"/>
        <v>25</v>
      </c>
      <c r="N155" s="92" t="s">
        <v>3</v>
      </c>
      <c r="O155" s="92" t="s">
        <v>1632</v>
      </c>
      <c r="P155" s="19" t="s">
        <v>1641</v>
      </c>
      <c r="Q155" s="92"/>
      <c r="R155" s="19" t="s">
        <v>1638</v>
      </c>
    </row>
    <row r="156" spans="2:18" ht="25.5" x14ac:dyDescent="0.25">
      <c r="B156" s="151"/>
      <c r="C156" s="151"/>
      <c r="D156" s="92">
        <v>149</v>
      </c>
      <c r="E156" s="19" t="s">
        <v>1159</v>
      </c>
      <c r="F156" s="92" t="s">
        <v>18</v>
      </c>
      <c r="G156" s="92" t="s">
        <v>1160</v>
      </c>
      <c r="H156" s="92" t="s">
        <v>1</v>
      </c>
      <c r="I156" s="92" t="s">
        <v>15</v>
      </c>
      <c r="J156" s="19" t="s">
        <v>1631</v>
      </c>
      <c r="K156" s="58">
        <v>36923</v>
      </c>
      <c r="L156" s="59">
        <v>2001</v>
      </c>
      <c r="M156" s="59">
        <f t="shared" si="13"/>
        <v>18</v>
      </c>
      <c r="N156" s="92" t="s">
        <v>3</v>
      </c>
      <c r="O156" s="92" t="s">
        <v>1632</v>
      </c>
      <c r="P156" s="19" t="s">
        <v>1635</v>
      </c>
      <c r="Q156" s="92"/>
      <c r="R156" s="19" t="s">
        <v>1625</v>
      </c>
    </row>
    <row r="157" spans="2:18" ht="25.5" x14ac:dyDescent="0.25">
      <c r="B157" s="151"/>
      <c r="C157" s="151"/>
      <c r="D157" s="92">
        <v>150</v>
      </c>
      <c r="E157" s="19" t="s">
        <v>1161</v>
      </c>
      <c r="F157" s="92" t="s">
        <v>18</v>
      </c>
      <c r="G157" s="92" t="s">
        <v>1162</v>
      </c>
      <c r="H157" s="92" t="s">
        <v>10</v>
      </c>
      <c r="I157" s="92" t="s">
        <v>15</v>
      </c>
      <c r="J157" s="19" t="s">
        <v>1631</v>
      </c>
      <c r="K157" s="58">
        <v>39811</v>
      </c>
      <c r="L157" s="59">
        <v>2008</v>
      </c>
      <c r="M157" s="59">
        <f t="shared" si="13"/>
        <v>11</v>
      </c>
      <c r="N157" s="92" t="s">
        <v>3</v>
      </c>
      <c r="O157" s="92" t="s">
        <v>1632</v>
      </c>
      <c r="P157" s="19" t="s">
        <v>1733</v>
      </c>
      <c r="Q157" s="92"/>
      <c r="R157" s="19" t="s">
        <v>1638</v>
      </c>
    </row>
    <row r="158" spans="2:18" ht="25.5" x14ac:dyDescent="0.25">
      <c r="B158" s="151">
        <v>44</v>
      </c>
      <c r="C158" s="151" t="s">
        <v>2079</v>
      </c>
      <c r="D158" s="92">
        <v>151</v>
      </c>
      <c r="E158" s="19" t="s">
        <v>1163</v>
      </c>
      <c r="F158" s="92" t="s">
        <v>7</v>
      </c>
      <c r="G158" s="92" t="s">
        <v>2080</v>
      </c>
      <c r="H158" s="92" t="s">
        <v>1</v>
      </c>
      <c r="I158" s="92" t="s">
        <v>2</v>
      </c>
      <c r="J158" s="19" t="s">
        <v>1631</v>
      </c>
      <c r="K158" s="58">
        <v>21922</v>
      </c>
      <c r="L158" s="59">
        <v>1960</v>
      </c>
      <c r="M158" s="59">
        <f t="shared" si="13"/>
        <v>59</v>
      </c>
      <c r="N158" s="92" t="s">
        <v>3</v>
      </c>
      <c r="O158" s="92" t="s">
        <v>1632</v>
      </c>
      <c r="P158" s="19" t="s">
        <v>1732</v>
      </c>
      <c r="Q158" s="92"/>
      <c r="R158" s="19" t="s">
        <v>39</v>
      </c>
    </row>
    <row r="159" spans="2:18" ht="25.5" x14ac:dyDescent="0.25">
      <c r="B159" s="151"/>
      <c r="C159" s="151"/>
      <c r="D159" s="92">
        <v>152</v>
      </c>
      <c r="E159" s="19" t="s">
        <v>112</v>
      </c>
      <c r="F159" s="92" t="s">
        <v>12</v>
      </c>
      <c r="G159" s="92" t="s">
        <v>2081</v>
      </c>
      <c r="H159" s="92" t="s">
        <v>10</v>
      </c>
      <c r="I159" s="92" t="s">
        <v>2</v>
      </c>
      <c r="J159" s="19" t="s">
        <v>1631</v>
      </c>
      <c r="K159" s="58">
        <v>23018</v>
      </c>
      <c r="L159" s="59">
        <v>1963</v>
      </c>
      <c r="M159" s="59">
        <f t="shared" si="13"/>
        <v>56</v>
      </c>
      <c r="N159" s="92" t="s">
        <v>3</v>
      </c>
      <c r="O159" s="92" t="s">
        <v>1632</v>
      </c>
      <c r="P159" s="19" t="s">
        <v>1732</v>
      </c>
      <c r="Q159" s="92"/>
      <c r="R159" s="19" t="s">
        <v>1764</v>
      </c>
    </row>
    <row r="160" spans="2:18" ht="25.5" x14ac:dyDescent="0.25">
      <c r="B160" s="152">
        <v>45</v>
      </c>
      <c r="C160" s="151" t="s">
        <v>1773</v>
      </c>
      <c r="D160" s="92">
        <v>153</v>
      </c>
      <c r="E160" s="19" t="s">
        <v>1164</v>
      </c>
      <c r="F160" s="92" t="s">
        <v>7</v>
      </c>
      <c r="G160" s="92" t="s">
        <v>1774</v>
      </c>
      <c r="H160" s="92" t="s">
        <v>10</v>
      </c>
      <c r="I160" s="92" t="s">
        <v>1735</v>
      </c>
      <c r="J160" s="19" t="s">
        <v>1631</v>
      </c>
      <c r="K160" s="58">
        <v>19724</v>
      </c>
      <c r="L160" s="59">
        <v>1953</v>
      </c>
      <c r="M160" s="59">
        <f t="shared" si="13"/>
        <v>66</v>
      </c>
      <c r="N160" s="92" t="s">
        <v>3</v>
      </c>
      <c r="O160" s="92" t="s">
        <v>1632</v>
      </c>
      <c r="P160" s="19" t="s">
        <v>1732</v>
      </c>
      <c r="Q160" s="92"/>
      <c r="R160" s="19" t="s">
        <v>1764</v>
      </c>
    </row>
    <row r="161" spans="2:18" ht="25.5" x14ac:dyDescent="0.25">
      <c r="B161" s="154"/>
      <c r="C161" s="151"/>
      <c r="D161" s="92">
        <v>154</v>
      </c>
      <c r="E161" s="19" t="s">
        <v>1165</v>
      </c>
      <c r="F161" s="92" t="s">
        <v>18</v>
      </c>
      <c r="G161" s="92" t="s">
        <v>1775</v>
      </c>
      <c r="H161" s="92" t="s">
        <v>10</v>
      </c>
      <c r="I161" s="92" t="s">
        <v>15</v>
      </c>
      <c r="J161" s="19" t="s">
        <v>1623</v>
      </c>
      <c r="K161" s="58">
        <v>29958</v>
      </c>
      <c r="L161" s="59">
        <v>1982</v>
      </c>
      <c r="M161" s="59">
        <f t="shared" si="13"/>
        <v>37</v>
      </c>
      <c r="N161" s="92" t="s">
        <v>3</v>
      </c>
      <c r="O161" s="92" t="s">
        <v>1632</v>
      </c>
      <c r="P161" s="19" t="s">
        <v>1732</v>
      </c>
      <c r="Q161" s="92"/>
      <c r="R161" s="19" t="s">
        <v>1636</v>
      </c>
    </row>
    <row r="162" spans="2:18" x14ac:dyDescent="0.25">
      <c r="B162" s="151">
        <v>46</v>
      </c>
      <c r="C162" s="151" t="s">
        <v>1776</v>
      </c>
      <c r="D162" s="92">
        <v>155</v>
      </c>
      <c r="E162" s="19" t="s">
        <v>1166</v>
      </c>
      <c r="F162" s="92" t="s">
        <v>7</v>
      </c>
      <c r="G162" s="92" t="s">
        <v>1779</v>
      </c>
      <c r="H162" s="92" t="s">
        <v>1</v>
      </c>
      <c r="I162" s="92" t="s">
        <v>2</v>
      </c>
      <c r="J162" s="19" t="s">
        <v>1623</v>
      </c>
      <c r="K162" s="58">
        <v>30929</v>
      </c>
      <c r="L162" s="59">
        <v>1984</v>
      </c>
      <c r="M162" s="59">
        <f t="shared" si="13"/>
        <v>35</v>
      </c>
      <c r="N162" s="92" t="s">
        <v>3</v>
      </c>
      <c r="O162" s="92" t="s">
        <v>1632</v>
      </c>
      <c r="P162" s="19" t="s">
        <v>1677</v>
      </c>
      <c r="Q162" s="92"/>
      <c r="R162" s="19" t="s">
        <v>39</v>
      </c>
    </row>
    <row r="163" spans="2:18" ht="25.5" x14ac:dyDescent="0.25">
      <c r="B163" s="151"/>
      <c r="C163" s="151"/>
      <c r="D163" s="92">
        <v>156</v>
      </c>
      <c r="E163" s="19" t="s">
        <v>1777</v>
      </c>
      <c r="F163" s="92" t="s">
        <v>12</v>
      </c>
      <c r="G163" s="92" t="s">
        <v>1780</v>
      </c>
      <c r="H163" s="92" t="s">
        <v>10</v>
      </c>
      <c r="I163" s="92" t="s">
        <v>2</v>
      </c>
      <c r="J163" s="19" t="s">
        <v>1782</v>
      </c>
      <c r="K163" s="58">
        <v>33245</v>
      </c>
      <c r="L163" s="59">
        <v>1991</v>
      </c>
      <c r="M163" s="59">
        <f t="shared" si="13"/>
        <v>28</v>
      </c>
      <c r="N163" s="92" t="s">
        <v>3</v>
      </c>
      <c r="O163" s="92" t="s">
        <v>1632</v>
      </c>
      <c r="P163" s="19" t="s">
        <v>1677</v>
      </c>
      <c r="Q163" s="92"/>
      <c r="R163" s="19" t="s">
        <v>1764</v>
      </c>
    </row>
    <row r="164" spans="2:18" ht="25.5" x14ac:dyDescent="0.25">
      <c r="B164" s="151"/>
      <c r="C164" s="151"/>
      <c r="D164" s="92">
        <v>157</v>
      </c>
      <c r="E164" s="19" t="s">
        <v>1778</v>
      </c>
      <c r="F164" s="92" t="s">
        <v>18</v>
      </c>
      <c r="G164" s="92" t="s">
        <v>1781</v>
      </c>
      <c r="H164" s="92" t="s">
        <v>1</v>
      </c>
      <c r="I164" s="92" t="s">
        <v>15</v>
      </c>
      <c r="J164" s="19" t="s">
        <v>1623</v>
      </c>
      <c r="K164" s="58">
        <v>42487</v>
      </c>
      <c r="L164" s="59">
        <v>2016</v>
      </c>
      <c r="M164" s="59">
        <f t="shared" si="13"/>
        <v>3</v>
      </c>
      <c r="N164" s="92" t="s">
        <v>3</v>
      </c>
      <c r="O164" s="92" t="s">
        <v>1632</v>
      </c>
      <c r="P164" s="19" t="s">
        <v>1733</v>
      </c>
      <c r="Q164" s="92"/>
      <c r="R164" s="19" t="s">
        <v>1638</v>
      </c>
    </row>
    <row r="165" spans="2:18" x14ac:dyDescent="0.25">
      <c r="B165" s="151">
        <v>47</v>
      </c>
      <c r="C165" s="151" t="s">
        <v>1705</v>
      </c>
      <c r="D165" s="92">
        <v>158</v>
      </c>
      <c r="E165" s="19" t="s">
        <v>1758</v>
      </c>
      <c r="F165" s="92" t="s">
        <v>7</v>
      </c>
      <c r="G165" s="92" t="s">
        <v>1706</v>
      </c>
      <c r="H165" s="92" t="s">
        <v>1</v>
      </c>
      <c r="I165" s="92" t="s">
        <v>2</v>
      </c>
      <c r="J165" s="19" t="s">
        <v>1623</v>
      </c>
      <c r="K165" s="58">
        <v>31047</v>
      </c>
      <c r="L165" s="59">
        <v>1984</v>
      </c>
      <c r="M165" s="59">
        <f t="shared" si="13"/>
        <v>35</v>
      </c>
      <c r="N165" s="92" t="s">
        <v>3</v>
      </c>
      <c r="O165" s="92" t="s">
        <v>1632</v>
      </c>
      <c r="P165" s="19" t="s">
        <v>35</v>
      </c>
      <c r="Q165" s="92"/>
      <c r="R165" s="19" t="s">
        <v>39</v>
      </c>
    </row>
    <row r="166" spans="2:18" ht="25.5" x14ac:dyDescent="0.25">
      <c r="B166" s="151"/>
      <c r="C166" s="151"/>
      <c r="D166" s="92">
        <v>159</v>
      </c>
      <c r="E166" s="19" t="s">
        <v>9</v>
      </c>
      <c r="F166" s="92" t="s">
        <v>12</v>
      </c>
      <c r="G166" s="92" t="s">
        <v>1707</v>
      </c>
      <c r="H166" s="92" t="s">
        <v>10</v>
      </c>
      <c r="I166" s="92" t="s">
        <v>2</v>
      </c>
      <c r="J166" s="19" t="s">
        <v>1757</v>
      </c>
      <c r="K166" s="58">
        <v>32142</v>
      </c>
      <c r="L166" s="59">
        <v>1987</v>
      </c>
      <c r="M166" s="59">
        <f t="shared" si="13"/>
        <v>32</v>
      </c>
      <c r="N166" s="92" t="s">
        <v>3</v>
      </c>
      <c r="O166" s="92" t="s">
        <v>1632</v>
      </c>
      <c r="P166" s="19" t="s">
        <v>1709</v>
      </c>
      <c r="Q166" s="92"/>
      <c r="R166" s="19" t="s">
        <v>1710</v>
      </c>
    </row>
    <row r="167" spans="2:18" ht="25.5" x14ac:dyDescent="0.25">
      <c r="B167" s="151"/>
      <c r="C167" s="151"/>
      <c r="D167" s="92">
        <v>160</v>
      </c>
      <c r="E167" s="19" t="s">
        <v>1759</v>
      </c>
      <c r="F167" s="92" t="s">
        <v>18</v>
      </c>
      <c r="G167" s="92" t="s">
        <v>1708</v>
      </c>
      <c r="H167" s="92" t="s">
        <v>1</v>
      </c>
      <c r="I167" s="92" t="s">
        <v>15</v>
      </c>
      <c r="J167" s="19" t="s">
        <v>1623</v>
      </c>
      <c r="K167" s="58">
        <v>41724</v>
      </c>
      <c r="L167" s="59">
        <v>2014</v>
      </c>
      <c r="M167" s="59">
        <f t="shared" si="13"/>
        <v>5</v>
      </c>
      <c r="N167" s="92" t="s">
        <v>3</v>
      </c>
      <c r="O167" s="92" t="s">
        <v>1632</v>
      </c>
      <c r="P167" s="19" t="s">
        <v>1655</v>
      </c>
      <c r="Q167" s="92"/>
      <c r="R167" s="19" t="s">
        <v>1674</v>
      </c>
    </row>
    <row r="168" spans="2:18" x14ac:dyDescent="0.25">
      <c r="B168" s="151">
        <v>48</v>
      </c>
      <c r="C168" s="151" t="s">
        <v>1746</v>
      </c>
      <c r="D168" s="92">
        <v>161</v>
      </c>
      <c r="E168" s="19" t="s">
        <v>1747</v>
      </c>
      <c r="F168" s="92" t="s">
        <v>7</v>
      </c>
      <c r="G168" s="92" t="s">
        <v>1751</v>
      </c>
      <c r="H168" s="92" t="s">
        <v>1</v>
      </c>
      <c r="I168" s="92" t="s">
        <v>2</v>
      </c>
      <c r="J168" s="19" t="s">
        <v>1623</v>
      </c>
      <c r="K168" s="58">
        <v>25575</v>
      </c>
      <c r="L168" s="59">
        <v>1970</v>
      </c>
      <c r="M168" s="59">
        <f t="shared" si="13"/>
        <v>49</v>
      </c>
      <c r="N168" s="92" t="s">
        <v>3</v>
      </c>
      <c r="O168" s="92" t="s">
        <v>1632</v>
      </c>
      <c r="P168" s="19" t="s">
        <v>1641</v>
      </c>
      <c r="Q168" s="92"/>
      <c r="R168" s="19" t="s">
        <v>39</v>
      </c>
    </row>
    <row r="169" spans="2:18" x14ac:dyDescent="0.25">
      <c r="B169" s="151"/>
      <c r="C169" s="151"/>
      <c r="D169" s="92">
        <v>162</v>
      </c>
      <c r="E169" s="19" t="s">
        <v>1748</v>
      </c>
      <c r="F169" s="92" t="s">
        <v>12</v>
      </c>
      <c r="G169" s="92" t="s">
        <v>1752</v>
      </c>
      <c r="H169" s="92" t="s">
        <v>10</v>
      </c>
      <c r="I169" s="92" t="s">
        <v>2</v>
      </c>
      <c r="J169" s="19" t="s">
        <v>1623</v>
      </c>
      <c r="K169" s="58">
        <v>29237</v>
      </c>
      <c r="L169" s="59">
        <v>1980</v>
      </c>
      <c r="M169" s="59">
        <f t="shared" si="13"/>
        <v>39</v>
      </c>
      <c r="N169" s="92" t="s">
        <v>3</v>
      </c>
      <c r="O169" s="92" t="s">
        <v>1632</v>
      </c>
      <c r="P169" s="19" t="s">
        <v>1641</v>
      </c>
      <c r="Q169" s="92"/>
      <c r="R169" s="19" t="s">
        <v>1648</v>
      </c>
    </row>
    <row r="170" spans="2:18" ht="25.5" x14ac:dyDescent="0.25">
      <c r="B170" s="151"/>
      <c r="C170" s="151"/>
      <c r="D170" s="92">
        <v>163</v>
      </c>
      <c r="E170" s="19" t="s">
        <v>1749</v>
      </c>
      <c r="F170" s="92" t="s">
        <v>75</v>
      </c>
      <c r="G170" s="92" t="s">
        <v>1753</v>
      </c>
      <c r="H170" s="92" t="s">
        <v>1</v>
      </c>
      <c r="I170" s="92" t="s">
        <v>15</v>
      </c>
      <c r="J170" s="19" t="s">
        <v>1623</v>
      </c>
      <c r="K170" s="58">
        <v>37323</v>
      </c>
      <c r="L170" s="59">
        <v>2002</v>
      </c>
      <c r="M170" s="59">
        <f t="shared" si="13"/>
        <v>17</v>
      </c>
      <c r="N170" s="92" t="s">
        <v>3</v>
      </c>
      <c r="O170" s="92" t="s">
        <v>1632</v>
      </c>
      <c r="P170" s="19" t="s">
        <v>1755</v>
      </c>
      <c r="Q170" s="92"/>
      <c r="R170" s="19" t="s">
        <v>1625</v>
      </c>
    </row>
    <row r="171" spans="2:18" ht="25.5" x14ac:dyDescent="0.25">
      <c r="B171" s="151"/>
      <c r="C171" s="151"/>
      <c r="D171" s="92">
        <v>164</v>
      </c>
      <c r="E171" s="19" t="s">
        <v>1750</v>
      </c>
      <c r="F171" s="92" t="s">
        <v>75</v>
      </c>
      <c r="G171" s="92" t="s">
        <v>1754</v>
      </c>
      <c r="H171" s="92" t="s">
        <v>1</v>
      </c>
      <c r="I171" s="92" t="s">
        <v>15</v>
      </c>
      <c r="J171" s="19" t="s">
        <v>1623</v>
      </c>
      <c r="K171" s="58">
        <v>39147</v>
      </c>
      <c r="L171" s="59">
        <v>2007</v>
      </c>
      <c r="M171" s="59">
        <f t="shared" si="13"/>
        <v>12</v>
      </c>
      <c r="N171" s="92" t="s">
        <v>3</v>
      </c>
      <c r="O171" s="92" t="s">
        <v>1632</v>
      </c>
      <c r="P171" s="19" t="s">
        <v>1733</v>
      </c>
      <c r="Q171" s="92"/>
      <c r="R171" s="19" t="s">
        <v>1756</v>
      </c>
    </row>
    <row r="172" spans="2:18" ht="25.5" x14ac:dyDescent="0.25">
      <c r="B172" s="151">
        <v>49</v>
      </c>
      <c r="C172" s="155" t="s">
        <v>1768</v>
      </c>
      <c r="D172" s="92">
        <v>165</v>
      </c>
      <c r="E172" s="19" t="s">
        <v>1430</v>
      </c>
      <c r="F172" s="92" t="s">
        <v>7</v>
      </c>
      <c r="G172" s="95" t="s">
        <v>1431</v>
      </c>
      <c r="H172" s="92" t="s">
        <v>1</v>
      </c>
      <c r="I172" s="92" t="s">
        <v>2</v>
      </c>
      <c r="J172" s="19" t="s">
        <v>1631</v>
      </c>
      <c r="K172" s="58">
        <v>43647</v>
      </c>
      <c r="L172" s="59">
        <v>1983</v>
      </c>
      <c r="M172" s="59">
        <f t="shared" si="13"/>
        <v>36</v>
      </c>
      <c r="N172" s="92" t="s">
        <v>3</v>
      </c>
      <c r="O172" s="92" t="s">
        <v>1632</v>
      </c>
      <c r="P172" s="19" t="s">
        <v>1677</v>
      </c>
      <c r="Q172" s="92"/>
      <c r="R172" s="19" t="s">
        <v>1772</v>
      </c>
    </row>
    <row r="173" spans="2:18" ht="25.5" x14ac:dyDescent="0.25">
      <c r="B173" s="151"/>
      <c r="C173" s="155"/>
      <c r="D173" s="92">
        <v>166</v>
      </c>
      <c r="E173" s="19" t="s">
        <v>1432</v>
      </c>
      <c r="F173" s="92" t="s">
        <v>12</v>
      </c>
      <c r="G173" s="95" t="s">
        <v>1769</v>
      </c>
      <c r="H173" s="92" t="s">
        <v>10</v>
      </c>
      <c r="I173" s="92" t="s">
        <v>2</v>
      </c>
      <c r="J173" s="19" t="s">
        <v>1771</v>
      </c>
      <c r="K173" s="58">
        <v>34151</v>
      </c>
      <c r="L173" s="59">
        <v>1993</v>
      </c>
      <c r="M173" s="59">
        <f t="shared" si="13"/>
        <v>26</v>
      </c>
      <c r="N173" s="92" t="s">
        <v>3</v>
      </c>
      <c r="O173" s="92" t="s">
        <v>1632</v>
      </c>
      <c r="P173" s="19" t="s">
        <v>1732</v>
      </c>
      <c r="Q173" s="92"/>
      <c r="R173" s="19" t="s">
        <v>1764</v>
      </c>
    </row>
    <row r="174" spans="2:18" ht="38.25" x14ac:dyDescent="0.25">
      <c r="B174" s="151"/>
      <c r="C174" s="155"/>
      <c r="D174" s="92">
        <v>167</v>
      </c>
      <c r="E174" s="19" t="s">
        <v>1433</v>
      </c>
      <c r="F174" s="92" t="s">
        <v>18</v>
      </c>
      <c r="G174" s="95" t="s">
        <v>1770</v>
      </c>
      <c r="H174" s="92" t="s">
        <v>1</v>
      </c>
      <c r="I174" s="92" t="s">
        <v>1434</v>
      </c>
      <c r="J174" s="19" t="s">
        <v>1771</v>
      </c>
      <c r="K174" s="58">
        <v>41291</v>
      </c>
      <c r="L174" s="59">
        <v>2013</v>
      </c>
      <c r="M174" s="59">
        <f t="shared" si="13"/>
        <v>6</v>
      </c>
      <c r="N174" s="92" t="s">
        <v>3</v>
      </c>
      <c r="O174" s="92" t="s">
        <v>1632</v>
      </c>
      <c r="P174" s="19" t="s">
        <v>1733</v>
      </c>
      <c r="Q174" s="92"/>
      <c r="R174" s="19" t="s">
        <v>1638</v>
      </c>
    </row>
    <row r="175" spans="2:18" ht="25.5" x14ac:dyDescent="0.25">
      <c r="B175" s="152">
        <v>50</v>
      </c>
      <c r="C175" s="152" t="s">
        <v>1961</v>
      </c>
      <c r="D175" s="92">
        <v>168</v>
      </c>
      <c r="E175" s="19" t="s">
        <v>1962</v>
      </c>
      <c r="F175" s="92" t="s">
        <v>7</v>
      </c>
      <c r="G175" s="92" t="s">
        <v>277</v>
      </c>
      <c r="H175" s="92" t="s">
        <v>1</v>
      </c>
      <c r="I175" s="92" t="s">
        <v>2</v>
      </c>
      <c r="J175" s="19" t="s">
        <v>1631</v>
      </c>
      <c r="K175" s="58">
        <v>31899</v>
      </c>
      <c r="L175" s="59">
        <v>1987</v>
      </c>
      <c r="M175" s="59">
        <f t="shared" si="13"/>
        <v>32</v>
      </c>
      <c r="N175" s="92" t="s">
        <v>3</v>
      </c>
      <c r="O175" s="92" t="s">
        <v>1632</v>
      </c>
      <c r="P175" s="19" t="s">
        <v>1968</v>
      </c>
      <c r="Q175" s="92"/>
      <c r="R175" s="19" t="s">
        <v>39</v>
      </c>
    </row>
    <row r="176" spans="2:18" x14ac:dyDescent="0.25">
      <c r="B176" s="153"/>
      <c r="C176" s="153"/>
      <c r="D176" s="92">
        <v>169</v>
      </c>
      <c r="E176" s="19" t="s">
        <v>1963</v>
      </c>
      <c r="F176" s="92" t="s">
        <v>12</v>
      </c>
      <c r="G176" s="92" t="s">
        <v>1965</v>
      </c>
      <c r="H176" s="92" t="s">
        <v>10</v>
      </c>
      <c r="I176" s="92" t="s">
        <v>2</v>
      </c>
      <c r="J176" s="19" t="s">
        <v>1967</v>
      </c>
      <c r="K176" s="58">
        <v>32035</v>
      </c>
      <c r="L176" s="59">
        <v>1987</v>
      </c>
      <c r="M176" s="59">
        <f t="shared" si="13"/>
        <v>32</v>
      </c>
      <c r="N176" s="92" t="s">
        <v>3</v>
      </c>
      <c r="O176" s="92" t="s">
        <v>1632</v>
      </c>
      <c r="P176" s="19" t="s">
        <v>1645</v>
      </c>
      <c r="Q176" s="92"/>
      <c r="R176" s="19" t="s">
        <v>39</v>
      </c>
    </row>
    <row r="177" spans="2:18" ht="25.5" x14ac:dyDescent="0.25">
      <c r="B177" s="154"/>
      <c r="C177" s="154"/>
      <c r="D177" s="92">
        <v>170</v>
      </c>
      <c r="E177" s="19" t="s">
        <v>1964</v>
      </c>
      <c r="F177" s="92" t="s">
        <v>18</v>
      </c>
      <c r="G177" s="92" t="s">
        <v>1966</v>
      </c>
      <c r="H177" s="92" t="s">
        <v>10</v>
      </c>
      <c r="I177" s="92" t="s">
        <v>15</v>
      </c>
      <c r="J177" s="19" t="s">
        <v>1623</v>
      </c>
      <c r="K177" s="58">
        <v>42457</v>
      </c>
      <c r="L177" s="59">
        <v>2016</v>
      </c>
      <c r="M177" s="59">
        <f t="shared" si="13"/>
        <v>3</v>
      </c>
      <c r="N177" s="92" t="s">
        <v>3</v>
      </c>
      <c r="O177" s="92" t="s">
        <v>1632</v>
      </c>
      <c r="P177" s="19" t="s">
        <v>1733</v>
      </c>
      <c r="Q177" s="92"/>
      <c r="R177" s="19" t="s">
        <v>1638</v>
      </c>
    </row>
    <row r="178" spans="2:18" ht="25.5" x14ac:dyDescent="0.25">
      <c r="B178" s="152">
        <v>51</v>
      </c>
      <c r="C178" s="152" t="s">
        <v>2072</v>
      </c>
      <c r="D178" s="92">
        <v>171</v>
      </c>
      <c r="E178" s="19" t="s">
        <v>2073</v>
      </c>
      <c r="F178" s="92" t="s">
        <v>7</v>
      </c>
      <c r="G178" s="92" t="s">
        <v>2075</v>
      </c>
      <c r="H178" s="92" t="s">
        <v>1</v>
      </c>
      <c r="I178" s="92" t="s">
        <v>2</v>
      </c>
      <c r="J178" s="19" t="s">
        <v>2078</v>
      </c>
      <c r="K178" s="58">
        <v>27394</v>
      </c>
      <c r="L178" s="59">
        <v>1974</v>
      </c>
      <c r="M178" s="59">
        <f t="shared" si="13"/>
        <v>45</v>
      </c>
      <c r="N178" s="92" t="s">
        <v>3</v>
      </c>
      <c r="O178" s="92" t="s">
        <v>1632</v>
      </c>
      <c r="P178" s="19" t="s">
        <v>1733</v>
      </c>
      <c r="Q178" s="92"/>
      <c r="R178" s="19" t="s">
        <v>39</v>
      </c>
    </row>
    <row r="179" spans="2:18" ht="25.5" x14ac:dyDescent="0.25">
      <c r="B179" s="153"/>
      <c r="C179" s="153"/>
      <c r="D179" s="92">
        <v>172</v>
      </c>
      <c r="E179" s="19" t="s">
        <v>1011</v>
      </c>
      <c r="F179" s="92" t="s">
        <v>12</v>
      </c>
      <c r="G179" s="92" t="s">
        <v>2076</v>
      </c>
      <c r="H179" s="92" t="s">
        <v>10</v>
      </c>
      <c r="I179" s="92" t="s">
        <v>2</v>
      </c>
      <c r="J179" s="19" t="s">
        <v>1631</v>
      </c>
      <c r="K179" s="58">
        <v>28855</v>
      </c>
      <c r="L179" s="59">
        <v>1978</v>
      </c>
      <c r="M179" s="59">
        <f t="shared" si="13"/>
        <v>41</v>
      </c>
      <c r="N179" s="92" t="s">
        <v>3</v>
      </c>
      <c r="O179" s="92" t="s">
        <v>1632</v>
      </c>
      <c r="P179" s="19" t="s">
        <v>1733</v>
      </c>
      <c r="Q179" s="92"/>
      <c r="R179" s="19" t="s">
        <v>1764</v>
      </c>
    </row>
    <row r="180" spans="2:18" ht="25.5" x14ac:dyDescent="0.25">
      <c r="B180" s="153"/>
      <c r="C180" s="153"/>
      <c r="D180" s="92">
        <v>173</v>
      </c>
      <c r="E180" s="19" t="s">
        <v>2074</v>
      </c>
      <c r="F180" s="92" t="s">
        <v>18</v>
      </c>
      <c r="G180" s="92" t="s">
        <v>2077</v>
      </c>
      <c r="H180" s="92" t="s">
        <v>1</v>
      </c>
      <c r="I180" s="92" t="s">
        <v>15</v>
      </c>
      <c r="J180" s="19" t="s">
        <v>2078</v>
      </c>
      <c r="K180" s="58">
        <v>33281</v>
      </c>
      <c r="L180" s="59">
        <v>1991</v>
      </c>
      <c r="M180" s="59">
        <f t="shared" si="13"/>
        <v>28</v>
      </c>
      <c r="N180" s="92" t="s">
        <v>3</v>
      </c>
      <c r="O180" s="92" t="s">
        <v>1632</v>
      </c>
      <c r="P180" s="19" t="s">
        <v>1641</v>
      </c>
      <c r="Q180" s="92"/>
      <c r="R180" s="19" t="s">
        <v>1772</v>
      </c>
    </row>
    <row r="181" spans="2:18" x14ac:dyDescent="0.25">
      <c r="B181" s="154"/>
      <c r="C181" s="154"/>
      <c r="D181" s="92">
        <v>174</v>
      </c>
      <c r="E181" s="19" t="s">
        <v>1053</v>
      </c>
      <c r="F181" s="92" t="s">
        <v>18</v>
      </c>
      <c r="G181" s="92" t="s">
        <v>1054</v>
      </c>
      <c r="H181" s="92" t="s">
        <v>10</v>
      </c>
      <c r="I181" s="92" t="s">
        <v>15</v>
      </c>
      <c r="J181" s="19" t="s">
        <v>2078</v>
      </c>
      <c r="K181" s="58">
        <v>36358</v>
      </c>
      <c r="L181" s="59">
        <v>1999</v>
      </c>
      <c r="M181" s="59">
        <f t="shared" si="13"/>
        <v>20</v>
      </c>
      <c r="N181" s="92" t="s">
        <v>3</v>
      </c>
      <c r="O181" s="92" t="s">
        <v>1632</v>
      </c>
      <c r="P181" s="19" t="s">
        <v>1641</v>
      </c>
      <c r="Q181" s="92"/>
      <c r="R181" s="19" t="s">
        <v>1625</v>
      </c>
    </row>
    <row r="182" spans="2:18" ht="25.5" x14ac:dyDescent="0.25">
      <c r="B182" s="152">
        <v>52</v>
      </c>
      <c r="C182" s="151" t="s">
        <v>2155</v>
      </c>
      <c r="D182" s="92">
        <v>175</v>
      </c>
      <c r="E182" s="19" t="s">
        <v>780</v>
      </c>
      <c r="F182" s="92" t="s">
        <v>7</v>
      </c>
      <c r="G182" s="92" t="s">
        <v>2157</v>
      </c>
      <c r="H182" s="92" t="s">
        <v>1</v>
      </c>
      <c r="I182" s="92" t="s">
        <v>1735</v>
      </c>
      <c r="J182" s="19" t="s">
        <v>1631</v>
      </c>
      <c r="K182" s="58">
        <v>15705</v>
      </c>
      <c r="L182" s="59">
        <v>1942</v>
      </c>
      <c r="M182" s="59">
        <f t="shared" si="13"/>
        <v>77</v>
      </c>
      <c r="N182" s="92" t="s">
        <v>3</v>
      </c>
      <c r="O182" s="92" t="s">
        <v>1632</v>
      </c>
      <c r="P182" s="19" t="s">
        <v>1677</v>
      </c>
      <c r="Q182" s="92"/>
      <c r="R182" s="19" t="s">
        <v>977</v>
      </c>
    </row>
    <row r="183" spans="2:18" ht="25.5" x14ac:dyDescent="0.25">
      <c r="B183" s="154"/>
      <c r="C183" s="151"/>
      <c r="D183" s="92">
        <v>176</v>
      </c>
      <c r="E183" s="19" t="s">
        <v>2156</v>
      </c>
      <c r="F183" s="92" t="s">
        <v>18</v>
      </c>
      <c r="G183" s="92" t="s">
        <v>1039</v>
      </c>
      <c r="H183" s="92" t="s">
        <v>10</v>
      </c>
      <c r="I183" s="92" t="s">
        <v>15</v>
      </c>
      <c r="J183" s="19" t="s">
        <v>1631</v>
      </c>
      <c r="K183" s="58">
        <v>23547</v>
      </c>
      <c r="L183" s="59">
        <v>1964</v>
      </c>
      <c r="M183" s="59">
        <f t="shared" si="13"/>
        <v>55</v>
      </c>
      <c r="N183" s="92" t="s">
        <v>3</v>
      </c>
      <c r="O183" s="92" t="s">
        <v>1632</v>
      </c>
      <c r="P183" s="19" t="s">
        <v>1732</v>
      </c>
      <c r="Q183" s="92"/>
      <c r="R183" s="19" t="s">
        <v>1764</v>
      </c>
    </row>
    <row r="184" spans="2:18" ht="25.5" x14ac:dyDescent="0.25">
      <c r="B184" s="152">
        <v>53</v>
      </c>
      <c r="C184" s="151" t="s">
        <v>2276</v>
      </c>
      <c r="D184" s="92">
        <v>177</v>
      </c>
      <c r="E184" s="19" t="s">
        <v>2277</v>
      </c>
      <c r="F184" s="92" t="s">
        <v>7</v>
      </c>
      <c r="G184" s="92" t="s">
        <v>2282</v>
      </c>
      <c r="H184" s="92" t="s">
        <v>1</v>
      </c>
      <c r="I184" s="92" t="s">
        <v>2</v>
      </c>
      <c r="J184" s="19" t="s">
        <v>2287</v>
      </c>
      <c r="K184" s="58">
        <v>25204</v>
      </c>
      <c r="L184" s="59">
        <v>1969</v>
      </c>
      <c r="M184" s="59">
        <f t="shared" si="13"/>
        <v>50</v>
      </c>
      <c r="N184" s="92" t="s">
        <v>3</v>
      </c>
      <c r="O184" s="92" t="s">
        <v>1632</v>
      </c>
      <c r="P184" s="19" t="s">
        <v>1677</v>
      </c>
      <c r="Q184" s="92"/>
      <c r="R184" s="19" t="s">
        <v>2290</v>
      </c>
    </row>
    <row r="185" spans="2:18" ht="25.5" x14ac:dyDescent="0.25">
      <c r="B185" s="153"/>
      <c r="C185" s="151"/>
      <c r="D185" s="92">
        <v>178</v>
      </c>
      <c r="E185" s="19" t="s">
        <v>2278</v>
      </c>
      <c r="F185" s="92" t="s">
        <v>12</v>
      </c>
      <c r="G185" s="92" t="s">
        <v>2283</v>
      </c>
      <c r="H185" s="92" t="s">
        <v>10</v>
      </c>
      <c r="I185" s="92" t="s">
        <v>2</v>
      </c>
      <c r="J185" s="19" t="s">
        <v>1647</v>
      </c>
      <c r="K185" s="58">
        <v>29951</v>
      </c>
      <c r="L185" s="59">
        <v>1981</v>
      </c>
      <c r="M185" s="59">
        <f t="shared" si="13"/>
        <v>38</v>
      </c>
      <c r="N185" s="92" t="s">
        <v>3</v>
      </c>
      <c r="O185" s="92" t="s">
        <v>1632</v>
      </c>
      <c r="P185" s="19" t="s">
        <v>2289</v>
      </c>
      <c r="Q185" s="92"/>
      <c r="R185" s="19" t="s">
        <v>1946</v>
      </c>
    </row>
    <row r="186" spans="2:18" ht="25.5" x14ac:dyDescent="0.25">
      <c r="B186" s="153"/>
      <c r="C186" s="151"/>
      <c r="D186" s="92">
        <v>179</v>
      </c>
      <c r="E186" s="19" t="s">
        <v>2279</v>
      </c>
      <c r="F186" s="92" t="s">
        <v>18</v>
      </c>
      <c r="G186" s="92" t="s">
        <v>2284</v>
      </c>
      <c r="H186" s="92" t="s">
        <v>1</v>
      </c>
      <c r="I186" s="92" t="s">
        <v>15</v>
      </c>
      <c r="J186" s="19" t="s">
        <v>2288</v>
      </c>
      <c r="K186" s="58">
        <v>36055</v>
      </c>
      <c r="L186" s="59">
        <v>1998</v>
      </c>
      <c r="M186" s="59">
        <f t="shared" si="13"/>
        <v>21</v>
      </c>
      <c r="N186" s="92" t="s">
        <v>3</v>
      </c>
      <c r="O186" s="92" t="s">
        <v>1632</v>
      </c>
      <c r="P186" s="19" t="s">
        <v>1677</v>
      </c>
      <c r="Q186" s="92"/>
      <c r="R186" s="19" t="s">
        <v>1638</v>
      </c>
    </row>
    <row r="187" spans="2:18" ht="25.5" x14ac:dyDescent="0.25">
      <c r="B187" s="153"/>
      <c r="C187" s="151"/>
      <c r="D187" s="92">
        <v>180</v>
      </c>
      <c r="E187" s="19" t="s">
        <v>2280</v>
      </c>
      <c r="F187" s="92" t="s">
        <v>18</v>
      </c>
      <c r="G187" s="92" t="s">
        <v>2285</v>
      </c>
      <c r="H187" s="92" t="s">
        <v>10</v>
      </c>
      <c r="I187" s="92" t="s">
        <v>15</v>
      </c>
      <c r="J187" s="19" t="s">
        <v>1672</v>
      </c>
      <c r="K187" s="58">
        <v>41317</v>
      </c>
      <c r="L187" s="59">
        <v>2013</v>
      </c>
      <c r="M187" s="59">
        <f t="shared" si="13"/>
        <v>6</v>
      </c>
      <c r="N187" s="92" t="s">
        <v>3</v>
      </c>
      <c r="O187" s="92" t="s">
        <v>1632</v>
      </c>
      <c r="P187" s="19" t="s">
        <v>1733</v>
      </c>
      <c r="Q187" s="92"/>
      <c r="R187" s="19" t="s">
        <v>1638</v>
      </c>
    </row>
    <row r="188" spans="2:18" ht="25.5" x14ac:dyDescent="0.25">
      <c r="B188" s="154"/>
      <c r="C188" s="151"/>
      <c r="D188" s="92">
        <v>181</v>
      </c>
      <c r="E188" s="19" t="s">
        <v>2281</v>
      </c>
      <c r="F188" s="92" t="s">
        <v>18</v>
      </c>
      <c r="G188" s="92" t="s">
        <v>2286</v>
      </c>
      <c r="H188" s="92" t="s">
        <v>1</v>
      </c>
      <c r="I188" s="92" t="s">
        <v>15</v>
      </c>
      <c r="J188" s="19" t="s">
        <v>1623</v>
      </c>
      <c r="K188" s="58">
        <v>42974</v>
      </c>
      <c r="L188" s="59">
        <v>2017</v>
      </c>
      <c r="M188" s="59">
        <f t="shared" si="13"/>
        <v>2</v>
      </c>
      <c r="N188" s="92" t="s">
        <v>3</v>
      </c>
      <c r="O188" s="92" t="s">
        <v>1632</v>
      </c>
      <c r="P188" s="19" t="s">
        <v>1733</v>
      </c>
      <c r="Q188" s="92"/>
      <c r="R188" s="19" t="s">
        <v>1638</v>
      </c>
    </row>
    <row r="192" spans="2:18" s="57" customFormat="1" ht="15" x14ac:dyDescent="0.25">
      <c r="D192" s="166" t="s">
        <v>2509</v>
      </c>
      <c r="E192" s="166"/>
      <c r="F192" s="166"/>
      <c r="K192" s="125"/>
      <c r="L192" s="120"/>
      <c r="P192" s="121"/>
      <c r="R192" s="121"/>
    </row>
    <row r="193" spans="4:18" s="57" customFormat="1" ht="15" x14ac:dyDescent="0.25">
      <c r="D193" s="166" t="s">
        <v>2510</v>
      </c>
      <c r="E193" s="166"/>
      <c r="F193" s="166"/>
      <c r="K193" s="125"/>
      <c r="L193" s="120"/>
      <c r="P193" s="146" t="s">
        <v>2511</v>
      </c>
      <c r="Q193" s="146"/>
      <c r="R193" s="121"/>
    </row>
    <row r="194" spans="4:18" s="57" customFormat="1" ht="15" x14ac:dyDescent="0.25">
      <c r="D194" s="122"/>
      <c r="E194" s="123"/>
      <c r="F194" s="122"/>
      <c r="K194" s="125"/>
      <c r="L194" s="120"/>
      <c r="P194" s="64"/>
      <c r="Q194" s="65"/>
      <c r="R194" s="121"/>
    </row>
    <row r="195" spans="4:18" s="57" customFormat="1" ht="15" x14ac:dyDescent="0.25">
      <c r="D195" s="122"/>
      <c r="E195" s="123"/>
      <c r="F195" s="122"/>
      <c r="K195" s="125"/>
      <c r="L195" s="120"/>
      <c r="P195" s="64"/>
      <c r="Q195" s="65"/>
      <c r="R195" s="121"/>
    </row>
    <row r="196" spans="4:18" s="57" customFormat="1" ht="14.25" x14ac:dyDescent="0.2">
      <c r="D196" s="167" t="s">
        <v>2512</v>
      </c>
      <c r="E196" s="167"/>
      <c r="F196" s="167"/>
      <c r="K196" s="125"/>
      <c r="L196" s="120"/>
      <c r="P196" s="145" t="s">
        <v>946</v>
      </c>
      <c r="Q196" s="145"/>
      <c r="R196" s="121"/>
    </row>
    <row r="197" spans="4:18" s="57" customFormat="1" ht="14.25" x14ac:dyDescent="0.2">
      <c r="D197" s="167" t="s">
        <v>2513</v>
      </c>
      <c r="E197" s="167"/>
      <c r="F197" s="167"/>
      <c r="K197" s="125"/>
      <c r="L197" s="120"/>
      <c r="P197" s="121"/>
      <c r="R197" s="121"/>
    </row>
  </sheetData>
  <autoFilter ref="B7:R188"/>
  <mergeCells count="125">
    <mergeCell ref="B158:B159"/>
    <mergeCell ref="B146:B149"/>
    <mergeCell ref="C153:C157"/>
    <mergeCell ref="D197:F197"/>
    <mergeCell ref="B184:B188"/>
    <mergeCell ref="B175:B177"/>
    <mergeCell ref="C175:C177"/>
    <mergeCell ref="B178:B181"/>
    <mergeCell ref="C178:C181"/>
    <mergeCell ref="B182:B183"/>
    <mergeCell ref="C184:C188"/>
    <mergeCell ref="C182:C183"/>
    <mergeCell ref="D192:F192"/>
    <mergeCell ref="D193:F193"/>
    <mergeCell ref="P193:Q193"/>
    <mergeCell ref="D196:F196"/>
    <mergeCell ref="P196:Q196"/>
    <mergeCell ref="B172:B174"/>
    <mergeCell ref="C172:C174"/>
    <mergeCell ref="C160:C161"/>
    <mergeCell ref="B160:B161"/>
    <mergeCell ref="B162:B164"/>
    <mergeCell ref="C168:C171"/>
    <mergeCell ref="B168:B171"/>
    <mergeCell ref="C165:C167"/>
    <mergeCell ref="B165:B167"/>
    <mergeCell ref="B1:R1"/>
    <mergeCell ref="B2:R2"/>
    <mergeCell ref="C8:C9"/>
    <mergeCell ref="C10:C12"/>
    <mergeCell ref="C13:C17"/>
    <mergeCell ref="B24:B26"/>
    <mergeCell ref="B8:B9"/>
    <mergeCell ref="B10:B12"/>
    <mergeCell ref="B13:B17"/>
    <mergeCell ref="B18:B23"/>
    <mergeCell ref="C18:C23"/>
    <mergeCell ref="C24:C26"/>
    <mergeCell ref="C5:C6"/>
    <mergeCell ref="N5:N6"/>
    <mergeCell ref="P5:P6"/>
    <mergeCell ref="R5:R6"/>
    <mergeCell ref="J5:L5"/>
    <mergeCell ref="E5:E6"/>
    <mergeCell ref="D5:D6"/>
    <mergeCell ref="B5:B6"/>
    <mergeCell ref="Q5:Q6"/>
    <mergeCell ref="O5:O6"/>
    <mergeCell ref="M5:M6"/>
    <mergeCell ref="H5:H6"/>
    <mergeCell ref="F5:F6"/>
    <mergeCell ref="G5:G6"/>
    <mergeCell ref="I5:I6"/>
    <mergeCell ref="C162:C164"/>
    <mergeCell ref="B61:B64"/>
    <mergeCell ref="B65:B69"/>
    <mergeCell ref="C91:C93"/>
    <mergeCell ref="C133:C136"/>
    <mergeCell ref="C106:C107"/>
    <mergeCell ref="C158:C159"/>
    <mergeCell ref="B150:B152"/>
    <mergeCell ref="C112:C116"/>
    <mergeCell ref="C73:C75"/>
    <mergeCell ref="B94:B96"/>
    <mergeCell ref="B73:B75"/>
    <mergeCell ref="B97:B99"/>
    <mergeCell ref="C88:C90"/>
    <mergeCell ref="C76:C78"/>
    <mergeCell ref="C82:C84"/>
    <mergeCell ref="B130:B132"/>
    <mergeCell ref="B133:B136"/>
    <mergeCell ref="B138:B142"/>
    <mergeCell ref="B153:B157"/>
    <mergeCell ref="C138:C142"/>
    <mergeCell ref="C94:C96"/>
    <mergeCell ref="C85:C87"/>
    <mergeCell ref="B76:B78"/>
    <mergeCell ref="B79:B81"/>
    <mergeCell ref="B82:B84"/>
    <mergeCell ref="B85:B87"/>
    <mergeCell ref="B88:B90"/>
    <mergeCell ref="C97:C99"/>
    <mergeCell ref="B91:B93"/>
    <mergeCell ref="C79:C81"/>
    <mergeCell ref="B27:B31"/>
    <mergeCell ref="C27:C31"/>
    <mergeCell ref="C32:C34"/>
    <mergeCell ref="C40:C43"/>
    <mergeCell ref="C44:C49"/>
    <mergeCell ref="C65:C69"/>
    <mergeCell ref="B54:B57"/>
    <mergeCell ref="B58:B60"/>
    <mergeCell ref="C70:C72"/>
    <mergeCell ref="B44:B49"/>
    <mergeCell ref="B50:B53"/>
    <mergeCell ref="B70:B72"/>
    <mergeCell ref="C50:C53"/>
    <mergeCell ref="C58:C60"/>
    <mergeCell ref="C61:C64"/>
    <mergeCell ref="B32:B34"/>
    <mergeCell ref="B35:B39"/>
    <mergeCell ref="C35:C39"/>
    <mergeCell ref="C54:C57"/>
    <mergeCell ref="B40:B43"/>
    <mergeCell ref="C104:C105"/>
    <mergeCell ref="C108:C111"/>
    <mergeCell ref="C117:C118"/>
    <mergeCell ref="C143:C145"/>
    <mergeCell ref="C124:C126"/>
    <mergeCell ref="C127:C129"/>
    <mergeCell ref="C100:C103"/>
    <mergeCell ref="C150:C152"/>
    <mergeCell ref="B100:B103"/>
    <mergeCell ref="B104:B105"/>
    <mergeCell ref="B143:B145"/>
    <mergeCell ref="B108:B111"/>
    <mergeCell ref="B112:B116"/>
    <mergeCell ref="B117:B118"/>
    <mergeCell ref="B124:B126"/>
    <mergeCell ref="B127:B129"/>
    <mergeCell ref="B106:B107"/>
    <mergeCell ref="B119:B122"/>
    <mergeCell ref="C119:C122"/>
    <mergeCell ref="C130:C132"/>
    <mergeCell ref="C146:C149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61"/>
  <sheetViews>
    <sheetView workbookViewId="0">
      <pane ySplit="6" topLeftCell="A7" activePane="bottomLeft" state="frozen"/>
      <selection pane="bottomLeft" activeCell="C8" sqref="C8:C12"/>
    </sheetView>
  </sheetViews>
  <sheetFormatPr defaultRowHeight="12.75" x14ac:dyDescent="0.25"/>
  <cols>
    <col min="1" max="1" width="9.140625" style="56"/>
    <col min="2" max="2" width="3.42578125" style="56" bestFit="1" customWidth="1"/>
    <col min="3" max="3" width="15.7109375" style="56" customWidth="1"/>
    <col min="4" max="4" width="6.7109375" style="56" customWidth="1"/>
    <col min="5" max="5" width="12.7109375" style="100" customWidth="1"/>
    <col min="6" max="6" width="9.7109375" style="56" customWidth="1"/>
    <col min="7" max="7" width="15.7109375" style="56" customWidth="1"/>
    <col min="8" max="8" width="7.7109375" style="56" customWidth="1"/>
    <col min="9" max="9" width="10.7109375" style="56" customWidth="1"/>
    <col min="10" max="10" width="13.7109375" style="100" customWidth="1"/>
    <col min="11" max="11" width="14.7109375" style="109" customWidth="1"/>
    <col min="12" max="12" width="5.7109375" style="110" bestFit="1" customWidth="1"/>
    <col min="13" max="13" width="5" style="110" bestFit="1" customWidth="1"/>
    <col min="14" max="14" width="6.42578125" style="56" bestFit="1" customWidth="1"/>
    <col min="15" max="15" width="5.42578125" style="56" bestFit="1" customWidth="1"/>
    <col min="16" max="16" width="16.7109375" style="100" customWidth="1"/>
    <col min="17" max="17" width="7.5703125" style="56" bestFit="1" customWidth="1"/>
    <col min="18" max="18" width="15.7109375" style="100" customWidth="1"/>
    <col min="19" max="16384" width="9.140625" style="56"/>
  </cols>
  <sheetData>
    <row r="1" spans="2:18" s="63" customFormat="1" ht="15.75" x14ac:dyDescent="0.25">
      <c r="B1" s="164" t="s">
        <v>2500</v>
      </c>
      <c r="C1" s="164"/>
      <c r="D1" s="164"/>
      <c r="E1" s="164"/>
      <c r="F1" s="164"/>
      <c r="G1" s="164"/>
      <c r="H1" s="164"/>
      <c r="I1" s="164"/>
      <c r="J1" s="164"/>
      <c r="K1" s="169"/>
      <c r="L1" s="164"/>
      <c r="M1" s="164"/>
      <c r="N1" s="164"/>
      <c r="O1" s="164"/>
      <c r="P1" s="164"/>
      <c r="Q1" s="164"/>
      <c r="R1" s="164"/>
    </row>
    <row r="2" spans="2:18" s="63" customFormat="1" ht="15.75" x14ac:dyDescent="0.25">
      <c r="B2" s="164" t="s">
        <v>2501</v>
      </c>
      <c r="C2" s="164"/>
      <c r="D2" s="164"/>
      <c r="E2" s="164"/>
      <c r="F2" s="164"/>
      <c r="G2" s="164"/>
      <c r="H2" s="164"/>
      <c r="I2" s="164"/>
      <c r="J2" s="164"/>
      <c r="K2" s="169"/>
      <c r="L2" s="164"/>
      <c r="M2" s="164"/>
      <c r="N2" s="164"/>
      <c r="O2" s="164"/>
      <c r="P2" s="164"/>
      <c r="Q2" s="164"/>
      <c r="R2" s="164"/>
    </row>
    <row r="3" spans="2:18" s="63" customFormat="1" ht="15.75" x14ac:dyDescent="0.25">
      <c r="B3" s="115" t="s">
        <v>2503</v>
      </c>
      <c r="C3" s="94"/>
      <c r="D3" s="94"/>
      <c r="E3" s="94"/>
      <c r="F3" s="94"/>
      <c r="G3" s="94"/>
      <c r="H3" s="94"/>
      <c r="I3" s="94"/>
      <c r="J3" s="94"/>
      <c r="K3" s="124"/>
      <c r="L3" s="94"/>
      <c r="M3" s="94"/>
      <c r="N3" s="94"/>
      <c r="O3" s="94"/>
      <c r="P3" s="94"/>
      <c r="Q3" s="94"/>
      <c r="R3" s="94"/>
    </row>
    <row r="4" spans="2:18" ht="15.75" x14ac:dyDescent="0.25">
      <c r="B4" s="115" t="s">
        <v>2507</v>
      </c>
    </row>
    <row r="5" spans="2:18" ht="20.100000000000001" customHeight="1" x14ac:dyDescent="0.25">
      <c r="B5" s="160" t="s">
        <v>348</v>
      </c>
      <c r="C5" s="160" t="s">
        <v>1841</v>
      </c>
      <c r="D5" s="159" t="s">
        <v>1609</v>
      </c>
      <c r="E5" s="159" t="s">
        <v>2502</v>
      </c>
      <c r="F5" s="159" t="s">
        <v>356</v>
      </c>
      <c r="G5" s="161" t="s">
        <v>357</v>
      </c>
      <c r="H5" s="159" t="s">
        <v>350</v>
      </c>
      <c r="I5" s="159" t="s">
        <v>351</v>
      </c>
      <c r="J5" s="170" t="s">
        <v>352</v>
      </c>
      <c r="K5" s="171"/>
      <c r="L5" s="172"/>
      <c r="M5" s="173"/>
      <c r="N5" s="160" t="s">
        <v>353</v>
      </c>
      <c r="O5" s="160" t="s">
        <v>1612</v>
      </c>
      <c r="P5" s="159" t="s">
        <v>354</v>
      </c>
      <c r="Q5" s="160" t="s">
        <v>1613</v>
      </c>
      <c r="R5" s="159" t="s">
        <v>355</v>
      </c>
    </row>
    <row r="6" spans="2:18" ht="20.100000000000001" customHeight="1" x14ac:dyDescent="0.25">
      <c r="B6" s="160"/>
      <c r="C6" s="160"/>
      <c r="D6" s="159"/>
      <c r="E6" s="159"/>
      <c r="F6" s="159"/>
      <c r="G6" s="161"/>
      <c r="H6" s="159"/>
      <c r="I6" s="159"/>
      <c r="J6" s="111" t="s">
        <v>1615</v>
      </c>
      <c r="K6" s="104" t="s">
        <v>1807</v>
      </c>
      <c r="L6" s="105" t="s">
        <v>1721</v>
      </c>
      <c r="M6" s="105" t="s">
        <v>1720</v>
      </c>
      <c r="N6" s="160"/>
      <c r="O6" s="160"/>
      <c r="P6" s="159"/>
      <c r="Q6" s="160"/>
      <c r="R6" s="159"/>
    </row>
    <row r="7" spans="2:18" x14ac:dyDescent="0.25">
      <c r="B7" s="106"/>
      <c r="C7" s="106"/>
      <c r="D7" s="106"/>
      <c r="E7" s="103"/>
      <c r="F7" s="106"/>
      <c r="G7" s="107"/>
      <c r="H7" s="106"/>
      <c r="I7" s="106"/>
      <c r="J7" s="103"/>
      <c r="K7" s="104"/>
      <c r="L7" s="105"/>
      <c r="M7" s="105"/>
      <c r="N7" s="106"/>
      <c r="O7" s="106"/>
      <c r="P7" s="103"/>
      <c r="Q7" s="106"/>
      <c r="R7" s="103"/>
    </row>
    <row r="8" spans="2:18" ht="25.5" x14ac:dyDescent="0.25">
      <c r="B8" s="151">
        <v>1</v>
      </c>
      <c r="C8" s="151"/>
      <c r="D8" s="92">
        <v>1</v>
      </c>
      <c r="E8" s="19" t="s">
        <v>0</v>
      </c>
      <c r="F8" s="92" t="s">
        <v>7</v>
      </c>
      <c r="G8" s="92" t="s">
        <v>8</v>
      </c>
      <c r="H8" s="92" t="s">
        <v>1</v>
      </c>
      <c r="I8" s="92" t="s">
        <v>2</v>
      </c>
      <c r="J8" s="19"/>
      <c r="K8" s="58">
        <v>26893</v>
      </c>
      <c r="L8" s="59">
        <f>YEAR(K8)</f>
        <v>1973</v>
      </c>
      <c r="M8" s="59">
        <f>2019-L8</f>
        <v>46</v>
      </c>
      <c r="N8" s="92" t="s">
        <v>3</v>
      </c>
      <c r="O8" s="92"/>
      <c r="P8" s="19" t="s">
        <v>4</v>
      </c>
      <c r="Q8" s="92"/>
      <c r="R8" s="19" t="s">
        <v>5</v>
      </c>
    </row>
    <row r="9" spans="2:18" x14ac:dyDescent="0.25">
      <c r="B9" s="151"/>
      <c r="C9" s="151"/>
      <c r="D9" s="92">
        <v>2</v>
      </c>
      <c r="E9" s="19" t="s">
        <v>9</v>
      </c>
      <c r="F9" s="92" t="s">
        <v>12</v>
      </c>
      <c r="G9" s="92" t="s">
        <v>13</v>
      </c>
      <c r="H9" s="92" t="s">
        <v>10</v>
      </c>
      <c r="I9" s="92" t="s">
        <v>2</v>
      </c>
      <c r="J9" s="19"/>
      <c r="K9" s="58">
        <v>28125</v>
      </c>
      <c r="L9" s="59">
        <f t="shared" ref="L9:L72" si="0">YEAR(K9)</f>
        <v>1976</v>
      </c>
      <c r="M9" s="59">
        <f t="shared" ref="M9:M71" si="1">2019-L9</f>
        <v>43</v>
      </c>
      <c r="N9" s="92" t="s">
        <v>3</v>
      </c>
      <c r="O9" s="92"/>
      <c r="P9" s="19" t="s">
        <v>4</v>
      </c>
      <c r="Q9" s="92"/>
      <c r="R9" s="19" t="s">
        <v>11</v>
      </c>
    </row>
    <row r="10" spans="2:18" ht="25.5" x14ac:dyDescent="0.25">
      <c r="B10" s="151"/>
      <c r="C10" s="151"/>
      <c r="D10" s="92">
        <v>3</v>
      </c>
      <c r="E10" s="19" t="s">
        <v>14</v>
      </c>
      <c r="F10" s="92" t="s">
        <v>18</v>
      </c>
      <c r="G10" s="92" t="s">
        <v>19</v>
      </c>
      <c r="H10" s="92" t="s">
        <v>1</v>
      </c>
      <c r="I10" s="92" t="s">
        <v>15</v>
      </c>
      <c r="J10" s="19"/>
      <c r="K10" s="58">
        <v>38268</v>
      </c>
      <c r="L10" s="59">
        <f t="shared" si="0"/>
        <v>2004</v>
      </c>
      <c r="M10" s="59">
        <f t="shared" si="1"/>
        <v>15</v>
      </c>
      <c r="N10" s="92" t="s">
        <v>3</v>
      </c>
      <c r="O10" s="92"/>
      <c r="P10" s="19" t="s">
        <v>16</v>
      </c>
      <c r="Q10" s="92"/>
      <c r="R10" s="19" t="s">
        <v>17</v>
      </c>
    </row>
    <row r="11" spans="2:18" ht="25.5" x14ac:dyDescent="0.25">
      <c r="B11" s="151"/>
      <c r="C11" s="151"/>
      <c r="D11" s="92">
        <v>4</v>
      </c>
      <c r="E11" s="19" t="s">
        <v>20</v>
      </c>
      <c r="F11" s="92" t="s">
        <v>18</v>
      </c>
      <c r="G11" s="92" t="s">
        <v>22</v>
      </c>
      <c r="H11" s="92" t="s">
        <v>10</v>
      </c>
      <c r="I11" s="92" t="s">
        <v>21</v>
      </c>
      <c r="J11" s="19"/>
      <c r="K11" s="58">
        <v>39844</v>
      </c>
      <c r="L11" s="59">
        <f t="shared" si="0"/>
        <v>2009</v>
      </c>
      <c r="M11" s="59">
        <f t="shared" si="1"/>
        <v>10</v>
      </c>
      <c r="N11" s="92" t="s">
        <v>3</v>
      </c>
      <c r="O11" s="92"/>
      <c r="P11" s="19" t="s">
        <v>16</v>
      </c>
      <c r="Q11" s="92"/>
      <c r="R11" s="19" t="s">
        <v>16</v>
      </c>
    </row>
    <row r="12" spans="2:18" ht="38.25" x14ac:dyDescent="0.25">
      <c r="B12" s="151"/>
      <c r="C12" s="151"/>
      <c r="D12" s="92">
        <v>5</v>
      </c>
      <c r="E12" s="19" t="s">
        <v>23</v>
      </c>
      <c r="F12" s="92" t="s">
        <v>24</v>
      </c>
      <c r="G12" s="92" t="s">
        <v>25</v>
      </c>
      <c r="H12" s="92" t="s">
        <v>1</v>
      </c>
      <c r="I12" s="92" t="s">
        <v>15</v>
      </c>
      <c r="J12" s="19"/>
      <c r="K12" s="58">
        <v>41918</v>
      </c>
      <c r="L12" s="59">
        <f t="shared" si="0"/>
        <v>2014</v>
      </c>
      <c r="M12" s="59">
        <f t="shared" si="1"/>
        <v>5</v>
      </c>
      <c r="N12" s="92" t="s">
        <v>3</v>
      </c>
      <c r="O12" s="92"/>
      <c r="P12" s="19" t="s">
        <v>16</v>
      </c>
      <c r="Q12" s="92"/>
      <c r="R12" s="19" t="s">
        <v>17</v>
      </c>
    </row>
    <row r="13" spans="2:18" x14ac:dyDescent="0.25">
      <c r="B13" s="152">
        <v>2</v>
      </c>
      <c r="C13" s="152"/>
      <c r="D13" s="92">
        <v>6</v>
      </c>
      <c r="E13" s="19" t="s">
        <v>26</v>
      </c>
      <c r="F13" s="92" t="s">
        <v>7</v>
      </c>
      <c r="G13" s="92" t="s">
        <v>29</v>
      </c>
      <c r="H13" s="92" t="s">
        <v>10</v>
      </c>
      <c r="I13" s="92" t="s">
        <v>21</v>
      </c>
      <c r="J13" s="19"/>
      <c r="K13" s="58">
        <v>26868</v>
      </c>
      <c r="L13" s="59">
        <f t="shared" si="0"/>
        <v>1973</v>
      </c>
      <c r="M13" s="59">
        <f t="shared" si="1"/>
        <v>46</v>
      </c>
      <c r="N13" s="92" t="s">
        <v>3</v>
      </c>
      <c r="O13" s="92"/>
      <c r="P13" s="19" t="s">
        <v>27</v>
      </c>
      <c r="Q13" s="92"/>
      <c r="R13" s="19" t="s">
        <v>28</v>
      </c>
    </row>
    <row r="14" spans="2:18" x14ac:dyDescent="0.25">
      <c r="B14" s="153"/>
      <c r="C14" s="153"/>
      <c r="D14" s="92">
        <v>7</v>
      </c>
      <c r="E14" s="19" t="s">
        <v>30</v>
      </c>
      <c r="F14" s="92" t="s">
        <v>18</v>
      </c>
      <c r="G14" s="92" t="s">
        <v>31</v>
      </c>
      <c r="H14" s="92" t="s">
        <v>10</v>
      </c>
      <c r="I14" s="92" t="s">
        <v>15</v>
      </c>
      <c r="J14" s="19"/>
      <c r="K14" s="58">
        <v>34196</v>
      </c>
      <c r="L14" s="59">
        <f t="shared" si="0"/>
        <v>1993</v>
      </c>
      <c r="M14" s="59">
        <f t="shared" si="1"/>
        <v>26</v>
      </c>
      <c r="N14" s="92" t="s">
        <v>3</v>
      </c>
      <c r="O14" s="92"/>
      <c r="P14" s="19" t="s">
        <v>4</v>
      </c>
      <c r="Q14" s="92"/>
      <c r="R14" s="19" t="s">
        <v>16</v>
      </c>
    </row>
    <row r="15" spans="2:18" x14ac:dyDescent="0.25">
      <c r="B15" s="153"/>
      <c r="C15" s="153"/>
      <c r="D15" s="92">
        <v>8</v>
      </c>
      <c r="E15" s="19" t="s">
        <v>32</v>
      </c>
      <c r="F15" s="92" t="s">
        <v>18</v>
      </c>
      <c r="G15" s="92" t="s">
        <v>33</v>
      </c>
      <c r="H15" s="92" t="s">
        <v>1</v>
      </c>
      <c r="I15" s="92" t="s">
        <v>15</v>
      </c>
      <c r="J15" s="19"/>
      <c r="K15" s="58">
        <v>35479</v>
      </c>
      <c r="L15" s="59">
        <f t="shared" si="0"/>
        <v>1997</v>
      </c>
      <c r="M15" s="59">
        <f t="shared" si="1"/>
        <v>22</v>
      </c>
      <c r="N15" s="92" t="s">
        <v>3</v>
      </c>
      <c r="O15" s="92"/>
      <c r="P15" s="19" t="s">
        <v>27</v>
      </c>
      <c r="Q15" s="92"/>
      <c r="R15" s="19" t="s">
        <v>16</v>
      </c>
    </row>
    <row r="16" spans="2:18" x14ac:dyDescent="0.25">
      <c r="B16" s="154"/>
      <c r="C16" s="154"/>
      <c r="D16" s="92">
        <v>9</v>
      </c>
      <c r="E16" s="19" t="s">
        <v>34</v>
      </c>
      <c r="F16" s="92" t="s">
        <v>18</v>
      </c>
      <c r="G16" s="92" t="s">
        <v>36</v>
      </c>
      <c r="H16" s="92" t="s">
        <v>10</v>
      </c>
      <c r="I16" s="92" t="s">
        <v>15</v>
      </c>
      <c r="J16" s="19"/>
      <c r="K16" s="58">
        <v>36433</v>
      </c>
      <c r="L16" s="59">
        <f t="shared" si="0"/>
        <v>1999</v>
      </c>
      <c r="M16" s="59">
        <f t="shared" si="1"/>
        <v>20</v>
      </c>
      <c r="N16" s="92" t="s">
        <v>3</v>
      </c>
      <c r="O16" s="92"/>
      <c r="P16" s="19" t="s">
        <v>35</v>
      </c>
      <c r="Q16" s="92"/>
      <c r="R16" s="19" t="s">
        <v>16</v>
      </c>
    </row>
    <row r="17" spans="2:18" ht="25.5" x14ac:dyDescent="0.25">
      <c r="B17" s="151">
        <v>3</v>
      </c>
      <c r="C17" s="151" t="s">
        <v>2407</v>
      </c>
      <c r="D17" s="92">
        <v>10</v>
      </c>
      <c r="E17" s="19" t="s">
        <v>2408</v>
      </c>
      <c r="F17" s="92" t="s">
        <v>7</v>
      </c>
      <c r="G17" s="92" t="s">
        <v>2410</v>
      </c>
      <c r="H17" s="92" t="s">
        <v>10</v>
      </c>
      <c r="I17" s="92" t="s">
        <v>1735</v>
      </c>
      <c r="J17" s="19" t="s">
        <v>2413</v>
      </c>
      <c r="K17" s="58">
        <v>18628</v>
      </c>
      <c r="L17" s="59">
        <f t="shared" si="0"/>
        <v>1950</v>
      </c>
      <c r="M17" s="59">
        <f t="shared" si="1"/>
        <v>69</v>
      </c>
      <c r="N17" s="92" t="s">
        <v>3</v>
      </c>
      <c r="O17" s="92" t="s">
        <v>1632</v>
      </c>
      <c r="P17" s="19" t="s">
        <v>1732</v>
      </c>
      <c r="Q17" s="92"/>
      <c r="R17" s="19" t="s">
        <v>1764</v>
      </c>
    </row>
    <row r="18" spans="2:18" x14ac:dyDescent="0.25">
      <c r="B18" s="151"/>
      <c r="C18" s="151"/>
      <c r="D18" s="92">
        <v>11</v>
      </c>
      <c r="E18" s="19" t="s">
        <v>38</v>
      </c>
      <c r="F18" s="92" t="s">
        <v>18</v>
      </c>
      <c r="G18" s="92" t="s">
        <v>2411</v>
      </c>
      <c r="H18" s="92" t="s">
        <v>10</v>
      </c>
      <c r="I18" s="92" t="s">
        <v>15</v>
      </c>
      <c r="J18" s="19" t="s">
        <v>1623</v>
      </c>
      <c r="K18" s="58">
        <v>28589</v>
      </c>
      <c r="L18" s="59">
        <f t="shared" si="0"/>
        <v>1978</v>
      </c>
      <c r="M18" s="59">
        <f t="shared" si="1"/>
        <v>41</v>
      </c>
      <c r="N18" s="92" t="s">
        <v>3</v>
      </c>
      <c r="O18" s="92" t="s">
        <v>1632</v>
      </c>
      <c r="P18" s="19" t="s">
        <v>1677</v>
      </c>
      <c r="Q18" s="92"/>
      <c r="R18" s="19" t="s">
        <v>39</v>
      </c>
    </row>
    <row r="19" spans="2:18" ht="25.5" x14ac:dyDescent="0.25">
      <c r="B19" s="151"/>
      <c r="C19" s="151"/>
      <c r="D19" s="92">
        <v>12</v>
      </c>
      <c r="E19" s="19" t="s">
        <v>2409</v>
      </c>
      <c r="F19" s="92" t="s">
        <v>18</v>
      </c>
      <c r="G19" s="92" t="s">
        <v>2412</v>
      </c>
      <c r="H19" s="92" t="s">
        <v>10</v>
      </c>
      <c r="I19" s="92" t="s">
        <v>15</v>
      </c>
      <c r="J19" s="19" t="s">
        <v>1623</v>
      </c>
      <c r="K19" s="58">
        <v>32691</v>
      </c>
      <c r="L19" s="59">
        <f t="shared" si="0"/>
        <v>1989</v>
      </c>
      <c r="M19" s="59">
        <f t="shared" si="1"/>
        <v>30</v>
      </c>
      <c r="N19" s="92" t="s">
        <v>3</v>
      </c>
      <c r="O19" s="92" t="s">
        <v>1632</v>
      </c>
      <c r="P19" s="19" t="s">
        <v>2414</v>
      </c>
      <c r="Q19" s="92"/>
      <c r="R19" s="19" t="s">
        <v>39</v>
      </c>
    </row>
    <row r="20" spans="2:18" x14ac:dyDescent="0.25">
      <c r="B20" s="152">
        <v>4</v>
      </c>
      <c r="C20" s="152"/>
      <c r="D20" s="92">
        <v>13</v>
      </c>
      <c r="E20" s="19" t="s">
        <v>40</v>
      </c>
      <c r="F20" s="92" t="s">
        <v>7</v>
      </c>
      <c r="G20" s="92" t="s">
        <v>41</v>
      </c>
      <c r="H20" s="92" t="s">
        <v>10</v>
      </c>
      <c r="I20" s="92" t="s">
        <v>21</v>
      </c>
      <c r="J20" s="19"/>
      <c r="K20" s="58">
        <v>13515</v>
      </c>
      <c r="L20" s="59">
        <f t="shared" si="0"/>
        <v>1936</v>
      </c>
      <c r="M20" s="59">
        <f t="shared" si="1"/>
        <v>83</v>
      </c>
      <c r="N20" s="92" t="s">
        <v>3</v>
      </c>
      <c r="O20" s="92"/>
      <c r="P20" s="19" t="s">
        <v>16</v>
      </c>
      <c r="Q20" s="92"/>
      <c r="R20" s="19" t="s">
        <v>16</v>
      </c>
    </row>
    <row r="21" spans="2:18" x14ac:dyDescent="0.25">
      <c r="B21" s="153"/>
      <c r="C21" s="153"/>
      <c r="D21" s="92">
        <v>14</v>
      </c>
      <c r="E21" s="19" t="s">
        <v>42</v>
      </c>
      <c r="F21" s="92" t="s">
        <v>18</v>
      </c>
      <c r="G21" s="92" t="s">
        <v>44</v>
      </c>
      <c r="H21" s="92" t="s">
        <v>10</v>
      </c>
      <c r="I21" s="92" t="s">
        <v>21</v>
      </c>
      <c r="J21" s="19"/>
      <c r="K21" s="58">
        <v>28418</v>
      </c>
      <c r="L21" s="59">
        <f t="shared" si="0"/>
        <v>1977</v>
      </c>
      <c r="M21" s="59">
        <f t="shared" si="1"/>
        <v>42</v>
      </c>
      <c r="N21" s="92" t="s">
        <v>3</v>
      </c>
      <c r="O21" s="92"/>
      <c r="P21" s="19" t="s">
        <v>27</v>
      </c>
      <c r="Q21" s="92"/>
      <c r="R21" s="19" t="s">
        <v>43</v>
      </c>
    </row>
    <row r="22" spans="2:18" ht="25.5" x14ac:dyDescent="0.25">
      <c r="B22" s="153">
        <v>5</v>
      </c>
      <c r="C22" s="151" t="s">
        <v>2357</v>
      </c>
      <c r="D22" s="92">
        <v>15</v>
      </c>
      <c r="E22" s="19" t="s">
        <v>45</v>
      </c>
      <c r="F22" s="92" t="s">
        <v>7</v>
      </c>
      <c r="G22" s="92" t="s">
        <v>2359</v>
      </c>
      <c r="H22" s="92" t="s">
        <v>10</v>
      </c>
      <c r="I22" s="92" t="s">
        <v>1735</v>
      </c>
      <c r="J22" s="19" t="s">
        <v>1631</v>
      </c>
      <c r="K22" s="58">
        <v>28132</v>
      </c>
      <c r="L22" s="59">
        <f t="shared" si="0"/>
        <v>1977</v>
      </c>
      <c r="M22" s="59">
        <f t="shared" si="1"/>
        <v>42</v>
      </c>
      <c r="N22" s="92" t="s">
        <v>3</v>
      </c>
      <c r="O22" s="92" t="s">
        <v>1632</v>
      </c>
      <c r="P22" s="19" t="s">
        <v>1732</v>
      </c>
      <c r="Q22" s="92"/>
      <c r="R22" s="19" t="s">
        <v>43</v>
      </c>
    </row>
    <row r="23" spans="2:18" ht="25.5" x14ac:dyDescent="0.25">
      <c r="B23" s="154"/>
      <c r="C23" s="151"/>
      <c r="D23" s="92">
        <v>16</v>
      </c>
      <c r="E23" s="19" t="s">
        <v>2358</v>
      </c>
      <c r="F23" s="92" t="s">
        <v>24</v>
      </c>
      <c r="G23" s="92" t="s">
        <v>2360</v>
      </c>
      <c r="H23" s="92" t="s">
        <v>1</v>
      </c>
      <c r="I23" s="92" t="s">
        <v>15</v>
      </c>
      <c r="J23" s="19" t="s">
        <v>1631</v>
      </c>
      <c r="K23" s="58">
        <v>35178</v>
      </c>
      <c r="L23" s="59">
        <f t="shared" si="0"/>
        <v>1996</v>
      </c>
      <c r="M23" s="59">
        <f t="shared" si="1"/>
        <v>23</v>
      </c>
      <c r="N23" s="92" t="s">
        <v>3</v>
      </c>
      <c r="O23" s="92" t="s">
        <v>1632</v>
      </c>
      <c r="P23" s="19" t="s">
        <v>1641</v>
      </c>
      <c r="Q23" s="92"/>
      <c r="R23" s="19" t="s">
        <v>1625</v>
      </c>
    </row>
    <row r="24" spans="2:18" ht="25.5" x14ac:dyDescent="0.25">
      <c r="B24" s="151">
        <v>6</v>
      </c>
      <c r="C24" s="151" t="s">
        <v>2148</v>
      </c>
      <c r="D24" s="92">
        <v>17</v>
      </c>
      <c r="E24" s="19" t="s">
        <v>47</v>
      </c>
      <c r="F24" s="92" t="s">
        <v>7</v>
      </c>
      <c r="G24" s="92" t="s">
        <v>2149</v>
      </c>
      <c r="H24" s="92" t="s">
        <v>1</v>
      </c>
      <c r="I24" s="92" t="s">
        <v>2</v>
      </c>
      <c r="J24" s="19" t="s">
        <v>1631</v>
      </c>
      <c r="K24" s="58">
        <v>24844</v>
      </c>
      <c r="L24" s="59">
        <f t="shared" si="0"/>
        <v>1968</v>
      </c>
      <c r="M24" s="59">
        <f t="shared" si="1"/>
        <v>51</v>
      </c>
      <c r="N24" s="92" t="s">
        <v>3</v>
      </c>
      <c r="O24" s="92" t="s">
        <v>1632</v>
      </c>
      <c r="P24" s="19" t="s">
        <v>1677</v>
      </c>
      <c r="Q24" s="92"/>
      <c r="R24" s="19" t="s">
        <v>39</v>
      </c>
    </row>
    <row r="25" spans="2:18" x14ac:dyDescent="0.25">
      <c r="B25" s="151"/>
      <c r="C25" s="151"/>
      <c r="D25" s="92">
        <v>18</v>
      </c>
      <c r="E25" s="19" t="s">
        <v>48</v>
      </c>
      <c r="F25" s="92" t="s">
        <v>12</v>
      </c>
      <c r="G25" s="92" t="s">
        <v>50</v>
      </c>
      <c r="H25" s="92" t="s">
        <v>49</v>
      </c>
      <c r="I25" s="92" t="s">
        <v>2</v>
      </c>
      <c r="J25" s="19" t="s">
        <v>1898</v>
      </c>
      <c r="K25" s="58">
        <v>25576</v>
      </c>
      <c r="L25" s="59">
        <f t="shared" si="0"/>
        <v>1970</v>
      </c>
      <c r="M25" s="59">
        <f t="shared" si="1"/>
        <v>49</v>
      </c>
      <c r="N25" s="92" t="s">
        <v>3</v>
      </c>
      <c r="O25" s="92" t="s">
        <v>1632</v>
      </c>
      <c r="P25" s="19" t="s">
        <v>1984</v>
      </c>
      <c r="Q25" s="92"/>
      <c r="R25" s="19" t="s">
        <v>1946</v>
      </c>
    </row>
    <row r="26" spans="2:18" ht="25.5" x14ac:dyDescent="0.25">
      <c r="B26" s="151">
        <v>7</v>
      </c>
      <c r="C26" s="151" t="s">
        <v>2339</v>
      </c>
      <c r="D26" s="92">
        <v>19</v>
      </c>
      <c r="E26" s="19" t="s">
        <v>51</v>
      </c>
      <c r="F26" s="92" t="s">
        <v>7</v>
      </c>
      <c r="G26" s="92" t="s">
        <v>52</v>
      </c>
      <c r="H26" s="92" t="s">
        <v>10</v>
      </c>
      <c r="I26" s="92" t="s">
        <v>1735</v>
      </c>
      <c r="J26" s="19" t="s">
        <v>1623</v>
      </c>
      <c r="K26" s="58">
        <v>24844</v>
      </c>
      <c r="L26" s="59">
        <f t="shared" si="0"/>
        <v>1968</v>
      </c>
      <c r="M26" s="59">
        <f t="shared" si="1"/>
        <v>51</v>
      </c>
      <c r="N26" s="92" t="s">
        <v>3</v>
      </c>
      <c r="O26" s="92" t="s">
        <v>1632</v>
      </c>
      <c r="P26" s="19" t="s">
        <v>1700</v>
      </c>
      <c r="Q26" s="92"/>
      <c r="R26" s="19" t="s">
        <v>43</v>
      </c>
    </row>
    <row r="27" spans="2:18" ht="25.5" x14ac:dyDescent="0.25">
      <c r="B27" s="151"/>
      <c r="C27" s="151"/>
      <c r="D27" s="92">
        <v>20</v>
      </c>
      <c r="E27" s="19" t="s">
        <v>53</v>
      </c>
      <c r="F27" s="92" t="s">
        <v>18</v>
      </c>
      <c r="G27" s="92" t="s">
        <v>55</v>
      </c>
      <c r="H27" s="92" t="s">
        <v>10</v>
      </c>
      <c r="I27" s="92" t="s">
        <v>15</v>
      </c>
      <c r="J27" s="19" t="s">
        <v>1623</v>
      </c>
      <c r="K27" s="58">
        <v>28960</v>
      </c>
      <c r="L27" s="59">
        <f t="shared" si="0"/>
        <v>1979</v>
      </c>
      <c r="M27" s="59">
        <f t="shared" si="1"/>
        <v>40</v>
      </c>
      <c r="N27" s="92" t="s">
        <v>3</v>
      </c>
      <c r="O27" s="92" t="s">
        <v>1632</v>
      </c>
      <c r="P27" s="19" t="s">
        <v>1666</v>
      </c>
      <c r="Q27" s="92"/>
      <c r="R27" s="19" t="s">
        <v>1638</v>
      </c>
    </row>
    <row r="28" spans="2:18" ht="25.5" x14ac:dyDescent="0.25">
      <c r="B28" s="151"/>
      <c r="C28" s="151"/>
      <c r="D28" s="92">
        <v>21</v>
      </c>
      <c r="E28" s="19" t="s">
        <v>56</v>
      </c>
      <c r="F28" s="92" t="s">
        <v>18</v>
      </c>
      <c r="G28" s="92" t="s">
        <v>57</v>
      </c>
      <c r="H28" s="92" t="s">
        <v>10</v>
      </c>
      <c r="I28" s="92" t="s">
        <v>15</v>
      </c>
      <c r="J28" s="19" t="s">
        <v>1623</v>
      </c>
      <c r="K28" s="58">
        <v>28960</v>
      </c>
      <c r="L28" s="59">
        <f t="shared" si="0"/>
        <v>1979</v>
      </c>
      <c r="M28" s="59">
        <f t="shared" si="1"/>
        <v>40</v>
      </c>
      <c r="N28" s="92" t="s">
        <v>3</v>
      </c>
      <c r="O28" s="92" t="s">
        <v>1632</v>
      </c>
      <c r="P28" s="19" t="s">
        <v>2336</v>
      </c>
      <c r="Q28" s="92"/>
      <c r="R28" s="19" t="s">
        <v>1809</v>
      </c>
    </row>
    <row r="29" spans="2:18" ht="25.5" x14ac:dyDescent="0.25">
      <c r="B29" s="151"/>
      <c r="C29" s="151"/>
      <c r="D29" s="92">
        <v>22</v>
      </c>
      <c r="E29" s="19" t="s">
        <v>895</v>
      </c>
      <c r="F29" s="92" t="s">
        <v>18</v>
      </c>
      <c r="G29" s="92" t="s">
        <v>2340</v>
      </c>
      <c r="H29" s="92" t="s">
        <v>10</v>
      </c>
      <c r="I29" s="92" t="s">
        <v>15</v>
      </c>
      <c r="J29" s="19" t="s">
        <v>1623</v>
      </c>
      <c r="K29" s="58">
        <v>32757</v>
      </c>
      <c r="L29" s="59">
        <f t="shared" si="0"/>
        <v>1989</v>
      </c>
      <c r="M29" s="59">
        <f t="shared" si="1"/>
        <v>30</v>
      </c>
      <c r="N29" s="92" t="s">
        <v>3</v>
      </c>
      <c r="O29" s="92" t="s">
        <v>1632</v>
      </c>
      <c r="P29" s="19" t="s">
        <v>2336</v>
      </c>
      <c r="Q29" s="92"/>
      <c r="R29" s="19" t="s">
        <v>1809</v>
      </c>
    </row>
    <row r="30" spans="2:18" x14ac:dyDescent="0.25">
      <c r="B30" s="151">
        <v>8</v>
      </c>
      <c r="C30" s="151"/>
      <c r="D30" s="92">
        <v>23</v>
      </c>
      <c r="E30" s="19" t="s">
        <v>58</v>
      </c>
      <c r="F30" s="92" t="s">
        <v>7</v>
      </c>
      <c r="G30" s="92" t="s">
        <v>59</v>
      </c>
      <c r="H30" s="92" t="s">
        <v>1</v>
      </c>
      <c r="I30" s="92" t="s">
        <v>2</v>
      </c>
      <c r="J30" s="19"/>
      <c r="K30" s="58">
        <v>27023</v>
      </c>
      <c r="L30" s="59">
        <f t="shared" si="0"/>
        <v>1973</v>
      </c>
      <c r="M30" s="59">
        <f t="shared" si="1"/>
        <v>46</v>
      </c>
      <c r="N30" s="92" t="s">
        <v>3</v>
      </c>
      <c r="O30" s="92"/>
      <c r="P30" s="19" t="s">
        <v>27</v>
      </c>
      <c r="Q30" s="92"/>
      <c r="R30" s="19" t="s">
        <v>11</v>
      </c>
    </row>
    <row r="31" spans="2:18" x14ac:dyDescent="0.25">
      <c r="B31" s="151"/>
      <c r="C31" s="151"/>
      <c r="D31" s="92">
        <v>24</v>
      </c>
      <c r="E31" s="19" t="s">
        <v>60</v>
      </c>
      <c r="F31" s="92" t="s">
        <v>12</v>
      </c>
      <c r="G31" s="92" t="s">
        <v>61</v>
      </c>
      <c r="H31" s="92" t="s">
        <v>10</v>
      </c>
      <c r="I31" s="92" t="s">
        <v>2</v>
      </c>
      <c r="J31" s="19"/>
      <c r="K31" s="58">
        <v>29333</v>
      </c>
      <c r="L31" s="59">
        <f t="shared" si="0"/>
        <v>1980</v>
      </c>
      <c r="M31" s="59">
        <f t="shared" si="1"/>
        <v>39</v>
      </c>
      <c r="N31" s="92" t="s">
        <v>3</v>
      </c>
      <c r="O31" s="92"/>
      <c r="P31" s="19" t="s">
        <v>35</v>
      </c>
      <c r="Q31" s="92"/>
      <c r="R31" s="19" t="s">
        <v>43</v>
      </c>
    </row>
    <row r="32" spans="2:18" ht="25.5" x14ac:dyDescent="0.25">
      <c r="B32" s="151"/>
      <c r="C32" s="151"/>
      <c r="D32" s="92">
        <v>25</v>
      </c>
      <c r="E32" s="19" t="s">
        <v>62</v>
      </c>
      <c r="F32" s="92" t="s">
        <v>18</v>
      </c>
      <c r="G32" s="92" t="s">
        <v>63</v>
      </c>
      <c r="H32" s="92" t="s">
        <v>10</v>
      </c>
      <c r="I32" s="92" t="s">
        <v>15</v>
      </c>
      <c r="J32" s="19"/>
      <c r="K32" s="58">
        <v>38066</v>
      </c>
      <c r="L32" s="59">
        <f t="shared" si="0"/>
        <v>2004</v>
      </c>
      <c r="M32" s="59">
        <f t="shared" si="1"/>
        <v>15</v>
      </c>
      <c r="N32" s="92" t="s">
        <v>3</v>
      </c>
      <c r="O32" s="92"/>
      <c r="P32" s="19" t="s">
        <v>16</v>
      </c>
      <c r="Q32" s="92"/>
      <c r="R32" s="19" t="s">
        <v>16</v>
      </c>
    </row>
    <row r="33" spans="2:18" ht="25.5" x14ac:dyDescent="0.25">
      <c r="B33" s="151"/>
      <c r="C33" s="151"/>
      <c r="D33" s="92">
        <v>26</v>
      </c>
      <c r="E33" s="19" t="s">
        <v>64</v>
      </c>
      <c r="F33" s="92" t="s">
        <v>18</v>
      </c>
      <c r="G33" s="92" t="s">
        <v>65</v>
      </c>
      <c r="H33" s="92" t="s">
        <v>1</v>
      </c>
      <c r="I33" s="92" t="s">
        <v>15</v>
      </c>
      <c r="J33" s="19"/>
      <c r="K33" s="58">
        <v>38384</v>
      </c>
      <c r="L33" s="59">
        <f t="shared" si="0"/>
        <v>2005</v>
      </c>
      <c r="M33" s="59">
        <f t="shared" si="1"/>
        <v>14</v>
      </c>
      <c r="N33" s="92" t="s">
        <v>3</v>
      </c>
      <c r="O33" s="92"/>
      <c r="P33" s="19" t="s">
        <v>16</v>
      </c>
      <c r="Q33" s="92"/>
      <c r="R33" s="19" t="s">
        <v>16</v>
      </c>
    </row>
    <row r="34" spans="2:18" ht="25.5" x14ac:dyDescent="0.25">
      <c r="B34" s="151"/>
      <c r="C34" s="151"/>
      <c r="D34" s="92">
        <v>27</v>
      </c>
      <c r="E34" s="19" t="s">
        <v>66</v>
      </c>
      <c r="F34" s="92" t="s">
        <v>18</v>
      </c>
      <c r="G34" s="92" t="s">
        <v>67</v>
      </c>
      <c r="H34" s="92" t="s">
        <v>1</v>
      </c>
      <c r="I34" s="92" t="s">
        <v>15</v>
      </c>
      <c r="J34" s="19"/>
      <c r="K34" s="58">
        <v>39780</v>
      </c>
      <c r="L34" s="59">
        <f t="shared" si="0"/>
        <v>2008</v>
      </c>
      <c r="M34" s="59">
        <f t="shared" si="1"/>
        <v>11</v>
      </c>
      <c r="N34" s="92" t="s">
        <v>3</v>
      </c>
      <c r="O34" s="92"/>
      <c r="P34" s="19" t="s">
        <v>16</v>
      </c>
      <c r="Q34" s="92"/>
      <c r="R34" s="19" t="s">
        <v>16</v>
      </c>
    </row>
    <row r="35" spans="2:18" x14ac:dyDescent="0.25">
      <c r="B35" s="151"/>
      <c r="C35" s="151"/>
      <c r="D35" s="92">
        <v>28</v>
      </c>
      <c r="E35" s="19" t="s">
        <v>68</v>
      </c>
      <c r="F35" s="92" t="s">
        <v>18</v>
      </c>
      <c r="G35" s="92" t="s">
        <v>69</v>
      </c>
      <c r="H35" s="92" t="s">
        <v>10</v>
      </c>
      <c r="I35" s="92" t="s">
        <v>15</v>
      </c>
      <c r="J35" s="19"/>
      <c r="K35" s="58">
        <v>41001</v>
      </c>
      <c r="L35" s="59">
        <f t="shared" si="0"/>
        <v>2012</v>
      </c>
      <c r="M35" s="59">
        <f t="shared" si="1"/>
        <v>7</v>
      </c>
      <c r="N35" s="92" t="s">
        <v>3</v>
      </c>
      <c r="O35" s="92"/>
      <c r="P35" s="19" t="s">
        <v>16</v>
      </c>
      <c r="Q35" s="92"/>
      <c r="R35" s="19" t="s">
        <v>16</v>
      </c>
    </row>
    <row r="36" spans="2:18" ht="25.5" x14ac:dyDescent="0.25">
      <c r="B36" s="151">
        <v>9</v>
      </c>
      <c r="C36" s="151" t="s">
        <v>1831</v>
      </c>
      <c r="D36" s="92">
        <v>29</v>
      </c>
      <c r="E36" s="19" t="s">
        <v>70</v>
      </c>
      <c r="F36" s="92" t="s">
        <v>7</v>
      </c>
      <c r="G36" s="92" t="s">
        <v>71</v>
      </c>
      <c r="H36" s="92" t="s">
        <v>1</v>
      </c>
      <c r="I36" s="92" t="s">
        <v>2</v>
      </c>
      <c r="J36" s="19" t="s">
        <v>1631</v>
      </c>
      <c r="K36" s="58">
        <v>24114</v>
      </c>
      <c r="L36" s="59">
        <f t="shared" si="0"/>
        <v>1966</v>
      </c>
      <c r="M36" s="59">
        <f t="shared" si="1"/>
        <v>53</v>
      </c>
      <c r="N36" s="92" t="s">
        <v>3</v>
      </c>
      <c r="O36" s="92" t="s">
        <v>1632</v>
      </c>
      <c r="P36" s="19" t="s">
        <v>1677</v>
      </c>
      <c r="Q36" s="92"/>
      <c r="R36" s="19" t="s">
        <v>1833</v>
      </c>
    </row>
    <row r="37" spans="2:18" x14ac:dyDescent="0.25">
      <c r="B37" s="151"/>
      <c r="C37" s="151"/>
      <c r="D37" s="92">
        <v>30</v>
      </c>
      <c r="E37" s="19" t="s">
        <v>72</v>
      </c>
      <c r="F37" s="92" t="s">
        <v>12</v>
      </c>
      <c r="G37" s="92" t="s">
        <v>73</v>
      </c>
      <c r="H37" s="92" t="s">
        <v>10</v>
      </c>
      <c r="I37" s="92" t="s">
        <v>2</v>
      </c>
      <c r="J37" s="19" t="s">
        <v>1832</v>
      </c>
      <c r="K37" s="58">
        <v>26146</v>
      </c>
      <c r="L37" s="59">
        <f t="shared" si="0"/>
        <v>1971</v>
      </c>
      <c r="M37" s="59">
        <f t="shared" si="1"/>
        <v>48</v>
      </c>
      <c r="N37" s="92" t="s">
        <v>3</v>
      </c>
      <c r="O37" s="92" t="s">
        <v>1632</v>
      </c>
      <c r="P37" s="19" t="s">
        <v>1677</v>
      </c>
      <c r="Q37" s="92"/>
      <c r="R37" s="19" t="s">
        <v>39</v>
      </c>
    </row>
    <row r="38" spans="2:18" ht="25.5" x14ac:dyDescent="0.25">
      <c r="B38" s="151"/>
      <c r="C38" s="151"/>
      <c r="D38" s="92">
        <v>31</v>
      </c>
      <c r="E38" s="19" t="s">
        <v>74</v>
      </c>
      <c r="F38" s="92" t="s">
        <v>75</v>
      </c>
      <c r="G38" s="92" t="s">
        <v>76</v>
      </c>
      <c r="H38" s="92" t="s">
        <v>49</v>
      </c>
      <c r="I38" s="92" t="s">
        <v>15</v>
      </c>
      <c r="J38" s="19" t="s">
        <v>1631</v>
      </c>
      <c r="K38" s="58">
        <v>35317</v>
      </c>
      <c r="L38" s="59">
        <f t="shared" si="0"/>
        <v>1996</v>
      </c>
      <c r="M38" s="59">
        <f t="shared" si="1"/>
        <v>23</v>
      </c>
      <c r="N38" s="92" t="s">
        <v>3</v>
      </c>
      <c r="O38" s="92" t="s">
        <v>1632</v>
      </c>
      <c r="P38" s="19" t="s">
        <v>1677</v>
      </c>
      <c r="Q38" s="92"/>
      <c r="R38" s="19" t="s">
        <v>1625</v>
      </c>
    </row>
    <row r="39" spans="2:18" ht="25.5" x14ac:dyDescent="0.25">
      <c r="B39" s="151"/>
      <c r="C39" s="151"/>
      <c r="D39" s="92">
        <v>32</v>
      </c>
      <c r="E39" s="19" t="s">
        <v>77</v>
      </c>
      <c r="F39" s="92" t="s">
        <v>18</v>
      </c>
      <c r="G39" s="92" t="s">
        <v>78</v>
      </c>
      <c r="H39" s="92" t="s">
        <v>10</v>
      </c>
      <c r="I39" s="92" t="s">
        <v>15</v>
      </c>
      <c r="J39" s="19" t="s">
        <v>1631</v>
      </c>
      <c r="K39" s="58">
        <v>38127</v>
      </c>
      <c r="L39" s="59">
        <f t="shared" si="0"/>
        <v>2004</v>
      </c>
      <c r="M39" s="59">
        <f t="shared" si="1"/>
        <v>15</v>
      </c>
      <c r="N39" s="92" t="s">
        <v>3</v>
      </c>
      <c r="O39" s="92" t="s">
        <v>1632</v>
      </c>
      <c r="P39" s="19" t="s">
        <v>1732</v>
      </c>
      <c r="Q39" s="92"/>
      <c r="R39" s="19" t="s">
        <v>1625</v>
      </c>
    </row>
    <row r="40" spans="2:18" x14ac:dyDescent="0.25">
      <c r="B40" s="151">
        <v>10</v>
      </c>
      <c r="C40" s="151"/>
      <c r="D40" s="92">
        <v>33</v>
      </c>
      <c r="E40" s="19" t="s">
        <v>79</v>
      </c>
      <c r="F40" s="92" t="s">
        <v>7</v>
      </c>
      <c r="G40" s="92" t="s">
        <v>81</v>
      </c>
      <c r="H40" s="92" t="s">
        <v>1</v>
      </c>
      <c r="I40" s="92" t="s">
        <v>80</v>
      </c>
      <c r="J40" s="19"/>
      <c r="K40" s="58">
        <v>16802</v>
      </c>
      <c r="L40" s="59">
        <f t="shared" si="0"/>
        <v>1945</v>
      </c>
      <c r="M40" s="59">
        <f t="shared" si="1"/>
        <v>74</v>
      </c>
      <c r="N40" s="92" t="s">
        <v>3</v>
      </c>
      <c r="O40" s="92"/>
      <c r="P40" s="19" t="s">
        <v>46</v>
      </c>
      <c r="Q40" s="92"/>
      <c r="R40" s="19" t="s">
        <v>16</v>
      </c>
    </row>
    <row r="41" spans="2:18" x14ac:dyDescent="0.25">
      <c r="B41" s="151"/>
      <c r="C41" s="151"/>
      <c r="D41" s="92">
        <v>34</v>
      </c>
      <c r="E41" s="19" t="s">
        <v>82</v>
      </c>
      <c r="F41" s="92" t="s">
        <v>18</v>
      </c>
      <c r="G41" s="92" t="s">
        <v>83</v>
      </c>
      <c r="H41" s="92" t="s">
        <v>10</v>
      </c>
      <c r="I41" s="92" t="s">
        <v>21</v>
      </c>
      <c r="J41" s="19"/>
      <c r="K41" s="58">
        <v>22828</v>
      </c>
      <c r="L41" s="59">
        <f t="shared" si="0"/>
        <v>1962</v>
      </c>
      <c r="M41" s="59">
        <f t="shared" si="1"/>
        <v>57</v>
      </c>
      <c r="N41" s="92" t="s">
        <v>3</v>
      </c>
      <c r="O41" s="92"/>
      <c r="P41" s="19" t="s">
        <v>46</v>
      </c>
      <c r="Q41" s="92"/>
      <c r="R41" s="19" t="s">
        <v>28</v>
      </c>
    </row>
    <row r="42" spans="2:18" x14ac:dyDescent="0.25">
      <c r="B42" s="151"/>
      <c r="C42" s="151"/>
      <c r="D42" s="92">
        <v>35</v>
      </c>
      <c r="E42" s="19" t="s">
        <v>84</v>
      </c>
      <c r="F42" s="92" t="s">
        <v>18</v>
      </c>
      <c r="G42" s="92" t="s">
        <v>85</v>
      </c>
      <c r="H42" s="92" t="s">
        <v>10</v>
      </c>
      <c r="I42" s="92" t="s">
        <v>21</v>
      </c>
      <c r="J42" s="19"/>
      <c r="K42" s="58">
        <v>35430</v>
      </c>
      <c r="L42" s="59">
        <f t="shared" si="0"/>
        <v>1996</v>
      </c>
      <c r="M42" s="59">
        <f t="shared" si="1"/>
        <v>23</v>
      </c>
      <c r="N42" s="92" t="s">
        <v>3</v>
      </c>
      <c r="O42" s="92"/>
      <c r="P42" s="19" t="s">
        <v>46</v>
      </c>
      <c r="Q42" s="92"/>
      <c r="R42" s="19" t="s">
        <v>28</v>
      </c>
    </row>
    <row r="43" spans="2:18" x14ac:dyDescent="0.25">
      <c r="B43" s="151"/>
      <c r="C43" s="151"/>
      <c r="D43" s="92">
        <v>36</v>
      </c>
      <c r="E43" s="19" t="s">
        <v>86</v>
      </c>
      <c r="F43" s="92" t="s">
        <v>24</v>
      </c>
      <c r="G43" s="92" t="s">
        <v>87</v>
      </c>
      <c r="H43" s="92" t="s">
        <v>1</v>
      </c>
      <c r="I43" s="92" t="s">
        <v>15</v>
      </c>
      <c r="J43" s="19"/>
      <c r="K43" s="58">
        <v>35028</v>
      </c>
      <c r="L43" s="59">
        <f t="shared" si="0"/>
        <v>1995</v>
      </c>
      <c r="M43" s="59">
        <f t="shared" si="1"/>
        <v>24</v>
      </c>
      <c r="N43" s="92" t="s">
        <v>3</v>
      </c>
      <c r="O43" s="92"/>
      <c r="P43" s="19" t="s">
        <v>27</v>
      </c>
      <c r="Q43" s="92"/>
      <c r="R43" s="19" t="s">
        <v>16</v>
      </c>
    </row>
    <row r="44" spans="2:18" x14ac:dyDescent="0.25">
      <c r="B44" s="151">
        <v>11</v>
      </c>
      <c r="C44" s="151" t="s">
        <v>2431</v>
      </c>
      <c r="D44" s="92">
        <v>37</v>
      </c>
      <c r="E44" s="19" t="s">
        <v>2430</v>
      </c>
      <c r="F44" s="92" t="s">
        <v>7</v>
      </c>
      <c r="G44" s="92" t="s">
        <v>2433</v>
      </c>
      <c r="H44" s="92" t="s">
        <v>1</v>
      </c>
      <c r="I44" s="92" t="s">
        <v>2</v>
      </c>
      <c r="J44" s="19" t="s">
        <v>1736</v>
      </c>
      <c r="K44" s="58">
        <v>27029</v>
      </c>
      <c r="L44" s="59">
        <f t="shared" si="0"/>
        <v>1973</v>
      </c>
      <c r="M44" s="59">
        <f t="shared" si="1"/>
        <v>46</v>
      </c>
      <c r="N44" s="92" t="s">
        <v>3</v>
      </c>
      <c r="O44" s="92" t="s">
        <v>1632</v>
      </c>
      <c r="P44" s="19" t="s">
        <v>1641</v>
      </c>
      <c r="Q44" s="92"/>
      <c r="R44" s="19" t="s">
        <v>39</v>
      </c>
    </row>
    <row r="45" spans="2:18" ht="25.5" x14ac:dyDescent="0.25">
      <c r="B45" s="151"/>
      <c r="C45" s="151"/>
      <c r="D45" s="92">
        <v>38</v>
      </c>
      <c r="E45" s="19" t="s">
        <v>88</v>
      </c>
      <c r="F45" s="92" t="s">
        <v>12</v>
      </c>
      <c r="G45" s="92" t="s">
        <v>2434</v>
      </c>
      <c r="H45" s="92" t="s">
        <v>10</v>
      </c>
      <c r="I45" s="92" t="s">
        <v>2</v>
      </c>
      <c r="J45" s="19" t="s">
        <v>1631</v>
      </c>
      <c r="K45" s="58">
        <v>27759</v>
      </c>
      <c r="L45" s="59">
        <f t="shared" si="0"/>
        <v>1975</v>
      </c>
      <c r="M45" s="59">
        <f t="shared" si="1"/>
        <v>44</v>
      </c>
      <c r="N45" s="92" t="s">
        <v>3</v>
      </c>
      <c r="O45" s="92" t="s">
        <v>1632</v>
      </c>
      <c r="P45" s="19" t="s">
        <v>1641</v>
      </c>
      <c r="Q45" s="92"/>
      <c r="R45" s="19" t="s">
        <v>43</v>
      </c>
    </row>
    <row r="46" spans="2:18" x14ac:dyDescent="0.25">
      <c r="B46" s="151"/>
      <c r="C46" s="151"/>
      <c r="D46" s="92">
        <v>39</v>
      </c>
      <c r="E46" s="19" t="s">
        <v>2432</v>
      </c>
      <c r="F46" s="92" t="s">
        <v>18</v>
      </c>
      <c r="G46" s="92" t="s">
        <v>2435</v>
      </c>
      <c r="H46" s="92" t="s">
        <v>1</v>
      </c>
      <c r="I46" s="92" t="s">
        <v>15</v>
      </c>
      <c r="J46" s="19" t="s">
        <v>1736</v>
      </c>
      <c r="K46" s="58">
        <v>37311</v>
      </c>
      <c r="L46" s="59">
        <f t="shared" si="0"/>
        <v>2002</v>
      </c>
      <c r="M46" s="59">
        <f t="shared" si="1"/>
        <v>17</v>
      </c>
      <c r="N46" s="92" t="s">
        <v>3</v>
      </c>
      <c r="O46" s="92" t="s">
        <v>1632</v>
      </c>
      <c r="P46" s="19" t="s">
        <v>1732</v>
      </c>
      <c r="Q46" s="92"/>
      <c r="R46" s="19" t="s">
        <v>1625</v>
      </c>
    </row>
    <row r="47" spans="2:18" ht="25.5" x14ac:dyDescent="0.25">
      <c r="B47" s="151"/>
      <c r="C47" s="151"/>
      <c r="D47" s="92">
        <v>40</v>
      </c>
      <c r="E47" s="19" t="s">
        <v>89</v>
      </c>
      <c r="F47" s="92" t="s">
        <v>18</v>
      </c>
      <c r="G47" s="92" t="s">
        <v>2436</v>
      </c>
      <c r="H47" s="92" t="s">
        <v>10</v>
      </c>
      <c r="I47" s="92" t="s">
        <v>15</v>
      </c>
      <c r="J47" s="19" t="s">
        <v>1631</v>
      </c>
      <c r="K47" s="58">
        <v>37690</v>
      </c>
      <c r="L47" s="59">
        <f t="shared" si="0"/>
        <v>2003</v>
      </c>
      <c r="M47" s="59">
        <f t="shared" si="1"/>
        <v>16</v>
      </c>
      <c r="N47" s="92" t="s">
        <v>3</v>
      </c>
      <c r="O47" s="92" t="s">
        <v>1632</v>
      </c>
      <c r="P47" s="19" t="s">
        <v>1732</v>
      </c>
      <c r="Q47" s="92"/>
      <c r="R47" s="19" t="s">
        <v>1625</v>
      </c>
    </row>
    <row r="48" spans="2:18" ht="25.5" x14ac:dyDescent="0.25">
      <c r="B48" s="151">
        <v>12</v>
      </c>
      <c r="C48" s="151"/>
      <c r="D48" s="92">
        <v>41</v>
      </c>
      <c r="E48" s="19" t="s">
        <v>90</v>
      </c>
      <c r="F48" s="92" t="s">
        <v>7</v>
      </c>
      <c r="G48" s="92" t="s">
        <v>91</v>
      </c>
      <c r="H48" s="92" t="s">
        <v>1</v>
      </c>
      <c r="I48" s="92" t="s">
        <v>2</v>
      </c>
      <c r="J48" s="19"/>
      <c r="K48" s="58">
        <v>25903</v>
      </c>
      <c r="L48" s="59">
        <f t="shared" si="0"/>
        <v>1970</v>
      </c>
      <c r="M48" s="59">
        <f t="shared" si="1"/>
        <v>49</v>
      </c>
      <c r="N48" s="92" t="s">
        <v>3</v>
      </c>
      <c r="O48" s="92"/>
      <c r="P48" s="19" t="s">
        <v>4</v>
      </c>
      <c r="Q48" s="92"/>
      <c r="R48" s="19"/>
    </row>
    <row r="49" spans="2:18" ht="38.25" x14ac:dyDescent="0.25">
      <c r="B49" s="151"/>
      <c r="C49" s="151"/>
      <c r="D49" s="92">
        <v>42</v>
      </c>
      <c r="E49" s="19" t="s">
        <v>92</v>
      </c>
      <c r="F49" s="92" t="s">
        <v>12</v>
      </c>
      <c r="G49" s="92" t="s">
        <v>93</v>
      </c>
      <c r="H49" s="92" t="s">
        <v>10</v>
      </c>
      <c r="I49" s="92" t="s">
        <v>2</v>
      </c>
      <c r="J49" s="19"/>
      <c r="K49" s="58">
        <v>28065</v>
      </c>
      <c r="L49" s="59">
        <f t="shared" si="0"/>
        <v>1976</v>
      </c>
      <c r="M49" s="59">
        <f t="shared" si="1"/>
        <v>43</v>
      </c>
      <c r="N49" s="92" t="s">
        <v>3</v>
      </c>
      <c r="O49" s="92"/>
      <c r="P49" s="19" t="s">
        <v>4</v>
      </c>
      <c r="Q49" s="92"/>
      <c r="R49" s="19" t="s">
        <v>11</v>
      </c>
    </row>
    <row r="50" spans="2:18" ht="25.5" x14ac:dyDescent="0.25">
      <c r="B50" s="151"/>
      <c r="C50" s="151"/>
      <c r="D50" s="92">
        <v>43</v>
      </c>
      <c r="E50" s="19" t="s">
        <v>94</v>
      </c>
      <c r="F50" s="92" t="s">
        <v>18</v>
      </c>
      <c r="G50" s="92" t="s">
        <v>95</v>
      </c>
      <c r="H50" s="92" t="s">
        <v>1</v>
      </c>
      <c r="I50" s="92" t="s">
        <v>15</v>
      </c>
      <c r="J50" s="19"/>
      <c r="K50" s="58">
        <v>38254</v>
      </c>
      <c r="L50" s="59">
        <f t="shared" si="0"/>
        <v>2004</v>
      </c>
      <c r="M50" s="59">
        <f t="shared" si="1"/>
        <v>15</v>
      </c>
      <c r="N50" s="92" t="s">
        <v>3</v>
      </c>
      <c r="O50" s="92"/>
      <c r="P50" s="19" t="s">
        <v>16</v>
      </c>
      <c r="Q50" s="92"/>
      <c r="R50" s="19" t="s">
        <v>16</v>
      </c>
    </row>
    <row r="51" spans="2:18" ht="38.25" x14ac:dyDescent="0.25">
      <c r="B51" s="151"/>
      <c r="C51" s="151"/>
      <c r="D51" s="92">
        <v>44</v>
      </c>
      <c r="E51" s="19" t="s">
        <v>96</v>
      </c>
      <c r="F51" s="92" t="s">
        <v>24</v>
      </c>
      <c r="G51" s="92" t="s">
        <v>97</v>
      </c>
      <c r="H51" s="92" t="s">
        <v>10</v>
      </c>
      <c r="I51" s="92" t="s">
        <v>21</v>
      </c>
      <c r="J51" s="19"/>
      <c r="K51" s="58">
        <v>27029</v>
      </c>
      <c r="L51" s="59">
        <f t="shared" si="0"/>
        <v>1973</v>
      </c>
      <c r="M51" s="59">
        <f t="shared" si="1"/>
        <v>46</v>
      </c>
      <c r="N51" s="92" t="s">
        <v>3</v>
      </c>
      <c r="O51" s="92"/>
      <c r="P51" s="19" t="s">
        <v>16</v>
      </c>
      <c r="Q51" s="92"/>
      <c r="R51" s="19" t="s">
        <v>28</v>
      </c>
    </row>
    <row r="52" spans="2:18" x14ac:dyDescent="0.25">
      <c r="B52" s="151">
        <v>13</v>
      </c>
      <c r="C52" s="151"/>
      <c r="D52" s="92">
        <v>45</v>
      </c>
      <c r="E52" s="19" t="s">
        <v>98</v>
      </c>
      <c r="F52" s="92" t="s">
        <v>7</v>
      </c>
      <c r="G52" s="92" t="s">
        <v>99</v>
      </c>
      <c r="H52" s="92" t="s">
        <v>10</v>
      </c>
      <c r="I52" s="92" t="s">
        <v>21</v>
      </c>
      <c r="J52" s="19"/>
      <c r="K52" s="58">
        <v>25933</v>
      </c>
      <c r="L52" s="59">
        <f t="shared" si="0"/>
        <v>1970</v>
      </c>
      <c r="M52" s="59">
        <f t="shared" si="1"/>
        <v>49</v>
      </c>
      <c r="N52" s="92" t="s">
        <v>3</v>
      </c>
      <c r="O52" s="92"/>
      <c r="P52" s="19" t="s">
        <v>46</v>
      </c>
      <c r="Q52" s="92"/>
      <c r="R52" s="19" t="s">
        <v>39</v>
      </c>
    </row>
    <row r="53" spans="2:18" x14ac:dyDescent="0.25">
      <c r="B53" s="151"/>
      <c r="C53" s="151"/>
      <c r="D53" s="92">
        <v>46</v>
      </c>
      <c r="E53" s="19" t="s">
        <v>100</v>
      </c>
      <c r="F53" s="92" t="s">
        <v>24</v>
      </c>
      <c r="G53" s="92">
        <v>0</v>
      </c>
      <c r="H53" s="92" t="s">
        <v>10</v>
      </c>
      <c r="I53" s="92" t="s">
        <v>21</v>
      </c>
      <c r="J53" s="19"/>
      <c r="K53" s="58">
        <v>366</v>
      </c>
      <c r="L53" s="59">
        <f t="shared" si="0"/>
        <v>1900</v>
      </c>
      <c r="M53" s="59">
        <f t="shared" si="1"/>
        <v>119</v>
      </c>
      <c r="N53" s="92" t="s">
        <v>101</v>
      </c>
      <c r="O53" s="92"/>
      <c r="P53" s="19" t="s">
        <v>16</v>
      </c>
      <c r="Q53" s="92"/>
      <c r="R53" s="19" t="s">
        <v>16</v>
      </c>
    </row>
    <row r="54" spans="2:18" ht="25.5" x14ac:dyDescent="0.25">
      <c r="B54" s="151">
        <v>14</v>
      </c>
      <c r="C54" s="151" t="s">
        <v>1879</v>
      </c>
      <c r="D54" s="92">
        <v>47</v>
      </c>
      <c r="E54" s="19" t="s">
        <v>102</v>
      </c>
      <c r="F54" s="92" t="s">
        <v>7</v>
      </c>
      <c r="G54" s="92" t="s">
        <v>1882</v>
      </c>
      <c r="H54" s="92" t="s">
        <v>1</v>
      </c>
      <c r="I54" s="92" t="s">
        <v>2</v>
      </c>
      <c r="J54" s="19" t="s">
        <v>1631</v>
      </c>
      <c r="K54" s="58">
        <v>25721</v>
      </c>
      <c r="L54" s="59">
        <f t="shared" si="0"/>
        <v>1970</v>
      </c>
      <c r="M54" s="59">
        <f t="shared" si="1"/>
        <v>49</v>
      </c>
      <c r="N54" s="92" t="s">
        <v>3</v>
      </c>
      <c r="O54" s="92" t="s">
        <v>1632</v>
      </c>
      <c r="P54" s="19" t="s">
        <v>2337</v>
      </c>
      <c r="Q54" s="92"/>
      <c r="R54" s="19" t="s">
        <v>39</v>
      </c>
    </row>
    <row r="55" spans="2:18" ht="25.5" x14ac:dyDescent="0.25">
      <c r="B55" s="151"/>
      <c r="C55" s="151"/>
      <c r="D55" s="92">
        <v>48</v>
      </c>
      <c r="E55" s="19" t="s">
        <v>104</v>
      </c>
      <c r="F55" s="92" t="s">
        <v>12</v>
      </c>
      <c r="G55" s="92" t="s">
        <v>1883</v>
      </c>
      <c r="H55" s="92" t="s">
        <v>10</v>
      </c>
      <c r="I55" s="92" t="s">
        <v>2</v>
      </c>
      <c r="J55" s="19" t="s">
        <v>1631</v>
      </c>
      <c r="K55" s="58">
        <v>26869</v>
      </c>
      <c r="L55" s="59">
        <f t="shared" si="0"/>
        <v>1973</v>
      </c>
      <c r="M55" s="59">
        <f t="shared" si="1"/>
        <v>46</v>
      </c>
      <c r="N55" s="92" t="s">
        <v>3</v>
      </c>
      <c r="O55" s="92" t="s">
        <v>1632</v>
      </c>
      <c r="P55" s="19" t="s">
        <v>2337</v>
      </c>
      <c r="Q55" s="92"/>
      <c r="R55" s="19" t="s">
        <v>1764</v>
      </c>
    </row>
    <row r="56" spans="2:18" x14ac:dyDescent="0.25">
      <c r="B56" s="151"/>
      <c r="C56" s="151"/>
      <c r="D56" s="92">
        <v>49</v>
      </c>
      <c r="E56" s="19" t="s">
        <v>1880</v>
      </c>
      <c r="F56" s="92" t="s">
        <v>18</v>
      </c>
      <c r="G56" s="92" t="s">
        <v>1884</v>
      </c>
      <c r="H56" s="92" t="s">
        <v>10</v>
      </c>
      <c r="I56" s="92" t="s">
        <v>15</v>
      </c>
      <c r="J56" s="19" t="s">
        <v>1623</v>
      </c>
      <c r="K56" s="58">
        <v>34386</v>
      </c>
      <c r="L56" s="59">
        <f t="shared" si="0"/>
        <v>1994</v>
      </c>
      <c r="M56" s="59">
        <f t="shared" si="1"/>
        <v>25</v>
      </c>
      <c r="N56" s="92" t="s">
        <v>3</v>
      </c>
      <c r="O56" s="92" t="s">
        <v>1632</v>
      </c>
      <c r="P56" s="19" t="s">
        <v>1666</v>
      </c>
      <c r="Q56" s="92"/>
      <c r="R56" s="19" t="s">
        <v>1809</v>
      </c>
    </row>
    <row r="57" spans="2:18" x14ac:dyDescent="0.25">
      <c r="B57" s="151"/>
      <c r="C57" s="151"/>
      <c r="D57" s="92">
        <v>50</v>
      </c>
      <c r="E57" s="19" t="s">
        <v>1881</v>
      </c>
      <c r="F57" s="92" t="s">
        <v>18</v>
      </c>
      <c r="G57" s="92" t="s">
        <v>1887</v>
      </c>
      <c r="H57" s="92" t="s">
        <v>10</v>
      </c>
      <c r="I57" s="92" t="s">
        <v>15</v>
      </c>
      <c r="J57" s="19" t="s">
        <v>1623</v>
      </c>
      <c r="K57" s="58">
        <v>35903</v>
      </c>
      <c r="L57" s="59">
        <f t="shared" si="0"/>
        <v>1998</v>
      </c>
      <c r="M57" s="59">
        <f t="shared" si="1"/>
        <v>21</v>
      </c>
      <c r="N57" s="92" t="s">
        <v>3</v>
      </c>
      <c r="O57" s="92" t="s">
        <v>1632</v>
      </c>
      <c r="P57" s="19" t="s">
        <v>1666</v>
      </c>
      <c r="Q57" s="92"/>
      <c r="R57" s="19" t="s">
        <v>1625</v>
      </c>
    </row>
    <row r="58" spans="2:18" x14ac:dyDescent="0.25">
      <c r="B58" s="151"/>
      <c r="C58" s="151"/>
      <c r="D58" s="92">
        <v>51</v>
      </c>
      <c r="E58" s="19" t="s">
        <v>106</v>
      </c>
      <c r="F58" s="92" t="s">
        <v>18</v>
      </c>
      <c r="G58" s="92" t="s">
        <v>1885</v>
      </c>
      <c r="H58" s="92" t="s">
        <v>10</v>
      </c>
      <c r="I58" s="92" t="s">
        <v>15</v>
      </c>
      <c r="J58" s="19" t="s">
        <v>1623</v>
      </c>
      <c r="K58" s="58">
        <v>37823</v>
      </c>
      <c r="L58" s="59">
        <f t="shared" si="0"/>
        <v>2003</v>
      </c>
      <c r="M58" s="59">
        <f t="shared" si="1"/>
        <v>16</v>
      </c>
      <c r="N58" s="92" t="s">
        <v>3</v>
      </c>
      <c r="O58" s="92" t="s">
        <v>1632</v>
      </c>
      <c r="P58" s="19" t="s">
        <v>2337</v>
      </c>
      <c r="Q58" s="92"/>
      <c r="R58" s="19" t="s">
        <v>1625</v>
      </c>
    </row>
    <row r="59" spans="2:18" ht="38.25" x14ac:dyDescent="0.25">
      <c r="B59" s="151"/>
      <c r="C59" s="151"/>
      <c r="D59" s="92">
        <v>52</v>
      </c>
      <c r="E59" s="19" t="s">
        <v>107</v>
      </c>
      <c r="F59" s="92" t="s">
        <v>18</v>
      </c>
      <c r="G59" s="92" t="s">
        <v>1886</v>
      </c>
      <c r="H59" s="92" t="s">
        <v>1</v>
      </c>
      <c r="I59" s="92" t="s">
        <v>15</v>
      </c>
      <c r="J59" s="19" t="s">
        <v>1631</v>
      </c>
      <c r="K59" s="58">
        <v>38561</v>
      </c>
      <c r="L59" s="59">
        <f t="shared" si="0"/>
        <v>2005</v>
      </c>
      <c r="M59" s="59">
        <f t="shared" si="1"/>
        <v>14</v>
      </c>
      <c r="N59" s="92" t="s">
        <v>3</v>
      </c>
      <c r="O59" s="92" t="s">
        <v>1632</v>
      </c>
      <c r="P59" s="19" t="s">
        <v>2338</v>
      </c>
      <c r="Q59" s="92"/>
      <c r="R59" s="19" t="s">
        <v>1625</v>
      </c>
    </row>
    <row r="60" spans="2:18" ht="25.5" x14ac:dyDescent="0.25">
      <c r="B60" s="152">
        <v>15</v>
      </c>
      <c r="C60" s="152" t="s">
        <v>1894</v>
      </c>
      <c r="D60" s="92">
        <v>53</v>
      </c>
      <c r="E60" s="19" t="s">
        <v>108</v>
      </c>
      <c r="F60" s="92" t="s">
        <v>7</v>
      </c>
      <c r="G60" s="92" t="s">
        <v>1900</v>
      </c>
      <c r="H60" s="92" t="s">
        <v>1</v>
      </c>
      <c r="I60" s="92" t="s">
        <v>2</v>
      </c>
      <c r="J60" s="19" t="s">
        <v>1623</v>
      </c>
      <c r="K60" s="58">
        <v>29585</v>
      </c>
      <c r="L60" s="59">
        <f t="shared" si="0"/>
        <v>1980</v>
      </c>
      <c r="M60" s="59">
        <f t="shared" si="1"/>
        <v>39</v>
      </c>
      <c r="N60" s="92" t="s">
        <v>3</v>
      </c>
      <c r="O60" s="92" t="s">
        <v>1632</v>
      </c>
      <c r="P60" s="19" t="s">
        <v>1701</v>
      </c>
      <c r="Q60" s="92"/>
      <c r="R60" s="19" t="s">
        <v>28</v>
      </c>
    </row>
    <row r="61" spans="2:18" ht="25.5" x14ac:dyDescent="0.25">
      <c r="B61" s="153"/>
      <c r="C61" s="153"/>
      <c r="D61" s="92">
        <v>54</v>
      </c>
      <c r="E61" s="19" t="s">
        <v>109</v>
      </c>
      <c r="F61" s="92" t="s">
        <v>12</v>
      </c>
      <c r="G61" s="92" t="s">
        <v>1901</v>
      </c>
      <c r="H61" s="92" t="s">
        <v>10</v>
      </c>
      <c r="I61" s="92" t="s">
        <v>2</v>
      </c>
      <c r="J61" s="19" t="s">
        <v>1897</v>
      </c>
      <c r="K61" s="58">
        <v>31155</v>
      </c>
      <c r="L61" s="59">
        <f t="shared" si="0"/>
        <v>1985</v>
      </c>
      <c r="M61" s="59">
        <f t="shared" si="1"/>
        <v>34</v>
      </c>
      <c r="N61" s="92" t="s">
        <v>3</v>
      </c>
      <c r="O61" s="92" t="s">
        <v>1632</v>
      </c>
      <c r="P61" s="19" t="s">
        <v>1733</v>
      </c>
      <c r="Q61" s="92"/>
      <c r="R61" s="19" t="s">
        <v>16</v>
      </c>
    </row>
    <row r="62" spans="2:18" ht="25.5" x14ac:dyDescent="0.25">
      <c r="B62" s="153"/>
      <c r="C62" s="153"/>
      <c r="D62" s="92">
        <v>55</v>
      </c>
      <c r="E62" s="19" t="s">
        <v>1895</v>
      </c>
      <c r="F62" s="92" t="s">
        <v>18</v>
      </c>
      <c r="G62" s="92" t="s">
        <v>1902</v>
      </c>
      <c r="H62" s="92" t="s">
        <v>1</v>
      </c>
      <c r="I62" s="92" t="s">
        <v>15</v>
      </c>
      <c r="J62" s="19" t="s">
        <v>1623</v>
      </c>
      <c r="K62" s="58">
        <v>38763</v>
      </c>
      <c r="L62" s="59">
        <f t="shared" si="0"/>
        <v>2006</v>
      </c>
      <c r="M62" s="59">
        <f t="shared" si="1"/>
        <v>13</v>
      </c>
      <c r="N62" s="92" t="s">
        <v>3</v>
      </c>
      <c r="O62" s="92" t="s">
        <v>1632</v>
      </c>
      <c r="P62" s="19" t="s">
        <v>1635</v>
      </c>
      <c r="Q62" s="92"/>
      <c r="R62" s="19" t="s">
        <v>16</v>
      </c>
    </row>
    <row r="63" spans="2:18" ht="38.25" x14ac:dyDescent="0.25">
      <c r="B63" s="153"/>
      <c r="C63" s="153"/>
      <c r="D63" s="92">
        <v>56</v>
      </c>
      <c r="E63" s="19" t="s">
        <v>1896</v>
      </c>
      <c r="F63" s="92" t="s">
        <v>18</v>
      </c>
      <c r="G63" s="92" t="s">
        <v>1903</v>
      </c>
      <c r="H63" s="92" t="s">
        <v>1</v>
      </c>
      <c r="I63" s="92" t="s">
        <v>15</v>
      </c>
      <c r="J63" s="19" t="s">
        <v>1898</v>
      </c>
      <c r="K63" s="58">
        <v>40357</v>
      </c>
      <c r="L63" s="59">
        <f t="shared" si="0"/>
        <v>2010</v>
      </c>
      <c r="M63" s="59">
        <f t="shared" si="1"/>
        <v>9</v>
      </c>
      <c r="N63" s="92" t="s">
        <v>3</v>
      </c>
      <c r="O63" s="92" t="s">
        <v>1632</v>
      </c>
      <c r="P63" s="19" t="s">
        <v>1733</v>
      </c>
      <c r="Q63" s="92"/>
      <c r="R63" s="19" t="s">
        <v>16</v>
      </c>
    </row>
    <row r="64" spans="2:18" ht="25.5" x14ac:dyDescent="0.25">
      <c r="B64" s="154"/>
      <c r="C64" s="154"/>
      <c r="D64" s="92">
        <v>57</v>
      </c>
      <c r="E64" s="19" t="s">
        <v>1899</v>
      </c>
      <c r="F64" s="92" t="s">
        <v>18</v>
      </c>
      <c r="G64" s="92" t="s">
        <v>1904</v>
      </c>
      <c r="H64" s="92" t="s">
        <v>1</v>
      </c>
      <c r="I64" s="92" t="s">
        <v>15</v>
      </c>
      <c r="J64" s="19" t="s">
        <v>1736</v>
      </c>
      <c r="K64" s="58">
        <v>42392</v>
      </c>
      <c r="L64" s="59">
        <f t="shared" si="0"/>
        <v>2016</v>
      </c>
      <c r="M64" s="59">
        <f>2019-L64</f>
        <v>3</v>
      </c>
      <c r="N64" s="92" t="s">
        <v>3</v>
      </c>
      <c r="O64" s="92" t="s">
        <v>1632</v>
      </c>
      <c r="P64" s="19" t="s">
        <v>1635</v>
      </c>
      <c r="Q64" s="92"/>
      <c r="R64" s="19"/>
    </row>
    <row r="65" spans="2:18" x14ac:dyDescent="0.25">
      <c r="B65" s="151">
        <v>16</v>
      </c>
      <c r="C65" s="151"/>
      <c r="D65" s="92">
        <v>58</v>
      </c>
      <c r="E65" s="19" t="s">
        <v>110</v>
      </c>
      <c r="F65" s="92" t="s">
        <v>7</v>
      </c>
      <c r="G65" s="92" t="s">
        <v>111</v>
      </c>
      <c r="H65" s="92" t="s">
        <v>1</v>
      </c>
      <c r="I65" s="92" t="s">
        <v>2</v>
      </c>
      <c r="J65" s="19"/>
      <c r="K65" s="58">
        <v>14440</v>
      </c>
      <c r="L65" s="59">
        <f t="shared" si="0"/>
        <v>1939</v>
      </c>
      <c r="M65" s="59">
        <f t="shared" si="1"/>
        <v>80</v>
      </c>
      <c r="N65" s="92" t="s">
        <v>3</v>
      </c>
      <c r="O65" s="92"/>
      <c r="P65" s="19" t="s">
        <v>16</v>
      </c>
      <c r="Q65" s="92"/>
      <c r="R65" s="19" t="s">
        <v>16</v>
      </c>
    </row>
    <row r="66" spans="2:18" x14ac:dyDescent="0.25">
      <c r="B66" s="151"/>
      <c r="C66" s="151"/>
      <c r="D66" s="92">
        <v>59</v>
      </c>
      <c r="E66" s="19" t="s">
        <v>112</v>
      </c>
      <c r="F66" s="92" t="s">
        <v>12</v>
      </c>
      <c r="G66" s="92" t="s">
        <v>113</v>
      </c>
      <c r="H66" s="92" t="s">
        <v>10</v>
      </c>
      <c r="I66" s="92" t="s">
        <v>2</v>
      </c>
      <c r="J66" s="19"/>
      <c r="K66" s="58">
        <v>18628</v>
      </c>
      <c r="L66" s="59">
        <f t="shared" si="0"/>
        <v>1950</v>
      </c>
      <c r="M66" s="59">
        <f t="shared" si="1"/>
        <v>69</v>
      </c>
      <c r="N66" s="92" t="s">
        <v>3</v>
      </c>
      <c r="O66" s="92"/>
      <c r="P66" s="19" t="s">
        <v>16</v>
      </c>
      <c r="Q66" s="92"/>
      <c r="R66" s="19" t="s">
        <v>16</v>
      </c>
    </row>
    <row r="67" spans="2:18" x14ac:dyDescent="0.25">
      <c r="B67" s="152">
        <v>17</v>
      </c>
      <c r="C67" s="152" t="s">
        <v>1818</v>
      </c>
      <c r="D67" s="92">
        <v>60</v>
      </c>
      <c r="E67" s="19" t="s">
        <v>1819</v>
      </c>
      <c r="F67" s="92" t="s">
        <v>7</v>
      </c>
      <c r="G67" s="92" t="s">
        <v>114</v>
      </c>
      <c r="H67" s="92" t="s">
        <v>1</v>
      </c>
      <c r="I67" s="92" t="s">
        <v>2</v>
      </c>
      <c r="J67" s="19" t="s">
        <v>1623</v>
      </c>
      <c r="K67" s="58">
        <v>29935</v>
      </c>
      <c r="L67" s="59">
        <f t="shared" si="0"/>
        <v>1981</v>
      </c>
      <c r="M67" s="59">
        <f t="shared" si="1"/>
        <v>38</v>
      </c>
      <c r="N67" s="92" t="s">
        <v>3</v>
      </c>
      <c r="O67" s="92" t="s">
        <v>1632</v>
      </c>
      <c r="P67" s="19" t="s">
        <v>1677</v>
      </c>
      <c r="Q67" s="92"/>
      <c r="R67" s="19" t="s">
        <v>39</v>
      </c>
    </row>
    <row r="68" spans="2:18" ht="25.5" x14ac:dyDescent="0.25">
      <c r="B68" s="153"/>
      <c r="C68" s="153"/>
      <c r="D68" s="92">
        <v>61</v>
      </c>
      <c r="E68" s="19" t="s">
        <v>115</v>
      </c>
      <c r="F68" s="92" t="s">
        <v>12</v>
      </c>
      <c r="G68" s="92" t="s">
        <v>116</v>
      </c>
      <c r="H68" s="92" t="s">
        <v>10</v>
      </c>
      <c r="I68" s="92" t="s">
        <v>2</v>
      </c>
      <c r="J68" s="19" t="s">
        <v>1822</v>
      </c>
      <c r="K68" s="58">
        <v>31067</v>
      </c>
      <c r="L68" s="59">
        <f t="shared" si="0"/>
        <v>1985</v>
      </c>
      <c r="M68" s="59">
        <f t="shared" si="1"/>
        <v>34</v>
      </c>
      <c r="N68" s="92" t="s">
        <v>101</v>
      </c>
      <c r="O68" s="92" t="s">
        <v>1632</v>
      </c>
      <c r="P68" s="19" t="s">
        <v>1677</v>
      </c>
      <c r="Q68" s="92"/>
      <c r="R68" s="19" t="s">
        <v>1764</v>
      </c>
    </row>
    <row r="69" spans="2:18" ht="25.5" x14ac:dyDescent="0.25">
      <c r="B69" s="153"/>
      <c r="C69" s="153"/>
      <c r="D69" s="92">
        <v>62</v>
      </c>
      <c r="E69" s="19" t="s">
        <v>1820</v>
      </c>
      <c r="F69" s="92" t="s">
        <v>18</v>
      </c>
      <c r="G69" s="92" t="s">
        <v>117</v>
      </c>
      <c r="H69" s="92" t="s">
        <v>1</v>
      </c>
      <c r="I69" s="92" t="s">
        <v>15</v>
      </c>
      <c r="J69" s="19" t="s">
        <v>1623</v>
      </c>
      <c r="K69" s="58">
        <v>38074</v>
      </c>
      <c r="L69" s="59">
        <f t="shared" si="0"/>
        <v>2004</v>
      </c>
      <c r="M69" s="59">
        <f t="shared" si="1"/>
        <v>15</v>
      </c>
      <c r="N69" s="92" t="s">
        <v>3</v>
      </c>
      <c r="O69" s="92" t="s">
        <v>1632</v>
      </c>
      <c r="P69" s="19" t="s">
        <v>1635</v>
      </c>
      <c r="Q69" s="92"/>
      <c r="R69" s="19" t="s">
        <v>1625</v>
      </c>
    </row>
    <row r="70" spans="2:18" ht="25.5" x14ac:dyDescent="0.25">
      <c r="B70" s="154"/>
      <c r="C70" s="154"/>
      <c r="D70" s="92">
        <v>63</v>
      </c>
      <c r="E70" s="19" t="s">
        <v>118</v>
      </c>
      <c r="F70" s="92" t="s">
        <v>18</v>
      </c>
      <c r="G70" s="92" t="s">
        <v>1821</v>
      </c>
      <c r="H70" s="92" t="s">
        <v>10</v>
      </c>
      <c r="I70" s="92" t="s">
        <v>15</v>
      </c>
      <c r="J70" s="19" t="s">
        <v>1623</v>
      </c>
      <c r="K70" s="58">
        <v>41494</v>
      </c>
      <c r="L70" s="59">
        <f t="shared" si="0"/>
        <v>2013</v>
      </c>
      <c r="M70" s="59">
        <f t="shared" si="1"/>
        <v>6</v>
      </c>
      <c r="N70" s="92" t="s">
        <v>3</v>
      </c>
      <c r="O70" s="92" t="s">
        <v>1632</v>
      </c>
      <c r="P70" s="19" t="s">
        <v>1733</v>
      </c>
      <c r="Q70" s="92"/>
      <c r="R70" s="19" t="s">
        <v>1638</v>
      </c>
    </row>
    <row r="71" spans="2:18" ht="25.5" x14ac:dyDescent="0.25">
      <c r="B71" s="151">
        <v>18</v>
      </c>
      <c r="C71" s="151" t="s">
        <v>2097</v>
      </c>
      <c r="D71" s="92">
        <v>64</v>
      </c>
      <c r="E71" s="19" t="s">
        <v>119</v>
      </c>
      <c r="F71" s="92" t="s">
        <v>7</v>
      </c>
      <c r="G71" s="92" t="s">
        <v>120</v>
      </c>
      <c r="H71" s="92" t="s">
        <v>10</v>
      </c>
      <c r="I71" s="92" t="s">
        <v>21</v>
      </c>
      <c r="J71" s="19" t="s">
        <v>1631</v>
      </c>
      <c r="K71" s="58">
        <v>24479</v>
      </c>
      <c r="L71" s="59">
        <f t="shared" si="0"/>
        <v>1967</v>
      </c>
      <c r="M71" s="59">
        <f t="shared" si="1"/>
        <v>52</v>
      </c>
      <c r="N71" s="92" t="s">
        <v>3</v>
      </c>
      <c r="O71" s="92" t="s">
        <v>1632</v>
      </c>
      <c r="P71" s="19" t="s">
        <v>1641</v>
      </c>
      <c r="Q71" s="92"/>
      <c r="R71" s="19" t="s">
        <v>43</v>
      </c>
    </row>
    <row r="72" spans="2:18" ht="25.5" x14ac:dyDescent="0.25">
      <c r="B72" s="151"/>
      <c r="C72" s="151"/>
      <c r="D72" s="92">
        <v>65</v>
      </c>
      <c r="E72" s="19" t="s">
        <v>121</v>
      </c>
      <c r="F72" s="92" t="s">
        <v>18</v>
      </c>
      <c r="G72" s="92" t="s">
        <v>122</v>
      </c>
      <c r="H72" s="92" t="s">
        <v>1</v>
      </c>
      <c r="I72" s="92" t="s">
        <v>15</v>
      </c>
      <c r="J72" s="19" t="s">
        <v>1631</v>
      </c>
      <c r="K72" s="58">
        <v>32063</v>
      </c>
      <c r="L72" s="59">
        <f t="shared" si="0"/>
        <v>1987</v>
      </c>
      <c r="M72" s="59">
        <f t="shared" ref="M72:M136" si="2">2019-L72</f>
        <v>32</v>
      </c>
      <c r="N72" s="92" t="s">
        <v>3</v>
      </c>
      <c r="O72" s="92" t="s">
        <v>1632</v>
      </c>
      <c r="P72" s="19" t="s">
        <v>1677</v>
      </c>
      <c r="Q72" s="92"/>
      <c r="R72" s="19" t="s">
        <v>1638</v>
      </c>
    </row>
    <row r="73" spans="2:18" ht="25.5" x14ac:dyDescent="0.25">
      <c r="B73" s="151"/>
      <c r="C73" s="151"/>
      <c r="D73" s="92">
        <v>66</v>
      </c>
      <c r="E73" s="19" t="s">
        <v>123</v>
      </c>
      <c r="F73" s="92" t="s">
        <v>18</v>
      </c>
      <c r="G73" s="92" t="s">
        <v>2098</v>
      </c>
      <c r="H73" s="92" t="s">
        <v>10</v>
      </c>
      <c r="I73" s="92" t="s">
        <v>15</v>
      </c>
      <c r="J73" s="19" t="s">
        <v>1631</v>
      </c>
      <c r="K73" s="58">
        <v>32797</v>
      </c>
      <c r="L73" s="59">
        <f t="shared" ref="L73:L136" si="3">YEAR(K73)</f>
        <v>1989</v>
      </c>
      <c r="M73" s="59">
        <f t="shared" si="2"/>
        <v>30</v>
      </c>
      <c r="N73" s="92" t="s">
        <v>3</v>
      </c>
      <c r="O73" s="92" t="s">
        <v>1632</v>
      </c>
      <c r="P73" s="19" t="s">
        <v>1677</v>
      </c>
      <c r="Q73" s="92"/>
      <c r="R73" s="19" t="s">
        <v>39</v>
      </c>
    </row>
    <row r="74" spans="2:18" x14ac:dyDescent="0.25">
      <c r="B74" s="151">
        <v>19</v>
      </c>
      <c r="C74" s="151" t="s">
        <v>1835</v>
      </c>
      <c r="D74" s="92">
        <v>67</v>
      </c>
      <c r="E74" s="19" t="s">
        <v>124</v>
      </c>
      <c r="F74" s="92" t="s">
        <v>7</v>
      </c>
      <c r="G74" s="92" t="s">
        <v>125</v>
      </c>
      <c r="H74" s="92" t="s">
        <v>1</v>
      </c>
      <c r="I74" s="92" t="s">
        <v>2</v>
      </c>
      <c r="J74" s="19" t="s">
        <v>1623</v>
      </c>
      <c r="K74" s="58">
        <v>30918</v>
      </c>
      <c r="L74" s="59">
        <f t="shared" si="3"/>
        <v>1984</v>
      </c>
      <c r="M74" s="59">
        <f t="shared" si="2"/>
        <v>35</v>
      </c>
      <c r="N74" s="92" t="s">
        <v>3</v>
      </c>
      <c r="O74" s="92" t="s">
        <v>1632</v>
      </c>
      <c r="P74" s="19" t="s">
        <v>1677</v>
      </c>
      <c r="Q74" s="92"/>
      <c r="R74" s="19" t="s">
        <v>39</v>
      </c>
    </row>
    <row r="75" spans="2:18" ht="25.5" x14ac:dyDescent="0.25">
      <c r="B75" s="151"/>
      <c r="C75" s="151"/>
      <c r="D75" s="92">
        <v>68</v>
      </c>
      <c r="E75" s="19" t="s">
        <v>126</v>
      </c>
      <c r="F75" s="92" t="s">
        <v>12</v>
      </c>
      <c r="G75" s="92" t="s">
        <v>127</v>
      </c>
      <c r="H75" s="92" t="s">
        <v>10</v>
      </c>
      <c r="I75" s="92" t="s">
        <v>2</v>
      </c>
      <c r="J75" s="19" t="s">
        <v>1623</v>
      </c>
      <c r="K75" s="58">
        <v>32791</v>
      </c>
      <c r="L75" s="59">
        <f t="shared" si="3"/>
        <v>1989</v>
      </c>
      <c r="M75" s="59">
        <f t="shared" si="2"/>
        <v>30</v>
      </c>
      <c r="N75" s="92" t="s">
        <v>3</v>
      </c>
      <c r="O75" s="92" t="s">
        <v>1632</v>
      </c>
      <c r="P75" s="19" t="s">
        <v>1677</v>
      </c>
      <c r="Q75" s="92"/>
      <c r="R75" s="19" t="s">
        <v>39</v>
      </c>
    </row>
    <row r="76" spans="2:18" ht="25.5" x14ac:dyDescent="0.25">
      <c r="B76" s="151"/>
      <c r="C76" s="151"/>
      <c r="D76" s="92">
        <v>69</v>
      </c>
      <c r="E76" s="19" t="s">
        <v>128</v>
      </c>
      <c r="F76" s="92" t="s">
        <v>18</v>
      </c>
      <c r="G76" s="92" t="s">
        <v>129</v>
      </c>
      <c r="H76" s="92" t="s">
        <v>1</v>
      </c>
      <c r="I76" s="92" t="s">
        <v>15</v>
      </c>
      <c r="J76" s="19" t="s">
        <v>1623</v>
      </c>
      <c r="K76" s="58">
        <v>39973</v>
      </c>
      <c r="L76" s="59">
        <f t="shared" si="3"/>
        <v>2009</v>
      </c>
      <c r="M76" s="59">
        <f t="shared" si="2"/>
        <v>10</v>
      </c>
      <c r="N76" s="92" t="s">
        <v>3</v>
      </c>
      <c r="O76" s="92" t="s">
        <v>1632</v>
      </c>
      <c r="P76" s="19" t="s">
        <v>1733</v>
      </c>
      <c r="Q76" s="92"/>
      <c r="R76" s="19" t="s">
        <v>1638</v>
      </c>
    </row>
    <row r="77" spans="2:18" ht="25.5" x14ac:dyDescent="0.25">
      <c r="B77" s="151"/>
      <c r="C77" s="151"/>
      <c r="D77" s="92">
        <v>70</v>
      </c>
      <c r="E77" s="19" t="s">
        <v>1834</v>
      </c>
      <c r="F77" s="92" t="s">
        <v>18</v>
      </c>
      <c r="G77" s="92" t="s">
        <v>1836</v>
      </c>
      <c r="H77" s="92" t="s">
        <v>1</v>
      </c>
      <c r="I77" s="92" t="s">
        <v>15</v>
      </c>
      <c r="J77" s="19" t="s">
        <v>1623</v>
      </c>
      <c r="K77" s="58">
        <v>41583</v>
      </c>
      <c r="L77" s="59">
        <f t="shared" si="3"/>
        <v>2013</v>
      </c>
      <c r="M77" s="59">
        <f t="shared" si="2"/>
        <v>6</v>
      </c>
      <c r="N77" s="92" t="s">
        <v>3</v>
      </c>
      <c r="O77" s="92" t="s">
        <v>1632</v>
      </c>
      <c r="P77" s="19" t="s">
        <v>1733</v>
      </c>
      <c r="Q77" s="92"/>
      <c r="R77" s="19" t="s">
        <v>1638</v>
      </c>
    </row>
    <row r="78" spans="2:18" x14ac:dyDescent="0.25">
      <c r="B78" s="151">
        <v>20</v>
      </c>
      <c r="C78" s="151" t="s">
        <v>2421</v>
      </c>
      <c r="D78" s="92">
        <v>71</v>
      </c>
      <c r="E78" s="19" t="s">
        <v>130</v>
      </c>
      <c r="F78" s="92" t="s">
        <v>7</v>
      </c>
      <c r="G78" s="92" t="s">
        <v>131</v>
      </c>
      <c r="H78" s="92" t="s">
        <v>1</v>
      </c>
      <c r="I78" s="92" t="s">
        <v>2</v>
      </c>
      <c r="J78" s="19" t="s">
        <v>1623</v>
      </c>
      <c r="K78" s="58">
        <v>21185</v>
      </c>
      <c r="L78" s="59">
        <f t="shared" si="3"/>
        <v>1957</v>
      </c>
      <c r="M78" s="59">
        <f t="shared" si="2"/>
        <v>62</v>
      </c>
      <c r="N78" s="92" t="s">
        <v>3</v>
      </c>
      <c r="O78" s="92" t="s">
        <v>1632</v>
      </c>
      <c r="P78" s="19" t="s">
        <v>1732</v>
      </c>
      <c r="Q78" s="92"/>
      <c r="R78" s="19" t="s">
        <v>43</v>
      </c>
    </row>
    <row r="79" spans="2:18" x14ac:dyDescent="0.25">
      <c r="B79" s="151"/>
      <c r="C79" s="151"/>
      <c r="D79" s="92">
        <v>72</v>
      </c>
      <c r="E79" s="19" t="s">
        <v>132</v>
      </c>
      <c r="F79" s="92" t="s">
        <v>12</v>
      </c>
      <c r="G79" s="92" t="s">
        <v>133</v>
      </c>
      <c r="H79" s="92" t="s">
        <v>10</v>
      </c>
      <c r="I79" s="92" t="s">
        <v>2</v>
      </c>
      <c r="J79" s="19" t="s">
        <v>1623</v>
      </c>
      <c r="K79" s="58">
        <v>21915</v>
      </c>
      <c r="L79" s="59">
        <f t="shared" si="3"/>
        <v>1959</v>
      </c>
      <c r="M79" s="59">
        <f t="shared" si="2"/>
        <v>60</v>
      </c>
      <c r="N79" s="92" t="s">
        <v>3</v>
      </c>
      <c r="O79" s="92" t="s">
        <v>1632</v>
      </c>
      <c r="P79" s="19" t="s">
        <v>1732</v>
      </c>
      <c r="Q79" s="92"/>
      <c r="R79" s="19" t="s">
        <v>43</v>
      </c>
    </row>
    <row r="80" spans="2:18" x14ac:dyDescent="0.25">
      <c r="B80" s="151"/>
      <c r="C80" s="151"/>
      <c r="D80" s="92">
        <v>73</v>
      </c>
      <c r="E80" s="19" t="s">
        <v>2420</v>
      </c>
      <c r="F80" s="92" t="s">
        <v>18</v>
      </c>
      <c r="G80" s="92" t="s">
        <v>2422</v>
      </c>
      <c r="H80" s="92" t="s">
        <v>10</v>
      </c>
      <c r="I80" s="92" t="s">
        <v>15</v>
      </c>
      <c r="J80" s="19" t="s">
        <v>1623</v>
      </c>
      <c r="K80" s="58">
        <v>31555</v>
      </c>
      <c r="L80" s="59">
        <f t="shared" si="3"/>
        <v>1986</v>
      </c>
      <c r="M80" s="59">
        <f t="shared" si="2"/>
        <v>33</v>
      </c>
      <c r="N80" s="92"/>
      <c r="O80" s="92" t="s">
        <v>1632</v>
      </c>
      <c r="P80" s="19" t="s">
        <v>1677</v>
      </c>
      <c r="Q80" s="92"/>
      <c r="R80" s="19" t="s">
        <v>1625</v>
      </c>
    </row>
    <row r="81" spans="2:18" ht="25.5" x14ac:dyDescent="0.25">
      <c r="B81" s="151"/>
      <c r="C81" s="151"/>
      <c r="D81" s="92">
        <v>74</v>
      </c>
      <c r="E81" s="19" t="s">
        <v>134</v>
      </c>
      <c r="F81" s="92" t="s">
        <v>18</v>
      </c>
      <c r="G81" s="92" t="s">
        <v>135</v>
      </c>
      <c r="H81" s="92" t="s">
        <v>1</v>
      </c>
      <c r="I81" s="92" t="s">
        <v>15</v>
      </c>
      <c r="J81" s="19" t="s">
        <v>1623</v>
      </c>
      <c r="K81" s="58">
        <v>32373</v>
      </c>
      <c r="L81" s="59">
        <f t="shared" si="3"/>
        <v>1988</v>
      </c>
      <c r="M81" s="59">
        <f t="shared" si="2"/>
        <v>31</v>
      </c>
      <c r="N81" s="92" t="s">
        <v>3</v>
      </c>
      <c r="O81" s="92" t="s">
        <v>1632</v>
      </c>
      <c r="P81" s="19" t="s">
        <v>1641</v>
      </c>
      <c r="Q81" s="92"/>
      <c r="R81" s="19" t="s">
        <v>1625</v>
      </c>
    </row>
    <row r="82" spans="2:18" ht="25.5" x14ac:dyDescent="0.25">
      <c r="B82" s="151"/>
      <c r="C82" s="151"/>
      <c r="D82" s="92">
        <v>75</v>
      </c>
      <c r="E82" s="19" t="s">
        <v>136</v>
      </c>
      <c r="F82" s="92" t="s">
        <v>18</v>
      </c>
      <c r="G82" s="92" t="s">
        <v>137</v>
      </c>
      <c r="H82" s="92" t="s">
        <v>1</v>
      </c>
      <c r="I82" s="92" t="s">
        <v>15</v>
      </c>
      <c r="J82" s="19" t="s">
        <v>1623</v>
      </c>
      <c r="K82" s="58">
        <v>33660</v>
      </c>
      <c r="L82" s="59">
        <f t="shared" si="3"/>
        <v>1992</v>
      </c>
      <c r="M82" s="59">
        <f t="shared" si="2"/>
        <v>27</v>
      </c>
      <c r="N82" s="92" t="s">
        <v>3</v>
      </c>
      <c r="O82" s="92" t="s">
        <v>1632</v>
      </c>
      <c r="P82" s="19" t="s">
        <v>1641</v>
      </c>
      <c r="Q82" s="92"/>
      <c r="R82" s="19" t="s">
        <v>1625</v>
      </c>
    </row>
    <row r="83" spans="2:18" ht="25.5" x14ac:dyDescent="0.25">
      <c r="B83" s="151"/>
      <c r="C83" s="151"/>
      <c r="D83" s="92">
        <v>76</v>
      </c>
      <c r="E83" s="19" t="s">
        <v>2423</v>
      </c>
      <c r="F83" s="92" t="s">
        <v>18</v>
      </c>
      <c r="G83" s="92" t="s">
        <v>138</v>
      </c>
      <c r="H83" s="92" t="s">
        <v>1</v>
      </c>
      <c r="I83" s="92" t="s">
        <v>15</v>
      </c>
      <c r="J83" s="19" t="s">
        <v>1623</v>
      </c>
      <c r="K83" s="58">
        <v>34866</v>
      </c>
      <c r="L83" s="59">
        <f t="shared" si="3"/>
        <v>1995</v>
      </c>
      <c r="M83" s="59">
        <f t="shared" si="2"/>
        <v>24</v>
      </c>
      <c r="N83" s="92" t="s">
        <v>3</v>
      </c>
      <c r="O83" s="92" t="s">
        <v>1632</v>
      </c>
      <c r="P83" s="19" t="s">
        <v>1732</v>
      </c>
      <c r="Q83" s="92"/>
      <c r="R83" s="19" t="s">
        <v>1625</v>
      </c>
    </row>
    <row r="84" spans="2:18" ht="25.5" x14ac:dyDescent="0.25">
      <c r="B84" s="151">
        <v>21</v>
      </c>
      <c r="C84" s="151" t="s">
        <v>1823</v>
      </c>
      <c r="D84" s="92">
        <v>77</v>
      </c>
      <c r="E84" s="19" t="s">
        <v>139</v>
      </c>
      <c r="F84" s="92" t="s">
        <v>7</v>
      </c>
      <c r="G84" s="92" t="s">
        <v>140</v>
      </c>
      <c r="H84" s="92" t="s">
        <v>1</v>
      </c>
      <c r="I84" s="92" t="s">
        <v>2</v>
      </c>
      <c r="J84" s="19" t="s">
        <v>1631</v>
      </c>
      <c r="K84" s="58">
        <v>30170</v>
      </c>
      <c r="L84" s="59">
        <f t="shared" si="3"/>
        <v>1982</v>
      </c>
      <c r="M84" s="59">
        <f t="shared" si="2"/>
        <v>37</v>
      </c>
      <c r="N84" s="92" t="s">
        <v>3</v>
      </c>
      <c r="O84" s="92" t="s">
        <v>1632</v>
      </c>
      <c r="P84" s="19" t="s">
        <v>1677</v>
      </c>
      <c r="Q84" s="92"/>
      <c r="R84" s="19" t="s">
        <v>39</v>
      </c>
    </row>
    <row r="85" spans="2:18" x14ac:dyDescent="0.25">
      <c r="B85" s="151"/>
      <c r="C85" s="151"/>
      <c r="D85" s="92">
        <v>78</v>
      </c>
      <c r="E85" s="19" t="s">
        <v>141</v>
      </c>
      <c r="F85" s="92" t="s">
        <v>12</v>
      </c>
      <c r="G85" s="92" t="s">
        <v>1824</v>
      </c>
      <c r="H85" s="92" t="s">
        <v>10</v>
      </c>
      <c r="I85" s="92" t="s">
        <v>2</v>
      </c>
      <c r="J85" s="19" t="s">
        <v>1826</v>
      </c>
      <c r="K85" s="58">
        <v>29875</v>
      </c>
      <c r="L85" s="59">
        <f t="shared" si="3"/>
        <v>1981</v>
      </c>
      <c r="M85" s="59">
        <f t="shared" si="2"/>
        <v>38</v>
      </c>
      <c r="N85" s="92" t="s">
        <v>3</v>
      </c>
      <c r="O85" s="92" t="s">
        <v>1632</v>
      </c>
      <c r="P85" s="19" t="s">
        <v>1677</v>
      </c>
      <c r="Q85" s="92"/>
      <c r="R85" s="19" t="s">
        <v>39</v>
      </c>
    </row>
    <row r="86" spans="2:18" ht="25.5" x14ac:dyDescent="0.25">
      <c r="B86" s="151"/>
      <c r="C86" s="151"/>
      <c r="D86" s="92">
        <v>79</v>
      </c>
      <c r="E86" s="19" t="s">
        <v>142</v>
      </c>
      <c r="F86" s="92" t="s">
        <v>18</v>
      </c>
      <c r="G86" s="92" t="s">
        <v>1825</v>
      </c>
      <c r="H86" s="92" t="s">
        <v>10</v>
      </c>
      <c r="I86" s="92" t="s">
        <v>15</v>
      </c>
      <c r="J86" s="19" t="s">
        <v>1672</v>
      </c>
      <c r="K86" s="58">
        <v>40118</v>
      </c>
      <c r="L86" s="59">
        <f t="shared" si="3"/>
        <v>2009</v>
      </c>
      <c r="M86" s="59">
        <f t="shared" si="2"/>
        <v>10</v>
      </c>
      <c r="N86" s="92" t="s">
        <v>3</v>
      </c>
      <c r="O86" s="92" t="s">
        <v>1632</v>
      </c>
      <c r="P86" s="19" t="s">
        <v>1733</v>
      </c>
      <c r="Q86" s="92"/>
      <c r="R86" s="19" t="s">
        <v>1638</v>
      </c>
    </row>
    <row r="87" spans="2:18" ht="25.5" x14ac:dyDescent="0.25">
      <c r="B87" s="92">
        <v>22</v>
      </c>
      <c r="C87" s="92" t="s">
        <v>1838</v>
      </c>
      <c r="D87" s="92">
        <v>80</v>
      </c>
      <c r="E87" s="19" t="s">
        <v>1839</v>
      </c>
      <c r="F87" s="92" t="s">
        <v>7</v>
      </c>
      <c r="G87" s="92" t="s">
        <v>1840</v>
      </c>
      <c r="H87" s="92" t="s">
        <v>10</v>
      </c>
      <c r="I87" s="92" t="s">
        <v>2</v>
      </c>
      <c r="J87" s="19" t="s">
        <v>1631</v>
      </c>
      <c r="K87" s="58">
        <v>15713</v>
      </c>
      <c r="L87" s="59">
        <f t="shared" si="3"/>
        <v>1943</v>
      </c>
      <c r="M87" s="59">
        <f t="shared" si="2"/>
        <v>76</v>
      </c>
      <c r="N87" s="92" t="s">
        <v>3</v>
      </c>
      <c r="O87" s="92" t="s">
        <v>1723</v>
      </c>
      <c r="P87" s="19" t="s">
        <v>1733</v>
      </c>
      <c r="Q87" s="92"/>
      <c r="R87" s="19" t="s">
        <v>1764</v>
      </c>
    </row>
    <row r="88" spans="2:18" ht="25.5" x14ac:dyDescent="0.25">
      <c r="B88" s="152">
        <v>23</v>
      </c>
      <c r="C88" s="152" t="s">
        <v>1837</v>
      </c>
      <c r="D88" s="92">
        <v>81</v>
      </c>
      <c r="E88" s="19" t="s">
        <v>143</v>
      </c>
      <c r="F88" s="92" t="s">
        <v>7</v>
      </c>
      <c r="G88" s="92" t="s">
        <v>144</v>
      </c>
      <c r="H88" s="92" t="s">
        <v>10</v>
      </c>
      <c r="I88" s="92" t="s">
        <v>2</v>
      </c>
      <c r="J88" s="19" t="s">
        <v>1631</v>
      </c>
      <c r="K88" s="58">
        <v>19366</v>
      </c>
      <c r="L88" s="59">
        <f t="shared" si="3"/>
        <v>1953</v>
      </c>
      <c r="M88" s="59">
        <f t="shared" si="2"/>
        <v>66</v>
      </c>
      <c r="N88" s="92" t="s">
        <v>3</v>
      </c>
      <c r="O88" s="92" t="s">
        <v>1632</v>
      </c>
      <c r="P88" s="19" t="s">
        <v>1733</v>
      </c>
      <c r="Q88" s="92"/>
      <c r="R88" s="19" t="s">
        <v>1808</v>
      </c>
    </row>
    <row r="89" spans="2:18" ht="25.5" x14ac:dyDescent="0.25">
      <c r="B89" s="153"/>
      <c r="C89" s="153"/>
      <c r="D89" s="92">
        <v>82</v>
      </c>
      <c r="E89" s="19" t="s">
        <v>145</v>
      </c>
      <c r="F89" s="92" t="s">
        <v>18</v>
      </c>
      <c r="G89" s="92" t="s">
        <v>146</v>
      </c>
      <c r="H89" s="92" t="s">
        <v>1</v>
      </c>
      <c r="I89" s="92" t="s">
        <v>15</v>
      </c>
      <c r="J89" s="19" t="s">
        <v>1631</v>
      </c>
      <c r="K89" s="58">
        <v>30316</v>
      </c>
      <c r="L89" s="59">
        <f t="shared" si="3"/>
        <v>1982</v>
      </c>
      <c r="M89" s="59">
        <f t="shared" si="2"/>
        <v>37</v>
      </c>
      <c r="N89" s="92" t="s">
        <v>3</v>
      </c>
      <c r="O89" s="92" t="s">
        <v>1632</v>
      </c>
      <c r="P89" s="19" t="s">
        <v>1677</v>
      </c>
      <c r="Q89" s="92"/>
      <c r="R89" s="19" t="s">
        <v>1710</v>
      </c>
    </row>
    <row r="90" spans="2:18" ht="25.5" x14ac:dyDescent="0.25">
      <c r="B90" s="154"/>
      <c r="C90" s="154"/>
      <c r="D90" s="92">
        <v>83</v>
      </c>
      <c r="E90" s="19" t="s">
        <v>147</v>
      </c>
      <c r="F90" s="92" t="s">
        <v>18</v>
      </c>
      <c r="G90" s="92" t="s">
        <v>148</v>
      </c>
      <c r="H90" s="92" t="s">
        <v>1</v>
      </c>
      <c r="I90" s="92" t="s">
        <v>15</v>
      </c>
      <c r="J90" s="19" t="s">
        <v>1631</v>
      </c>
      <c r="K90" s="58">
        <v>30688</v>
      </c>
      <c r="L90" s="59">
        <f t="shared" si="3"/>
        <v>1984</v>
      </c>
      <c r="M90" s="59">
        <f t="shared" si="2"/>
        <v>35</v>
      </c>
      <c r="N90" s="92" t="s">
        <v>3</v>
      </c>
      <c r="O90" s="92" t="s">
        <v>1632</v>
      </c>
      <c r="P90" s="19" t="s">
        <v>1677</v>
      </c>
      <c r="Q90" s="92"/>
      <c r="R90" s="19" t="s">
        <v>43</v>
      </c>
    </row>
    <row r="91" spans="2:18" ht="25.5" x14ac:dyDescent="0.25">
      <c r="B91" s="151">
        <v>24</v>
      </c>
      <c r="C91" s="151" t="s">
        <v>1827</v>
      </c>
      <c r="D91" s="92">
        <v>84</v>
      </c>
      <c r="E91" s="19" t="s">
        <v>149</v>
      </c>
      <c r="F91" s="92" t="s">
        <v>7</v>
      </c>
      <c r="G91" s="92" t="s">
        <v>150</v>
      </c>
      <c r="H91" s="92" t="s">
        <v>1</v>
      </c>
      <c r="I91" s="92" t="s">
        <v>2</v>
      </c>
      <c r="J91" s="19" t="s">
        <v>1631</v>
      </c>
      <c r="K91" s="58">
        <v>28951</v>
      </c>
      <c r="L91" s="59">
        <f t="shared" si="3"/>
        <v>1979</v>
      </c>
      <c r="M91" s="59">
        <f t="shared" si="2"/>
        <v>40</v>
      </c>
      <c r="N91" s="92" t="s">
        <v>3</v>
      </c>
      <c r="O91" s="92" t="s">
        <v>1632</v>
      </c>
      <c r="P91" s="19" t="s">
        <v>1641</v>
      </c>
      <c r="Q91" s="92"/>
      <c r="R91" s="19" t="s">
        <v>1830</v>
      </c>
    </row>
    <row r="92" spans="2:18" ht="25.5" x14ac:dyDescent="0.25">
      <c r="B92" s="151"/>
      <c r="C92" s="151"/>
      <c r="D92" s="92">
        <v>85</v>
      </c>
      <c r="E92" s="19" t="s">
        <v>151</v>
      </c>
      <c r="F92" s="92" t="s">
        <v>12</v>
      </c>
      <c r="G92" s="92" t="s">
        <v>152</v>
      </c>
      <c r="H92" s="92" t="s">
        <v>10</v>
      </c>
      <c r="I92" s="92" t="s">
        <v>2</v>
      </c>
      <c r="J92" s="19" t="s">
        <v>1621</v>
      </c>
      <c r="K92" s="58">
        <v>30128</v>
      </c>
      <c r="L92" s="59">
        <f t="shared" si="3"/>
        <v>1982</v>
      </c>
      <c r="M92" s="59">
        <f t="shared" si="2"/>
        <v>37</v>
      </c>
      <c r="N92" s="92" t="s">
        <v>3</v>
      </c>
      <c r="O92" s="92" t="s">
        <v>1632</v>
      </c>
      <c r="P92" s="19" t="s">
        <v>1641</v>
      </c>
      <c r="Q92" s="92"/>
      <c r="R92" s="19" t="s">
        <v>1764</v>
      </c>
    </row>
    <row r="93" spans="2:18" x14ac:dyDescent="0.25">
      <c r="B93" s="151"/>
      <c r="C93" s="151"/>
      <c r="D93" s="92">
        <v>86</v>
      </c>
      <c r="E93" s="19" t="s">
        <v>153</v>
      </c>
      <c r="F93" s="92" t="s">
        <v>18</v>
      </c>
      <c r="G93" s="92" t="s">
        <v>154</v>
      </c>
      <c r="H93" s="92" t="s">
        <v>10</v>
      </c>
      <c r="I93" s="92" t="s">
        <v>15</v>
      </c>
      <c r="J93" s="19" t="s">
        <v>1623</v>
      </c>
      <c r="K93" s="58">
        <v>37111</v>
      </c>
      <c r="L93" s="59">
        <f t="shared" si="3"/>
        <v>2001</v>
      </c>
      <c r="M93" s="59">
        <f t="shared" si="2"/>
        <v>18</v>
      </c>
      <c r="N93" s="92" t="s">
        <v>3</v>
      </c>
      <c r="O93" s="92" t="s">
        <v>1632</v>
      </c>
      <c r="P93" s="19" t="s">
        <v>1732</v>
      </c>
      <c r="Q93" s="92"/>
      <c r="R93" s="19" t="s">
        <v>1625</v>
      </c>
    </row>
    <row r="94" spans="2:18" ht="25.5" x14ac:dyDescent="0.25">
      <c r="B94" s="151"/>
      <c r="C94" s="151"/>
      <c r="D94" s="92">
        <v>87</v>
      </c>
      <c r="E94" s="19" t="s">
        <v>155</v>
      </c>
      <c r="F94" s="92" t="s">
        <v>75</v>
      </c>
      <c r="G94" s="92" t="s">
        <v>156</v>
      </c>
      <c r="H94" s="92" t="s">
        <v>10</v>
      </c>
      <c r="I94" s="92" t="s">
        <v>15</v>
      </c>
      <c r="J94" s="19" t="s">
        <v>1623</v>
      </c>
      <c r="K94" s="58">
        <v>38796</v>
      </c>
      <c r="L94" s="59">
        <f t="shared" si="3"/>
        <v>2006</v>
      </c>
      <c r="M94" s="59">
        <f t="shared" si="2"/>
        <v>13</v>
      </c>
      <c r="N94" s="92" t="s">
        <v>3</v>
      </c>
      <c r="O94" s="92" t="s">
        <v>1632</v>
      </c>
      <c r="P94" s="19" t="s">
        <v>1635</v>
      </c>
      <c r="Q94" s="92"/>
      <c r="R94" s="19" t="s">
        <v>1625</v>
      </c>
    </row>
    <row r="95" spans="2:18" ht="25.5" x14ac:dyDescent="0.25">
      <c r="B95" s="151"/>
      <c r="C95" s="151"/>
      <c r="D95" s="92">
        <v>88</v>
      </c>
      <c r="E95" s="19" t="s">
        <v>1828</v>
      </c>
      <c r="F95" s="92" t="s">
        <v>18</v>
      </c>
      <c r="G95" s="92" t="s">
        <v>1829</v>
      </c>
      <c r="H95" s="92" t="s">
        <v>1</v>
      </c>
      <c r="I95" s="92" t="s">
        <v>15</v>
      </c>
      <c r="J95" s="19" t="s">
        <v>1623</v>
      </c>
      <c r="K95" s="58">
        <v>41531</v>
      </c>
      <c r="L95" s="59">
        <f t="shared" si="3"/>
        <v>2013</v>
      </c>
      <c r="M95" s="59">
        <f t="shared" si="2"/>
        <v>6</v>
      </c>
      <c r="N95" s="92" t="s">
        <v>3</v>
      </c>
      <c r="O95" s="92" t="s">
        <v>1632</v>
      </c>
      <c r="P95" s="19" t="s">
        <v>1733</v>
      </c>
      <c r="Q95" s="92"/>
      <c r="R95" s="19" t="s">
        <v>1638</v>
      </c>
    </row>
    <row r="96" spans="2:18" ht="25.5" x14ac:dyDescent="0.25">
      <c r="B96" s="152">
        <v>25</v>
      </c>
      <c r="C96" s="151" t="s">
        <v>2418</v>
      </c>
      <c r="D96" s="92">
        <v>89</v>
      </c>
      <c r="E96" s="19" t="s">
        <v>157</v>
      </c>
      <c r="F96" s="92" t="s">
        <v>7</v>
      </c>
      <c r="G96" s="92" t="s">
        <v>159</v>
      </c>
      <c r="H96" s="92" t="s">
        <v>1</v>
      </c>
      <c r="I96" s="92" t="s">
        <v>15</v>
      </c>
      <c r="J96" s="19" t="s">
        <v>1631</v>
      </c>
      <c r="K96" s="58">
        <v>23749</v>
      </c>
      <c r="L96" s="59">
        <f t="shared" si="3"/>
        <v>1965</v>
      </c>
      <c r="M96" s="59">
        <f t="shared" si="2"/>
        <v>54</v>
      </c>
      <c r="N96" s="92" t="s">
        <v>3</v>
      </c>
      <c r="O96" s="92" t="s">
        <v>1632</v>
      </c>
      <c r="P96" s="19" t="s">
        <v>1732</v>
      </c>
      <c r="Q96" s="92"/>
      <c r="R96" s="19" t="s">
        <v>1808</v>
      </c>
    </row>
    <row r="97" spans="2:18" ht="25.5" x14ac:dyDescent="0.25">
      <c r="B97" s="153"/>
      <c r="C97" s="151"/>
      <c r="D97" s="92">
        <v>90</v>
      </c>
      <c r="E97" s="19" t="s">
        <v>160</v>
      </c>
      <c r="F97" s="92" t="s">
        <v>12</v>
      </c>
      <c r="G97" s="92" t="s">
        <v>161</v>
      </c>
      <c r="H97" s="92" t="s">
        <v>10</v>
      </c>
      <c r="I97" s="92" t="s">
        <v>15</v>
      </c>
      <c r="J97" s="19" t="s">
        <v>2419</v>
      </c>
      <c r="K97" s="58">
        <v>23749</v>
      </c>
      <c r="L97" s="59">
        <f t="shared" si="3"/>
        <v>1965</v>
      </c>
      <c r="M97" s="59">
        <f t="shared" si="2"/>
        <v>54</v>
      </c>
      <c r="N97" s="92" t="s">
        <v>3</v>
      </c>
      <c r="O97" s="92" t="s">
        <v>1632</v>
      </c>
      <c r="P97" s="19" t="s">
        <v>1732</v>
      </c>
      <c r="Q97" s="92"/>
      <c r="R97" s="19" t="s">
        <v>1808</v>
      </c>
    </row>
    <row r="98" spans="2:18" x14ac:dyDescent="0.25">
      <c r="B98" s="154"/>
      <c r="C98" s="151"/>
      <c r="D98" s="92">
        <v>91</v>
      </c>
      <c r="E98" s="19" t="s">
        <v>164</v>
      </c>
      <c r="F98" s="92" t="s">
        <v>18</v>
      </c>
      <c r="G98" s="92" t="s">
        <v>165</v>
      </c>
      <c r="H98" s="92" t="s">
        <v>1</v>
      </c>
      <c r="I98" s="92" t="s">
        <v>15</v>
      </c>
      <c r="J98" s="19" t="s">
        <v>1623</v>
      </c>
      <c r="K98" s="58">
        <v>35367</v>
      </c>
      <c r="L98" s="59">
        <f t="shared" si="3"/>
        <v>1996</v>
      </c>
      <c r="M98" s="59">
        <f t="shared" si="2"/>
        <v>23</v>
      </c>
      <c r="N98" s="92" t="s">
        <v>3</v>
      </c>
      <c r="O98" s="92" t="s">
        <v>1632</v>
      </c>
      <c r="P98" s="19" t="s">
        <v>1732</v>
      </c>
      <c r="Q98" s="92"/>
      <c r="R98" s="19" t="s">
        <v>1625</v>
      </c>
    </row>
    <row r="99" spans="2:18" ht="25.5" x14ac:dyDescent="0.25">
      <c r="B99" s="151">
        <v>26</v>
      </c>
      <c r="C99" s="151" t="s">
        <v>2417</v>
      </c>
      <c r="D99" s="92">
        <v>92</v>
      </c>
      <c r="E99" s="19" t="s">
        <v>166</v>
      </c>
      <c r="F99" s="92" t="s">
        <v>7</v>
      </c>
      <c r="G99" s="92" t="s">
        <v>167</v>
      </c>
      <c r="H99" s="92" t="s">
        <v>10</v>
      </c>
      <c r="I99" s="92" t="s">
        <v>1735</v>
      </c>
      <c r="J99" s="19" t="s">
        <v>1631</v>
      </c>
      <c r="K99" s="58">
        <v>17174</v>
      </c>
      <c r="L99" s="59">
        <f t="shared" si="3"/>
        <v>1947</v>
      </c>
      <c r="M99" s="59">
        <f t="shared" si="2"/>
        <v>72</v>
      </c>
      <c r="N99" s="92" t="s">
        <v>3</v>
      </c>
      <c r="O99" s="92" t="s">
        <v>1632</v>
      </c>
      <c r="P99" s="19" t="s">
        <v>1733</v>
      </c>
      <c r="Q99" s="92"/>
      <c r="R99" s="19" t="s">
        <v>1816</v>
      </c>
    </row>
    <row r="100" spans="2:18" ht="25.5" x14ac:dyDescent="0.25">
      <c r="B100" s="151"/>
      <c r="C100" s="151"/>
      <c r="D100" s="92">
        <v>93</v>
      </c>
      <c r="E100" s="19" t="s">
        <v>168</v>
      </c>
      <c r="F100" s="92" t="s">
        <v>18</v>
      </c>
      <c r="G100" s="92" t="s">
        <v>169</v>
      </c>
      <c r="H100" s="92" t="s">
        <v>10</v>
      </c>
      <c r="I100" s="92" t="s">
        <v>15</v>
      </c>
      <c r="J100" s="19" t="s">
        <v>1631</v>
      </c>
      <c r="K100" s="58">
        <v>26893</v>
      </c>
      <c r="L100" s="59">
        <f t="shared" si="3"/>
        <v>1973</v>
      </c>
      <c r="M100" s="59">
        <f t="shared" si="2"/>
        <v>46</v>
      </c>
      <c r="N100" s="92" t="s">
        <v>3</v>
      </c>
      <c r="O100" s="92" t="s">
        <v>1632</v>
      </c>
      <c r="P100" s="19" t="s">
        <v>35</v>
      </c>
      <c r="Q100" s="92"/>
      <c r="R100" s="19" t="s">
        <v>43</v>
      </c>
    </row>
    <row r="101" spans="2:18" x14ac:dyDescent="0.25">
      <c r="B101" s="151">
        <v>27</v>
      </c>
      <c r="C101" s="151"/>
      <c r="D101" s="92">
        <v>94</v>
      </c>
      <c r="E101" s="19" t="s">
        <v>170</v>
      </c>
      <c r="F101" s="92" t="s">
        <v>7</v>
      </c>
      <c r="G101" s="92" t="s">
        <v>171</v>
      </c>
      <c r="H101" s="92" t="s">
        <v>1</v>
      </c>
      <c r="I101" s="92" t="s">
        <v>2</v>
      </c>
      <c r="J101" s="19"/>
      <c r="K101" s="58">
        <v>27827</v>
      </c>
      <c r="L101" s="59">
        <f t="shared" si="3"/>
        <v>1976</v>
      </c>
      <c r="M101" s="59">
        <f t="shared" si="2"/>
        <v>43</v>
      </c>
      <c r="N101" s="92" t="s">
        <v>3</v>
      </c>
      <c r="O101" s="92"/>
      <c r="P101" s="19" t="s">
        <v>35</v>
      </c>
      <c r="Q101" s="92"/>
      <c r="R101" s="19" t="s">
        <v>28</v>
      </c>
    </row>
    <row r="102" spans="2:18" ht="25.5" x14ac:dyDescent="0.25">
      <c r="B102" s="151"/>
      <c r="C102" s="151"/>
      <c r="D102" s="92">
        <v>95</v>
      </c>
      <c r="E102" s="19" t="s">
        <v>172</v>
      </c>
      <c r="F102" s="92" t="s">
        <v>12</v>
      </c>
      <c r="G102" s="92" t="s">
        <v>173</v>
      </c>
      <c r="H102" s="92" t="s">
        <v>10</v>
      </c>
      <c r="I102" s="92" t="s">
        <v>2</v>
      </c>
      <c r="J102" s="19"/>
      <c r="K102" s="58">
        <v>29812</v>
      </c>
      <c r="L102" s="59">
        <f t="shared" si="3"/>
        <v>1981</v>
      </c>
      <c r="M102" s="59">
        <f t="shared" si="2"/>
        <v>38</v>
      </c>
      <c r="N102" s="92" t="s">
        <v>3</v>
      </c>
      <c r="O102" s="92"/>
      <c r="P102" s="19" t="s">
        <v>35</v>
      </c>
      <c r="Q102" s="92"/>
      <c r="R102" s="19" t="s">
        <v>16</v>
      </c>
    </row>
    <row r="103" spans="2:18" ht="25.5" x14ac:dyDescent="0.25">
      <c r="B103" s="151"/>
      <c r="C103" s="151"/>
      <c r="D103" s="92">
        <v>96</v>
      </c>
      <c r="E103" s="19" t="s">
        <v>174</v>
      </c>
      <c r="F103" s="92" t="s">
        <v>18</v>
      </c>
      <c r="G103" s="92" t="s">
        <v>175</v>
      </c>
      <c r="H103" s="92" t="s">
        <v>1</v>
      </c>
      <c r="I103" s="92" t="s">
        <v>15</v>
      </c>
      <c r="J103" s="19"/>
      <c r="K103" s="58">
        <v>40889</v>
      </c>
      <c r="L103" s="59">
        <f t="shared" si="3"/>
        <v>2011</v>
      </c>
      <c r="M103" s="59">
        <f t="shared" si="2"/>
        <v>8</v>
      </c>
      <c r="N103" s="92" t="s">
        <v>3</v>
      </c>
      <c r="O103" s="92"/>
      <c r="P103" s="19" t="s">
        <v>16</v>
      </c>
      <c r="Q103" s="92"/>
      <c r="R103" s="19" t="s">
        <v>16</v>
      </c>
    </row>
    <row r="104" spans="2:18" x14ac:dyDescent="0.25">
      <c r="B104" s="151"/>
      <c r="C104" s="151"/>
      <c r="D104" s="92">
        <v>97</v>
      </c>
      <c r="E104" s="19" t="s">
        <v>176</v>
      </c>
      <c r="F104" s="92" t="s">
        <v>18</v>
      </c>
      <c r="G104" s="92" t="s">
        <v>177</v>
      </c>
      <c r="H104" s="92" t="s">
        <v>10</v>
      </c>
      <c r="I104" s="92" t="s">
        <v>15</v>
      </c>
      <c r="J104" s="19"/>
      <c r="K104" s="58">
        <v>41910</v>
      </c>
      <c r="L104" s="59">
        <f t="shared" si="3"/>
        <v>2014</v>
      </c>
      <c r="M104" s="59">
        <f t="shared" si="2"/>
        <v>5</v>
      </c>
      <c r="N104" s="92" t="s">
        <v>3</v>
      </c>
      <c r="O104" s="92"/>
      <c r="P104" s="19" t="s">
        <v>16</v>
      </c>
      <c r="Q104" s="92"/>
      <c r="R104" s="19" t="s">
        <v>16</v>
      </c>
    </row>
    <row r="105" spans="2:18" x14ac:dyDescent="0.25">
      <c r="B105" s="151">
        <v>28</v>
      </c>
      <c r="C105" s="151"/>
      <c r="D105" s="92">
        <v>98</v>
      </c>
      <c r="E105" s="19" t="s">
        <v>178</v>
      </c>
      <c r="F105" s="92" t="s">
        <v>7</v>
      </c>
      <c r="G105" s="92" t="s">
        <v>179</v>
      </c>
      <c r="H105" s="92" t="s">
        <v>1</v>
      </c>
      <c r="I105" s="92" t="s">
        <v>2</v>
      </c>
      <c r="J105" s="19"/>
      <c r="K105" s="58">
        <v>21367</v>
      </c>
      <c r="L105" s="59">
        <f t="shared" si="3"/>
        <v>1958</v>
      </c>
      <c r="M105" s="59">
        <f t="shared" si="2"/>
        <v>61</v>
      </c>
      <c r="N105" s="92" t="s">
        <v>3</v>
      </c>
      <c r="O105" s="92"/>
      <c r="P105" s="19" t="s">
        <v>46</v>
      </c>
      <c r="Q105" s="92"/>
      <c r="R105" s="19" t="s">
        <v>37</v>
      </c>
    </row>
    <row r="106" spans="2:18" x14ac:dyDescent="0.25">
      <c r="B106" s="151"/>
      <c r="C106" s="151"/>
      <c r="D106" s="92">
        <v>99</v>
      </c>
      <c r="E106" s="19" t="s">
        <v>180</v>
      </c>
      <c r="F106" s="92" t="s">
        <v>12</v>
      </c>
      <c r="G106" s="92" t="s">
        <v>181</v>
      </c>
      <c r="H106" s="92" t="s">
        <v>10</v>
      </c>
      <c r="I106" s="92" t="s">
        <v>2</v>
      </c>
      <c r="J106" s="19"/>
      <c r="K106" s="58">
        <v>18454</v>
      </c>
      <c r="L106" s="59">
        <f t="shared" si="3"/>
        <v>1950</v>
      </c>
      <c r="M106" s="59">
        <f t="shared" si="2"/>
        <v>69</v>
      </c>
      <c r="N106" s="92" t="s">
        <v>3</v>
      </c>
      <c r="O106" s="92"/>
      <c r="P106" s="19" t="s">
        <v>46</v>
      </c>
      <c r="Q106" s="92"/>
      <c r="R106" s="19" t="s">
        <v>37</v>
      </c>
    </row>
    <row r="107" spans="2:18" ht="25.5" x14ac:dyDescent="0.25">
      <c r="B107" s="151"/>
      <c r="C107" s="151"/>
      <c r="D107" s="92">
        <v>100</v>
      </c>
      <c r="E107" s="19" t="s">
        <v>182</v>
      </c>
      <c r="F107" s="92" t="s">
        <v>18</v>
      </c>
      <c r="G107" s="92" t="s">
        <v>183</v>
      </c>
      <c r="H107" s="92" t="s">
        <v>1</v>
      </c>
      <c r="I107" s="92" t="s">
        <v>15</v>
      </c>
      <c r="J107" s="19"/>
      <c r="K107" s="58">
        <v>35026</v>
      </c>
      <c r="L107" s="59">
        <f t="shared" si="3"/>
        <v>1995</v>
      </c>
      <c r="M107" s="59">
        <f t="shared" si="2"/>
        <v>24</v>
      </c>
      <c r="N107" s="92" t="s">
        <v>3</v>
      </c>
      <c r="O107" s="92"/>
      <c r="P107" s="19" t="s">
        <v>27</v>
      </c>
      <c r="Q107" s="92"/>
      <c r="R107" s="19" t="s">
        <v>28</v>
      </c>
    </row>
    <row r="108" spans="2:18" ht="25.5" x14ac:dyDescent="0.25">
      <c r="B108" s="151"/>
      <c r="C108" s="151"/>
      <c r="D108" s="92">
        <v>101</v>
      </c>
      <c r="E108" s="19" t="s">
        <v>184</v>
      </c>
      <c r="F108" s="92" t="s">
        <v>18</v>
      </c>
      <c r="G108" s="92" t="s">
        <v>185</v>
      </c>
      <c r="H108" s="92" t="s">
        <v>1</v>
      </c>
      <c r="I108" s="92" t="s">
        <v>15</v>
      </c>
      <c r="J108" s="19"/>
      <c r="K108" s="58">
        <v>35560</v>
      </c>
      <c r="L108" s="59">
        <f t="shared" si="3"/>
        <v>1997</v>
      </c>
      <c r="M108" s="59">
        <f t="shared" si="2"/>
        <v>22</v>
      </c>
      <c r="N108" s="92" t="s">
        <v>3</v>
      </c>
      <c r="O108" s="92"/>
      <c r="P108" s="19" t="s">
        <v>27</v>
      </c>
      <c r="Q108" s="92"/>
      <c r="R108" s="19" t="s">
        <v>17</v>
      </c>
    </row>
    <row r="109" spans="2:18" x14ac:dyDescent="0.25">
      <c r="B109" s="152">
        <v>29</v>
      </c>
      <c r="C109" s="152"/>
      <c r="D109" s="92">
        <v>102</v>
      </c>
      <c r="E109" s="19" t="s">
        <v>186</v>
      </c>
      <c r="F109" s="92" t="s">
        <v>7</v>
      </c>
      <c r="G109" s="92" t="s">
        <v>187</v>
      </c>
      <c r="H109" s="92" t="s">
        <v>1</v>
      </c>
      <c r="I109" s="92" t="s">
        <v>2</v>
      </c>
      <c r="J109" s="19"/>
      <c r="K109" s="58">
        <v>30316</v>
      </c>
      <c r="L109" s="59">
        <f t="shared" si="3"/>
        <v>1982</v>
      </c>
      <c r="M109" s="59">
        <f t="shared" si="2"/>
        <v>37</v>
      </c>
      <c r="N109" s="92" t="s">
        <v>3</v>
      </c>
      <c r="O109" s="92"/>
      <c r="P109" s="19" t="s">
        <v>4</v>
      </c>
      <c r="Q109" s="92"/>
      <c r="R109" s="19" t="s">
        <v>28</v>
      </c>
    </row>
    <row r="110" spans="2:18" x14ac:dyDescent="0.25">
      <c r="B110" s="153"/>
      <c r="C110" s="153"/>
      <c r="D110" s="92">
        <v>103</v>
      </c>
      <c r="E110" s="19" t="s">
        <v>188</v>
      </c>
      <c r="F110" s="92" t="s">
        <v>12</v>
      </c>
      <c r="G110" s="92" t="s">
        <v>189</v>
      </c>
      <c r="H110" s="92" t="s">
        <v>10</v>
      </c>
      <c r="I110" s="92" t="s">
        <v>2</v>
      </c>
      <c r="J110" s="19"/>
      <c r="K110" s="58">
        <v>30818</v>
      </c>
      <c r="L110" s="59">
        <f t="shared" si="3"/>
        <v>1984</v>
      </c>
      <c r="M110" s="59">
        <f t="shared" si="2"/>
        <v>35</v>
      </c>
      <c r="N110" s="92" t="s">
        <v>3</v>
      </c>
      <c r="O110" s="92"/>
      <c r="P110" s="19" t="s">
        <v>4</v>
      </c>
      <c r="Q110" s="92"/>
      <c r="R110" s="19" t="s">
        <v>54</v>
      </c>
    </row>
    <row r="111" spans="2:18" ht="25.5" x14ac:dyDescent="0.25">
      <c r="B111" s="154"/>
      <c r="C111" s="154"/>
      <c r="D111" s="92">
        <v>104</v>
      </c>
      <c r="E111" s="19" t="s">
        <v>190</v>
      </c>
      <c r="F111" s="92" t="s">
        <v>18</v>
      </c>
      <c r="G111" s="92">
        <v>0</v>
      </c>
      <c r="H111" s="92" t="s">
        <v>10</v>
      </c>
      <c r="I111" s="92" t="s">
        <v>15</v>
      </c>
      <c r="J111" s="19"/>
      <c r="K111" s="58">
        <v>42076</v>
      </c>
      <c r="L111" s="59">
        <f t="shared" si="3"/>
        <v>2015</v>
      </c>
      <c r="M111" s="59">
        <f t="shared" si="2"/>
        <v>4</v>
      </c>
      <c r="N111" s="92" t="s">
        <v>3</v>
      </c>
      <c r="O111" s="92"/>
      <c r="P111" s="19" t="s">
        <v>16</v>
      </c>
      <c r="Q111" s="92"/>
      <c r="R111" s="19" t="s">
        <v>16</v>
      </c>
    </row>
    <row r="112" spans="2:18" x14ac:dyDescent="0.25">
      <c r="B112" s="152">
        <v>30</v>
      </c>
      <c r="C112" s="152"/>
      <c r="D112" s="92">
        <v>105</v>
      </c>
      <c r="E112" s="19" t="s">
        <v>191</v>
      </c>
      <c r="F112" s="92" t="s">
        <v>7</v>
      </c>
      <c r="G112" s="92" t="s">
        <v>192</v>
      </c>
      <c r="H112" s="92" t="s">
        <v>1</v>
      </c>
      <c r="I112" s="92" t="s">
        <v>2</v>
      </c>
      <c r="J112" s="19"/>
      <c r="K112" s="58">
        <v>24472</v>
      </c>
      <c r="L112" s="59">
        <f t="shared" si="3"/>
        <v>1966</v>
      </c>
      <c r="M112" s="59">
        <f t="shared" si="2"/>
        <v>53</v>
      </c>
      <c r="N112" s="92" t="s">
        <v>3</v>
      </c>
      <c r="O112" s="92"/>
      <c r="P112" s="19" t="s">
        <v>46</v>
      </c>
      <c r="Q112" s="92"/>
      <c r="R112" s="19" t="s">
        <v>28</v>
      </c>
    </row>
    <row r="113" spans="2:18" x14ac:dyDescent="0.25">
      <c r="B113" s="153"/>
      <c r="C113" s="153"/>
      <c r="D113" s="92">
        <v>106</v>
      </c>
      <c r="E113" s="19" t="s">
        <v>193</v>
      </c>
      <c r="F113" s="92" t="s">
        <v>12</v>
      </c>
      <c r="G113" s="92" t="s">
        <v>194</v>
      </c>
      <c r="H113" s="92" t="s">
        <v>10</v>
      </c>
      <c r="I113" s="92" t="s">
        <v>2</v>
      </c>
      <c r="J113" s="19"/>
      <c r="K113" s="58">
        <v>29951</v>
      </c>
      <c r="L113" s="59">
        <f t="shared" si="3"/>
        <v>1981</v>
      </c>
      <c r="M113" s="59">
        <f t="shared" si="2"/>
        <v>38</v>
      </c>
      <c r="N113" s="92" t="s">
        <v>3</v>
      </c>
      <c r="O113" s="92"/>
      <c r="P113" s="19" t="s">
        <v>46</v>
      </c>
      <c r="Q113" s="92"/>
      <c r="R113" s="19" t="s">
        <v>43</v>
      </c>
    </row>
    <row r="114" spans="2:18" ht="25.5" x14ac:dyDescent="0.25">
      <c r="B114" s="153"/>
      <c r="C114" s="153"/>
      <c r="D114" s="92">
        <v>107</v>
      </c>
      <c r="E114" s="19" t="s">
        <v>195</v>
      </c>
      <c r="F114" s="92" t="s">
        <v>18</v>
      </c>
      <c r="G114" s="92" t="s">
        <v>196</v>
      </c>
      <c r="H114" s="92" t="s">
        <v>1</v>
      </c>
      <c r="I114" s="92" t="s">
        <v>15</v>
      </c>
      <c r="J114" s="19"/>
      <c r="K114" s="58">
        <v>33602</v>
      </c>
      <c r="L114" s="59">
        <f t="shared" si="3"/>
        <v>1991</v>
      </c>
      <c r="M114" s="59">
        <f t="shared" si="2"/>
        <v>28</v>
      </c>
      <c r="N114" s="92" t="s">
        <v>3</v>
      </c>
      <c r="O114" s="92"/>
      <c r="P114" s="19" t="s">
        <v>27</v>
      </c>
      <c r="Q114" s="92"/>
      <c r="R114" s="19" t="s">
        <v>28</v>
      </c>
    </row>
    <row r="115" spans="2:18" ht="25.5" x14ac:dyDescent="0.25">
      <c r="B115" s="153"/>
      <c r="C115" s="153"/>
      <c r="D115" s="92">
        <v>108</v>
      </c>
      <c r="E115" s="19" t="s">
        <v>197</v>
      </c>
      <c r="F115" s="92" t="s">
        <v>18</v>
      </c>
      <c r="G115" s="92" t="s">
        <v>198</v>
      </c>
      <c r="H115" s="92" t="s">
        <v>1</v>
      </c>
      <c r="I115" s="92" t="s">
        <v>15</v>
      </c>
      <c r="J115" s="19"/>
      <c r="K115" s="58">
        <v>34908</v>
      </c>
      <c r="L115" s="59">
        <f t="shared" si="3"/>
        <v>1995</v>
      </c>
      <c r="M115" s="59">
        <f t="shared" si="2"/>
        <v>24</v>
      </c>
      <c r="N115" s="92" t="s">
        <v>3</v>
      </c>
      <c r="O115" s="92"/>
      <c r="P115" s="19" t="s">
        <v>27</v>
      </c>
      <c r="Q115" s="92"/>
      <c r="R115" s="19" t="s">
        <v>28</v>
      </c>
    </row>
    <row r="116" spans="2:18" x14ac:dyDescent="0.25">
      <c r="B116" s="153"/>
      <c r="C116" s="153"/>
      <c r="D116" s="92">
        <v>109</v>
      </c>
      <c r="E116" s="19" t="s">
        <v>199</v>
      </c>
      <c r="F116" s="92" t="s">
        <v>18</v>
      </c>
      <c r="G116" s="92" t="s">
        <v>200</v>
      </c>
      <c r="H116" s="92" t="s">
        <v>10</v>
      </c>
      <c r="I116" s="92" t="s">
        <v>15</v>
      </c>
      <c r="J116" s="19"/>
      <c r="K116" s="58">
        <v>35411</v>
      </c>
      <c r="L116" s="59">
        <f t="shared" si="3"/>
        <v>1996</v>
      </c>
      <c r="M116" s="59">
        <f t="shared" si="2"/>
        <v>23</v>
      </c>
      <c r="N116" s="92" t="s">
        <v>3</v>
      </c>
      <c r="O116" s="92"/>
      <c r="P116" s="19" t="s">
        <v>27</v>
      </c>
      <c r="Q116" s="92"/>
      <c r="R116" s="19" t="s">
        <v>16</v>
      </c>
    </row>
    <row r="117" spans="2:18" x14ac:dyDescent="0.25">
      <c r="B117" s="153"/>
      <c r="C117" s="153"/>
      <c r="D117" s="92">
        <v>110</v>
      </c>
      <c r="E117" s="19" t="s">
        <v>201</v>
      </c>
      <c r="F117" s="92" t="s">
        <v>18</v>
      </c>
      <c r="G117" s="92" t="s">
        <v>202</v>
      </c>
      <c r="H117" s="92" t="s">
        <v>10</v>
      </c>
      <c r="I117" s="92" t="s">
        <v>15</v>
      </c>
      <c r="J117" s="19"/>
      <c r="K117" s="58">
        <v>38132</v>
      </c>
      <c r="L117" s="59">
        <f t="shared" si="3"/>
        <v>2004</v>
      </c>
      <c r="M117" s="59">
        <f t="shared" si="2"/>
        <v>15</v>
      </c>
      <c r="N117" s="92" t="s">
        <v>3</v>
      </c>
      <c r="O117" s="92"/>
      <c r="P117" s="19" t="s">
        <v>16</v>
      </c>
      <c r="Q117" s="92"/>
      <c r="R117" s="19" t="s">
        <v>16</v>
      </c>
    </row>
    <row r="118" spans="2:18" ht="25.5" x14ac:dyDescent="0.25">
      <c r="B118" s="154"/>
      <c r="C118" s="154"/>
      <c r="D118" s="92">
        <v>111</v>
      </c>
      <c r="E118" s="19" t="s">
        <v>203</v>
      </c>
      <c r="F118" s="92" t="s">
        <v>18</v>
      </c>
      <c r="G118" s="92" t="s">
        <v>204</v>
      </c>
      <c r="H118" s="92" t="s">
        <v>10</v>
      </c>
      <c r="I118" s="92" t="s">
        <v>15</v>
      </c>
      <c r="J118" s="19"/>
      <c r="K118" s="58">
        <v>38683</v>
      </c>
      <c r="L118" s="59">
        <f t="shared" si="3"/>
        <v>2005</v>
      </c>
      <c r="M118" s="59">
        <f t="shared" si="2"/>
        <v>14</v>
      </c>
      <c r="N118" s="92" t="s">
        <v>3</v>
      </c>
      <c r="O118" s="92"/>
      <c r="P118" s="19" t="s">
        <v>16</v>
      </c>
      <c r="Q118" s="92"/>
      <c r="R118" s="19" t="s">
        <v>16</v>
      </c>
    </row>
    <row r="119" spans="2:18" ht="25.5" x14ac:dyDescent="0.25">
      <c r="B119" s="152">
        <v>31</v>
      </c>
      <c r="C119" s="152" t="s">
        <v>1870</v>
      </c>
      <c r="D119" s="92">
        <v>112</v>
      </c>
      <c r="E119" s="19" t="s">
        <v>1871</v>
      </c>
      <c r="F119" s="92" t="s">
        <v>7</v>
      </c>
      <c r="G119" s="92" t="s">
        <v>205</v>
      </c>
      <c r="H119" s="92" t="s">
        <v>1</v>
      </c>
      <c r="I119" s="92" t="s">
        <v>2</v>
      </c>
      <c r="J119" s="19" t="s">
        <v>1631</v>
      </c>
      <c r="K119" s="58">
        <v>31610</v>
      </c>
      <c r="L119" s="59">
        <f t="shared" si="3"/>
        <v>1986</v>
      </c>
      <c r="M119" s="59">
        <f t="shared" si="2"/>
        <v>33</v>
      </c>
      <c r="N119" s="92" t="s">
        <v>3</v>
      </c>
      <c r="O119" s="92" t="s">
        <v>1632</v>
      </c>
      <c r="P119" s="19" t="s">
        <v>1641</v>
      </c>
      <c r="Q119" s="92"/>
      <c r="R119" s="19" t="s">
        <v>39</v>
      </c>
    </row>
    <row r="120" spans="2:18" x14ac:dyDescent="0.25">
      <c r="B120" s="153"/>
      <c r="C120" s="153"/>
      <c r="D120" s="92">
        <v>113</v>
      </c>
      <c r="E120" s="19" t="s">
        <v>206</v>
      </c>
      <c r="F120" s="92" t="s">
        <v>12</v>
      </c>
      <c r="G120" s="92" t="s">
        <v>207</v>
      </c>
      <c r="H120" s="92" t="s">
        <v>10</v>
      </c>
      <c r="I120" s="92" t="s">
        <v>2</v>
      </c>
      <c r="J120" s="19" t="s">
        <v>1873</v>
      </c>
      <c r="K120" s="58">
        <v>32092</v>
      </c>
      <c r="L120" s="59">
        <f t="shared" si="3"/>
        <v>1987</v>
      </c>
      <c r="M120" s="59">
        <f t="shared" si="2"/>
        <v>32</v>
      </c>
      <c r="N120" s="92" t="s">
        <v>3</v>
      </c>
      <c r="O120" s="92" t="s">
        <v>1632</v>
      </c>
      <c r="P120" s="19" t="s">
        <v>1641</v>
      </c>
      <c r="Q120" s="92"/>
      <c r="R120" s="19" t="s">
        <v>39</v>
      </c>
    </row>
    <row r="121" spans="2:18" ht="25.5" x14ac:dyDescent="0.25">
      <c r="B121" s="153"/>
      <c r="C121" s="153"/>
      <c r="D121" s="92">
        <v>114</v>
      </c>
      <c r="E121" s="19" t="s">
        <v>1872</v>
      </c>
      <c r="F121" s="92" t="s">
        <v>18</v>
      </c>
      <c r="G121" s="92" t="s">
        <v>208</v>
      </c>
      <c r="H121" s="92" t="s">
        <v>10</v>
      </c>
      <c r="I121" s="92" t="s">
        <v>15</v>
      </c>
      <c r="J121" s="19" t="s">
        <v>1623</v>
      </c>
      <c r="K121" s="58">
        <v>41167</v>
      </c>
      <c r="L121" s="59">
        <f t="shared" si="3"/>
        <v>2012</v>
      </c>
      <c r="M121" s="59">
        <f t="shared" si="2"/>
        <v>7</v>
      </c>
      <c r="N121" s="92" t="s">
        <v>3</v>
      </c>
      <c r="O121" s="92" t="s">
        <v>1632</v>
      </c>
      <c r="P121" s="19" t="s">
        <v>1733</v>
      </c>
      <c r="Q121" s="92"/>
      <c r="R121" s="19" t="s">
        <v>1638</v>
      </c>
    </row>
    <row r="122" spans="2:18" ht="25.5" x14ac:dyDescent="0.25">
      <c r="B122" s="154"/>
      <c r="C122" s="154"/>
      <c r="D122" s="92">
        <v>115</v>
      </c>
      <c r="E122" s="19" t="s">
        <v>2428</v>
      </c>
      <c r="F122" s="92" t="s">
        <v>18</v>
      </c>
      <c r="G122" s="92" t="s">
        <v>2429</v>
      </c>
      <c r="H122" s="92" t="s">
        <v>1</v>
      </c>
      <c r="I122" s="92" t="s">
        <v>15</v>
      </c>
      <c r="J122" s="19" t="s">
        <v>1623</v>
      </c>
      <c r="K122" s="58">
        <v>42907</v>
      </c>
      <c r="L122" s="59">
        <f t="shared" si="3"/>
        <v>2017</v>
      </c>
      <c r="M122" s="59">
        <f t="shared" si="2"/>
        <v>2</v>
      </c>
      <c r="N122" s="92" t="s">
        <v>3</v>
      </c>
      <c r="O122" s="92" t="s">
        <v>1632</v>
      </c>
      <c r="P122" s="19" t="s">
        <v>1733</v>
      </c>
      <c r="Q122" s="92"/>
      <c r="R122" s="19" t="s">
        <v>1638</v>
      </c>
    </row>
    <row r="123" spans="2:18" x14ac:dyDescent="0.25">
      <c r="B123" s="151">
        <v>32</v>
      </c>
      <c r="C123" s="151"/>
      <c r="D123" s="92">
        <v>116</v>
      </c>
      <c r="E123" s="19" t="s">
        <v>209</v>
      </c>
      <c r="F123" s="92" t="s">
        <v>7</v>
      </c>
      <c r="G123" s="92" t="s">
        <v>210</v>
      </c>
      <c r="H123" s="92" t="s">
        <v>1</v>
      </c>
      <c r="I123" s="92" t="s">
        <v>2</v>
      </c>
      <c r="J123" s="19"/>
      <c r="K123" s="58">
        <v>27029</v>
      </c>
      <c r="L123" s="59">
        <f t="shared" si="3"/>
        <v>1973</v>
      </c>
      <c r="M123" s="59">
        <f t="shared" si="2"/>
        <v>46</v>
      </c>
      <c r="N123" s="92" t="s">
        <v>3</v>
      </c>
      <c r="O123" s="92"/>
      <c r="P123" s="19" t="s">
        <v>46</v>
      </c>
      <c r="Q123" s="92"/>
      <c r="R123" s="19" t="s">
        <v>28</v>
      </c>
    </row>
    <row r="124" spans="2:18" x14ac:dyDescent="0.25">
      <c r="B124" s="151"/>
      <c r="C124" s="151"/>
      <c r="D124" s="92">
        <v>117</v>
      </c>
      <c r="E124" s="19" t="s">
        <v>211</v>
      </c>
      <c r="F124" s="92" t="s">
        <v>12</v>
      </c>
      <c r="G124" s="92" t="s">
        <v>212</v>
      </c>
      <c r="H124" s="92" t="s">
        <v>10</v>
      </c>
      <c r="I124" s="92" t="s">
        <v>2</v>
      </c>
      <c r="J124" s="19"/>
      <c r="K124" s="58">
        <v>28490</v>
      </c>
      <c r="L124" s="59">
        <f t="shared" si="3"/>
        <v>1977</v>
      </c>
      <c r="M124" s="59">
        <f t="shared" si="2"/>
        <v>42</v>
      </c>
      <c r="N124" s="92" t="s">
        <v>3</v>
      </c>
      <c r="O124" s="92"/>
      <c r="P124" s="19" t="s">
        <v>46</v>
      </c>
      <c r="Q124" s="92"/>
      <c r="R124" s="19" t="s">
        <v>16</v>
      </c>
    </row>
    <row r="125" spans="2:18" x14ac:dyDescent="0.25">
      <c r="B125" s="151"/>
      <c r="C125" s="151"/>
      <c r="D125" s="92">
        <v>118</v>
      </c>
      <c r="E125" s="19" t="s">
        <v>213</v>
      </c>
      <c r="F125" s="92" t="s">
        <v>18</v>
      </c>
      <c r="G125" s="92" t="s">
        <v>214</v>
      </c>
      <c r="H125" s="92" t="s">
        <v>10</v>
      </c>
      <c r="I125" s="92" t="s">
        <v>15</v>
      </c>
      <c r="J125" s="19"/>
      <c r="K125" s="58">
        <v>39663</v>
      </c>
      <c r="L125" s="59">
        <f t="shared" si="3"/>
        <v>2008</v>
      </c>
      <c r="M125" s="59">
        <f t="shared" si="2"/>
        <v>11</v>
      </c>
      <c r="N125" s="92" t="s">
        <v>3</v>
      </c>
      <c r="O125" s="92"/>
      <c r="P125" s="19" t="s">
        <v>16</v>
      </c>
      <c r="Q125" s="92"/>
      <c r="R125" s="19" t="s">
        <v>16</v>
      </c>
    </row>
    <row r="126" spans="2:18" x14ac:dyDescent="0.25">
      <c r="B126" s="151"/>
      <c r="C126" s="151"/>
      <c r="D126" s="92">
        <v>119</v>
      </c>
      <c r="E126" s="19" t="s">
        <v>215</v>
      </c>
      <c r="F126" s="92" t="s">
        <v>18</v>
      </c>
      <c r="G126" s="92">
        <v>0</v>
      </c>
      <c r="H126" s="92" t="s">
        <v>10</v>
      </c>
      <c r="I126" s="92" t="s">
        <v>15</v>
      </c>
      <c r="J126" s="19"/>
      <c r="K126" s="58">
        <v>41670</v>
      </c>
      <c r="L126" s="59">
        <f t="shared" si="3"/>
        <v>2014</v>
      </c>
      <c r="M126" s="59">
        <f t="shared" si="2"/>
        <v>5</v>
      </c>
      <c r="N126" s="92" t="s">
        <v>3</v>
      </c>
      <c r="O126" s="92"/>
      <c r="P126" s="19" t="s">
        <v>16</v>
      </c>
      <c r="Q126" s="92"/>
      <c r="R126" s="19" t="s">
        <v>16</v>
      </c>
    </row>
    <row r="127" spans="2:18" x14ac:dyDescent="0.25">
      <c r="B127" s="151">
        <v>33</v>
      </c>
      <c r="C127" s="151"/>
      <c r="D127" s="92">
        <v>120</v>
      </c>
      <c r="E127" s="19" t="s">
        <v>216</v>
      </c>
      <c r="F127" s="92" t="s">
        <v>7</v>
      </c>
      <c r="G127" s="92" t="s">
        <v>217</v>
      </c>
      <c r="H127" s="92" t="s">
        <v>10</v>
      </c>
      <c r="I127" s="92" t="s">
        <v>21</v>
      </c>
      <c r="J127" s="19"/>
      <c r="K127" s="58">
        <v>27576</v>
      </c>
      <c r="L127" s="59">
        <f t="shared" si="3"/>
        <v>1975</v>
      </c>
      <c r="M127" s="59">
        <f t="shared" si="2"/>
        <v>44</v>
      </c>
      <c r="N127" s="92" t="s">
        <v>3</v>
      </c>
      <c r="O127" s="92"/>
      <c r="P127" s="19" t="s">
        <v>46</v>
      </c>
      <c r="Q127" s="92"/>
      <c r="R127" s="19" t="s">
        <v>16</v>
      </c>
    </row>
    <row r="128" spans="2:18" x14ac:dyDescent="0.25">
      <c r="B128" s="151"/>
      <c r="C128" s="151"/>
      <c r="D128" s="92">
        <v>121</v>
      </c>
      <c r="E128" s="19" t="s">
        <v>218</v>
      </c>
      <c r="F128" s="92" t="s">
        <v>18</v>
      </c>
      <c r="G128" s="92" t="s">
        <v>219</v>
      </c>
      <c r="H128" s="92" t="s">
        <v>1</v>
      </c>
      <c r="I128" s="92" t="s">
        <v>15</v>
      </c>
      <c r="J128" s="19"/>
      <c r="K128" s="58">
        <v>35795</v>
      </c>
      <c r="L128" s="59">
        <f t="shared" si="3"/>
        <v>1997</v>
      </c>
      <c r="M128" s="59">
        <f t="shared" si="2"/>
        <v>22</v>
      </c>
      <c r="N128" s="92" t="s">
        <v>3</v>
      </c>
      <c r="O128" s="92"/>
      <c r="P128" s="19" t="s">
        <v>35</v>
      </c>
      <c r="Q128" s="92"/>
      <c r="R128" s="19" t="s">
        <v>16</v>
      </c>
    </row>
    <row r="129" spans="2:18" ht="25.5" x14ac:dyDescent="0.25">
      <c r="B129" s="151"/>
      <c r="C129" s="151"/>
      <c r="D129" s="92">
        <v>122</v>
      </c>
      <c r="E129" s="19" t="s">
        <v>220</v>
      </c>
      <c r="F129" s="92" t="s">
        <v>18</v>
      </c>
      <c r="G129" s="92" t="s">
        <v>221</v>
      </c>
      <c r="H129" s="92" t="s">
        <v>1</v>
      </c>
      <c r="I129" s="92" t="s">
        <v>15</v>
      </c>
      <c r="J129" s="19"/>
      <c r="K129" s="58">
        <v>40444</v>
      </c>
      <c r="L129" s="59">
        <f t="shared" si="3"/>
        <v>2010</v>
      </c>
      <c r="M129" s="59">
        <f t="shared" si="2"/>
        <v>9</v>
      </c>
      <c r="N129" s="92" t="s">
        <v>3</v>
      </c>
      <c r="O129" s="92"/>
      <c r="P129" s="19" t="s">
        <v>16</v>
      </c>
      <c r="Q129" s="92"/>
      <c r="R129" s="19" t="s">
        <v>16</v>
      </c>
    </row>
    <row r="130" spans="2:18" x14ac:dyDescent="0.25">
      <c r="B130" s="151"/>
      <c r="C130" s="151"/>
      <c r="D130" s="92">
        <v>123</v>
      </c>
      <c r="E130" s="19" t="s">
        <v>222</v>
      </c>
      <c r="F130" s="92" t="s">
        <v>18</v>
      </c>
      <c r="G130" s="92" t="s">
        <v>223</v>
      </c>
      <c r="H130" s="92" t="s">
        <v>10</v>
      </c>
      <c r="I130" s="92" t="s">
        <v>15</v>
      </c>
      <c r="J130" s="19"/>
      <c r="K130" s="58">
        <v>41828</v>
      </c>
      <c r="L130" s="59">
        <f t="shared" si="3"/>
        <v>2014</v>
      </c>
      <c r="M130" s="59">
        <f t="shared" si="2"/>
        <v>5</v>
      </c>
      <c r="N130" s="92" t="s">
        <v>3</v>
      </c>
      <c r="O130" s="92"/>
      <c r="P130" s="19" t="s">
        <v>16</v>
      </c>
      <c r="Q130" s="92"/>
      <c r="R130" s="19" t="s">
        <v>16</v>
      </c>
    </row>
    <row r="131" spans="2:18" x14ac:dyDescent="0.25">
      <c r="B131" s="152">
        <v>34</v>
      </c>
      <c r="C131" s="152"/>
      <c r="D131" s="92">
        <v>124</v>
      </c>
      <c r="E131" s="19" t="s">
        <v>224</v>
      </c>
      <c r="F131" s="92" t="s">
        <v>7</v>
      </c>
      <c r="G131" s="92" t="s">
        <v>225</v>
      </c>
      <c r="H131" s="92" t="s">
        <v>1</v>
      </c>
      <c r="I131" s="92" t="s">
        <v>2</v>
      </c>
      <c r="J131" s="19"/>
      <c r="K131" s="58">
        <v>31485</v>
      </c>
      <c r="L131" s="59">
        <f t="shared" si="3"/>
        <v>1986</v>
      </c>
      <c r="M131" s="59">
        <f t="shared" si="2"/>
        <v>33</v>
      </c>
      <c r="N131" s="92" t="s">
        <v>3</v>
      </c>
      <c r="O131" s="92"/>
      <c r="P131" s="19" t="s">
        <v>27</v>
      </c>
      <c r="Q131" s="92"/>
      <c r="R131" s="19" t="s">
        <v>28</v>
      </c>
    </row>
    <row r="132" spans="2:18" x14ac:dyDescent="0.25">
      <c r="B132" s="153"/>
      <c r="C132" s="153"/>
      <c r="D132" s="92">
        <v>125</v>
      </c>
      <c r="E132" s="19" t="s">
        <v>226</v>
      </c>
      <c r="F132" s="92" t="s">
        <v>12</v>
      </c>
      <c r="G132" s="92" t="s">
        <v>227</v>
      </c>
      <c r="H132" s="92" t="s">
        <v>10</v>
      </c>
      <c r="I132" s="92" t="s">
        <v>2</v>
      </c>
      <c r="J132" s="19"/>
      <c r="K132" s="58">
        <v>32301</v>
      </c>
      <c r="L132" s="59">
        <f t="shared" si="3"/>
        <v>1988</v>
      </c>
      <c r="M132" s="59">
        <f t="shared" si="2"/>
        <v>31</v>
      </c>
      <c r="N132" s="92" t="s">
        <v>3</v>
      </c>
      <c r="O132" s="92"/>
      <c r="P132" s="19" t="s">
        <v>27</v>
      </c>
      <c r="Q132" s="92"/>
      <c r="R132" s="19" t="s">
        <v>43</v>
      </c>
    </row>
    <row r="133" spans="2:18" ht="25.5" x14ac:dyDescent="0.25">
      <c r="B133" s="153"/>
      <c r="C133" s="153"/>
      <c r="D133" s="92">
        <v>126</v>
      </c>
      <c r="E133" s="19" t="s">
        <v>228</v>
      </c>
      <c r="F133" s="92" t="s">
        <v>18</v>
      </c>
      <c r="G133" s="92" t="s">
        <v>229</v>
      </c>
      <c r="H133" s="92" t="s">
        <v>1</v>
      </c>
      <c r="I133" s="92" t="s">
        <v>15</v>
      </c>
      <c r="J133" s="19"/>
      <c r="K133" s="58">
        <v>39516</v>
      </c>
      <c r="L133" s="59">
        <f t="shared" si="3"/>
        <v>2008</v>
      </c>
      <c r="M133" s="59">
        <f t="shared" si="2"/>
        <v>11</v>
      </c>
      <c r="N133" s="92" t="s">
        <v>3</v>
      </c>
      <c r="O133" s="92"/>
      <c r="P133" s="19" t="s">
        <v>16</v>
      </c>
      <c r="Q133" s="92"/>
      <c r="R133" s="19" t="s">
        <v>16</v>
      </c>
    </row>
    <row r="134" spans="2:18" x14ac:dyDescent="0.25">
      <c r="B134" s="154"/>
      <c r="C134" s="154"/>
      <c r="D134" s="92">
        <v>127</v>
      </c>
      <c r="E134" s="19" t="s">
        <v>230</v>
      </c>
      <c r="F134" s="92" t="s">
        <v>18</v>
      </c>
      <c r="G134" s="92">
        <v>0</v>
      </c>
      <c r="H134" s="92" t="s">
        <v>10</v>
      </c>
      <c r="I134" s="92" t="s">
        <v>15</v>
      </c>
      <c r="J134" s="19"/>
      <c r="K134" s="58">
        <v>40711</v>
      </c>
      <c r="L134" s="59">
        <f t="shared" si="3"/>
        <v>2011</v>
      </c>
      <c r="M134" s="59">
        <f t="shared" si="2"/>
        <v>8</v>
      </c>
      <c r="N134" s="92" t="s">
        <v>3</v>
      </c>
      <c r="O134" s="92"/>
      <c r="P134" s="19" t="s">
        <v>16</v>
      </c>
      <c r="Q134" s="92"/>
      <c r="R134" s="19" t="s">
        <v>16</v>
      </c>
    </row>
    <row r="135" spans="2:18" ht="25.5" x14ac:dyDescent="0.25">
      <c r="B135" s="92">
        <v>35</v>
      </c>
      <c r="C135" s="92"/>
      <c r="D135" s="92">
        <v>128</v>
      </c>
      <c r="E135" s="19" t="s">
        <v>231</v>
      </c>
      <c r="F135" s="92" t="s">
        <v>7</v>
      </c>
      <c r="G135" s="92" t="s">
        <v>232</v>
      </c>
      <c r="H135" s="92" t="s">
        <v>10</v>
      </c>
      <c r="I135" s="92" t="s">
        <v>15</v>
      </c>
      <c r="J135" s="19"/>
      <c r="K135" s="58">
        <v>18445</v>
      </c>
      <c r="L135" s="59">
        <f t="shared" si="3"/>
        <v>1950</v>
      </c>
      <c r="M135" s="59">
        <f t="shared" ref="M135:M200" si="4">2019-L135</f>
        <v>69</v>
      </c>
      <c r="N135" s="92" t="s">
        <v>3</v>
      </c>
      <c r="O135" s="92"/>
      <c r="P135" s="19" t="s">
        <v>16</v>
      </c>
      <c r="Q135" s="92"/>
      <c r="R135" s="19" t="s">
        <v>37</v>
      </c>
    </row>
    <row r="136" spans="2:18" x14ac:dyDescent="0.25">
      <c r="B136" s="151">
        <v>36</v>
      </c>
      <c r="C136" s="151" t="s">
        <v>2351</v>
      </c>
      <c r="D136" s="92">
        <v>129</v>
      </c>
      <c r="E136" s="19" t="s">
        <v>2353</v>
      </c>
      <c r="F136" s="92" t="s">
        <v>7</v>
      </c>
      <c r="G136" s="92" t="s">
        <v>2354</v>
      </c>
      <c r="H136" s="92" t="s">
        <v>10</v>
      </c>
      <c r="I136" s="92" t="s">
        <v>1735</v>
      </c>
      <c r="J136" s="19" t="s">
        <v>2356</v>
      </c>
      <c r="K136" s="58">
        <v>18270</v>
      </c>
      <c r="L136" s="59">
        <f t="shared" si="3"/>
        <v>1950</v>
      </c>
      <c r="M136" s="59">
        <f t="shared" si="2"/>
        <v>69</v>
      </c>
      <c r="N136" s="92" t="s">
        <v>3</v>
      </c>
      <c r="O136" s="92" t="s">
        <v>1723</v>
      </c>
      <c r="P136" s="19" t="s">
        <v>1732</v>
      </c>
      <c r="Q136" s="92"/>
      <c r="R136" s="19" t="s">
        <v>43</v>
      </c>
    </row>
    <row r="137" spans="2:18" ht="25.5" x14ac:dyDescent="0.25">
      <c r="B137" s="151"/>
      <c r="C137" s="151"/>
      <c r="D137" s="92">
        <v>130</v>
      </c>
      <c r="E137" s="19" t="s">
        <v>2352</v>
      </c>
      <c r="F137" s="92" t="s">
        <v>18</v>
      </c>
      <c r="G137" s="92" t="s">
        <v>2355</v>
      </c>
      <c r="H137" s="92" t="s">
        <v>10</v>
      </c>
      <c r="I137" s="92" t="s">
        <v>15</v>
      </c>
      <c r="J137" s="19" t="s">
        <v>1631</v>
      </c>
      <c r="K137" s="58">
        <v>31784</v>
      </c>
      <c r="L137" s="59">
        <f t="shared" ref="L137:L200" si="5">YEAR(K137)</f>
        <v>1987</v>
      </c>
      <c r="M137" s="59">
        <f t="shared" si="4"/>
        <v>32</v>
      </c>
      <c r="N137" s="92" t="s">
        <v>3</v>
      </c>
      <c r="O137" s="92" t="s">
        <v>1632</v>
      </c>
      <c r="P137" s="19" t="s">
        <v>1635</v>
      </c>
      <c r="Q137" s="92"/>
      <c r="R137" s="19" t="s">
        <v>43</v>
      </c>
    </row>
    <row r="138" spans="2:18" x14ac:dyDescent="0.25">
      <c r="B138" s="151"/>
      <c r="C138" s="151"/>
      <c r="D138" s="92">
        <v>131</v>
      </c>
      <c r="E138" s="19" t="s">
        <v>233</v>
      </c>
      <c r="F138" s="92" t="s">
        <v>18</v>
      </c>
      <c r="G138" s="92" t="s">
        <v>234</v>
      </c>
      <c r="H138" s="92" t="s">
        <v>10</v>
      </c>
      <c r="I138" s="92" t="s">
        <v>15</v>
      </c>
      <c r="J138" s="19"/>
      <c r="K138" s="58">
        <v>31412</v>
      </c>
      <c r="L138" s="59">
        <f t="shared" si="5"/>
        <v>1985</v>
      </c>
      <c r="M138" s="59">
        <f t="shared" si="4"/>
        <v>34</v>
      </c>
      <c r="N138" s="92" t="s">
        <v>3</v>
      </c>
      <c r="O138" s="92"/>
      <c r="P138" s="19" t="s">
        <v>46</v>
      </c>
      <c r="Q138" s="92"/>
      <c r="R138" s="19" t="s">
        <v>43</v>
      </c>
    </row>
    <row r="139" spans="2:18" x14ac:dyDescent="0.25">
      <c r="B139" s="151"/>
      <c r="C139" s="151"/>
      <c r="D139" s="92">
        <v>132</v>
      </c>
      <c r="E139" s="19" t="s">
        <v>235</v>
      </c>
      <c r="F139" s="92" t="s">
        <v>18</v>
      </c>
      <c r="G139" s="92" t="s">
        <v>236</v>
      </c>
      <c r="H139" s="92" t="s">
        <v>10</v>
      </c>
      <c r="I139" s="92" t="s">
        <v>15</v>
      </c>
      <c r="J139" s="19"/>
      <c r="K139" s="58">
        <v>32142</v>
      </c>
      <c r="L139" s="59">
        <f t="shared" si="5"/>
        <v>1987</v>
      </c>
      <c r="M139" s="59">
        <f t="shared" si="4"/>
        <v>32</v>
      </c>
      <c r="N139" s="92" t="s">
        <v>3</v>
      </c>
      <c r="O139" s="92"/>
      <c r="P139" s="19" t="s">
        <v>46</v>
      </c>
      <c r="Q139" s="92"/>
      <c r="R139" s="19" t="s">
        <v>43</v>
      </c>
    </row>
    <row r="140" spans="2:18" x14ac:dyDescent="0.25">
      <c r="B140" s="151"/>
      <c r="C140" s="151"/>
      <c r="D140" s="92">
        <v>133</v>
      </c>
      <c r="E140" s="19" t="s">
        <v>237</v>
      </c>
      <c r="F140" s="92" t="s">
        <v>18</v>
      </c>
      <c r="G140" s="92" t="s">
        <v>238</v>
      </c>
      <c r="H140" s="92" t="s">
        <v>10</v>
      </c>
      <c r="I140" s="92" t="s">
        <v>15</v>
      </c>
      <c r="J140" s="19"/>
      <c r="K140" s="58">
        <v>32873</v>
      </c>
      <c r="L140" s="59">
        <f t="shared" si="5"/>
        <v>1989</v>
      </c>
      <c r="M140" s="59">
        <f t="shared" si="4"/>
        <v>30</v>
      </c>
      <c r="N140" s="92" t="s">
        <v>3</v>
      </c>
      <c r="O140" s="92"/>
      <c r="P140" s="19" t="s">
        <v>46</v>
      </c>
      <c r="Q140" s="92"/>
      <c r="R140" s="19" t="s">
        <v>43</v>
      </c>
    </row>
    <row r="141" spans="2:18" ht="25.5" x14ac:dyDescent="0.25">
      <c r="B141" s="152">
        <v>37</v>
      </c>
      <c r="C141" s="152"/>
      <c r="D141" s="92">
        <v>134</v>
      </c>
      <c r="E141" s="19" t="s">
        <v>239</v>
      </c>
      <c r="F141" s="92" t="s">
        <v>7</v>
      </c>
      <c r="G141" s="92" t="s">
        <v>240</v>
      </c>
      <c r="H141" s="92" t="s">
        <v>1</v>
      </c>
      <c r="I141" s="92" t="s">
        <v>15</v>
      </c>
      <c r="J141" s="19"/>
      <c r="K141" s="58">
        <v>27029</v>
      </c>
      <c r="L141" s="59">
        <f t="shared" si="5"/>
        <v>1973</v>
      </c>
      <c r="M141" s="59">
        <f t="shared" si="4"/>
        <v>46</v>
      </c>
      <c r="N141" s="92" t="s">
        <v>3</v>
      </c>
      <c r="O141" s="92"/>
      <c r="P141" s="19" t="s">
        <v>35</v>
      </c>
      <c r="Q141" s="92"/>
      <c r="R141" s="19" t="s">
        <v>43</v>
      </c>
    </row>
    <row r="142" spans="2:18" x14ac:dyDescent="0.25">
      <c r="B142" s="153"/>
      <c r="C142" s="153"/>
      <c r="D142" s="92">
        <v>135</v>
      </c>
      <c r="E142" s="19" t="s">
        <v>241</v>
      </c>
      <c r="F142" s="92" t="s">
        <v>12</v>
      </c>
      <c r="G142" s="92" t="s">
        <v>242</v>
      </c>
      <c r="H142" s="92" t="s">
        <v>10</v>
      </c>
      <c r="I142" s="92" t="s">
        <v>15</v>
      </c>
      <c r="J142" s="19"/>
      <c r="K142" s="58">
        <v>31149</v>
      </c>
      <c r="L142" s="59">
        <f t="shared" si="5"/>
        <v>1985</v>
      </c>
      <c r="M142" s="59">
        <f t="shared" si="4"/>
        <v>34</v>
      </c>
      <c r="N142" s="92" t="s">
        <v>3</v>
      </c>
      <c r="O142" s="92"/>
      <c r="P142" s="19" t="s">
        <v>35</v>
      </c>
      <c r="Q142" s="92"/>
      <c r="R142" s="19" t="s">
        <v>37</v>
      </c>
    </row>
    <row r="143" spans="2:18" x14ac:dyDescent="0.25">
      <c r="B143" s="153"/>
      <c r="C143" s="153"/>
      <c r="D143" s="92">
        <v>136</v>
      </c>
      <c r="E143" s="19" t="s">
        <v>243</v>
      </c>
      <c r="F143" s="92" t="s">
        <v>18</v>
      </c>
      <c r="G143" s="92" t="s">
        <v>244</v>
      </c>
      <c r="H143" s="92" t="s">
        <v>10</v>
      </c>
      <c r="I143" s="92" t="s">
        <v>15</v>
      </c>
      <c r="J143" s="19"/>
      <c r="K143" s="58">
        <v>40533</v>
      </c>
      <c r="L143" s="59">
        <f t="shared" si="5"/>
        <v>2010</v>
      </c>
      <c r="M143" s="59">
        <f t="shared" si="4"/>
        <v>9</v>
      </c>
      <c r="N143" s="92" t="s">
        <v>3</v>
      </c>
      <c r="O143" s="92"/>
      <c r="P143" s="19" t="s">
        <v>16</v>
      </c>
      <c r="Q143" s="92"/>
      <c r="R143" s="19" t="s">
        <v>43</v>
      </c>
    </row>
    <row r="144" spans="2:18" ht="25.5" x14ac:dyDescent="0.25">
      <c r="B144" s="154"/>
      <c r="C144" s="154"/>
      <c r="D144" s="92">
        <v>137</v>
      </c>
      <c r="E144" s="19" t="s">
        <v>245</v>
      </c>
      <c r="F144" s="92" t="s">
        <v>18</v>
      </c>
      <c r="G144" s="92" t="s">
        <v>246</v>
      </c>
      <c r="H144" s="92" t="s">
        <v>1</v>
      </c>
      <c r="I144" s="92" t="s">
        <v>15</v>
      </c>
      <c r="J144" s="19"/>
      <c r="K144" s="58">
        <v>41304</v>
      </c>
      <c r="L144" s="59">
        <f t="shared" si="5"/>
        <v>2013</v>
      </c>
      <c r="M144" s="59">
        <f t="shared" si="4"/>
        <v>6</v>
      </c>
      <c r="N144" s="92" t="s">
        <v>3</v>
      </c>
      <c r="O144" s="92"/>
      <c r="P144" s="19" t="s">
        <v>16</v>
      </c>
      <c r="Q144" s="92"/>
      <c r="R144" s="19" t="s">
        <v>16</v>
      </c>
    </row>
    <row r="145" spans="2:18" x14ac:dyDescent="0.25">
      <c r="B145" s="151">
        <v>38</v>
      </c>
      <c r="C145" s="151"/>
      <c r="D145" s="92">
        <v>138</v>
      </c>
      <c r="E145" s="19" t="s">
        <v>247</v>
      </c>
      <c r="F145" s="92" t="s">
        <v>7</v>
      </c>
      <c r="G145" s="92" t="s">
        <v>248</v>
      </c>
      <c r="H145" s="92" t="s">
        <v>1</v>
      </c>
      <c r="I145" s="92" t="s">
        <v>2</v>
      </c>
      <c r="J145" s="19"/>
      <c r="K145" s="58">
        <v>24837</v>
      </c>
      <c r="L145" s="59">
        <f t="shared" si="5"/>
        <v>1967</v>
      </c>
      <c r="M145" s="59">
        <f t="shared" si="4"/>
        <v>52</v>
      </c>
      <c r="N145" s="92" t="s">
        <v>3</v>
      </c>
      <c r="O145" s="92"/>
      <c r="P145" s="19" t="s">
        <v>27</v>
      </c>
      <c r="Q145" s="92"/>
      <c r="R145" s="19" t="s">
        <v>16</v>
      </c>
    </row>
    <row r="146" spans="2:18" x14ac:dyDescent="0.25">
      <c r="B146" s="151"/>
      <c r="C146" s="151"/>
      <c r="D146" s="92">
        <v>139</v>
      </c>
      <c r="E146" s="19" t="s">
        <v>249</v>
      </c>
      <c r="F146" s="92" t="s">
        <v>12</v>
      </c>
      <c r="G146" s="92" t="s">
        <v>250</v>
      </c>
      <c r="H146" s="92" t="s">
        <v>10</v>
      </c>
      <c r="I146" s="92" t="s">
        <v>2</v>
      </c>
      <c r="J146" s="19"/>
      <c r="K146" s="58">
        <v>27692</v>
      </c>
      <c r="L146" s="59">
        <f t="shared" si="5"/>
        <v>1975</v>
      </c>
      <c r="M146" s="59">
        <f t="shared" si="4"/>
        <v>44</v>
      </c>
      <c r="N146" s="92" t="s">
        <v>3</v>
      </c>
      <c r="O146" s="92"/>
      <c r="P146" s="19" t="s">
        <v>27</v>
      </c>
      <c r="Q146" s="92"/>
      <c r="R146" s="19" t="s">
        <v>43</v>
      </c>
    </row>
    <row r="147" spans="2:18" ht="25.5" x14ac:dyDescent="0.25">
      <c r="B147" s="151"/>
      <c r="C147" s="151"/>
      <c r="D147" s="92">
        <v>140</v>
      </c>
      <c r="E147" s="19" t="s">
        <v>251</v>
      </c>
      <c r="F147" s="92" t="s">
        <v>18</v>
      </c>
      <c r="G147" s="92" t="s">
        <v>252</v>
      </c>
      <c r="H147" s="92" t="s">
        <v>1</v>
      </c>
      <c r="I147" s="92" t="s">
        <v>15</v>
      </c>
      <c r="J147" s="19"/>
      <c r="K147" s="58">
        <v>30700</v>
      </c>
      <c r="L147" s="59">
        <f t="shared" si="5"/>
        <v>1984</v>
      </c>
      <c r="M147" s="59">
        <f t="shared" si="4"/>
        <v>35</v>
      </c>
      <c r="N147" s="92" t="s">
        <v>3</v>
      </c>
      <c r="O147" s="92"/>
      <c r="P147" s="19" t="s">
        <v>27</v>
      </c>
      <c r="Q147" s="92"/>
      <c r="R147" s="19" t="s">
        <v>28</v>
      </c>
    </row>
    <row r="148" spans="2:18" x14ac:dyDescent="0.25">
      <c r="B148" s="151"/>
      <c r="C148" s="151"/>
      <c r="D148" s="92">
        <v>141</v>
      </c>
      <c r="E148" s="19" t="s">
        <v>253</v>
      </c>
      <c r="F148" s="92" t="s">
        <v>18</v>
      </c>
      <c r="G148" s="92" t="s">
        <v>254</v>
      </c>
      <c r="H148" s="92" t="s">
        <v>10</v>
      </c>
      <c r="I148" s="92" t="s">
        <v>15</v>
      </c>
      <c r="J148" s="19"/>
      <c r="K148" s="58">
        <v>33482</v>
      </c>
      <c r="L148" s="59">
        <f t="shared" si="5"/>
        <v>1991</v>
      </c>
      <c r="M148" s="59">
        <f t="shared" si="4"/>
        <v>28</v>
      </c>
      <c r="N148" s="92" t="s">
        <v>3</v>
      </c>
      <c r="O148" s="92"/>
      <c r="P148" s="19" t="s">
        <v>27</v>
      </c>
      <c r="Q148" s="92"/>
      <c r="R148" s="19" t="s">
        <v>28</v>
      </c>
    </row>
    <row r="149" spans="2:18" x14ac:dyDescent="0.25">
      <c r="B149" s="151"/>
      <c r="C149" s="151"/>
      <c r="D149" s="92">
        <v>142</v>
      </c>
      <c r="E149" s="19" t="s">
        <v>255</v>
      </c>
      <c r="F149" s="92" t="s">
        <v>18</v>
      </c>
      <c r="G149" s="92" t="s">
        <v>256</v>
      </c>
      <c r="H149" s="92" t="s">
        <v>10</v>
      </c>
      <c r="I149" s="92" t="s">
        <v>15</v>
      </c>
      <c r="J149" s="19"/>
      <c r="K149" s="58">
        <v>35116</v>
      </c>
      <c r="L149" s="59">
        <f t="shared" si="5"/>
        <v>1996</v>
      </c>
      <c r="M149" s="59">
        <f t="shared" si="4"/>
        <v>23</v>
      </c>
      <c r="N149" s="92" t="s">
        <v>3</v>
      </c>
      <c r="O149" s="92"/>
      <c r="P149" s="19" t="s">
        <v>27</v>
      </c>
      <c r="Q149" s="92"/>
      <c r="R149" s="19" t="s">
        <v>16</v>
      </c>
    </row>
    <row r="150" spans="2:18" x14ac:dyDescent="0.25">
      <c r="B150" s="151"/>
      <c r="C150" s="151"/>
      <c r="D150" s="92">
        <v>143</v>
      </c>
      <c r="E150" s="19" t="s">
        <v>257</v>
      </c>
      <c r="F150" s="92" t="s">
        <v>18</v>
      </c>
      <c r="G150" s="92" t="s">
        <v>258</v>
      </c>
      <c r="H150" s="92" t="s">
        <v>1</v>
      </c>
      <c r="I150" s="92" t="s">
        <v>15</v>
      </c>
      <c r="J150" s="19"/>
      <c r="K150" s="58">
        <v>36489</v>
      </c>
      <c r="L150" s="59">
        <f t="shared" si="5"/>
        <v>1999</v>
      </c>
      <c r="M150" s="59">
        <f t="shared" si="4"/>
        <v>20</v>
      </c>
      <c r="N150" s="92" t="s">
        <v>3</v>
      </c>
      <c r="O150" s="92"/>
      <c r="P150" s="19" t="s">
        <v>35</v>
      </c>
      <c r="Q150" s="92"/>
      <c r="R150" s="19" t="s">
        <v>16</v>
      </c>
    </row>
    <row r="151" spans="2:18" x14ac:dyDescent="0.25">
      <c r="B151" s="151">
        <v>39</v>
      </c>
      <c r="C151" s="151"/>
      <c r="D151" s="92">
        <v>144</v>
      </c>
      <c r="E151" s="19" t="s">
        <v>259</v>
      </c>
      <c r="F151" s="92" t="s">
        <v>7</v>
      </c>
      <c r="G151" s="92" t="s">
        <v>260</v>
      </c>
      <c r="H151" s="92" t="s">
        <v>1</v>
      </c>
      <c r="I151" s="92" t="s">
        <v>2</v>
      </c>
      <c r="J151" s="19"/>
      <c r="K151" s="58">
        <v>28849</v>
      </c>
      <c r="L151" s="59">
        <f t="shared" si="5"/>
        <v>1978</v>
      </c>
      <c r="M151" s="59">
        <f t="shared" si="4"/>
        <v>41</v>
      </c>
      <c r="N151" s="92" t="s">
        <v>3</v>
      </c>
      <c r="O151" s="92"/>
      <c r="P151" s="19" t="s">
        <v>27</v>
      </c>
      <c r="Q151" s="92"/>
      <c r="R151" s="19" t="s">
        <v>28</v>
      </c>
    </row>
    <row r="152" spans="2:18" x14ac:dyDescent="0.25">
      <c r="B152" s="151"/>
      <c r="C152" s="151"/>
      <c r="D152" s="92">
        <v>145</v>
      </c>
      <c r="E152" s="19" t="s">
        <v>261</v>
      </c>
      <c r="F152" s="92" t="s">
        <v>12</v>
      </c>
      <c r="G152" s="92" t="s">
        <v>262</v>
      </c>
      <c r="H152" s="92" t="s">
        <v>10</v>
      </c>
      <c r="I152" s="92" t="s">
        <v>2</v>
      </c>
      <c r="J152" s="19"/>
      <c r="K152" s="58">
        <v>29645</v>
      </c>
      <c r="L152" s="59">
        <f t="shared" si="5"/>
        <v>1981</v>
      </c>
      <c r="M152" s="59">
        <f t="shared" si="4"/>
        <v>38</v>
      </c>
      <c r="N152" s="92" t="s">
        <v>3</v>
      </c>
      <c r="O152" s="92"/>
      <c r="P152" s="19" t="s">
        <v>27</v>
      </c>
      <c r="Q152" s="92"/>
      <c r="R152" s="19" t="s">
        <v>43</v>
      </c>
    </row>
    <row r="153" spans="2:18" ht="25.5" x14ac:dyDescent="0.25">
      <c r="B153" s="151"/>
      <c r="C153" s="151"/>
      <c r="D153" s="92">
        <v>146</v>
      </c>
      <c r="E153" s="19" t="s">
        <v>263</v>
      </c>
      <c r="F153" s="92" t="s">
        <v>18</v>
      </c>
      <c r="G153" s="92" t="s">
        <v>264</v>
      </c>
      <c r="H153" s="92" t="s">
        <v>1</v>
      </c>
      <c r="I153" s="92" t="s">
        <v>15</v>
      </c>
      <c r="J153" s="19"/>
      <c r="K153" s="58">
        <v>37844</v>
      </c>
      <c r="L153" s="59">
        <f t="shared" si="5"/>
        <v>2003</v>
      </c>
      <c r="M153" s="59">
        <f t="shared" si="4"/>
        <v>16</v>
      </c>
      <c r="N153" s="92" t="s">
        <v>3</v>
      </c>
      <c r="O153" s="92"/>
      <c r="P153" s="19" t="s">
        <v>16</v>
      </c>
      <c r="Q153" s="92"/>
      <c r="R153" s="19" t="s">
        <v>16</v>
      </c>
    </row>
    <row r="154" spans="2:18" ht="25.5" x14ac:dyDescent="0.25">
      <c r="B154" s="151"/>
      <c r="C154" s="151"/>
      <c r="D154" s="92">
        <v>147</v>
      </c>
      <c r="E154" s="19" t="s">
        <v>265</v>
      </c>
      <c r="F154" s="92" t="s">
        <v>18</v>
      </c>
      <c r="G154" s="92" t="s">
        <v>266</v>
      </c>
      <c r="H154" s="92" t="s">
        <v>10</v>
      </c>
      <c r="I154" s="92" t="s">
        <v>15</v>
      </c>
      <c r="J154" s="19"/>
      <c r="K154" s="58">
        <v>41483</v>
      </c>
      <c r="L154" s="59">
        <f t="shared" si="5"/>
        <v>2013</v>
      </c>
      <c r="M154" s="59">
        <f t="shared" si="4"/>
        <v>6</v>
      </c>
      <c r="N154" s="92" t="s">
        <v>3</v>
      </c>
      <c r="O154" s="92"/>
      <c r="P154" s="19" t="s">
        <v>16</v>
      </c>
      <c r="Q154" s="92"/>
      <c r="R154" s="19" t="s">
        <v>16</v>
      </c>
    </row>
    <row r="155" spans="2:18" ht="25.5" x14ac:dyDescent="0.25">
      <c r="B155" s="151">
        <v>40</v>
      </c>
      <c r="C155" s="151"/>
      <c r="D155" s="92">
        <v>148</v>
      </c>
      <c r="E155" s="19" t="s">
        <v>267</v>
      </c>
      <c r="F155" s="92" t="s">
        <v>7</v>
      </c>
      <c r="G155" s="92" t="s">
        <v>268</v>
      </c>
      <c r="H155" s="92" t="s">
        <v>1</v>
      </c>
      <c r="I155" s="92" t="s">
        <v>2</v>
      </c>
      <c r="J155" s="19"/>
      <c r="K155" s="58">
        <v>27222</v>
      </c>
      <c r="L155" s="59">
        <f t="shared" si="5"/>
        <v>1974</v>
      </c>
      <c r="M155" s="59">
        <f t="shared" si="4"/>
        <v>45</v>
      </c>
      <c r="N155" s="92" t="s">
        <v>3</v>
      </c>
      <c r="O155" s="92"/>
      <c r="P155" s="19" t="s">
        <v>4</v>
      </c>
      <c r="Q155" s="92"/>
      <c r="R155" s="19" t="s">
        <v>54</v>
      </c>
    </row>
    <row r="156" spans="2:18" x14ac:dyDescent="0.25">
      <c r="B156" s="151"/>
      <c r="C156" s="151"/>
      <c r="D156" s="92">
        <v>149</v>
      </c>
      <c r="E156" s="19" t="s">
        <v>269</v>
      </c>
      <c r="F156" s="92" t="s">
        <v>12</v>
      </c>
      <c r="G156" s="92" t="s">
        <v>270</v>
      </c>
      <c r="H156" s="92" t="s">
        <v>10</v>
      </c>
      <c r="I156" s="92" t="s">
        <v>2</v>
      </c>
      <c r="J156" s="19"/>
      <c r="K156" s="58">
        <v>30953</v>
      </c>
      <c r="L156" s="59">
        <f t="shared" si="5"/>
        <v>1984</v>
      </c>
      <c r="M156" s="59">
        <f t="shared" si="4"/>
        <v>35</v>
      </c>
      <c r="N156" s="92" t="s">
        <v>3</v>
      </c>
      <c r="O156" s="92"/>
      <c r="P156" s="19" t="s">
        <v>4</v>
      </c>
      <c r="Q156" s="92"/>
      <c r="R156" s="19" t="s">
        <v>16</v>
      </c>
    </row>
    <row r="157" spans="2:18" ht="25.5" x14ac:dyDescent="0.25">
      <c r="B157" s="151">
        <v>41</v>
      </c>
      <c r="C157" s="151" t="s">
        <v>2099</v>
      </c>
      <c r="D157" s="92">
        <v>150</v>
      </c>
      <c r="E157" s="19" t="s">
        <v>271</v>
      </c>
      <c r="F157" s="92" t="s">
        <v>7</v>
      </c>
      <c r="G157" s="92" t="s">
        <v>272</v>
      </c>
      <c r="H157" s="92" t="s">
        <v>1</v>
      </c>
      <c r="I157" s="92" t="s">
        <v>2</v>
      </c>
      <c r="J157" s="19" t="s">
        <v>1631</v>
      </c>
      <c r="K157" s="58">
        <v>15348</v>
      </c>
      <c r="L157" s="59">
        <f t="shared" si="5"/>
        <v>1942</v>
      </c>
      <c r="M157" s="59">
        <f t="shared" si="4"/>
        <v>77</v>
      </c>
      <c r="N157" s="92" t="s">
        <v>3</v>
      </c>
      <c r="O157" s="92" t="s">
        <v>1632</v>
      </c>
      <c r="P157" s="19" t="s">
        <v>1677</v>
      </c>
      <c r="Q157" s="92"/>
      <c r="R157" s="19" t="s">
        <v>1808</v>
      </c>
    </row>
    <row r="158" spans="2:18" ht="25.5" x14ac:dyDescent="0.25">
      <c r="B158" s="151"/>
      <c r="C158" s="151"/>
      <c r="D158" s="92">
        <v>151</v>
      </c>
      <c r="E158" s="19" t="s">
        <v>273</v>
      </c>
      <c r="F158" s="92" t="s">
        <v>12</v>
      </c>
      <c r="G158" s="92" t="s">
        <v>2100</v>
      </c>
      <c r="H158" s="92" t="s">
        <v>10</v>
      </c>
      <c r="I158" s="92" t="s">
        <v>2</v>
      </c>
      <c r="J158" s="19" t="s">
        <v>1631</v>
      </c>
      <c r="K158" s="58">
        <v>15348</v>
      </c>
      <c r="L158" s="59">
        <f t="shared" si="5"/>
        <v>1942</v>
      </c>
      <c r="M158" s="59">
        <f t="shared" si="4"/>
        <v>77</v>
      </c>
      <c r="N158" s="92" t="s">
        <v>3</v>
      </c>
      <c r="O158" s="92" t="s">
        <v>1632</v>
      </c>
      <c r="P158" s="19" t="s">
        <v>1732</v>
      </c>
      <c r="Q158" s="92"/>
      <c r="R158" s="19" t="s">
        <v>1764</v>
      </c>
    </row>
    <row r="159" spans="2:18" ht="25.5" x14ac:dyDescent="0.25">
      <c r="B159" s="151"/>
      <c r="C159" s="151"/>
      <c r="D159" s="92">
        <v>152</v>
      </c>
      <c r="E159" s="19" t="s">
        <v>56</v>
      </c>
      <c r="F159" s="92" t="s">
        <v>18</v>
      </c>
      <c r="G159" s="92" t="s">
        <v>2101</v>
      </c>
      <c r="H159" s="92" t="s">
        <v>10</v>
      </c>
      <c r="I159" s="92" t="s">
        <v>15</v>
      </c>
      <c r="J159" s="19" t="s">
        <v>1631</v>
      </c>
      <c r="K159" s="58">
        <v>26671</v>
      </c>
      <c r="L159" s="59">
        <f t="shared" si="5"/>
        <v>1973</v>
      </c>
      <c r="M159" s="59">
        <f t="shared" si="4"/>
        <v>46</v>
      </c>
      <c r="N159" s="92" t="s">
        <v>3</v>
      </c>
      <c r="O159" s="92" t="s">
        <v>1632</v>
      </c>
      <c r="P159" s="19" t="s">
        <v>1732</v>
      </c>
      <c r="Q159" s="92"/>
      <c r="R159" s="19" t="s">
        <v>1808</v>
      </c>
    </row>
    <row r="160" spans="2:18" ht="25.5" x14ac:dyDescent="0.25">
      <c r="B160" s="151"/>
      <c r="C160" s="151"/>
      <c r="D160" s="92">
        <v>153</v>
      </c>
      <c r="E160" s="19" t="s">
        <v>274</v>
      </c>
      <c r="F160" s="92" t="s">
        <v>18</v>
      </c>
      <c r="G160" s="92" t="s">
        <v>275</v>
      </c>
      <c r="H160" s="92" t="s">
        <v>10</v>
      </c>
      <c r="I160" s="92" t="s">
        <v>15</v>
      </c>
      <c r="J160" s="19" t="s">
        <v>1631</v>
      </c>
      <c r="K160" s="58">
        <v>27872</v>
      </c>
      <c r="L160" s="59">
        <f t="shared" si="5"/>
        <v>1976</v>
      </c>
      <c r="M160" s="59">
        <f t="shared" si="4"/>
        <v>43</v>
      </c>
      <c r="N160" s="92" t="s">
        <v>3</v>
      </c>
      <c r="O160" s="92" t="s">
        <v>1632</v>
      </c>
      <c r="P160" s="19" t="s">
        <v>1732</v>
      </c>
      <c r="Q160" s="92"/>
      <c r="R160" s="19" t="s">
        <v>1808</v>
      </c>
    </row>
    <row r="161" spans="2:18" x14ac:dyDescent="0.25">
      <c r="B161" s="151"/>
      <c r="C161" s="151"/>
      <c r="D161" s="92">
        <v>154</v>
      </c>
      <c r="E161" s="19" t="s">
        <v>276</v>
      </c>
      <c r="F161" s="92" t="s">
        <v>18</v>
      </c>
      <c r="G161" s="92" t="s">
        <v>277</v>
      </c>
      <c r="H161" s="92" t="s">
        <v>1</v>
      </c>
      <c r="I161" s="92" t="s">
        <v>15</v>
      </c>
      <c r="J161" s="19"/>
      <c r="K161" s="58">
        <v>31813</v>
      </c>
      <c r="L161" s="59">
        <f t="shared" si="5"/>
        <v>1987</v>
      </c>
      <c r="M161" s="59">
        <f t="shared" si="4"/>
        <v>32</v>
      </c>
      <c r="N161" s="92" t="s">
        <v>3</v>
      </c>
      <c r="O161" s="92"/>
      <c r="P161" s="19" t="s">
        <v>2102</v>
      </c>
      <c r="Q161" s="92"/>
      <c r="R161" s="19" t="s">
        <v>54</v>
      </c>
    </row>
    <row r="162" spans="2:18" ht="25.5" x14ac:dyDescent="0.25">
      <c r="B162" s="152">
        <v>42</v>
      </c>
      <c r="C162" s="152"/>
      <c r="D162" s="92">
        <v>155</v>
      </c>
      <c r="E162" s="19" t="s">
        <v>278</v>
      </c>
      <c r="F162" s="92" t="s">
        <v>7</v>
      </c>
      <c r="G162" s="92" t="s">
        <v>279</v>
      </c>
      <c r="H162" s="92" t="s">
        <v>1</v>
      </c>
      <c r="I162" s="92" t="s">
        <v>15</v>
      </c>
      <c r="J162" s="19"/>
      <c r="K162" s="58">
        <v>30316</v>
      </c>
      <c r="L162" s="59">
        <f t="shared" si="5"/>
        <v>1982</v>
      </c>
      <c r="M162" s="59">
        <f>2019-L162</f>
        <v>37</v>
      </c>
      <c r="N162" s="92" t="s">
        <v>3</v>
      </c>
      <c r="O162" s="92"/>
      <c r="P162" s="19" t="s">
        <v>4</v>
      </c>
      <c r="Q162" s="92"/>
      <c r="R162" s="19" t="s">
        <v>54</v>
      </c>
    </row>
    <row r="163" spans="2:18" x14ac:dyDescent="0.25">
      <c r="B163" s="153"/>
      <c r="C163" s="153"/>
      <c r="D163" s="92">
        <v>156</v>
      </c>
      <c r="E163" s="19" t="s">
        <v>280</v>
      </c>
      <c r="F163" s="92" t="s">
        <v>12</v>
      </c>
      <c r="G163" s="92" t="s">
        <v>281</v>
      </c>
      <c r="H163" s="92" t="s">
        <v>10</v>
      </c>
      <c r="I163" s="92" t="s">
        <v>15</v>
      </c>
      <c r="J163" s="19"/>
      <c r="K163" s="58">
        <v>32161</v>
      </c>
      <c r="L163" s="59">
        <f t="shared" si="5"/>
        <v>1988</v>
      </c>
      <c r="M163" s="59">
        <f t="shared" si="4"/>
        <v>31</v>
      </c>
      <c r="N163" s="92" t="s">
        <v>3</v>
      </c>
      <c r="O163" s="92"/>
      <c r="P163" s="19" t="s">
        <v>4</v>
      </c>
      <c r="Q163" s="92"/>
      <c r="R163" s="19" t="s">
        <v>16</v>
      </c>
    </row>
    <row r="164" spans="2:18" x14ac:dyDescent="0.25">
      <c r="B164" s="154"/>
      <c r="C164" s="154"/>
      <c r="D164" s="92">
        <v>157</v>
      </c>
      <c r="E164" s="19" t="s">
        <v>282</v>
      </c>
      <c r="F164" s="92" t="s">
        <v>18</v>
      </c>
      <c r="G164" s="92" t="s">
        <v>283</v>
      </c>
      <c r="H164" s="92" t="s">
        <v>1</v>
      </c>
      <c r="I164" s="92" t="s">
        <v>15</v>
      </c>
      <c r="J164" s="19"/>
      <c r="K164" s="58">
        <v>41793</v>
      </c>
      <c r="L164" s="59">
        <f t="shared" si="5"/>
        <v>2014</v>
      </c>
      <c r="M164" s="59">
        <f t="shared" si="4"/>
        <v>5</v>
      </c>
      <c r="N164" s="92" t="s">
        <v>3</v>
      </c>
      <c r="O164" s="92"/>
      <c r="P164" s="19" t="s">
        <v>16</v>
      </c>
      <c r="Q164" s="92"/>
      <c r="R164" s="19" t="s">
        <v>16</v>
      </c>
    </row>
    <row r="165" spans="2:18" ht="25.5" x14ac:dyDescent="0.25">
      <c r="B165" s="152">
        <v>43</v>
      </c>
      <c r="C165" s="152" t="s">
        <v>2415</v>
      </c>
      <c r="D165" s="92">
        <v>158</v>
      </c>
      <c r="E165" s="19" t="s">
        <v>1308</v>
      </c>
      <c r="F165" s="92" t="s">
        <v>7</v>
      </c>
      <c r="G165" s="92" t="s">
        <v>284</v>
      </c>
      <c r="H165" s="92" t="s">
        <v>1</v>
      </c>
      <c r="I165" s="92" t="s">
        <v>2</v>
      </c>
      <c r="J165" s="19" t="s">
        <v>1631</v>
      </c>
      <c r="K165" s="58">
        <v>21922</v>
      </c>
      <c r="L165" s="59">
        <f t="shared" si="5"/>
        <v>1960</v>
      </c>
      <c r="M165" s="59">
        <f t="shared" si="4"/>
        <v>59</v>
      </c>
      <c r="N165" s="92" t="s">
        <v>3</v>
      </c>
      <c r="O165" s="92" t="s">
        <v>1723</v>
      </c>
      <c r="P165" s="19" t="s">
        <v>1733</v>
      </c>
      <c r="Q165" s="92"/>
      <c r="R165" s="19" t="s">
        <v>1710</v>
      </c>
    </row>
    <row r="166" spans="2:18" ht="25.5" x14ac:dyDescent="0.25">
      <c r="B166" s="153"/>
      <c r="C166" s="153"/>
      <c r="D166" s="92">
        <v>159</v>
      </c>
      <c r="E166" s="19" t="s">
        <v>285</v>
      </c>
      <c r="F166" s="92" t="s">
        <v>12</v>
      </c>
      <c r="G166" s="92" t="s">
        <v>286</v>
      </c>
      <c r="H166" s="92" t="s">
        <v>10</v>
      </c>
      <c r="I166" s="92" t="s">
        <v>2</v>
      </c>
      <c r="J166" s="19" t="s">
        <v>1631</v>
      </c>
      <c r="K166" s="58">
        <v>22288</v>
      </c>
      <c r="L166" s="59">
        <f t="shared" si="5"/>
        <v>1961</v>
      </c>
      <c r="M166" s="59">
        <f t="shared" si="4"/>
        <v>58</v>
      </c>
      <c r="N166" s="92" t="s">
        <v>3</v>
      </c>
      <c r="O166" s="92" t="s">
        <v>1632</v>
      </c>
      <c r="P166" s="19" t="s">
        <v>1733</v>
      </c>
      <c r="Q166" s="92"/>
      <c r="R166" s="19" t="s">
        <v>1710</v>
      </c>
    </row>
    <row r="167" spans="2:18" ht="25.5" x14ac:dyDescent="0.25">
      <c r="B167" s="154"/>
      <c r="C167" s="154"/>
      <c r="D167" s="92">
        <v>160</v>
      </c>
      <c r="E167" s="19" t="s">
        <v>1510</v>
      </c>
      <c r="F167" s="92" t="s">
        <v>1974</v>
      </c>
      <c r="G167" s="92" t="s">
        <v>2416</v>
      </c>
      <c r="H167" s="92" t="s">
        <v>10</v>
      </c>
      <c r="I167" s="92" t="s">
        <v>15</v>
      </c>
      <c r="J167" s="19" t="s">
        <v>1631</v>
      </c>
      <c r="K167" s="58">
        <v>38478</v>
      </c>
      <c r="L167" s="59">
        <f t="shared" si="5"/>
        <v>2005</v>
      </c>
      <c r="M167" s="59">
        <f t="shared" si="4"/>
        <v>14</v>
      </c>
      <c r="N167" s="92" t="s">
        <v>3</v>
      </c>
      <c r="O167" s="92" t="s">
        <v>1723</v>
      </c>
      <c r="P167" s="19" t="s">
        <v>1733</v>
      </c>
      <c r="Q167" s="92"/>
      <c r="R167" s="19" t="s">
        <v>1625</v>
      </c>
    </row>
    <row r="168" spans="2:18" ht="25.5" x14ac:dyDescent="0.25">
      <c r="B168" s="151">
        <v>44</v>
      </c>
      <c r="C168" s="151" t="s">
        <v>2089</v>
      </c>
      <c r="D168" s="92">
        <v>161</v>
      </c>
      <c r="E168" s="19" t="s">
        <v>287</v>
      </c>
      <c r="F168" s="92" t="s">
        <v>7</v>
      </c>
      <c r="G168" s="92" t="s">
        <v>288</v>
      </c>
      <c r="H168" s="92" t="s">
        <v>10</v>
      </c>
      <c r="I168" s="92" t="s">
        <v>1983</v>
      </c>
      <c r="J168" s="19" t="s">
        <v>1631</v>
      </c>
      <c r="K168" s="58">
        <v>26798</v>
      </c>
      <c r="L168" s="59">
        <f t="shared" si="5"/>
        <v>1973</v>
      </c>
      <c r="M168" s="59">
        <f t="shared" si="4"/>
        <v>46</v>
      </c>
      <c r="N168" s="92" t="s">
        <v>3</v>
      </c>
      <c r="O168" s="92" t="s">
        <v>1632</v>
      </c>
      <c r="P168" s="19" t="s">
        <v>1732</v>
      </c>
      <c r="Q168" s="92"/>
      <c r="R168" s="19" t="s">
        <v>39</v>
      </c>
    </row>
    <row r="169" spans="2:18" ht="25.5" x14ac:dyDescent="0.25">
      <c r="B169" s="151"/>
      <c r="C169" s="151"/>
      <c r="D169" s="92">
        <v>162</v>
      </c>
      <c r="E169" s="19" t="s">
        <v>289</v>
      </c>
      <c r="F169" s="92" t="s">
        <v>18</v>
      </c>
      <c r="G169" s="92" t="s">
        <v>290</v>
      </c>
      <c r="H169" s="92" t="s">
        <v>1</v>
      </c>
      <c r="I169" s="92" t="s">
        <v>15</v>
      </c>
      <c r="J169" s="19" t="s">
        <v>1631</v>
      </c>
      <c r="K169" s="58">
        <v>32944</v>
      </c>
      <c r="L169" s="59">
        <f t="shared" si="5"/>
        <v>1990</v>
      </c>
      <c r="M169" s="59">
        <f t="shared" si="4"/>
        <v>29</v>
      </c>
      <c r="N169" s="92" t="s">
        <v>3</v>
      </c>
      <c r="O169" s="92" t="s">
        <v>1632</v>
      </c>
      <c r="P169" s="19" t="s">
        <v>1677</v>
      </c>
      <c r="Q169" s="92"/>
      <c r="R169" s="19" t="s">
        <v>1625</v>
      </c>
    </row>
    <row r="170" spans="2:18" ht="25.5" x14ac:dyDescent="0.25">
      <c r="B170" s="151">
        <v>45</v>
      </c>
      <c r="C170" s="151" t="s">
        <v>2082</v>
      </c>
      <c r="D170" s="92">
        <v>163</v>
      </c>
      <c r="E170" s="19" t="s">
        <v>291</v>
      </c>
      <c r="F170" s="92" t="s">
        <v>7</v>
      </c>
      <c r="G170" s="92" t="s">
        <v>2084</v>
      </c>
      <c r="H170" s="92" t="s">
        <v>10</v>
      </c>
      <c r="I170" s="92" t="s">
        <v>1735</v>
      </c>
      <c r="J170" s="19" t="s">
        <v>1631</v>
      </c>
      <c r="K170" s="58">
        <v>25575</v>
      </c>
      <c r="L170" s="59">
        <f t="shared" si="5"/>
        <v>1970</v>
      </c>
      <c r="M170" s="59">
        <f t="shared" si="4"/>
        <v>49</v>
      </c>
      <c r="N170" s="92" t="s">
        <v>3</v>
      </c>
      <c r="O170" s="92" t="s">
        <v>1632</v>
      </c>
      <c r="P170" s="19" t="s">
        <v>1635</v>
      </c>
      <c r="Q170" s="92"/>
      <c r="R170" s="19" t="s">
        <v>43</v>
      </c>
    </row>
    <row r="171" spans="2:18" ht="25.5" x14ac:dyDescent="0.25">
      <c r="B171" s="151"/>
      <c r="C171" s="151"/>
      <c r="D171" s="92">
        <v>164</v>
      </c>
      <c r="E171" s="19" t="s">
        <v>292</v>
      </c>
      <c r="F171" s="92" t="s">
        <v>18</v>
      </c>
      <c r="G171" s="92" t="s">
        <v>2085</v>
      </c>
      <c r="H171" s="92" t="s">
        <v>1</v>
      </c>
      <c r="I171" s="92" t="s">
        <v>15</v>
      </c>
      <c r="J171" s="19" t="s">
        <v>1631</v>
      </c>
      <c r="K171" s="58">
        <v>33805</v>
      </c>
      <c r="L171" s="59">
        <f t="shared" si="5"/>
        <v>1992</v>
      </c>
      <c r="M171" s="59">
        <f t="shared" si="4"/>
        <v>27</v>
      </c>
      <c r="N171" s="92" t="s">
        <v>3</v>
      </c>
      <c r="O171" s="92" t="s">
        <v>1632</v>
      </c>
      <c r="P171" s="19" t="s">
        <v>1641</v>
      </c>
      <c r="Q171" s="92"/>
      <c r="R171" s="19" t="s">
        <v>1638</v>
      </c>
    </row>
    <row r="172" spans="2:18" ht="25.5" x14ac:dyDescent="0.25">
      <c r="B172" s="151"/>
      <c r="C172" s="151"/>
      <c r="D172" s="92">
        <v>165</v>
      </c>
      <c r="E172" s="19" t="s">
        <v>2083</v>
      </c>
      <c r="F172" s="92" t="s">
        <v>18</v>
      </c>
      <c r="G172" s="92" t="s">
        <v>2086</v>
      </c>
      <c r="H172" s="92" t="s">
        <v>10</v>
      </c>
      <c r="I172" s="92" t="s">
        <v>15</v>
      </c>
      <c r="J172" s="19" t="s">
        <v>1631</v>
      </c>
      <c r="K172" s="58">
        <v>34431</v>
      </c>
      <c r="L172" s="59">
        <f t="shared" si="5"/>
        <v>1994</v>
      </c>
      <c r="M172" s="59">
        <f t="shared" si="4"/>
        <v>25</v>
      </c>
      <c r="N172" s="92" t="s">
        <v>3</v>
      </c>
      <c r="O172" s="92" t="s">
        <v>1632</v>
      </c>
      <c r="P172" s="19" t="s">
        <v>1641</v>
      </c>
      <c r="Q172" s="92"/>
      <c r="R172" s="19" t="s">
        <v>1625</v>
      </c>
    </row>
    <row r="173" spans="2:18" x14ac:dyDescent="0.25">
      <c r="B173" s="151"/>
      <c r="C173" s="151"/>
      <c r="D173" s="92">
        <v>166</v>
      </c>
      <c r="E173" s="19" t="s">
        <v>293</v>
      </c>
      <c r="F173" s="92" t="s">
        <v>18</v>
      </c>
      <c r="G173" s="92" t="s">
        <v>2087</v>
      </c>
      <c r="H173" s="92" t="s">
        <v>1</v>
      </c>
      <c r="I173" s="92" t="s">
        <v>15</v>
      </c>
      <c r="J173" s="19" t="s">
        <v>1623</v>
      </c>
      <c r="K173" s="58">
        <v>35943</v>
      </c>
      <c r="L173" s="59">
        <f t="shared" si="5"/>
        <v>1998</v>
      </c>
      <c r="M173" s="59">
        <f t="shared" si="4"/>
        <v>21</v>
      </c>
      <c r="N173" s="92" t="s">
        <v>3</v>
      </c>
      <c r="O173" s="92" t="s">
        <v>1632</v>
      </c>
      <c r="P173" s="19" t="s">
        <v>1641</v>
      </c>
      <c r="Q173" s="92"/>
      <c r="R173" s="19" t="s">
        <v>1625</v>
      </c>
    </row>
    <row r="174" spans="2:18" ht="25.5" x14ac:dyDescent="0.25">
      <c r="B174" s="151"/>
      <c r="C174" s="151"/>
      <c r="D174" s="92">
        <v>167</v>
      </c>
      <c r="E174" s="19" t="s">
        <v>294</v>
      </c>
      <c r="F174" s="92" t="s">
        <v>18</v>
      </c>
      <c r="G174" s="92" t="s">
        <v>2088</v>
      </c>
      <c r="H174" s="92" t="s">
        <v>10</v>
      </c>
      <c r="I174" s="92" t="s">
        <v>15</v>
      </c>
      <c r="J174" s="19" t="s">
        <v>1631</v>
      </c>
      <c r="K174" s="58">
        <v>40885</v>
      </c>
      <c r="L174" s="59">
        <f t="shared" si="5"/>
        <v>2011</v>
      </c>
      <c r="M174" s="59">
        <f t="shared" si="4"/>
        <v>8</v>
      </c>
      <c r="N174" s="92" t="s">
        <v>3</v>
      </c>
      <c r="O174" s="92" t="s">
        <v>1632</v>
      </c>
      <c r="P174" s="19" t="s">
        <v>1733</v>
      </c>
      <c r="Q174" s="92"/>
      <c r="R174" s="19" t="s">
        <v>1638</v>
      </c>
    </row>
    <row r="175" spans="2:18" x14ac:dyDescent="0.25">
      <c r="B175" s="151">
        <v>46</v>
      </c>
      <c r="C175" s="151" t="s">
        <v>1867</v>
      </c>
      <c r="D175" s="92">
        <v>168</v>
      </c>
      <c r="E175" s="19" t="s">
        <v>295</v>
      </c>
      <c r="F175" s="92" t="s">
        <v>7</v>
      </c>
      <c r="G175" s="92" t="s">
        <v>296</v>
      </c>
      <c r="H175" s="92" t="s">
        <v>1</v>
      </c>
      <c r="I175" s="92" t="s">
        <v>2</v>
      </c>
      <c r="J175" s="19" t="s">
        <v>1868</v>
      </c>
      <c r="K175" s="58">
        <v>25933</v>
      </c>
      <c r="L175" s="59">
        <f t="shared" si="5"/>
        <v>1970</v>
      </c>
      <c r="M175" s="59">
        <f t="shared" si="4"/>
        <v>49</v>
      </c>
      <c r="N175" s="92" t="s">
        <v>3</v>
      </c>
      <c r="O175" s="92" t="s">
        <v>1632</v>
      </c>
      <c r="P175" s="19" t="s">
        <v>1732</v>
      </c>
      <c r="Q175" s="92"/>
      <c r="R175" s="19" t="s">
        <v>39</v>
      </c>
    </row>
    <row r="176" spans="2:18" ht="25.5" x14ac:dyDescent="0.25">
      <c r="B176" s="151"/>
      <c r="C176" s="151"/>
      <c r="D176" s="92">
        <v>169</v>
      </c>
      <c r="E176" s="19" t="s">
        <v>297</v>
      </c>
      <c r="F176" s="92" t="s">
        <v>12</v>
      </c>
      <c r="G176" s="92" t="s">
        <v>298</v>
      </c>
      <c r="H176" s="92" t="s">
        <v>10</v>
      </c>
      <c r="I176" s="92" t="s">
        <v>2</v>
      </c>
      <c r="J176" s="19" t="s">
        <v>1623</v>
      </c>
      <c r="K176" s="58">
        <v>28125</v>
      </c>
      <c r="L176" s="59">
        <f t="shared" si="5"/>
        <v>1976</v>
      </c>
      <c r="M176" s="59">
        <f t="shared" si="4"/>
        <v>43</v>
      </c>
      <c r="N176" s="92" t="s">
        <v>3</v>
      </c>
      <c r="O176" s="92" t="s">
        <v>1632</v>
      </c>
      <c r="P176" s="19" t="s">
        <v>1635</v>
      </c>
      <c r="Q176" s="92"/>
      <c r="R176" s="19" t="s">
        <v>39</v>
      </c>
    </row>
    <row r="177" spans="2:18" ht="25.5" x14ac:dyDescent="0.25">
      <c r="B177" s="151"/>
      <c r="C177" s="151"/>
      <c r="D177" s="92">
        <v>170</v>
      </c>
      <c r="E177" s="19" t="s">
        <v>299</v>
      </c>
      <c r="F177" s="92" t="s">
        <v>18</v>
      </c>
      <c r="G177" s="92" t="s">
        <v>300</v>
      </c>
      <c r="H177" s="92" t="s">
        <v>1</v>
      </c>
      <c r="I177" s="92" t="s">
        <v>15</v>
      </c>
      <c r="J177" s="19" t="s">
        <v>1623</v>
      </c>
      <c r="K177" s="58">
        <v>33618</v>
      </c>
      <c r="L177" s="59">
        <f t="shared" si="5"/>
        <v>1992</v>
      </c>
      <c r="M177" s="59">
        <f t="shared" si="4"/>
        <v>27</v>
      </c>
      <c r="N177" s="92" t="s">
        <v>3</v>
      </c>
      <c r="O177" s="92" t="s">
        <v>1632</v>
      </c>
      <c r="P177" s="19" t="s">
        <v>1677</v>
      </c>
      <c r="Q177" s="92"/>
      <c r="R177" s="19" t="s">
        <v>39</v>
      </c>
    </row>
    <row r="178" spans="2:18" x14ac:dyDescent="0.25">
      <c r="B178" s="152">
        <v>47</v>
      </c>
      <c r="C178" s="152"/>
      <c r="D178" s="92">
        <v>171</v>
      </c>
      <c r="E178" s="19" t="s">
        <v>301</v>
      </c>
      <c r="F178" s="92" t="s">
        <v>7</v>
      </c>
      <c r="G178" s="92" t="s">
        <v>302</v>
      </c>
      <c r="H178" s="92" t="s">
        <v>1</v>
      </c>
      <c r="I178" s="92" t="s">
        <v>2</v>
      </c>
      <c r="J178" s="19"/>
      <c r="K178" s="58">
        <v>27379</v>
      </c>
      <c r="L178" s="59">
        <f t="shared" si="5"/>
        <v>1974</v>
      </c>
      <c r="M178" s="59">
        <f t="shared" si="4"/>
        <v>45</v>
      </c>
      <c r="N178" s="92" t="s">
        <v>3</v>
      </c>
      <c r="O178" s="92"/>
      <c r="P178" s="19" t="s">
        <v>27</v>
      </c>
      <c r="Q178" s="92"/>
      <c r="R178" s="19" t="s">
        <v>37</v>
      </c>
    </row>
    <row r="179" spans="2:18" x14ac:dyDescent="0.25">
      <c r="B179" s="153"/>
      <c r="C179" s="153"/>
      <c r="D179" s="92">
        <v>172</v>
      </c>
      <c r="E179" s="19" t="s">
        <v>303</v>
      </c>
      <c r="F179" s="92" t="s">
        <v>12</v>
      </c>
      <c r="G179" s="92" t="s">
        <v>304</v>
      </c>
      <c r="H179" s="92" t="s">
        <v>10</v>
      </c>
      <c r="I179" s="92" t="s">
        <v>2</v>
      </c>
      <c r="J179" s="19"/>
      <c r="K179" s="58">
        <v>27837</v>
      </c>
      <c r="L179" s="59">
        <f t="shared" si="5"/>
        <v>1976</v>
      </c>
      <c r="M179" s="59">
        <f t="shared" si="4"/>
        <v>43</v>
      </c>
      <c r="N179" s="92" t="s">
        <v>3</v>
      </c>
      <c r="O179" s="92"/>
      <c r="P179" s="19" t="s">
        <v>27</v>
      </c>
      <c r="Q179" s="92"/>
      <c r="R179" s="19" t="s">
        <v>43</v>
      </c>
    </row>
    <row r="180" spans="2:18" ht="25.5" x14ac:dyDescent="0.25">
      <c r="B180" s="153"/>
      <c r="C180" s="153"/>
      <c r="D180" s="92">
        <v>173</v>
      </c>
      <c r="E180" s="19" t="s">
        <v>305</v>
      </c>
      <c r="F180" s="92" t="s">
        <v>18</v>
      </c>
      <c r="G180" s="92" t="s">
        <v>306</v>
      </c>
      <c r="H180" s="92" t="s">
        <v>10</v>
      </c>
      <c r="I180" s="92" t="s">
        <v>15</v>
      </c>
      <c r="J180" s="19"/>
      <c r="K180" s="58">
        <v>34823</v>
      </c>
      <c r="L180" s="59">
        <f t="shared" si="5"/>
        <v>1995</v>
      </c>
      <c r="M180" s="59">
        <f t="shared" si="4"/>
        <v>24</v>
      </c>
      <c r="N180" s="92" t="s">
        <v>3</v>
      </c>
      <c r="O180" s="92"/>
      <c r="P180" s="19" t="s">
        <v>27</v>
      </c>
      <c r="Q180" s="92"/>
      <c r="R180" s="19" t="s">
        <v>16</v>
      </c>
    </row>
    <row r="181" spans="2:18" x14ac:dyDescent="0.25">
      <c r="B181" s="153"/>
      <c r="C181" s="153"/>
      <c r="D181" s="92">
        <v>174</v>
      </c>
      <c r="E181" s="19" t="s">
        <v>307</v>
      </c>
      <c r="F181" s="92" t="s">
        <v>18</v>
      </c>
      <c r="G181" s="92" t="s">
        <v>308</v>
      </c>
      <c r="H181" s="92" t="s">
        <v>1</v>
      </c>
      <c r="I181" s="92" t="s">
        <v>15</v>
      </c>
      <c r="J181" s="19"/>
      <c r="K181" s="58">
        <v>36252</v>
      </c>
      <c r="L181" s="59">
        <f t="shared" si="5"/>
        <v>1999</v>
      </c>
      <c r="M181" s="59">
        <f t="shared" si="4"/>
        <v>20</v>
      </c>
      <c r="N181" s="92" t="s">
        <v>3</v>
      </c>
      <c r="O181" s="92"/>
      <c r="P181" s="19" t="s">
        <v>35</v>
      </c>
      <c r="Q181" s="92"/>
      <c r="R181" s="19" t="s">
        <v>16</v>
      </c>
    </row>
    <row r="182" spans="2:18" x14ac:dyDescent="0.25">
      <c r="B182" s="154"/>
      <c r="C182" s="154"/>
      <c r="D182" s="92">
        <v>175</v>
      </c>
      <c r="E182" s="19" t="s">
        <v>309</v>
      </c>
      <c r="F182" s="92" t="s">
        <v>18</v>
      </c>
      <c r="G182" s="92" t="s">
        <v>310</v>
      </c>
      <c r="H182" s="92" t="s">
        <v>10</v>
      </c>
      <c r="I182" s="92" t="s">
        <v>15</v>
      </c>
      <c r="J182" s="19"/>
      <c r="K182" s="58">
        <v>37855</v>
      </c>
      <c r="L182" s="59">
        <f t="shared" si="5"/>
        <v>2003</v>
      </c>
      <c r="M182" s="59">
        <f t="shared" si="4"/>
        <v>16</v>
      </c>
      <c r="N182" s="92" t="s">
        <v>3</v>
      </c>
      <c r="O182" s="92"/>
      <c r="P182" s="19" t="s">
        <v>16</v>
      </c>
      <c r="Q182" s="92"/>
      <c r="R182" s="19" t="s">
        <v>16</v>
      </c>
    </row>
    <row r="183" spans="2:18" ht="25.5" x14ac:dyDescent="0.25">
      <c r="B183" s="151">
        <v>48</v>
      </c>
      <c r="C183" s="151" t="s">
        <v>1842</v>
      </c>
      <c r="D183" s="92">
        <v>176</v>
      </c>
      <c r="E183" s="19" t="s">
        <v>311</v>
      </c>
      <c r="F183" s="92" t="s">
        <v>7</v>
      </c>
      <c r="G183" s="92" t="s">
        <v>1843</v>
      </c>
      <c r="H183" s="92" t="s">
        <v>1</v>
      </c>
      <c r="I183" s="92" t="s">
        <v>2</v>
      </c>
      <c r="J183" s="19" t="s">
        <v>1631</v>
      </c>
      <c r="K183" s="58">
        <v>28497</v>
      </c>
      <c r="L183" s="59">
        <f t="shared" si="5"/>
        <v>1978</v>
      </c>
      <c r="M183" s="59">
        <f t="shared" si="4"/>
        <v>41</v>
      </c>
      <c r="N183" s="92" t="s">
        <v>3</v>
      </c>
      <c r="O183" s="92" t="s">
        <v>1632</v>
      </c>
      <c r="P183" s="19" t="s">
        <v>1641</v>
      </c>
      <c r="Q183" s="92"/>
      <c r="R183" s="19" t="s">
        <v>1808</v>
      </c>
    </row>
    <row r="184" spans="2:18" ht="25.5" x14ac:dyDescent="0.25">
      <c r="B184" s="151"/>
      <c r="C184" s="151"/>
      <c r="D184" s="92">
        <v>177</v>
      </c>
      <c r="E184" s="19" t="s">
        <v>312</v>
      </c>
      <c r="F184" s="92" t="s">
        <v>12</v>
      </c>
      <c r="G184" s="92" t="s">
        <v>1844</v>
      </c>
      <c r="H184" s="92" t="s">
        <v>10</v>
      </c>
      <c r="I184" s="92" t="s">
        <v>2</v>
      </c>
      <c r="J184" s="19" t="s">
        <v>1631</v>
      </c>
      <c r="K184" s="58">
        <v>28497</v>
      </c>
      <c r="L184" s="59">
        <f t="shared" si="5"/>
        <v>1978</v>
      </c>
      <c r="M184" s="59">
        <f t="shared" si="4"/>
        <v>41</v>
      </c>
      <c r="N184" s="92" t="s">
        <v>3</v>
      </c>
      <c r="O184" s="92" t="s">
        <v>1632</v>
      </c>
      <c r="P184" s="19" t="s">
        <v>1641</v>
      </c>
      <c r="Q184" s="92"/>
      <c r="R184" s="19" t="s">
        <v>1808</v>
      </c>
    </row>
    <row r="185" spans="2:18" ht="25.5" x14ac:dyDescent="0.25">
      <c r="B185" s="151"/>
      <c r="C185" s="151"/>
      <c r="D185" s="92">
        <v>178</v>
      </c>
      <c r="E185" s="19" t="s">
        <v>313</v>
      </c>
      <c r="F185" s="92" t="s">
        <v>18</v>
      </c>
      <c r="G185" s="92" t="s">
        <v>314</v>
      </c>
      <c r="H185" s="92" t="s">
        <v>1</v>
      </c>
      <c r="I185" s="92" t="s">
        <v>15</v>
      </c>
      <c r="J185" s="19" t="s">
        <v>1631</v>
      </c>
      <c r="K185" s="58">
        <v>36774</v>
      </c>
      <c r="L185" s="59">
        <f t="shared" si="5"/>
        <v>2000</v>
      </c>
      <c r="M185" s="59">
        <f t="shared" si="4"/>
        <v>19</v>
      </c>
      <c r="N185" s="92" t="s">
        <v>3</v>
      </c>
      <c r="O185" s="92" t="s">
        <v>1632</v>
      </c>
      <c r="P185" s="19" t="s">
        <v>1641</v>
      </c>
      <c r="Q185" s="92"/>
      <c r="R185" s="19" t="s">
        <v>1625</v>
      </c>
    </row>
    <row r="186" spans="2:18" ht="25.5" x14ac:dyDescent="0.25">
      <c r="B186" s="152">
        <v>49</v>
      </c>
      <c r="C186" s="152" t="s">
        <v>1969</v>
      </c>
      <c r="D186" s="92">
        <v>179</v>
      </c>
      <c r="E186" s="19" t="s">
        <v>315</v>
      </c>
      <c r="F186" s="92" t="s">
        <v>7</v>
      </c>
      <c r="G186" s="92" t="s">
        <v>1970</v>
      </c>
      <c r="H186" s="92" t="s">
        <v>10</v>
      </c>
      <c r="I186" s="92" t="s">
        <v>1735</v>
      </c>
      <c r="J186" s="19" t="s">
        <v>1631</v>
      </c>
      <c r="K186" s="58">
        <v>23937</v>
      </c>
      <c r="L186" s="59">
        <f t="shared" si="5"/>
        <v>1965</v>
      </c>
      <c r="M186" s="59">
        <f t="shared" si="4"/>
        <v>54</v>
      </c>
      <c r="N186" s="92" t="s">
        <v>3</v>
      </c>
      <c r="O186" s="92" t="s">
        <v>1632</v>
      </c>
      <c r="P186" s="19" t="s">
        <v>1641</v>
      </c>
      <c r="Q186" s="92"/>
      <c r="R186" s="19" t="s">
        <v>1977</v>
      </c>
    </row>
    <row r="187" spans="2:18" ht="25.5" x14ac:dyDescent="0.25">
      <c r="B187" s="153"/>
      <c r="C187" s="153"/>
      <c r="D187" s="92">
        <v>180</v>
      </c>
      <c r="E187" s="19" t="s">
        <v>1972</v>
      </c>
      <c r="F187" s="92" t="s">
        <v>18</v>
      </c>
      <c r="G187" s="92" t="s">
        <v>1971</v>
      </c>
      <c r="H187" s="92" t="s">
        <v>10</v>
      </c>
      <c r="I187" s="92" t="s">
        <v>15</v>
      </c>
      <c r="J187" s="19" t="s">
        <v>1631</v>
      </c>
      <c r="K187" s="58">
        <v>34185</v>
      </c>
      <c r="L187" s="59">
        <f t="shared" si="5"/>
        <v>1993</v>
      </c>
      <c r="M187" s="59">
        <f t="shared" si="4"/>
        <v>26</v>
      </c>
      <c r="N187" s="92" t="s">
        <v>3</v>
      </c>
      <c r="O187" s="92" t="s">
        <v>1632</v>
      </c>
      <c r="P187" s="19" t="s">
        <v>1677</v>
      </c>
      <c r="Q187" s="92"/>
      <c r="R187" s="19" t="s">
        <v>39</v>
      </c>
    </row>
    <row r="188" spans="2:18" ht="25.5" x14ac:dyDescent="0.25">
      <c r="B188" s="153"/>
      <c r="C188" s="153"/>
      <c r="D188" s="92">
        <v>181</v>
      </c>
      <c r="E188" s="19" t="s">
        <v>318</v>
      </c>
      <c r="F188" s="92" t="s">
        <v>18</v>
      </c>
      <c r="G188" s="92" t="s">
        <v>1975</v>
      </c>
      <c r="H188" s="92" t="s">
        <v>1</v>
      </c>
      <c r="I188" s="92" t="s">
        <v>80</v>
      </c>
      <c r="J188" s="19" t="s">
        <v>1631</v>
      </c>
      <c r="K188" s="58">
        <v>34982</v>
      </c>
      <c r="L188" s="59">
        <f t="shared" si="5"/>
        <v>1995</v>
      </c>
      <c r="M188" s="59">
        <f t="shared" si="4"/>
        <v>24</v>
      </c>
      <c r="N188" s="92" t="s">
        <v>3</v>
      </c>
      <c r="O188" s="92" t="s">
        <v>1632</v>
      </c>
      <c r="P188" s="19" t="s">
        <v>1677</v>
      </c>
      <c r="Q188" s="92"/>
      <c r="R188" s="19" t="s">
        <v>1638</v>
      </c>
    </row>
    <row r="189" spans="2:18" ht="25.5" x14ac:dyDescent="0.25">
      <c r="B189" s="153"/>
      <c r="C189" s="153"/>
      <c r="D189" s="92">
        <v>182</v>
      </c>
      <c r="E189" s="19" t="s">
        <v>1973</v>
      </c>
      <c r="F189" s="92" t="s">
        <v>18</v>
      </c>
      <c r="G189" s="92" t="s">
        <v>319</v>
      </c>
      <c r="H189" s="92" t="s">
        <v>10</v>
      </c>
      <c r="I189" s="92" t="s">
        <v>15</v>
      </c>
      <c r="J189" s="19" t="s">
        <v>1631</v>
      </c>
      <c r="K189" s="58">
        <v>35071</v>
      </c>
      <c r="L189" s="59">
        <f t="shared" si="5"/>
        <v>1996</v>
      </c>
      <c r="M189" s="59">
        <f t="shared" si="4"/>
        <v>23</v>
      </c>
      <c r="N189" s="92" t="s">
        <v>3</v>
      </c>
      <c r="O189" s="92" t="s">
        <v>1632</v>
      </c>
      <c r="P189" s="19" t="s">
        <v>1641</v>
      </c>
      <c r="Q189" s="92"/>
      <c r="R189" s="19" t="s">
        <v>1638</v>
      </c>
    </row>
    <row r="190" spans="2:18" ht="25.5" x14ac:dyDescent="0.25">
      <c r="B190" s="154"/>
      <c r="C190" s="154"/>
      <c r="D190" s="92">
        <v>183</v>
      </c>
      <c r="E190" s="19" t="s">
        <v>1332</v>
      </c>
      <c r="F190" s="92" t="s">
        <v>1974</v>
      </c>
      <c r="G190" s="92" t="s">
        <v>1976</v>
      </c>
      <c r="H190" s="92" t="s">
        <v>49</v>
      </c>
      <c r="I190" s="92" t="s">
        <v>15</v>
      </c>
      <c r="J190" s="19" t="s">
        <v>1631</v>
      </c>
      <c r="K190" s="58">
        <v>40794</v>
      </c>
      <c r="L190" s="59">
        <f t="shared" si="5"/>
        <v>2011</v>
      </c>
      <c r="M190" s="59">
        <f t="shared" si="4"/>
        <v>8</v>
      </c>
      <c r="N190" s="92" t="s">
        <v>3</v>
      </c>
      <c r="O190" s="92" t="s">
        <v>1632</v>
      </c>
      <c r="P190" s="19" t="s">
        <v>1733</v>
      </c>
      <c r="Q190" s="92"/>
      <c r="R190" s="19" t="s">
        <v>1638</v>
      </c>
    </row>
    <row r="191" spans="2:18" ht="25.5" x14ac:dyDescent="0.25">
      <c r="B191" s="151">
        <v>50</v>
      </c>
      <c r="C191" s="151" t="s">
        <v>1810</v>
      </c>
      <c r="D191" s="92">
        <v>184</v>
      </c>
      <c r="E191" s="19" t="s">
        <v>320</v>
      </c>
      <c r="F191" s="92" t="s">
        <v>7</v>
      </c>
      <c r="G191" s="92" t="s">
        <v>1811</v>
      </c>
      <c r="H191" s="92" t="s">
        <v>1</v>
      </c>
      <c r="I191" s="92" t="s">
        <v>2</v>
      </c>
      <c r="J191" s="19" t="s">
        <v>1736</v>
      </c>
      <c r="K191" s="58">
        <v>29945</v>
      </c>
      <c r="L191" s="59">
        <f t="shared" si="5"/>
        <v>1981</v>
      </c>
      <c r="M191" s="59">
        <f t="shared" si="4"/>
        <v>38</v>
      </c>
      <c r="N191" s="92" t="s">
        <v>3</v>
      </c>
      <c r="O191" s="92" t="s">
        <v>1632</v>
      </c>
      <c r="P191" s="19" t="s">
        <v>1677</v>
      </c>
      <c r="Q191" s="92"/>
      <c r="R191" s="19" t="s">
        <v>1816</v>
      </c>
    </row>
    <row r="192" spans="2:18" x14ac:dyDescent="0.25">
      <c r="B192" s="151"/>
      <c r="C192" s="151"/>
      <c r="D192" s="92">
        <v>185</v>
      </c>
      <c r="E192" s="19" t="s">
        <v>321</v>
      </c>
      <c r="F192" s="92" t="s">
        <v>12</v>
      </c>
      <c r="G192" s="92" t="s">
        <v>1812</v>
      </c>
      <c r="H192" s="92" t="s">
        <v>10</v>
      </c>
      <c r="I192" s="92" t="s">
        <v>2</v>
      </c>
      <c r="J192" s="19" t="s">
        <v>1815</v>
      </c>
      <c r="K192" s="58">
        <v>32114</v>
      </c>
      <c r="L192" s="59">
        <f t="shared" si="5"/>
        <v>1987</v>
      </c>
      <c r="M192" s="59">
        <f t="shared" si="4"/>
        <v>32</v>
      </c>
      <c r="N192" s="92" t="s">
        <v>3</v>
      </c>
      <c r="O192" s="92" t="s">
        <v>1632</v>
      </c>
      <c r="P192" s="19" t="s">
        <v>1677</v>
      </c>
      <c r="Q192" s="92"/>
      <c r="R192" s="19" t="s">
        <v>1817</v>
      </c>
    </row>
    <row r="193" spans="2:18" ht="25.5" x14ac:dyDescent="0.25">
      <c r="B193" s="151"/>
      <c r="C193" s="151"/>
      <c r="D193" s="92">
        <v>186</v>
      </c>
      <c r="E193" s="19" t="s">
        <v>322</v>
      </c>
      <c r="F193" s="92" t="s">
        <v>18</v>
      </c>
      <c r="G193" s="92" t="s">
        <v>1813</v>
      </c>
      <c r="H193" s="92" t="s">
        <v>1</v>
      </c>
      <c r="I193" s="92" t="s">
        <v>15</v>
      </c>
      <c r="J193" s="19" t="s">
        <v>1623</v>
      </c>
      <c r="K193" s="58">
        <v>39580</v>
      </c>
      <c r="L193" s="59">
        <f t="shared" si="5"/>
        <v>2008</v>
      </c>
      <c r="M193" s="59">
        <f t="shared" si="4"/>
        <v>11</v>
      </c>
      <c r="N193" s="92" t="s">
        <v>3</v>
      </c>
      <c r="O193" s="92" t="s">
        <v>1632</v>
      </c>
      <c r="P193" s="19" t="s">
        <v>1733</v>
      </c>
      <c r="Q193" s="92"/>
      <c r="R193" s="19" t="s">
        <v>1638</v>
      </c>
    </row>
    <row r="194" spans="2:18" ht="25.5" x14ac:dyDescent="0.25">
      <c r="B194" s="151"/>
      <c r="C194" s="151"/>
      <c r="D194" s="92">
        <v>187</v>
      </c>
      <c r="E194" s="19" t="s">
        <v>323</v>
      </c>
      <c r="F194" s="92" t="s">
        <v>18</v>
      </c>
      <c r="G194" s="92" t="s">
        <v>1814</v>
      </c>
      <c r="H194" s="92" t="s">
        <v>1</v>
      </c>
      <c r="I194" s="92" t="s">
        <v>15</v>
      </c>
      <c r="J194" s="19" t="s">
        <v>1623</v>
      </c>
      <c r="K194" s="58">
        <v>39580</v>
      </c>
      <c r="L194" s="59">
        <f t="shared" si="5"/>
        <v>2008</v>
      </c>
      <c r="M194" s="59">
        <f t="shared" si="4"/>
        <v>11</v>
      </c>
      <c r="N194" s="92" t="s">
        <v>3</v>
      </c>
      <c r="O194" s="92" t="s">
        <v>1632</v>
      </c>
      <c r="P194" s="19" t="s">
        <v>1733</v>
      </c>
      <c r="Q194" s="92"/>
      <c r="R194" s="19" t="s">
        <v>1638</v>
      </c>
    </row>
    <row r="195" spans="2:18" x14ac:dyDescent="0.25">
      <c r="B195" s="151">
        <v>51</v>
      </c>
      <c r="C195" s="151"/>
      <c r="D195" s="92">
        <v>188</v>
      </c>
      <c r="E195" s="19" t="s">
        <v>324</v>
      </c>
      <c r="F195" s="92" t="s">
        <v>7</v>
      </c>
      <c r="G195" s="92" t="s">
        <v>325</v>
      </c>
      <c r="H195" s="92" t="s">
        <v>1</v>
      </c>
      <c r="I195" s="92" t="s">
        <v>2</v>
      </c>
      <c r="J195" s="19"/>
      <c r="K195" s="58">
        <v>29421</v>
      </c>
      <c r="L195" s="59">
        <f t="shared" si="5"/>
        <v>1980</v>
      </c>
      <c r="M195" s="59">
        <f t="shared" si="4"/>
        <v>39</v>
      </c>
      <c r="N195" s="92" t="s">
        <v>3</v>
      </c>
      <c r="O195" s="92"/>
      <c r="P195" s="19" t="s">
        <v>46</v>
      </c>
      <c r="Q195" s="92"/>
      <c r="R195" s="19" t="s">
        <v>28</v>
      </c>
    </row>
    <row r="196" spans="2:18" x14ac:dyDescent="0.25">
      <c r="B196" s="151"/>
      <c r="C196" s="151"/>
      <c r="D196" s="92">
        <v>189</v>
      </c>
      <c r="E196" s="19" t="s">
        <v>326</v>
      </c>
      <c r="F196" s="92" t="s">
        <v>12</v>
      </c>
      <c r="G196" s="92" t="s">
        <v>327</v>
      </c>
      <c r="H196" s="92" t="s">
        <v>10</v>
      </c>
      <c r="I196" s="92" t="s">
        <v>2</v>
      </c>
      <c r="J196" s="19"/>
      <c r="K196" s="58">
        <v>31869</v>
      </c>
      <c r="L196" s="59">
        <f t="shared" si="5"/>
        <v>1987</v>
      </c>
      <c r="M196" s="59">
        <f t="shared" si="4"/>
        <v>32</v>
      </c>
      <c r="N196" s="92" t="s">
        <v>3</v>
      </c>
      <c r="O196" s="92"/>
      <c r="P196" s="19" t="s">
        <v>35</v>
      </c>
      <c r="Q196" s="92"/>
      <c r="R196" s="19" t="s">
        <v>16</v>
      </c>
    </row>
    <row r="197" spans="2:18" ht="25.5" x14ac:dyDescent="0.25">
      <c r="B197" s="151"/>
      <c r="C197" s="151"/>
      <c r="D197" s="92">
        <v>190</v>
      </c>
      <c r="E197" s="19" t="s">
        <v>328</v>
      </c>
      <c r="F197" s="92" t="s">
        <v>18</v>
      </c>
      <c r="G197" s="92" t="s">
        <v>329</v>
      </c>
      <c r="H197" s="92" t="s">
        <v>1</v>
      </c>
      <c r="I197" s="92" t="s">
        <v>15</v>
      </c>
      <c r="J197" s="19"/>
      <c r="K197" s="58">
        <v>40314</v>
      </c>
      <c r="L197" s="59">
        <f t="shared" si="5"/>
        <v>2010</v>
      </c>
      <c r="M197" s="59">
        <f t="shared" si="4"/>
        <v>9</v>
      </c>
      <c r="N197" s="92" t="s">
        <v>3</v>
      </c>
      <c r="O197" s="92"/>
      <c r="P197" s="19" t="s">
        <v>16</v>
      </c>
      <c r="Q197" s="92"/>
      <c r="R197" s="19" t="s">
        <v>16</v>
      </c>
    </row>
    <row r="198" spans="2:18" x14ac:dyDescent="0.25">
      <c r="B198" s="151"/>
      <c r="C198" s="151"/>
      <c r="D198" s="92">
        <v>191</v>
      </c>
      <c r="E198" s="19" t="s">
        <v>330</v>
      </c>
      <c r="F198" s="92" t="s">
        <v>18</v>
      </c>
      <c r="G198" s="92" t="s">
        <v>331</v>
      </c>
      <c r="H198" s="92" t="s">
        <v>1</v>
      </c>
      <c r="I198" s="92" t="s">
        <v>15</v>
      </c>
      <c r="J198" s="19"/>
      <c r="K198" s="58">
        <v>41893</v>
      </c>
      <c r="L198" s="59">
        <f t="shared" si="5"/>
        <v>2014</v>
      </c>
      <c r="M198" s="59">
        <f t="shared" si="4"/>
        <v>5</v>
      </c>
      <c r="N198" s="92" t="s">
        <v>3</v>
      </c>
      <c r="O198" s="92"/>
      <c r="P198" s="19" t="s">
        <v>16</v>
      </c>
      <c r="Q198" s="92"/>
      <c r="R198" s="19" t="s">
        <v>16</v>
      </c>
    </row>
    <row r="199" spans="2:18" ht="25.5" x14ac:dyDescent="0.25">
      <c r="B199" s="92">
        <v>52</v>
      </c>
      <c r="C199" s="92" t="s">
        <v>1869</v>
      </c>
      <c r="D199" s="92">
        <v>192</v>
      </c>
      <c r="E199" s="19" t="s">
        <v>332</v>
      </c>
      <c r="F199" s="92" t="s">
        <v>7</v>
      </c>
      <c r="G199" s="92" t="s">
        <v>333</v>
      </c>
      <c r="H199" s="92" t="s">
        <v>10</v>
      </c>
      <c r="I199" s="92" t="s">
        <v>1735</v>
      </c>
      <c r="J199" s="19" t="s">
        <v>1631</v>
      </c>
      <c r="K199" s="58">
        <v>21922</v>
      </c>
      <c r="L199" s="59">
        <f t="shared" si="5"/>
        <v>1960</v>
      </c>
      <c r="M199" s="59">
        <f t="shared" si="4"/>
        <v>59</v>
      </c>
      <c r="N199" s="92" t="s">
        <v>3</v>
      </c>
      <c r="O199" s="92" t="s">
        <v>1632</v>
      </c>
      <c r="P199" s="19" t="s">
        <v>1733</v>
      </c>
      <c r="Q199" s="92"/>
      <c r="R199" s="19" t="s">
        <v>1808</v>
      </c>
    </row>
    <row r="200" spans="2:18" ht="25.5" x14ac:dyDescent="0.25">
      <c r="B200" s="151">
        <v>53</v>
      </c>
      <c r="C200" s="151" t="s">
        <v>1804</v>
      </c>
      <c r="D200" s="92">
        <v>193</v>
      </c>
      <c r="E200" s="19" t="s">
        <v>334</v>
      </c>
      <c r="F200" s="92" t="s">
        <v>7</v>
      </c>
      <c r="G200" s="92" t="s">
        <v>335</v>
      </c>
      <c r="H200" s="92" t="s">
        <v>1</v>
      </c>
      <c r="I200" s="92" t="s">
        <v>2</v>
      </c>
      <c r="J200" s="19" t="s">
        <v>1631</v>
      </c>
      <c r="K200" s="58">
        <v>26298</v>
      </c>
      <c r="L200" s="59">
        <f t="shared" si="5"/>
        <v>1971</v>
      </c>
      <c r="M200" s="59">
        <f t="shared" si="4"/>
        <v>48</v>
      </c>
      <c r="N200" s="92" t="s">
        <v>3</v>
      </c>
      <c r="O200" s="92" t="s">
        <v>1632</v>
      </c>
      <c r="P200" s="19" t="s">
        <v>1641</v>
      </c>
      <c r="Q200" s="92"/>
      <c r="R200" s="19" t="s">
        <v>1808</v>
      </c>
    </row>
    <row r="201" spans="2:18" ht="25.5" x14ac:dyDescent="0.25">
      <c r="B201" s="151"/>
      <c r="C201" s="151"/>
      <c r="D201" s="92">
        <v>194</v>
      </c>
      <c r="E201" s="19" t="s">
        <v>336</v>
      </c>
      <c r="F201" s="92" t="s">
        <v>12</v>
      </c>
      <c r="G201" s="92" t="s">
        <v>337</v>
      </c>
      <c r="H201" s="92" t="s">
        <v>10</v>
      </c>
      <c r="I201" s="92" t="s">
        <v>2</v>
      </c>
      <c r="J201" s="19" t="s">
        <v>1631</v>
      </c>
      <c r="K201" s="58">
        <v>27652</v>
      </c>
      <c r="L201" s="59">
        <f t="shared" ref="L201:L238" si="6">YEAR(K201)</f>
        <v>1975</v>
      </c>
      <c r="M201" s="59">
        <f t="shared" ref="M201:M221" si="7">2019-L201</f>
        <v>44</v>
      </c>
      <c r="N201" s="92" t="s">
        <v>3</v>
      </c>
      <c r="O201" s="92" t="s">
        <v>1632</v>
      </c>
      <c r="P201" s="19" t="s">
        <v>1677</v>
      </c>
      <c r="Q201" s="92"/>
      <c r="R201" s="19" t="s">
        <v>1809</v>
      </c>
    </row>
    <row r="202" spans="2:18" ht="25.5" x14ac:dyDescent="0.25">
      <c r="B202" s="151"/>
      <c r="C202" s="151"/>
      <c r="D202" s="92">
        <v>195</v>
      </c>
      <c r="E202" s="19" t="s">
        <v>338</v>
      </c>
      <c r="F202" s="92" t="s">
        <v>18</v>
      </c>
      <c r="G202" s="92" t="s">
        <v>1806</v>
      </c>
      <c r="H202" s="92" t="s">
        <v>1</v>
      </c>
      <c r="I202" s="92" t="s">
        <v>15</v>
      </c>
      <c r="J202" s="19" t="s">
        <v>1631</v>
      </c>
      <c r="K202" s="58">
        <v>34396</v>
      </c>
      <c r="L202" s="59">
        <f t="shared" si="6"/>
        <v>1994</v>
      </c>
      <c r="M202" s="59">
        <f t="shared" si="7"/>
        <v>25</v>
      </c>
      <c r="N202" s="92" t="s">
        <v>3</v>
      </c>
      <c r="O202" s="92" t="s">
        <v>1632</v>
      </c>
      <c r="P202" s="19" t="s">
        <v>1677</v>
      </c>
      <c r="Q202" s="92"/>
      <c r="R202" s="19" t="s">
        <v>39</v>
      </c>
    </row>
    <row r="203" spans="2:18" ht="25.5" x14ac:dyDescent="0.25">
      <c r="B203" s="151"/>
      <c r="C203" s="151"/>
      <c r="D203" s="92">
        <v>196</v>
      </c>
      <c r="E203" s="19" t="s">
        <v>1805</v>
      </c>
      <c r="F203" s="92" t="s">
        <v>18</v>
      </c>
      <c r="G203" s="92" t="s">
        <v>339</v>
      </c>
      <c r="H203" s="92" t="s">
        <v>1</v>
      </c>
      <c r="I203" s="92" t="s">
        <v>15</v>
      </c>
      <c r="J203" s="19" t="s">
        <v>1631</v>
      </c>
      <c r="K203" s="58">
        <v>35068</v>
      </c>
      <c r="L203" s="59">
        <f t="shared" si="6"/>
        <v>1996</v>
      </c>
      <c r="M203" s="59">
        <f t="shared" si="7"/>
        <v>23</v>
      </c>
      <c r="N203" s="92" t="s">
        <v>3</v>
      </c>
      <c r="O203" s="92" t="s">
        <v>1632</v>
      </c>
      <c r="P203" s="19" t="s">
        <v>1677</v>
      </c>
      <c r="Q203" s="92"/>
      <c r="R203" s="19" t="s">
        <v>1625</v>
      </c>
    </row>
    <row r="204" spans="2:18" ht="25.5" x14ac:dyDescent="0.25">
      <c r="B204" s="151"/>
      <c r="C204" s="151"/>
      <c r="D204" s="92">
        <v>197</v>
      </c>
      <c r="E204" s="19" t="s">
        <v>340</v>
      </c>
      <c r="F204" s="92" t="s">
        <v>18</v>
      </c>
      <c r="G204" s="92" t="s">
        <v>341</v>
      </c>
      <c r="H204" s="92" t="s">
        <v>10</v>
      </c>
      <c r="I204" s="92" t="s">
        <v>15</v>
      </c>
      <c r="J204" s="19" t="s">
        <v>1631</v>
      </c>
      <c r="K204" s="58">
        <v>36783</v>
      </c>
      <c r="L204" s="59">
        <f t="shared" si="6"/>
        <v>2000</v>
      </c>
      <c r="M204" s="59">
        <f t="shared" si="7"/>
        <v>19</v>
      </c>
      <c r="N204" s="92" t="s">
        <v>3</v>
      </c>
      <c r="O204" s="92" t="s">
        <v>1632</v>
      </c>
      <c r="P204" s="19" t="s">
        <v>1732</v>
      </c>
      <c r="Q204" s="92"/>
      <c r="R204" s="19" t="s">
        <v>1625</v>
      </c>
    </row>
    <row r="205" spans="2:18" ht="25.5" x14ac:dyDescent="0.25">
      <c r="B205" s="151"/>
      <c r="C205" s="151"/>
      <c r="D205" s="92">
        <v>198</v>
      </c>
      <c r="E205" s="19" t="s">
        <v>342</v>
      </c>
      <c r="F205" s="92" t="s">
        <v>18</v>
      </c>
      <c r="G205" s="92" t="s">
        <v>343</v>
      </c>
      <c r="H205" s="92" t="s">
        <v>10</v>
      </c>
      <c r="I205" s="92" t="s">
        <v>15</v>
      </c>
      <c r="J205" s="19" t="s">
        <v>1631</v>
      </c>
      <c r="K205" s="58">
        <v>40243</v>
      </c>
      <c r="L205" s="59">
        <f t="shared" si="6"/>
        <v>2010</v>
      </c>
      <c r="M205" s="59">
        <f t="shared" si="7"/>
        <v>9</v>
      </c>
      <c r="N205" s="92" t="s">
        <v>3</v>
      </c>
      <c r="O205" s="92" t="s">
        <v>1632</v>
      </c>
      <c r="P205" s="19" t="s">
        <v>1733</v>
      </c>
      <c r="Q205" s="92"/>
      <c r="R205" s="19" t="s">
        <v>1638</v>
      </c>
    </row>
    <row r="206" spans="2:18" ht="25.5" x14ac:dyDescent="0.25">
      <c r="B206" s="151"/>
      <c r="C206" s="151"/>
      <c r="D206" s="92">
        <v>199</v>
      </c>
      <c r="E206" s="19" t="s">
        <v>344</v>
      </c>
      <c r="F206" s="92" t="s">
        <v>18</v>
      </c>
      <c r="G206" s="92" t="s">
        <v>345</v>
      </c>
      <c r="H206" s="92" t="s">
        <v>1</v>
      </c>
      <c r="I206" s="92" t="s">
        <v>15</v>
      </c>
      <c r="J206" s="19" t="s">
        <v>1631</v>
      </c>
      <c r="K206" s="58">
        <v>41739</v>
      </c>
      <c r="L206" s="59">
        <f t="shared" si="6"/>
        <v>2014</v>
      </c>
      <c r="M206" s="59">
        <f t="shared" si="7"/>
        <v>5</v>
      </c>
      <c r="N206" s="92" t="s">
        <v>3</v>
      </c>
      <c r="O206" s="92" t="s">
        <v>1632</v>
      </c>
      <c r="P206" s="19" t="s">
        <v>1733</v>
      </c>
      <c r="Q206" s="92"/>
      <c r="R206" s="19" t="s">
        <v>1638</v>
      </c>
    </row>
    <row r="207" spans="2:18" ht="25.5" x14ac:dyDescent="0.25">
      <c r="B207" s="151">
        <v>54</v>
      </c>
      <c r="C207" s="151" t="s">
        <v>2427</v>
      </c>
      <c r="D207" s="92">
        <v>200</v>
      </c>
      <c r="E207" s="19" t="s">
        <v>346</v>
      </c>
      <c r="F207" s="92" t="s">
        <v>7</v>
      </c>
      <c r="G207" s="92" t="s">
        <v>2424</v>
      </c>
      <c r="H207" s="92" t="s">
        <v>10</v>
      </c>
      <c r="I207" s="92" t="s">
        <v>1983</v>
      </c>
      <c r="J207" s="19" t="s">
        <v>1631</v>
      </c>
      <c r="K207" s="58">
        <v>19731</v>
      </c>
      <c r="L207" s="59">
        <f t="shared" si="6"/>
        <v>1954</v>
      </c>
      <c r="M207" s="59">
        <f t="shared" si="7"/>
        <v>65</v>
      </c>
      <c r="N207" s="92" t="s">
        <v>3</v>
      </c>
      <c r="O207" s="92" t="s">
        <v>1632</v>
      </c>
      <c r="P207" s="19" t="s">
        <v>1635</v>
      </c>
      <c r="Q207" s="92"/>
      <c r="R207" s="19" t="s">
        <v>1764</v>
      </c>
    </row>
    <row r="208" spans="2:18" x14ac:dyDescent="0.25">
      <c r="B208" s="151"/>
      <c r="C208" s="151"/>
      <c r="D208" s="92">
        <v>201</v>
      </c>
      <c r="E208" s="19" t="s">
        <v>347</v>
      </c>
      <c r="F208" s="92" t="s">
        <v>18</v>
      </c>
      <c r="G208" s="92" t="s">
        <v>2425</v>
      </c>
      <c r="H208" s="92" t="s">
        <v>1</v>
      </c>
      <c r="I208" s="92" t="s">
        <v>15</v>
      </c>
      <c r="J208" s="19" t="s">
        <v>1736</v>
      </c>
      <c r="K208" s="58">
        <v>32862</v>
      </c>
      <c r="L208" s="59">
        <f t="shared" si="6"/>
        <v>1989</v>
      </c>
      <c r="M208" s="59">
        <f t="shared" si="7"/>
        <v>30</v>
      </c>
      <c r="N208" s="92" t="s">
        <v>3</v>
      </c>
      <c r="O208" s="92" t="s">
        <v>1632</v>
      </c>
      <c r="P208" s="19" t="s">
        <v>1677</v>
      </c>
      <c r="Q208" s="92"/>
      <c r="R208" s="19" t="s">
        <v>39</v>
      </c>
    </row>
    <row r="209" spans="2:18" ht="25.5" x14ac:dyDescent="0.25">
      <c r="B209" s="151"/>
      <c r="C209" s="151"/>
      <c r="D209" s="92">
        <v>202</v>
      </c>
      <c r="E209" s="19" t="s">
        <v>1188</v>
      </c>
      <c r="F209" s="92" t="s">
        <v>2241</v>
      </c>
      <c r="G209" s="92" t="s">
        <v>2426</v>
      </c>
      <c r="H209" s="92" t="s">
        <v>1</v>
      </c>
      <c r="I209" s="92" t="s">
        <v>1983</v>
      </c>
      <c r="J209" s="19" t="s">
        <v>1631</v>
      </c>
      <c r="K209" s="58">
        <v>20827</v>
      </c>
      <c r="L209" s="59">
        <f t="shared" si="6"/>
        <v>1957</v>
      </c>
      <c r="M209" s="59">
        <f t="shared" si="7"/>
        <v>62</v>
      </c>
      <c r="N209" s="92" t="s">
        <v>3</v>
      </c>
      <c r="O209" s="92" t="s">
        <v>1632</v>
      </c>
      <c r="P209" s="19" t="s">
        <v>1635</v>
      </c>
      <c r="Q209" s="92"/>
      <c r="R209" s="19" t="s">
        <v>1808</v>
      </c>
    </row>
    <row r="210" spans="2:18" ht="25.5" x14ac:dyDescent="0.25">
      <c r="B210" s="151">
        <v>55</v>
      </c>
      <c r="C210" s="151" t="s">
        <v>1874</v>
      </c>
      <c r="D210" s="92">
        <v>203</v>
      </c>
      <c r="E210" s="19" t="s">
        <v>1937</v>
      </c>
      <c r="F210" s="92" t="s">
        <v>7</v>
      </c>
      <c r="G210" s="92" t="s">
        <v>1876</v>
      </c>
      <c r="H210" s="92" t="s">
        <v>1</v>
      </c>
      <c r="I210" s="92" t="s">
        <v>2</v>
      </c>
      <c r="J210" s="19" t="s">
        <v>1631</v>
      </c>
      <c r="K210" s="58">
        <v>25844</v>
      </c>
      <c r="L210" s="59">
        <f t="shared" si="6"/>
        <v>1970</v>
      </c>
      <c r="M210" s="59">
        <f t="shared" si="7"/>
        <v>49</v>
      </c>
      <c r="N210" s="92" t="s">
        <v>3</v>
      </c>
      <c r="O210" s="92" t="s">
        <v>1632</v>
      </c>
      <c r="P210" s="19" t="s">
        <v>1641</v>
      </c>
      <c r="Q210" s="92"/>
      <c r="R210" s="19" t="s">
        <v>39</v>
      </c>
    </row>
    <row r="211" spans="2:18" ht="25.5" x14ac:dyDescent="0.25">
      <c r="B211" s="151"/>
      <c r="C211" s="151"/>
      <c r="D211" s="92">
        <v>204</v>
      </c>
      <c r="E211" s="19" t="s">
        <v>926</v>
      </c>
      <c r="F211" s="92" t="s">
        <v>12</v>
      </c>
      <c r="G211" s="92" t="s">
        <v>1877</v>
      </c>
      <c r="H211" s="92" t="s">
        <v>10</v>
      </c>
      <c r="I211" s="92" t="s">
        <v>2</v>
      </c>
      <c r="J211" s="19" t="s">
        <v>1878</v>
      </c>
      <c r="K211" s="58">
        <v>26867</v>
      </c>
      <c r="L211" s="59">
        <f t="shared" si="6"/>
        <v>1973</v>
      </c>
      <c r="M211" s="59">
        <f t="shared" si="7"/>
        <v>46</v>
      </c>
      <c r="N211" s="92" t="s">
        <v>3</v>
      </c>
      <c r="O211" s="92" t="s">
        <v>1632</v>
      </c>
      <c r="P211" s="19" t="s">
        <v>1732</v>
      </c>
      <c r="Q211" s="92"/>
      <c r="R211" s="19" t="s">
        <v>1764</v>
      </c>
    </row>
    <row r="212" spans="2:18" ht="25.5" x14ac:dyDescent="0.25">
      <c r="B212" s="151"/>
      <c r="C212" s="151"/>
      <c r="D212" s="92">
        <v>205</v>
      </c>
      <c r="E212" s="19" t="s">
        <v>927</v>
      </c>
      <c r="F212" s="92" t="s">
        <v>18</v>
      </c>
      <c r="G212" s="92" t="s">
        <v>928</v>
      </c>
      <c r="H212" s="92" t="s">
        <v>10</v>
      </c>
      <c r="I212" s="92" t="s">
        <v>15</v>
      </c>
      <c r="J212" s="19" t="s">
        <v>1631</v>
      </c>
      <c r="K212" s="58">
        <v>35935</v>
      </c>
      <c r="L212" s="59">
        <f t="shared" si="6"/>
        <v>1998</v>
      </c>
      <c r="M212" s="59">
        <f t="shared" si="7"/>
        <v>21</v>
      </c>
      <c r="N212" s="92" t="s">
        <v>3</v>
      </c>
      <c r="O212" s="92" t="s">
        <v>1632</v>
      </c>
      <c r="P212" s="19" t="s">
        <v>1641</v>
      </c>
      <c r="Q212" s="92"/>
      <c r="R212" s="19" t="s">
        <v>1625</v>
      </c>
    </row>
    <row r="213" spans="2:18" ht="25.5" x14ac:dyDescent="0.25">
      <c r="B213" s="151"/>
      <c r="C213" s="151"/>
      <c r="D213" s="92">
        <v>206</v>
      </c>
      <c r="E213" s="19" t="s">
        <v>1875</v>
      </c>
      <c r="F213" s="92" t="s">
        <v>18</v>
      </c>
      <c r="G213" s="92" t="s">
        <v>929</v>
      </c>
      <c r="H213" s="92" t="s">
        <v>1</v>
      </c>
      <c r="I213" s="92" t="s">
        <v>15</v>
      </c>
      <c r="J213" s="19" t="s">
        <v>1631</v>
      </c>
      <c r="K213" s="58">
        <v>39411</v>
      </c>
      <c r="L213" s="59">
        <f t="shared" si="6"/>
        <v>2007</v>
      </c>
      <c r="M213" s="59">
        <f t="shared" si="7"/>
        <v>12</v>
      </c>
      <c r="N213" s="92" t="s">
        <v>3</v>
      </c>
      <c r="O213" s="92" t="s">
        <v>1632</v>
      </c>
      <c r="P213" s="19" t="s">
        <v>1635</v>
      </c>
      <c r="Q213" s="92"/>
      <c r="R213" s="19" t="s">
        <v>1625</v>
      </c>
    </row>
    <row r="214" spans="2:18" ht="25.5" x14ac:dyDescent="0.25">
      <c r="B214" s="151">
        <v>56</v>
      </c>
      <c r="C214" s="151" t="s">
        <v>1888</v>
      </c>
      <c r="D214" s="92">
        <v>207</v>
      </c>
      <c r="E214" s="19" t="s">
        <v>454</v>
      </c>
      <c r="F214" s="92" t="s">
        <v>7</v>
      </c>
      <c r="G214" s="92" t="s">
        <v>1890</v>
      </c>
      <c r="H214" s="92" t="s">
        <v>1</v>
      </c>
      <c r="I214" s="92" t="s">
        <v>2</v>
      </c>
      <c r="J214" s="19" t="s">
        <v>1631</v>
      </c>
      <c r="K214" s="58">
        <v>24479</v>
      </c>
      <c r="L214" s="59">
        <f t="shared" si="6"/>
        <v>1967</v>
      </c>
      <c r="M214" s="59">
        <f t="shared" si="7"/>
        <v>52</v>
      </c>
      <c r="N214" s="92" t="s">
        <v>3</v>
      </c>
      <c r="O214" s="92" t="s">
        <v>1632</v>
      </c>
      <c r="P214" s="19" t="s">
        <v>1677</v>
      </c>
      <c r="Q214" s="92"/>
      <c r="R214" s="19" t="s">
        <v>1893</v>
      </c>
    </row>
    <row r="215" spans="2:18" ht="25.5" x14ac:dyDescent="0.25">
      <c r="B215" s="151"/>
      <c r="C215" s="151"/>
      <c r="D215" s="92">
        <v>208</v>
      </c>
      <c r="E215" s="19" t="s">
        <v>456</v>
      </c>
      <c r="F215" s="92" t="s">
        <v>12</v>
      </c>
      <c r="G215" s="92" t="s">
        <v>1891</v>
      </c>
      <c r="H215" s="92" t="s">
        <v>10</v>
      </c>
      <c r="I215" s="92" t="s">
        <v>2</v>
      </c>
      <c r="J215" s="19" t="s">
        <v>1631</v>
      </c>
      <c r="K215" s="58">
        <v>27036</v>
      </c>
      <c r="L215" s="59">
        <f t="shared" si="6"/>
        <v>1974</v>
      </c>
      <c r="M215" s="59">
        <f t="shared" si="7"/>
        <v>45</v>
      </c>
      <c r="N215" s="92" t="s">
        <v>3</v>
      </c>
      <c r="O215" s="92" t="s">
        <v>1632</v>
      </c>
      <c r="P215" s="19" t="s">
        <v>1641</v>
      </c>
      <c r="Q215" s="92"/>
      <c r="R215" s="19" t="s">
        <v>1764</v>
      </c>
    </row>
    <row r="216" spans="2:18" ht="25.5" x14ac:dyDescent="0.25">
      <c r="B216" s="151"/>
      <c r="C216" s="151"/>
      <c r="D216" s="92">
        <v>209</v>
      </c>
      <c r="E216" s="19" t="s">
        <v>1889</v>
      </c>
      <c r="F216" s="92" t="s">
        <v>18</v>
      </c>
      <c r="G216" s="92" t="s">
        <v>1892</v>
      </c>
      <c r="H216" s="92" t="s">
        <v>1</v>
      </c>
      <c r="I216" s="92" t="s">
        <v>15</v>
      </c>
      <c r="J216" s="19" t="s">
        <v>1631</v>
      </c>
      <c r="K216" s="58">
        <v>35407</v>
      </c>
      <c r="L216" s="59">
        <f t="shared" si="6"/>
        <v>1996</v>
      </c>
      <c r="M216" s="59">
        <f t="shared" si="7"/>
        <v>23</v>
      </c>
      <c r="N216" s="92" t="s">
        <v>3</v>
      </c>
      <c r="O216" s="92" t="s">
        <v>1632</v>
      </c>
      <c r="P216" s="19" t="s">
        <v>1677</v>
      </c>
      <c r="Q216" s="92"/>
      <c r="R216" s="19" t="s">
        <v>1625</v>
      </c>
    </row>
    <row r="217" spans="2:18" ht="25.5" x14ac:dyDescent="0.25">
      <c r="B217" s="151"/>
      <c r="C217" s="151"/>
      <c r="D217" s="92">
        <v>210</v>
      </c>
      <c r="E217" s="19" t="s">
        <v>459</v>
      </c>
      <c r="F217" s="92" t="s">
        <v>18</v>
      </c>
      <c r="G217" s="92" t="s">
        <v>460</v>
      </c>
      <c r="H217" s="92" t="s">
        <v>1</v>
      </c>
      <c r="I217" s="92" t="s">
        <v>15</v>
      </c>
      <c r="J217" s="19" t="s">
        <v>1631</v>
      </c>
      <c r="K217" s="58">
        <v>38389</v>
      </c>
      <c r="L217" s="59">
        <f t="shared" si="6"/>
        <v>2005</v>
      </c>
      <c r="M217" s="59">
        <f t="shared" si="7"/>
        <v>14</v>
      </c>
      <c r="N217" s="92" t="s">
        <v>3</v>
      </c>
      <c r="O217" s="92" t="s">
        <v>1632</v>
      </c>
      <c r="P217" s="19" t="s">
        <v>1635</v>
      </c>
      <c r="Q217" s="92"/>
      <c r="R217" s="19" t="s">
        <v>1625</v>
      </c>
    </row>
    <row r="218" spans="2:18" ht="25.5" x14ac:dyDescent="0.25">
      <c r="B218" s="151">
        <v>57</v>
      </c>
      <c r="C218" s="151" t="s">
        <v>1979</v>
      </c>
      <c r="D218" s="92">
        <v>211</v>
      </c>
      <c r="E218" s="19" t="s">
        <v>968</v>
      </c>
      <c r="F218" s="92" t="s">
        <v>7</v>
      </c>
      <c r="G218" s="92" t="s">
        <v>969</v>
      </c>
      <c r="H218" s="92" t="s">
        <v>10</v>
      </c>
      <c r="I218" s="92" t="s">
        <v>1735</v>
      </c>
      <c r="J218" s="19" t="s">
        <v>1631</v>
      </c>
      <c r="K218" s="58">
        <v>23376</v>
      </c>
      <c r="L218" s="59">
        <f t="shared" si="6"/>
        <v>1963</v>
      </c>
      <c r="M218" s="59">
        <f t="shared" si="7"/>
        <v>56</v>
      </c>
      <c r="N218" s="92" t="s">
        <v>3</v>
      </c>
      <c r="O218" s="92" t="s">
        <v>1632</v>
      </c>
      <c r="P218" s="19" t="s">
        <v>1641</v>
      </c>
      <c r="Q218" s="92"/>
      <c r="R218" s="19" t="s">
        <v>43</v>
      </c>
    </row>
    <row r="219" spans="2:18" x14ac:dyDescent="0.25">
      <c r="B219" s="151"/>
      <c r="C219" s="151"/>
      <c r="D219" s="92">
        <v>212</v>
      </c>
      <c r="E219" s="19" t="s">
        <v>970</v>
      </c>
      <c r="F219" s="92" t="s">
        <v>18</v>
      </c>
      <c r="G219" s="92" t="s">
        <v>1981</v>
      </c>
      <c r="H219" s="92" t="s">
        <v>10</v>
      </c>
      <c r="I219" s="92" t="s">
        <v>1983</v>
      </c>
      <c r="J219" s="19" t="s">
        <v>1623</v>
      </c>
      <c r="K219" s="58">
        <v>31371</v>
      </c>
      <c r="L219" s="59">
        <f t="shared" si="6"/>
        <v>1985</v>
      </c>
      <c r="M219" s="59">
        <f t="shared" si="7"/>
        <v>34</v>
      </c>
      <c r="N219" s="92" t="s">
        <v>3</v>
      </c>
      <c r="O219" s="92" t="s">
        <v>1632</v>
      </c>
      <c r="P219" s="19" t="s">
        <v>1984</v>
      </c>
      <c r="Q219" s="92"/>
      <c r="R219" s="19" t="s">
        <v>39</v>
      </c>
    </row>
    <row r="220" spans="2:18" ht="25.5" x14ac:dyDescent="0.25">
      <c r="B220" s="151"/>
      <c r="C220" s="151"/>
      <c r="D220" s="92">
        <v>213</v>
      </c>
      <c r="E220" s="19" t="s">
        <v>1980</v>
      </c>
      <c r="F220" s="92" t="s">
        <v>1974</v>
      </c>
      <c r="G220" s="92" t="s">
        <v>1982</v>
      </c>
      <c r="H220" s="92" t="s">
        <v>10</v>
      </c>
      <c r="I220" s="92" t="s">
        <v>15</v>
      </c>
      <c r="J220" s="19" t="s">
        <v>1898</v>
      </c>
      <c r="K220" s="58">
        <v>40803</v>
      </c>
      <c r="L220" s="59">
        <f t="shared" si="6"/>
        <v>2011</v>
      </c>
      <c r="M220" s="59">
        <f t="shared" si="7"/>
        <v>8</v>
      </c>
      <c r="N220" s="92" t="s">
        <v>3</v>
      </c>
      <c r="O220" s="92" t="s">
        <v>1632</v>
      </c>
      <c r="P220" s="19" t="s">
        <v>1733</v>
      </c>
      <c r="Q220" s="92"/>
      <c r="R220" s="19" t="s">
        <v>1638</v>
      </c>
    </row>
    <row r="221" spans="2:18" x14ac:dyDescent="0.25">
      <c r="B221" s="151">
        <v>58</v>
      </c>
      <c r="C221" s="155" t="s">
        <v>2090</v>
      </c>
      <c r="D221" s="92">
        <v>214</v>
      </c>
      <c r="E221" s="19" t="s">
        <v>1464</v>
      </c>
      <c r="F221" s="92" t="s">
        <v>7</v>
      </c>
      <c r="G221" s="95" t="s">
        <v>2093</v>
      </c>
      <c r="H221" s="92" t="s">
        <v>1</v>
      </c>
      <c r="I221" s="92" t="s">
        <v>2</v>
      </c>
      <c r="J221" s="19" t="s">
        <v>1736</v>
      </c>
      <c r="K221" s="58">
        <v>27583</v>
      </c>
      <c r="L221" s="59">
        <f t="shared" si="6"/>
        <v>1975</v>
      </c>
      <c r="M221" s="95">
        <f t="shared" si="7"/>
        <v>44</v>
      </c>
      <c r="N221" s="92" t="s">
        <v>3</v>
      </c>
      <c r="O221" s="92" t="s">
        <v>1632</v>
      </c>
      <c r="P221" s="19" t="s">
        <v>1732</v>
      </c>
      <c r="Q221" s="92"/>
      <c r="R221" s="19" t="s">
        <v>43</v>
      </c>
    </row>
    <row r="222" spans="2:18" ht="25.5" x14ac:dyDescent="0.25">
      <c r="B222" s="151"/>
      <c r="C222" s="155"/>
      <c r="D222" s="92">
        <v>215</v>
      </c>
      <c r="E222" s="19" t="s">
        <v>1465</v>
      </c>
      <c r="F222" s="92" t="s">
        <v>12</v>
      </c>
      <c r="G222" s="95" t="s">
        <v>1466</v>
      </c>
      <c r="H222" s="92" t="s">
        <v>10</v>
      </c>
      <c r="I222" s="92" t="s">
        <v>2</v>
      </c>
      <c r="J222" s="19" t="s">
        <v>2096</v>
      </c>
      <c r="K222" s="58">
        <v>22281</v>
      </c>
      <c r="L222" s="59">
        <f t="shared" si="6"/>
        <v>1960</v>
      </c>
      <c r="M222" s="95">
        <f>2019-1980</f>
        <v>39</v>
      </c>
      <c r="N222" s="92" t="s">
        <v>3</v>
      </c>
      <c r="O222" s="92" t="s">
        <v>1632</v>
      </c>
      <c r="P222" s="19" t="s">
        <v>1732</v>
      </c>
      <c r="Q222" s="92"/>
      <c r="R222" s="19" t="s">
        <v>1764</v>
      </c>
    </row>
    <row r="223" spans="2:18" x14ac:dyDescent="0.25">
      <c r="B223" s="151"/>
      <c r="C223" s="155"/>
      <c r="D223" s="92">
        <v>216</v>
      </c>
      <c r="E223" s="19" t="s">
        <v>1469</v>
      </c>
      <c r="F223" s="92" t="s">
        <v>18</v>
      </c>
      <c r="G223" s="95" t="s">
        <v>2094</v>
      </c>
      <c r="H223" s="92" t="s">
        <v>1</v>
      </c>
      <c r="I223" s="92" t="s">
        <v>15</v>
      </c>
      <c r="J223" s="19" t="s">
        <v>1623</v>
      </c>
      <c r="K223" s="58">
        <v>35794</v>
      </c>
      <c r="L223" s="59">
        <f t="shared" si="6"/>
        <v>1997</v>
      </c>
      <c r="M223" s="95">
        <f>2019-1997</f>
        <v>22</v>
      </c>
      <c r="N223" s="92" t="s">
        <v>3</v>
      </c>
      <c r="O223" s="92" t="s">
        <v>1632</v>
      </c>
      <c r="P223" s="19" t="s">
        <v>1677</v>
      </c>
      <c r="Q223" s="92"/>
      <c r="R223" s="19" t="s">
        <v>1625</v>
      </c>
    </row>
    <row r="224" spans="2:18" x14ac:dyDescent="0.25">
      <c r="B224" s="151"/>
      <c r="C224" s="155"/>
      <c r="D224" s="92">
        <v>217</v>
      </c>
      <c r="E224" s="19" t="s">
        <v>1470</v>
      </c>
      <c r="F224" s="92" t="s">
        <v>18</v>
      </c>
      <c r="G224" s="95" t="s">
        <v>1471</v>
      </c>
      <c r="H224" s="92" t="s">
        <v>10</v>
      </c>
      <c r="I224" s="92" t="s">
        <v>15</v>
      </c>
      <c r="J224" s="19" t="s">
        <v>1623</v>
      </c>
      <c r="K224" s="58">
        <v>36650</v>
      </c>
      <c r="L224" s="59">
        <f t="shared" si="6"/>
        <v>2000</v>
      </c>
      <c r="M224" s="95">
        <f>2019-L224</f>
        <v>19</v>
      </c>
      <c r="N224" s="92" t="s">
        <v>3</v>
      </c>
      <c r="O224" s="92" t="s">
        <v>1632</v>
      </c>
      <c r="P224" s="19" t="s">
        <v>1677</v>
      </c>
      <c r="Q224" s="92"/>
      <c r="R224" s="19" t="s">
        <v>1625</v>
      </c>
    </row>
    <row r="225" spans="2:18" ht="25.5" x14ac:dyDescent="0.25">
      <c r="B225" s="151"/>
      <c r="C225" s="155"/>
      <c r="D225" s="92">
        <v>218</v>
      </c>
      <c r="E225" s="19" t="s">
        <v>2091</v>
      </c>
      <c r="F225" s="92" t="s">
        <v>18</v>
      </c>
      <c r="G225" s="95" t="s">
        <v>1472</v>
      </c>
      <c r="H225" s="92" t="s">
        <v>1</v>
      </c>
      <c r="I225" s="92" t="s">
        <v>15</v>
      </c>
      <c r="J225" s="19" t="s">
        <v>1623</v>
      </c>
      <c r="K225" s="58">
        <v>40276</v>
      </c>
      <c r="L225" s="59">
        <f t="shared" si="6"/>
        <v>2010</v>
      </c>
      <c r="M225" s="95">
        <f>2019-2010</f>
        <v>9</v>
      </c>
      <c r="N225" s="92" t="s">
        <v>3</v>
      </c>
      <c r="O225" s="92" t="s">
        <v>1632</v>
      </c>
      <c r="P225" s="19" t="s">
        <v>1733</v>
      </c>
      <c r="Q225" s="92"/>
      <c r="R225" s="19" t="s">
        <v>1625</v>
      </c>
    </row>
    <row r="226" spans="2:18" ht="25.5" x14ac:dyDescent="0.25">
      <c r="B226" s="151"/>
      <c r="C226" s="155"/>
      <c r="D226" s="92">
        <v>219</v>
      </c>
      <c r="E226" s="19" t="s">
        <v>2092</v>
      </c>
      <c r="F226" s="92" t="s">
        <v>18</v>
      </c>
      <c r="G226" s="95" t="s">
        <v>2095</v>
      </c>
      <c r="H226" s="92" t="s">
        <v>1</v>
      </c>
      <c r="I226" s="92" t="s">
        <v>15</v>
      </c>
      <c r="J226" s="19" t="s">
        <v>1623</v>
      </c>
      <c r="K226" s="58">
        <v>43525</v>
      </c>
      <c r="L226" s="59">
        <f t="shared" si="6"/>
        <v>2019</v>
      </c>
      <c r="M226" s="95">
        <f>2019-2016</f>
        <v>3</v>
      </c>
      <c r="N226" s="92" t="s">
        <v>3</v>
      </c>
      <c r="O226" s="92" t="s">
        <v>1632</v>
      </c>
      <c r="P226" s="19" t="s">
        <v>1733</v>
      </c>
      <c r="Q226" s="92"/>
      <c r="R226" s="19"/>
    </row>
    <row r="227" spans="2:18" ht="25.5" x14ac:dyDescent="0.25">
      <c r="B227" s="152">
        <v>59</v>
      </c>
      <c r="C227" s="152" t="s">
        <v>1869</v>
      </c>
      <c r="D227" s="92">
        <v>220</v>
      </c>
      <c r="E227" s="19" t="s">
        <v>332</v>
      </c>
      <c r="F227" s="92" t="s">
        <v>7</v>
      </c>
      <c r="G227" s="95" t="s">
        <v>333</v>
      </c>
      <c r="H227" s="92" t="s">
        <v>10</v>
      </c>
      <c r="I227" s="92" t="s">
        <v>1735</v>
      </c>
      <c r="J227" s="19" t="s">
        <v>1631</v>
      </c>
      <c r="K227" s="58">
        <v>21922</v>
      </c>
      <c r="L227" s="59">
        <f t="shared" si="6"/>
        <v>1960</v>
      </c>
      <c r="M227" s="59">
        <f>2019-L227</f>
        <v>59</v>
      </c>
      <c r="N227" s="92" t="s">
        <v>3</v>
      </c>
      <c r="O227" s="92" t="s">
        <v>1632</v>
      </c>
      <c r="P227" s="19" t="s">
        <v>1733</v>
      </c>
      <c r="Q227" s="92"/>
      <c r="R227" s="19" t="s">
        <v>1808</v>
      </c>
    </row>
    <row r="228" spans="2:18" ht="25.5" x14ac:dyDescent="0.25">
      <c r="B228" s="154"/>
      <c r="C228" s="154"/>
      <c r="D228" s="92">
        <v>221</v>
      </c>
      <c r="E228" s="19" t="s">
        <v>2103</v>
      </c>
      <c r="F228" s="92" t="s">
        <v>18</v>
      </c>
      <c r="G228" s="95" t="s">
        <v>2104</v>
      </c>
      <c r="H228" s="92" t="s">
        <v>10</v>
      </c>
      <c r="I228" s="92" t="s">
        <v>15</v>
      </c>
      <c r="J228" s="19" t="s">
        <v>1631</v>
      </c>
      <c r="K228" s="58">
        <v>32880</v>
      </c>
      <c r="L228" s="59">
        <f t="shared" si="6"/>
        <v>1990</v>
      </c>
      <c r="M228" s="59">
        <f t="shared" ref="M228:M252" si="8">2019-L228</f>
        <v>29</v>
      </c>
      <c r="N228" s="92" t="s">
        <v>3</v>
      </c>
      <c r="O228" s="92" t="s">
        <v>1632</v>
      </c>
      <c r="P228" s="19" t="s">
        <v>1677</v>
      </c>
      <c r="Q228" s="92"/>
      <c r="R228" s="19" t="s">
        <v>1625</v>
      </c>
    </row>
    <row r="229" spans="2:18" x14ac:dyDescent="0.25">
      <c r="B229" s="151">
        <v>60</v>
      </c>
      <c r="C229" s="151" t="s">
        <v>2143</v>
      </c>
      <c r="D229" s="92">
        <v>222</v>
      </c>
      <c r="E229" s="19" t="s">
        <v>656</v>
      </c>
      <c r="F229" s="92" t="s">
        <v>7</v>
      </c>
      <c r="G229" s="92" t="s">
        <v>2145</v>
      </c>
      <c r="H229" s="92" t="s">
        <v>1</v>
      </c>
      <c r="I229" s="92" t="s">
        <v>2</v>
      </c>
      <c r="J229" s="19" t="s">
        <v>1623</v>
      </c>
      <c r="K229" s="58">
        <v>30513</v>
      </c>
      <c r="L229" s="59">
        <f t="shared" si="6"/>
        <v>1983</v>
      </c>
      <c r="M229" s="59">
        <f t="shared" si="8"/>
        <v>36</v>
      </c>
      <c r="N229" s="92" t="s">
        <v>3</v>
      </c>
      <c r="O229" s="92" t="s">
        <v>1632</v>
      </c>
      <c r="P229" s="19" t="s">
        <v>1677</v>
      </c>
      <c r="Q229" s="92"/>
      <c r="R229" s="19" t="s">
        <v>39</v>
      </c>
    </row>
    <row r="230" spans="2:18" ht="25.5" x14ac:dyDescent="0.25">
      <c r="B230" s="151"/>
      <c r="C230" s="151"/>
      <c r="D230" s="92">
        <v>223</v>
      </c>
      <c r="E230" s="19" t="s">
        <v>658</v>
      </c>
      <c r="F230" s="92" t="s">
        <v>12</v>
      </c>
      <c r="G230" s="92" t="s">
        <v>2146</v>
      </c>
      <c r="H230" s="92" t="s">
        <v>10</v>
      </c>
      <c r="I230" s="92" t="s">
        <v>2</v>
      </c>
      <c r="J230" s="19" t="s">
        <v>1631</v>
      </c>
      <c r="K230" s="58">
        <v>30504</v>
      </c>
      <c r="L230" s="59">
        <f t="shared" si="6"/>
        <v>1983</v>
      </c>
      <c r="M230" s="59">
        <f t="shared" si="8"/>
        <v>36</v>
      </c>
      <c r="N230" s="92" t="s">
        <v>3</v>
      </c>
      <c r="O230" s="92" t="s">
        <v>1632</v>
      </c>
      <c r="P230" s="19" t="s">
        <v>1641</v>
      </c>
      <c r="Q230" s="92"/>
      <c r="R230" s="19" t="s">
        <v>1764</v>
      </c>
    </row>
    <row r="231" spans="2:18" ht="25.5" x14ac:dyDescent="0.25">
      <c r="B231" s="151"/>
      <c r="C231" s="151"/>
      <c r="D231" s="92">
        <v>224</v>
      </c>
      <c r="E231" s="19" t="s">
        <v>660</v>
      </c>
      <c r="F231" s="92" t="s">
        <v>18</v>
      </c>
      <c r="G231" s="92" t="s">
        <v>661</v>
      </c>
      <c r="H231" s="92" t="s">
        <v>1</v>
      </c>
      <c r="I231" s="92" t="s">
        <v>15</v>
      </c>
      <c r="J231" s="19" t="s">
        <v>1631</v>
      </c>
      <c r="K231" s="58">
        <v>39163</v>
      </c>
      <c r="L231" s="59">
        <f t="shared" si="6"/>
        <v>2007</v>
      </c>
      <c r="M231" s="59">
        <f t="shared" si="8"/>
        <v>12</v>
      </c>
      <c r="N231" s="92" t="s">
        <v>3</v>
      </c>
      <c r="O231" s="92" t="s">
        <v>1632</v>
      </c>
      <c r="P231" s="19" t="s">
        <v>1635</v>
      </c>
      <c r="Q231" s="92"/>
      <c r="R231" s="19" t="s">
        <v>1625</v>
      </c>
    </row>
    <row r="232" spans="2:18" ht="25.5" x14ac:dyDescent="0.25">
      <c r="B232" s="151"/>
      <c r="C232" s="151"/>
      <c r="D232" s="92">
        <v>225</v>
      </c>
      <c r="E232" s="19" t="s">
        <v>2144</v>
      </c>
      <c r="F232" s="92" t="s">
        <v>18</v>
      </c>
      <c r="G232" s="92" t="s">
        <v>2147</v>
      </c>
      <c r="H232" s="92" t="s">
        <v>10</v>
      </c>
      <c r="I232" s="92" t="s">
        <v>15</v>
      </c>
      <c r="J232" s="19" t="s">
        <v>1898</v>
      </c>
      <c r="K232" s="58">
        <v>42320</v>
      </c>
      <c r="L232" s="59">
        <f t="shared" si="6"/>
        <v>2015</v>
      </c>
      <c r="M232" s="59">
        <f t="shared" si="8"/>
        <v>4</v>
      </c>
      <c r="N232" s="92" t="s">
        <v>3</v>
      </c>
      <c r="O232" s="92" t="s">
        <v>1632</v>
      </c>
      <c r="P232" s="19" t="s">
        <v>1733</v>
      </c>
      <c r="Q232" s="92"/>
      <c r="R232" s="19" t="s">
        <v>1638</v>
      </c>
    </row>
    <row r="233" spans="2:18" ht="25.5" x14ac:dyDescent="0.25">
      <c r="B233" s="152">
        <v>61</v>
      </c>
      <c r="C233" s="152" t="s">
        <v>2164</v>
      </c>
      <c r="D233" s="92">
        <v>226</v>
      </c>
      <c r="E233" s="19" t="s">
        <v>2165</v>
      </c>
      <c r="F233" s="92" t="s">
        <v>7</v>
      </c>
      <c r="G233" s="92" t="s">
        <v>2167</v>
      </c>
      <c r="H233" s="92" t="s">
        <v>1</v>
      </c>
      <c r="I233" s="92" t="s">
        <v>2</v>
      </c>
      <c r="J233" s="19" t="s">
        <v>1631</v>
      </c>
      <c r="K233" s="58">
        <v>30613</v>
      </c>
      <c r="L233" s="59">
        <f t="shared" si="6"/>
        <v>1983</v>
      </c>
      <c r="M233" s="59">
        <f t="shared" si="8"/>
        <v>36</v>
      </c>
      <c r="N233" s="92" t="s">
        <v>3</v>
      </c>
      <c r="O233" s="92" t="s">
        <v>1632</v>
      </c>
      <c r="P233" s="19" t="s">
        <v>1677</v>
      </c>
      <c r="Q233" s="92"/>
      <c r="R233" s="19" t="s">
        <v>39</v>
      </c>
    </row>
    <row r="234" spans="2:18" ht="25.5" x14ac:dyDescent="0.25">
      <c r="B234" s="154"/>
      <c r="C234" s="154"/>
      <c r="D234" s="92">
        <v>227</v>
      </c>
      <c r="E234" s="19" t="s">
        <v>2166</v>
      </c>
      <c r="F234" s="92" t="s">
        <v>12</v>
      </c>
      <c r="G234" s="92" t="s">
        <v>2168</v>
      </c>
      <c r="H234" s="92" t="s">
        <v>10</v>
      </c>
      <c r="I234" s="92" t="s">
        <v>2</v>
      </c>
      <c r="J234" s="19" t="s">
        <v>1898</v>
      </c>
      <c r="K234" s="58">
        <v>36138</v>
      </c>
      <c r="L234" s="59">
        <f t="shared" si="6"/>
        <v>1998</v>
      </c>
      <c r="M234" s="59">
        <f t="shared" si="8"/>
        <v>21</v>
      </c>
      <c r="N234" s="92" t="s">
        <v>3</v>
      </c>
      <c r="O234" s="92" t="s">
        <v>1632</v>
      </c>
      <c r="P234" s="19" t="s">
        <v>1677</v>
      </c>
      <c r="Q234" s="92"/>
      <c r="R234" s="19" t="s">
        <v>1764</v>
      </c>
    </row>
    <row r="235" spans="2:18" ht="25.5" x14ac:dyDescent="0.25">
      <c r="B235" s="151">
        <v>62</v>
      </c>
      <c r="C235" s="151" t="s">
        <v>2322</v>
      </c>
      <c r="D235" s="92">
        <v>228</v>
      </c>
      <c r="E235" s="19" t="s">
        <v>2323</v>
      </c>
      <c r="F235" s="92" t="s">
        <v>7</v>
      </c>
      <c r="G235" s="92" t="s">
        <v>2329</v>
      </c>
      <c r="H235" s="92" t="s">
        <v>1</v>
      </c>
      <c r="I235" s="92" t="s">
        <v>2</v>
      </c>
      <c r="J235" s="19" t="s">
        <v>2335</v>
      </c>
      <c r="K235" s="58">
        <v>22281</v>
      </c>
      <c r="L235" s="59">
        <f t="shared" si="6"/>
        <v>1960</v>
      </c>
      <c r="M235" s="59">
        <f t="shared" si="8"/>
        <v>59</v>
      </c>
      <c r="N235" s="92" t="s">
        <v>3</v>
      </c>
      <c r="O235" s="92" t="s">
        <v>1632</v>
      </c>
      <c r="P235" s="19" t="s">
        <v>2336</v>
      </c>
      <c r="Q235" s="92"/>
      <c r="R235" s="19" t="s">
        <v>1791</v>
      </c>
    </row>
    <row r="236" spans="2:18" ht="25.5" x14ac:dyDescent="0.25">
      <c r="B236" s="151"/>
      <c r="C236" s="151"/>
      <c r="D236" s="92">
        <v>229</v>
      </c>
      <c r="E236" s="19" t="s">
        <v>2324</v>
      </c>
      <c r="F236" s="92" t="s">
        <v>12</v>
      </c>
      <c r="G236" s="92" t="s">
        <v>2330</v>
      </c>
      <c r="H236" s="92" t="s">
        <v>10</v>
      </c>
      <c r="I236" s="92" t="s">
        <v>2</v>
      </c>
      <c r="J236" s="19" t="s">
        <v>1623</v>
      </c>
      <c r="K236" s="58">
        <v>24837</v>
      </c>
      <c r="L236" s="59">
        <f t="shared" si="6"/>
        <v>1967</v>
      </c>
      <c r="M236" s="59">
        <f t="shared" si="8"/>
        <v>52</v>
      </c>
      <c r="N236" s="92" t="s">
        <v>3</v>
      </c>
      <c r="O236" s="92" t="s">
        <v>1632</v>
      </c>
      <c r="P236" s="19" t="s">
        <v>2336</v>
      </c>
      <c r="Q236" s="92"/>
      <c r="R236" s="19" t="s">
        <v>1791</v>
      </c>
    </row>
    <row r="237" spans="2:18" ht="25.5" x14ac:dyDescent="0.25">
      <c r="B237" s="151"/>
      <c r="C237" s="151"/>
      <c r="D237" s="92">
        <v>230</v>
      </c>
      <c r="E237" s="19" t="s">
        <v>2325</v>
      </c>
      <c r="F237" s="92" t="s">
        <v>18</v>
      </c>
      <c r="G237" s="92" t="s">
        <v>2331</v>
      </c>
      <c r="H237" s="92" t="s">
        <v>1</v>
      </c>
      <c r="I237" s="92" t="s">
        <v>15</v>
      </c>
      <c r="J237" s="19" t="s">
        <v>1623</v>
      </c>
      <c r="K237" s="58">
        <v>33625</v>
      </c>
      <c r="L237" s="59">
        <f t="shared" si="6"/>
        <v>1992</v>
      </c>
      <c r="M237" s="59">
        <f t="shared" si="8"/>
        <v>27</v>
      </c>
      <c r="N237" s="92" t="s">
        <v>3</v>
      </c>
      <c r="O237" s="92" t="s">
        <v>1632</v>
      </c>
      <c r="P237" s="19" t="s">
        <v>2336</v>
      </c>
      <c r="Q237" s="92"/>
      <c r="R237" s="19" t="s">
        <v>1638</v>
      </c>
    </row>
    <row r="238" spans="2:18" ht="25.5" x14ac:dyDescent="0.25">
      <c r="B238" s="151"/>
      <c r="C238" s="151"/>
      <c r="D238" s="92">
        <v>231</v>
      </c>
      <c r="E238" s="19" t="s">
        <v>2326</v>
      </c>
      <c r="F238" s="92" t="s">
        <v>18</v>
      </c>
      <c r="G238" s="92" t="s">
        <v>2332</v>
      </c>
      <c r="H238" s="92" t="s">
        <v>10</v>
      </c>
      <c r="I238" s="92" t="s">
        <v>15</v>
      </c>
      <c r="J238" s="19" t="s">
        <v>1672</v>
      </c>
      <c r="K238" s="58">
        <v>34721</v>
      </c>
      <c r="L238" s="59">
        <f t="shared" si="6"/>
        <v>1995</v>
      </c>
      <c r="M238" s="59">
        <f t="shared" si="8"/>
        <v>24</v>
      </c>
      <c r="N238" s="92" t="s">
        <v>3</v>
      </c>
      <c r="O238" s="92" t="s">
        <v>1632</v>
      </c>
      <c r="P238" s="19" t="s">
        <v>2336</v>
      </c>
      <c r="Q238" s="92"/>
      <c r="R238" s="19" t="s">
        <v>1638</v>
      </c>
    </row>
    <row r="239" spans="2:18" x14ac:dyDescent="0.25">
      <c r="B239" s="151"/>
      <c r="C239" s="151"/>
      <c r="D239" s="92">
        <v>232</v>
      </c>
      <c r="E239" s="19" t="s">
        <v>2327</v>
      </c>
      <c r="F239" s="92" t="s">
        <v>18</v>
      </c>
      <c r="G239" s="92" t="s">
        <v>2334</v>
      </c>
      <c r="H239" s="92" t="s">
        <v>10</v>
      </c>
      <c r="I239" s="92" t="s">
        <v>15</v>
      </c>
      <c r="J239" s="19" t="s">
        <v>1672</v>
      </c>
      <c r="K239" s="58">
        <v>36669</v>
      </c>
      <c r="L239" s="59">
        <f>YEAR(K239)</f>
        <v>2000</v>
      </c>
      <c r="M239" s="59">
        <f t="shared" si="8"/>
        <v>19</v>
      </c>
      <c r="N239" s="92" t="s">
        <v>3</v>
      </c>
      <c r="O239" s="92" t="s">
        <v>1632</v>
      </c>
      <c r="P239" s="19" t="s">
        <v>2337</v>
      </c>
      <c r="Q239" s="92"/>
      <c r="R239" s="19" t="s">
        <v>1625</v>
      </c>
    </row>
    <row r="240" spans="2:18" ht="25.5" x14ac:dyDescent="0.25">
      <c r="B240" s="151"/>
      <c r="C240" s="151"/>
      <c r="D240" s="92">
        <v>233</v>
      </c>
      <c r="E240" s="19" t="s">
        <v>2328</v>
      </c>
      <c r="F240" s="92" t="s">
        <v>18</v>
      </c>
      <c r="G240" s="92" t="s">
        <v>2333</v>
      </c>
      <c r="H240" s="92" t="s">
        <v>10</v>
      </c>
      <c r="I240" s="92" t="s">
        <v>15</v>
      </c>
      <c r="J240" s="19" t="s">
        <v>1672</v>
      </c>
      <c r="K240" s="58">
        <v>38443</v>
      </c>
      <c r="L240" s="59">
        <f t="shared" ref="L240:L252" si="9">YEAR(K240)</f>
        <v>2005</v>
      </c>
      <c r="M240" s="59">
        <f t="shared" si="8"/>
        <v>14</v>
      </c>
      <c r="N240" s="92" t="s">
        <v>3</v>
      </c>
      <c r="O240" s="92" t="s">
        <v>1632</v>
      </c>
      <c r="P240" s="19" t="s">
        <v>2338</v>
      </c>
      <c r="Q240" s="92"/>
      <c r="R240" s="19" t="s">
        <v>1625</v>
      </c>
    </row>
    <row r="241" spans="2:18" x14ac:dyDescent="0.25">
      <c r="B241" s="151">
        <v>63</v>
      </c>
      <c r="C241" s="151" t="s">
        <v>2341</v>
      </c>
      <c r="D241" s="92">
        <v>234</v>
      </c>
      <c r="E241" s="19" t="s">
        <v>2342</v>
      </c>
      <c r="F241" s="92" t="s">
        <v>7</v>
      </c>
      <c r="G241" s="92" t="s">
        <v>2346</v>
      </c>
      <c r="H241" s="92" t="s">
        <v>1</v>
      </c>
      <c r="I241" s="92" t="s">
        <v>2</v>
      </c>
      <c r="J241" s="19" t="s">
        <v>1623</v>
      </c>
      <c r="K241" s="58">
        <v>32508</v>
      </c>
      <c r="L241" s="59">
        <f t="shared" si="9"/>
        <v>1988</v>
      </c>
      <c r="M241" s="59">
        <f t="shared" si="8"/>
        <v>31</v>
      </c>
      <c r="N241" s="92" t="s">
        <v>3</v>
      </c>
      <c r="O241" s="92" t="s">
        <v>1632</v>
      </c>
      <c r="P241" s="19" t="s">
        <v>1666</v>
      </c>
      <c r="Q241" s="92"/>
      <c r="R241" s="19" t="s">
        <v>39</v>
      </c>
    </row>
    <row r="242" spans="2:18" ht="25.5" x14ac:dyDescent="0.25">
      <c r="B242" s="151"/>
      <c r="C242" s="151"/>
      <c r="D242" s="92">
        <v>235</v>
      </c>
      <c r="E242" s="19" t="s">
        <v>2343</v>
      </c>
      <c r="F242" s="92" t="s">
        <v>12</v>
      </c>
      <c r="G242" s="92" t="s">
        <v>2347</v>
      </c>
      <c r="H242" s="92" t="s">
        <v>10</v>
      </c>
      <c r="I242" s="92" t="s">
        <v>2</v>
      </c>
      <c r="J242" s="19" t="s">
        <v>1623</v>
      </c>
      <c r="K242" s="58">
        <v>25933</v>
      </c>
      <c r="L242" s="59">
        <f t="shared" si="9"/>
        <v>1970</v>
      </c>
      <c r="M242" s="59">
        <f t="shared" si="8"/>
        <v>49</v>
      </c>
      <c r="N242" s="92" t="s">
        <v>3</v>
      </c>
      <c r="O242" s="92" t="s">
        <v>1632</v>
      </c>
      <c r="P242" s="19" t="s">
        <v>2336</v>
      </c>
      <c r="Q242" s="92"/>
      <c r="R242" s="19" t="s">
        <v>2350</v>
      </c>
    </row>
    <row r="243" spans="2:18" ht="25.5" x14ac:dyDescent="0.25">
      <c r="B243" s="151"/>
      <c r="C243" s="151"/>
      <c r="D243" s="92">
        <v>236</v>
      </c>
      <c r="E243" s="19" t="s">
        <v>2344</v>
      </c>
      <c r="F243" s="92" t="s">
        <v>18</v>
      </c>
      <c r="G243" s="92" t="s">
        <v>2348</v>
      </c>
      <c r="H243" s="92" t="s">
        <v>10</v>
      </c>
      <c r="I243" s="92" t="s">
        <v>15</v>
      </c>
      <c r="J243" s="19" t="s">
        <v>1631</v>
      </c>
      <c r="K243" s="58">
        <v>35887</v>
      </c>
      <c r="L243" s="59">
        <f t="shared" si="9"/>
        <v>1998</v>
      </c>
      <c r="M243" s="59">
        <f t="shared" si="8"/>
        <v>21</v>
      </c>
      <c r="N243" s="92" t="s">
        <v>3</v>
      </c>
      <c r="O243" s="92" t="s">
        <v>1632</v>
      </c>
      <c r="P243" s="19" t="s">
        <v>1666</v>
      </c>
      <c r="Q243" s="92"/>
      <c r="R243" s="19" t="s">
        <v>1625</v>
      </c>
    </row>
    <row r="244" spans="2:18" ht="25.5" x14ac:dyDescent="0.25">
      <c r="B244" s="151"/>
      <c r="C244" s="151"/>
      <c r="D244" s="92">
        <v>237</v>
      </c>
      <c r="E244" s="19" t="s">
        <v>2345</v>
      </c>
      <c r="F244" s="92" t="s">
        <v>18</v>
      </c>
      <c r="G244" s="92" t="s">
        <v>2349</v>
      </c>
      <c r="H244" s="92" t="s">
        <v>10</v>
      </c>
      <c r="I244" s="92" t="s">
        <v>15</v>
      </c>
      <c r="J244" s="19" t="s">
        <v>1898</v>
      </c>
      <c r="K244" s="58">
        <v>37970</v>
      </c>
      <c r="L244" s="59">
        <f t="shared" si="9"/>
        <v>2003</v>
      </c>
      <c r="M244" s="59">
        <f t="shared" si="8"/>
        <v>16</v>
      </c>
      <c r="N244" s="92" t="s">
        <v>3</v>
      </c>
      <c r="O244" s="92" t="s">
        <v>1632</v>
      </c>
      <c r="P244" s="19" t="s">
        <v>1700</v>
      </c>
      <c r="Q244" s="92"/>
      <c r="R244" s="19" t="s">
        <v>1625</v>
      </c>
    </row>
    <row r="245" spans="2:18" ht="25.5" x14ac:dyDescent="0.25">
      <c r="B245" s="151">
        <v>64</v>
      </c>
      <c r="C245" s="151" t="s">
        <v>2437</v>
      </c>
      <c r="D245" s="92">
        <v>238</v>
      </c>
      <c r="E245" s="19" t="s">
        <v>681</v>
      </c>
      <c r="F245" s="92" t="s">
        <v>7</v>
      </c>
      <c r="G245" s="92" t="s">
        <v>682</v>
      </c>
      <c r="H245" s="92" t="s">
        <v>1</v>
      </c>
      <c r="I245" s="92" t="s">
        <v>2</v>
      </c>
      <c r="J245" s="19" t="s">
        <v>1631</v>
      </c>
      <c r="K245" s="58">
        <v>29174</v>
      </c>
      <c r="L245" s="59">
        <f t="shared" si="9"/>
        <v>1979</v>
      </c>
      <c r="M245" s="59">
        <f t="shared" si="8"/>
        <v>40</v>
      </c>
      <c r="N245" s="92" t="s">
        <v>3</v>
      </c>
      <c r="O245" s="92" t="s">
        <v>1632</v>
      </c>
      <c r="P245" s="19" t="s">
        <v>1732</v>
      </c>
      <c r="Q245" s="92"/>
      <c r="R245" s="19" t="s">
        <v>39</v>
      </c>
    </row>
    <row r="246" spans="2:18" ht="25.5" x14ac:dyDescent="0.25">
      <c r="B246" s="151"/>
      <c r="C246" s="151"/>
      <c r="D246" s="92">
        <v>239</v>
      </c>
      <c r="E246" s="19" t="s">
        <v>2438</v>
      </c>
      <c r="F246" s="92" t="s">
        <v>12</v>
      </c>
      <c r="G246" s="92" t="s">
        <v>683</v>
      </c>
      <c r="H246" s="92" t="s">
        <v>10</v>
      </c>
      <c r="I246" s="92" t="s">
        <v>2</v>
      </c>
      <c r="J246" s="19" t="s">
        <v>2441</v>
      </c>
      <c r="K246" s="58">
        <v>34254</v>
      </c>
      <c r="L246" s="59">
        <f t="shared" si="9"/>
        <v>1993</v>
      </c>
      <c r="M246" s="59">
        <f t="shared" si="8"/>
        <v>26</v>
      </c>
      <c r="N246" s="92" t="s">
        <v>3</v>
      </c>
      <c r="O246" s="92" t="s">
        <v>1632</v>
      </c>
      <c r="P246" s="19" t="s">
        <v>1641</v>
      </c>
      <c r="Q246" s="92"/>
      <c r="R246" s="19" t="s">
        <v>1764</v>
      </c>
    </row>
    <row r="247" spans="2:18" ht="25.5" x14ac:dyDescent="0.25">
      <c r="B247" s="151"/>
      <c r="C247" s="151"/>
      <c r="D247" s="92">
        <v>240</v>
      </c>
      <c r="E247" s="19" t="s">
        <v>684</v>
      </c>
      <c r="F247" s="92" t="s">
        <v>18</v>
      </c>
      <c r="G247" s="92" t="s">
        <v>685</v>
      </c>
      <c r="H247" s="92" t="s">
        <v>10</v>
      </c>
      <c r="I247" s="92" t="s">
        <v>15</v>
      </c>
      <c r="J247" s="19" t="s">
        <v>1631</v>
      </c>
      <c r="K247" s="58">
        <v>37740</v>
      </c>
      <c r="L247" s="59">
        <f t="shared" si="9"/>
        <v>2003</v>
      </c>
      <c r="M247" s="59">
        <f t="shared" si="8"/>
        <v>16</v>
      </c>
      <c r="N247" s="92" t="s">
        <v>3</v>
      </c>
      <c r="O247" s="92" t="s">
        <v>1632</v>
      </c>
      <c r="P247" s="19" t="s">
        <v>1732</v>
      </c>
      <c r="Q247" s="92"/>
      <c r="R247" s="19" t="s">
        <v>1625</v>
      </c>
    </row>
    <row r="248" spans="2:18" ht="25.5" x14ac:dyDescent="0.25">
      <c r="B248" s="151"/>
      <c r="C248" s="151"/>
      <c r="D248" s="92">
        <v>241</v>
      </c>
      <c r="E248" s="19" t="s">
        <v>686</v>
      </c>
      <c r="F248" s="92" t="s">
        <v>18</v>
      </c>
      <c r="G248" s="92" t="s">
        <v>687</v>
      </c>
      <c r="H248" s="92" t="s">
        <v>10</v>
      </c>
      <c r="I248" s="92" t="s">
        <v>15</v>
      </c>
      <c r="J248" s="19" t="s">
        <v>1631</v>
      </c>
      <c r="K248" s="58">
        <v>41437</v>
      </c>
      <c r="L248" s="59">
        <f t="shared" si="9"/>
        <v>2013</v>
      </c>
      <c r="M248" s="59">
        <f t="shared" si="8"/>
        <v>6</v>
      </c>
      <c r="N248" s="92" t="s">
        <v>3</v>
      </c>
      <c r="O248" s="92" t="s">
        <v>1632</v>
      </c>
      <c r="P248" s="19" t="s">
        <v>1733</v>
      </c>
      <c r="Q248" s="92"/>
      <c r="R248" s="19" t="s">
        <v>1638</v>
      </c>
    </row>
    <row r="249" spans="2:18" ht="25.5" x14ac:dyDescent="0.25">
      <c r="B249" s="151"/>
      <c r="C249" s="151"/>
      <c r="D249" s="92">
        <v>242</v>
      </c>
      <c r="E249" s="19" t="s">
        <v>2439</v>
      </c>
      <c r="F249" s="92" t="s">
        <v>18</v>
      </c>
      <c r="G249" s="92" t="s">
        <v>2440</v>
      </c>
      <c r="H249" s="92" t="s">
        <v>1</v>
      </c>
      <c r="I249" s="92" t="s">
        <v>15</v>
      </c>
      <c r="J249" s="19" t="s">
        <v>1631</v>
      </c>
      <c r="K249" s="58">
        <v>42772</v>
      </c>
      <c r="L249" s="59">
        <f t="shared" si="9"/>
        <v>2017</v>
      </c>
      <c r="M249" s="59">
        <f t="shared" si="8"/>
        <v>2</v>
      </c>
      <c r="N249" s="92" t="s">
        <v>3</v>
      </c>
      <c r="O249" s="92" t="s">
        <v>1632</v>
      </c>
      <c r="P249" s="19" t="s">
        <v>1733</v>
      </c>
      <c r="Q249" s="92"/>
      <c r="R249" s="19" t="s">
        <v>1638</v>
      </c>
    </row>
    <row r="250" spans="2:18" ht="25.5" x14ac:dyDescent="0.25">
      <c r="B250" s="151">
        <v>65</v>
      </c>
      <c r="C250" s="151" t="s">
        <v>2442</v>
      </c>
      <c r="D250" s="92">
        <v>243</v>
      </c>
      <c r="E250" s="19" t="s">
        <v>2443</v>
      </c>
      <c r="F250" s="92" t="s">
        <v>7</v>
      </c>
      <c r="G250" s="92" t="s">
        <v>2446</v>
      </c>
      <c r="H250" s="92" t="s">
        <v>1</v>
      </c>
      <c r="I250" s="92" t="s">
        <v>2</v>
      </c>
      <c r="J250" s="19" t="s">
        <v>1631</v>
      </c>
      <c r="K250" s="58">
        <v>33737</v>
      </c>
      <c r="L250" s="59">
        <f t="shared" si="9"/>
        <v>1992</v>
      </c>
      <c r="M250" s="59">
        <f t="shared" si="8"/>
        <v>27</v>
      </c>
      <c r="N250" s="92" t="s">
        <v>3</v>
      </c>
      <c r="O250" s="92" t="s">
        <v>1632</v>
      </c>
      <c r="P250" s="19" t="s">
        <v>1677</v>
      </c>
      <c r="Q250" s="92"/>
      <c r="R250" s="19" t="s">
        <v>39</v>
      </c>
    </row>
    <row r="251" spans="2:18" ht="25.5" x14ac:dyDescent="0.25">
      <c r="B251" s="151"/>
      <c r="C251" s="151"/>
      <c r="D251" s="92">
        <v>244</v>
      </c>
      <c r="E251" s="19" t="s">
        <v>2444</v>
      </c>
      <c r="F251" s="92" t="s">
        <v>12</v>
      </c>
      <c r="G251" s="92" t="s">
        <v>2447</v>
      </c>
      <c r="H251" s="92" t="s">
        <v>10</v>
      </c>
      <c r="I251" s="92" t="s">
        <v>2</v>
      </c>
      <c r="J251" s="19" t="s">
        <v>2449</v>
      </c>
      <c r="K251" s="58">
        <v>34708</v>
      </c>
      <c r="L251" s="59">
        <f t="shared" si="9"/>
        <v>1995</v>
      </c>
      <c r="M251" s="59">
        <f t="shared" si="8"/>
        <v>24</v>
      </c>
      <c r="N251" s="92" t="s">
        <v>3</v>
      </c>
      <c r="O251" s="92" t="s">
        <v>1632</v>
      </c>
      <c r="P251" s="19" t="s">
        <v>1677</v>
      </c>
      <c r="Q251" s="92"/>
      <c r="R251" s="19" t="s">
        <v>1764</v>
      </c>
    </row>
    <row r="252" spans="2:18" ht="25.5" x14ac:dyDescent="0.25">
      <c r="B252" s="151"/>
      <c r="C252" s="151"/>
      <c r="D252" s="92">
        <v>245</v>
      </c>
      <c r="E252" s="19" t="s">
        <v>2445</v>
      </c>
      <c r="F252" s="92" t="s">
        <v>18</v>
      </c>
      <c r="G252" s="92" t="s">
        <v>2448</v>
      </c>
      <c r="H252" s="92" t="s">
        <v>1</v>
      </c>
      <c r="I252" s="92" t="s">
        <v>15</v>
      </c>
      <c r="J252" s="19" t="s">
        <v>1631</v>
      </c>
      <c r="K252" s="58">
        <v>42930</v>
      </c>
      <c r="L252" s="59">
        <f t="shared" si="9"/>
        <v>2017</v>
      </c>
      <c r="M252" s="59">
        <f t="shared" si="8"/>
        <v>2</v>
      </c>
      <c r="N252" s="92" t="s">
        <v>3</v>
      </c>
      <c r="O252" s="92" t="s">
        <v>1632</v>
      </c>
      <c r="P252" s="19" t="s">
        <v>1733</v>
      </c>
      <c r="Q252" s="92"/>
      <c r="R252" s="19" t="s">
        <v>1638</v>
      </c>
    </row>
    <row r="256" spans="2:18" s="57" customFormat="1" ht="15" x14ac:dyDescent="0.25">
      <c r="D256" s="166" t="s">
        <v>2509</v>
      </c>
      <c r="E256" s="166"/>
      <c r="F256" s="166"/>
      <c r="K256" s="125"/>
      <c r="L256" s="120"/>
      <c r="P256" s="121"/>
      <c r="R256" s="121"/>
    </row>
    <row r="257" spans="4:18" s="57" customFormat="1" ht="15" x14ac:dyDescent="0.25">
      <c r="D257" s="166" t="s">
        <v>2510</v>
      </c>
      <c r="E257" s="166"/>
      <c r="F257" s="166"/>
      <c r="K257" s="125"/>
      <c r="L257" s="120"/>
      <c r="P257" s="146" t="s">
        <v>2511</v>
      </c>
      <c r="Q257" s="146"/>
      <c r="R257" s="121"/>
    </row>
    <row r="258" spans="4:18" s="57" customFormat="1" ht="15" x14ac:dyDescent="0.25">
      <c r="D258" s="122"/>
      <c r="E258" s="123"/>
      <c r="F258" s="122"/>
      <c r="K258" s="125"/>
      <c r="L258" s="120"/>
      <c r="P258" s="64"/>
      <c r="Q258" s="65"/>
      <c r="R258" s="121"/>
    </row>
    <row r="259" spans="4:18" s="57" customFormat="1" ht="15" x14ac:dyDescent="0.25">
      <c r="D259" s="122"/>
      <c r="E259" s="123"/>
      <c r="F259" s="122"/>
      <c r="K259" s="125"/>
      <c r="L259" s="120"/>
      <c r="P259" s="64"/>
      <c r="Q259" s="65"/>
      <c r="R259" s="121"/>
    </row>
    <row r="260" spans="4:18" s="57" customFormat="1" ht="14.25" x14ac:dyDescent="0.2">
      <c r="D260" s="167" t="s">
        <v>2512</v>
      </c>
      <c r="E260" s="167"/>
      <c r="F260" s="167"/>
      <c r="K260" s="125"/>
      <c r="L260" s="120"/>
      <c r="P260" s="145" t="s">
        <v>946</v>
      </c>
      <c r="Q260" s="145"/>
      <c r="R260" s="121"/>
    </row>
    <row r="261" spans="4:18" s="57" customFormat="1" ht="14.25" x14ac:dyDescent="0.2">
      <c r="D261" s="167" t="s">
        <v>2513</v>
      </c>
      <c r="E261" s="167"/>
      <c r="F261" s="167"/>
      <c r="K261" s="125"/>
      <c r="L261" s="120"/>
      <c r="P261" s="121"/>
      <c r="R261" s="121"/>
    </row>
  </sheetData>
  <autoFilter ref="B7:R252"/>
  <mergeCells count="146">
    <mergeCell ref="D256:F256"/>
    <mergeCell ref="D257:F257"/>
    <mergeCell ref="P257:Q257"/>
    <mergeCell ref="D260:F260"/>
    <mergeCell ref="P260:Q260"/>
    <mergeCell ref="D261:F261"/>
    <mergeCell ref="C141:C144"/>
    <mergeCell ref="C145:C150"/>
    <mergeCell ref="C151:C154"/>
    <mergeCell ref="C155:C156"/>
    <mergeCell ref="C162:C164"/>
    <mergeCell ref="C178:C182"/>
    <mergeCell ref="C195:C198"/>
    <mergeCell ref="C183:C185"/>
    <mergeCell ref="C250:C252"/>
    <mergeCell ref="C245:C249"/>
    <mergeCell ref="C235:C240"/>
    <mergeCell ref="C241:C244"/>
    <mergeCell ref="C229:C232"/>
    <mergeCell ref="B1:R1"/>
    <mergeCell ref="B2:R2"/>
    <mergeCell ref="C8:C12"/>
    <mergeCell ref="C13:C16"/>
    <mergeCell ref="C20:C21"/>
    <mergeCell ref="C30:C35"/>
    <mergeCell ref="C40:C43"/>
    <mergeCell ref="C48:C51"/>
    <mergeCell ref="C52:C53"/>
    <mergeCell ref="O5:O6"/>
    <mergeCell ref="Q5:Q6"/>
    <mergeCell ref="D5:D6"/>
    <mergeCell ref="B20:B21"/>
    <mergeCell ref="B13:B16"/>
    <mergeCell ref="J5:M5"/>
    <mergeCell ref="B8:B12"/>
    <mergeCell ref="B17:B19"/>
    <mergeCell ref="G5:G6"/>
    <mergeCell ref="N5:N6"/>
    <mergeCell ref="P5:P6"/>
    <mergeCell ref="R5:R6"/>
    <mergeCell ref="F5:F6"/>
    <mergeCell ref="H5:H6"/>
    <mergeCell ref="I5:I6"/>
    <mergeCell ref="B186:B190"/>
    <mergeCell ref="C186:C190"/>
    <mergeCell ref="C191:C194"/>
    <mergeCell ref="C112:C118"/>
    <mergeCell ref="C123:C126"/>
    <mergeCell ref="C127:C130"/>
    <mergeCell ref="C131:C134"/>
    <mergeCell ref="B250:B252"/>
    <mergeCell ref="B241:B244"/>
    <mergeCell ref="B235:B240"/>
    <mergeCell ref="B233:B234"/>
    <mergeCell ref="C233:C234"/>
    <mergeCell ref="C227:C228"/>
    <mergeCell ref="B227:B228"/>
    <mergeCell ref="C218:C220"/>
    <mergeCell ref="C214:C217"/>
    <mergeCell ref="B245:B249"/>
    <mergeCell ref="B218:B220"/>
    <mergeCell ref="B214:B217"/>
    <mergeCell ref="B207:B209"/>
    <mergeCell ref="C207:C209"/>
    <mergeCell ref="B191:B194"/>
    <mergeCell ref="C200:C206"/>
    <mergeCell ref="C210:C213"/>
    <mergeCell ref="B210:B213"/>
    <mergeCell ref="B88:B90"/>
    <mergeCell ref="C88:C90"/>
    <mergeCell ref="B96:B98"/>
    <mergeCell ref="C99:C100"/>
    <mergeCell ref="B119:B122"/>
    <mergeCell ref="C119:C122"/>
    <mergeCell ref="B131:B134"/>
    <mergeCell ref="C136:C140"/>
    <mergeCell ref="B136:B140"/>
    <mergeCell ref="B127:B130"/>
    <mergeCell ref="B91:B95"/>
    <mergeCell ref="C91:C95"/>
    <mergeCell ref="B99:B100"/>
    <mergeCell ref="B101:B104"/>
    <mergeCell ref="B105:B108"/>
    <mergeCell ref="C101:C104"/>
    <mergeCell ref="C105:C108"/>
    <mergeCell ref="C109:C111"/>
    <mergeCell ref="B155:B156"/>
    <mergeCell ref="B157:B161"/>
    <mergeCell ref="B183:B185"/>
    <mergeCell ref="B168:B169"/>
    <mergeCell ref="C96:C98"/>
    <mergeCell ref="B170:B174"/>
    <mergeCell ref="C54:C59"/>
    <mergeCell ref="B71:B73"/>
    <mergeCell ref="B74:B77"/>
    <mergeCell ref="B84:B86"/>
    <mergeCell ref="C84:C86"/>
    <mergeCell ref="B141:B144"/>
    <mergeCell ref="C157:C161"/>
    <mergeCell ref="B162:B164"/>
    <mergeCell ref="B165:B167"/>
    <mergeCell ref="C165:C167"/>
    <mergeCell ref="C168:C169"/>
    <mergeCell ref="C170:C174"/>
    <mergeCell ref="C65:C66"/>
    <mergeCell ref="B48:B51"/>
    <mergeCell ref="B26:B29"/>
    <mergeCell ref="B24:B25"/>
    <mergeCell ref="B78:B83"/>
    <mergeCell ref="C74:C77"/>
    <mergeCell ref="B22:B23"/>
    <mergeCell ref="B54:B59"/>
    <mergeCell ref="B60:B64"/>
    <mergeCell ref="C60:C64"/>
    <mergeCell ref="B67:B70"/>
    <mergeCell ref="C67:C70"/>
    <mergeCell ref="C71:C73"/>
    <mergeCell ref="B30:B35"/>
    <mergeCell ref="C36:C39"/>
    <mergeCell ref="C44:C47"/>
    <mergeCell ref="C78:C83"/>
    <mergeCell ref="B52:B53"/>
    <mergeCell ref="C5:C6"/>
    <mergeCell ref="E5:E6"/>
    <mergeCell ref="B5:B6"/>
    <mergeCell ref="C22:C23"/>
    <mergeCell ref="B229:B232"/>
    <mergeCell ref="C24:C25"/>
    <mergeCell ref="B175:B177"/>
    <mergeCell ref="B145:B150"/>
    <mergeCell ref="B151:B154"/>
    <mergeCell ref="B65:B66"/>
    <mergeCell ref="C221:C226"/>
    <mergeCell ref="B221:B226"/>
    <mergeCell ref="B195:B198"/>
    <mergeCell ref="B200:B206"/>
    <mergeCell ref="B123:B126"/>
    <mergeCell ref="B178:B182"/>
    <mergeCell ref="C175:C177"/>
    <mergeCell ref="B109:B111"/>
    <mergeCell ref="B112:B118"/>
    <mergeCell ref="C26:C29"/>
    <mergeCell ref="C17:C19"/>
    <mergeCell ref="B36:B39"/>
    <mergeCell ref="B40:B43"/>
    <mergeCell ref="B44:B47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2"/>
  <sheetViews>
    <sheetView workbookViewId="0">
      <pane ySplit="6" topLeftCell="A146" activePane="bottomLeft" state="frozen"/>
      <selection pane="bottomLeft" activeCell="I151" sqref="I151"/>
    </sheetView>
  </sheetViews>
  <sheetFormatPr defaultRowHeight="12.75" x14ac:dyDescent="0.25"/>
  <cols>
    <col min="1" max="1" width="9.140625" style="56"/>
    <col min="2" max="2" width="3.42578125" style="56" bestFit="1" customWidth="1"/>
    <col min="3" max="3" width="15.7109375" style="56" customWidth="1"/>
    <col min="4" max="4" width="6.7109375" style="56" customWidth="1"/>
    <col min="5" max="5" width="12.7109375" style="100" customWidth="1"/>
    <col min="6" max="6" width="9.7109375" style="56" customWidth="1"/>
    <col min="7" max="7" width="15.7109375" style="56" customWidth="1"/>
    <col min="8" max="8" width="7.7109375" style="56" customWidth="1"/>
    <col min="9" max="9" width="10.7109375" style="56" customWidth="1"/>
    <col min="10" max="10" width="13.7109375" style="100" customWidth="1"/>
    <col min="11" max="11" width="16.140625" style="109" bestFit="1" customWidth="1"/>
    <col min="12" max="12" width="5.7109375" style="110" bestFit="1" customWidth="1"/>
    <col min="13" max="13" width="5" style="110" bestFit="1" customWidth="1"/>
    <col min="14" max="14" width="6.42578125" style="56" bestFit="1" customWidth="1"/>
    <col min="15" max="15" width="5.42578125" style="56" bestFit="1" customWidth="1"/>
    <col min="16" max="16" width="16.7109375" style="100" customWidth="1"/>
    <col min="17" max="17" width="7.5703125" style="56" bestFit="1" customWidth="1"/>
    <col min="18" max="18" width="15.7109375" style="100" customWidth="1"/>
    <col min="19" max="16384" width="9.140625" style="56"/>
  </cols>
  <sheetData>
    <row r="1" spans="2:18" s="63" customFormat="1" ht="15.75" x14ac:dyDescent="0.25">
      <c r="B1" s="164" t="s">
        <v>2500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2:18" s="63" customFormat="1" ht="15.75" x14ac:dyDescent="0.25">
      <c r="B2" s="164" t="s">
        <v>2501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</row>
    <row r="3" spans="2:18" s="63" customFormat="1" ht="15.75" x14ac:dyDescent="0.25">
      <c r="B3" s="115" t="s">
        <v>2503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2:18" ht="15.75" x14ac:dyDescent="0.25">
      <c r="B4" s="115" t="s">
        <v>2508</v>
      </c>
    </row>
    <row r="5" spans="2:18" ht="20.100000000000001" customHeight="1" x14ac:dyDescent="0.25">
      <c r="B5" s="160" t="s">
        <v>348</v>
      </c>
      <c r="C5" s="160" t="s">
        <v>1745</v>
      </c>
      <c r="D5" s="159" t="s">
        <v>1609</v>
      </c>
      <c r="E5" s="159" t="s">
        <v>2502</v>
      </c>
      <c r="F5" s="159" t="s">
        <v>356</v>
      </c>
      <c r="G5" s="161" t="s">
        <v>357</v>
      </c>
      <c r="H5" s="159" t="s">
        <v>350</v>
      </c>
      <c r="I5" s="159" t="s">
        <v>351</v>
      </c>
      <c r="J5" s="160" t="s">
        <v>1610</v>
      </c>
      <c r="K5" s="160"/>
      <c r="L5" s="160"/>
      <c r="M5" s="168" t="s">
        <v>1720</v>
      </c>
      <c r="N5" s="160" t="s">
        <v>353</v>
      </c>
      <c r="O5" s="160" t="s">
        <v>1722</v>
      </c>
      <c r="P5" s="159" t="s">
        <v>354</v>
      </c>
      <c r="Q5" s="160" t="s">
        <v>1613</v>
      </c>
      <c r="R5" s="159" t="s">
        <v>355</v>
      </c>
    </row>
    <row r="6" spans="2:18" ht="20.100000000000001" customHeight="1" x14ac:dyDescent="0.25">
      <c r="B6" s="160"/>
      <c r="C6" s="160"/>
      <c r="D6" s="159"/>
      <c r="E6" s="159"/>
      <c r="F6" s="159"/>
      <c r="G6" s="161"/>
      <c r="H6" s="159"/>
      <c r="I6" s="159"/>
      <c r="J6" s="103" t="s">
        <v>1718</v>
      </c>
      <c r="K6" s="104" t="s">
        <v>1719</v>
      </c>
      <c r="L6" s="105" t="s">
        <v>1721</v>
      </c>
      <c r="M6" s="168"/>
      <c r="N6" s="160"/>
      <c r="O6" s="160"/>
      <c r="P6" s="159"/>
      <c r="Q6" s="160"/>
      <c r="R6" s="159"/>
    </row>
    <row r="7" spans="2:18" x14ac:dyDescent="0.25">
      <c r="B7" s="106"/>
      <c r="C7" s="106"/>
      <c r="D7" s="106"/>
      <c r="E7" s="103"/>
      <c r="F7" s="106"/>
      <c r="G7" s="107"/>
      <c r="H7" s="106"/>
      <c r="I7" s="106"/>
      <c r="J7" s="103"/>
      <c r="K7" s="104"/>
      <c r="L7" s="105"/>
      <c r="M7" s="105"/>
      <c r="N7" s="106"/>
      <c r="O7" s="106"/>
      <c r="P7" s="103"/>
      <c r="Q7" s="106"/>
      <c r="R7" s="103"/>
    </row>
    <row r="8" spans="2:18" x14ac:dyDescent="0.25">
      <c r="B8" s="151">
        <v>1</v>
      </c>
      <c r="C8" s="151"/>
      <c r="D8" s="92">
        <v>1</v>
      </c>
      <c r="E8" s="19" t="s">
        <v>591</v>
      </c>
      <c r="F8" s="92" t="s">
        <v>7</v>
      </c>
      <c r="G8" s="92" t="s">
        <v>592</v>
      </c>
      <c r="H8" s="92" t="s">
        <v>1</v>
      </c>
      <c r="I8" s="92" t="s">
        <v>2</v>
      </c>
      <c r="J8" s="19"/>
      <c r="K8" s="58">
        <v>30922</v>
      </c>
      <c r="L8" s="59">
        <f>YEAR(K8)</f>
        <v>1984</v>
      </c>
      <c r="M8" s="59">
        <f>2019-L8</f>
        <v>35</v>
      </c>
      <c r="N8" s="92" t="s">
        <v>3</v>
      </c>
      <c r="O8" s="92"/>
      <c r="P8" s="19" t="s">
        <v>27</v>
      </c>
      <c r="Q8" s="92"/>
      <c r="R8" s="19" t="s">
        <v>39</v>
      </c>
    </row>
    <row r="9" spans="2:18" x14ac:dyDescent="0.25">
      <c r="B9" s="151"/>
      <c r="C9" s="151"/>
      <c r="D9" s="92">
        <v>2</v>
      </c>
      <c r="E9" s="19" t="s">
        <v>593</v>
      </c>
      <c r="F9" s="92" t="s">
        <v>12</v>
      </c>
      <c r="G9" s="92" t="s">
        <v>594</v>
      </c>
      <c r="H9" s="92" t="s">
        <v>10</v>
      </c>
      <c r="I9" s="92" t="s">
        <v>2</v>
      </c>
      <c r="J9" s="19"/>
      <c r="K9" s="58">
        <v>31848</v>
      </c>
      <c r="L9" s="59">
        <f t="shared" ref="L9:L10" si="0">YEAR(K9)</f>
        <v>1987</v>
      </c>
      <c r="M9" s="59">
        <f t="shared" ref="M9:M64" si="1">2019-L9</f>
        <v>32</v>
      </c>
      <c r="N9" s="92" t="s">
        <v>3</v>
      </c>
      <c r="O9" s="92"/>
      <c r="P9" s="19" t="s">
        <v>27</v>
      </c>
      <c r="Q9" s="92"/>
      <c r="R9" s="19" t="s">
        <v>28</v>
      </c>
    </row>
    <row r="10" spans="2:18" ht="25.5" x14ac:dyDescent="0.25">
      <c r="B10" s="151"/>
      <c r="C10" s="151"/>
      <c r="D10" s="92">
        <v>3</v>
      </c>
      <c r="E10" s="19" t="s">
        <v>595</v>
      </c>
      <c r="F10" s="92" t="s">
        <v>18</v>
      </c>
      <c r="G10" s="92" t="s">
        <v>596</v>
      </c>
      <c r="H10" s="92" t="s">
        <v>1</v>
      </c>
      <c r="I10" s="92" t="s">
        <v>15</v>
      </c>
      <c r="J10" s="19"/>
      <c r="K10" s="58">
        <v>40983</v>
      </c>
      <c r="L10" s="59">
        <f t="shared" si="0"/>
        <v>2012</v>
      </c>
      <c r="M10" s="59">
        <f t="shared" si="1"/>
        <v>7</v>
      </c>
      <c r="N10" s="92" t="s">
        <v>3</v>
      </c>
      <c r="O10" s="92"/>
      <c r="P10" s="19" t="s">
        <v>16</v>
      </c>
      <c r="Q10" s="92"/>
      <c r="R10" s="19" t="s">
        <v>16</v>
      </c>
    </row>
    <row r="11" spans="2:18" ht="25.5" x14ac:dyDescent="0.25">
      <c r="B11" s="151">
        <v>2</v>
      </c>
      <c r="C11" s="151" t="s">
        <v>2373</v>
      </c>
      <c r="D11" s="92">
        <v>4</v>
      </c>
      <c r="E11" s="19" t="s">
        <v>79</v>
      </c>
      <c r="F11" s="92" t="s">
        <v>7</v>
      </c>
      <c r="G11" s="92" t="s">
        <v>597</v>
      </c>
      <c r="H11" s="92" t="s">
        <v>1</v>
      </c>
      <c r="I11" s="92" t="s">
        <v>2</v>
      </c>
      <c r="J11" s="19" t="s">
        <v>1631</v>
      </c>
      <c r="K11" s="58">
        <v>19731</v>
      </c>
      <c r="L11" s="59">
        <v>1954</v>
      </c>
      <c r="M11" s="59">
        <f t="shared" si="1"/>
        <v>65</v>
      </c>
      <c r="N11" s="92" t="s">
        <v>3</v>
      </c>
      <c r="O11" s="92" t="s">
        <v>1632</v>
      </c>
      <c r="P11" s="19" t="s">
        <v>1732</v>
      </c>
      <c r="Q11" s="92"/>
      <c r="R11" s="19" t="s">
        <v>1808</v>
      </c>
    </row>
    <row r="12" spans="2:18" ht="25.5" x14ac:dyDescent="0.25">
      <c r="B12" s="151"/>
      <c r="C12" s="151"/>
      <c r="D12" s="92">
        <v>5</v>
      </c>
      <c r="E12" s="19" t="s">
        <v>598</v>
      </c>
      <c r="F12" s="92" t="s">
        <v>12</v>
      </c>
      <c r="G12" s="92" t="s">
        <v>599</v>
      </c>
      <c r="H12" s="92" t="s">
        <v>10</v>
      </c>
      <c r="I12" s="92" t="s">
        <v>2</v>
      </c>
      <c r="J12" s="19" t="s">
        <v>1631</v>
      </c>
      <c r="K12" s="58">
        <v>21192</v>
      </c>
      <c r="L12" s="59">
        <v>1958</v>
      </c>
      <c r="M12" s="59">
        <f t="shared" si="1"/>
        <v>61</v>
      </c>
      <c r="N12" s="92" t="s">
        <v>3</v>
      </c>
      <c r="O12" s="92" t="s">
        <v>1632</v>
      </c>
      <c r="P12" s="19" t="s">
        <v>1732</v>
      </c>
      <c r="Q12" s="92"/>
      <c r="R12" s="19" t="s">
        <v>1808</v>
      </c>
    </row>
    <row r="13" spans="2:18" ht="25.5" x14ac:dyDescent="0.25">
      <c r="B13" s="151"/>
      <c r="C13" s="151"/>
      <c r="D13" s="92">
        <v>6</v>
      </c>
      <c r="E13" s="19" t="s">
        <v>600</v>
      </c>
      <c r="F13" s="92" t="s">
        <v>18</v>
      </c>
      <c r="G13" s="92" t="s">
        <v>2374</v>
      </c>
      <c r="H13" s="92" t="s">
        <v>10</v>
      </c>
      <c r="I13" s="92" t="s">
        <v>15</v>
      </c>
      <c r="J13" s="19" t="s">
        <v>2294</v>
      </c>
      <c r="K13" s="58">
        <v>30817</v>
      </c>
      <c r="L13" s="59">
        <v>1984</v>
      </c>
      <c r="M13" s="59">
        <f t="shared" si="1"/>
        <v>35</v>
      </c>
      <c r="N13" s="92" t="s">
        <v>3</v>
      </c>
      <c r="O13" s="92" t="s">
        <v>1632</v>
      </c>
      <c r="P13" s="19" t="s">
        <v>1641</v>
      </c>
      <c r="Q13" s="92"/>
      <c r="R13" s="19" t="s">
        <v>1772</v>
      </c>
    </row>
    <row r="14" spans="2:18" x14ac:dyDescent="0.25">
      <c r="B14" s="151"/>
      <c r="C14" s="151"/>
      <c r="D14" s="92">
        <v>7</v>
      </c>
      <c r="E14" s="19" t="s">
        <v>602</v>
      </c>
      <c r="F14" s="92" t="s">
        <v>18</v>
      </c>
      <c r="G14" s="92" t="s">
        <v>2375</v>
      </c>
      <c r="H14" s="92" t="s">
        <v>10</v>
      </c>
      <c r="I14" s="92" t="s">
        <v>15</v>
      </c>
      <c r="J14" s="19" t="s">
        <v>1623</v>
      </c>
      <c r="K14" s="58">
        <v>34253</v>
      </c>
      <c r="L14" s="59">
        <v>1993</v>
      </c>
      <c r="M14" s="59">
        <f t="shared" si="1"/>
        <v>26</v>
      </c>
      <c r="N14" s="92" t="s">
        <v>3</v>
      </c>
      <c r="O14" s="92" t="s">
        <v>1632</v>
      </c>
      <c r="P14" s="19" t="s">
        <v>2376</v>
      </c>
      <c r="Q14" s="92"/>
      <c r="R14" s="19" t="s">
        <v>1625</v>
      </c>
    </row>
    <row r="15" spans="2:18" ht="25.5" x14ac:dyDescent="0.25">
      <c r="B15" s="151">
        <v>3</v>
      </c>
      <c r="C15" s="151"/>
      <c r="D15" s="92">
        <v>8</v>
      </c>
      <c r="E15" s="19" t="s">
        <v>603</v>
      </c>
      <c r="F15" s="92" t="s">
        <v>7</v>
      </c>
      <c r="G15" s="92" t="s">
        <v>604</v>
      </c>
      <c r="H15" s="92" t="s">
        <v>1</v>
      </c>
      <c r="I15" s="92" t="s">
        <v>2</v>
      </c>
      <c r="J15" s="19"/>
      <c r="K15" s="58">
        <v>26166</v>
      </c>
      <c r="L15" s="59">
        <f t="shared" ref="L15:L26" si="2">YEAR(K15)</f>
        <v>1971</v>
      </c>
      <c r="M15" s="59">
        <f t="shared" si="1"/>
        <v>48</v>
      </c>
      <c r="N15" s="92" t="s">
        <v>3</v>
      </c>
      <c r="O15" s="92"/>
      <c r="P15" s="19" t="s">
        <v>27</v>
      </c>
      <c r="Q15" s="92"/>
      <c r="R15" s="19" t="s">
        <v>39</v>
      </c>
    </row>
    <row r="16" spans="2:18" x14ac:dyDescent="0.25">
      <c r="B16" s="151"/>
      <c r="C16" s="151"/>
      <c r="D16" s="92">
        <v>9</v>
      </c>
      <c r="E16" s="19" t="s">
        <v>605</v>
      </c>
      <c r="F16" s="92" t="s">
        <v>12</v>
      </c>
      <c r="G16" s="92" t="s">
        <v>606</v>
      </c>
      <c r="H16" s="92" t="s">
        <v>10</v>
      </c>
      <c r="I16" s="92" t="s">
        <v>2</v>
      </c>
      <c r="J16" s="19"/>
      <c r="K16" s="58">
        <v>28543</v>
      </c>
      <c r="L16" s="59">
        <f t="shared" si="2"/>
        <v>1978</v>
      </c>
      <c r="M16" s="59">
        <f t="shared" si="1"/>
        <v>41</v>
      </c>
      <c r="N16" s="92" t="s">
        <v>3</v>
      </c>
      <c r="O16" s="92"/>
      <c r="P16" s="19" t="s">
        <v>27</v>
      </c>
      <c r="Q16" s="92"/>
      <c r="R16" s="19" t="s">
        <v>39</v>
      </c>
    </row>
    <row r="17" spans="2:18" ht="25.5" x14ac:dyDescent="0.25">
      <c r="B17" s="151"/>
      <c r="C17" s="151"/>
      <c r="D17" s="92">
        <v>10</v>
      </c>
      <c r="E17" s="19" t="s">
        <v>607</v>
      </c>
      <c r="F17" s="92" t="s">
        <v>18</v>
      </c>
      <c r="G17" s="92" t="s">
        <v>608</v>
      </c>
      <c r="H17" s="92" t="s">
        <v>1</v>
      </c>
      <c r="I17" s="92" t="s">
        <v>15</v>
      </c>
      <c r="J17" s="19"/>
      <c r="K17" s="58">
        <v>35906</v>
      </c>
      <c r="L17" s="59">
        <f t="shared" si="2"/>
        <v>1998</v>
      </c>
      <c r="M17" s="59">
        <f t="shared" si="1"/>
        <v>21</v>
      </c>
      <c r="N17" s="92" t="s">
        <v>3</v>
      </c>
      <c r="O17" s="92"/>
      <c r="P17" s="19" t="s">
        <v>46</v>
      </c>
      <c r="Q17" s="92"/>
      <c r="R17" s="19" t="s">
        <v>16</v>
      </c>
    </row>
    <row r="18" spans="2:18" ht="38.25" x14ac:dyDescent="0.25">
      <c r="B18" s="151"/>
      <c r="C18" s="151"/>
      <c r="D18" s="92">
        <v>11</v>
      </c>
      <c r="E18" s="19" t="s">
        <v>609</v>
      </c>
      <c r="F18" s="92" t="s">
        <v>18</v>
      </c>
      <c r="G18" s="92" t="s">
        <v>610</v>
      </c>
      <c r="H18" s="92" t="s">
        <v>1</v>
      </c>
      <c r="I18" s="92" t="s">
        <v>15</v>
      </c>
      <c r="J18" s="19"/>
      <c r="K18" s="58">
        <v>36308</v>
      </c>
      <c r="L18" s="59">
        <f t="shared" si="2"/>
        <v>1999</v>
      </c>
      <c r="M18" s="59">
        <f t="shared" si="1"/>
        <v>20</v>
      </c>
      <c r="N18" s="92" t="s">
        <v>3</v>
      </c>
      <c r="O18" s="92"/>
      <c r="P18" s="19" t="s">
        <v>46</v>
      </c>
      <c r="Q18" s="92"/>
      <c r="R18" s="19" t="s">
        <v>16</v>
      </c>
    </row>
    <row r="19" spans="2:18" ht="25.5" x14ac:dyDescent="0.25">
      <c r="B19" s="151"/>
      <c r="C19" s="151"/>
      <c r="D19" s="92">
        <v>12</v>
      </c>
      <c r="E19" s="19" t="s">
        <v>611</v>
      </c>
      <c r="F19" s="92" t="s">
        <v>18</v>
      </c>
      <c r="G19" s="92" t="s">
        <v>612</v>
      </c>
      <c r="H19" s="92" t="s">
        <v>10</v>
      </c>
      <c r="I19" s="92" t="s">
        <v>15</v>
      </c>
      <c r="J19" s="19"/>
      <c r="K19" s="58">
        <v>39103</v>
      </c>
      <c r="L19" s="59">
        <f t="shared" si="2"/>
        <v>2007</v>
      </c>
      <c r="M19" s="59">
        <f t="shared" si="1"/>
        <v>12</v>
      </c>
      <c r="N19" s="92" t="s">
        <v>3</v>
      </c>
      <c r="O19" s="92"/>
      <c r="P19" s="19" t="s">
        <v>16</v>
      </c>
      <c r="Q19" s="92"/>
      <c r="R19" s="19" t="s">
        <v>16</v>
      </c>
    </row>
    <row r="20" spans="2:18" x14ac:dyDescent="0.25">
      <c r="B20" s="151">
        <v>4</v>
      </c>
      <c r="C20" s="151"/>
      <c r="D20" s="92">
        <v>13</v>
      </c>
      <c r="E20" s="19" t="s">
        <v>613</v>
      </c>
      <c r="F20" s="92" t="s">
        <v>7</v>
      </c>
      <c r="G20" s="92" t="s">
        <v>615</v>
      </c>
      <c r="H20" s="92" t="s">
        <v>1</v>
      </c>
      <c r="I20" s="92" t="s">
        <v>2</v>
      </c>
      <c r="J20" s="19"/>
      <c r="K20" s="58">
        <v>25557</v>
      </c>
      <c r="L20" s="59">
        <f t="shared" si="2"/>
        <v>1969</v>
      </c>
      <c r="M20" s="59">
        <f t="shared" si="1"/>
        <v>50</v>
      </c>
      <c r="N20" s="92" t="s">
        <v>3</v>
      </c>
      <c r="O20" s="92"/>
      <c r="P20" s="19" t="s">
        <v>27</v>
      </c>
      <c r="Q20" s="92"/>
      <c r="R20" s="19" t="s">
        <v>614</v>
      </c>
    </row>
    <row r="21" spans="2:18" x14ac:dyDescent="0.25">
      <c r="B21" s="151"/>
      <c r="C21" s="151"/>
      <c r="D21" s="92">
        <v>14</v>
      </c>
      <c r="E21" s="19" t="s">
        <v>616</v>
      </c>
      <c r="F21" s="92" t="s">
        <v>12</v>
      </c>
      <c r="G21" s="92" t="s">
        <v>617</v>
      </c>
      <c r="H21" s="92" t="s">
        <v>10</v>
      </c>
      <c r="I21" s="92" t="s">
        <v>2</v>
      </c>
      <c r="J21" s="19"/>
      <c r="K21" s="58">
        <v>26664</v>
      </c>
      <c r="L21" s="59">
        <f t="shared" si="2"/>
        <v>1972</v>
      </c>
      <c r="M21" s="59">
        <f t="shared" si="1"/>
        <v>47</v>
      </c>
      <c r="N21" s="92" t="s">
        <v>3</v>
      </c>
      <c r="O21" s="92"/>
      <c r="P21" s="19" t="s">
        <v>27</v>
      </c>
      <c r="Q21" s="92"/>
      <c r="R21" s="19" t="s">
        <v>39</v>
      </c>
    </row>
    <row r="22" spans="2:18" ht="25.5" x14ac:dyDescent="0.25">
      <c r="B22" s="151"/>
      <c r="C22" s="151"/>
      <c r="D22" s="92">
        <v>15</v>
      </c>
      <c r="E22" s="19" t="s">
        <v>618</v>
      </c>
      <c r="F22" s="92" t="s">
        <v>18</v>
      </c>
      <c r="G22" s="92" t="s">
        <v>619</v>
      </c>
      <c r="H22" s="92" t="s">
        <v>1</v>
      </c>
      <c r="I22" s="92" t="s">
        <v>15</v>
      </c>
      <c r="J22" s="19"/>
      <c r="K22" s="58">
        <v>33985</v>
      </c>
      <c r="L22" s="59">
        <f t="shared" si="2"/>
        <v>1993</v>
      </c>
      <c r="M22" s="59">
        <f t="shared" si="1"/>
        <v>26</v>
      </c>
      <c r="N22" s="92" t="s">
        <v>3</v>
      </c>
      <c r="O22" s="92"/>
      <c r="P22" s="19" t="s">
        <v>27</v>
      </c>
      <c r="Q22" s="92"/>
      <c r="R22" s="19" t="s">
        <v>614</v>
      </c>
    </row>
    <row r="23" spans="2:18" ht="38.25" x14ac:dyDescent="0.25">
      <c r="B23" s="151"/>
      <c r="C23" s="151"/>
      <c r="D23" s="92">
        <v>16</v>
      </c>
      <c r="E23" s="19" t="s">
        <v>620</v>
      </c>
      <c r="F23" s="92" t="s">
        <v>18</v>
      </c>
      <c r="G23" s="92" t="s">
        <v>621</v>
      </c>
      <c r="H23" s="92" t="s">
        <v>1</v>
      </c>
      <c r="I23" s="92" t="s">
        <v>15</v>
      </c>
      <c r="J23" s="19"/>
      <c r="K23" s="58">
        <v>34470</v>
      </c>
      <c r="L23" s="59">
        <f t="shared" si="2"/>
        <v>1994</v>
      </c>
      <c r="M23" s="59">
        <f t="shared" si="1"/>
        <v>25</v>
      </c>
      <c r="N23" s="92" t="s">
        <v>3</v>
      </c>
      <c r="O23" s="92"/>
      <c r="P23" s="19" t="s">
        <v>27</v>
      </c>
      <c r="Q23" s="92"/>
      <c r="R23" s="19" t="s">
        <v>16</v>
      </c>
    </row>
    <row r="24" spans="2:18" ht="25.5" x14ac:dyDescent="0.25">
      <c r="B24" s="151"/>
      <c r="C24" s="151"/>
      <c r="D24" s="92">
        <v>17</v>
      </c>
      <c r="E24" s="19" t="s">
        <v>622</v>
      </c>
      <c r="F24" s="92" t="s">
        <v>18</v>
      </c>
      <c r="G24" s="92" t="s">
        <v>623</v>
      </c>
      <c r="H24" s="92" t="s">
        <v>1</v>
      </c>
      <c r="I24" s="92" t="s">
        <v>15</v>
      </c>
      <c r="J24" s="19"/>
      <c r="K24" s="58">
        <v>36222</v>
      </c>
      <c r="L24" s="59">
        <f t="shared" si="2"/>
        <v>1999</v>
      </c>
      <c r="M24" s="59">
        <f t="shared" si="1"/>
        <v>20</v>
      </c>
      <c r="N24" s="92" t="s">
        <v>3</v>
      </c>
      <c r="O24" s="92"/>
      <c r="P24" s="19" t="s">
        <v>35</v>
      </c>
      <c r="Q24" s="92"/>
      <c r="R24" s="19" t="s">
        <v>16</v>
      </c>
    </row>
    <row r="25" spans="2:18" ht="25.5" x14ac:dyDescent="0.25">
      <c r="B25" s="151"/>
      <c r="C25" s="151"/>
      <c r="D25" s="92">
        <v>18</v>
      </c>
      <c r="E25" s="19" t="s">
        <v>624</v>
      </c>
      <c r="F25" s="92" t="s">
        <v>18</v>
      </c>
      <c r="G25" s="92" t="s">
        <v>625</v>
      </c>
      <c r="H25" s="92" t="s">
        <v>10</v>
      </c>
      <c r="I25" s="92" t="s">
        <v>15</v>
      </c>
      <c r="J25" s="19"/>
      <c r="K25" s="58">
        <v>37248</v>
      </c>
      <c r="L25" s="59">
        <f t="shared" si="2"/>
        <v>2001</v>
      </c>
      <c r="M25" s="59">
        <f t="shared" si="1"/>
        <v>18</v>
      </c>
      <c r="N25" s="92" t="s">
        <v>3</v>
      </c>
      <c r="O25" s="92"/>
      <c r="P25" s="19" t="s">
        <v>46</v>
      </c>
      <c r="Q25" s="92"/>
      <c r="R25" s="19" t="s">
        <v>16</v>
      </c>
    </row>
    <row r="26" spans="2:18" ht="25.5" x14ac:dyDescent="0.25">
      <c r="B26" s="151"/>
      <c r="C26" s="151"/>
      <c r="D26" s="92">
        <v>19</v>
      </c>
      <c r="E26" s="19" t="s">
        <v>626</v>
      </c>
      <c r="F26" s="92" t="s">
        <v>18</v>
      </c>
      <c r="G26" s="92" t="s">
        <v>627</v>
      </c>
      <c r="H26" s="92" t="s">
        <v>10</v>
      </c>
      <c r="I26" s="92" t="s">
        <v>15</v>
      </c>
      <c r="J26" s="19"/>
      <c r="K26" s="58">
        <v>41228</v>
      </c>
      <c r="L26" s="59">
        <f t="shared" si="2"/>
        <v>2012</v>
      </c>
      <c r="M26" s="59">
        <f t="shared" si="1"/>
        <v>7</v>
      </c>
      <c r="N26" s="92" t="s">
        <v>3</v>
      </c>
      <c r="O26" s="92"/>
      <c r="P26" s="19" t="s">
        <v>16</v>
      </c>
      <c r="Q26" s="92"/>
      <c r="R26" s="19" t="s">
        <v>16</v>
      </c>
    </row>
    <row r="27" spans="2:18" ht="15" customHeight="1" x14ac:dyDescent="0.25">
      <c r="B27" s="151">
        <v>5</v>
      </c>
      <c r="C27" s="152" t="s">
        <v>2483</v>
      </c>
      <c r="D27" s="92">
        <v>20</v>
      </c>
      <c r="E27" s="19" t="s">
        <v>2484</v>
      </c>
      <c r="F27" s="92" t="s">
        <v>7</v>
      </c>
      <c r="G27" s="92" t="s">
        <v>2486</v>
      </c>
      <c r="H27" s="92" t="s">
        <v>1</v>
      </c>
      <c r="I27" s="92" t="s">
        <v>2</v>
      </c>
      <c r="J27" s="19" t="s">
        <v>2487</v>
      </c>
      <c r="K27" s="58">
        <v>29586</v>
      </c>
      <c r="L27" s="59">
        <v>1980</v>
      </c>
      <c r="M27" s="59">
        <f t="shared" si="1"/>
        <v>39</v>
      </c>
      <c r="N27" s="92" t="s">
        <v>3</v>
      </c>
      <c r="O27" s="92" t="s">
        <v>1632</v>
      </c>
      <c r="P27" s="19" t="s">
        <v>1732</v>
      </c>
      <c r="Q27" s="92"/>
      <c r="R27" s="19" t="s">
        <v>1710</v>
      </c>
    </row>
    <row r="28" spans="2:18" ht="25.5" x14ac:dyDescent="0.25">
      <c r="B28" s="151"/>
      <c r="C28" s="153"/>
      <c r="D28" s="92">
        <v>21</v>
      </c>
      <c r="E28" s="19" t="s">
        <v>628</v>
      </c>
      <c r="F28" s="92" t="s">
        <v>12</v>
      </c>
      <c r="G28" s="92" t="s">
        <v>629</v>
      </c>
      <c r="H28" s="92" t="s">
        <v>10</v>
      </c>
      <c r="I28" s="92" t="s">
        <v>2</v>
      </c>
      <c r="J28" s="19" t="s">
        <v>1623</v>
      </c>
      <c r="K28" s="58">
        <v>25568</v>
      </c>
      <c r="L28" s="59">
        <v>1969</v>
      </c>
      <c r="M28" s="59">
        <f t="shared" si="1"/>
        <v>50</v>
      </c>
      <c r="N28" s="92" t="s">
        <v>3</v>
      </c>
      <c r="O28" s="92" t="s">
        <v>1632</v>
      </c>
      <c r="P28" s="19" t="s">
        <v>1635</v>
      </c>
      <c r="Q28" s="92"/>
      <c r="R28" s="19" t="s">
        <v>1710</v>
      </c>
    </row>
    <row r="29" spans="2:18" ht="25.5" x14ac:dyDescent="0.25">
      <c r="B29" s="151"/>
      <c r="C29" s="154"/>
      <c r="D29" s="92">
        <v>22</v>
      </c>
      <c r="E29" s="19" t="s">
        <v>2485</v>
      </c>
      <c r="F29" s="92" t="s">
        <v>18</v>
      </c>
      <c r="G29" s="92" t="s">
        <v>630</v>
      </c>
      <c r="H29" s="92" t="s">
        <v>10</v>
      </c>
      <c r="I29" s="92" t="s">
        <v>15</v>
      </c>
      <c r="J29" s="19" t="s">
        <v>1631</v>
      </c>
      <c r="K29" s="58">
        <v>33178</v>
      </c>
      <c r="L29" s="59">
        <v>1990</v>
      </c>
      <c r="M29" s="59">
        <f t="shared" si="1"/>
        <v>29</v>
      </c>
      <c r="N29" s="92" t="s">
        <v>3</v>
      </c>
      <c r="O29" s="92" t="s">
        <v>1632</v>
      </c>
      <c r="P29" s="19" t="s">
        <v>1641</v>
      </c>
      <c r="Q29" s="92"/>
      <c r="R29" s="19" t="s">
        <v>39</v>
      </c>
    </row>
    <row r="30" spans="2:18" x14ac:dyDescent="0.25">
      <c r="B30" s="92">
        <v>6</v>
      </c>
      <c r="C30" s="92"/>
      <c r="D30" s="92">
        <v>23</v>
      </c>
      <c r="E30" s="19" t="s">
        <v>631</v>
      </c>
      <c r="F30" s="92" t="s">
        <v>7</v>
      </c>
      <c r="G30" s="92" t="s">
        <v>632</v>
      </c>
      <c r="H30" s="92" t="s">
        <v>10</v>
      </c>
      <c r="I30" s="92" t="s">
        <v>21</v>
      </c>
      <c r="J30" s="19"/>
      <c r="K30" s="58">
        <v>20089</v>
      </c>
      <c r="L30" s="59">
        <f>YEAR(K30)</f>
        <v>1954</v>
      </c>
      <c r="M30" s="59">
        <f t="shared" si="1"/>
        <v>65</v>
      </c>
      <c r="N30" s="92" t="s">
        <v>3</v>
      </c>
      <c r="O30" s="92"/>
      <c r="P30" s="19" t="s">
        <v>46</v>
      </c>
      <c r="Q30" s="92"/>
      <c r="R30" s="19" t="s">
        <v>601</v>
      </c>
    </row>
    <row r="31" spans="2:18" ht="25.5" x14ac:dyDescent="0.25">
      <c r="B31" s="151">
        <v>7</v>
      </c>
      <c r="C31" s="151" t="s">
        <v>1739</v>
      </c>
      <c r="D31" s="92">
        <v>24</v>
      </c>
      <c r="E31" s="19" t="s">
        <v>633</v>
      </c>
      <c r="F31" s="92" t="s">
        <v>7</v>
      </c>
      <c r="G31" s="92" t="s">
        <v>1740</v>
      </c>
      <c r="H31" s="92" t="s">
        <v>1</v>
      </c>
      <c r="I31" s="92" t="s">
        <v>2</v>
      </c>
      <c r="J31" s="19" t="s">
        <v>1631</v>
      </c>
      <c r="K31" s="58">
        <v>22653</v>
      </c>
      <c r="L31" s="59">
        <v>1962</v>
      </c>
      <c r="M31" s="59">
        <f t="shared" si="1"/>
        <v>57</v>
      </c>
      <c r="N31" s="92" t="s">
        <v>3</v>
      </c>
      <c r="O31" s="92" t="s">
        <v>1632</v>
      </c>
      <c r="P31" s="19" t="s">
        <v>35</v>
      </c>
      <c r="Q31" s="92"/>
      <c r="R31" s="19" t="s">
        <v>39</v>
      </c>
    </row>
    <row r="32" spans="2:18" ht="25.5" x14ac:dyDescent="0.25">
      <c r="B32" s="151"/>
      <c r="C32" s="151"/>
      <c r="D32" s="92">
        <v>25</v>
      </c>
      <c r="E32" s="19" t="s">
        <v>1737</v>
      </c>
      <c r="F32" s="92" t="s">
        <v>12</v>
      </c>
      <c r="G32" s="92" t="s">
        <v>1741</v>
      </c>
      <c r="H32" s="92" t="s">
        <v>10</v>
      </c>
      <c r="I32" s="92" t="s">
        <v>2</v>
      </c>
      <c r="J32" s="19" t="s">
        <v>1631</v>
      </c>
      <c r="K32" s="58">
        <v>22447</v>
      </c>
      <c r="L32" s="59">
        <v>1961</v>
      </c>
      <c r="M32" s="59">
        <f t="shared" si="1"/>
        <v>58</v>
      </c>
      <c r="N32" s="92" t="s">
        <v>3</v>
      </c>
      <c r="O32" s="92" t="s">
        <v>1632</v>
      </c>
      <c r="P32" s="19" t="s">
        <v>1732</v>
      </c>
      <c r="Q32" s="92"/>
      <c r="R32" s="19" t="s">
        <v>43</v>
      </c>
    </row>
    <row r="33" spans="2:18" ht="25.5" x14ac:dyDescent="0.25">
      <c r="B33" s="151"/>
      <c r="C33" s="151"/>
      <c r="D33" s="92">
        <v>26</v>
      </c>
      <c r="E33" s="19" t="s">
        <v>634</v>
      </c>
      <c r="F33" s="92" t="s">
        <v>18</v>
      </c>
      <c r="G33" s="92" t="s">
        <v>1742</v>
      </c>
      <c r="H33" s="92" t="s">
        <v>1</v>
      </c>
      <c r="I33" s="92" t="s">
        <v>15</v>
      </c>
      <c r="J33" s="19" t="s">
        <v>1631</v>
      </c>
      <c r="K33" s="58">
        <v>35334</v>
      </c>
      <c r="L33" s="59">
        <v>1996</v>
      </c>
      <c r="M33" s="59">
        <f t="shared" si="1"/>
        <v>23</v>
      </c>
      <c r="N33" s="92" t="s">
        <v>3</v>
      </c>
      <c r="O33" s="92" t="s">
        <v>1632</v>
      </c>
      <c r="P33" s="19" t="s">
        <v>1677</v>
      </c>
      <c r="Q33" s="92"/>
      <c r="R33" s="19" t="s">
        <v>39</v>
      </c>
    </row>
    <row r="34" spans="2:18" ht="25.5" x14ac:dyDescent="0.25">
      <c r="B34" s="151"/>
      <c r="C34" s="151"/>
      <c r="D34" s="92">
        <v>27</v>
      </c>
      <c r="E34" s="19" t="s">
        <v>635</v>
      </c>
      <c r="F34" s="92" t="s">
        <v>18</v>
      </c>
      <c r="G34" s="92" t="s">
        <v>1743</v>
      </c>
      <c r="H34" s="92" t="s">
        <v>10</v>
      </c>
      <c r="I34" s="92" t="s">
        <v>15</v>
      </c>
      <c r="J34" s="19" t="s">
        <v>1631</v>
      </c>
      <c r="K34" s="58">
        <v>36310</v>
      </c>
      <c r="L34" s="59">
        <v>1999</v>
      </c>
      <c r="M34" s="59">
        <f t="shared" si="1"/>
        <v>20</v>
      </c>
      <c r="N34" s="92" t="s">
        <v>3</v>
      </c>
      <c r="O34" s="92" t="s">
        <v>1632</v>
      </c>
      <c r="P34" s="19" t="s">
        <v>1641</v>
      </c>
      <c r="Q34" s="92"/>
      <c r="R34" s="19" t="s">
        <v>1625</v>
      </c>
    </row>
    <row r="35" spans="2:18" ht="15" customHeight="1" x14ac:dyDescent="0.25">
      <c r="B35" s="152">
        <v>8</v>
      </c>
      <c r="C35" s="152" t="s">
        <v>2404</v>
      </c>
      <c r="D35" s="92">
        <v>28</v>
      </c>
      <c r="E35" s="19" t="s">
        <v>636</v>
      </c>
      <c r="F35" s="92" t="s">
        <v>7</v>
      </c>
      <c r="G35" s="92" t="s">
        <v>2405</v>
      </c>
      <c r="H35" s="92" t="s">
        <v>10</v>
      </c>
      <c r="I35" s="92" t="s">
        <v>15</v>
      </c>
      <c r="J35" s="19" t="s">
        <v>1631</v>
      </c>
      <c r="K35" s="58">
        <v>21192</v>
      </c>
      <c r="L35" s="59">
        <v>1958</v>
      </c>
      <c r="M35" s="59">
        <f t="shared" si="1"/>
        <v>61</v>
      </c>
      <c r="N35" s="92" t="s">
        <v>3</v>
      </c>
      <c r="O35" s="92" t="s">
        <v>1632</v>
      </c>
      <c r="P35" s="19" t="s">
        <v>1733</v>
      </c>
      <c r="Q35" s="92"/>
      <c r="R35" s="19" t="s">
        <v>1808</v>
      </c>
    </row>
    <row r="36" spans="2:18" ht="25.5" x14ac:dyDescent="0.25">
      <c r="B36" s="154"/>
      <c r="C36" s="154"/>
      <c r="D36" s="92">
        <v>29</v>
      </c>
      <c r="E36" s="19" t="s">
        <v>2403</v>
      </c>
      <c r="F36" s="92" t="s">
        <v>2241</v>
      </c>
      <c r="G36" s="92" t="s">
        <v>2406</v>
      </c>
      <c r="H36" s="92" t="s">
        <v>10</v>
      </c>
      <c r="I36" s="92" t="s">
        <v>15</v>
      </c>
      <c r="J36" s="19" t="s">
        <v>1631</v>
      </c>
      <c r="K36" s="58">
        <v>20820</v>
      </c>
      <c r="L36" s="59">
        <v>1956</v>
      </c>
      <c r="M36" s="59">
        <f t="shared" si="1"/>
        <v>63</v>
      </c>
      <c r="N36" s="92" t="s">
        <v>3</v>
      </c>
      <c r="O36" s="92" t="s">
        <v>1632</v>
      </c>
      <c r="P36" s="19" t="s">
        <v>1732</v>
      </c>
      <c r="Q36" s="92"/>
      <c r="R36" s="19" t="s">
        <v>1710</v>
      </c>
    </row>
    <row r="37" spans="2:18" ht="25.5" x14ac:dyDescent="0.25">
      <c r="B37" s="151">
        <v>9</v>
      </c>
      <c r="C37" s="151" t="s">
        <v>1985</v>
      </c>
      <c r="D37" s="92">
        <v>30</v>
      </c>
      <c r="E37" s="19" t="s">
        <v>637</v>
      </c>
      <c r="F37" s="92" t="s">
        <v>7</v>
      </c>
      <c r="G37" s="92" t="s">
        <v>638</v>
      </c>
      <c r="H37" s="92" t="s">
        <v>1</v>
      </c>
      <c r="I37" s="92" t="s">
        <v>2</v>
      </c>
      <c r="J37" s="19" t="s">
        <v>1631</v>
      </c>
      <c r="K37" s="58">
        <v>27061</v>
      </c>
      <c r="L37" s="59">
        <v>1974</v>
      </c>
      <c r="M37" s="59">
        <f t="shared" si="1"/>
        <v>45</v>
      </c>
      <c r="N37" s="92" t="s">
        <v>3</v>
      </c>
      <c r="O37" s="92" t="s">
        <v>1632</v>
      </c>
      <c r="P37" s="19" t="s">
        <v>1732</v>
      </c>
      <c r="Q37" s="92"/>
      <c r="R37" s="19" t="s">
        <v>39</v>
      </c>
    </row>
    <row r="38" spans="2:18" ht="25.5" x14ac:dyDescent="0.25">
      <c r="B38" s="151"/>
      <c r="C38" s="151"/>
      <c r="D38" s="92">
        <v>31</v>
      </c>
      <c r="E38" s="19" t="s">
        <v>639</v>
      </c>
      <c r="F38" s="92" t="s">
        <v>12</v>
      </c>
      <c r="G38" s="92" t="s">
        <v>640</v>
      </c>
      <c r="H38" s="92" t="s">
        <v>10</v>
      </c>
      <c r="I38" s="92" t="s">
        <v>2</v>
      </c>
      <c r="J38" s="19" t="s">
        <v>1631</v>
      </c>
      <c r="K38" s="58">
        <v>27266</v>
      </c>
      <c r="L38" s="59">
        <v>1974</v>
      </c>
      <c r="M38" s="59">
        <f t="shared" si="1"/>
        <v>45</v>
      </c>
      <c r="N38" s="92" t="s">
        <v>3</v>
      </c>
      <c r="O38" s="92" t="s">
        <v>1632</v>
      </c>
      <c r="P38" s="19" t="s">
        <v>1732</v>
      </c>
      <c r="Q38" s="92"/>
      <c r="R38" s="19" t="s">
        <v>43</v>
      </c>
    </row>
    <row r="39" spans="2:18" x14ac:dyDescent="0.25">
      <c r="B39" s="151"/>
      <c r="C39" s="151"/>
      <c r="D39" s="92">
        <v>32</v>
      </c>
      <c r="E39" s="19" t="s">
        <v>641</v>
      </c>
      <c r="F39" s="92" t="s">
        <v>18</v>
      </c>
      <c r="G39" s="92" t="s">
        <v>642</v>
      </c>
      <c r="H39" s="92" t="s">
        <v>1</v>
      </c>
      <c r="I39" s="92" t="s">
        <v>15</v>
      </c>
      <c r="J39" s="19" t="s">
        <v>1736</v>
      </c>
      <c r="K39" s="58">
        <v>36607</v>
      </c>
      <c r="L39" s="59">
        <v>2000</v>
      </c>
      <c r="M39" s="59">
        <f t="shared" si="1"/>
        <v>19</v>
      </c>
      <c r="N39" s="92" t="s">
        <v>3</v>
      </c>
      <c r="O39" s="92" t="s">
        <v>1632</v>
      </c>
      <c r="P39" s="19" t="s">
        <v>1732</v>
      </c>
      <c r="Q39" s="92"/>
      <c r="R39" s="19" t="s">
        <v>1625</v>
      </c>
    </row>
    <row r="40" spans="2:18" ht="25.5" x14ac:dyDescent="0.25">
      <c r="B40" s="151"/>
      <c r="C40" s="151"/>
      <c r="D40" s="92">
        <v>33</v>
      </c>
      <c r="E40" s="19" t="s">
        <v>643</v>
      </c>
      <c r="F40" s="92" t="s">
        <v>18</v>
      </c>
      <c r="G40" s="92" t="s">
        <v>644</v>
      </c>
      <c r="H40" s="92" t="s">
        <v>10</v>
      </c>
      <c r="I40" s="92" t="s">
        <v>15</v>
      </c>
      <c r="J40" s="19" t="s">
        <v>1623</v>
      </c>
      <c r="K40" s="58">
        <v>38754</v>
      </c>
      <c r="L40" s="59">
        <v>2006</v>
      </c>
      <c r="M40" s="59">
        <f t="shared" si="1"/>
        <v>13</v>
      </c>
      <c r="N40" s="92" t="s">
        <v>3</v>
      </c>
      <c r="O40" s="92" t="s">
        <v>1632</v>
      </c>
      <c r="P40" s="19" t="s">
        <v>1635</v>
      </c>
      <c r="Q40" s="92"/>
      <c r="R40" s="19" t="s">
        <v>1625</v>
      </c>
    </row>
    <row r="41" spans="2:18" ht="25.5" x14ac:dyDescent="0.25">
      <c r="B41" s="151"/>
      <c r="C41" s="151"/>
      <c r="D41" s="92">
        <v>34</v>
      </c>
      <c r="E41" s="19" t="s">
        <v>645</v>
      </c>
      <c r="F41" s="92" t="s">
        <v>18</v>
      </c>
      <c r="G41" s="92" t="s">
        <v>646</v>
      </c>
      <c r="H41" s="92" t="s">
        <v>10</v>
      </c>
      <c r="I41" s="92" t="s">
        <v>15</v>
      </c>
      <c r="J41" s="19" t="s">
        <v>1623</v>
      </c>
      <c r="K41" s="58">
        <v>41963</v>
      </c>
      <c r="L41" s="59">
        <v>2014</v>
      </c>
      <c r="M41" s="59">
        <f t="shared" si="1"/>
        <v>5</v>
      </c>
      <c r="N41" s="92" t="s">
        <v>3</v>
      </c>
      <c r="O41" s="92" t="s">
        <v>1632</v>
      </c>
      <c r="P41" s="19" t="s">
        <v>1733</v>
      </c>
      <c r="Q41" s="92"/>
      <c r="R41" s="19" t="s">
        <v>1733</v>
      </c>
    </row>
    <row r="42" spans="2:18" x14ac:dyDescent="0.25">
      <c r="B42" s="151">
        <v>10</v>
      </c>
      <c r="C42" s="151"/>
      <c r="D42" s="92">
        <v>35</v>
      </c>
      <c r="E42" s="19" t="s">
        <v>130</v>
      </c>
      <c r="F42" s="92" t="s">
        <v>7</v>
      </c>
      <c r="G42" s="92" t="s">
        <v>647</v>
      </c>
      <c r="H42" s="92" t="s">
        <v>1</v>
      </c>
      <c r="I42" s="92" t="s">
        <v>2</v>
      </c>
      <c r="J42" s="19"/>
      <c r="K42" s="58">
        <v>24289</v>
      </c>
      <c r="L42" s="59">
        <f t="shared" ref="L42:L56" si="3">YEAR(K42)</f>
        <v>1966</v>
      </c>
      <c r="M42" s="59">
        <f t="shared" si="1"/>
        <v>53</v>
      </c>
      <c r="N42" s="92" t="s">
        <v>3</v>
      </c>
      <c r="O42" s="92"/>
      <c r="P42" s="19" t="s">
        <v>46</v>
      </c>
      <c r="Q42" s="92"/>
      <c r="R42" s="19" t="s">
        <v>28</v>
      </c>
    </row>
    <row r="43" spans="2:18" x14ac:dyDescent="0.25">
      <c r="B43" s="151"/>
      <c r="C43" s="151"/>
      <c r="D43" s="92">
        <v>36</v>
      </c>
      <c r="E43" s="19" t="s">
        <v>648</v>
      </c>
      <c r="F43" s="92" t="s">
        <v>12</v>
      </c>
      <c r="G43" s="92" t="s">
        <v>649</v>
      </c>
      <c r="H43" s="92" t="s">
        <v>10</v>
      </c>
      <c r="I43" s="92" t="s">
        <v>2</v>
      </c>
      <c r="J43" s="19"/>
      <c r="K43" s="58">
        <v>28307</v>
      </c>
      <c r="L43" s="59">
        <f t="shared" si="3"/>
        <v>1977</v>
      </c>
      <c r="M43" s="59">
        <f t="shared" si="1"/>
        <v>42</v>
      </c>
      <c r="N43" s="92" t="s">
        <v>3</v>
      </c>
      <c r="O43" s="92"/>
      <c r="P43" s="19" t="s">
        <v>46</v>
      </c>
      <c r="Q43" s="92"/>
      <c r="R43" s="19" t="s">
        <v>43</v>
      </c>
    </row>
    <row r="44" spans="2:18" ht="25.5" x14ac:dyDescent="0.25">
      <c r="B44" s="151"/>
      <c r="C44" s="151"/>
      <c r="D44" s="92">
        <v>37</v>
      </c>
      <c r="E44" s="19" t="s">
        <v>650</v>
      </c>
      <c r="F44" s="92" t="s">
        <v>18</v>
      </c>
      <c r="G44" s="92" t="s">
        <v>651</v>
      </c>
      <c r="H44" s="92" t="s">
        <v>10</v>
      </c>
      <c r="I44" s="92" t="s">
        <v>15</v>
      </c>
      <c r="J44" s="19"/>
      <c r="K44" s="58">
        <v>35042</v>
      </c>
      <c r="L44" s="59">
        <f t="shared" si="3"/>
        <v>1995</v>
      </c>
      <c r="M44" s="59">
        <f t="shared" si="1"/>
        <v>24</v>
      </c>
      <c r="N44" s="92" t="s">
        <v>3</v>
      </c>
      <c r="O44" s="92"/>
      <c r="P44" s="19" t="s">
        <v>27</v>
      </c>
      <c r="Q44" s="92"/>
      <c r="R44" s="19" t="s">
        <v>16</v>
      </c>
    </row>
    <row r="45" spans="2:18" x14ac:dyDescent="0.25">
      <c r="B45" s="151"/>
      <c r="C45" s="151"/>
      <c r="D45" s="92">
        <v>38</v>
      </c>
      <c r="E45" s="19" t="s">
        <v>652</v>
      </c>
      <c r="F45" s="92" t="s">
        <v>18</v>
      </c>
      <c r="G45" s="92" t="s">
        <v>653</v>
      </c>
      <c r="H45" s="92" t="s">
        <v>10</v>
      </c>
      <c r="I45" s="92" t="s">
        <v>15</v>
      </c>
      <c r="J45" s="19"/>
      <c r="K45" s="58">
        <v>36389</v>
      </c>
      <c r="L45" s="59">
        <f t="shared" si="3"/>
        <v>1999</v>
      </c>
      <c r="M45" s="59">
        <f t="shared" si="1"/>
        <v>20</v>
      </c>
      <c r="N45" s="92" t="s">
        <v>3</v>
      </c>
      <c r="O45" s="92"/>
      <c r="P45" s="19" t="s">
        <v>46</v>
      </c>
      <c r="Q45" s="92"/>
      <c r="R45" s="19" t="s">
        <v>16</v>
      </c>
    </row>
    <row r="46" spans="2:18" x14ac:dyDescent="0.25">
      <c r="B46" s="92">
        <v>11</v>
      </c>
      <c r="C46" s="92"/>
      <c r="D46" s="92">
        <v>39</v>
      </c>
      <c r="E46" s="19" t="s">
        <v>654</v>
      </c>
      <c r="F46" s="92" t="s">
        <v>7</v>
      </c>
      <c r="G46" s="92" t="s">
        <v>655</v>
      </c>
      <c r="H46" s="92" t="s">
        <v>10</v>
      </c>
      <c r="I46" s="92" t="s">
        <v>21</v>
      </c>
      <c r="J46" s="19"/>
      <c r="K46" s="58">
        <v>25182</v>
      </c>
      <c r="L46" s="59">
        <f t="shared" si="3"/>
        <v>1968</v>
      </c>
      <c r="M46" s="59">
        <f t="shared" si="1"/>
        <v>51</v>
      </c>
      <c r="N46" s="92" t="s">
        <v>3</v>
      </c>
      <c r="O46" s="92"/>
      <c r="P46" s="19" t="s">
        <v>46</v>
      </c>
      <c r="Q46" s="92"/>
      <c r="R46" s="19" t="s">
        <v>39</v>
      </c>
    </row>
    <row r="47" spans="2:18" x14ac:dyDescent="0.25">
      <c r="B47" s="151">
        <v>12</v>
      </c>
      <c r="C47" s="151"/>
      <c r="D47" s="92">
        <v>40</v>
      </c>
      <c r="E47" s="19" t="s">
        <v>656</v>
      </c>
      <c r="F47" s="92" t="s">
        <v>7</v>
      </c>
      <c r="G47" s="92" t="s">
        <v>657</v>
      </c>
      <c r="H47" s="92" t="s">
        <v>1</v>
      </c>
      <c r="I47" s="92" t="s">
        <v>2</v>
      </c>
      <c r="J47" s="19"/>
      <c r="K47" s="58">
        <v>30513</v>
      </c>
      <c r="L47" s="59">
        <f t="shared" si="3"/>
        <v>1983</v>
      </c>
      <c r="M47" s="59">
        <f t="shared" si="1"/>
        <v>36</v>
      </c>
      <c r="N47" s="92" t="s">
        <v>3</v>
      </c>
      <c r="O47" s="92"/>
      <c r="P47" s="19" t="s">
        <v>35</v>
      </c>
      <c r="Q47" s="92"/>
      <c r="R47" s="19" t="s">
        <v>39</v>
      </c>
    </row>
    <row r="48" spans="2:18" x14ac:dyDescent="0.25">
      <c r="B48" s="151"/>
      <c r="C48" s="151"/>
      <c r="D48" s="92">
        <v>41</v>
      </c>
      <c r="E48" s="19" t="s">
        <v>658</v>
      </c>
      <c r="F48" s="92" t="s">
        <v>12</v>
      </c>
      <c r="G48" s="92" t="s">
        <v>659</v>
      </c>
      <c r="H48" s="92" t="s">
        <v>10</v>
      </c>
      <c r="I48" s="92" t="s">
        <v>2</v>
      </c>
      <c r="J48" s="19"/>
      <c r="K48" s="58">
        <v>30504</v>
      </c>
      <c r="L48" s="59">
        <f t="shared" si="3"/>
        <v>1983</v>
      </c>
      <c r="M48" s="59">
        <f t="shared" si="1"/>
        <v>36</v>
      </c>
      <c r="N48" s="92" t="s">
        <v>3</v>
      </c>
      <c r="O48" s="92"/>
      <c r="P48" s="19" t="s">
        <v>35</v>
      </c>
      <c r="Q48" s="92"/>
      <c r="R48" s="19" t="s">
        <v>39</v>
      </c>
    </row>
    <row r="49" spans="2:18" ht="25.5" x14ac:dyDescent="0.25">
      <c r="B49" s="151"/>
      <c r="C49" s="151"/>
      <c r="D49" s="92">
        <v>42</v>
      </c>
      <c r="E49" s="19" t="s">
        <v>660</v>
      </c>
      <c r="F49" s="92" t="s">
        <v>18</v>
      </c>
      <c r="G49" s="92" t="s">
        <v>661</v>
      </c>
      <c r="H49" s="92" t="s">
        <v>1</v>
      </c>
      <c r="I49" s="92" t="s">
        <v>15</v>
      </c>
      <c r="J49" s="19"/>
      <c r="K49" s="58">
        <v>39163</v>
      </c>
      <c r="L49" s="59">
        <f t="shared" si="3"/>
        <v>2007</v>
      </c>
      <c r="M49" s="59">
        <f t="shared" si="1"/>
        <v>12</v>
      </c>
      <c r="N49" s="92" t="s">
        <v>3</v>
      </c>
      <c r="O49" s="92"/>
      <c r="P49" s="19" t="s">
        <v>16</v>
      </c>
      <c r="Q49" s="92"/>
      <c r="R49" s="19" t="s">
        <v>16</v>
      </c>
    </row>
    <row r="50" spans="2:18" x14ac:dyDescent="0.25">
      <c r="B50" s="151">
        <v>13</v>
      </c>
      <c r="C50" s="151"/>
      <c r="D50" s="92">
        <v>43</v>
      </c>
      <c r="E50" s="19" t="s">
        <v>662</v>
      </c>
      <c r="F50" s="92" t="s">
        <v>7</v>
      </c>
      <c r="G50" s="92" t="s">
        <v>663</v>
      </c>
      <c r="H50" s="92" t="s">
        <v>10</v>
      </c>
      <c r="I50" s="92" t="s">
        <v>21</v>
      </c>
      <c r="J50" s="19"/>
      <c r="K50" s="58">
        <v>22281</v>
      </c>
      <c r="L50" s="59">
        <f t="shared" si="3"/>
        <v>1960</v>
      </c>
      <c r="M50" s="59">
        <f t="shared" si="1"/>
        <v>59</v>
      </c>
      <c r="N50" s="92" t="s">
        <v>3</v>
      </c>
      <c r="O50" s="92"/>
      <c r="P50" s="19" t="s">
        <v>46</v>
      </c>
      <c r="Q50" s="92"/>
      <c r="R50" s="19" t="s">
        <v>37</v>
      </c>
    </row>
    <row r="51" spans="2:18" x14ac:dyDescent="0.25">
      <c r="B51" s="151"/>
      <c r="C51" s="151"/>
      <c r="D51" s="92">
        <v>44</v>
      </c>
      <c r="E51" s="19" t="s">
        <v>664</v>
      </c>
      <c r="F51" s="92" t="s">
        <v>24</v>
      </c>
      <c r="G51" s="92" t="s">
        <v>665</v>
      </c>
      <c r="H51" s="92" t="s">
        <v>10</v>
      </c>
      <c r="I51" s="92" t="s">
        <v>15</v>
      </c>
      <c r="J51" s="19"/>
      <c r="K51" s="58">
        <v>34944</v>
      </c>
      <c r="L51" s="59">
        <f t="shared" si="3"/>
        <v>1995</v>
      </c>
      <c r="M51" s="59">
        <f t="shared" si="1"/>
        <v>24</v>
      </c>
      <c r="N51" s="92" t="s">
        <v>3</v>
      </c>
      <c r="O51" s="92"/>
      <c r="P51" s="19" t="s">
        <v>35</v>
      </c>
      <c r="Q51" s="92"/>
      <c r="R51" s="19" t="s">
        <v>16</v>
      </c>
    </row>
    <row r="52" spans="2:18" x14ac:dyDescent="0.25">
      <c r="B52" s="151">
        <v>14</v>
      </c>
      <c r="C52" s="151"/>
      <c r="D52" s="92">
        <v>45</v>
      </c>
      <c r="E52" s="19" t="s">
        <v>666</v>
      </c>
      <c r="F52" s="92" t="s">
        <v>7</v>
      </c>
      <c r="G52" s="92" t="s">
        <v>667</v>
      </c>
      <c r="H52" s="92" t="s">
        <v>1</v>
      </c>
      <c r="I52" s="92" t="s">
        <v>2</v>
      </c>
      <c r="J52" s="19"/>
      <c r="K52" s="58">
        <v>26651</v>
      </c>
      <c r="L52" s="59">
        <f t="shared" si="3"/>
        <v>1972</v>
      </c>
      <c r="M52" s="59">
        <f t="shared" si="1"/>
        <v>47</v>
      </c>
      <c r="N52" s="92" t="s">
        <v>3</v>
      </c>
      <c r="O52" s="92"/>
      <c r="P52" s="19" t="s">
        <v>46</v>
      </c>
      <c r="Q52" s="92"/>
      <c r="R52" s="19" t="s">
        <v>28</v>
      </c>
    </row>
    <row r="53" spans="2:18" x14ac:dyDescent="0.25">
      <c r="B53" s="151"/>
      <c r="C53" s="151"/>
      <c r="D53" s="92">
        <v>46</v>
      </c>
      <c r="E53" s="19" t="s">
        <v>42</v>
      </c>
      <c r="F53" s="92" t="s">
        <v>12</v>
      </c>
      <c r="G53" s="92" t="s">
        <v>668</v>
      </c>
      <c r="H53" s="92" t="s">
        <v>10</v>
      </c>
      <c r="I53" s="92" t="s">
        <v>2</v>
      </c>
      <c r="J53" s="19"/>
      <c r="K53" s="58">
        <v>28711</v>
      </c>
      <c r="L53" s="59">
        <f t="shared" si="3"/>
        <v>1978</v>
      </c>
      <c r="M53" s="59">
        <f t="shared" si="1"/>
        <v>41</v>
      </c>
      <c r="N53" s="92" t="s">
        <v>3</v>
      </c>
      <c r="O53" s="92"/>
      <c r="P53" s="19" t="s">
        <v>16</v>
      </c>
      <c r="Q53" s="92"/>
      <c r="R53" s="19" t="s">
        <v>37</v>
      </c>
    </row>
    <row r="54" spans="2:18" x14ac:dyDescent="0.25">
      <c r="B54" s="151"/>
      <c r="C54" s="151"/>
      <c r="D54" s="92">
        <v>47</v>
      </c>
      <c r="E54" s="19" t="s">
        <v>669</v>
      </c>
      <c r="F54" s="92" t="s">
        <v>18</v>
      </c>
      <c r="G54" s="92" t="s">
        <v>670</v>
      </c>
      <c r="H54" s="92" t="s">
        <v>10</v>
      </c>
      <c r="I54" s="92" t="s">
        <v>15</v>
      </c>
      <c r="J54" s="19"/>
      <c r="K54" s="58">
        <v>35844</v>
      </c>
      <c r="L54" s="59">
        <f t="shared" si="3"/>
        <v>1998</v>
      </c>
      <c r="M54" s="59">
        <f t="shared" si="1"/>
        <v>21</v>
      </c>
      <c r="N54" s="92" t="s">
        <v>3</v>
      </c>
      <c r="O54" s="92"/>
      <c r="P54" s="19" t="s">
        <v>35</v>
      </c>
      <c r="Q54" s="92"/>
      <c r="R54" s="19" t="s">
        <v>16</v>
      </c>
    </row>
    <row r="55" spans="2:18" x14ac:dyDescent="0.25">
      <c r="B55" s="151"/>
      <c r="C55" s="151"/>
      <c r="D55" s="92">
        <v>48</v>
      </c>
      <c r="E55" s="19" t="s">
        <v>671</v>
      </c>
      <c r="F55" s="92" t="s">
        <v>18</v>
      </c>
      <c r="G55" s="92" t="s">
        <v>672</v>
      </c>
      <c r="H55" s="92" t="s">
        <v>1</v>
      </c>
      <c r="I55" s="92" t="s">
        <v>15</v>
      </c>
      <c r="J55" s="19"/>
      <c r="K55" s="58">
        <v>38502</v>
      </c>
      <c r="L55" s="59">
        <f t="shared" si="3"/>
        <v>2005</v>
      </c>
      <c r="M55" s="59">
        <f t="shared" si="1"/>
        <v>14</v>
      </c>
      <c r="N55" s="92" t="s">
        <v>3</v>
      </c>
      <c r="O55" s="92"/>
      <c r="P55" s="19" t="s">
        <v>16</v>
      </c>
      <c r="Q55" s="92"/>
      <c r="R55" s="19" t="s">
        <v>16</v>
      </c>
    </row>
    <row r="56" spans="2:18" ht="25.5" x14ac:dyDescent="0.25">
      <c r="B56" s="151"/>
      <c r="C56" s="151"/>
      <c r="D56" s="92">
        <v>49</v>
      </c>
      <c r="E56" s="19" t="s">
        <v>673</v>
      </c>
      <c r="F56" s="92" t="s">
        <v>18</v>
      </c>
      <c r="G56" s="92" t="s">
        <v>674</v>
      </c>
      <c r="H56" s="92" t="s">
        <v>1</v>
      </c>
      <c r="I56" s="92" t="s">
        <v>15</v>
      </c>
      <c r="J56" s="19"/>
      <c r="K56" s="58">
        <v>38502</v>
      </c>
      <c r="L56" s="59">
        <f t="shared" si="3"/>
        <v>2005</v>
      </c>
      <c r="M56" s="59">
        <f t="shared" si="1"/>
        <v>14</v>
      </c>
      <c r="N56" s="92" t="s">
        <v>3</v>
      </c>
      <c r="O56" s="92"/>
      <c r="P56" s="19" t="s">
        <v>16</v>
      </c>
      <c r="Q56" s="92"/>
      <c r="R56" s="19" t="s">
        <v>16</v>
      </c>
    </row>
    <row r="57" spans="2:18" ht="25.5" x14ac:dyDescent="0.25">
      <c r="B57" s="151">
        <v>15</v>
      </c>
      <c r="C57" s="151" t="s">
        <v>2361</v>
      </c>
      <c r="D57" s="92">
        <v>50</v>
      </c>
      <c r="E57" s="19" t="s">
        <v>259</v>
      </c>
      <c r="F57" s="92" t="s">
        <v>7</v>
      </c>
      <c r="G57" s="92" t="s">
        <v>2362</v>
      </c>
      <c r="H57" s="92" t="s">
        <v>1</v>
      </c>
      <c r="I57" s="92" t="s">
        <v>2</v>
      </c>
      <c r="J57" s="19" t="s">
        <v>1631</v>
      </c>
      <c r="K57" s="58">
        <v>23383</v>
      </c>
      <c r="L57" s="59">
        <v>1964</v>
      </c>
      <c r="M57" s="59">
        <f t="shared" si="1"/>
        <v>55</v>
      </c>
      <c r="N57" s="92" t="s">
        <v>3</v>
      </c>
      <c r="O57" s="92" t="s">
        <v>1632</v>
      </c>
      <c r="P57" s="19" t="s">
        <v>1732</v>
      </c>
      <c r="Q57" s="92"/>
      <c r="R57" s="19" t="s">
        <v>2364</v>
      </c>
    </row>
    <row r="58" spans="2:18" ht="25.5" x14ac:dyDescent="0.25">
      <c r="B58" s="151"/>
      <c r="C58" s="151"/>
      <c r="D58" s="92">
        <v>51</v>
      </c>
      <c r="E58" s="19" t="s">
        <v>1021</v>
      </c>
      <c r="F58" s="92" t="s">
        <v>12</v>
      </c>
      <c r="G58" s="92" t="s">
        <v>675</v>
      </c>
      <c r="H58" s="92" t="s">
        <v>10</v>
      </c>
      <c r="I58" s="92" t="s">
        <v>2</v>
      </c>
      <c r="J58" s="19" t="s">
        <v>1736</v>
      </c>
      <c r="K58" s="58">
        <v>22281</v>
      </c>
      <c r="L58" s="59">
        <v>1960</v>
      </c>
      <c r="M58" s="59">
        <f t="shared" si="1"/>
        <v>59</v>
      </c>
      <c r="N58" s="92" t="s">
        <v>3</v>
      </c>
      <c r="O58" s="92" t="s">
        <v>1632</v>
      </c>
      <c r="P58" s="19" t="s">
        <v>1732</v>
      </c>
      <c r="Q58" s="92"/>
      <c r="R58" s="19" t="s">
        <v>1764</v>
      </c>
    </row>
    <row r="59" spans="2:18" x14ac:dyDescent="0.25">
      <c r="B59" s="151"/>
      <c r="C59" s="151"/>
      <c r="D59" s="92">
        <v>52</v>
      </c>
      <c r="E59" s="19" t="s">
        <v>2363</v>
      </c>
      <c r="F59" s="92" t="s">
        <v>18</v>
      </c>
      <c r="G59" s="92" t="s">
        <v>676</v>
      </c>
      <c r="H59" s="92" t="s">
        <v>10</v>
      </c>
      <c r="I59" s="92" t="s">
        <v>15</v>
      </c>
      <c r="J59" s="19" t="s">
        <v>1623</v>
      </c>
      <c r="K59" s="58">
        <v>34340</v>
      </c>
      <c r="L59" s="59">
        <v>1994</v>
      </c>
      <c r="M59" s="59">
        <f t="shared" si="1"/>
        <v>25</v>
      </c>
      <c r="N59" s="92" t="s">
        <v>3</v>
      </c>
      <c r="O59" s="92" t="s">
        <v>1632</v>
      </c>
      <c r="P59" s="19" t="s">
        <v>4</v>
      </c>
      <c r="Q59" s="92"/>
      <c r="R59" s="19" t="s">
        <v>1625</v>
      </c>
    </row>
    <row r="60" spans="2:18" ht="25.5" x14ac:dyDescent="0.25">
      <c r="B60" s="151">
        <v>16</v>
      </c>
      <c r="C60" s="151" t="s">
        <v>2397</v>
      </c>
      <c r="D60" s="92">
        <v>53</v>
      </c>
      <c r="E60" s="19" t="s">
        <v>677</v>
      </c>
      <c r="F60" s="92" t="s">
        <v>7</v>
      </c>
      <c r="G60" s="92" t="s">
        <v>2401</v>
      </c>
      <c r="H60" s="92" t="s">
        <v>1</v>
      </c>
      <c r="I60" s="92" t="s">
        <v>2</v>
      </c>
      <c r="J60" s="19" t="s">
        <v>2402</v>
      </c>
      <c r="K60" s="58">
        <v>30606</v>
      </c>
      <c r="L60" s="59">
        <v>1983</v>
      </c>
      <c r="M60" s="59">
        <f t="shared" si="1"/>
        <v>36</v>
      </c>
      <c r="N60" s="92" t="s">
        <v>3</v>
      </c>
      <c r="O60" s="92" t="s">
        <v>1632</v>
      </c>
      <c r="P60" s="19" t="s">
        <v>1641</v>
      </c>
      <c r="Q60" s="92"/>
      <c r="R60" s="19" t="s">
        <v>1808</v>
      </c>
    </row>
    <row r="61" spans="2:18" x14ac:dyDescent="0.25">
      <c r="B61" s="151"/>
      <c r="C61" s="151"/>
      <c r="D61" s="92">
        <v>54</v>
      </c>
      <c r="E61" s="19" t="s">
        <v>2398</v>
      </c>
      <c r="F61" s="92" t="s">
        <v>12</v>
      </c>
      <c r="G61" s="92" t="s">
        <v>678</v>
      </c>
      <c r="H61" s="92" t="s">
        <v>10</v>
      </c>
      <c r="I61" s="92" t="s">
        <v>2</v>
      </c>
      <c r="J61" s="19" t="s">
        <v>1623</v>
      </c>
      <c r="K61" s="58">
        <v>27029</v>
      </c>
      <c r="L61" s="59">
        <v>1973</v>
      </c>
      <c r="M61" s="59">
        <f t="shared" si="1"/>
        <v>46</v>
      </c>
      <c r="N61" s="92" t="s">
        <v>3</v>
      </c>
      <c r="O61" s="92" t="s">
        <v>1632</v>
      </c>
      <c r="P61" s="19" t="s">
        <v>1641</v>
      </c>
      <c r="Q61" s="92"/>
      <c r="R61" s="19" t="s">
        <v>43</v>
      </c>
    </row>
    <row r="62" spans="2:18" ht="25.5" x14ac:dyDescent="0.25">
      <c r="B62" s="151"/>
      <c r="C62" s="151"/>
      <c r="D62" s="92">
        <v>55</v>
      </c>
      <c r="E62" s="19" t="s">
        <v>2399</v>
      </c>
      <c r="F62" s="92" t="s">
        <v>18</v>
      </c>
      <c r="G62" s="92" t="s">
        <v>679</v>
      </c>
      <c r="H62" s="92" t="s">
        <v>1</v>
      </c>
      <c r="I62" s="92" t="s">
        <v>15</v>
      </c>
      <c r="J62" s="19" t="s">
        <v>2402</v>
      </c>
      <c r="K62" s="58">
        <v>38265</v>
      </c>
      <c r="L62" s="59">
        <v>2004</v>
      </c>
      <c r="M62" s="59">
        <f t="shared" si="1"/>
        <v>15</v>
      </c>
      <c r="N62" s="92" t="s">
        <v>3</v>
      </c>
      <c r="O62" s="92" t="s">
        <v>1632</v>
      </c>
      <c r="P62" s="19" t="s">
        <v>1635</v>
      </c>
      <c r="Q62" s="92"/>
      <c r="R62" s="19" t="s">
        <v>1625</v>
      </c>
    </row>
    <row r="63" spans="2:18" ht="25.5" x14ac:dyDescent="0.25">
      <c r="B63" s="151"/>
      <c r="C63" s="151"/>
      <c r="D63" s="92">
        <v>56</v>
      </c>
      <c r="E63" s="19" t="s">
        <v>2400</v>
      </c>
      <c r="F63" s="92" t="s">
        <v>18</v>
      </c>
      <c r="G63" s="92" t="s">
        <v>680</v>
      </c>
      <c r="H63" s="92" t="s">
        <v>10</v>
      </c>
      <c r="I63" s="92" t="s">
        <v>15</v>
      </c>
      <c r="J63" s="19" t="s">
        <v>1623</v>
      </c>
      <c r="K63" s="58">
        <v>38477</v>
      </c>
      <c r="L63" s="59">
        <v>2005</v>
      </c>
      <c r="M63" s="59">
        <f t="shared" si="1"/>
        <v>14</v>
      </c>
      <c r="N63" s="92" t="s">
        <v>3</v>
      </c>
      <c r="O63" s="92" t="s">
        <v>1632</v>
      </c>
      <c r="P63" s="19" t="s">
        <v>1733</v>
      </c>
      <c r="Q63" s="92"/>
      <c r="R63" s="19" t="s">
        <v>1638</v>
      </c>
    </row>
    <row r="64" spans="2:18" ht="25.5" x14ac:dyDescent="0.25">
      <c r="B64" s="151">
        <v>17</v>
      </c>
      <c r="C64" s="151" t="s">
        <v>2118</v>
      </c>
      <c r="D64" s="92">
        <v>57</v>
      </c>
      <c r="E64" s="19" t="s">
        <v>688</v>
      </c>
      <c r="F64" s="92" t="s">
        <v>7</v>
      </c>
      <c r="G64" s="92" t="s">
        <v>689</v>
      </c>
      <c r="H64" s="92" t="s">
        <v>1</v>
      </c>
      <c r="I64" s="92" t="s">
        <v>2</v>
      </c>
      <c r="J64" s="19" t="s">
        <v>1631</v>
      </c>
      <c r="K64" s="58">
        <v>20461</v>
      </c>
      <c r="L64" s="59">
        <v>1956</v>
      </c>
      <c r="M64" s="59">
        <f t="shared" si="1"/>
        <v>63</v>
      </c>
      <c r="N64" s="92" t="s">
        <v>3</v>
      </c>
      <c r="O64" s="92" t="s">
        <v>1632</v>
      </c>
      <c r="P64" s="19" t="s">
        <v>1641</v>
      </c>
      <c r="Q64" s="92"/>
      <c r="R64" s="19" t="s">
        <v>1710</v>
      </c>
    </row>
    <row r="65" spans="2:18" ht="25.5" x14ac:dyDescent="0.25">
      <c r="B65" s="151"/>
      <c r="C65" s="151"/>
      <c r="D65" s="92">
        <v>58</v>
      </c>
      <c r="E65" s="19" t="s">
        <v>690</v>
      </c>
      <c r="F65" s="92" t="s">
        <v>12</v>
      </c>
      <c r="G65" s="92" t="s">
        <v>691</v>
      </c>
      <c r="H65" s="92" t="s">
        <v>10</v>
      </c>
      <c r="I65" s="92" t="s">
        <v>2</v>
      </c>
      <c r="J65" s="19" t="s">
        <v>1631</v>
      </c>
      <c r="K65" s="58">
        <v>20827</v>
      </c>
      <c r="L65" s="59">
        <v>1957</v>
      </c>
      <c r="M65" s="59">
        <f t="shared" ref="M65:M123" si="4">2019-L65</f>
        <v>62</v>
      </c>
      <c r="N65" s="92" t="s">
        <v>3</v>
      </c>
      <c r="O65" s="92" t="s">
        <v>1632</v>
      </c>
      <c r="P65" s="19" t="s">
        <v>1732</v>
      </c>
      <c r="Q65" s="92"/>
      <c r="R65" s="19" t="s">
        <v>1764</v>
      </c>
    </row>
    <row r="66" spans="2:18" ht="25.5" x14ac:dyDescent="0.25">
      <c r="B66" s="151"/>
      <c r="C66" s="151"/>
      <c r="D66" s="92">
        <v>59</v>
      </c>
      <c r="E66" s="19" t="s">
        <v>695</v>
      </c>
      <c r="F66" s="92" t="s">
        <v>18</v>
      </c>
      <c r="G66" s="92" t="s">
        <v>696</v>
      </c>
      <c r="H66" s="92" t="s">
        <v>1</v>
      </c>
      <c r="I66" s="92" t="s">
        <v>15</v>
      </c>
      <c r="J66" s="19" t="s">
        <v>1631</v>
      </c>
      <c r="K66" s="58">
        <v>34690</v>
      </c>
      <c r="L66" s="59">
        <v>1994</v>
      </c>
      <c r="M66" s="59">
        <f t="shared" si="4"/>
        <v>25</v>
      </c>
      <c r="N66" s="92" t="s">
        <v>3</v>
      </c>
      <c r="O66" s="92" t="s">
        <v>1632</v>
      </c>
      <c r="P66" s="19" t="s">
        <v>1677</v>
      </c>
      <c r="Q66" s="92"/>
      <c r="R66" s="19" t="s">
        <v>1772</v>
      </c>
    </row>
    <row r="67" spans="2:18" x14ac:dyDescent="0.25">
      <c r="B67" s="151">
        <v>18</v>
      </c>
      <c r="C67" s="151"/>
      <c r="D67" s="92">
        <v>60</v>
      </c>
      <c r="E67" s="19" t="s">
        <v>697</v>
      </c>
      <c r="F67" s="92" t="s">
        <v>7</v>
      </c>
      <c r="G67" s="92" t="s">
        <v>698</v>
      </c>
      <c r="H67" s="92" t="s">
        <v>1</v>
      </c>
      <c r="I67" s="92" t="s">
        <v>2</v>
      </c>
      <c r="J67" s="19"/>
      <c r="K67" s="58">
        <v>25020</v>
      </c>
      <c r="L67" s="59">
        <f t="shared" ref="L67:L80" si="5">YEAR(K67)</f>
        <v>1968</v>
      </c>
      <c r="M67" s="59">
        <f t="shared" si="4"/>
        <v>51</v>
      </c>
      <c r="N67" s="92" t="s">
        <v>3</v>
      </c>
      <c r="O67" s="92"/>
      <c r="P67" s="19" t="s">
        <v>46</v>
      </c>
      <c r="Q67" s="92"/>
      <c r="R67" s="19" t="s">
        <v>37</v>
      </c>
    </row>
    <row r="68" spans="2:18" x14ac:dyDescent="0.25">
      <c r="B68" s="151"/>
      <c r="C68" s="151"/>
      <c r="D68" s="92">
        <v>61</v>
      </c>
      <c r="E68" s="19" t="s">
        <v>699</v>
      </c>
      <c r="F68" s="92" t="s">
        <v>12</v>
      </c>
      <c r="G68" s="92" t="s">
        <v>700</v>
      </c>
      <c r="H68" s="92" t="s">
        <v>10</v>
      </c>
      <c r="I68" s="92" t="s">
        <v>2</v>
      </c>
      <c r="J68" s="19"/>
      <c r="K68" s="58">
        <v>25750</v>
      </c>
      <c r="L68" s="59">
        <f t="shared" si="5"/>
        <v>1970</v>
      </c>
      <c r="M68" s="59">
        <f t="shared" si="4"/>
        <v>49</v>
      </c>
      <c r="N68" s="92" t="s">
        <v>3</v>
      </c>
      <c r="O68" s="92"/>
      <c r="P68" s="19" t="s">
        <v>46</v>
      </c>
      <c r="Q68" s="92"/>
      <c r="R68" s="19" t="s">
        <v>37</v>
      </c>
    </row>
    <row r="69" spans="2:18" x14ac:dyDescent="0.25">
      <c r="B69" s="151"/>
      <c r="C69" s="151"/>
      <c r="D69" s="92">
        <v>62</v>
      </c>
      <c r="E69" s="19" t="s">
        <v>701</v>
      </c>
      <c r="F69" s="92" t="s">
        <v>18</v>
      </c>
      <c r="G69" s="92" t="s">
        <v>702</v>
      </c>
      <c r="H69" s="92" t="s">
        <v>1</v>
      </c>
      <c r="I69" s="92" t="s">
        <v>15</v>
      </c>
      <c r="J69" s="19"/>
      <c r="K69" s="58">
        <v>34042</v>
      </c>
      <c r="L69" s="59">
        <f t="shared" si="5"/>
        <v>1993</v>
      </c>
      <c r="M69" s="59">
        <f t="shared" si="4"/>
        <v>26</v>
      </c>
      <c r="N69" s="92" t="s">
        <v>3</v>
      </c>
      <c r="O69" s="92"/>
      <c r="P69" s="19" t="s">
        <v>27</v>
      </c>
      <c r="Q69" s="92"/>
      <c r="R69" s="19" t="s">
        <v>16</v>
      </c>
    </row>
    <row r="70" spans="2:18" x14ac:dyDescent="0.25">
      <c r="B70" s="151"/>
      <c r="C70" s="151"/>
      <c r="D70" s="92">
        <v>63</v>
      </c>
      <c r="E70" s="19" t="s">
        <v>703</v>
      </c>
      <c r="F70" s="92" t="s">
        <v>18</v>
      </c>
      <c r="G70" s="92" t="s">
        <v>704</v>
      </c>
      <c r="H70" s="92" t="s">
        <v>1</v>
      </c>
      <c r="I70" s="92" t="s">
        <v>15</v>
      </c>
      <c r="J70" s="19"/>
      <c r="K70" s="58">
        <v>36077</v>
      </c>
      <c r="L70" s="59">
        <f t="shared" si="5"/>
        <v>1998</v>
      </c>
      <c r="M70" s="59">
        <f t="shared" si="4"/>
        <v>21</v>
      </c>
      <c r="N70" s="92" t="s">
        <v>3</v>
      </c>
      <c r="O70" s="92"/>
      <c r="P70" s="19" t="s">
        <v>35</v>
      </c>
      <c r="Q70" s="92"/>
      <c r="R70" s="19" t="s">
        <v>16</v>
      </c>
    </row>
    <row r="71" spans="2:18" x14ac:dyDescent="0.25">
      <c r="B71" s="151">
        <v>19</v>
      </c>
      <c r="C71" s="151"/>
      <c r="D71" s="92">
        <v>64</v>
      </c>
      <c r="E71" s="19" t="s">
        <v>705</v>
      </c>
      <c r="F71" s="92" t="s">
        <v>7</v>
      </c>
      <c r="G71" s="92" t="s">
        <v>706</v>
      </c>
      <c r="H71" s="92" t="s">
        <v>1</v>
      </c>
      <c r="I71" s="92" t="s">
        <v>2</v>
      </c>
      <c r="J71" s="19"/>
      <c r="K71" s="58">
        <v>31243</v>
      </c>
      <c r="L71" s="59">
        <f t="shared" si="5"/>
        <v>1985</v>
      </c>
      <c r="M71" s="59">
        <f t="shared" si="4"/>
        <v>34</v>
      </c>
      <c r="N71" s="92" t="s">
        <v>3</v>
      </c>
      <c r="O71" s="92"/>
      <c r="P71" s="19" t="s">
        <v>27</v>
      </c>
      <c r="Q71" s="92"/>
      <c r="R71" s="19" t="s">
        <v>39</v>
      </c>
    </row>
    <row r="72" spans="2:18" x14ac:dyDescent="0.25">
      <c r="B72" s="151"/>
      <c r="C72" s="151"/>
      <c r="D72" s="92">
        <v>65</v>
      </c>
      <c r="E72" s="19" t="s">
        <v>707</v>
      </c>
      <c r="F72" s="92" t="s">
        <v>12</v>
      </c>
      <c r="G72" s="92" t="s">
        <v>708</v>
      </c>
      <c r="H72" s="92" t="s">
        <v>10</v>
      </c>
      <c r="I72" s="92" t="s">
        <v>2</v>
      </c>
      <c r="J72" s="19"/>
      <c r="K72" s="58">
        <v>33350</v>
      </c>
      <c r="L72" s="59">
        <f t="shared" si="5"/>
        <v>1991</v>
      </c>
      <c r="M72" s="59">
        <f t="shared" si="4"/>
        <v>28</v>
      </c>
      <c r="N72" s="92" t="s">
        <v>3</v>
      </c>
      <c r="O72" s="92"/>
      <c r="P72" s="19" t="s">
        <v>27</v>
      </c>
      <c r="Q72" s="92"/>
      <c r="R72" s="19" t="s">
        <v>28</v>
      </c>
    </row>
    <row r="73" spans="2:18" x14ac:dyDescent="0.25">
      <c r="B73" s="151"/>
      <c r="C73" s="151"/>
      <c r="D73" s="92">
        <v>66</v>
      </c>
      <c r="E73" s="19" t="s">
        <v>709</v>
      </c>
      <c r="F73" s="92" t="s">
        <v>18</v>
      </c>
      <c r="G73" s="92" t="s">
        <v>710</v>
      </c>
      <c r="H73" s="92" t="s">
        <v>10</v>
      </c>
      <c r="I73" s="92" t="s">
        <v>15</v>
      </c>
      <c r="J73" s="19"/>
      <c r="K73" s="58">
        <v>40317</v>
      </c>
      <c r="L73" s="59">
        <f t="shared" si="5"/>
        <v>2010</v>
      </c>
      <c r="M73" s="59">
        <f t="shared" si="4"/>
        <v>9</v>
      </c>
      <c r="N73" s="92" t="s">
        <v>3</v>
      </c>
      <c r="O73" s="92"/>
      <c r="P73" s="19" t="s">
        <v>16</v>
      </c>
      <c r="Q73" s="92"/>
      <c r="R73" s="19" t="s">
        <v>16</v>
      </c>
    </row>
    <row r="74" spans="2:18" x14ac:dyDescent="0.25">
      <c r="B74" s="151"/>
      <c r="C74" s="151"/>
      <c r="D74" s="92">
        <v>67</v>
      </c>
      <c r="E74" s="19" t="s">
        <v>711</v>
      </c>
      <c r="F74" s="92" t="s">
        <v>18</v>
      </c>
      <c r="G74" s="92" t="s">
        <v>712</v>
      </c>
      <c r="H74" s="92" t="s">
        <v>10</v>
      </c>
      <c r="I74" s="92" t="s">
        <v>15</v>
      </c>
      <c r="J74" s="19"/>
      <c r="K74" s="58">
        <v>41108</v>
      </c>
      <c r="L74" s="59">
        <f t="shared" si="5"/>
        <v>2012</v>
      </c>
      <c r="M74" s="59">
        <f t="shared" si="4"/>
        <v>7</v>
      </c>
      <c r="N74" s="92" t="s">
        <v>3</v>
      </c>
      <c r="O74" s="92"/>
      <c r="P74" s="19" t="s">
        <v>16</v>
      </c>
      <c r="Q74" s="92"/>
      <c r="R74" s="19" t="s">
        <v>16</v>
      </c>
    </row>
    <row r="75" spans="2:18" x14ac:dyDescent="0.25">
      <c r="B75" s="151">
        <v>20</v>
      </c>
      <c r="C75" s="151"/>
      <c r="D75" s="92">
        <v>68</v>
      </c>
      <c r="E75" s="19" t="s">
        <v>713</v>
      </c>
      <c r="F75" s="92" t="s">
        <v>7</v>
      </c>
      <c r="G75" s="92" t="s">
        <v>714</v>
      </c>
      <c r="H75" s="92" t="s">
        <v>1</v>
      </c>
      <c r="I75" s="92" t="s">
        <v>2</v>
      </c>
      <c r="J75" s="19"/>
      <c r="K75" s="58">
        <v>28076</v>
      </c>
      <c r="L75" s="59">
        <f t="shared" si="5"/>
        <v>1976</v>
      </c>
      <c r="M75" s="59">
        <f t="shared" si="4"/>
        <v>43</v>
      </c>
      <c r="N75" s="92" t="s">
        <v>3</v>
      </c>
      <c r="O75" s="92"/>
      <c r="P75" s="19" t="s">
        <v>27</v>
      </c>
      <c r="Q75" s="92"/>
      <c r="R75" s="19" t="s">
        <v>39</v>
      </c>
    </row>
    <row r="76" spans="2:18" x14ac:dyDescent="0.25">
      <c r="B76" s="151"/>
      <c r="C76" s="151"/>
      <c r="D76" s="92">
        <v>69</v>
      </c>
      <c r="E76" s="19" t="s">
        <v>715</v>
      </c>
      <c r="F76" s="92" t="s">
        <v>12</v>
      </c>
      <c r="G76" s="92" t="s">
        <v>716</v>
      </c>
      <c r="H76" s="92" t="s">
        <v>10</v>
      </c>
      <c r="I76" s="92" t="s">
        <v>2</v>
      </c>
      <c r="J76" s="19"/>
      <c r="K76" s="58">
        <v>28490</v>
      </c>
      <c r="L76" s="59">
        <f t="shared" si="5"/>
        <v>1977</v>
      </c>
      <c r="M76" s="59">
        <f t="shared" si="4"/>
        <v>42</v>
      </c>
      <c r="N76" s="92" t="s">
        <v>3</v>
      </c>
      <c r="O76" s="92"/>
      <c r="P76" s="19" t="s">
        <v>4</v>
      </c>
      <c r="Q76" s="92"/>
      <c r="R76" s="19" t="s">
        <v>614</v>
      </c>
    </row>
    <row r="77" spans="2:18" ht="25.5" x14ac:dyDescent="0.25">
      <c r="B77" s="151"/>
      <c r="C77" s="151"/>
      <c r="D77" s="92">
        <v>70</v>
      </c>
      <c r="E77" s="19" t="s">
        <v>717</v>
      </c>
      <c r="F77" s="92" t="s">
        <v>18</v>
      </c>
      <c r="G77" s="92" t="s">
        <v>718</v>
      </c>
      <c r="H77" s="92" t="s">
        <v>10</v>
      </c>
      <c r="I77" s="92" t="s">
        <v>15</v>
      </c>
      <c r="J77" s="19"/>
      <c r="K77" s="58">
        <v>36489</v>
      </c>
      <c r="L77" s="59">
        <f t="shared" si="5"/>
        <v>1999</v>
      </c>
      <c r="M77" s="59">
        <f t="shared" si="4"/>
        <v>20</v>
      </c>
      <c r="N77" s="92" t="s">
        <v>3</v>
      </c>
      <c r="O77" s="92"/>
      <c r="P77" s="19" t="s">
        <v>35</v>
      </c>
      <c r="Q77" s="92"/>
      <c r="R77" s="19" t="s">
        <v>16</v>
      </c>
    </row>
    <row r="78" spans="2:18" ht="25.5" x14ac:dyDescent="0.25">
      <c r="B78" s="151"/>
      <c r="C78" s="151"/>
      <c r="D78" s="92">
        <v>71</v>
      </c>
      <c r="E78" s="19" t="s">
        <v>719</v>
      </c>
      <c r="F78" s="92" t="s">
        <v>18</v>
      </c>
      <c r="G78" s="92" t="s">
        <v>720</v>
      </c>
      <c r="H78" s="92" t="s">
        <v>1</v>
      </c>
      <c r="I78" s="92" t="s">
        <v>15</v>
      </c>
      <c r="J78" s="19"/>
      <c r="K78" s="58">
        <v>37548</v>
      </c>
      <c r="L78" s="59">
        <f t="shared" si="5"/>
        <v>2002</v>
      </c>
      <c r="M78" s="59">
        <f t="shared" si="4"/>
        <v>17</v>
      </c>
      <c r="N78" s="92" t="s">
        <v>3</v>
      </c>
      <c r="O78" s="92"/>
      <c r="P78" s="19" t="s">
        <v>46</v>
      </c>
      <c r="Q78" s="92"/>
      <c r="R78" s="19" t="s">
        <v>16</v>
      </c>
    </row>
    <row r="79" spans="2:18" ht="25.5" x14ac:dyDescent="0.25">
      <c r="B79" s="151"/>
      <c r="C79" s="151"/>
      <c r="D79" s="92">
        <v>72</v>
      </c>
      <c r="E79" s="19" t="s">
        <v>721</v>
      </c>
      <c r="F79" s="92" t="s">
        <v>18</v>
      </c>
      <c r="G79" s="92" t="s">
        <v>722</v>
      </c>
      <c r="H79" s="92" t="s">
        <v>10</v>
      </c>
      <c r="I79" s="92" t="s">
        <v>15</v>
      </c>
      <c r="J79" s="19"/>
      <c r="K79" s="58">
        <v>41054</v>
      </c>
      <c r="L79" s="59">
        <f t="shared" si="5"/>
        <v>2012</v>
      </c>
      <c r="M79" s="59">
        <f t="shared" si="4"/>
        <v>7</v>
      </c>
      <c r="N79" s="92" t="s">
        <v>3</v>
      </c>
      <c r="O79" s="92"/>
      <c r="P79" s="19" t="s">
        <v>16</v>
      </c>
      <c r="Q79" s="92"/>
      <c r="R79" s="19" t="s">
        <v>16</v>
      </c>
    </row>
    <row r="80" spans="2:18" ht="38.25" x14ac:dyDescent="0.25">
      <c r="B80" s="151"/>
      <c r="C80" s="151"/>
      <c r="D80" s="92">
        <v>73</v>
      </c>
      <c r="E80" s="19" t="s">
        <v>723</v>
      </c>
      <c r="F80" s="92" t="s">
        <v>18</v>
      </c>
      <c r="G80" s="92">
        <v>0</v>
      </c>
      <c r="H80" s="92" t="s">
        <v>1</v>
      </c>
      <c r="I80" s="92" t="s">
        <v>15</v>
      </c>
      <c r="J80" s="19"/>
      <c r="K80" s="58">
        <v>41544</v>
      </c>
      <c r="L80" s="59">
        <f t="shared" si="5"/>
        <v>2013</v>
      </c>
      <c r="M80" s="59">
        <f t="shared" si="4"/>
        <v>6</v>
      </c>
      <c r="N80" s="92" t="s">
        <v>3</v>
      </c>
      <c r="O80" s="92"/>
      <c r="P80" s="19" t="s">
        <v>16</v>
      </c>
      <c r="Q80" s="92"/>
      <c r="R80" s="19" t="s">
        <v>16</v>
      </c>
    </row>
    <row r="81" spans="2:18" x14ac:dyDescent="0.25">
      <c r="B81" s="92">
        <v>21</v>
      </c>
      <c r="C81" s="92" t="s">
        <v>1734</v>
      </c>
      <c r="D81" s="92">
        <v>74</v>
      </c>
      <c r="E81" s="19" t="s">
        <v>724</v>
      </c>
      <c r="F81" s="92" t="s">
        <v>7</v>
      </c>
      <c r="G81" s="92" t="s">
        <v>725</v>
      </c>
      <c r="H81" s="92" t="s">
        <v>10</v>
      </c>
      <c r="I81" s="92" t="s">
        <v>1735</v>
      </c>
      <c r="J81" s="19" t="s">
        <v>1736</v>
      </c>
      <c r="K81" s="58">
        <v>16783</v>
      </c>
      <c r="L81" s="59">
        <v>1945</v>
      </c>
      <c r="M81" s="59">
        <f t="shared" si="4"/>
        <v>74</v>
      </c>
      <c r="N81" s="92" t="s">
        <v>3</v>
      </c>
      <c r="O81" s="92" t="s">
        <v>1632</v>
      </c>
      <c r="P81" s="19" t="s">
        <v>46</v>
      </c>
      <c r="Q81" s="92"/>
      <c r="R81" s="19" t="s">
        <v>1648</v>
      </c>
    </row>
    <row r="82" spans="2:18" ht="25.5" x14ac:dyDescent="0.25">
      <c r="B82" s="151">
        <v>22</v>
      </c>
      <c r="C82" s="151"/>
      <c r="D82" s="92">
        <v>75</v>
      </c>
      <c r="E82" s="19" t="s">
        <v>726</v>
      </c>
      <c r="F82" s="92" t="s">
        <v>7</v>
      </c>
      <c r="G82" s="92" t="s">
        <v>727</v>
      </c>
      <c r="H82" s="92" t="s">
        <v>1</v>
      </c>
      <c r="I82" s="92" t="s">
        <v>2</v>
      </c>
      <c r="J82" s="19"/>
      <c r="K82" s="58">
        <v>27029</v>
      </c>
      <c r="L82" s="59">
        <f t="shared" ref="L82:L88" si="6">YEAR(K82)</f>
        <v>1973</v>
      </c>
      <c r="M82" s="59">
        <f t="shared" si="4"/>
        <v>46</v>
      </c>
      <c r="N82" s="92" t="s">
        <v>3</v>
      </c>
      <c r="O82" s="92"/>
      <c r="P82" s="19" t="s">
        <v>27</v>
      </c>
      <c r="Q82" s="92"/>
      <c r="R82" s="19" t="s">
        <v>39</v>
      </c>
    </row>
    <row r="83" spans="2:18" x14ac:dyDescent="0.25">
      <c r="B83" s="151"/>
      <c r="C83" s="151"/>
      <c r="D83" s="92">
        <v>76</v>
      </c>
      <c r="E83" s="19" t="s">
        <v>728</v>
      </c>
      <c r="F83" s="92" t="s">
        <v>12</v>
      </c>
      <c r="G83" s="92" t="s">
        <v>729</v>
      </c>
      <c r="H83" s="92" t="s">
        <v>10</v>
      </c>
      <c r="I83" s="92" t="s">
        <v>2</v>
      </c>
      <c r="J83" s="19"/>
      <c r="K83" s="58">
        <v>26664</v>
      </c>
      <c r="L83" s="59">
        <f t="shared" si="6"/>
        <v>1972</v>
      </c>
      <c r="M83" s="59">
        <f t="shared" si="4"/>
        <v>47</v>
      </c>
      <c r="N83" s="92" t="s">
        <v>3</v>
      </c>
      <c r="O83" s="92"/>
      <c r="P83" s="19" t="s">
        <v>27</v>
      </c>
      <c r="Q83" s="92"/>
      <c r="R83" s="19" t="s">
        <v>39</v>
      </c>
    </row>
    <row r="84" spans="2:18" ht="25.5" x14ac:dyDescent="0.25">
      <c r="B84" s="151"/>
      <c r="C84" s="151"/>
      <c r="D84" s="92">
        <v>77</v>
      </c>
      <c r="E84" s="19" t="s">
        <v>730</v>
      </c>
      <c r="F84" s="92" t="s">
        <v>18</v>
      </c>
      <c r="G84" s="92" t="s">
        <v>731</v>
      </c>
      <c r="H84" s="92" t="s">
        <v>1</v>
      </c>
      <c r="I84" s="92" t="s">
        <v>15</v>
      </c>
      <c r="J84" s="19"/>
      <c r="K84" s="58">
        <v>35797</v>
      </c>
      <c r="L84" s="59">
        <f t="shared" si="6"/>
        <v>1998</v>
      </c>
      <c r="M84" s="59">
        <f t="shared" si="4"/>
        <v>21</v>
      </c>
      <c r="N84" s="92" t="s">
        <v>3</v>
      </c>
      <c r="O84" s="92"/>
      <c r="P84" s="19" t="s">
        <v>35</v>
      </c>
      <c r="Q84" s="92"/>
      <c r="R84" s="19" t="s">
        <v>16</v>
      </c>
    </row>
    <row r="85" spans="2:18" ht="25.5" x14ac:dyDescent="0.25">
      <c r="B85" s="151"/>
      <c r="C85" s="151"/>
      <c r="D85" s="92">
        <v>78</v>
      </c>
      <c r="E85" s="19" t="s">
        <v>732</v>
      </c>
      <c r="F85" s="92" t="s">
        <v>18</v>
      </c>
      <c r="G85" s="92" t="s">
        <v>733</v>
      </c>
      <c r="H85" s="92" t="s">
        <v>10</v>
      </c>
      <c r="I85" s="92" t="s">
        <v>15</v>
      </c>
      <c r="J85" s="19"/>
      <c r="K85" s="58">
        <v>37948</v>
      </c>
      <c r="L85" s="59">
        <f t="shared" si="6"/>
        <v>2003</v>
      </c>
      <c r="M85" s="59">
        <f t="shared" si="4"/>
        <v>16</v>
      </c>
      <c r="N85" s="92" t="s">
        <v>3</v>
      </c>
      <c r="O85" s="92"/>
      <c r="P85" s="19" t="s">
        <v>46</v>
      </c>
      <c r="Q85" s="92"/>
      <c r="R85" s="19" t="s">
        <v>16</v>
      </c>
    </row>
    <row r="86" spans="2:18" ht="25.5" x14ac:dyDescent="0.25">
      <c r="B86" s="151"/>
      <c r="C86" s="151"/>
      <c r="D86" s="92">
        <v>79</v>
      </c>
      <c r="E86" s="19" t="s">
        <v>734</v>
      </c>
      <c r="F86" s="92" t="s">
        <v>18</v>
      </c>
      <c r="G86" s="92" t="s">
        <v>735</v>
      </c>
      <c r="H86" s="92" t="s">
        <v>1</v>
      </c>
      <c r="I86" s="92" t="s">
        <v>15</v>
      </c>
      <c r="J86" s="19"/>
      <c r="K86" s="58">
        <v>39512</v>
      </c>
      <c r="L86" s="59">
        <f t="shared" si="6"/>
        <v>2008</v>
      </c>
      <c r="M86" s="59">
        <f t="shared" si="4"/>
        <v>11</v>
      </c>
      <c r="N86" s="92" t="s">
        <v>3</v>
      </c>
      <c r="O86" s="92"/>
      <c r="P86" s="19" t="s">
        <v>16</v>
      </c>
      <c r="Q86" s="92"/>
      <c r="R86" s="19"/>
    </row>
    <row r="87" spans="2:18" ht="25.5" x14ac:dyDescent="0.25">
      <c r="B87" s="151"/>
      <c r="C87" s="151"/>
      <c r="D87" s="92">
        <v>80</v>
      </c>
      <c r="E87" s="19" t="s">
        <v>736</v>
      </c>
      <c r="F87" s="92" t="s">
        <v>18</v>
      </c>
      <c r="G87" s="92" t="s">
        <v>737</v>
      </c>
      <c r="H87" s="92" t="s">
        <v>1</v>
      </c>
      <c r="I87" s="92" t="s">
        <v>15</v>
      </c>
      <c r="J87" s="19"/>
      <c r="K87" s="58">
        <v>41255</v>
      </c>
      <c r="L87" s="59">
        <f t="shared" si="6"/>
        <v>2012</v>
      </c>
      <c r="M87" s="59">
        <f t="shared" si="4"/>
        <v>7</v>
      </c>
      <c r="N87" s="92" t="s">
        <v>3</v>
      </c>
      <c r="O87" s="92"/>
      <c r="P87" s="19" t="s">
        <v>16</v>
      </c>
      <c r="Q87" s="92"/>
      <c r="R87" s="19" t="s">
        <v>16</v>
      </c>
    </row>
    <row r="88" spans="2:18" x14ac:dyDescent="0.25">
      <c r="B88" s="92">
        <v>23</v>
      </c>
      <c r="C88" s="92"/>
      <c r="D88" s="92">
        <v>81</v>
      </c>
      <c r="E88" s="19" t="s">
        <v>738</v>
      </c>
      <c r="F88" s="92" t="s">
        <v>7</v>
      </c>
      <c r="G88" s="92" t="s">
        <v>739</v>
      </c>
      <c r="H88" s="92" t="s">
        <v>10</v>
      </c>
      <c r="I88" s="92" t="s">
        <v>21</v>
      </c>
      <c r="J88" s="19"/>
      <c r="K88" s="58">
        <v>18445</v>
      </c>
      <c r="L88" s="59">
        <f t="shared" si="6"/>
        <v>1950</v>
      </c>
      <c r="M88" s="59">
        <f t="shared" si="4"/>
        <v>69</v>
      </c>
      <c r="N88" s="92" t="s">
        <v>3</v>
      </c>
      <c r="O88" s="92"/>
      <c r="P88" s="19" t="s">
        <v>16</v>
      </c>
      <c r="Q88" s="92"/>
      <c r="R88" s="19" t="s">
        <v>37</v>
      </c>
    </row>
    <row r="89" spans="2:18" ht="25.5" x14ac:dyDescent="0.25">
      <c r="B89" s="92">
        <v>24</v>
      </c>
      <c r="C89" s="92" t="s">
        <v>2110</v>
      </c>
      <c r="D89" s="92">
        <v>82</v>
      </c>
      <c r="E89" s="19" t="s">
        <v>740</v>
      </c>
      <c r="F89" s="92" t="s">
        <v>7</v>
      </c>
      <c r="G89" s="92" t="s">
        <v>741</v>
      </c>
      <c r="H89" s="92" t="s">
        <v>10</v>
      </c>
      <c r="I89" s="92" t="s">
        <v>1735</v>
      </c>
      <c r="J89" s="19" t="s">
        <v>1631</v>
      </c>
      <c r="K89" s="58">
        <v>21922</v>
      </c>
      <c r="L89" s="59">
        <v>1960</v>
      </c>
      <c r="M89" s="59">
        <f t="shared" si="4"/>
        <v>59</v>
      </c>
      <c r="N89" s="92" t="s">
        <v>3</v>
      </c>
      <c r="O89" s="92" t="s">
        <v>1632</v>
      </c>
      <c r="P89" s="19" t="s">
        <v>1733</v>
      </c>
      <c r="Q89" s="92"/>
      <c r="R89" s="19" t="s">
        <v>1764</v>
      </c>
    </row>
    <row r="90" spans="2:18" x14ac:dyDescent="0.25">
      <c r="B90" s="151">
        <v>25</v>
      </c>
      <c r="C90" s="151"/>
      <c r="D90" s="92">
        <v>83</v>
      </c>
      <c r="E90" s="19" t="s">
        <v>742</v>
      </c>
      <c r="F90" s="92" t="s">
        <v>7</v>
      </c>
      <c r="G90" s="92" t="s">
        <v>743</v>
      </c>
      <c r="H90" s="92" t="s">
        <v>1</v>
      </c>
      <c r="I90" s="92" t="s">
        <v>2</v>
      </c>
      <c r="J90" s="19"/>
      <c r="K90" s="58">
        <v>22098</v>
      </c>
      <c r="L90" s="59">
        <f t="shared" ref="L90:L92" si="7">YEAR(K90)</f>
        <v>1960</v>
      </c>
      <c r="M90" s="59">
        <f t="shared" si="4"/>
        <v>59</v>
      </c>
      <c r="N90" s="92" t="s">
        <v>3</v>
      </c>
      <c r="O90" s="92"/>
      <c r="P90" s="19" t="s">
        <v>16</v>
      </c>
      <c r="Q90" s="92"/>
      <c r="R90" s="19" t="s">
        <v>37</v>
      </c>
    </row>
    <row r="91" spans="2:18" x14ac:dyDescent="0.25">
      <c r="B91" s="151"/>
      <c r="C91" s="151"/>
      <c r="D91" s="92">
        <v>84</v>
      </c>
      <c r="E91" s="19" t="s">
        <v>744</v>
      </c>
      <c r="F91" s="92" t="s">
        <v>12</v>
      </c>
      <c r="G91" s="92" t="s">
        <v>745</v>
      </c>
      <c r="H91" s="92" t="s">
        <v>10</v>
      </c>
      <c r="I91" s="92" t="s">
        <v>2</v>
      </c>
      <c r="J91" s="19"/>
      <c r="K91" s="58">
        <v>22463</v>
      </c>
      <c r="L91" s="59">
        <f t="shared" si="7"/>
        <v>1961</v>
      </c>
      <c r="M91" s="59">
        <f t="shared" si="4"/>
        <v>58</v>
      </c>
      <c r="N91" s="92" t="s">
        <v>3</v>
      </c>
      <c r="O91" s="92"/>
      <c r="P91" s="19" t="s">
        <v>16</v>
      </c>
      <c r="Q91" s="92"/>
      <c r="R91" s="19" t="s">
        <v>37</v>
      </c>
    </row>
    <row r="92" spans="2:18" x14ac:dyDescent="0.25">
      <c r="B92" s="92">
        <v>26</v>
      </c>
      <c r="C92" s="92"/>
      <c r="D92" s="92">
        <v>85</v>
      </c>
      <c r="E92" s="19" t="s">
        <v>746</v>
      </c>
      <c r="F92" s="92" t="s">
        <v>7</v>
      </c>
      <c r="G92" s="92" t="s">
        <v>747</v>
      </c>
      <c r="H92" s="92" t="s">
        <v>10</v>
      </c>
      <c r="I92" s="92" t="s">
        <v>21</v>
      </c>
      <c r="J92" s="19"/>
      <c r="K92" s="58">
        <v>20637</v>
      </c>
      <c r="L92" s="59">
        <f t="shared" si="7"/>
        <v>1956</v>
      </c>
      <c r="M92" s="59">
        <f t="shared" si="4"/>
        <v>63</v>
      </c>
      <c r="N92" s="92" t="s">
        <v>3</v>
      </c>
      <c r="O92" s="92"/>
      <c r="P92" s="19" t="s">
        <v>46</v>
      </c>
      <c r="Q92" s="92"/>
      <c r="R92" s="19" t="s">
        <v>37</v>
      </c>
    </row>
    <row r="93" spans="2:18" ht="25.5" x14ac:dyDescent="0.25">
      <c r="B93" s="151">
        <v>27</v>
      </c>
      <c r="C93" s="151" t="s">
        <v>2111</v>
      </c>
      <c r="D93" s="92">
        <v>86</v>
      </c>
      <c r="E93" s="19" t="s">
        <v>748</v>
      </c>
      <c r="F93" s="92" t="s">
        <v>7</v>
      </c>
      <c r="G93" s="92" t="s">
        <v>2112</v>
      </c>
      <c r="H93" s="92" t="s">
        <v>1</v>
      </c>
      <c r="I93" s="92" t="s">
        <v>2</v>
      </c>
      <c r="J93" s="19" t="s">
        <v>1631</v>
      </c>
      <c r="K93" s="58">
        <v>30489</v>
      </c>
      <c r="L93" s="59">
        <v>1983</v>
      </c>
      <c r="M93" s="59">
        <f t="shared" si="4"/>
        <v>36</v>
      </c>
      <c r="N93" s="92" t="s">
        <v>3</v>
      </c>
      <c r="O93" s="92" t="s">
        <v>1632</v>
      </c>
      <c r="P93" s="19" t="s">
        <v>1677</v>
      </c>
      <c r="Q93" s="92"/>
      <c r="R93" s="19" t="s">
        <v>39</v>
      </c>
    </row>
    <row r="94" spans="2:18" x14ac:dyDescent="0.25">
      <c r="B94" s="151"/>
      <c r="C94" s="151"/>
      <c r="D94" s="92">
        <v>87</v>
      </c>
      <c r="E94" s="19" t="s">
        <v>749</v>
      </c>
      <c r="F94" s="92" t="s">
        <v>12</v>
      </c>
      <c r="G94" s="92" t="s">
        <v>2113</v>
      </c>
      <c r="H94" s="92" t="s">
        <v>10</v>
      </c>
      <c r="I94" s="92" t="s">
        <v>2</v>
      </c>
      <c r="J94" s="19" t="s">
        <v>2116</v>
      </c>
      <c r="K94" s="58">
        <v>31412</v>
      </c>
      <c r="L94" s="59">
        <v>1985</v>
      </c>
      <c r="M94" s="59">
        <f t="shared" si="4"/>
        <v>34</v>
      </c>
      <c r="N94" s="92" t="s">
        <v>3</v>
      </c>
      <c r="O94" s="92" t="s">
        <v>1632</v>
      </c>
      <c r="P94" s="19" t="s">
        <v>1732</v>
      </c>
      <c r="Q94" s="92"/>
      <c r="R94" s="19" t="s">
        <v>43</v>
      </c>
    </row>
    <row r="95" spans="2:18" ht="25.5" x14ac:dyDescent="0.25">
      <c r="B95" s="151"/>
      <c r="C95" s="151"/>
      <c r="D95" s="92">
        <v>88</v>
      </c>
      <c r="E95" s="19" t="s">
        <v>750</v>
      </c>
      <c r="F95" s="92" t="s">
        <v>18</v>
      </c>
      <c r="G95" s="92" t="s">
        <v>2114</v>
      </c>
      <c r="H95" s="92" t="s">
        <v>10</v>
      </c>
      <c r="I95" s="92" t="s">
        <v>15</v>
      </c>
      <c r="J95" s="19" t="s">
        <v>2117</v>
      </c>
      <c r="K95" s="58">
        <v>40578</v>
      </c>
      <c r="L95" s="59">
        <v>2011</v>
      </c>
      <c r="M95" s="59">
        <f t="shared" si="4"/>
        <v>8</v>
      </c>
      <c r="N95" s="92" t="s">
        <v>3</v>
      </c>
      <c r="O95" s="92" t="s">
        <v>1632</v>
      </c>
      <c r="P95" s="19" t="s">
        <v>1733</v>
      </c>
      <c r="Q95" s="92"/>
      <c r="R95" s="19" t="s">
        <v>1674</v>
      </c>
    </row>
    <row r="96" spans="2:18" ht="25.5" x14ac:dyDescent="0.25">
      <c r="B96" s="151">
        <v>28</v>
      </c>
      <c r="C96" s="151"/>
      <c r="D96" s="92">
        <v>89</v>
      </c>
      <c r="E96" s="19" t="s">
        <v>2211</v>
      </c>
      <c r="F96" s="92" t="s">
        <v>7</v>
      </c>
      <c r="G96" s="92" t="s">
        <v>2115</v>
      </c>
      <c r="H96" s="92" t="s">
        <v>10</v>
      </c>
      <c r="I96" s="92" t="s">
        <v>21</v>
      </c>
      <c r="J96" s="19" t="s">
        <v>1623</v>
      </c>
      <c r="K96" s="58">
        <v>42816</v>
      </c>
      <c r="L96" s="59">
        <v>2017</v>
      </c>
      <c r="M96" s="59">
        <f t="shared" si="4"/>
        <v>2</v>
      </c>
      <c r="N96" s="92" t="s">
        <v>3</v>
      </c>
      <c r="O96" s="92" t="s">
        <v>1632</v>
      </c>
      <c r="P96" s="19" t="s">
        <v>1733</v>
      </c>
      <c r="Q96" s="92"/>
      <c r="R96" s="19" t="s">
        <v>1674</v>
      </c>
    </row>
    <row r="97" spans="2:18" ht="25.5" x14ac:dyDescent="0.25">
      <c r="B97" s="151"/>
      <c r="C97" s="151"/>
      <c r="D97" s="92">
        <v>90</v>
      </c>
      <c r="E97" s="19" t="s">
        <v>751</v>
      </c>
      <c r="F97" s="92" t="s">
        <v>18</v>
      </c>
      <c r="G97" s="92" t="s">
        <v>752</v>
      </c>
      <c r="H97" s="92" t="s">
        <v>1</v>
      </c>
      <c r="I97" s="92" t="s">
        <v>15</v>
      </c>
      <c r="J97" s="19"/>
      <c r="K97" s="58">
        <v>36494</v>
      </c>
      <c r="L97" s="59">
        <f>YEAR(K97)</f>
        <v>1999</v>
      </c>
      <c r="M97" s="59">
        <f t="shared" si="4"/>
        <v>20</v>
      </c>
      <c r="N97" s="92" t="s">
        <v>3</v>
      </c>
      <c r="O97" s="92"/>
      <c r="P97" s="19" t="s">
        <v>46</v>
      </c>
      <c r="Q97" s="92"/>
      <c r="R97" s="19" t="s">
        <v>16</v>
      </c>
    </row>
    <row r="98" spans="2:18" ht="15" customHeight="1" x14ac:dyDescent="0.25">
      <c r="B98" s="151">
        <v>29</v>
      </c>
      <c r="C98" s="152" t="s">
        <v>2387</v>
      </c>
      <c r="D98" s="92">
        <v>91</v>
      </c>
      <c r="E98" s="19" t="s">
        <v>753</v>
      </c>
      <c r="F98" s="92" t="s">
        <v>7</v>
      </c>
      <c r="G98" s="92" t="s">
        <v>754</v>
      </c>
      <c r="H98" s="92" t="s">
        <v>1</v>
      </c>
      <c r="I98" s="92" t="s">
        <v>2</v>
      </c>
      <c r="J98" s="19" t="s">
        <v>1631</v>
      </c>
      <c r="K98" s="58">
        <v>15348</v>
      </c>
      <c r="L98" s="59">
        <v>1942</v>
      </c>
      <c r="M98" s="59">
        <f t="shared" si="4"/>
        <v>77</v>
      </c>
      <c r="N98" s="92" t="s">
        <v>3</v>
      </c>
      <c r="O98" s="92" t="s">
        <v>1632</v>
      </c>
      <c r="P98" s="19" t="s">
        <v>1732</v>
      </c>
      <c r="Q98" s="92"/>
      <c r="R98" s="19" t="s">
        <v>1808</v>
      </c>
    </row>
    <row r="99" spans="2:18" ht="25.5" x14ac:dyDescent="0.25">
      <c r="B99" s="151"/>
      <c r="C99" s="153"/>
      <c r="D99" s="92">
        <v>92</v>
      </c>
      <c r="E99" s="19" t="s">
        <v>755</v>
      </c>
      <c r="F99" s="92" t="s">
        <v>12</v>
      </c>
      <c r="G99" s="92" t="s">
        <v>756</v>
      </c>
      <c r="H99" s="92" t="s">
        <v>10</v>
      </c>
      <c r="I99" s="92" t="s">
        <v>2</v>
      </c>
      <c r="J99" s="19" t="s">
        <v>1631</v>
      </c>
      <c r="K99" s="58">
        <v>18270</v>
      </c>
      <c r="L99" s="59">
        <v>1950</v>
      </c>
      <c r="M99" s="59">
        <f t="shared" si="4"/>
        <v>69</v>
      </c>
      <c r="N99" s="92" t="s">
        <v>3</v>
      </c>
      <c r="O99" s="92" t="s">
        <v>1632</v>
      </c>
      <c r="P99" s="19" t="s">
        <v>1733</v>
      </c>
      <c r="Q99" s="92"/>
      <c r="R99" s="19" t="s">
        <v>1808</v>
      </c>
    </row>
    <row r="100" spans="2:18" ht="25.5" x14ac:dyDescent="0.25">
      <c r="B100" s="151"/>
      <c r="C100" s="153"/>
      <c r="D100" s="92">
        <v>93</v>
      </c>
      <c r="E100" s="19" t="s">
        <v>757</v>
      </c>
      <c r="F100" s="92" t="s">
        <v>18</v>
      </c>
      <c r="G100" s="92" t="s">
        <v>758</v>
      </c>
      <c r="H100" s="92" t="s">
        <v>10</v>
      </c>
      <c r="I100" s="92" t="s">
        <v>15</v>
      </c>
      <c r="J100" s="19" t="s">
        <v>1631</v>
      </c>
      <c r="K100" s="58">
        <v>28132</v>
      </c>
      <c r="L100" s="59">
        <v>1977</v>
      </c>
      <c r="M100" s="59">
        <f t="shared" si="4"/>
        <v>42</v>
      </c>
      <c r="N100" s="92" t="s">
        <v>3</v>
      </c>
      <c r="O100" s="92" t="s">
        <v>1632</v>
      </c>
      <c r="P100" s="19" t="s">
        <v>1732</v>
      </c>
      <c r="Q100" s="92"/>
      <c r="R100" s="19" t="s">
        <v>43</v>
      </c>
    </row>
    <row r="101" spans="2:18" ht="25.5" x14ac:dyDescent="0.25">
      <c r="B101" s="151"/>
      <c r="C101" s="153"/>
      <c r="D101" s="92">
        <v>94</v>
      </c>
      <c r="E101" s="19" t="s">
        <v>759</v>
      </c>
      <c r="F101" s="92" t="s">
        <v>18</v>
      </c>
      <c r="G101" s="92" t="s">
        <v>760</v>
      </c>
      <c r="H101" s="92" t="s">
        <v>1</v>
      </c>
      <c r="I101" s="92" t="s">
        <v>15</v>
      </c>
      <c r="J101" s="19" t="s">
        <v>1631</v>
      </c>
      <c r="K101" s="58">
        <v>28497</v>
      </c>
      <c r="L101" s="59">
        <v>1978</v>
      </c>
      <c r="M101" s="59">
        <f t="shared" si="4"/>
        <v>41</v>
      </c>
      <c r="N101" s="92" t="s">
        <v>3</v>
      </c>
      <c r="O101" s="92" t="s">
        <v>1632</v>
      </c>
      <c r="P101" s="19" t="s">
        <v>1732</v>
      </c>
      <c r="Q101" s="92"/>
      <c r="R101" s="19" t="s">
        <v>1808</v>
      </c>
    </row>
    <row r="102" spans="2:18" ht="25.5" x14ac:dyDescent="0.25">
      <c r="B102" s="151"/>
      <c r="C102" s="154"/>
      <c r="D102" s="92">
        <v>95</v>
      </c>
      <c r="E102" s="19" t="s">
        <v>761</v>
      </c>
      <c r="F102" s="92" t="s">
        <v>18</v>
      </c>
      <c r="G102" s="92" t="s">
        <v>762</v>
      </c>
      <c r="H102" s="92" t="s">
        <v>10</v>
      </c>
      <c r="I102" s="92" t="s">
        <v>15</v>
      </c>
      <c r="J102" s="19" t="s">
        <v>1631</v>
      </c>
      <c r="K102" s="58">
        <v>30147</v>
      </c>
      <c r="L102" s="59">
        <v>1982</v>
      </c>
      <c r="M102" s="59">
        <f t="shared" si="4"/>
        <v>37</v>
      </c>
      <c r="N102" s="92" t="s">
        <v>3</v>
      </c>
      <c r="O102" s="92" t="s">
        <v>1632</v>
      </c>
      <c r="P102" s="19" t="s">
        <v>1641</v>
      </c>
      <c r="Q102" s="92"/>
      <c r="R102" s="19" t="s">
        <v>43</v>
      </c>
    </row>
    <row r="103" spans="2:18" ht="25.5" x14ac:dyDescent="0.25">
      <c r="B103" s="151">
        <v>30</v>
      </c>
      <c r="C103" s="151"/>
      <c r="D103" s="92">
        <v>96</v>
      </c>
      <c r="E103" s="19" t="s">
        <v>763</v>
      </c>
      <c r="F103" s="92" t="s">
        <v>7</v>
      </c>
      <c r="G103" s="92" t="s">
        <v>764</v>
      </c>
      <c r="H103" s="92" t="s">
        <v>1</v>
      </c>
      <c r="I103" s="92" t="s">
        <v>2</v>
      </c>
      <c r="J103" s="19"/>
      <c r="K103" s="58">
        <v>30782</v>
      </c>
      <c r="L103" s="59">
        <f t="shared" ref="L103:L108" si="8">YEAR(K103)</f>
        <v>1984</v>
      </c>
      <c r="M103" s="59">
        <f t="shared" si="4"/>
        <v>35</v>
      </c>
      <c r="N103" s="92" t="s">
        <v>3</v>
      </c>
      <c r="O103" s="92"/>
      <c r="P103" s="19" t="s">
        <v>35</v>
      </c>
      <c r="Q103" s="92"/>
      <c r="R103" s="19" t="s">
        <v>614</v>
      </c>
    </row>
    <row r="104" spans="2:18" x14ac:dyDescent="0.25">
      <c r="B104" s="151"/>
      <c r="C104" s="151"/>
      <c r="D104" s="92">
        <v>97</v>
      </c>
      <c r="E104" s="19" t="s">
        <v>765</v>
      </c>
      <c r="F104" s="92" t="s">
        <v>12</v>
      </c>
      <c r="G104" s="92" t="s">
        <v>766</v>
      </c>
      <c r="H104" s="92" t="s">
        <v>10</v>
      </c>
      <c r="I104" s="92" t="s">
        <v>2</v>
      </c>
      <c r="J104" s="19"/>
      <c r="K104" s="58">
        <v>31222</v>
      </c>
      <c r="L104" s="59">
        <f t="shared" si="8"/>
        <v>1985</v>
      </c>
      <c r="M104" s="59">
        <f t="shared" si="4"/>
        <v>34</v>
      </c>
      <c r="N104" s="92" t="s">
        <v>3</v>
      </c>
      <c r="O104" s="92"/>
      <c r="P104" s="19" t="s">
        <v>46</v>
      </c>
      <c r="Q104" s="92"/>
      <c r="R104" s="19" t="s">
        <v>39</v>
      </c>
    </row>
    <row r="105" spans="2:18" ht="25.5" x14ac:dyDescent="0.25">
      <c r="B105" s="151"/>
      <c r="C105" s="151"/>
      <c r="D105" s="92">
        <v>98</v>
      </c>
      <c r="E105" s="19" t="s">
        <v>767</v>
      </c>
      <c r="F105" s="92" t="s">
        <v>18</v>
      </c>
      <c r="G105" s="92" t="s">
        <v>766</v>
      </c>
      <c r="H105" s="92" t="s">
        <v>10</v>
      </c>
      <c r="I105" s="92" t="s">
        <v>15</v>
      </c>
      <c r="J105" s="19"/>
      <c r="K105" s="58">
        <v>39866</v>
      </c>
      <c r="L105" s="59">
        <f t="shared" si="8"/>
        <v>2009</v>
      </c>
      <c r="M105" s="59">
        <f t="shared" si="4"/>
        <v>10</v>
      </c>
      <c r="N105" s="92" t="s">
        <v>3</v>
      </c>
      <c r="O105" s="92"/>
      <c r="P105" s="19" t="s">
        <v>16</v>
      </c>
      <c r="Q105" s="92"/>
      <c r="R105" s="19" t="s">
        <v>16</v>
      </c>
    </row>
    <row r="106" spans="2:18" ht="25.5" x14ac:dyDescent="0.25">
      <c r="B106" s="151">
        <v>31</v>
      </c>
      <c r="C106" s="151"/>
      <c r="D106" s="92">
        <v>99</v>
      </c>
      <c r="E106" s="19" t="s">
        <v>768</v>
      </c>
      <c r="F106" s="92" t="s">
        <v>7</v>
      </c>
      <c r="G106" s="92" t="s">
        <v>769</v>
      </c>
      <c r="H106" s="92" t="s">
        <v>1</v>
      </c>
      <c r="I106" s="92" t="s">
        <v>2</v>
      </c>
      <c r="J106" s="19"/>
      <c r="K106" s="58">
        <v>30251</v>
      </c>
      <c r="L106" s="59">
        <f t="shared" si="8"/>
        <v>1982</v>
      </c>
      <c r="M106" s="59">
        <f t="shared" si="4"/>
        <v>37</v>
      </c>
      <c r="N106" s="92" t="s">
        <v>3</v>
      </c>
      <c r="O106" s="92"/>
      <c r="P106" s="19" t="s">
        <v>27</v>
      </c>
      <c r="Q106" s="92"/>
      <c r="R106" s="19" t="s">
        <v>28</v>
      </c>
    </row>
    <row r="107" spans="2:18" x14ac:dyDescent="0.25">
      <c r="B107" s="151"/>
      <c r="C107" s="151"/>
      <c r="D107" s="92">
        <v>100</v>
      </c>
      <c r="E107" s="19" t="s">
        <v>770</v>
      </c>
      <c r="F107" s="92" t="s">
        <v>12</v>
      </c>
      <c r="G107" s="92" t="s">
        <v>771</v>
      </c>
      <c r="H107" s="92" t="s">
        <v>10</v>
      </c>
      <c r="I107" s="92" t="s">
        <v>2</v>
      </c>
      <c r="J107" s="19"/>
      <c r="K107" s="58">
        <v>30402</v>
      </c>
      <c r="L107" s="59">
        <f t="shared" si="8"/>
        <v>1983</v>
      </c>
      <c r="M107" s="59">
        <f t="shared" si="4"/>
        <v>36</v>
      </c>
      <c r="N107" s="92" t="s">
        <v>3</v>
      </c>
      <c r="O107" s="92"/>
      <c r="P107" s="19" t="s">
        <v>35</v>
      </c>
      <c r="Q107" s="92"/>
      <c r="R107" s="19" t="s">
        <v>39</v>
      </c>
    </row>
    <row r="108" spans="2:18" x14ac:dyDescent="0.25">
      <c r="B108" s="151"/>
      <c r="C108" s="151"/>
      <c r="D108" s="92">
        <v>101</v>
      </c>
      <c r="E108" s="19" t="s">
        <v>772</v>
      </c>
      <c r="F108" s="92" t="s">
        <v>18</v>
      </c>
      <c r="G108" s="92" t="s">
        <v>773</v>
      </c>
      <c r="H108" s="92" t="s">
        <v>10</v>
      </c>
      <c r="I108" s="92" t="s">
        <v>15</v>
      </c>
      <c r="J108" s="19"/>
      <c r="K108" s="58">
        <v>40739</v>
      </c>
      <c r="L108" s="59">
        <f t="shared" si="8"/>
        <v>2011</v>
      </c>
      <c r="M108" s="59">
        <f t="shared" si="4"/>
        <v>8</v>
      </c>
      <c r="N108" s="92" t="s">
        <v>3</v>
      </c>
      <c r="O108" s="92"/>
      <c r="P108" s="19" t="s">
        <v>16</v>
      </c>
      <c r="Q108" s="92"/>
      <c r="R108" s="19" t="s">
        <v>16</v>
      </c>
    </row>
    <row r="109" spans="2:18" ht="15" customHeight="1" x14ac:dyDescent="0.25">
      <c r="B109" s="151">
        <v>32</v>
      </c>
      <c r="C109" s="152" t="s">
        <v>2388</v>
      </c>
      <c r="D109" s="92">
        <v>102</v>
      </c>
      <c r="E109" s="19" t="s">
        <v>774</v>
      </c>
      <c r="F109" s="92" t="s">
        <v>7</v>
      </c>
      <c r="G109" s="92" t="s">
        <v>2389</v>
      </c>
      <c r="H109" s="92" t="s">
        <v>1</v>
      </c>
      <c r="I109" s="92" t="s">
        <v>2</v>
      </c>
      <c r="J109" s="19" t="s">
        <v>1631</v>
      </c>
      <c r="K109" s="58">
        <v>21922</v>
      </c>
      <c r="L109" s="59">
        <v>1950</v>
      </c>
      <c r="M109" s="59">
        <f t="shared" si="4"/>
        <v>69</v>
      </c>
      <c r="N109" s="92" t="s">
        <v>3</v>
      </c>
      <c r="O109" s="92" t="s">
        <v>1632</v>
      </c>
      <c r="P109" s="19" t="s">
        <v>1732</v>
      </c>
      <c r="Q109" s="92"/>
      <c r="R109" s="19" t="s">
        <v>1816</v>
      </c>
    </row>
    <row r="110" spans="2:18" ht="25.5" x14ac:dyDescent="0.25">
      <c r="B110" s="151"/>
      <c r="C110" s="153"/>
      <c r="D110" s="92">
        <v>103</v>
      </c>
      <c r="E110" s="19" t="s">
        <v>775</v>
      </c>
      <c r="F110" s="92" t="s">
        <v>12</v>
      </c>
      <c r="G110" s="92" t="s">
        <v>2390</v>
      </c>
      <c r="H110" s="92" t="s">
        <v>10</v>
      </c>
      <c r="I110" s="92" t="s">
        <v>2</v>
      </c>
      <c r="J110" s="19" t="s">
        <v>1631</v>
      </c>
      <c r="K110" s="58">
        <v>25575</v>
      </c>
      <c r="L110" s="59">
        <v>1970</v>
      </c>
      <c r="M110" s="59">
        <f t="shared" si="4"/>
        <v>49</v>
      </c>
      <c r="N110" s="92" t="s">
        <v>3</v>
      </c>
      <c r="O110" s="92" t="s">
        <v>1632</v>
      </c>
      <c r="P110" s="19" t="s">
        <v>1733</v>
      </c>
      <c r="Q110" s="92"/>
      <c r="R110" s="19" t="s">
        <v>1816</v>
      </c>
    </row>
    <row r="111" spans="2:18" ht="25.5" x14ac:dyDescent="0.25">
      <c r="B111" s="151"/>
      <c r="C111" s="153"/>
      <c r="D111" s="92">
        <v>104</v>
      </c>
      <c r="E111" s="19" t="s">
        <v>776</v>
      </c>
      <c r="F111" s="92" t="s">
        <v>18</v>
      </c>
      <c r="G111" s="92" t="s">
        <v>2391</v>
      </c>
      <c r="H111" s="92" t="s">
        <v>1</v>
      </c>
      <c r="I111" s="92" t="s">
        <v>15</v>
      </c>
      <c r="J111" s="19" t="s">
        <v>1631</v>
      </c>
      <c r="K111" s="58">
        <v>34196</v>
      </c>
      <c r="L111" s="59">
        <v>1993</v>
      </c>
      <c r="M111" s="59">
        <f t="shared" si="4"/>
        <v>26</v>
      </c>
      <c r="N111" s="92" t="s">
        <v>3</v>
      </c>
      <c r="O111" s="92" t="s">
        <v>1632</v>
      </c>
      <c r="P111" s="19" t="s">
        <v>1677</v>
      </c>
      <c r="Q111" s="92"/>
      <c r="R111" s="19" t="s">
        <v>1625</v>
      </c>
    </row>
    <row r="112" spans="2:18" ht="25.5" x14ac:dyDescent="0.25">
      <c r="B112" s="151"/>
      <c r="C112" s="153"/>
      <c r="D112" s="92">
        <v>105</v>
      </c>
      <c r="E112" s="19" t="s">
        <v>777</v>
      </c>
      <c r="F112" s="92" t="s">
        <v>18</v>
      </c>
      <c r="G112" s="92" t="s">
        <v>2392</v>
      </c>
      <c r="H112" s="92" t="s">
        <v>1</v>
      </c>
      <c r="I112" s="92" t="s">
        <v>15</v>
      </c>
      <c r="J112" s="19" t="s">
        <v>1631</v>
      </c>
      <c r="K112" s="58">
        <v>35791</v>
      </c>
      <c r="L112" s="59">
        <v>1997</v>
      </c>
      <c r="M112" s="59">
        <f t="shared" si="4"/>
        <v>22</v>
      </c>
      <c r="N112" s="92" t="s">
        <v>3</v>
      </c>
      <c r="O112" s="92" t="s">
        <v>1632</v>
      </c>
      <c r="P112" s="19" t="s">
        <v>1677</v>
      </c>
      <c r="Q112" s="92"/>
      <c r="R112" s="19" t="s">
        <v>39</v>
      </c>
    </row>
    <row r="113" spans="1:18" ht="25.5" x14ac:dyDescent="0.25">
      <c r="B113" s="151"/>
      <c r="C113" s="154"/>
      <c r="D113" s="92">
        <v>106</v>
      </c>
      <c r="E113" s="19" t="s">
        <v>778</v>
      </c>
      <c r="F113" s="92" t="s">
        <v>18</v>
      </c>
      <c r="G113" s="92" t="s">
        <v>2393</v>
      </c>
      <c r="H113" s="92" t="s">
        <v>1</v>
      </c>
      <c r="I113" s="92" t="s">
        <v>15</v>
      </c>
      <c r="J113" s="19" t="s">
        <v>1631</v>
      </c>
      <c r="K113" s="58">
        <v>35844</v>
      </c>
      <c r="L113" s="59">
        <v>1998</v>
      </c>
      <c r="M113" s="59">
        <f t="shared" si="4"/>
        <v>21</v>
      </c>
      <c r="N113" s="92" t="s">
        <v>3</v>
      </c>
      <c r="O113" s="92" t="s">
        <v>1632</v>
      </c>
      <c r="P113" s="19" t="s">
        <v>1641</v>
      </c>
      <c r="Q113" s="92"/>
      <c r="R113" s="19" t="s">
        <v>1625</v>
      </c>
    </row>
    <row r="114" spans="1:18" x14ac:dyDescent="0.25">
      <c r="B114" s="151">
        <v>33</v>
      </c>
      <c r="C114" s="151"/>
      <c r="D114" s="92">
        <v>107</v>
      </c>
      <c r="E114" s="19" t="s">
        <v>518</v>
      </c>
      <c r="F114" s="92" t="s">
        <v>7</v>
      </c>
      <c r="G114" s="92" t="s">
        <v>779</v>
      </c>
      <c r="H114" s="92" t="s">
        <v>10</v>
      </c>
      <c r="I114" s="92" t="s">
        <v>21</v>
      </c>
      <c r="J114" s="19"/>
      <c r="K114" s="58">
        <v>22281</v>
      </c>
      <c r="L114" s="59">
        <f t="shared" ref="L114:L118" si="9">YEAR(K114)</f>
        <v>1960</v>
      </c>
      <c r="M114" s="59">
        <f t="shared" si="4"/>
        <v>59</v>
      </c>
      <c r="N114" s="92" t="s">
        <v>3</v>
      </c>
      <c r="O114" s="92"/>
      <c r="P114" s="19" t="s">
        <v>27</v>
      </c>
      <c r="Q114" s="92"/>
      <c r="R114" s="19" t="s">
        <v>37</v>
      </c>
    </row>
    <row r="115" spans="1:18" x14ac:dyDescent="0.25">
      <c r="B115" s="151"/>
      <c r="C115" s="151"/>
      <c r="D115" s="92">
        <v>108</v>
      </c>
      <c r="E115" s="19" t="s">
        <v>780</v>
      </c>
      <c r="F115" s="92" t="s">
        <v>18</v>
      </c>
      <c r="G115" s="92" t="s">
        <v>781</v>
      </c>
      <c r="H115" s="92" t="s">
        <v>1</v>
      </c>
      <c r="I115" s="92" t="s">
        <v>15</v>
      </c>
      <c r="J115" s="19"/>
      <c r="K115" s="58">
        <v>30812</v>
      </c>
      <c r="L115" s="59">
        <f t="shared" si="9"/>
        <v>1984</v>
      </c>
      <c r="M115" s="59">
        <f t="shared" si="4"/>
        <v>35</v>
      </c>
      <c r="N115" s="92" t="s">
        <v>3</v>
      </c>
      <c r="O115" s="92"/>
      <c r="P115" s="19" t="s">
        <v>35</v>
      </c>
      <c r="Q115" s="92"/>
      <c r="R115" s="19" t="s">
        <v>39</v>
      </c>
    </row>
    <row r="116" spans="1:18" ht="25.5" x14ac:dyDescent="0.25">
      <c r="B116" s="151"/>
      <c r="C116" s="151"/>
      <c r="D116" s="92">
        <v>109</v>
      </c>
      <c r="E116" s="19" t="s">
        <v>782</v>
      </c>
      <c r="F116" s="92" t="s">
        <v>18</v>
      </c>
      <c r="G116" s="92" t="s">
        <v>783</v>
      </c>
      <c r="H116" s="92" t="s">
        <v>1</v>
      </c>
      <c r="I116" s="92" t="s">
        <v>15</v>
      </c>
      <c r="J116" s="19"/>
      <c r="K116" s="58">
        <v>34398</v>
      </c>
      <c r="L116" s="59">
        <f t="shared" si="9"/>
        <v>1994</v>
      </c>
      <c r="M116" s="59">
        <f t="shared" si="4"/>
        <v>25</v>
      </c>
      <c r="N116" s="92" t="s">
        <v>3</v>
      </c>
      <c r="O116" s="92"/>
      <c r="P116" s="19" t="s">
        <v>16</v>
      </c>
      <c r="Q116" s="92"/>
      <c r="R116" s="19" t="s">
        <v>16</v>
      </c>
    </row>
    <row r="117" spans="1:18" x14ac:dyDescent="0.25">
      <c r="B117" s="151">
        <v>34</v>
      </c>
      <c r="C117" s="151"/>
      <c r="D117" s="92">
        <v>110</v>
      </c>
      <c r="E117" s="19" t="s">
        <v>784</v>
      </c>
      <c r="F117" s="92" t="s">
        <v>7</v>
      </c>
      <c r="G117" s="92" t="s">
        <v>785</v>
      </c>
      <c r="H117" s="92" t="s">
        <v>1</v>
      </c>
      <c r="I117" s="92" t="s">
        <v>2</v>
      </c>
      <c r="J117" s="19"/>
      <c r="K117" s="58">
        <v>32138</v>
      </c>
      <c r="L117" s="59">
        <f t="shared" si="9"/>
        <v>1987</v>
      </c>
      <c r="M117" s="59">
        <f t="shared" si="4"/>
        <v>32</v>
      </c>
      <c r="N117" s="92" t="s">
        <v>3</v>
      </c>
      <c r="O117" s="92"/>
      <c r="P117" s="19" t="s">
        <v>27</v>
      </c>
      <c r="Q117" s="92"/>
      <c r="R117" s="19" t="s">
        <v>39</v>
      </c>
    </row>
    <row r="118" spans="1:18" x14ac:dyDescent="0.25">
      <c r="B118" s="151"/>
      <c r="C118" s="151"/>
      <c r="D118" s="92">
        <v>111</v>
      </c>
      <c r="E118" s="19" t="s">
        <v>786</v>
      </c>
      <c r="F118" s="92" t="s">
        <v>12</v>
      </c>
      <c r="G118" s="92" t="s">
        <v>787</v>
      </c>
      <c r="H118" s="92" t="s">
        <v>10</v>
      </c>
      <c r="I118" s="92" t="s">
        <v>2</v>
      </c>
      <c r="J118" s="19"/>
      <c r="K118" s="58">
        <v>30864</v>
      </c>
      <c r="L118" s="59">
        <f t="shared" si="9"/>
        <v>1984</v>
      </c>
      <c r="M118" s="59">
        <f t="shared" si="4"/>
        <v>35</v>
      </c>
      <c r="N118" s="92" t="s">
        <v>3</v>
      </c>
      <c r="O118" s="92"/>
      <c r="P118" s="19" t="s">
        <v>35</v>
      </c>
      <c r="Q118" s="92"/>
      <c r="R118" s="19" t="s">
        <v>16</v>
      </c>
    </row>
    <row r="119" spans="1:18" s="92" customFormat="1" ht="25.5" x14ac:dyDescent="0.25">
      <c r="A119" s="57"/>
      <c r="B119" s="151">
        <v>35</v>
      </c>
      <c r="C119" s="151" t="s">
        <v>2479</v>
      </c>
      <c r="D119" s="92">
        <v>112</v>
      </c>
      <c r="E119" s="19" t="s">
        <v>788</v>
      </c>
      <c r="F119" s="92" t="s">
        <v>7</v>
      </c>
      <c r="G119" s="92" t="s">
        <v>789</v>
      </c>
      <c r="H119" s="92" t="s">
        <v>1</v>
      </c>
      <c r="I119" s="92" t="s">
        <v>2</v>
      </c>
      <c r="J119" s="19" t="s">
        <v>1631</v>
      </c>
      <c r="K119" s="58">
        <v>15341</v>
      </c>
      <c r="L119" s="59">
        <v>1941</v>
      </c>
      <c r="M119" s="59">
        <f t="shared" si="4"/>
        <v>78</v>
      </c>
      <c r="N119" s="92" t="s">
        <v>3</v>
      </c>
      <c r="O119" s="92" t="s">
        <v>1632</v>
      </c>
      <c r="P119" s="19" t="s">
        <v>1732</v>
      </c>
      <c r="R119" s="19" t="s">
        <v>1816</v>
      </c>
    </row>
    <row r="120" spans="1:18" ht="25.5" x14ac:dyDescent="0.25">
      <c r="B120" s="151"/>
      <c r="C120" s="151"/>
      <c r="D120" s="92">
        <v>113</v>
      </c>
      <c r="E120" s="19" t="s">
        <v>790</v>
      </c>
      <c r="F120" s="92" t="s">
        <v>12</v>
      </c>
      <c r="G120" s="92" t="s">
        <v>791</v>
      </c>
      <c r="H120" s="92" t="s">
        <v>10</v>
      </c>
      <c r="I120" s="92" t="s">
        <v>2</v>
      </c>
      <c r="J120" s="19" t="s">
        <v>1631</v>
      </c>
      <c r="K120" s="58">
        <v>18628</v>
      </c>
      <c r="L120" s="59">
        <v>1950</v>
      </c>
      <c r="M120" s="59">
        <f t="shared" si="4"/>
        <v>69</v>
      </c>
      <c r="N120" s="92" t="s">
        <v>3</v>
      </c>
      <c r="O120" s="92" t="s">
        <v>1632</v>
      </c>
      <c r="P120" s="19" t="s">
        <v>2480</v>
      </c>
      <c r="Q120" s="92"/>
      <c r="R120" s="19" t="s">
        <v>1816</v>
      </c>
    </row>
    <row r="121" spans="1:18" ht="25.5" x14ac:dyDescent="0.25">
      <c r="B121" s="151"/>
      <c r="C121" s="151"/>
      <c r="D121" s="92">
        <v>114</v>
      </c>
      <c r="E121" s="19" t="s">
        <v>792</v>
      </c>
      <c r="F121" s="92" t="s">
        <v>18</v>
      </c>
      <c r="G121" s="92" t="s">
        <v>793</v>
      </c>
      <c r="H121" s="92" t="s">
        <v>1</v>
      </c>
      <c r="I121" s="92" t="s">
        <v>15</v>
      </c>
      <c r="J121" s="19" t="s">
        <v>1631</v>
      </c>
      <c r="K121" s="58">
        <v>29295</v>
      </c>
      <c r="L121" s="59">
        <v>1980</v>
      </c>
      <c r="M121" s="59">
        <f t="shared" si="4"/>
        <v>39</v>
      </c>
      <c r="N121" s="92" t="s">
        <v>3</v>
      </c>
      <c r="O121" s="92" t="s">
        <v>1632</v>
      </c>
      <c r="P121" s="19" t="s">
        <v>1677</v>
      </c>
      <c r="Q121" s="92"/>
      <c r="R121" s="19" t="s">
        <v>39</v>
      </c>
    </row>
    <row r="122" spans="1:18" ht="25.5" x14ac:dyDescent="0.25">
      <c r="B122" s="151"/>
      <c r="C122" s="151"/>
      <c r="D122" s="92">
        <v>115</v>
      </c>
      <c r="E122" s="19" t="s">
        <v>794</v>
      </c>
      <c r="F122" s="92" t="s">
        <v>18</v>
      </c>
      <c r="G122" s="92" t="s">
        <v>795</v>
      </c>
      <c r="H122" s="92" t="s">
        <v>10</v>
      </c>
      <c r="I122" s="92" t="s">
        <v>15</v>
      </c>
      <c r="J122" s="19" t="s">
        <v>1631</v>
      </c>
      <c r="K122" s="58">
        <v>29873</v>
      </c>
      <c r="L122" s="59">
        <v>1981</v>
      </c>
      <c r="M122" s="59">
        <f t="shared" si="4"/>
        <v>38</v>
      </c>
      <c r="N122" s="92" t="s">
        <v>3</v>
      </c>
      <c r="O122" s="92" t="s">
        <v>1632</v>
      </c>
      <c r="P122" s="19" t="s">
        <v>2376</v>
      </c>
      <c r="Q122" s="92"/>
      <c r="R122" s="19" t="s">
        <v>39</v>
      </c>
    </row>
    <row r="123" spans="1:18" ht="25.5" x14ac:dyDescent="0.25">
      <c r="B123" s="151"/>
      <c r="C123" s="151"/>
      <c r="D123" s="92">
        <v>116</v>
      </c>
      <c r="E123" s="19" t="s">
        <v>796</v>
      </c>
      <c r="F123" s="92" t="s">
        <v>18</v>
      </c>
      <c r="G123" s="92" t="s">
        <v>797</v>
      </c>
      <c r="H123" s="92" t="s">
        <v>1</v>
      </c>
      <c r="I123" s="92" t="s">
        <v>15</v>
      </c>
      <c r="J123" s="19" t="s">
        <v>1631</v>
      </c>
      <c r="K123" s="58">
        <v>31047</v>
      </c>
      <c r="L123" s="59">
        <v>1984</v>
      </c>
      <c r="M123" s="59">
        <f t="shared" si="4"/>
        <v>35</v>
      </c>
      <c r="N123" s="92" t="s">
        <v>3</v>
      </c>
      <c r="O123" s="92" t="s">
        <v>1632</v>
      </c>
      <c r="P123" s="19" t="s">
        <v>1677</v>
      </c>
      <c r="Q123" s="92"/>
      <c r="R123" s="19" t="s">
        <v>39</v>
      </c>
    </row>
    <row r="124" spans="1:18" ht="25.5" x14ac:dyDescent="0.25">
      <c r="B124" s="151"/>
      <c r="C124" s="151"/>
      <c r="D124" s="92">
        <v>117</v>
      </c>
      <c r="E124" s="19" t="s">
        <v>798</v>
      </c>
      <c r="F124" s="92" t="s">
        <v>18</v>
      </c>
      <c r="G124" s="92" t="s">
        <v>799</v>
      </c>
      <c r="H124" s="92" t="s">
        <v>1</v>
      </c>
      <c r="I124" s="92" t="s">
        <v>15</v>
      </c>
      <c r="J124" s="19" t="s">
        <v>1631</v>
      </c>
      <c r="K124" s="58">
        <v>34140</v>
      </c>
      <c r="L124" s="59">
        <v>1993</v>
      </c>
      <c r="M124" s="59">
        <f t="shared" ref="M124:M185" si="10">2019-L124</f>
        <v>26</v>
      </c>
      <c r="N124" s="92" t="s">
        <v>3</v>
      </c>
      <c r="O124" s="92" t="s">
        <v>1632</v>
      </c>
      <c r="P124" s="19" t="s">
        <v>1677</v>
      </c>
      <c r="Q124" s="92"/>
      <c r="R124" s="19" t="s">
        <v>1625</v>
      </c>
    </row>
    <row r="125" spans="1:18" ht="25.5" x14ac:dyDescent="0.25">
      <c r="B125" s="151">
        <v>36</v>
      </c>
      <c r="C125" s="151" t="s">
        <v>2384</v>
      </c>
      <c r="D125" s="92">
        <v>118</v>
      </c>
      <c r="E125" s="19" t="s">
        <v>800</v>
      </c>
      <c r="F125" s="92" t="s">
        <v>7</v>
      </c>
      <c r="G125" s="92" t="s">
        <v>801</v>
      </c>
      <c r="H125" s="92" t="s">
        <v>1</v>
      </c>
      <c r="I125" s="92" t="s">
        <v>2</v>
      </c>
      <c r="J125" s="19" t="s">
        <v>1623</v>
      </c>
      <c r="K125" s="58">
        <v>24472</v>
      </c>
      <c r="L125" s="59">
        <v>1966</v>
      </c>
      <c r="M125" s="59">
        <f t="shared" si="10"/>
        <v>53</v>
      </c>
      <c r="N125" s="92" t="s">
        <v>3</v>
      </c>
      <c r="O125" s="92" t="s">
        <v>1632</v>
      </c>
      <c r="P125" s="19" t="s">
        <v>1732</v>
      </c>
      <c r="Q125" s="92"/>
      <c r="R125" s="19" t="s">
        <v>1808</v>
      </c>
    </row>
    <row r="126" spans="1:18" ht="25.5" x14ac:dyDescent="0.25">
      <c r="B126" s="151"/>
      <c r="C126" s="151"/>
      <c r="D126" s="92">
        <v>119</v>
      </c>
      <c r="E126" s="19" t="s">
        <v>303</v>
      </c>
      <c r="F126" s="92" t="s">
        <v>12</v>
      </c>
      <c r="G126" s="92" t="s">
        <v>802</v>
      </c>
      <c r="H126" s="92" t="s">
        <v>10</v>
      </c>
      <c r="I126" s="92" t="s">
        <v>2</v>
      </c>
      <c r="J126" s="19" t="s">
        <v>2385</v>
      </c>
      <c r="K126" s="58">
        <v>25933</v>
      </c>
      <c r="L126" s="59">
        <v>1970</v>
      </c>
      <c r="M126" s="59">
        <f t="shared" si="10"/>
        <v>49</v>
      </c>
      <c r="N126" s="92" t="s">
        <v>3</v>
      </c>
      <c r="O126" s="92" t="s">
        <v>1632</v>
      </c>
      <c r="P126" s="19" t="s">
        <v>2386</v>
      </c>
      <c r="Q126" s="92"/>
      <c r="R126" s="19" t="s">
        <v>1808</v>
      </c>
    </row>
    <row r="127" spans="1:18" x14ac:dyDescent="0.25">
      <c r="B127" s="151"/>
      <c r="C127" s="151"/>
      <c r="D127" s="92">
        <v>120</v>
      </c>
      <c r="E127" s="19" t="s">
        <v>803</v>
      </c>
      <c r="F127" s="92" t="s">
        <v>18</v>
      </c>
      <c r="G127" s="92" t="s">
        <v>804</v>
      </c>
      <c r="H127" s="92" t="s">
        <v>1</v>
      </c>
      <c r="I127" s="92" t="s">
        <v>15</v>
      </c>
      <c r="J127" s="19" t="s">
        <v>1623</v>
      </c>
      <c r="K127" s="58">
        <v>34807</v>
      </c>
      <c r="L127" s="59">
        <v>1995</v>
      </c>
      <c r="M127" s="59">
        <f t="shared" si="10"/>
        <v>24</v>
      </c>
      <c r="N127" s="92" t="s">
        <v>3</v>
      </c>
      <c r="O127" s="92" t="s">
        <v>1632</v>
      </c>
      <c r="P127" s="19" t="s">
        <v>1641</v>
      </c>
      <c r="Q127" s="92"/>
      <c r="R127" s="19" t="s">
        <v>1625</v>
      </c>
    </row>
    <row r="128" spans="1:18" ht="25.5" x14ac:dyDescent="0.25">
      <c r="B128" s="151"/>
      <c r="C128" s="151"/>
      <c r="D128" s="92">
        <v>121</v>
      </c>
      <c r="E128" s="19" t="s">
        <v>805</v>
      </c>
      <c r="F128" s="92" t="s">
        <v>18</v>
      </c>
      <c r="G128" s="92" t="s">
        <v>806</v>
      </c>
      <c r="H128" s="92" t="s">
        <v>1</v>
      </c>
      <c r="I128" s="92" t="s">
        <v>15</v>
      </c>
      <c r="J128" s="19" t="s">
        <v>1623</v>
      </c>
      <c r="K128" s="58">
        <v>38198</v>
      </c>
      <c r="L128" s="59">
        <v>2004</v>
      </c>
      <c r="M128" s="59">
        <f t="shared" si="10"/>
        <v>15</v>
      </c>
      <c r="N128" s="92" t="s">
        <v>3</v>
      </c>
      <c r="O128" s="92" t="s">
        <v>1632</v>
      </c>
      <c r="P128" s="19" t="s">
        <v>1733</v>
      </c>
      <c r="Q128" s="92"/>
      <c r="R128" s="19" t="s">
        <v>1638</v>
      </c>
    </row>
    <row r="129" spans="2:18" x14ac:dyDescent="0.25">
      <c r="B129" s="151">
        <v>37</v>
      </c>
      <c r="C129" s="151"/>
      <c r="D129" s="92">
        <v>122</v>
      </c>
      <c r="E129" s="19" t="s">
        <v>807</v>
      </c>
      <c r="F129" s="92" t="s">
        <v>7</v>
      </c>
      <c r="G129" s="92" t="s">
        <v>171</v>
      </c>
      <c r="H129" s="92" t="s">
        <v>1</v>
      </c>
      <c r="I129" s="92" t="s">
        <v>2</v>
      </c>
      <c r="J129" s="19"/>
      <c r="K129" s="58">
        <v>27827</v>
      </c>
      <c r="L129" s="59">
        <f t="shared" ref="L129:L140" si="11">YEAR(K129)</f>
        <v>1976</v>
      </c>
      <c r="M129" s="59">
        <f t="shared" si="10"/>
        <v>43</v>
      </c>
      <c r="N129" s="92" t="s">
        <v>3</v>
      </c>
      <c r="O129" s="92"/>
      <c r="P129" s="19" t="s">
        <v>35</v>
      </c>
      <c r="Q129" s="92"/>
      <c r="R129" s="19" t="s">
        <v>39</v>
      </c>
    </row>
    <row r="130" spans="2:18" ht="25.5" x14ac:dyDescent="0.25">
      <c r="B130" s="151"/>
      <c r="C130" s="151"/>
      <c r="D130" s="92">
        <v>123</v>
      </c>
      <c r="E130" s="19" t="s">
        <v>172</v>
      </c>
      <c r="F130" s="92" t="s">
        <v>12</v>
      </c>
      <c r="G130" s="92" t="s">
        <v>173</v>
      </c>
      <c r="H130" s="92" t="s">
        <v>10</v>
      </c>
      <c r="I130" s="92" t="s">
        <v>2</v>
      </c>
      <c r="J130" s="19"/>
      <c r="K130" s="58">
        <v>29812</v>
      </c>
      <c r="L130" s="59">
        <f t="shared" si="11"/>
        <v>1981</v>
      </c>
      <c r="M130" s="59">
        <f t="shared" si="10"/>
        <v>38</v>
      </c>
      <c r="N130" s="92" t="s">
        <v>3</v>
      </c>
      <c r="O130" s="92"/>
      <c r="P130" s="19" t="s">
        <v>27</v>
      </c>
      <c r="Q130" s="92"/>
      <c r="R130" s="19" t="s">
        <v>39</v>
      </c>
    </row>
    <row r="131" spans="2:18" ht="38.25" x14ac:dyDescent="0.25">
      <c r="B131" s="151"/>
      <c r="C131" s="151"/>
      <c r="D131" s="92">
        <v>124</v>
      </c>
      <c r="E131" s="19" t="s">
        <v>808</v>
      </c>
      <c r="F131" s="92" t="s">
        <v>18</v>
      </c>
      <c r="G131" s="92" t="s">
        <v>175</v>
      </c>
      <c r="H131" s="92" t="s">
        <v>1</v>
      </c>
      <c r="I131" s="92" t="s">
        <v>15</v>
      </c>
      <c r="J131" s="19"/>
      <c r="K131" s="58">
        <v>40889</v>
      </c>
      <c r="L131" s="59">
        <f t="shared" si="11"/>
        <v>2011</v>
      </c>
      <c r="M131" s="59">
        <f t="shared" si="10"/>
        <v>8</v>
      </c>
      <c r="N131" s="92" t="s">
        <v>3</v>
      </c>
      <c r="O131" s="92"/>
      <c r="P131" s="19" t="s">
        <v>16</v>
      </c>
      <c r="Q131" s="92"/>
      <c r="R131" s="19" t="s">
        <v>16</v>
      </c>
    </row>
    <row r="132" spans="2:18" x14ac:dyDescent="0.25">
      <c r="B132" s="151"/>
      <c r="C132" s="151"/>
      <c r="D132" s="92">
        <v>125</v>
      </c>
      <c r="E132" s="19" t="s">
        <v>176</v>
      </c>
      <c r="F132" s="92" t="s">
        <v>18</v>
      </c>
      <c r="G132" s="92" t="s">
        <v>177</v>
      </c>
      <c r="H132" s="92" t="s">
        <v>10</v>
      </c>
      <c r="I132" s="92" t="s">
        <v>15</v>
      </c>
      <c r="J132" s="19"/>
      <c r="K132" s="58">
        <v>41910</v>
      </c>
      <c r="L132" s="59">
        <f t="shared" si="11"/>
        <v>2014</v>
      </c>
      <c r="M132" s="59">
        <f t="shared" si="10"/>
        <v>5</v>
      </c>
      <c r="N132" s="92" t="s">
        <v>3</v>
      </c>
      <c r="O132" s="92"/>
      <c r="P132" s="19" t="s">
        <v>16</v>
      </c>
      <c r="Q132" s="92"/>
      <c r="R132" s="19" t="s">
        <v>16</v>
      </c>
    </row>
    <row r="133" spans="2:18" x14ac:dyDescent="0.25">
      <c r="B133" s="92">
        <v>38</v>
      </c>
      <c r="C133" s="92"/>
      <c r="D133" s="92">
        <v>126</v>
      </c>
      <c r="E133" s="19" t="s">
        <v>809</v>
      </c>
      <c r="F133" s="92" t="s">
        <v>7</v>
      </c>
      <c r="G133" s="92" t="s">
        <v>810</v>
      </c>
      <c r="H133" s="92" t="s">
        <v>1</v>
      </c>
      <c r="I133" s="92" t="s">
        <v>21</v>
      </c>
      <c r="J133" s="19"/>
      <c r="K133" s="58">
        <v>18263</v>
      </c>
      <c r="L133" s="59">
        <f t="shared" si="11"/>
        <v>1949</v>
      </c>
      <c r="M133" s="59">
        <f t="shared" si="10"/>
        <v>70</v>
      </c>
      <c r="N133" s="92" t="s">
        <v>3</v>
      </c>
      <c r="O133" s="92"/>
      <c r="P133" s="19" t="s">
        <v>16</v>
      </c>
      <c r="Q133" s="92"/>
      <c r="R133" s="19" t="s">
        <v>37</v>
      </c>
    </row>
    <row r="134" spans="2:18" ht="25.5" x14ac:dyDescent="0.25">
      <c r="B134" s="151">
        <v>39</v>
      </c>
      <c r="C134" s="151"/>
      <c r="D134" s="92">
        <v>127</v>
      </c>
      <c r="E134" s="19" t="s">
        <v>811</v>
      </c>
      <c r="F134" s="92" t="s">
        <v>7</v>
      </c>
      <c r="G134" s="92" t="s">
        <v>813</v>
      </c>
      <c r="H134" s="92" t="s">
        <v>1</v>
      </c>
      <c r="I134" s="92" t="s">
        <v>812</v>
      </c>
      <c r="J134" s="19"/>
      <c r="K134" s="58">
        <v>20089</v>
      </c>
      <c r="L134" s="59">
        <f t="shared" si="11"/>
        <v>1954</v>
      </c>
      <c r="M134" s="59">
        <f t="shared" si="10"/>
        <v>65</v>
      </c>
      <c r="N134" s="92" t="s">
        <v>3</v>
      </c>
      <c r="O134" s="92"/>
      <c r="P134" s="19" t="s">
        <v>46</v>
      </c>
      <c r="Q134" s="92"/>
      <c r="R134" s="19" t="s">
        <v>39</v>
      </c>
    </row>
    <row r="135" spans="2:18" x14ac:dyDescent="0.25">
      <c r="B135" s="151"/>
      <c r="C135" s="151"/>
      <c r="D135" s="92">
        <v>128</v>
      </c>
      <c r="E135" s="19" t="s">
        <v>814</v>
      </c>
      <c r="F135" s="92" t="s">
        <v>12</v>
      </c>
      <c r="G135" s="92" t="s">
        <v>815</v>
      </c>
      <c r="H135" s="92" t="s">
        <v>10</v>
      </c>
      <c r="I135" s="92" t="s">
        <v>812</v>
      </c>
      <c r="J135" s="19"/>
      <c r="K135" s="58">
        <v>24107</v>
      </c>
      <c r="L135" s="59">
        <f t="shared" si="11"/>
        <v>1965</v>
      </c>
      <c r="M135" s="59">
        <f t="shared" si="10"/>
        <v>54</v>
      </c>
      <c r="N135" s="92" t="s">
        <v>3</v>
      </c>
      <c r="O135" s="92"/>
      <c r="P135" s="19" t="s">
        <v>46</v>
      </c>
      <c r="Q135" s="92"/>
      <c r="R135" s="19" t="s">
        <v>39</v>
      </c>
    </row>
    <row r="136" spans="2:18" ht="25.5" x14ac:dyDescent="0.25">
      <c r="B136" s="151"/>
      <c r="C136" s="151"/>
      <c r="D136" s="92">
        <v>129</v>
      </c>
      <c r="E136" s="19" t="s">
        <v>816</v>
      </c>
      <c r="F136" s="92" t="s">
        <v>18</v>
      </c>
      <c r="G136" s="92" t="s">
        <v>817</v>
      </c>
      <c r="H136" s="92" t="s">
        <v>1</v>
      </c>
      <c r="I136" s="92" t="s">
        <v>15</v>
      </c>
      <c r="J136" s="19"/>
      <c r="K136" s="58">
        <v>31690</v>
      </c>
      <c r="L136" s="59">
        <f t="shared" si="11"/>
        <v>1986</v>
      </c>
      <c r="M136" s="59">
        <f t="shared" si="10"/>
        <v>33</v>
      </c>
      <c r="N136" s="92" t="s">
        <v>3</v>
      </c>
      <c r="O136" s="92"/>
      <c r="P136" s="19" t="s">
        <v>27</v>
      </c>
      <c r="Q136" s="92"/>
      <c r="R136" s="19" t="s">
        <v>39</v>
      </c>
    </row>
    <row r="137" spans="2:18" ht="25.5" x14ac:dyDescent="0.25">
      <c r="B137" s="151"/>
      <c r="C137" s="151"/>
      <c r="D137" s="92">
        <v>130</v>
      </c>
      <c r="E137" s="19" t="s">
        <v>818</v>
      </c>
      <c r="F137" s="92" t="s">
        <v>18</v>
      </c>
      <c r="G137" s="92" t="s">
        <v>819</v>
      </c>
      <c r="H137" s="92" t="s">
        <v>1</v>
      </c>
      <c r="I137" s="92" t="s">
        <v>15</v>
      </c>
      <c r="J137" s="19"/>
      <c r="K137" s="58">
        <v>32513</v>
      </c>
      <c r="L137" s="59">
        <f t="shared" si="11"/>
        <v>1989</v>
      </c>
      <c r="M137" s="59">
        <f t="shared" si="10"/>
        <v>30</v>
      </c>
      <c r="N137" s="92" t="s">
        <v>3</v>
      </c>
      <c r="O137" s="92"/>
      <c r="P137" s="19" t="s">
        <v>4</v>
      </c>
      <c r="Q137" s="92"/>
      <c r="R137" s="19" t="s">
        <v>16</v>
      </c>
    </row>
    <row r="138" spans="2:18" ht="38.25" x14ac:dyDescent="0.25">
      <c r="B138" s="151"/>
      <c r="C138" s="151"/>
      <c r="D138" s="92">
        <v>131</v>
      </c>
      <c r="E138" s="19" t="s">
        <v>820</v>
      </c>
      <c r="F138" s="92" t="s">
        <v>18</v>
      </c>
      <c r="G138" s="92" t="s">
        <v>821</v>
      </c>
      <c r="H138" s="92" t="s">
        <v>1</v>
      </c>
      <c r="I138" s="92" t="s">
        <v>15</v>
      </c>
      <c r="J138" s="19"/>
      <c r="K138" s="58">
        <v>33645</v>
      </c>
      <c r="L138" s="59">
        <f t="shared" si="11"/>
        <v>1992</v>
      </c>
      <c r="M138" s="59">
        <f t="shared" si="10"/>
        <v>27</v>
      </c>
      <c r="N138" s="92" t="s">
        <v>3</v>
      </c>
      <c r="O138" s="92"/>
      <c r="P138" s="19" t="s">
        <v>27</v>
      </c>
      <c r="Q138" s="92"/>
      <c r="R138" s="19" t="s">
        <v>39</v>
      </c>
    </row>
    <row r="139" spans="2:18" ht="25.5" x14ac:dyDescent="0.25">
      <c r="B139" s="151"/>
      <c r="C139" s="151"/>
      <c r="D139" s="92">
        <v>132</v>
      </c>
      <c r="E139" s="19" t="s">
        <v>822</v>
      </c>
      <c r="F139" s="92" t="s">
        <v>18</v>
      </c>
      <c r="G139" s="92" t="s">
        <v>823</v>
      </c>
      <c r="H139" s="92" t="s">
        <v>1</v>
      </c>
      <c r="I139" s="92" t="s">
        <v>15</v>
      </c>
      <c r="J139" s="19"/>
      <c r="K139" s="58">
        <v>34185</v>
      </c>
      <c r="L139" s="59">
        <f t="shared" si="11"/>
        <v>1993</v>
      </c>
      <c r="M139" s="59">
        <f t="shared" si="10"/>
        <v>26</v>
      </c>
      <c r="N139" s="92" t="s">
        <v>3</v>
      </c>
      <c r="O139" s="92"/>
      <c r="P139" s="19" t="s">
        <v>27</v>
      </c>
      <c r="Q139" s="92"/>
      <c r="R139" s="19" t="s">
        <v>39</v>
      </c>
    </row>
    <row r="140" spans="2:18" ht="25.5" x14ac:dyDescent="0.25">
      <c r="B140" s="151"/>
      <c r="C140" s="151"/>
      <c r="D140" s="92">
        <v>133</v>
      </c>
      <c r="E140" s="19" t="s">
        <v>824</v>
      </c>
      <c r="F140" s="92" t="s">
        <v>18</v>
      </c>
      <c r="G140" s="92" t="s">
        <v>825</v>
      </c>
      <c r="H140" s="92" t="s">
        <v>1</v>
      </c>
      <c r="I140" s="92" t="s">
        <v>15</v>
      </c>
      <c r="J140" s="19"/>
      <c r="K140" s="58">
        <v>37697</v>
      </c>
      <c r="L140" s="59">
        <f t="shared" si="11"/>
        <v>2003</v>
      </c>
      <c r="M140" s="59">
        <f t="shared" si="10"/>
        <v>16</v>
      </c>
      <c r="N140" s="92" t="s">
        <v>3</v>
      </c>
      <c r="O140" s="92"/>
      <c r="P140" s="19" t="s">
        <v>16</v>
      </c>
      <c r="Q140" s="92"/>
      <c r="R140" s="19" t="s">
        <v>16</v>
      </c>
    </row>
    <row r="141" spans="2:18" ht="25.5" x14ac:dyDescent="0.25">
      <c r="B141" s="151">
        <v>40</v>
      </c>
      <c r="C141" s="151" t="s">
        <v>2381</v>
      </c>
      <c r="D141" s="92">
        <v>134</v>
      </c>
      <c r="E141" s="19" t="s">
        <v>826</v>
      </c>
      <c r="F141" s="92" t="s">
        <v>7</v>
      </c>
      <c r="G141" s="92" t="s">
        <v>2382</v>
      </c>
      <c r="H141" s="92" t="s">
        <v>1</v>
      </c>
      <c r="I141" s="92" t="s">
        <v>2</v>
      </c>
      <c r="J141" s="19" t="s">
        <v>1631</v>
      </c>
      <c r="K141" s="58">
        <v>20820</v>
      </c>
      <c r="L141" s="59">
        <v>1956</v>
      </c>
      <c r="M141" s="59">
        <f t="shared" si="10"/>
        <v>63</v>
      </c>
      <c r="N141" s="92" t="s">
        <v>3</v>
      </c>
      <c r="O141" s="92" t="s">
        <v>1632</v>
      </c>
      <c r="P141" s="19" t="s">
        <v>1641</v>
      </c>
      <c r="Q141" s="92"/>
      <c r="R141" s="19" t="s">
        <v>39</v>
      </c>
    </row>
    <row r="142" spans="2:18" ht="25.5" x14ac:dyDescent="0.25">
      <c r="B142" s="151"/>
      <c r="C142" s="151"/>
      <c r="D142" s="92">
        <v>135</v>
      </c>
      <c r="E142" s="19" t="s">
        <v>699</v>
      </c>
      <c r="F142" s="92" t="s">
        <v>12</v>
      </c>
      <c r="G142" s="92" t="s">
        <v>2383</v>
      </c>
      <c r="H142" s="92" t="s">
        <v>10</v>
      </c>
      <c r="I142" s="92" t="s">
        <v>2</v>
      </c>
      <c r="J142" s="19" t="s">
        <v>1631</v>
      </c>
      <c r="K142" s="58">
        <v>22281</v>
      </c>
      <c r="L142" s="59">
        <v>1960</v>
      </c>
      <c r="M142" s="59">
        <f t="shared" si="10"/>
        <v>59</v>
      </c>
      <c r="N142" s="92" t="s">
        <v>3</v>
      </c>
      <c r="O142" s="92" t="s">
        <v>1632</v>
      </c>
      <c r="P142" s="19" t="s">
        <v>1732</v>
      </c>
      <c r="Q142" s="92"/>
      <c r="R142" s="19" t="s">
        <v>1764</v>
      </c>
    </row>
    <row r="143" spans="2:18" ht="25.5" x14ac:dyDescent="0.25">
      <c r="B143" s="151"/>
      <c r="C143" s="151"/>
      <c r="D143" s="92">
        <v>136</v>
      </c>
      <c r="E143" s="19" t="s">
        <v>831</v>
      </c>
      <c r="F143" s="92" t="s">
        <v>18</v>
      </c>
      <c r="G143" s="92" t="s">
        <v>832</v>
      </c>
      <c r="H143" s="92" t="s">
        <v>1</v>
      </c>
      <c r="I143" s="92" t="s">
        <v>15</v>
      </c>
      <c r="J143" s="19" t="s">
        <v>1631</v>
      </c>
      <c r="K143" s="58">
        <v>34124</v>
      </c>
      <c r="L143" s="59">
        <v>1993</v>
      </c>
      <c r="M143" s="59">
        <f t="shared" si="10"/>
        <v>26</v>
      </c>
      <c r="N143" s="92" t="s">
        <v>3</v>
      </c>
      <c r="O143" s="92" t="s">
        <v>1632</v>
      </c>
      <c r="P143" s="19" t="s">
        <v>1677</v>
      </c>
      <c r="Q143" s="92"/>
      <c r="R143" s="19" t="s">
        <v>1625</v>
      </c>
    </row>
    <row r="144" spans="2:18" x14ac:dyDescent="0.25">
      <c r="B144" s="151">
        <v>41</v>
      </c>
      <c r="C144" s="151" t="s">
        <v>1916</v>
      </c>
      <c r="D144" s="92">
        <v>137</v>
      </c>
      <c r="E144" s="19" t="s">
        <v>833</v>
      </c>
      <c r="F144" s="92" t="s">
        <v>7</v>
      </c>
      <c r="G144" s="92" t="s">
        <v>1917</v>
      </c>
      <c r="H144" s="92" t="s">
        <v>1</v>
      </c>
      <c r="I144" s="92" t="s">
        <v>2</v>
      </c>
      <c r="J144" s="19" t="s">
        <v>1623</v>
      </c>
      <c r="K144" s="58">
        <v>22653</v>
      </c>
      <c r="L144" s="59">
        <v>1962</v>
      </c>
      <c r="M144" s="59">
        <f t="shared" si="10"/>
        <v>57</v>
      </c>
      <c r="N144" s="92" t="s">
        <v>3</v>
      </c>
      <c r="O144" s="92" t="s">
        <v>1723</v>
      </c>
      <c r="P144" s="19" t="s">
        <v>35</v>
      </c>
      <c r="Q144" s="92"/>
      <c r="R144" s="19" t="s">
        <v>1816</v>
      </c>
    </row>
    <row r="145" spans="2:18" x14ac:dyDescent="0.25">
      <c r="B145" s="151"/>
      <c r="C145" s="151"/>
      <c r="D145" s="92">
        <v>138</v>
      </c>
      <c r="E145" s="19" t="s">
        <v>834</v>
      </c>
      <c r="F145" s="92" t="s">
        <v>12</v>
      </c>
      <c r="G145" s="92" t="s">
        <v>1918</v>
      </c>
      <c r="H145" s="92" t="s">
        <v>10</v>
      </c>
      <c r="I145" s="92" t="s">
        <v>2</v>
      </c>
      <c r="J145" s="19" t="s">
        <v>1736</v>
      </c>
      <c r="K145" s="58">
        <v>24479</v>
      </c>
      <c r="L145" s="59">
        <v>1967</v>
      </c>
      <c r="M145" s="59">
        <f t="shared" si="10"/>
        <v>52</v>
      </c>
      <c r="N145" s="92" t="s">
        <v>3</v>
      </c>
      <c r="O145" s="92" t="s">
        <v>1723</v>
      </c>
      <c r="P145" s="19" t="s">
        <v>46</v>
      </c>
      <c r="Q145" s="92"/>
      <c r="R145" s="19" t="s">
        <v>1816</v>
      </c>
    </row>
    <row r="146" spans="2:18" x14ac:dyDescent="0.25">
      <c r="B146" s="151"/>
      <c r="C146" s="151"/>
      <c r="D146" s="92">
        <v>139</v>
      </c>
      <c r="E146" s="19" t="s">
        <v>835</v>
      </c>
      <c r="F146" s="92" t="s">
        <v>18</v>
      </c>
      <c r="G146" s="92" t="s">
        <v>836</v>
      </c>
      <c r="H146" s="92" t="s">
        <v>1</v>
      </c>
      <c r="I146" s="92" t="s">
        <v>15</v>
      </c>
      <c r="J146" s="19" t="s">
        <v>1623</v>
      </c>
      <c r="K146" s="58">
        <v>33610</v>
      </c>
      <c r="L146" s="59">
        <v>1992</v>
      </c>
      <c r="M146" s="59">
        <f t="shared" si="10"/>
        <v>27</v>
      </c>
      <c r="N146" s="92" t="s">
        <v>3</v>
      </c>
      <c r="O146" s="92" t="s">
        <v>1723</v>
      </c>
      <c r="P146" s="19" t="s">
        <v>27</v>
      </c>
      <c r="Q146" s="92"/>
      <c r="R146" s="19" t="s">
        <v>1625</v>
      </c>
    </row>
    <row r="147" spans="2:18" x14ac:dyDescent="0.25">
      <c r="B147" s="151"/>
      <c r="C147" s="151"/>
      <c r="D147" s="92">
        <v>140</v>
      </c>
      <c r="E147" s="19" t="s">
        <v>837</v>
      </c>
      <c r="F147" s="92" t="s">
        <v>18</v>
      </c>
      <c r="G147" s="92" t="s">
        <v>838</v>
      </c>
      <c r="H147" s="92" t="s">
        <v>1</v>
      </c>
      <c r="I147" s="92" t="s">
        <v>15</v>
      </c>
      <c r="J147" s="19" t="s">
        <v>1623</v>
      </c>
      <c r="K147" s="58">
        <v>34393</v>
      </c>
      <c r="L147" s="59">
        <v>1994</v>
      </c>
      <c r="M147" s="59">
        <f t="shared" si="10"/>
        <v>25</v>
      </c>
      <c r="N147" s="92" t="s">
        <v>3</v>
      </c>
      <c r="O147" s="92" t="s">
        <v>1723</v>
      </c>
      <c r="P147" s="19" t="s">
        <v>27</v>
      </c>
      <c r="Q147" s="92"/>
      <c r="R147" s="19" t="s">
        <v>39</v>
      </c>
    </row>
    <row r="148" spans="2:18" ht="25.5" x14ac:dyDescent="0.25">
      <c r="B148" s="151"/>
      <c r="C148" s="151"/>
      <c r="D148" s="92">
        <v>141</v>
      </c>
      <c r="E148" s="19" t="s">
        <v>839</v>
      </c>
      <c r="F148" s="92" t="s">
        <v>18</v>
      </c>
      <c r="G148" s="92" t="s">
        <v>1919</v>
      </c>
      <c r="H148" s="92" t="s">
        <v>1</v>
      </c>
      <c r="I148" s="92" t="s">
        <v>15</v>
      </c>
      <c r="J148" s="19" t="s">
        <v>1631</v>
      </c>
      <c r="K148" s="58">
        <v>35213</v>
      </c>
      <c r="L148" s="59">
        <v>1996</v>
      </c>
      <c r="M148" s="59">
        <f t="shared" si="10"/>
        <v>23</v>
      </c>
      <c r="N148" s="92" t="s">
        <v>3</v>
      </c>
      <c r="O148" s="92" t="s">
        <v>1723</v>
      </c>
      <c r="P148" s="19" t="s">
        <v>27</v>
      </c>
      <c r="Q148" s="92"/>
      <c r="R148" s="19" t="s">
        <v>1625</v>
      </c>
    </row>
    <row r="149" spans="2:18" x14ac:dyDescent="0.25">
      <c r="B149" s="151"/>
      <c r="C149" s="151"/>
      <c r="D149" s="92">
        <v>142</v>
      </c>
      <c r="E149" s="19" t="s">
        <v>840</v>
      </c>
      <c r="F149" s="92" t="s">
        <v>18</v>
      </c>
      <c r="G149" s="92" t="s">
        <v>841</v>
      </c>
      <c r="H149" s="92" t="s">
        <v>1</v>
      </c>
      <c r="I149" s="92" t="s">
        <v>15</v>
      </c>
      <c r="J149" s="19" t="s">
        <v>1623</v>
      </c>
      <c r="K149" s="58">
        <v>36552</v>
      </c>
      <c r="L149" s="59">
        <v>2000</v>
      </c>
      <c r="M149" s="59">
        <f t="shared" si="10"/>
        <v>19</v>
      </c>
      <c r="N149" s="92" t="s">
        <v>3</v>
      </c>
      <c r="O149" s="92" t="s">
        <v>1723</v>
      </c>
      <c r="P149" s="19" t="s">
        <v>35</v>
      </c>
      <c r="Q149" s="92"/>
      <c r="R149" s="19" t="s">
        <v>1625</v>
      </c>
    </row>
    <row r="150" spans="2:18" ht="25.5" x14ac:dyDescent="0.25">
      <c r="B150" s="151">
        <v>42</v>
      </c>
      <c r="C150" s="151" t="s">
        <v>2394</v>
      </c>
      <c r="D150" s="92">
        <v>143</v>
      </c>
      <c r="E150" s="19" t="s">
        <v>759</v>
      </c>
      <c r="F150" s="92" t="s">
        <v>7</v>
      </c>
      <c r="G150" s="92" t="s">
        <v>2396</v>
      </c>
      <c r="H150" s="92" t="s">
        <v>1</v>
      </c>
      <c r="I150" s="92" t="s">
        <v>2</v>
      </c>
      <c r="J150" s="19" t="s">
        <v>1631</v>
      </c>
      <c r="K150" s="58">
        <v>28565</v>
      </c>
      <c r="L150" s="59">
        <v>1978</v>
      </c>
      <c r="M150" s="59">
        <f t="shared" si="10"/>
        <v>41</v>
      </c>
      <c r="N150" s="92" t="s">
        <v>3</v>
      </c>
      <c r="O150" s="92" t="s">
        <v>1632</v>
      </c>
      <c r="P150" s="19" t="s">
        <v>1732</v>
      </c>
      <c r="Q150" s="92"/>
      <c r="R150" s="19" t="s">
        <v>1808</v>
      </c>
    </row>
    <row r="151" spans="2:18" ht="25.5" x14ac:dyDescent="0.25">
      <c r="B151" s="151"/>
      <c r="C151" s="151"/>
      <c r="D151" s="92">
        <v>144</v>
      </c>
      <c r="E151" s="19" t="s">
        <v>842</v>
      </c>
      <c r="F151" s="92" t="s">
        <v>12</v>
      </c>
      <c r="G151" s="92" t="s">
        <v>843</v>
      </c>
      <c r="H151" s="92" t="s">
        <v>10</v>
      </c>
      <c r="I151" s="92" t="s">
        <v>2</v>
      </c>
      <c r="J151" s="19" t="s">
        <v>1631</v>
      </c>
      <c r="K151" s="58">
        <v>28862</v>
      </c>
      <c r="L151" s="59">
        <v>1979</v>
      </c>
      <c r="M151" s="59">
        <f t="shared" si="10"/>
        <v>40</v>
      </c>
      <c r="N151" s="92" t="s">
        <v>3</v>
      </c>
      <c r="O151" s="92" t="s">
        <v>1632</v>
      </c>
      <c r="P151" s="19" t="s">
        <v>1677</v>
      </c>
      <c r="Q151" s="92"/>
      <c r="R151" s="19" t="s">
        <v>1764</v>
      </c>
    </row>
    <row r="152" spans="2:18" ht="25.5" x14ac:dyDescent="0.25">
      <c r="B152" s="151"/>
      <c r="C152" s="151"/>
      <c r="D152" s="92">
        <v>145</v>
      </c>
      <c r="E152" s="19" t="s">
        <v>2395</v>
      </c>
      <c r="F152" s="92" t="s">
        <v>18</v>
      </c>
      <c r="G152" s="92" t="s">
        <v>844</v>
      </c>
      <c r="H152" s="92" t="s">
        <v>1</v>
      </c>
      <c r="I152" s="92" t="s">
        <v>15</v>
      </c>
      <c r="J152" s="19" t="s">
        <v>1736</v>
      </c>
      <c r="K152" s="58">
        <v>38389</v>
      </c>
      <c r="L152" s="59">
        <v>2005</v>
      </c>
      <c r="M152" s="59">
        <f t="shared" si="10"/>
        <v>14</v>
      </c>
      <c r="N152" s="92" t="s">
        <v>3</v>
      </c>
      <c r="O152" s="92" t="s">
        <v>1632</v>
      </c>
      <c r="P152" s="19" t="s">
        <v>1732</v>
      </c>
      <c r="Q152" s="92"/>
      <c r="R152" s="19" t="s">
        <v>1625</v>
      </c>
    </row>
    <row r="153" spans="2:18" ht="25.5" x14ac:dyDescent="0.25">
      <c r="B153" s="151"/>
      <c r="C153" s="151"/>
      <c r="D153" s="92">
        <v>146</v>
      </c>
      <c r="E153" s="19" t="s">
        <v>845</v>
      </c>
      <c r="F153" s="92" t="s">
        <v>18</v>
      </c>
      <c r="G153" s="92" t="s">
        <v>846</v>
      </c>
      <c r="H153" s="92" t="s">
        <v>10</v>
      </c>
      <c r="I153" s="92" t="s">
        <v>15</v>
      </c>
      <c r="J153" s="19" t="s">
        <v>1736</v>
      </c>
      <c r="K153" s="58">
        <v>39632</v>
      </c>
      <c r="L153" s="59">
        <v>2008</v>
      </c>
      <c r="M153" s="59">
        <f t="shared" si="10"/>
        <v>11</v>
      </c>
      <c r="N153" s="92" t="s">
        <v>3</v>
      </c>
      <c r="O153" s="92" t="s">
        <v>1632</v>
      </c>
      <c r="P153" s="19" t="s">
        <v>1732</v>
      </c>
      <c r="Q153" s="92"/>
      <c r="R153" s="19" t="s">
        <v>1625</v>
      </c>
    </row>
    <row r="154" spans="2:18" ht="25.5" x14ac:dyDescent="0.25">
      <c r="B154" s="151"/>
      <c r="C154" s="151"/>
      <c r="D154" s="92">
        <v>147</v>
      </c>
      <c r="E154" s="19" t="s">
        <v>847</v>
      </c>
      <c r="F154" s="92" t="s">
        <v>18</v>
      </c>
      <c r="G154" s="92" t="s">
        <v>848</v>
      </c>
      <c r="H154" s="92" t="s">
        <v>1</v>
      </c>
      <c r="I154" s="92" t="s">
        <v>15</v>
      </c>
      <c r="J154" s="19" t="s">
        <v>1736</v>
      </c>
      <c r="K154" s="58">
        <v>41749</v>
      </c>
      <c r="L154" s="59">
        <v>2014</v>
      </c>
      <c r="M154" s="59">
        <f t="shared" si="10"/>
        <v>5</v>
      </c>
      <c r="N154" s="92" t="s">
        <v>3</v>
      </c>
      <c r="O154" s="92" t="s">
        <v>1632</v>
      </c>
      <c r="P154" s="19" t="s">
        <v>1733</v>
      </c>
      <c r="Q154" s="92"/>
      <c r="R154" s="19" t="s">
        <v>1638</v>
      </c>
    </row>
    <row r="155" spans="2:18" ht="25.5" x14ac:dyDescent="0.25">
      <c r="B155" s="151">
        <v>43</v>
      </c>
      <c r="C155" s="151" t="s">
        <v>1724</v>
      </c>
      <c r="D155" s="92">
        <v>148</v>
      </c>
      <c r="E155" s="19" t="s">
        <v>849</v>
      </c>
      <c r="F155" s="92" t="s">
        <v>7</v>
      </c>
      <c r="G155" s="92" t="s">
        <v>1728</v>
      </c>
      <c r="H155" s="92" t="s">
        <v>1</v>
      </c>
      <c r="I155" s="92" t="s">
        <v>2</v>
      </c>
      <c r="J155" s="19" t="s">
        <v>1631</v>
      </c>
      <c r="K155" s="58">
        <v>26298</v>
      </c>
      <c r="L155" s="59">
        <v>1971</v>
      </c>
      <c r="M155" s="59">
        <f t="shared" si="10"/>
        <v>48</v>
      </c>
      <c r="N155" s="92" t="s">
        <v>3</v>
      </c>
      <c r="O155" s="92" t="s">
        <v>1723</v>
      </c>
      <c r="P155" s="19" t="s">
        <v>1732</v>
      </c>
      <c r="Q155" s="92"/>
      <c r="R155" s="19" t="s">
        <v>39</v>
      </c>
    </row>
    <row r="156" spans="2:18" ht="25.5" x14ac:dyDescent="0.25">
      <c r="B156" s="151"/>
      <c r="C156" s="151"/>
      <c r="D156" s="92">
        <v>149</v>
      </c>
      <c r="E156" s="19" t="s">
        <v>1725</v>
      </c>
      <c r="F156" s="92" t="s">
        <v>12</v>
      </c>
      <c r="G156" s="92" t="s">
        <v>1729</v>
      </c>
      <c r="H156" s="92" t="s">
        <v>10</v>
      </c>
      <c r="I156" s="92" t="s">
        <v>2</v>
      </c>
      <c r="J156" s="19" t="s">
        <v>1631</v>
      </c>
      <c r="K156" s="58">
        <v>28110</v>
      </c>
      <c r="L156" s="59">
        <v>1976</v>
      </c>
      <c r="M156" s="59">
        <f t="shared" si="10"/>
        <v>43</v>
      </c>
      <c r="N156" s="92" t="s">
        <v>3</v>
      </c>
      <c r="O156" s="92" t="s">
        <v>1723</v>
      </c>
      <c r="P156" s="19" t="s">
        <v>1732</v>
      </c>
      <c r="Q156" s="92"/>
      <c r="R156" s="19" t="s">
        <v>43</v>
      </c>
    </row>
    <row r="157" spans="2:18" ht="25.5" x14ac:dyDescent="0.25">
      <c r="B157" s="151"/>
      <c r="C157" s="151"/>
      <c r="D157" s="92">
        <v>150</v>
      </c>
      <c r="E157" s="19" t="s">
        <v>850</v>
      </c>
      <c r="F157" s="92" t="s">
        <v>18</v>
      </c>
      <c r="G157" s="92" t="s">
        <v>1730</v>
      </c>
      <c r="H157" s="92" t="s">
        <v>10</v>
      </c>
      <c r="I157" s="92" t="s">
        <v>15</v>
      </c>
      <c r="J157" s="19" t="s">
        <v>1631</v>
      </c>
      <c r="K157" s="58">
        <v>35119</v>
      </c>
      <c r="L157" s="59">
        <v>1996</v>
      </c>
      <c r="M157" s="59">
        <f t="shared" si="10"/>
        <v>23</v>
      </c>
      <c r="N157" s="92" t="s">
        <v>3</v>
      </c>
      <c r="O157" s="92" t="s">
        <v>1723</v>
      </c>
      <c r="P157" s="19" t="s">
        <v>1677</v>
      </c>
      <c r="Q157" s="92"/>
      <c r="R157" s="19" t="s">
        <v>1625</v>
      </c>
    </row>
    <row r="158" spans="2:18" ht="25.5" x14ac:dyDescent="0.25">
      <c r="B158" s="151"/>
      <c r="C158" s="151"/>
      <c r="D158" s="92">
        <v>151</v>
      </c>
      <c r="E158" s="19" t="s">
        <v>1726</v>
      </c>
      <c r="F158" s="92" t="s">
        <v>18</v>
      </c>
      <c r="G158" s="92" t="s">
        <v>1731</v>
      </c>
      <c r="H158" s="92" t="s">
        <v>1</v>
      </c>
      <c r="I158" s="92" t="s">
        <v>15</v>
      </c>
      <c r="J158" s="19" t="s">
        <v>1631</v>
      </c>
      <c r="K158" s="58">
        <v>40905</v>
      </c>
      <c r="L158" s="59">
        <v>2011</v>
      </c>
      <c r="M158" s="59">
        <f t="shared" si="10"/>
        <v>8</v>
      </c>
      <c r="N158" s="92" t="s">
        <v>3</v>
      </c>
      <c r="O158" s="92" t="s">
        <v>1723</v>
      </c>
      <c r="P158" s="19" t="s">
        <v>1641</v>
      </c>
      <c r="Q158" s="92"/>
      <c r="R158" s="19" t="s">
        <v>1625</v>
      </c>
    </row>
    <row r="159" spans="2:18" ht="25.5" x14ac:dyDescent="0.25">
      <c r="B159" s="151"/>
      <c r="C159" s="151"/>
      <c r="D159" s="92">
        <v>152</v>
      </c>
      <c r="E159" s="19" t="s">
        <v>1727</v>
      </c>
      <c r="F159" s="92" t="s">
        <v>18</v>
      </c>
      <c r="G159" s="92" t="s">
        <v>851</v>
      </c>
      <c r="H159" s="92" t="s">
        <v>10</v>
      </c>
      <c r="I159" s="92" t="s">
        <v>15</v>
      </c>
      <c r="J159" s="19" t="s">
        <v>1631</v>
      </c>
      <c r="K159" s="58">
        <v>40903</v>
      </c>
      <c r="L159" s="59">
        <f t="shared" ref="L159:L163" si="12">YEAR(K159)</f>
        <v>2011</v>
      </c>
      <c r="M159" s="59">
        <f t="shared" si="10"/>
        <v>8</v>
      </c>
      <c r="N159" s="92" t="s">
        <v>3</v>
      </c>
      <c r="O159" s="92" t="s">
        <v>1723</v>
      </c>
      <c r="P159" s="19" t="s">
        <v>1733</v>
      </c>
      <c r="Q159" s="92"/>
      <c r="R159" s="19" t="s">
        <v>1674</v>
      </c>
    </row>
    <row r="160" spans="2:18" x14ac:dyDescent="0.25">
      <c r="B160" s="92">
        <v>44</v>
      </c>
      <c r="C160" s="92"/>
      <c r="D160" s="92">
        <v>153</v>
      </c>
      <c r="E160" s="19" t="s">
        <v>852</v>
      </c>
      <c r="F160" s="92" t="s">
        <v>7</v>
      </c>
      <c r="G160" s="92" t="s">
        <v>853</v>
      </c>
      <c r="H160" s="92" t="s">
        <v>10</v>
      </c>
      <c r="I160" s="92" t="s">
        <v>21</v>
      </c>
      <c r="J160" s="19"/>
      <c r="K160" s="58">
        <v>18445</v>
      </c>
      <c r="L160" s="59">
        <f t="shared" si="12"/>
        <v>1950</v>
      </c>
      <c r="M160" s="59">
        <f t="shared" si="10"/>
        <v>69</v>
      </c>
      <c r="N160" s="92" t="s">
        <v>3</v>
      </c>
      <c r="O160" s="92"/>
      <c r="P160" s="19" t="s">
        <v>16</v>
      </c>
      <c r="Q160" s="92"/>
      <c r="R160" s="19" t="s">
        <v>28</v>
      </c>
    </row>
    <row r="161" spans="2:18" ht="25.5" x14ac:dyDescent="0.25">
      <c r="B161" s="151">
        <v>45</v>
      </c>
      <c r="C161" s="151"/>
      <c r="D161" s="92">
        <v>154</v>
      </c>
      <c r="E161" s="19" t="s">
        <v>854</v>
      </c>
      <c r="F161" s="92" t="s">
        <v>7</v>
      </c>
      <c r="G161" s="92" t="s">
        <v>855</v>
      </c>
      <c r="H161" s="92" t="s">
        <v>1</v>
      </c>
      <c r="I161" s="92" t="s">
        <v>2</v>
      </c>
      <c r="J161" s="19"/>
      <c r="K161" s="58">
        <v>28490</v>
      </c>
      <c r="L161" s="59">
        <f t="shared" si="12"/>
        <v>1977</v>
      </c>
      <c r="M161" s="59">
        <f t="shared" si="10"/>
        <v>42</v>
      </c>
      <c r="N161" s="92" t="s">
        <v>3</v>
      </c>
      <c r="O161" s="92"/>
      <c r="P161" s="19" t="s">
        <v>16</v>
      </c>
      <c r="Q161" s="92"/>
      <c r="R161" s="19" t="s">
        <v>39</v>
      </c>
    </row>
    <row r="162" spans="2:18" x14ac:dyDescent="0.25">
      <c r="B162" s="151"/>
      <c r="C162" s="151"/>
      <c r="D162" s="92">
        <v>155</v>
      </c>
      <c r="E162" s="19" t="s">
        <v>856</v>
      </c>
      <c r="F162" s="92" t="s">
        <v>12</v>
      </c>
      <c r="G162" s="92" t="s">
        <v>857</v>
      </c>
      <c r="H162" s="92" t="s">
        <v>10</v>
      </c>
      <c r="I162" s="92" t="s">
        <v>2</v>
      </c>
      <c r="J162" s="19"/>
      <c r="K162" s="58">
        <v>28855</v>
      </c>
      <c r="L162" s="59">
        <f t="shared" si="12"/>
        <v>1978</v>
      </c>
      <c r="M162" s="59">
        <f t="shared" si="10"/>
        <v>41</v>
      </c>
      <c r="N162" s="92" t="s">
        <v>3</v>
      </c>
      <c r="O162" s="92"/>
      <c r="P162" s="19" t="s">
        <v>35</v>
      </c>
      <c r="Q162" s="92"/>
      <c r="R162" s="19" t="s">
        <v>43</v>
      </c>
    </row>
    <row r="163" spans="2:18" ht="25.5" x14ac:dyDescent="0.25">
      <c r="B163" s="151"/>
      <c r="C163" s="151"/>
      <c r="D163" s="92">
        <v>156</v>
      </c>
      <c r="E163" s="19" t="s">
        <v>858</v>
      </c>
      <c r="F163" s="92" t="s">
        <v>18</v>
      </c>
      <c r="G163" s="92">
        <v>0</v>
      </c>
      <c r="H163" s="92" t="s">
        <v>1</v>
      </c>
      <c r="I163" s="92" t="s">
        <v>15</v>
      </c>
      <c r="J163" s="19"/>
      <c r="K163" s="58">
        <v>41598</v>
      </c>
      <c r="L163" s="59">
        <f t="shared" si="12"/>
        <v>2013</v>
      </c>
      <c r="M163" s="59">
        <f t="shared" si="10"/>
        <v>6</v>
      </c>
      <c r="N163" s="92" t="s">
        <v>3</v>
      </c>
      <c r="O163" s="92"/>
      <c r="P163" s="19" t="s">
        <v>16</v>
      </c>
      <c r="Q163" s="92"/>
      <c r="R163" s="19" t="s">
        <v>16</v>
      </c>
    </row>
    <row r="164" spans="2:18" x14ac:dyDescent="0.25">
      <c r="B164" s="151">
        <v>46</v>
      </c>
      <c r="C164" s="151" t="s">
        <v>2481</v>
      </c>
      <c r="D164" s="92">
        <v>157</v>
      </c>
      <c r="E164" s="19" t="s">
        <v>859</v>
      </c>
      <c r="F164" s="92" t="s">
        <v>7</v>
      </c>
      <c r="G164" s="92" t="s">
        <v>2482</v>
      </c>
      <c r="H164" s="92" t="s">
        <v>10</v>
      </c>
      <c r="I164" s="92" t="s">
        <v>1735</v>
      </c>
      <c r="J164" s="19" t="s">
        <v>1623</v>
      </c>
      <c r="K164" s="58">
        <v>13149</v>
      </c>
      <c r="L164" s="59">
        <v>1935</v>
      </c>
      <c r="M164" s="59">
        <f t="shared" si="10"/>
        <v>84</v>
      </c>
      <c r="N164" s="92" t="s">
        <v>3</v>
      </c>
      <c r="O164" s="92" t="s">
        <v>1632</v>
      </c>
      <c r="P164" s="19" t="s">
        <v>1732</v>
      </c>
      <c r="Q164" s="92"/>
      <c r="R164" s="19" t="s">
        <v>1816</v>
      </c>
    </row>
    <row r="165" spans="2:18" ht="25.5" x14ac:dyDescent="0.25">
      <c r="B165" s="151"/>
      <c r="C165" s="151"/>
      <c r="D165" s="92">
        <v>158</v>
      </c>
      <c r="E165" s="19" t="s">
        <v>860</v>
      </c>
      <c r="F165" s="92" t="s">
        <v>18</v>
      </c>
      <c r="G165" s="92" t="s">
        <v>861</v>
      </c>
      <c r="H165" s="92" t="s">
        <v>10</v>
      </c>
      <c r="I165" s="92" t="s">
        <v>15</v>
      </c>
      <c r="J165" s="19" t="s">
        <v>1623</v>
      </c>
      <c r="K165" s="58">
        <v>25568</v>
      </c>
      <c r="L165" s="59">
        <v>1969</v>
      </c>
      <c r="M165" s="59">
        <f t="shared" si="10"/>
        <v>50</v>
      </c>
      <c r="N165" s="92" t="s">
        <v>3</v>
      </c>
      <c r="O165" s="92" t="s">
        <v>1632</v>
      </c>
      <c r="P165" s="19" t="s">
        <v>1732</v>
      </c>
      <c r="Q165" s="92"/>
      <c r="R165" s="19" t="s">
        <v>1638</v>
      </c>
    </row>
    <row r="166" spans="2:18" x14ac:dyDescent="0.25">
      <c r="B166" s="151">
        <v>47</v>
      </c>
      <c r="C166" s="151"/>
      <c r="D166" s="92">
        <v>159</v>
      </c>
      <c r="E166" s="19" t="s">
        <v>862</v>
      </c>
      <c r="F166" s="92" t="s">
        <v>7</v>
      </c>
      <c r="G166" s="92" t="s">
        <v>863</v>
      </c>
      <c r="H166" s="92" t="s">
        <v>1</v>
      </c>
      <c r="I166" s="92" t="s">
        <v>2</v>
      </c>
      <c r="J166" s="19"/>
      <c r="K166" s="58">
        <v>27758</v>
      </c>
      <c r="L166" s="59">
        <f t="shared" ref="L166:L176" si="13">YEAR(K166)</f>
        <v>1975</v>
      </c>
      <c r="M166" s="59">
        <f t="shared" si="10"/>
        <v>44</v>
      </c>
      <c r="N166" s="92" t="s">
        <v>3</v>
      </c>
      <c r="O166" s="92"/>
      <c r="P166" s="19" t="s">
        <v>27</v>
      </c>
      <c r="Q166" s="92"/>
      <c r="R166" s="19" t="s">
        <v>39</v>
      </c>
    </row>
    <row r="167" spans="2:18" ht="25.5" x14ac:dyDescent="0.25">
      <c r="B167" s="151"/>
      <c r="C167" s="151"/>
      <c r="D167" s="92">
        <v>160</v>
      </c>
      <c r="E167" s="19" t="s">
        <v>864</v>
      </c>
      <c r="F167" s="92" t="s">
        <v>12</v>
      </c>
      <c r="G167" s="92" t="s">
        <v>865</v>
      </c>
      <c r="H167" s="92" t="s">
        <v>10</v>
      </c>
      <c r="I167" s="92" t="s">
        <v>2</v>
      </c>
      <c r="J167" s="19"/>
      <c r="K167" s="58">
        <v>11434</v>
      </c>
      <c r="L167" s="59">
        <f t="shared" si="13"/>
        <v>1931</v>
      </c>
      <c r="M167" s="59">
        <f t="shared" si="10"/>
        <v>88</v>
      </c>
      <c r="N167" s="92" t="s">
        <v>3</v>
      </c>
      <c r="O167" s="92"/>
      <c r="P167" s="19" t="s">
        <v>4</v>
      </c>
      <c r="Q167" s="92"/>
      <c r="R167" s="19" t="s">
        <v>28</v>
      </c>
    </row>
    <row r="168" spans="2:18" ht="25.5" x14ac:dyDescent="0.25">
      <c r="B168" s="151"/>
      <c r="C168" s="151"/>
      <c r="D168" s="92">
        <v>161</v>
      </c>
      <c r="E168" s="19" t="s">
        <v>866</v>
      </c>
      <c r="F168" s="92" t="s">
        <v>18</v>
      </c>
      <c r="G168" s="92" t="s">
        <v>867</v>
      </c>
      <c r="H168" s="92" t="s">
        <v>1</v>
      </c>
      <c r="I168" s="92" t="s">
        <v>15</v>
      </c>
      <c r="J168" s="19"/>
      <c r="K168" s="58">
        <v>40731</v>
      </c>
      <c r="L168" s="59">
        <f t="shared" si="13"/>
        <v>2011</v>
      </c>
      <c r="M168" s="59">
        <f t="shared" si="10"/>
        <v>8</v>
      </c>
      <c r="N168" s="92" t="s">
        <v>3</v>
      </c>
      <c r="O168" s="92"/>
      <c r="P168" s="19" t="s">
        <v>16</v>
      </c>
      <c r="Q168" s="92"/>
      <c r="R168" s="19" t="s">
        <v>16</v>
      </c>
    </row>
    <row r="169" spans="2:18" x14ac:dyDescent="0.25">
      <c r="B169" s="151">
        <v>48</v>
      </c>
      <c r="C169" s="151"/>
      <c r="D169" s="92">
        <v>162</v>
      </c>
      <c r="E169" s="19" t="s">
        <v>868</v>
      </c>
      <c r="F169" s="92" t="s">
        <v>7</v>
      </c>
      <c r="G169" s="92" t="s">
        <v>869</v>
      </c>
      <c r="H169" s="92" t="s">
        <v>1</v>
      </c>
      <c r="I169" s="92" t="s">
        <v>80</v>
      </c>
      <c r="J169" s="19"/>
      <c r="K169" s="58">
        <v>20271</v>
      </c>
      <c r="L169" s="59">
        <f t="shared" si="13"/>
        <v>1955</v>
      </c>
      <c r="M169" s="59">
        <f t="shared" si="10"/>
        <v>64</v>
      </c>
      <c r="N169" s="92" t="s">
        <v>3</v>
      </c>
      <c r="O169" s="92"/>
      <c r="P169" s="19" t="s">
        <v>16</v>
      </c>
      <c r="Q169" s="92"/>
      <c r="R169" s="19" t="s">
        <v>37</v>
      </c>
    </row>
    <row r="170" spans="2:18" x14ac:dyDescent="0.25">
      <c r="B170" s="151"/>
      <c r="C170" s="151"/>
      <c r="D170" s="92">
        <v>163</v>
      </c>
      <c r="E170" s="19" t="s">
        <v>870</v>
      </c>
      <c r="F170" s="92" t="s">
        <v>18</v>
      </c>
      <c r="G170" s="92" t="s">
        <v>871</v>
      </c>
      <c r="H170" s="92" t="s">
        <v>10</v>
      </c>
      <c r="I170" s="92" t="s">
        <v>15</v>
      </c>
      <c r="J170" s="19"/>
      <c r="K170" s="58">
        <v>33587</v>
      </c>
      <c r="L170" s="59">
        <f t="shared" si="13"/>
        <v>1991</v>
      </c>
      <c r="M170" s="59">
        <f t="shared" si="10"/>
        <v>28</v>
      </c>
      <c r="N170" s="92" t="s">
        <v>3</v>
      </c>
      <c r="O170" s="92"/>
      <c r="P170" s="19" t="s">
        <v>27</v>
      </c>
      <c r="Q170" s="92"/>
      <c r="R170" s="19" t="s">
        <v>54</v>
      </c>
    </row>
    <row r="171" spans="2:18" x14ac:dyDescent="0.25">
      <c r="B171" s="151"/>
      <c r="C171" s="151"/>
      <c r="D171" s="92">
        <v>164</v>
      </c>
      <c r="E171" s="19" t="s">
        <v>872</v>
      </c>
      <c r="F171" s="92" t="s">
        <v>18</v>
      </c>
      <c r="G171" s="92">
        <v>0</v>
      </c>
      <c r="H171" s="92" t="s">
        <v>1</v>
      </c>
      <c r="I171" s="92" t="s">
        <v>15</v>
      </c>
      <c r="J171" s="19"/>
      <c r="K171" s="58">
        <v>34523</v>
      </c>
      <c r="L171" s="59">
        <f t="shared" si="13"/>
        <v>1994</v>
      </c>
      <c r="M171" s="59">
        <f t="shared" si="10"/>
        <v>25</v>
      </c>
      <c r="N171" s="92" t="s">
        <v>3</v>
      </c>
      <c r="O171" s="92"/>
      <c r="P171" s="19" t="s">
        <v>27</v>
      </c>
      <c r="Q171" s="92"/>
      <c r="R171" s="19" t="s">
        <v>16</v>
      </c>
    </row>
    <row r="172" spans="2:18" ht="25.5" x14ac:dyDescent="0.25">
      <c r="B172" s="151"/>
      <c r="C172" s="151"/>
      <c r="D172" s="92">
        <v>165</v>
      </c>
      <c r="E172" s="19" t="s">
        <v>873</v>
      </c>
      <c r="F172" s="92" t="s">
        <v>18</v>
      </c>
      <c r="G172" s="92">
        <v>0</v>
      </c>
      <c r="H172" s="92" t="s">
        <v>1</v>
      </c>
      <c r="I172" s="92" t="s">
        <v>15</v>
      </c>
      <c r="J172" s="19"/>
      <c r="K172" s="58">
        <v>35276</v>
      </c>
      <c r="L172" s="59">
        <f t="shared" si="13"/>
        <v>1996</v>
      </c>
      <c r="M172" s="59">
        <f t="shared" si="10"/>
        <v>23</v>
      </c>
      <c r="N172" s="92" t="s">
        <v>3</v>
      </c>
      <c r="O172" s="92"/>
      <c r="P172" s="19" t="s">
        <v>16</v>
      </c>
      <c r="Q172" s="92"/>
      <c r="R172" s="19" t="s">
        <v>16</v>
      </c>
    </row>
    <row r="173" spans="2:18" x14ac:dyDescent="0.25">
      <c r="B173" s="151">
        <v>49</v>
      </c>
      <c r="C173" s="151"/>
      <c r="D173" s="92">
        <v>166</v>
      </c>
      <c r="E173" s="19" t="s">
        <v>874</v>
      </c>
      <c r="F173" s="92" t="s">
        <v>7</v>
      </c>
      <c r="G173" s="92" t="s">
        <v>875</v>
      </c>
      <c r="H173" s="92" t="s">
        <v>10</v>
      </c>
      <c r="I173" s="92" t="s">
        <v>21</v>
      </c>
      <c r="J173" s="19"/>
      <c r="K173" s="58">
        <v>25026</v>
      </c>
      <c r="L173" s="59">
        <f t="shared" si="13"/>
        <v>1968</v>
      </c>
      <c r="M173" s="59">
        <f t="shared" si="10"/>
        <v>51</v>
      </c>
      <c r="N173" s="92" t="s">
        <v>3</v>
      </c>
      <c r="O173" s="92"/>
      <c r="P173" s="19" t="s">
        <v>46</v>
      </c>
      <c r="Q173" s="92"/>
      <c r="R173" s="19" t="s">
        <v>39</v>
      </c>
    </row>
    <row r="174" spans="2:18" x14ac:dyDescent="0.25">
      <c r="B174" s="151"/>
      <c r="C174" s="151"/>
      <c r="D174" s="92">
        <v>167</v>
      </c>
      <c r="E174" s="19" t="s">
        <v>876</v>
      </c>
      <c r="F174" s="92" t="s">
        <v>18</v>
      </c>
      <c r="G174" s="92" t="s">
        <v>877</v>
      </c>
      <c r="H174" s="92" t="s">
        <v>10</v>
      </c>
      <c r="I174" s="92" t="s">
        <v>15</v>
      </c>
      <c r="J174" s="19"/>
      <c r="K174" s="58">
        <v>33931</v>
      </c>
      <c r="L174" s="59">
        <f t="shared" si="13"/>
        <v>1992</v>
      </c>
      <c r="M174" s="59">
        <f t="shared" si="10"/>
        <v>27</v>
      </c>
      <c r="N174" s="92" t="s">
        <v>3</v>
      </c>
      <c r="O174" s="92"/>
      <c r="P174" s="19" t="s">
        <v>27</v>
      </c>
      <c r="Q174" s="92"/>
      <c r="R174" s="19" t="s">
        <v>16</v>
      </c>
    </row>
    <row r="175" spans="2:18" x14ac:dyDescent="0.25">
      <c r="B175" s="151"/>
      <c r="C175" s="151"/>
      <c r="D175" s="92">
        <v>168</v>
      </c>
      <c r="E175" s="19" t="s">
        <v>878</v>
      </c>
      <c r="F175" s="92" t="s">
        <v>18</v>
      </c>
      <c r="G175" s="92" t="s">
        <v>879</v>
      </c>
      <c r="H175" s="92" t="s">
        <v>1</v>
      </c>
      <c r="I175" s="92" t="s">
        <v>15</v>
      </c>
      <c r="J175" s="19"/>
      <c r="K175" s="58">
        <v>35113</v>
      </c>
      <c r="L175" s="59">
        <f t="shared" si="13"/>
        <v>1996</v>
      </c>
      <c r="M175" s="59">
        <f t="shared" si="10"/>
        <v>23</v>
      </c>
      <c r="N175" s="92" t="s">
        <v>3</v>
      </c>
      <c r="O175" s="92"/>
      <c r="P175" s="19" t="s">
        <v>27</v>
      </c>
      <c r="Q175" s="92"/>
      <c r="R175" s="19" t="s">
        <v>16</v>
      </c>
    </row>
    <row r="176" spans="2:18" x14ac:dyDescent="0.25">
      <c r="B176" s="151"/>
      <c r="C176" s="151"/>
      <c r="D176" s="92">
        <v>169</v>
      </c>
      <c r="E176" s="19" t="s">
        <v>880</v>
      </c>
      <c r="F176" s="92" t="s">
        <v>18</v>
      </c>
      <c r="G176" s="92" t="s">
        <v>881</v>
      </c>
      <c r="H176" s="92" t="s">
        <v>1</v>
      </c>
      <c r="I176" s="92" t="s">
        <v>15</v>
      </c>
      <c r="J176" s="19"/>
      <c r="K176" s="58">
        <v>32254</v>
      </c>
      <c r="L176" s="59">
        <f t="shared" si="13"/>
        <v>1988</v>
      </c>
      <c r="M176" s="59">
        <f t="shared" si="10"/>
        <v>31</v>
      </c>
      <c r="N176" s="92" t="s">
        <v>3</v>
      </c>
      <c r="O176" s="92"/>
      <c r="P176" s="19" t="s">
        <v>27</v>
      </c>
      <c r="Q176" s="92"/>
      <c r="R176" s="19" t="s">
        <v>16</v>
      </c>
    </row>
    <row r="177" spans="2:18" ht="15" customHeight="1" x14ac:dyDescent="0.25">
      <c r="B177" s="152">
        <v>50</v>
      </c>
      <c r="C177" s="152" t="s">
        <v>2365</v>
      </c>
      <c r="D177" s="92">
        <v>170</v>
      </c>
      <c r="E177" s="19" t="s">
        <v>2366</v>
      </c>
      <c r="F177" s="92" t="s">
        <v>7</v>
      </c>
      <c r="G177" s="92" t="s">
        <v>882</v>
      </c>
      <c r="H177" s="92" t="s">
        <v>1</v>
      </c>
      <c r="I177" s="92" t="s">
        <v>2</v>
      </c>
      <c r="J177" s="19" t="s">
        <v>1623</v>
      </c>
      <c r="K177" s="58">
        <v>30135</v>
      </c>
      <c r="L177" s="59">
        <v>1982</v>
      </c>
      <c r="M177" s="59">
        <f t="shared" si="10"/>
        <v>37</v>
      </c>
      <c r="N177" s="92" t="s">
        <v>1</v>
      </c>
      <c r="O177" s="92" t="s">
        <v>1723</v>
      </c>
      <c r="P177" s="19" t="s">
        <v>1641</v>
      </c>
      <c r="Q177" s="92"/>
      <c r="R177" s="19" t="s">
        <v>1710</v>
      </c>
    </row>
    <row r="178" spans="2:18" ht="25.5" x14ac:dyDescent="0.25">
      <c r="B178" s="153"/>
      <c r="C178" s="153"/>
      <c r="D178" s="92">
        <v>171</v>
      </c>
      <c r="E178" s="19" t="s">
        <v>699</v>
      </c>
      <c r="F178" s="92" t="s">
        <v>12</v>
      </c>
      <c r="G178" s="92" t="s">
        <v>2369</v>
      </c>
      <c r="H178" s="92" t="s">
        <v>10</v>
      </c>
      <c r="I178" s="92" t="s">
        <v>2</v>
      </c>
      <c r="J178" s="19" t="s">
        <v>2372</v>
      </c>
      <c r="K178" s="58">
        <v>30966</v>
      </c>
      <c r="L178" s="59">
        <v>1984</v>
      </c>
      <c r="M178" s="59">
        <f t="shared" si="10"/>
        <v>35</v>
      </c>
      <c r="N178" s="92" t="s">
        <v>10</v>
      </c>
      <c r="O178" s="92" t="s">
        <v>1723</v>
      </c>
      <c r="P178" s="19" t="s">
        <v>1641</v>
      </c>
      <c r="Q178" s="92"/>
      <c r="R178" s="19" t="s">
        <v>1764</v>
      </c>
    </row>
    <row r="179" spans="2:18" ht="25.5" x14ac:dyDescent="0.25">
      <c r="B179" s="153"/>
      <c r="C179" s="153"/>
      <c r="D179" s="92">
        <v>172</v>
      </c>
      <c r="E179" s="19" t="s">
        <v>883</v>
      </c>
      <c r="F179" s="92" t="s">
        <v>18</v>
      </c>
      <c r="G179" s="92" t="s">
        <v>884</v>
      </c>
      <c r="H179" s="92" t="s">
        <v>10</v>
      </c>
      <c r="I179" s="92" t="s">
        <v>15</v>
      </c>
      <c r="J179" s="19" t="s">
        <v>1736</v>
      </c>
      <c r="K179" s="58">
        <v>39358</v>
      </c>
      <c r="L179" s="59">
        <v>2007</v>
      </c>
      <c r="M179" s="59">
        <f t="shared" si="10"/>
        <v>12</v>
      </c>
      <c r="N179" s="92" t="s">
        <v>10</v>
      </c>
      <c r="O179" s="92" t="s">
        <v>1723</v>
      </c>
      <c r="P179" s="19" t="s">
        <v>1635</v>
      </c>
      <c r="Q179" s="92"/>
      <c r="R179" s="19" t="s">
        <v>1625</v>
      </c>
    </row>
    <row r="180" spans="2:18" ht="25.5" x14ac:dyDescent="0.25">
      <c r="B180" s="153"/>
      <c r="C180" s="153"/>
      <c r="D180" s="92">
        <v>173</v>
      </c>
      <c r="E180" s="19" t="s">
        <v>2367</v>
      </c>
      <c r="F180" s="92" t="s">
        <v>18</v>
      </c>
      <c r="G180" s="92" t="s">
        <v>2370</v>
      </c>
      <c r="H180" s="92" t="s">
        <v>1</v>
      </c>
      <c r="I180" s="92" t="s">
        <v>15</v>
      </c>
      <c r="J180" s="19" t="s">
        <v>1623</v>
      </c>
      <c r="K180" s="58">
        <v>41209</v>
      </c>
      <c r="L180" s="59">
        <v>2012</v>
      </c>
      <c r="M180" s="59">
        <f t="shared" si="10"/>
        <v>7</v>
      </c>
      <c r="N180" s="92" t="s">
        <v>1</v>
      </c>
      <c r="O180" s="92" t="s">
        <v>1723</v>
      </c>
      <c r="P180" s="19" t="s">
        <v>1733</v>
      </c>
      <c r="Q180" s="92"/>
      <c r="R180" s="19" t="s">
        <v>1638</v>
      </c>
    </row>
    <row r="181" spans="2:18" ht="25.5" x14ac:dyDescent="0.25">
      <c r="B181" s="154"/>
      <c r="C181" s="154"/>
      <c r="D181" s="92">
        <v>174</v>
      </c>
      <c r="E181" s="19" t="s">
        <v>2368</v>
      </c>
      <c r="F181" s="92" t="s">
        <v>18</v>
      </c>
      <c r="G181" s="92" t="s">
        <v>2371</v>
      </c>
      <c r="H181" s="92" t="s">
        <v>1</v>
      </c>
      <c r="I181" s="92" t="s">
        <v>15</v>
      </c>
      <c r="J181" s="19" t="s">
        <v>1736</v>
      </c>
      <c r="K181" s="58">
        <v>42449</v>
      </c>
      <c r="L181" s="59">
        <v>2016</v>
      </c>
      <c r="M181" s="59">
        <f t="shared" si="10"/>
        <v>3</v>
      </c>
      <c r="N181" s="92" t="s">
        <v>1</v>
      </c>
      <c r="O181" s="92" t="s">
        <v>1723</v>
      </c>
      <c r="P181" s="19" t="s">
        <v>1733</v>
      </c>
      <c r="Q181" s="92"/>
      <c r="R181" s="19" t="s">
        <v>1638</v>
      </c>
    </row>
    <row r="182" spans="2:18" ht="25.5" x14ac:dyDescent="0.25">
      <c r="B182" s="151">
        <v>51</v>
      </c>
      <c r="C182" s="151"/>
      <c r="D182" s="92">
        <v>175</v>
      </c>
      <c r="E182" s="19" t="s">
        <v>885</v>
      </c>
      <c r="F182" s="92" t="s">
        <v>7</v>
      </c>
      <c r="G182" s="92" t="s">
        <v>886</v>
      </c>
      <c r="H182" s="92" t="s">
        <v>1</v>
      </c>
      <c r="I182" s="92" t="s">
        <v>15</v>
      </c>
      <c r="J182" s="19"/>
      <c r="K182" s="58">
        <v>26731</v>
      </c>
      <c r="L182" s="59">
        <f t="shared" ref="L182:L185" si="14">YEAR(K182)</f>
        <v>1973</v>
      </c>
      <c r="M182" s="59">
        <f t="shared" si="10"/>
        <v>46</v>
      </c>
      <c r="N182" s="92" t="s">
        <v>3</v>
      </c>
      <c r="O182" s="92"/>
      <c r="P182" s="19" t="s">
        <v>4</v>
      </c>
      <c r="Q182" s="92"/>
      <c r="R182" s="19" t="s">
        <v>614</v>
      </c>
    </row>
    <row r="183" spans="2:18" x14ac:dyDescent="0.25">
      <c r="B183" s="151"/>
      <c r="C183" s="151"/>
      <c r="D183" s="92">
        <v>176</v>
      </c>
      <c r="E183" s="19" t="s">
        <v>887</v>
      </c>
      <c r="F183" s="92" t="s">
        <v>12</v>
      </c>
      <c r="G183" s="92" t="s">
        <v>888</v>
      </c>
      <c r="H183" s="92" t="s">
        <v>10</v>
      </c>
      <c r="I183" s="92" t="s">
        <v>2</v>
      </c>
      <c r="J183" s="19"/>
      <c r="K183" s="58">
        <v>29855</v>
      </c>
      <c r="L183" s="59">
        <f t="shared" si="14"/>
        <v>1981</v>
      </c>
      <c r="M183" s="59">
        <f t="shared" si="10"/>
        <v>38</v>
      </c>
      <c r="N183" s="92" t="s">
        <v>3</v>
      </c>
      <c r="O183" s="92"/>
      <c r="P183" s="19" t="s">
        <v>35</v>
      </c>
      <c r="Q183" s="92"/>
      <c r="R183" s="19" t="s">
        <v>39</v>
      </c>
    </row>
    <row r="184" spans="2:18" ht="25.5" x14ac:dyDescent="0.25">
      <c r="B184" s="151"/>
      <c r="C184" s="151"/>
      <c r="D184" s="92">
        <v>177</v>
      </c>
      <c r="E184" s="19" t="s">
        <v>889</v>
      </c>
      <c r="F184" s="92" t="s">
        <v>18</v>
      </c>
      <c r="G184" s="92" t="s">
        <v>890</v>
      </c>
      <c r="H184" s="92" t="s">
        <v>1</v>
      </c>
      <c r="I184" s="92" t="s">
        <v>15</v>
      </c>
      <c r="J184" s="19"/>
      <c r="K184" s="58">
        <v>37433</v>
      </c>
      <c r="L184" s="59">
        <f t="shared" si="14"/>
        <v>2002</v>
      </c>
      <c r="M184" s="59">
        <f t="shared" si="10"/>
        <v>17</v>
      </c>
      <c r="N184" s="92" t="s">
        <v>3</v>
      </c>
      <c r="O184" s="92"/>
      <c r="P184" s="19" t="s">
        <v>46</v>
      </c>
      <c r="Q184" s="92"/>
      <c r="R184" s="19" t="s">
        <v>16</v>
      </c>
    </row>
    <row r="185" spans="2:18" ht="25.5" x14ac:dyDescent="0.25">
      <c r="B185" s="151"/>
      <c r="C185" s="151"/>
      <c r="D185" s="92">
        <v>178</v>
      </c>
      <c r="E185" s="19" t="s">
        <v>891</v>
      </c>
      <c r="F185" s="92" t="s">
        <v>18</v>
      </c>
      <c r="G185" s="92" t="s">
        <v>892</v>
      </c>
      <c r="H185" s="92" t="s">
        <v>1</v>
      </c>
      <c r="I185" s="92" t="s">
        <v>15</v>
      </c>
      <c r="J185" s="19"/>
      <c r="K185" s="58">
        <v>38349</v>
      </c>
      <c r="L185" s="59">
        <f t="shared" si="14"/>
        <v>2004</v>
      </c>
      <c r="M185" s="59">
        <f t="shared" si="10"/>
        <v>15</v>
      </c>
      <c r="N185" s="92" t="s">
        <v>3</v>
      </c>
      <c r="O185" s="92"/>
      <c r="P185" s="19" t="s">
        <v>16</v>
      </c>
      <c r="Q185" s="92"/>
      <c r="R185" s="19" t="s">
        <v>16</v>
      </c>
    </row>
    <row r="186" spans="2:18" ht="25.5" x14ac:dyDescent="0.25">
      <c r="B186" s="152">
        <v>52</v>
      </c>
      <c r="C186" s="152" t="s">
        <v>1986</v>
      </c>
      <c r="D186" s="92">
        <v>179</v>
      </c>
      <c r="E186" s="19" t="s">
        <v>893</v>
      </c>
      <c r="F186" s="92" t="s">
        <v>7</v>
      </c>
      <c r="G186" s="92" t="s">
        <v>894</v>
      </c>
      <c r="H186" s="92" t="s">
        <v>1</v>
      </c>
      <c r="I186" s="92" t="s">
        <v>2</v>
      </c>
      <c r="J186" s="19" t="s">
        <v>1631</v>
      </c>
      <c r="K186" s="58">
        <v>32869</v>
      </c>
      <c r="L186" s="59">
        <v>1989</v>
      </c>
      <c r="M186" s="59">
        <f t="shared" ref="M186:M223" si="15">2019-L186</f>
        <v>30</v>
      </c>
      <c r="N186" s="92" t="s">
        <v>3</v>
      </c>
      <c r="O186" s="92" t="s">
        <v>1723</v>
      </c>
      <c r="P186" s="19" t="s">
        <v>1968</v>
      </c>
      <c r="Q186" s="92"/>
      <c r="R186" s="19" t="s">
        <v>1809</v>
      </c>
    </row>
    <row r="187" spans="2:18" ht="25.5" x14ac:dyDescent="0.25">
      <c r="B187" s="153"/>
      <c r="C187" s="153"/>
      <c r="D187" s="92">
        <v>180</v>
      </c>
      <c r="E187" s="19" t="s">
        <v>895</v>
      </c>
      <c r="F187" s="92" t="s">
        <v>12</v>
      </c>
      <c r="G187" s="92" t="s">
        <v>1988</v>
      </c>
      <c r="H187" s="92" t="s">
        <v>10</v>
      </c>
      <c r="I187" s="92" t="s">
        <v>2</v>
      </c>
      <c r="J187" s="19" t="s">
        <v>1631</v>
      </c>
      <c r="K187" s="58">
        <v>32757</v>
      </c>
      <c r="L187" s="59">
        <v>1989</v>
      </c>
      <c r="M187" s="59">
        <f t="shared" si="15"/>
        <v>30</v>
      </c>
      <c r="N187" s="92" t="s">
        <v>3</v>
      </c>
      <c r="O187" s="92" t="s">
        <v>1723</v>
      </c>
      <c r="P187" s="19" t="s">
        <v>1968</v>
      </c>
      <c r="Q187" s="92"/>
      <c r="R187" s="19" t="s">
        <v>1809</v>
      </c>
    </row>
    <row r="188" spans="2:18" ht="38.25" x14ac:dyDescent="0.25">
      <c r="B188" s="153"/>
      <c r="C188" s="153"/>
      <c r="D188" s="92">
        <v>181</v>
      </c>
      <c r="E188" s="19" t="s">
        <v>896</v>
      </c>
      <c r="F188" s="92" t="s">
        <v>18</v>
      </c>
      <c r="G188" s="92" t="s">
        <v>1989</v>
      </c>
      <c r="H188" s="92" t="s">
        <v>10</v>
      </c>
      <c r="I188" s="92" t="s">
        <v>15</v>
      </c>
      <c r="J188" s="19" t="s">
        <v>1631</v>
      </c>
      <c r="K188" s="58">
        <v>42087</v>
      </c>
      <c r="L188" s="59">
        <v>2015</v>
      </c>
      <c r="M188" s="59">
        <f t="shared" si="15"/>
        <v>4</v>
      </c>
      <c r="N188" s="92" t="s">
        <v>3</v>
      </c>
      <c r="O188" s="92" t="s">
        <v>1723</v>
      </c>
      <c r="P188" s="19" t="s">
        <v>1733</v>
      </c>
      <c r="Q188" s="92"/>
      <c r="R188" s="19" t="s">
        <v>1638</v>
      </c>
    </row>
    <row r="189" spans="2:18" ht="38.25" x14ac:dyDescent="0.25">
      <c r="B189" s="154"/>
      <c r="C189" s="154"/>
      <c r="D189" s="92">
        <v>182</v>
      </c>
      <c r="E189" s="19" t="s">
        <v>1987</v>
      </c>
      <c r="F189" s="92" t="s">
        <v>18</v>
      </c>
      <c r="G189" s="92" t="s">
        <v>1990</v>
      </c>
      <c r="H189" s="92" t="s">
        <v>49</v>
      </c>
      <c r="I189" s="92" t="s">
        <v>15</v>
      </c>
      <c r="J189" s="19" t="s">
        <v>1631</v>
      </c>
      <c r="K189" s="58">
        <v>42668</v>
      </c>
      <c r="L189" s="59">
        <v>2016</v>
      </c>
      <c r="M189" s="59">
        <f t="shared" si="15"/>
        <v>3</v>
      </c>
      <c r="N189" s="92" t="s">
        <v>3</v>
      </c>
      <c r="O189" s="92" t="s">
        <v>1723</v>
      </c>
      <c r="P189" s="19" t="s">
        <v>1733</v>
      </c>
      <c r="Q189" s="92"/>
      <c r="R189" s="19" t="s">
        <v>1991</v>
      </c>
    </row>
    <row r="190" spans="2:18" ht="25.5" x14ac:dyDescent="0.25">
      <c r="B190" s="152">
        <v>53</v>
      </c>
      <c r="C190" s="152"/>
      <c r="D190" s="92">
        <v>183</v>
      </c>
      <c r="E190" s="19" t="s">
        <v>897</v>
      </c>
      <c r="F190" s="92" t="s">
        <v>7</v>
      </c>
      <c r="G190" s="92" t="s">
        <v>898</v>
      </c>
      <c r="H190" s="92" t="s">
        <v>1</v>
      </c>
      <c r="I190" s="92" t="s">
        <v>2</v>
      </c>
      <c r="J190" s="19" t="s">
        <v>1631</v>
      </c>
      <c r="K190" s="58">
        <v>34051</v>
      </c>
      <c r="L190" s="59">
        <v>1993</v>
      </c>
      <c r="M190" s="59">
        <f t="shared" si="15"/>
        <v>26</v>
      </c>
      <c r="N190" s="92" t="s">
        <v>3</v>
      </c>
      <c r="O190" s="92" t="s">
        <v>1723</v>
      </c>
      <c r="P190" s="19" t="s">
        <v>1677</v>
      </c>
      <c r="Q190" s="92"/>
      <c r="R190" s="19" t="s">
        <v>39</v>
      </c>
    </row>
    <row r="191" spans="2:18" ht="25.5" x14ac:dyDescent="0.25">
      <c r="B191" s="153"/>
      <c r="C191" s="153"/>
      <c r="D191" s="92">
        <v>184</v>
      </c>
      <c r="E191" s="19" t="s">
        <v>899</v>
      </c>
      <c r="F191" s="92" t="s">
        <v>12</v>
      </c>
      <c r="G191" s="92" t="s">
        <v>2378</v>
      </c>
      <c r="H191" s="92" t="s">
        <v>10</v>
      </c>
      <c r="I191" s="92" t="s">
        <v>2</v>
      </c>
      <c r="J191" s="19" t="s">
        <v>2380</v>
      </c>
      <c r="K191" s="58">
        <v>35521</v>
      </c>
      <c r="L191" s="59">
        <v>1997</v>
      </c>
      <c r="M191" s="59">
        <f t="shared" si="15"/>
        <v>22</v>
      </c>
      <c r="N191" s="92" t="s">
        <v>3</v>
      </c>
      <c r="O191" s="92" t="s">
        <v>1723</v>
      </c>
      <c r="P191" s="19" t="s">
        <v>1641</v>
      </c>
      <c r="Q191" s="92"/>
      <c r="R191" s="19" t="s">
        <v>1764</v>
      </c>
    </row>
    <row r="192" spans="2:18" ht="25.5" x14ac:dyDescent="0.25">
      <c r="B192" s="154"/>
      <c r="C192" s="154"/>
      <c r="D192" s="92">
        <v>185</v>
      </c>
      <c r="E192" s="19" t="s">
        <v>2377</v>
      </c>
      <c r="F192" s="92" t="s">
        <v>18</v>
      </c>
      <c r="G192" s="92" t="s">
        <v>2379</v>
      </c>
      <c r="H192" s="92" t="s">
        <v>1</v>
      </c>
      <c r="I192" s="92" t="s">
        <v>15</v>
      </c>
      <c r="J192" s="19" t="s">
        <v>1623</v>
      </c>
      <c r="K192" s="58">
        <v>42071</v>
      </c>
      <c r="L192" s="59">
        <v>2015</v>
      </c>
      <c r="M192" s="59">
        <f t="shared" si="15"/>
        <v>4</v>
      </c>
      <c r="N192" s="92" t="s">
        <v>3</v>
      </c>
      <c r="O192" s="92" t="s">
        <v>1723</v>
      </c>
      <c r="P192" s="19" t="s">
        <v>1733</v>
      </c>
      <c r="Q192" s="92"/>
      <c r="R192" s="19" t="s">
        <v>1638</v>
      </c>
    </row>
    <row r="193" spans="2:18" x14ac:dyDescent="0.25">
      <c r="B193" s="152">
        <v>54</v>
      </c>
      <c r="C193" s="152"/>
      <c r="D193" s="92">
        <v>186</v>
      </c>
      <c r="E193" s="19" t="s">
        <v>900</v>
      </c>
      <c r="F193" s="92" t="s">
        <v>7</v>
      </c>
      <c r="G193" s="92" t="s">
        <v>901</v>
      </c>
      <c r="H193" s="92" t="s">
        <v>1</v>
      </c>
      <c r="I193" s="92" t="s">
        <v>2</v>
      </c>
      <c r="J193" s="19"/>
      <c r="K193" s="58">
        <v>27921</v>
      </c>
      <c r="L193" s="59">
        <f t="shared" ref="L193:L204" si="16">YEAR(K193)</f>
        <v>1976</v>
      </c>
      <c r="M193" s="59">
        <f t="shared" si="15"/>
        <v>43</v>
      </c>
      <c r="N193" s="92">
        <v>1</v>
      </c>
      <c r="O193" s="92"/>
      <c r="P193" s="19" t="s">
        <v>27</v>
      </c>
      <c r="Q193" s="92"/>
      <c r="R193" s="19" t="s">
        <v>54</v>
      </c>
    </row>
    <row r="194" spans="2:18" x14ac:dyDescent="0.25">
      <c r="B194" s="153"/>
      <c r="C194" s="153"/>
      <c r="D194" s="92">
        <v>187</v>
      </c>
      <c r="E194" s="19" t="s">
        <v>902</v>
      </c>
      <c r="F194" s="92" t="s">
        <v>12</v>
      </c>
      <c r="G194" s="92" t="s">
        <v>903</v>
      </c>
      <c r="H194" s="92" t="s">
        <v>10</v>
      </c>
      <c r="I194" s="92" t="s">
        <v>2</v>
      </c>
      <c r="J194" s="19"/>
      <c r="K194" s="58">
        <v>28552</v>
      </c>
      <c r="L194" s="59">
        <f t="shared" si="16"/>
        <v>1978</v>
      </c>
      <c r="M194" s="59">
        <f t="shared" si="15"/>
        <v>41</v>
      </c>
      <c r="N194" s="92" t="s">
        <v>3</v>
      </c>
      <c r="O194" s="92"/>
      <c r="P194" s="19" t="s">
        <v>27</v>
      </c>
      <c r="Q194" s="92"/>
      <c r="R194" s="19" t="s">
        <v>28</v>
      </c>
    </row>
    <row r="195" spans="2:18" x14ac:dyDescent="0.25">
      <c r="B195" s="153"/>
      <c r="C195" s="153"/>
      <c r="D195" s="92">
        <v>188</v>
      </c>
      <c r="E195" s="19" t="s">
        <v>904</v>
      </c>
      <c r="F195" s="92" t="s">
        <v>18</v>
      </c>
      <c r="G195" s="92" t="s">
        <v>905</v>
      </c>
      <c r="H195" s="92" t="s">
        <v>10</v>
      </c>
      <c r="I195" s="92" t="s">
        <v>15</v>
      </c>
      <c r="J195" s="19"/>
      <c r="K195" s="58">
        <v>37091</v>
      </c>
      <c r="L195" s="59">
        <f t="shared" si="16"/>
        <v>2001</v>
      </c>
      <c r="M195" s="59">
        <f t="shared" si="15"/>
        <v>18</v>
      </c>
      <c r="N195" s="92" t="s">
        <v>3</v>
      </c>
      <c r="O195" s="92"/>
      <c r="P195" s="19" t="s">
        <v>46</v>
      </c>
      <c r="Q195" s="92"/>
      <c r="R195" s="19" t="s">
        <v>16</v>
      </c>
    </row>
    <row r="196" spans="2:18" ht="25.5" x14ac:dyDescent="0.25">
      <c r="B196" s="154"/>
      <c r="C196" s="154"/>
      <c r="D196" s="92">
        <v>189</v>
      </c>
      <c r="E196" s="19" t="s">
        <v>906</v>
      </c>
      <c r="F196" s="92" t="s">
        <v>18</v>
      </c>
      <c r="G196" s="92" t="s">
        <v>907</v>
      </c>
      <c r="H196" s="92" t="s">
        <v>1</v>
      </c>
      <c r="I196" s="92" t="s">
        <v>15</v>
      </c>
      <c r="J196" s="19"/>
      <c r="K196" s="58">
        <v>40047</v>
      </c>
      <c r="L196" s="59">
        <f t="shared" si="16"/>
        <v>2009</v>
      </c>
      <c r="M196" s="59">
        <f t="shared" si="15"/>
        <v>10</v>
      </c>
      <c r="N196" s="92" t="s">
        <v>3</v>
      </c>
      <c r="O196" s="92"/>
      <c r="P196" s="19" t="s">
        <v>16</v>
      </c>
      <c r="Q196" s="92"/>
      <c r="R196" s="19" t="s">
        <v>16</v>
      </c>
    </row>
    <row r="197" spans="2:18" x14ac:dyDescent="0.25">
      <c r="B197" s="151">
        <v>55</v>
      </c>
      <c r="C197" s="151"/>
      <c r="D197" s="92">
        <v>190</v>
      </c>
      <c r="E197" s="19" t="s">
        <v>908</v>
      </c>
      <c r="F197" s="92" t="s">
        <v>7</v>
      </c>
      <c r="G197" s="92" t="s">
        <v>909</v>
      </c>
      <c r="H197" s="92" t="s">
        <v>1</v>
      </c>
      <c r="I197" s="92" t="s">
        <v>2</v>
      </c>
      <c r="J197" s="19"/>
      <c r="K197" s="58">
        <v>30870</v>
      </c>
      <c r="L197" s="59">
        <f t="shared" si="16"/>
        <v>1984</v>
      </c>
      <c r="M197" s="59">
        <f t="shared" si="15"/>
        <v>35</v>
      </c>
      <c r="N197" s="92" t="s">
        <v>3</v>
      </c>
      <c r="O197" s="92"/>
      <c r="P197" s="19" t="s">
        <v>4</v>
      </c>
      <c r="Q197" s="92"/>
      <c r="R197" s="19" t="s">
        <v>54</v>
      </c>
    </row>
    <row r="198" spans="2:18" x14ac:dyDescent="0.25">
      <c r="B198" s="151"/>
      <c r="C198" s="151"/>
      <c r="D198" s="92">
        <v>191</v>
      </c>
      <c r="E198" s="19" t="s">
        <v>910</v>
      </c>
      <c r="F198" s="92" t="s">
        <v>12</v>
      </c>
      <c r="G198" s="92" t="s">
        <v>911</v>
      </c>
      <c r="H198" s="92" t="s">
        <v>10</v>
      </c>
      <c r="I198" s="92" t="s">
        <v>2</v>
      </c>
      <c r="J198" s="19"/>
      <c r="K198" s="58">
        <v>32123</v>
      </c>
      <c r="L198" s="59">
        <f t="shared" si="16"/>
        <v>1987</v>
      </c>
      <c r="M198" s="59">
        <f t="shared" si="15"/>
        <v>32</v>
      </c>
      <c r="N198" s="92" t="s">
        <v>3</v>
      </c>
      <c r="O198" s="92"/>
      <c r="P198" s="19" t="s">
        <v>4</v>
      </c>
      <c r="Q198" s="92"/>
      <c r="R198" s="19" t="s">
        <v>54</v>
      </c>
    </row>
    <row r="199" spans="2:18" ht="25.5" x14ac:dyDescent="0.25">
      <c r="B199" s="151"/>
      <c r="C199" s="151"/>
      <c r="D199" s="92">
        <v>192</v>
      </c>
      <c r="E199" s="19" t="s">
        <v>912</v>
      </c>
      <c r="F199" s="92" t="s">
        <v>18</v>
      </c>
      <c r="G199" s="92" t="s">
        <v>913</v>
      </c>
      <c r="H199" s="92" t="s">
        <v>1</v>
      </c>
      <c r="I199" s="92" t="s">
        <v>15</v>
      </c>
      <c r="J199" s="19"/>
      <c r="K199" s="58">
        <v>41713</v>
      </c>
      <c r="L199" s="59">
        <f t="shared" si="16"/>
        <v>2014</v>
      </c>
      <c r="M199" s="59">
        <f t="shared" si="15"/>
        <v>5</v>
      </c>
      <c r="N199" s="92" t="s">
        <v>3</v>
      </c>
      <c r="O199" s="92"/>
      <c r="P199" s="19" t="s">
        <v>16</v>
      </c>
      <c r="Q199" s="92"/>
      <c r="R199" s="19" t="s">
        <v>16</v>
      </c>
    </row>
    <row r="200" spans="2:18" x14ac:dyDescent="0.25">
      <c r="B200" s="151">
        <v>56</v>
      </c>
      <c r="C200" s="151"/>
      <c r="D200" s="92">
        <v>193</v>
      </c>
      <c r="E200" s="19" t="s">
        <v>914</v>
      </c>
      <c r="F200" s="92" t="s">
        <v>7</v>
      </c>
      <c r="G200" s="92">
        <v>0</v>
      </c>
      <c r="H200" s="92" t="s">
        <v>1</v>
      </c>
      <c r="I200" s="92" t="s">
        <v>2</v>
      </c>
      <c r="J200" s="19"/>
      <c r="K200" s="58">
        <v>14427</v>
      </c>
      <c r="L200" s="59">
        <f t="shared" si="16"/>
        <v>1939</v>
      </c>
      <c r="M200" s="59">
        <f t="shared" si="15"/>
        <v>80</v>
      </c>
      <c r="N200" s="92" t="s">
        <v>3</v>
      </c>
      <c r="O200" s="92"/>
      <c r="P200" s="19" t="s">
        <v>16</v>
      </c>
      <c r="Q200" s="92"/>
      <c r="R200" s="19" t="s">
        <v>16</v>
      </c>
    </row>
    <row r="201" spans="2:18" x14ac:dyDescent="0.25">
      <c r="B201" s="151"/>
      <c r="C201" s="151"/>
      <c r="D201" s="92">
        <v>194</v>
      </c>
      <c r="E201" s="19" t="s">
        <v>915</v>
      </c>
      <c r="F201" s="92" t="s">
        <v>12</v>
      </c>
      <c r="G201" s="92" t="s">
        <v>916</v>
      </c>
      <c r="H201" s="92" t="s">
        <v>10</v>
      </c>
      <c r="I201" s="92" t="s">
        <v>2</v>
      </c>
      <c r="J201" s="19"/>
      <c r="K201" s="58">
        <v>14793</v>
      </c>
      <c r="L201" s="59">
        <f t="shared" si="16"/>
        <v>1940</v>
      </c>
      <c r="M201" s="59">
        <f t="shared" si="15"/>
        <v>79</v>
      </c>
      <c r="N201" s="92" t="s">
        <v>3</v>
      </c>
      <c r="O201" s="92"/>
      <c r="P201" s="19" t="s">
        <v>16</v>
      </c>
      <c r="Q201" s="92"/>
      <c r="R201" s="19" t="s">
        <v>16</v>
      </c>
    </row>
    <row r="202" spans="2:18" ht="25.5" x14ac:dyDescent="0.25">
      <c r="B202" s="151">
        <v>57</v>
      </c>
      <c r="C202" s="151"/>
      <c r="D202" s="92">
        <v>195</v>
      </c>
      <c r="E202" s="19" t="s">
        <v>917</v>
      </c>
      <c r="F202" s="92" t="s">
        <v>7</v>
      </c>
      <c r="G202" s="92" t="s">
        <v>918</v>
      </c>
      <c r="H202" s="92" t="s">
        <v>1</v>
      </c>
      <c r="I202" s="92" t="s">
        <v>2</v>
      </c>
      <c r="J202" s="19"/>
      <c r="K202" s="58">
        <v>31414</v>
      </c>
      <c r="L202" s="59">
        <f t="shared" si="16"/>
        <v>1986</v>
      </c>
      <c r="M202" s="59">
        <f t="shared" si="15"/>
        <v>33</v>
      </c>
      <c r="N202" s="92" t="s">
        <v>3</v>
      </c>
      <c r="O202" s="92"/>
      <c r="P202" s="19" t="s">
        <v>4</v>
      </c>
      <c r="Q202" s="92"/>
      <c r="R202" s="19" t="s">
        <v>614</v>
      </c>
    </row>
    <row r="203" spans="2:18" x14ac:dyDescent="0.25">
      <c r="B203" s="151"/>
      <c r="C203" s="151"/>
      <c r="D203" s="92">
        <v>196</v>
      </c>
      <c r="E203" s="19" t="s">
        <v>919</v>
      </c>
      <c r="F203" s="92" t="s">
        <v>12</v>
      </c>
      <c r="G203" s="92" t="s">
        <v>920</v>
      </c>
      <c r="H203" s="92" t="s">
        <v>10</v>
      </c>
      <c r="I203" s="92" t="s">
        <v>2</v>
      </c>
      <c r="J203" s="19"/>
      <c r="K203" s="58">
        <v>31777</v>
      </c>
      <c r="L203" s="59">
        <f t="shared" si="16"/>
        <v>1986</v>
      </c>
      <c r="M203" s="59">
        <f t="shared" si="15"/>
        <v>33</v>
      </c>
      <c r="N203" s="92" t="s">
        <v>3</v>
      </c>
      <c r="O203" s="92"/>
      <c r="P203" s="19" t="s">
        <v>4</v>
      </c>
      <c r="Q203" s="92"/>
      <c r="R203" s="19" t="s">
        <v>614</v>
      </c>
    </row>
    <row r="204" spans="2:18" ht="25.5" x14ac:dyDescent="0.25">
      <c r="B204" s="151"/>
      <c r="C204" s="151"/>
      <c r="D204" s="92">
        <v>197</v>
      </c>
      <c r="E204" s="19" t="s">
        <v>921</v>
      </c>
      <c r="F204" s="92" t="s">
        <v>18</v>
      </c>
      <c r="G204" s="92" t="s">
        <v>922</v>
      </c>
      <c r="H204" s="92" t="s">
        <v>10</v>
      </c>
      <c r="I204" s="92" t="s">
        <v>15</v>
      </c>
      <c r="J204" s="19"/>
      <c r="K204" s="58">
        <v>41338</v>
      </c>
      <c r="L204" s="59">
        <f t="shared" si="16"/>
        <v>2013</v>
      </c>
      <c r="M204" s="59">
        <f t="shared" si="15"/>
        <v>6</v>
      </c>
      <c r="N204" s="92" t="s">
        <v>3</v>
      </c>
      <c r="O204" s="92"/>
      <c r="P204" s="19" t="s">
        <v>16</v>
      </c>
      <c r="Q204" s="92"/>
      <c r="R204" s="19" t="s">
        <v>16</v>
      </c>
    </row>
    <row r="205" spans="2:18" ht="25.5" x14ac:dyDescent="0.25">
      <c r="B205" s="152">
        <v>58</v>
      </c>
      <c r="C205" s="151" t="s">
        <v>1713</v>
      </c>
      <c r="D205" s="92">
        <v>198</v>
      </c>
      <c r="E205" s="19" t="s">
        <v>1714</v>
      </c>
      <c r="F205" s="92" t="s">
        <v>7</v>
      </c>
      <c r="G205" s="92" t="s">
        <v>171</v>
      </c>
      <c r="H205" s="92" t="s">
        <v>1</v>
      </c>
      <c r="I205" s="92" t="s">
        <v>2</v>
      </c>
      <c r="J205" s="19" t="s">
        <v>1631</v>
      </c>
      <c r="K205" s="58">
        <v>27975</v>
      </c>
      <c r="L205" s="59">
        <v>1976</v>
      </c>
      <c r="M205" s="59">
        <f t="shared" si="15"/>
        <v>43</v>
      </c>
      <c r="N205" s="92" t="s">
        <v>101</v>
      </c>
      <c r="O205" s="92" t="s">
        <v>1723</v>
      </c>
      <c r="P205" s="19" t="s">
        <v>1641</v>
      </c>
      <c r="Q205" s="92"/>
      <c r="R205" s="19" t="s">
        <v>39</v>
      </c>
    </row>
    <row r="206" spans="2:18" ht="25.5" x14ac:dyDescent="0.25">
      <c r="B206" s="153"/>
      <c r="C206" s="151"/>
      <c r="D206" s="92">
        <v>199</v>
      </c>
      <c r="E206" s="19" t="s">
        <v>1715</v>
      </c>
      <c r="F206" s="92" t="s">
        <v>12</v>
      </c>
      <c r="G206" s="92" t="s">
        <v>173</v>
      </c>
      <c r="H206" s="92" t="s">
        <v>10</v>
      </c>
      <c r="I206" s="92" t="s">
        <v>2</v>
      </c>
      <c r="J206" s="19" t="s">
        <v>1631</v>
      </c>
      <c r="K206" s="58">
        <v>29812</v>
      </c>
      <c r="L206" s="59">
        <v>1981</v>
      </c>
      <c r="M206" s="59">
        <f t="shared" si="15"/>
        <v>38</v>
      </c>
      <c r="N206" s="92" t="s">
        <v>3</v>
      </c>
      <c r="O206" s="92" t="s">
        <v>1723</v>
      </c>
      <c r="P206" s="19" t="s">
        <v>1677</v>
      </c>
      <c r="Q206" s="92"/>
      <c r="R206" s="19" t="s">
        <v>39</v>
      </c>
    </row>
    <row r="207" spans="2:18" ht="25.5" x14ac:dyDescent="0.25">
      <c r="B207" s="153"/>
      <c r="C207" s="151"/>
      <c r="D207" s="92">
        <v>200</v>
      </c>
      <c r="E207" s="19" t="s">
        <v>1716</v>
      </c>
      <c r="F207" s="92" t="s">
        <v>18</v>
      </c>
      <c r="G207" s="92" t="s">
        <v>175</v>
      </c>
      <c r="H207" s="92" t="s">
        <v>1</v>
      </c>
      <c r="I207" s="92" t="s">
        <v>15</v>
      </c>
      <c r="J207" s="19" t="s">
        <v>1717</v>
      </c>
      <c r="K207" s="58">
        <v>40889</v>
      </c>
      <c r="L207" s="59">
        <v>2011</v>
      </c>
      <c r="M207" s="59">
        <f t="shared" si="15"/>
        <v>8</v>
      </c>
      <c r="N207" s="92" t="s">
        <v>101</v>
      </c>
      <c r="O207" s="92" t="s">
        <v>1723</v>
      </c>
      <c r="P207" s="19" t="s">
        <v>1680</v>
      </c>
      <c r="Q207" s="92"/>
      <c r="R207" s="19" t="s">
        <v>1674</v>
      </c>
    </row>
    <row r="208" spans="2:18" ht="25.5" x14ac:dyDescent="0.25">
      <c r="B208" s="154"/>
      <c r="C208" s="151"/>
      <c r="D208" s="92">
        <v>201</v>
      </c>
      <c r="E208" s="19" t="s">
        <v>176</v>
      </c>
      <c r="F208" s="92" t="s">
        <v>18</v>
      </c>
      <c r="G208" s="92" t="s">
        <v>177</v>
      </c>
      <c r="H208" s="92" t="s">
        <v>10</v>
      </c>
      <c r="I208" s="92" t="s">
        <v>15</v>
      </c>
      <c r="J208" s="19" t="s">
        <v>1631</v>
      </c>
      <c r="K208" s="58">
        <v>41910</v>
      </c>
      <c r="L208" s="59">
        <v>2014</v>
      </c>
      <c r="M208" s="59">
        <f t="shared" si="15"/>
        <v>5</v>
      </c>
      <c r="N208" s="92" t="s">
        <v>3</v>
      </c>
      <c r="O208" s="92" t="s">
        <v>1723</v>
      </c>
      <c r="P208" s="19" t="s">
        <v>1680</v>
      </c>
      <c r="Q208" s="92"/>
      <c r="R208" s="19" t="s">
        <v>1674</v>
      </c>
    </row>
    <row r="209" spans="2:19" ht="25.5" x14ac:dyDescent="0.25">
      <c r="B209" s="151">
        <v>59</v>
      </c>
      <c r="C209" s="151" t="s">
        <v>2105</v>
      </c>
      <c r="D209" s="92">
        <v>202</v>
      </c>
      <c r="E209" s="19" t="s">
        <v>693</v>
      </c>
      <c r="F209" s="92" t="s">
        <v>7</v>
      </c>
      <c r="G209" s="92" t="s">
        <v>694</v>
      </c>
      <c r="H209" s="92" t="s">
        <v>1</v>
      </c>
      <c r="I209" s="92" t="s">
        <v>2</v>
      </c>
      <c r="J209" s="19" t="s">
        <v>1631</v>
      </c>
      <c r="K209" s="58">
        <v>33914</v>
      </c>
      <c r="L209" s="59">
        <v>1992</v>
      </c>
      <c r="M209" s="59">
        <f t="shared" si="15"/>
        <v>27</v>
      </c>
      <c r="N209" s="92" t="s">
        <v>3</v>
      </c>
      <c r="O209" s="92" t="s">
        <v>1723</v>
      </c>
      <c r="P209" s="19" t="s">
        <v>1677</v>
      </c>
      <c r="Q209" s="92"/>
      <c r="R209" s="19" t="s">
        <v>39</v>
      </c>
    </row>
    <row r="210" spans="2:19" ht="25.5" x14ac:dyDescent="0.25">
      <c r="B210" s="151"/>
      <c r="C210" s="151"/>
      <c r="D210" s="92">
        <v>203</v>
      </c>
      <c r="E210" s="19" t="s">
        <v>2106</v>
      </c>
      <c r="F210" s="92" t="s">
        <v>12</v>
      </c>
      <c r="G210" s="92" t="s">
        <v>2108</v>
      </c>
      <c r="H210" s="92" t="s">
        <v>10</v>
      </c>
      <c r="I210" s="92" t="s">
        <v>2</v>
      </c>
      <c r="J210" s="19" t="s">
        <v>1631</v>
      </c>
      <c r="K210" s="58">
        <v>35786</v>
      </c>
      <c r="L210" s="59">
        <v>1997</v>
      </c>
      <c r="M210" s="59">
        <f t="shared" si="15"/>
        <v>22</v>
      </c>
      <c r="N210" s="92" t="s">
        <v>3</v>
      </c>
      <c r="O210" s="92" t="s">
        <v>1723</v>
      </c>
      <c r="P210" s="19" t="s">
        <v>1677</v>
      </c>
      <c r="Q210" s="92"/>
      <c r="R210" s="19" t="s">
        <v>1764</v>
      </c>
    </row>
    <row r="211" spans="2:19" ht="25.5" x14ac:dyDescent="0.25">
      <c r="B211" s="151"/>
      <c r="C211" s="151"/>
      <c r="D211" s="92">
        <v>204</v>
      </c>
      <c r="E211" s="19" t="s">
        <v>2107</v>
      </c>
      <c r="F211" s="92" t="s">
        <v>18</v>
      </c>
      <c r="G211" s="92" t="s">
        <v>2109</v>
      </c>
      <c r="H211" s="92" t="s">
        <v>10</v>
      </c>
      <c r="I211" s="92" t="s">
        <v>15</v>
      </c>
      <c r="J211" s="19" t="s">
        <v>1898</v>
      </c>
      <c r="K211" s="58">
        <v>42887</v>
      </c>
      <c r="L211" s="59">
        <v>2017</v>
      </c>
      <c r="M211" s="59">
        <f t="shared" si="15"/>
        <v>2</v>
      </c>
      <c r="N211" s="92" t="s">
        <v>3</v>
      </c>
      <c r="O211" s="92" t="s">
        <v>1723</v>
      </c>
      <c r="P211" s="19" t="s">
        <v>1733</v>
      </c>
      <c r="Q211" s="92"/>
      <c r="R211" s="19" t="s">
        <v>2026</v>
      </c>
    </row>
    <row r="212" spans="2:19" ht="25.5" x14ac:dyDescent="0.25">
      <c r="B212" s="151">
        <v>60</v>
      </c>
      <c r="C212" s="151" t="s">
        <v>2132</v>
      </c>
      <c r="D212" s="92">
        <v>205</v>
      </c>
      <c r="E212" s="19" t="s">
        <v>2133</v>
      </c>
      <c r="F212" s="92" t="s">
        <v>7</v>
      </c>
      <c r="G212" s="92" t="s">
        <v>2137</v>
      </c>
      <c r="H212" s="92" t="s">
        <v>1</v>
      </c>
      <c r="I212" s="92" t="s">
        <v>2</v>
      </c>
      <c r="J212" s="19" t="s">
        <v>1623</v>
      </c>
      <c r="K212" s="58">
        <v>30739</v>
      </c>
      <c r="L212" s="59">
        <v>1984</v>
      </c>
      <c r="M212" s="59">
        <f t="shared" si="15"/>
        <v>35</v>
      </c>
      <c r="N212" s="92" t="s">
        <v>3</v>
      </c>
      <c r="O212" s="92" t="s">
        <v>1723</v>
      </c>
      <c r="P212" s="19" t="s">
        <v>1968</v>
      </c>
      <c r="Q212" s="92"/>
      <c r="R212" s="19" t="s">
        <v>39</v>
      </c>
      <c r="S212" s="92"/>
    </row>
    <row r="213" spans="2:19" ht="25.5" x14ac:dyDescent="0.25">
      <c r="B213" s="151"/>
      <c r="C213" s="151"/>
      <c r="D213" s="92">
        <v>206</v>
      </c>
      <c r="E213" s="19" t="s">
        <v>2134</v>
      </c>
      <c r="F213" s="92" t="s">
        <v>12</v>
      </c>
      <c r="G213" s="92" t="s">
        <v>2138</v>
      </c>
      <c r="H213" s="92" t="s">
        <v>10</v>
      </c>
      <c r="I213" s="92" t="s">
        <v>2</v>
      </c>
      <c r="J213" s="19" t="s">
        <v>1623</v>
      </c>
      <c r="K213" s="58">
        <v>31856</v>
      </c>
      <c r="L213" s="59">
        <v>1987</v>
      </c>
      <c r="M213" s="59">
        <f t="shared" si="15"/>
        <v>32</v>
      </c>
      <c r="N213" s="92" t="s">
        <v>3</v>
      </c>
      <c r="O213" s="92" t="s">
        <v>1723</v>
      </c>
      <c r="P213" s="19" t="s">
        <v>2142</v>
      </c>
      <c r="Q213" s="92"/>
      <c r="R213" s="19" t="s">
        <v>1764</v>
      </c>
      <c r="S213" s="92"/>
    </row>
    <row r="214" spans="2:19" ht="25.5" x14ac:dyDescent="0.25">
      <c r="B214" s="151"/>
      <c r="C214" s="151"/>
      <c r="D214" s="92">
        <v>207</v>
      </c>
      <c r="E214" s="19" t="s">
        <v>2135</v>
      </c>
      <c r="F214" s="92" t="s">
        <v>18</v>
      </c>
      <c r="G214" s="92" t="s">
        <v>2139</v>
      </c>
      <c r="H214" s="92" t="s">
        <v>1</v>
      </c>
      <c r="I214" s="92" t="s">
        <v>15</v>
      </c>
      <c r="J214" s="19" t="s">
        <v>2141</v>
      </c>
      <c r="K214" s="58">
        <v>40974</v>
      </c>
      <c r="L214" s="59">
        <v>2012</v>
      </c>
      <c r="M214" s="59">
        <f t="shared" si="15"/>
        <v>7</v>
      </c>
      <c r="N214" s="92" t="s">
        <v>3</v>
      </c>
      <c r="O214" s="92" t="s">
        <v>1723</v>
      </c>
      <c r="P214" s="19" t="s">
        <v>1733</v>
      </c>
      <c r="Q214" s="92"/>
      <c r="R214" s="19" t="s">
        <v>1638</v>
      </c>
      <c r="S214" s="92"/>
    </row>
    <row r="215" spans="2:19" ht="25.5" x14ac:dyDescent="0.25">
      <c r="B215" s="151"/>
      <c r="C215" s="151"/>
      <c r="D215" s="92">
        <v>208</v>
      </c>
      <c r="E215" s="19" t="s">
        <v>2136</v>
      </c>
      <c r="F215" s="92" t="s">
        <v>18</v>
      </c>
      <c r="G215" s="92" t="s">
        <v>2140</v>
      </c>
      <c r="H215" s="92" t="s">
        <v>1</v>
      </c>
      <c r="I215" s="92" t="s">
        <v>15</v>
      </c>
      <c r="J215" s="19" t="s">
        <v>2116</v>
      </c>
      <c r="K215" s="58">
        <v>41646</v>
      </c>
      <c r="L215" s="59">
        <v>2014</v>
      </c>
      <c r="M215" s="59">
        <f t="shared" si="15"/>
        <v>5</v>
      </c>
      <c r="N215" s="92" t="s">
        <v>3</v>
      </c>
      <c r="O215" s="92" t="s">
        <v>1723</v>
      </c>
      <c r="P215" s="19" t="s">
        <v>1733</v>
      </c>
      <c r="Q215" s="92"/>
      <c r="R215" s="19" t="s">
        <v>1638</v>
      </c>
      <c r="S215" s="92"/>
    </row>
    <row r="216" spans="2:19" ht="25.5" x14ac:dyDescent="0.25">
      <c r="B216" s="151">
        <v>61</v>
      </c>
      <c r="C216" s="151" t="s">
        <v>2468</v>
      </c>
      <c r="D216" s="92">
        <v>209</v>
      </c>
      <c r="E216" s="19" t="s">
        <v>545</v>
      </c>
      <c r="F216" s="92" t="s">
        <v>7</v>
      </c>
      <c r="G216" s="92" t="s">
        <v>546</v>
      </c>
      <c r="H216" s="92" t="s">
        <v>1</v>
      </c>
      <c r="I216" s="92" t="s">
        <v>2465</v>
      </c>
      <c r="J216" s="19" t="s">
        <v>1631</v>
      </c>
      <c r="K216" s="58">
        <v>26998</v>
      </c>
      <c r="L216" s="59">
        <v>1973</v>
      </c>
      <c r="M216" s="59">
        <f t="shared" si="15"/>
        <v>46</v>
      </c>
      <c r="N216" s="92" t="s">
        <v>3</v>
      </c>
      <c r="O216" s="92" t="s">
        <v>1632</v>
      </c>
      <c r="P216" s="19" t="s">
        <v>1677</v>
      </c>
      <c r="Q216" s="92"/>
      <c r="R216" s="19" t="s">
        <v>39</v>
      </c>
      <c r="S216" s="92"/>
    </row>
    <row r="217" spans="2:19" ht="25.5" x14ac:dyDescent="0.25">
      <c r="B217" s="151"/>
      <c r="C217" s="151"/>
      <c r="D217" s="92">
        <v>210</v>
      </c>
      <c r="E217" s="19" t="s">
        <v>2469</v>
      </c>
      <c r="F217" s="92" t="s">
        <v>12</v>
      </c>
      <c r="G217" s="92" t="s">
        <v>2471</v>
      </c>
      <c r="H217" s="92" t="s">
        <v>10</v>
      </c>
      <c r="I217" s="92" t="s">
        <v>2465</v>
      </c>
      <c r="J217" s="19" t="s">
        <v>2472</v>
      </c>
      <c r="K217" s="58">
        <v>28964</v>
      </c>
      <c r="L217" s="59">
        <v>1979</v>
      </c>
      <c r="M217" s="59">
        <f t="shared" si="15"/>
        <v>40</v>
      </c>
      <c r="N217" s="92" t="s">
        <v>3</v>
      </c>
      <c r="O217" s="92" t="s">
        <v>1632</v>
      </c>
      <c r="P217" s="19" t="s">
        <v>1641</v>
      </c>
      <c r="Q217" s="92"/>
      <c r="R217" s="19" t="s">
        <v>1764</v>
      </c>
      <c r="S217" s="92"/>
    </row>
    <row r="218" spans="2:19" ht="25.5" x14ac:dyDescent="0.25">
      <c r="B218" s="151"/>
      <c r="C218" s="151"/>
      <c r="D218" s="92">
        <v>211</v>
      </c>
      <c r="E218" s="19" t="s">
        <v>549</v>
      </c>
      <c r="F218" s="92" t="s">
        <v>18</v>
      </c>
      <c r="G218" s="92" t="s">
        <v>550</v>
      </c>
      <c r="H218" s="92" t="s">
        <v>1</v>
      </c>
      <c r="I218" s="92" t="s">
        <v>15</v>
      </c>
      <c r="J218" s="19" t="s">
        <v>1623</v>
      </c>
      <c r="K218" s="58">
        <v>35716</v>
      </c>
      <c r="L218" s="59">
        <v>1997</v>
      </c>
      <c r="M218" s="59">
        <f t="shared" si="15"/>
        <v>22</v>
      </c>
      <c r="N218" s="92" t="s">
        <v>3</v>
      </c>
      <c r="O218" s="92" t="s">
        <v>1632</v>
      </c>
      <c r="P218" s="19" t="s">
        <v>1677</v>
      </c>
      <c r="Q218" s="92"/>
      <c r="R218" s="19" t="s">
        <v>1625</v>
      </c>
      <c r="S218" s="92"/>
    </row>
    <row r="219" spans="2:19" ht="25.5" x14ac:dyDescent="0.25">
      <c r="B219" s="151"/>
      <c r="C219" s="151"/>
      <c r="D219" s="92">
        <v>212</v>
      </c>
      <c r="E219" s="19" t="s">
        <v>551</v>
      </c>
      <c r="F219" s="92" t="s">
        <v>18</v>
      </c>
      <c r="G219" s="92" t="s">
        <v>552</v>
      </c>
      <c r="H219" s="92" t="s">
        <v>10</v>
      </c>
      <c r="I219" s="92" t="s">
        <v>15</v>
      </c>
      <c r="J219" s="19" t="s">
        <v>1631</v>
      </c>
      <c r="K219" s="58">
        <v>38268</v>
      </c>
      <c r="L219" s="59">
        <v>2004</v>
      </c>
      <c r="M219" s="59">
        <f t="shared" si="15"/>
        <v>15</v>
      </c>
      <c r="N219" s="92" t="s">
        <v>3</v>
      </c>
      <c r="O219" s="92" t="s">
        <v>1632</v>
      </c>
      <c r="P219" s="19" t="s">
        <v>1641</v>
      </c>
      <c r="Q219" s="92"/>
      <c r="R219" s="19" t="s">
        <v>1625</v>
      </c>
      <c r="S219" s="92"/>
    </row>
    <row r="220" spans="2:19" ht="25.5" x14ac:dyDescent="0.25">
      <c r="B220" s="151"/>
      <c r="C220" s="151"/>
      <c r="D220" s="92">
        <v>213</v>
      </c>
      <c r="E220" s="19" t="s">
        <v>2470</v>
      </c>
      <c r="F220" s="92" t="s">
        <v>18</v>
      </c>
      <c r="G220" s="92" t="s">
        <v>554</v>
      </c>
      <c r="H220" s="92" t="s">
        <v>10</v>
      </c>
      <c r="I220" s="92" t="s">
        <v>15</v>
      </c>
      <c r="J220" s="19" t="s">
        <v>1631</v>
      </c>
      <c r="K220" s="58">
        <v>41382</v>
      </c>
      <c r="L220" s="59">
        <v>2013</v>
      </c>
      <c r="M220" s="59">
        <f t="shared" si="15"/>
        <v>6</v>
      </c>
      <c r="N220" s="92" t="s">
        <v>3</v>
      </c>
      <c r="O220" s="92" t="s">
        <v>1632</v>
      </c>
      <c r="P220" s="19" t="s">
        <v>1733</v>
      </c>
      <c r="Q220" s="92"/>
      <c r="R220" s="19" t="s">
        <v>1638</v>
      </c>
    </row>
    <row r="221" spans="2:19" x14ac:dyDescent="0.25">
      <c r="B221" s="151">
        <v>62</v>
      </c>
      <c r="C221" s="151" t="s">
        <v>2473</v>
      </c>
      <c r="D221" s="92">
        <v>214</v>
      </c>
      <c r="E221" s="19" t="s">
        <v>501</v>
      </c>
      <c r="F221" s="92" t="s">
        <v>7</v>
      </c>
      <c r="G221" s="92" t="s">
        <v>1993</v>
      </c>
      <c r="H221" s="92" t="s">
        <v>1</v>
      </c>
      <c r="I221" s="92" t="s">
        <v>2</v>
      </c>
      <c r="J221" s="19" t="s">
        <v>1994</v>
      </c>
      <c r="K221" s="58">
        <v>33100</v>
      </c>
      <c r="L221" s="59">
        <v>1990</v>
      </c>
      <c r="M221" s="59">
        <f t="shared" si="15"/>
        <v>29</v>
      </c>
      <c r="N221" s="92" t="s">
        <v>3</v>
      </c>
      <c r="O221" s="92" t="s">
        <v>1632</v>
      </c>
      <c r="P221" s="19" t="s">
        <v>1677</v>
      </c>
      <c r="Q221" s="92"/>
      <c r="R221" s="19" t="s">
        <v>39</v>
      </c>
    </row>
    <row r="222" spans="2:19" ht="25.5" x14ac:dyDescent="0.25">
      <c r="B222" s="151"/>
      <c r="C222" s="151"/>
      <c r="D222" s="92">
        <v>215</v>
      </c>
      <c r="E222" s="19" t="s">
        <v>2474</v>
      </c>
      <c r="F222" s="92" t="s">
        <v>12</v>
      </c>
      <c r="G222" s="92" t="s">
        <v>2476</v>
      </c>
      <c r="H222" s="92" t="s">
        <v>10</v>
      </c>
      <c r="I222" s="92" t="s">
        <v>2</v>
      </c>
      <c r="J222" s="19" t="s">
        <v>2478</v>
      </c>
      <c r="K222" s="58">
        <v>34408</v>
      </c>
      <c r="L222" s="59">
        <v>1994</v>
      </c>
      <c r="M222" s="59">
        <f t="shared" si="15"/>
        <v>25</v>
      </c>
      <c r="N222" s="92" t="s">
        <v>3</v>
      </c>
      <c r="O222" s="92" t="s">
        <v>1632</v>
      </c>
      <c r="P222" s="19" t="s">
        <v>1677</v>
      </c>
      <c r="Q222" s="92"/>
      <c r="R222" s="19" t="s">
        <v>1764</v>
      </c>
    </row>
    <row r="223" spans="2:19" ht="25.5" x14ac:dyDescent="0.25">
      <c r="B223" s="151"/>
      <c r="C223" s="151"/>
      <c r="D223" s="92">
        <v>216</v>
      </c>
      <c r="E223" s="19" t="s">
        <v>2475</v>
      </c>
      <c r="F223" s="92" t="s">
        <v>18</v>
      </c>
      <c r="G223" s="92" t="s">
        <v>2477</v>
      </c>
      <c r="H223" s="92" t="s">
        <v>10</v>
      </c>
      <c r="I223" s="92" t="s">
        <v>15</v>
      </c>
      <c r="J223" s="19" t="s">
        <v>1623</v>
      </c>
      <c r="K223" s="58">
        <v>43128</v>
      </c>
      <c r="L223" s="59">
        <v>2018</v>
      </c>
      <c r="M223" s="59">
        <f t="shared" si="15"/>
        <v>1</v>
      </c>
      <c r="N223" s="92" t="s">
        <v>3</v>
      </c>
      <c r="O223" s="92" t="s">
        <v>1632</v>
      </c>
      <c r="P223" s="19" t="s">
        <v>1733</v>
      </c>
      <c r="Q223" s="92"/>
      <c r="R223" s="19" t="s">
        <v>1638</v>
      </c>
    </row>
    <row r="227" spans="4:18" s="57" customFormat="1" ht="15" x14ac:dyDescent="0.25">
      <c r="D227" s="166" t="s">
        <v>2509</v>
      </c>
      <c r="E227" s="166"/>
      <c r="F227" s="166"/>
      <c r="L227" s="120"/>
      <c r="P227" s="121"/>
      <c r="R227" s="121"/>
    </row>
    <row r="228" spans="4:18" s="57" customFormat="1" ht="15" x14ac:dyDescent="0.25">
      <c r="D228" s="166" t="s">
        <v>2510</v>
      </c>
      <c r="E228" s="166"/>
      <c r="F228" s="166"/>
      <c r="L228" s="120"/>
      <c r="P228" s="146" t="s">
        <v>2511</v>
      </c>
      <c r="Q228" s="146"/>
      <c r="R228" s="121"/>
    </row>
    <row r="229" spans="4:18" s="57" customFormat="1" ht="15" x14ac:dyDescent="0.25">
      <c r="D229" s="122"/>
      <c r="E229" s="123"/>
      <c r="F229" s="122"/>
      <c r="L229" s="120"/>
      <c r="P229" s="64"/>
      <c r="Q229" s="65"/>
      <c r="R229" s="121"/>
    </row>
    <row r="230" spans="4:18" s="57" customFormat="1" ht="15" x14ac:dyDescent="0.25">
      <c r="D230" s="122"/>
      <c r="E230" s="123"/>
      <c r="F230" s="122"/>
      <c r="L230" s="120"/>
      <c r="P230" s="64"/>
      <c r="Q230" s="65"/>
      <c r="R230" s="121"/>
    </row>
    <row r="231" spans="4:18" s="57" customFormat="1" ht="14.25" x14ac:dyDescent="0.2">
      <c r="D231" s="167" t="s">
        <v>2512</v>
      </c>
      <c r="E231" s="167"/>
      <c r="F231" s="167"/>
      <c r="L231" s="120"/>
      <c r="P231" s="145" t="s">
        <v>946</v>
      </c>
      <c r="Q231" s="145"/>
      <c r="R231" s="121"/>
    </row>
    <row r="232" spans="4:18" s="57" customFormat="1" ht="14.25" x14ac:dyDescent="0.2">
      <c r="D232" s="167" t="s">
        <v>2513</v>
      </c>
      <c r="E232" s="167"/>
      <c r="F232" s="167"/>
      <c r="L232" s="120"/>
      <c r="P232" s="121"/>
      <c r="R232" s="121"/>
    </row>
  </sheetData>
  <autoFilter ref="B7:R223"/>
  <mergeCells count="131">
    <mergeCell ref="D227:F227"/>
    <mergeCell ref="D228:F228"/>
    <mergeCell ref="P228:Q228"/>
    <mergeCell ref="D231:F231"/>
    <mergeCell ref="P231:Q231"/>
    <mergeCell ref="D232:F232"/>
    <mergeCell ref="C103:C105"/>
    <mergeCell ref="C106:C108"/>
    <mergeCell ref="C114:C116"/>
    <mergeCell ref="C117:C118"/>
    <mergeCell ref="C129:C132"/>
    <mergeCell ref="C155:C159"/>
    <mergeCell ref="C71:C74"/>
    <mergeCell ref="C75:C80"/>
    <mergeCell ref="C82:C87"/>
    <mergeCell ref="C90:C91"/>
    <mergeCell ref="C96:C97"/>
    <mergeCell ref="C42:C45"/>
    <mergeCell ref="C47:C49"/>
    <mergeCell ref="C50:C51"/>
    <mergeCell ref="C52:C56"/>
    <mergeCell ref="C67:C70"/>
    <mergeCell ref="B1:R1"/>
    <mergeCell ref="B2:R2"/>
    <mergeCell ref="C8:C10"/>
    <mergeCell ref="C15:C19"/>
    <mergeCell ref="C20:C26"/>
    <mergeCell ref="B5:B6"/>
    <mergeCell ref="B8:B10"/>
    <mergeCell ref="G5:G6"/>
    <mergeCell ref="C5:C6"/>
    <mergeCell ref="J5:L5"/>
    <mergeCell ref="N5:N6"/>
    <mergeCell ref="P5:P6"/>
    <mergeCell ref="R5:R6"/>
    <mergeCell ref="M5:M6"/>
    <mergeCell ref="O5:O6"/>
    <mergeCell ref="Q5:Q6"/>
    <mergeCell ref="H5:H6"/>
    <mergeCell ref="I5:I6"/>
    <mergeCell ref="B212:B215"/>
    <mergeCell ref="F5:F6"/>
    <mergeCell ref="E5:E6"/>
    <mergeCell ref="B71:B74"/>
    <mergeCell ref="C93:C95"/>
    <mergeCell ref="C98:C102"/>
    <mergeCell ref="B75:B80"/>
    <mergeCell ref="B47:B49"/>
    <mergeCell ref="B50:B51"/>
    <mergeCell ref="B52:B56"/>
    <mergeCell ref="B57:B59"/>
    <mergeCell ref="B60:B63"/>
    <mergeCell ref="B35:B36"/>
    <mergeCell ref="C27:C29"/>
    <mergeCell ref="C31:C34"/>
    <mergeCell ref="C57:C59"/>
    <mergeCell ref="C60:C63"/>
    <mergeCell ref="B42:B45"/>
    <mergeCell ref="B64:B66"/>
    <mergeCell ref="B82:B87"/>
    <mergeCell ref="B90:B91"/>
    <mergeCell ref="B93:B95"/>
    <mergeCell ref="B106:B108"/>
    <mergeCell ref="B96:B97"/>
    <mergeCell ref="B216:B220"/>
    <mergeCell ref="B221:B223"/>
    <mergeCell ref="D5:D6"/>
    <mergeCell ref="C212:C215"/>
    <mergeCell ref="C216:C220"/>
    <mergeCell ref="C221:C223"/>
    <mergeCell ref="C119:C124"/>
    <mergeCell ref="C164:C165"/>
    <mergeCell ref="C125:C128"/>
    <mergeCell ref="C150:C154"/>
    <mergeCell ref="C177:C181"/>
    <mergeCell ref="C186:C189"/>
    <mergeCell ref="C190:C192"/>
    <mergeCell ref="B11:B14"/>
    <mergeCell ref="B15:B19"/>
    <mergeCell ref="C11:C14"/>
    <mergeCell ref="C37:C41"/>
    <mergeCell ref="B20:B26"/>
    <mergeCell ref="B67:B70"/>
    <mergeCell ref="B27:B29"/>
    <mergeCell ref="B31:B34"/>
    <mergeCell ref="B37:B41"/>
    <mergeCell ref="C64:C66"/>
    <mergeCell ref="C35:C36"/>
    <mergeCell ref="B98:B102"/>
    <mergeCell ref="B103:B105"/>
    <mergeCell ref="C109:C113"/>
    <mergeCell ref="B177:B181"/>
    <mergeCell ref="B186:B189"/>
    <mergeCell ref="B190:B192"/>
    <mergeCell ref="B173:B176"/>
    <mergeCell ref="B182:B185"/>
    <mergeCell ref="B150:B154"/>
    <mergeCell ref="B155:B159"/>
    <mergeCell ref="B161:B163"/>
    <mergeCell ref="B164:B165"/>
    <mergeCell ref="B166:B168"/>
    <mergeCell ref="B109:B113"/>
    <mergeCell ref="B114:B116"/>
    <mergeCell ref="B117:B118"/>
    <mergeCell ref="B119:B124"/>
    <mergeCell ref="B141:B143"/>
    <mergeCell ref="C141:C143"/>
    <mergeCell ref="C144:C149"/>
    <mergeCell ref="B169:B172"/>
    <mergeCell ref="B125:B128"/>
    <mergeCell ref="B129:B132"/>
    <mergeCell ref="B134:B140"/>
    <mergeCell ref="B144:B149"/>
    <mergeCell ref="C134:C140"/>
    <mergeCell ref="C161:C163"/>
    <mergeCell ref="C166:C168"/>
    <mergeCell ref="C169:C172"/>
    <mergeCell ref="C209:C211"/>
    <mergeCell ref="B209:B211"/>
    <mergeCell ref="B193:B196"/>
    <mergeCell ref="B197:B199"/>
    <mergeCell ref="B200:B201"/>
    <mergeCell ref="C205:C208"/>
    <mergeCell ref="B205:B208"/>
    <mergeCell ref="B202:B204"/>
    <mergeCell ref="C202:C204"/>
    <mergeCell ref="C173:C176"/>
    <mergeCell ref="C182:C185"/>
    <mergeCell ref="C193:C196"/>
    <mergeCell ref="C197:C199"/>
    <mergeCell ref="C200:C201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61"/>
  <sheetViews>
    <sheetView workbookViewId="0">
      <pane ySplit="6" topLeftCell="A55" activePane="bottomLeft" state="frozen"/>
      <selection pane="bottomLeft" activeCell="E61" sqref="E61"/>
    </sheetView>
  </sheetViews>
  <sheetFormatPr defaultRowHeight="12.75" x14ac:dyDescent="0.2"/>
  <cols>
    <col min="1" max="1" width="9.140625" style="53"/>
    <col min="2" max="2" width="3.42578125" style="53" bestFit="1" customWidth="1"/>
    <col min="3" max="3" width="15.28515625" style="53" customWidth="1"/>
    <col min="4" max="4" width="6.7109375" style="53" customWidth="1"/>
    <col min="5" max="5" width="12.7109375" style="100" customWidth="1"/>
    <col min="6" max="6" width="9.7109375" style="53" customWidth="1"/>
    <col min="7" max="7" width="15.28515625" style="53" customWidth="1"/>
    <col min="8" max="8" width="7.7109375" style="53" customWidth="1"/>
    <col min="9" max="9" width="10.7109375" style="53" customWidth="1"/>
    <col min="10" max="10" width="13.7109375" style="102" customWidth="1"/>
    <col min="11" max="11" width="15.140625" style="109" bestFit="1" customWidth="1"/>
    <col min="12" max="12" width="8.42578125" style="110" bestFit="1" customWidth="1"/>
    <col min="13" max="13" width="5" style="110" bestFit="1" customWidth="1"/>
    <col min="14" max="14" width="6.42578125" style="53" bestFit="1" customWidth="1"/>
    <col min="15" max="15" width="5.42578125" style="53" bestFit="1" customWidth="1"/>
    <col min="16" max="16" width="16.7109375" style="102" customWidth="1"/>
    <col min="17" max="17" width="7.5703125" style="53" bestFit="1" customWidth="1"/>
    <col min="18" max="18" width="15.7109375" style="102" customWidth="1"/>
    <col min="19" max="16384" width="9.140625" style="53"/>
  </cols>
  <sheetData>
    <row r="1" spans="2:18" s="63" customFormat="1" ht="15.75" x14ac:dyDescent="0.25">
      <c r="B1" s="164" t="s">
        <v>2500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2:18" s="63" customFormat="1" ht="15.75" x14ac:dyDescent="0.25">
      <c r="B2" s="164" t="s">
        <v>2501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</row>
    <row r="3" spans="2:18" s="63" customFormat="1" ht="15.75" x14ac:dyDescent="0.25">
      <c r="B3" s="115" t="s">
        <v>2503</v>
      </c>
      <c r="C3" s="94"/>
      <c r="D3" s="94"/>
      <c r="E3" s="94"/>
      <c r="F3" s="94"/>
      <c r="G3" s="94"/>
      <c r="H3" s="94"/>
      <c r="I3" s="94"/>
      <c r="J3" s="94"/>
      <c r="K3" s="94"/>
      <c r="L3" s="116"/>
      <c r="M3" s="116"/>
      <c r="N3" s="94"/>
      <c r="O3" s="94"/>
      <c r="P3" s="94"/>
      <c r="Q3" s="94"/>
      <c r="R3" s="94"/>
    </row>
    <row r="4" spans="2:18" ht="15.75" x14ac:dyDescent="0.2">
      <c r="B4" s="115" t="s">
        <v>2504</v>
      </c>
    </row>
    <row r="5" spans="2:18" ht="20.100000000000001" customHeight="1" x14ac:dyDescent="0.2">
      <c r="B5" s="160" t="s">
        <v>348</v>
      </c>
      <c r="C5" s="160" t="s">
        <v>1689</v>
      </c>
      <c r="D5" s="159" t="s">
        <v>1609</v>
      </c>
      <c r="E5" s="159" t="s">
        <v>2502</v>
      </c>
      <c r="F5" s="159" t="s">
        <v>356</v>
      </c>
      <c r="G5" s="161" t="s">
        <v>357</v>
      </c>
      <c r="H5" s="159" t="s">
        <v>350</v>
      </c>
      <c r="I5" s="159" t="s">
        <v>351</v>
      </c>
      <c r="J5" s="160" t="s">
        <v>1610</v>
      </c>
      <c r="K5" s="160"/>
      <c r="L5" s="160"/>
      <c r="M5" s="168" t="s">
        <v>1611</v>
      </c>
      <c r="N5" s="160" t="s">
        <v>353</v>
      </c>
      <c r="O5" s="160" t="s">
        <v>1612</v>
      </c>
      <c r="P5" s="159" t="s">
        <v>354</v>
      </c>
      <c r="Q5" s="160" t="s">
        <v>1613</v>
      </c>
      <c r="R5" s="159" t="s">
        <v>355</v>
      </c>
    </row>
    <row r="6" spans="2:18" ht="20.100000000000001" customHeight="1" x14ac:dyDescent="0.2">
      <c r="B6" s="160"/>
      <c r="C6" s="160"/>
      <c r="D6" s="159"/>
      <c r="E6" s="159"/>
      <c r="F6" s="159"/>
      <c r="G6" s="161"/>
      <c r="H6" s="159"/>
      <c r="I6" s="159"/>
      <c r="J6" s="103" t="s">
        <v>1615</v>
      </c>
      <c r="K6" s="104" t="s">
        <v>1616</v>
      </c>
      <c r="L6" s="117" t="s">
        <v>1617</v>
      </c>
      <c r="M6" s="168"/>
      <c r="N6" s="160"/>
      <c r="O6" s="160"/>
      <c r="P6" s="159"/>
      <c r="Q6" s="160"/>
      <c r="R6" s="159"/>
    </row>
    <row r="7" spans="2:18" x14ac:dyDescent="0.2">
      <c r="B7" s="106"/>
      <c r="C7" s="106"/>
      <c r="D7" s="106"/>
      <c r="E7" s="103"/>
      <c r="F7" s="106"/>
      <c r="G7" s="107"/>
      <c r="H7" s="106"/>
      <c r="I7" s="106"/>
      <c r="J7" s="103"/>
      <c r="K7" s="104"/>
      <c r="L7" s="117"/>
      <c r="M7" s="117"/>
      <c r="N7" s="106"/>
      <c r="O7" s="106"/>
      <c r="P7" s="103"/>
      <c r="Q7" s="106"/>
      <c r="R7" s="103"/>
    </row>
    <row r="8" spans="2:18" ht="25.5" x14ac:dyDescent="0.2">
      <c r="B8" s="151">
        <v>1</v>
      </c>
      <c r="C8" s="151"/>
      <c r="D8" s="92">
        <v>1</v>
      </c>
      <c r="E8" s="19" t="s">
        <v>358</v>
      </c>
      <c r="F8" s="92" t="s">
        <v>7</v>
      </c>
      <c r="G8" s="92" t="s">
        <v>359</v>
      </c>
      <c r="H8" s="92" t="s">
        <v>1</v>
      </c>
      <c r="I8" s="92" t="s">
        <v>2</v>
      </c>
      <c r="J8" s="19"/>
      <c r="K8" s="58">
        <v>26857</v>
      </c>
      <c r="L8" s="59">
        <f>YEAR(K8)</f>
        <v>1973</v>
      </c>
      <c r="M8" s="59">
        <f>2019-L8</f>
        <v>46</v>
      </c>
      <c r="N8" s="92" t="s">
        <v>3</v>
      </c>
      <c r="O8" s="92"/>
      <c r="P8" s="19" t="s">
        <v>35</v>
      </c>
      <c r="Q8" s="92"/>
      <c r="R8" s="19" t="s">
        <v>39</v>
      </c>
    </row>
    <row r="9" spans="2:18" ht="25.5" x14ac:dyDescent="0.2">
      <c r="B9" s="151"/>
      <c r="C9" s="151"/>
      <c r="D9" s="92">
        <v>2</v>
      </c>
      <c r="E9" s="19" t="s">
        <v>360</v>
      </c>
      <c r="F9" s="92" t="s">
        <v>12</v>
      </c>
      <c r="G9" s="92" t="s">
        <v>362</v>
      </c>
      <c r="H9" s="92" t="s">
        <v>10</v>
      </c>
      <c r="I9" s="92" t="s">
        <v>2</v>
      </c>
      <c r="J9" s="19"/>
      <c r="K9" s="58">
        <v>28885</v>
      </c>
      <c r="L9" s="59">
        <f>YEAR(K9)</f>
        <v>1979</v>
      </c>
      <c r="M9" s="59">
        <f t="shared" ref="M9:M33" si="0">2019-L9</f>
        <v>40</v>
      </c>
      <c r="N9" s="92" t="s">
        <v>3</v>
      </c>
      <c r="O9" s="92"/>
      <c r="P9" s="19" t="s">
        <v>27</v>
      </c>
      <c r="Q9" s="92"/>
      <c r="R9" s="19" t="s">
        <v>361</v>
      </c>
    </row>
    <row r="10" spans="2:18" ht="25.5" x14ac:dyDescent="0.2">
      <c r="B10" s="151"/>
      <c r="C10" s="151"/>
      <c r="D10" s="92">
        <v>3</v>
      </c>
      <c r="E10" s="19" t="s">
        <v>363</v>
      </c>
      <c r="F10" s="92" t="s">
        <v>18</v>
      </c>
      <c r="G10" s="92" t="s">
        <v>364</v>
      </c>
      <c r="H10" s="92" t="s">
        <v>10</v>
      </c>
      <c r="I10" s="92" t="s">
        <v>15</v>
      </c>
      <c r="J10" s="19"/>
      <c r="K10" s="58">
        <v>36086</v>
      </c>
      <c r="L10" s="59">
        <f t="shared" ref="L10:L33" si="1">YEAR(K10)</f>
        <v>1998</v>
      </c>
      <c r="M10" s="59">
        <f t="shared" si="0"/>
        <v>21</v>
      </c>
      <c r="N10" s="92" t="s">
        <v>3</v>
      </c>
      <c r="O10" s="92"/>
      <c r="P10" s="19" t="s">
        <v>35</v>
      </c>
      <c r="Q10" s="92"/>
      <c r="R10" s="19" t="s">
        <v>16</v>
      </c>
    </row>
    <row r="11" spans="2:18" ht="25.5" x14ac:dyDescent="0.2">
      <c r="B11" s="151"/>
      <c r="C11" s="151"/>
      <c r="D11" s="92">
        <v>4</v>
      </c>
      <c r="E11" s="19" t="s">
        <v>365</v>
      </c>
      <c r="F11" s="92" t="s">
        <v>18</v>
      </c>
      <c r="G11" s="92" t="s">
        <v>366</v>
      </c>
      <c r="H11" s="92" t="s">
        <v>10</v>
      </c>
      <c r="I11" s="92" t="s">
        <v>15</v>
      </c>
      <c r="J11" s="19"/>
      <c r="K11" s="58">
        <v>38037</v>
      </c>
      <c r="L11" s="59">
        <f t="shared" si="1"/>
        <v>2004</v>
      </c>
      <c r="M11" s="59">
        <f t="shared" si="0"/>
        <v>15</v>
      </c>
      <c r="N11" s="92" t="s">
        <v>3</v>
      </c>
      <c r="O11" s="92"/>
      <c r="P11" s="19" t="s">
        <v>46</v>
      </c>
      <c r="Q11" s="92"/>
      <c r="R11" s="19" t="s">
        <v>16</v>
      </c>
    </row>
    <row r="12" spans="2:18" ht="38.25" x14ac:dyDescent="0.2">
      <c r="B12" s="151"/>
      <c r="C12" s="151"/>
      <c r="D12" s="92">
        <v>5</v>
      </c>
      <c r="E12" s="19" t="s">
        <v>367</v>
      </c>
      <c r="F12" s="92" t="s">
        <v>18</v>
      </c>
      <c r="G12" s="92" t="s">
        <v>368</v>
      </c>
      <c r="H12" s="92" t="s">
        <v>10</v>
      </c>
      <c r="I12" s="92" t="s">
        <v>15</v>
      </c>
      <c r="J12" s="19"/>
      <c r="K12" s="58">
        <v>39805</v>
      </c>
      <c r="L12" s="59">
        <f t="shared" si="1"/>
        <v>2008</v>
      </c>
      <c r="M12" s="59">
        <f t="shared" si="0"/>
        <v>11</v>
      </c>
      <c r="N12" s="92" t="s">
        <v>3</v>
      </c>
      <c r="O12" s="92"/>
      <c r="P12" s="19" t="s">
        <v>16</v>
      </c>
      <c r="Q12" s="92"/>
      <c r="R12" s="19" t="s">
        <v>16</v>
      </c>
    </row>
    <row r="13" spans="2:18" ht="38.25" x14ac:dyDescent="0.2">
      <c r="B13" s="151"/>
      <c r="C13" s="151"/>
      <c r="D13" s="92">
        <v>6</v>
      </c>
      <c r="E13" s="19" t="s">
        <v>369</v>
      </c>
      <c r="F13" s="92" t="s">
        <v>18</v>
      </c>
      <c r="G13" s="92" t="s">
        <v>370</v>
      </c>
      <c r="H13" s="92" t="s">
        <v>1</v>
      </c>
      <c r="I13" s="92" t="s">
        <v>15</v>
      </c>
      <c r="J13" s="19"/>
      <c r="K13" s="58">
        <v>41016</v>
      </c>
      <c r="L13" s="59">
        <f t="shared" si="1"/>
        <v>2012</v>
      </c>
      <c r="M13" s="59">
        <f t="shared" si="0"/>
        <v>7</v>
      </c>
      <c r="N13" s="92" t="s">
        <v>3</v>
      </c>
      <c r="O13" s="92"/>
      <c r="P13" s="19" t="s">
        <v>16</v>
      </c>
      <c r="Q13" s="92"/>
      <c r="R13" s="19" t="s">
        <v>16</v>
      </c>
    </row>
    <row r="14" spans="2:18" x14ac:dyDescent="0.2">
      <c r="B14" s="151">
        <v>2</v>
      </c>
      <c r="C14" s="151"/>
      <c r="D14" s="92">
        <v>7</v>
      </c>
      <c r="E14" s="19" t="s">
        <v>371</v>
      </c>
      <c r="F14" s="92" t="s">
        <v>7</v>
      </c>
      <c r="G14" s="92" t="s">
        <v>372</v>
      </c>
      <c r="H14" s="92" t="s">
        <v>1</v>
      </c>
      <c r="I14" s="92" t="s">
        <v>2</v>
      </c>
      <c r="J14" s="19"/>
      <c r="K14" s="58">
        <v>22251</v>
      </c>
      <c r="L14" s="59">
        <f t="shared" si="1"/>
        <v>1960</v>
      </c>
      <c r="M14" s="59">
        <f t="shared" si="0"/>
        <v>59</v>
      </c>
      <c r="N14" s="92" t="s">
        <v>3</v>
      </c>
      <c r="O14" s="92"/>
      <c r="P14" s="19" t="s">
        <v>35</v>
      </c>
      <c r="Q14" s="92"/>
      <c r="R14" s="19" t="s">
        <v>37</v>
      </c>
    </row>
    <row r="15" spans="2:18" x14ac:dyDescent="0.2">
      <c r="B15" s="151"/>
      <c r="C15" s="151"/>
      <c r="D15" s="92">
        <v>8</v>
      </c>
      <c r="E15" s="19" t="s">
        <v>84</v>
      </c>
      <c r="F15" s="92" t="s">
        <v>12</v>
      </c>
      <c r="G15" s="92" t="s">
        <v>373</v>
      </c>
      <c r="H15" s="92" t="s">
        <v>10</v>
      </c>
      <c r="I15" s="92" t="s">
        <v>2</v>
      </c>
      <c r="J15" s="19"/>
      <c r="K15" s="58">
        <v>27211</v>
      </c>
      <c r="L15" s="59">
        <f t="shared" si="1"/>
        <v>1974</v>
      </c>
      <c r="M15" s="59">
        <f t="shared" si="0"/>
        <v>45</v>
      </c>
      <c r="N15" s="92" t="s">
        <v>3</v>
      </c>
      <c r="O15" s="92"/>
      <c r="P15" s="19" t="s">
        <v>46</v>
      </c>
      <c r="Q15" s="92"/>
      <c r="R15" s="19" t="s">
        <v>17</v>
      </c>
    </row>
    <row r="16" spans="2:18" x14ac:dyDescent="0.2">
      <c r="B16" s="151"/>
      <c r="C16" s="151"/>
      <c r="D16" s="92">
        <v>9</v>
      </c>
      <c r="E16" s="19" t="s">
        <v>374</v>
      </c>
      <c r="F16" s="92" t="s">
        <v>18</v>
      </c>
      <c r="G16" s="92" t="s">
        <v>375</v>
      </c>
      <c r="H16" s="92" t="s">
        <v>10</v>
      </c>
      <c r="I16" s="92" t="s">
        <v>15</v>
      </c>
      <c r="J16" s="19"/>
      <c r="K16" s="58">
        <v>30164</v>
      </c>
      <c r="L16" s="59">
        <f t="shared" si="1"/>
        <v>1982</v>
      </c>
      <c r="M16" s="59">
        <f t="shared" si="0"/>
        <v>37</v>
      </c>
      <c r="N16" s="92" t="s">
        <v>3</v>
      </c>
      <c r="O16" s="92"/>
      <c r="P16" s="19" t="s">
        <v>27</v>
      </c>
      <c r="Q16" s="92"/>
      <c r="R16" s="19" t="s">
        <v>39</v>
      </c>
    </row>
    <row r="17" spans="2:18" x14ac:dyDescent="0.2">
      <c r="B17" s="151"/>
      <c r="C17" s="151"/>
      <c r="D17" s="92">
        <v>10</v>
      </c>
      <c r="E17" s="19" t="s">
        <v>376</v>
      </c>
      <c r="F17" s="92" t="s">
        <v>18</v>
      </c>
      <c r="G17" s="92" t="s">
        <v>378</v>
      </c>
      <c r="H17" s="92" t="s">
        <v>1</v>
      </c>
      <c r="I17" s="92" t="s">
        <v>15</v>
      </c>
      <c r="J17" s="19"/>
      <c r="K17" s="58">
        <v>31990</v>
      </c>
      <c r="L17" s="59">
        <f t="shared" si="1"/>
        <v>1987</v>
      </c>
      <c r="M17" s="59">
        <f t="shared" si="0"/>
        <v>32</v>
      </c>
      <c r="N17" s="92" t="s">
        <v>3</v>
      </c>
      <c r="O17" s="92"/>
      <c r="P17" s="19" t="s">
        <v>377</v>
      </c>
      <c r="Q17" s="92"/>
      <c r="R17" s="19" t="s">
        <v>16</v>
      </c>
    </row>
    <row r="18" spans="2:18" x14ac:dyDescent="0.2">
      <c r="B18" s="151"/>
      <c r="C18" s="151"/>
      <c r="D18" s="92">
        <v>11</v>
      </c>
      <c r="E18" s="19" t="s">
        <v>379</v>
      </c>
      <c r="F18" s="92" t="s">
        <v>18</v>
      </c>
      <c r="G18" s="92" t="s">
        <v>380</v>
      </c>
      <c r="H18" s="92" t="s">
        <v>10</v>
      </c>
      <c r="I18" s="92" t="s">
        <v>15</v>
      </c>
      <c r="J18" s="19"/>
      <c r="K18" s="58">
        <v>35757</v>
      </c>
      <c r="L18" s="59">
        <f t="shared" si="1"/>
        <v>1997</v>
      </c>
      <c r="M18" s="59">
        <f t="shared" si="0"/>
        <v>22</v>
      </c>
      <c r="N18" s="92" t="s">
        <v>3</v>
      </c>
      <c r="O18" s="92"/>
      <c r="P18" s="19" t="s">
        <v>35</v>
      </c>
      <c r="Q18" s="92"/>
      <c r="R18" s="19" t="s">
        <v>16</v>
      </c>
    </row>
    <row r="19" spans="2:18" ht="25.5" x14ac:dyDescent="0.2">
      <c r="B19" s="151"/>
      <c r="C19" s="151"/>
      <c r="D19" s="92">
        <v>12</v>
      </c>
      <c r="E19" s="19" t="s">
        <v>381</v>
      </c>
      <c r="F19" s="92" t="s">
        <v>18</v>
      </c>
      <c r="G19" s="92" t="s">
        <v>382</v>
      </c>
      <c r="H19" s="92" t="s">
        <v>10</v>
      </c>
      <c r="I19" s="92" t="s">
        <v>15</v>
      </c>
      <c r="J19" s="19"/>
      <c r="K19" s="58">
        <v>36533</v>
      </c>
      <c r="L19" s="59">
        <f t="shared" si="1"/>
        <v>2000</v>
      </c>
      <c r="M19" s="59">
        <f t="shared" si="0"/>
        <v>19</v>
      </c>
      <c r="N19" s="92" t="s">
        <v>3</v>
      </c>
      <c r="O19" s="92"/>
      <c r="P19" s="19" t="s">
        <v>46</v>
      </c>
      <c r="Q19" s="92"/>
      <c r="R19" s="19" t="s">
        <v>16</v>
      </c>
    </row>
    <row r="20" spans="2:18" ht="25.5" x14ac:dyDescent="0.2">
      <c r="B20" s="151"/>
      <c r="C20" s="151"/>
      <c r="D20" s="92">
        <v>13</v>
      </c>
      <c r="E20" s="19" t="s">
        <v>383</v>
      </c>
      <c r="F20" s="92" t="s">
        <v>18</v>
      </c>
      <c r="G20" s="92" t="s">
        <v>384</v>
      </c>
      <c r="H20" s="92" t="s">
        <v>1</v>
      </c>
      <c r="I20" s="92" t="s">
        <v>15</v>
      </c>
      <c r="J20" s="19"/>
      <c r="K20" s="58">
        <v>40024</v>
      </c>
      <c r="L20" s="59">
        <f t="shared" si="1"/>
        <v>2009</v>
      </c>
      <c r="M20" s="59">
        <f t="shared" si="0"/>
        <v>10</v>
      </c>
      <c r="N20" s="92" t="s">
        <v>3</v>
      </c>
      <c r="O20" s="92"/>
      <c r="P20" s="19" t="s">
        <v>16</v>
      </c>
      <c r="Q20" s="92"/>
      <c r="R20" s="19" t="s">
        <v>16</v>
      </c>
    </row>
    <row r="21" spans="2:18" x14ac:dyDescent="0.2">
      <c r="B21" s="151">
        <v>3</v>
      </c>
      <c r="C21" s="151"/>
      <c r="D21" s="92">
        <v>14</v>
      </c>
      <c r="E21" s="19" t="s">
        <v>385</v>
      </c>
      <c r="F21" s="92" t="s">
        <v>7</v>
      </c>
      <c r="G21" s="92" t="s">
        <v>386</v>
      </c>
      <c r="H21" s="92" t="s">
        <v>1</v>
      </c>
      <c r="I21" s="92" t="s">
        <v>2</v>
      </c>
      <c r="J21" s="19"/>
      <c r="K21" s="58">
        <v>25933</v>
      </c>
      <c r="L21" s="59">
        <f t="shared" si="1"/>
        <v>1970</v>
      </c>
      <c r="M21" s="59">
        <f t="shared" si="0"/>
        <v>49</v>
      </c>
      <c r="N21" s="92" t="s">
        <v>3</v>
      </c>
      <c r="O21" s="92"/>
      <c r="P21" s="19" t="s">
        <v>46</v>
      </c>
      <c r="Q21" s="92"/>
      <c r="R21" s="19" t="s">
        <v>28</v>
      </c>
    </row>
    <row r="22" spans="2:18" x14ac:dyDescent="0.2">
      <c r="B22" s="151"/>
      <c r="C22" s="151"/>
      <c r="D22" s="92">
        <v>15</v>
      </c>
      <c r="E22" s="19" t="s">
        <v>387</v>
      </c>
      <c r="F22" s="92" t="s">
        <v>12</v>
      </c>
      <c r="G22" s="92" t="s">
        <v>388</v>
      </c>
      <c r="H22" s="92" t="s">
        <v>10</v>
      </c>
      <c r="I22" s="92" t="s">
        <v>2</v>
      </c>
      <c r="J22" s="19"/>
      <c r="K22" s="58">
        <v>27759</v>
      </c>
      <c r="L22" s="59">
        <f t="shared" si="1"/>
        <v>1975</v>
      </c>
      <c r="M22" s="59">
        <f t="shared" si="0"/>
        <v>44</v>
      </c>
      <c r="N22" s="92" t="s">
        <v>3</v>
      </c>
      <c r="O22" s="92"/>
      <c r="P22" s="19" t="s">
        <v>35</v>
      </c>
      <c r="Q22" s="92"/>
      <c r="R22" s="19" t="s">
        <v>17</v>
      </c>
    </row>
    <row r="23" spans="2:18" ht="25.5" x14ac:dyDescent="0.2">
      <c r="B23" s="151"/>
      <c r="C23" s="151"/>
      <c r="D23" s="92">
        <v>16</v>
      </c>
      <c r="E23" s="19" t="s">
        <v>389</v>
      </c>
      <c r="F23" s="92" t="s">
        <v>18</v>
      </c>
      <c r="G23" s="92" t="s">
        <v>390</v>
      </c>
      <c r="H23" s="92" t="s">
        <v>10</v>
      </c>
      <c r="I23" s="92" t="s">
        <v>15</v>
      </c>
      <c r="J23" s="19"/>
      <c r="K23" s="58">
        <v>37793</v>
      </c>
      <c r="L23" s="59">
        <f t="shared" si="1"/>
        <v>2003</v>
      </c>
      <c r="M23" s="59">
        <f t="shared" si="0"/>
        <v>16</v>
      </c>
      <c r="N23" s="92" t="s">
        <v>3</v>
      </c>
      <c r="O23" s="92"/>
      <c r="P23" s="19" t="s">
        <v>16</v>
      </c>
      <c r="Q23" s="92"/>
      <c r="R23" s="19" t="s">
        <v>16</v>
      </c>
    </row>
    <row r="24" spans="2:18" ht="38.25" x14ac:dyDescent="0.2">
      <c r="B24" s="151"/>
      <c r="C24" s="151"/>
      <c r="D24" s="92">
        <v>17</v>
      </c>
      <c r="E24" s="19" t="s">
        <v>391</v>
      </c>
      <c r="F24" s="92" t="s">
        <v>18</v>
      </c>
      <c r="G24" s="92" t="s">
        <v>392</v>
      </c>
      <c r="H24" s="92" t="s">
        <v>1</v>
      </c>
      <c r="I24" s="92" t="s">
        <v>15</v>
      </c>
      <c r="J24" s="19"/>
      <c r="K24" s="58">
        <v>39508</v>
      </c>
      <c r="L24" s="59">
        <f t="shared" si="1"/>
        <v>2008</v>
      </c>
      <c r="M24" s="59">
        <f t="shared" si="0"/>
        <v>11</v>
      </c>
      <c r="N24" s="92" t="s">
        <v>3</v>
      </c>
      <c r="O24" s="92"/>
      <c r="P24" s="19" t="s">
        <v>16</v>
      </c>
      <c r="Q24" s="92"/>
      <c r="R24" s="19" t="s">
        <v>16</v>
      </c>
    </row>
    <row r="25" spans="2:18" ht="25.5" x14ac:dyDescent="0.2">
      <c r="B25" s="151"/>
      <c r="C25" s="151"/>
      <c r="D25" s="92">
        <v>18</v>
      </c>
      <c r="E25" s="19" t="s">
        <v>393</v>
      </c>
      <c r="F25" s="92" t="s">
        <v>18</v>
      </c>
      <c r="G25" s="92" t="s">
        <v>394</v>
      </c>
      <c r="H25" s="92" t="s">
        <v>10</v>
      </c>
      <c r="I25" s="92" t="s">
        <v>15</v>
      </c>
      <c r="J25" s="19"/>
      <c r="K25" s="58">
        <v>40498</v>
      </c>
      <c r="L25" s="59">
        <f t="shared" si="1"/>
        <v>2010</v>
      </c>
      <c r="M25" s="59">
        <f t="shared" si="0"/>
        <v>9</v>
      </c>
      <c r="N25" s="92" t="s">
        <v>3</v>
      </c>
      <c r="O25" s="92"/>
      <c r="P25" s="19" t="s">
        <v>16</v>
      </c>
      <c r="Q25" s="92"/>
      <c r="R25" s="19" t="s">
        <v>16</v>
      </c>
    </row>
    <row r="26" spans="2:18" x14ac:dyDescent="0.2">
      <c r="B26" s="151">
        <v>4</v>
      </c>
      <c r="C26" s="151"/>
      <c r="D26" s="92">
        <v>19</v>
      </c>
      <c r="E26" s="19" t="s">
        <v>395</v>
      </c>
      <c r="F26" s="92" t="s">
        <v>7</v>
      </c>
      <c r="G26" s="92" t="s">
        <v>396</v>
      </c>
      <c r="H26" s="92" t="s">
        <v>1</v>
      </c>
      <c r="I26" s="92" t="s">
        <v>2</v>
      </c>
      <c r="J26" s="19"/>
      <c r="K26" s="58">
        <v>29586</v>
      </c>
      <c r="L26" s="59">
        <f t="shared" si="1"/>
        <v>1980</v>
      </c>
      <c r="M26" s="59">
        <f t="shared" si="0"/>
        <v>39</v>
      </c>
      <c r="N26" s="92" t="s">
        <v>3</v>
      </c>
      <c r="O26" s="92"/>
      <c r="P26" s="19" t="s">
        <v>27</v>
      </c>
      <c r="Q26" s="92"/>
      <c r="R26" s="19" t="s">
        <v>39</v>
      </c>
    </row>
    <row r="27" spans="2:18" x14ac:dyDescent="0.2">
      <c r="B27" s="151"/>
      <c r="C27" s="151"/>
      <c r="D27" s="92">
        <v>20</v>
      </c>
      <c r="E27" s="19" t="s">
        <v>397</v>
      </c>
      <c r="F27" s="92" t="s">
        <v>12</v>
      </c>
      <c r="G27" s="92" t="s">
        <v>398</v>
      </c>
      <c r="H27" s="92" t="s">
        <v>10</v>
      </c>
      <c r="I27" s="92" t="s">
        <v>2</v>
      </c>
      <c r="J27" s="19"/>
      <c r="K27" s="58">
        <v>28180</v>
      </c>
      <c r="L27" s="59">
        <f t="shared" si="1"/>
        <v>1977</v>
      </c>
      <c r="M27" s="59">
        <f t="shared" si="0"/>
        <v>42</v>
      </c>
      <c r="N27" s="92" t="s">
        <v>3</v>
      </c>
      <c r="O27" s="92"/>
      <c r="P27" s="19" t="s">
        <v>27</v>
      </c>
      <c r="Q27" s="92"/>
      <c r="R27" s="19" t="s">
        <v>361</v>
      </c>
    </row>
    <row r="28" spans="2:18" ht="25.5" x14ac:dyDescent="0.2">
      <c r="B28" s="151"/>
      <c r="C28" s="151"/>
      <c r="D28" s="92">
        <v>21</v>
      </c>
      <c r="E28" s="19" t="s">
        <v>399</v>
      </c>
      <c r="F28" s="92" t="s">
        <v>18</v>
      </c>
      <c r="G28" s="92" t="s">
        <v>400</v>
      </c>
      <c r="H28" s="92" t="s">
        <v>1</v>
      </c>
      <c r="I28" s="92" t="s">
        <v>15</v>
      </c>
      <c r="J28" s="19"/>
      <c r="K28" s="58">
        <v>41364</v>
      </c>
      <c r="L28" s="59">
        <f t="shared" si="1"/>
        <v>2013</v>
      </c>
      <c r="M28" s="59">
        <f t="shared" si="0"/>
        <v>6</v>
      </c>
      <c r="N28" s="92" t="s">
        <v>3</v>
      </c>
      <c r="O28" s="92"/>
      <c r="P28" s="19" t="s">
        <v>16</v>
      </c>
      <c r="Q28" s="92"/>
      <c r="R28" s="19" t="s">
        <v>16</v>
      </c>
    </row>
    <row r="29" spans="2:18" x14ac:dyDescent="0.2">
      <c r="B29" s="151">
        <v>5</v>
      </c>
      <c r="C29" s="151"/>
      <c r="D29" s="92">
        <v>22</v>
      </c>
      <c r="E29" s="19" t="s">
        <v>401</v>
      </c>
      <c r="F29" s="92" t="s">
        <v>7</v>
      </c>
      <c r="G29" s="92" t="s">
        <v>402</v>
      </c>
      <c r="H29" s="92" t="s">
        <v>1</v>
      </c>
      <c r="I29" s="92" t="s">
        <v>2</v>
      </c>
      <c r="J29" s="19"/>
      <c r="K29" s="58">
        <v>25933</v>
      </c>
      <c r="L29" s="59">
        <f t="shared" si="1"/>
        <v>1970</v>
      </c>
      <c r="M29" s="59">
        <f t="shared" si="0"/>
        <v>49</v>
      </c>
      <c r="N29" s="92" t="s">
        <v>3</v>
      </c>
      <c r="O29" s="92"/>
      <c r="P29" s="19" t="s">
        <v>27</v>
      </c>
      <c r="Q29" s="92"/>
      <c r="R29" s="19" t="s">
        <v>28</v>
      </c>
    </row>
    <row r="30" spans="2:18" x14ac:dyDescent="0.2">
      <c r="B30" s="151"/>
      <c r="C30" s="151"/>
      <c r="D30" s="92">
        <v>23</v>
      </c>
      <c r="E30" s="19" t="s">
        <v>403</v>
      </c>
      <c r="F30" s="92" t="s">
        <v>12</v>
      </c>
      <c r="G30" s="92" t="s">
        <v>404</v>
      </c>
      <c r="H30" s="92" t="s">
        <v>10</v>
      </c>
      <c r="I30" s="92" t="s">
        <v>2</v>
      </c>
      <c r="J30" s="19"/>
      <c r="K30" s="58">
        <v>27759</v>
      </c>
      <c r="L30" s="59">
        <f t="shared" si="1"/>
        <v>1975</v>
      </c>
      <c r="M30" s="59">
        <f t="shared" si="0"/>
        <v>44</v>
      </c>
      <c r="N30" s="92" t="s">
        <v>3</v>
      </c>
      <c r="O30" s="92"/>
      <c r="P30" s="19" t="s">
        <v>27</v>
      </c>
      <c r="Q30" s="92"/>
      <c r="R30" s="19" t="s">
        <v>17</v>
      </c>
    </row>
    <row r="31" spans="2:18" ht="25.5" x14ac:dyDescent="0.2">
      <c r="B31" s="151"/>
      <c r="C31" s="151"/>
      <c r="D31" s="92">
        <v>24</v>
      </c>
      <c r="E31" s="19" t="s">
        <v>405</v>
      </c>
      <c r="F31" s="92" t="s">
        <v>18</v>
      </c>
      <c r="G31" s="92" t="s">
        <v>406</v>
      </c>
      <c r="H31" s="92" t="s">
        <v>1</v>
      </c>
      <c r="I31" s="92" t="s">
        <v>15</v>
      </c>
      <c r="J31" s="19"/>
      <c r="K31" s="58">
        <v>35376</v>
      </c>
      <c r="L31" s="59">
        <f t="shared" si="1"/>
        <v>1996</v>
      </c>
      <c r="M31" s="59">
        <f t="shared" si="0"/>
        <v>23</v>
      </c>
      <c r="N31" s="92" t="s">
        <v>3</v>
      </c>
      <c r="O31" s="92"/>
      <c r="P31" s="19" t="s">
        <v>27</v>
      </c>
      <c r="Q31" s="92"/>
      <c r="R31" s="19" t="s">
        <v>16</v>
      </c>
    </row>
    <row r="32" spans="2:18" ht="25.5" x14ac:dyDescent="0.2">
      <c r="B32" s="151"/>
      <c r="C32" s="151"/>
      <c r="D32" s="92">
        <v>25</v>
      </c>
      <c r="E32" s="19" t="s">
        <v>407</v>
      </c>
      <c r="F32" s="92" t="s">
        <v>18</v>
      </c>
      <c r="G32" s="92" t="s">
        <v>408</v>
      </c>
      <c r="H32" s="92" t="s">
        <v>1</v>
      </c>
      <c r="I32" s="92" t="s">
        <v>15</v>
      </c>
      <c r="J32" s="19"/>
      <c r="K32" s="58">
        <v>37894</v>
      </c>
      <c r="L32" s="59">
        <f t="shared" si="1"/>
        <v>2003</v>
      </c>
      <c r="M32" s="59">
        <f t="shared" si="0"/>
        <v>16</v>
      </c>
      <c r="N32" s="92" t="s">
        <v>3</v>
      </c>
      <c r="O32" s="92"/>
      <c r="P32" s="19" t="s">
        <v>16</v>
      </c>
      <c r="Q32" s="92"/>
      <c r="R32" s="19" t="s">
        <v>16</v>
      </c>
    </row>
    <row r="33" spans="2:18" ht="25.5" x14ac:dyDescent="0.2">
      <c r="B33" s="151"/>
      <c r="C33" s="151"/>
      <c r="D33" s="92">
        <v>26</v>
      </c>
      <c r="E33" s="19" t="s">
        <v>409</v>
      </c>
      <c r="F33" s="92" t="s">
        <v>18</v>
      </c>
      <c r="G33" s="92" t="s">
        <v>410</v>
      </c>
      <c r="H33" s="92" t="s">
        <v>10</v>
      </c>
      <c r="I33" s="92" t="s">
        <v>15</v>
      </c>
      <c r="J33" s="19"/>
      <c r="K33" s="58">
        <v>41063</v>
      </c>
      <c r="L33" s="59">
        <f t="shared" si="1"/>
        <v>2012</v>
      </c>
      <c r="M33" s="59">
        <f t="shared" si="0"/>
        <v>7</v>
      </c>
      <c r="N33" s="92" t="s">
        <v>3</v>
      </c>
      <c r="O33" s="92"/>
      <c r="P33" s="19" t="s">
        <v>16</v>
      </c>
      <c r="Q33" s="92"/>
      <c r="R33" s="19" t="s">
        <v>16</v>
      </c>
    </row>
    <row r="34" spans="2:18" x14ac:dyDescent="0.2">
      <c r="B34" s="151">
        <v>6</v>
      </c>
      <c r="C34" s="151" t="s">
        <v>1914</v>
      </c>
      <c r="D34" s="92">
        <v>27</v>
      </c>
      <c r="E34" s="19" t="s">
        <v>411</v>
      </c>
      <c r="F34" s="92" t="s">
        <v>7</v>
      </c>
      <c r="G34" s="92" t="s">
        <v>412</v>
      </c>
      <c r="H34" s="92" t="s">
        <v>1</v>
      </c>
      <c r="I34" s="92" t="s">
        <v>2</v>
      </c>
      <c r="J34" s="19" t="s">
        <v>1736</v>
      </c>
      <c r="K34" s="58">
        <v>21915</v>
      </c>
      <c r="L34" s="59">
        <v>1959</v>
      </c>
      <c r="M34" s="59">
        <f>2019-1959</f>
        <v>60</v>
      </c>
      <c r="N34" s="92" t="s">
        <v>3</v>
      </c>
      <c r="O34" s="92" t="s">
        <v>1632</v>
      </c>
      <c r="P34" s="19" t="s">
        <v>1677</v>
      </c>
      <c r="Q34" s="92"/>
      <c r="R34" s="19" t="s">
        <v>1893</v>
      </c>
    </row>
    <row r="35" spans="2:18" x14ac:dyDescent="0.2">
      <c r="B35" s="151"/>
      <c r="C35" s="151"/>
      <c r="D35" s="92">
        <v>28</v>
      </c>
      <c r="E35" s="19" t="s">
        <v>413</v>
      </c>
      <c r="F35" s="92" t="s">
        <v>12</v>
      </c>
      <c r="G35" s="92" t="s">
        <v>1913</v>
      </c>
      <c r="H35" s="92" t="s">
        <v>10</v>
      </c>
      <c r="I35" s="92" t="s">
        <v>2</v>
      </c>
      <c r="J35" s="19" t="s">
        <v>1623</v>
      </c>
      <c r="K35" s="58">
        <v>25568</v>
      </c>
      <c r="L35" s="59">
        <v>1969</v>
      </c>
      <c r="M35" s="59">
        <f>2019-1969</f>
        <v>50</v>
      </c>
      <c r="N35" s="92" t="s">
        <v>3</v>
      </c>
      <c r="O35" s="92" t="s">
        <v>1632</v>
      </c>
      <c r="P35" s="19" t="s">
        <v>1732</v>
      </c>
      <c r="Q35" s="92"/>
      <c r="R35" s="19" t="s">
        <v>43</v>
      </c>
    </row>
    <row r="36" spans="2:18" ht="25.5" x14ac:dyDescent="0.2">
      <c r="B36" s="151"/>
      <c r="C36" s="151"/>
      <c r="D36" s="92">
        <v>29</v>
      </c>
      <c r="E36" s="19" t="s">
        <v>414</v>
      </c>
      <c r="F36" s="92" t="s">
        <v>18</v>
      </c>
      <c r="G36" s="92" t="s">
        <v>415</v>
      </c>
      <c r="H36" s="92" t="s">
        <v>1</v>
      </c>
      <c r="I36" s="92" t="s">
        <v>15</v>
      </c>
      <c r="J36" s="19" t="s">
        <v>1631</v>
      </c>
      <c r="K36" s="58">
        <v>34463</v>
      </c>
      <c r="L36" s="59">
        <v>1994</v>
      </c>
      <c r="M36" s="59">
        <f>2019-1994</f>
        <v>25</v>
      </c>
      <c r="N36" s="92" t="s">
        <v>3</v>
      </c>
      <c r="O36" s="92" t="s">
        <v>1632</v>
      </c>
      <c r="P36" s="19" t="s">
        <v>1915</v>
      </c>
      <c r="Q36" s="92"/>
      <c r="R36" s="19" t="s">
        <v>39</v>
      </c>
    </row>
    <row r="37" spans="2:18" ht="25.5" x14ac:dyDescent="0.2">
      <c r="B37" s="151"/>
      <c r="C37" s="151"/>
      <c r="D37" s="92">
        <v>30</v>
      </c>
      <c r="E37" s="19" t="s">
        <v>416</v>
      </c>
      <c r="F37" s="92" t="s">
        <v>18</v>
      </c>
      <c r="G37" s="92" t="s">
        <v>417</v>
      </c>
      <c r="H37" s="92" t="s">
        <v>10</v>
      </c>
      <c r="I37" s="92" t="s">
        <v>15</v>
      </c>
      <c r="J37" s="19" t="s">
        <v>1623</v>
      </c>
      <c r="K37" s="58">
        <v>34591</v>
      </c>
      <c r="L37" s="59">
        <v>1994</v>
      </c>
      <c r="M37" s="59">
        <f>2019-1994</f>
        <v>25</v>
      </c>
      <c r="N37" s="92" t="s">
        <v>3</v>
      </c>
      <c r="O37" s="92" t="s">
        <v>1632</v>
      </c>
      <c r="P37" s="19" t="s">
        <v>1915</v>
      </c>
      <c r="Q37" s="92"/>
      <c r="R37" s="19" t="s">
        <v>1625</v>
      </c>
    </row>
    <row r="38" spans="2:18" ht="25.5" x14ac:dyDescent="0.2">
      <c r="B38" s="151"/>
      <c r="C38" s="151"/>
      <c r="D38" s="92">
        <v>31</v>
      </c>
      <c r="E38" s="19" t="s">
        <v>418</v>
      </c>
      <c r="F38" s="92" t="s">
        <v>18</v>
      </c>
      <c r="G38" s="92" t="s">
        <v>419</v>
      </c>
      <c r="H38" s="92" t="s">
        <v>10</v>
      </c>
      <c r="I38" s="92" t="s">
        <v>15</v>
      </c>
      <c r="J38" s="19" t="s">
        <v>1631</v>
      </c>
      <c r="K38" s="58">
        <v>35412</v>
      </c>
      <c r="L38" s="59">
        <v>1996</v>
      </c>
      <c r="M38" s="59">
        <f>2019-1996</f>
        <v>23</v>
      </c>
      <c r="N38" s="92" t="s">
        <v>3</v>
      </c>
      <c r="O38" s="92" t="s">
        <v>1632</v>
      </c>
      <c r="P38" s="19" t="s">
        <v>1915</v>
      </c>
      <c r="Q38" s="92"/>
      <c r="R38" s="19" t="s">
        <v>1625</v>
      </c>
    </row>
    <row r="39" spans="2:18" x14ac:dyDescent="0.2">
      <c r="B39" s="151">
        <v>7</v>
      </c>
      <c r="C39" s="151"/>
      <c r="D39" s="92">
        <v>32</v>
      </c>
      <c r="E39" s="19" t="s">
        <v>420</v>
      </c>
      <c r="F39" s="92" t="s">
        <v>7</v>
      </c>
      <c r="G39" s="92" t="s">
        <v>421</v>
      </c>
      <c r="H39" s="92" t="s">
        <v>1</v>
      </c>
      <c r="I39" s="92" t="s">
        <v>2</v>
      </c>
      <c r="J39" s="19"/>
      <c r="K39" s="58">
        <v>27394</v>
      </c>
      <c r="L39" s="59">
        <f t="shared" ref="L39:L52" si="2">YEAR(K39)</f>
        <v>1974</v>
      </c>
      <c r="M39" s="59">
        <f t="shared" ref="M39:M52" si="3">2019-L39</f>
        <v>45</v>
      </c>
      <c r="N39" s="92" t="s">
        <v>3</v>
      </c>
      <c r="O39" s="92"/>
      <c r="P39" s="19" t="s">
        <v>46</v>
      </c>
      <c r="Q39" s="92"/>
      <c r="R39" s="19" t="s">
        <v>28</v>
      </c>
    </row>
    <row r="40" spans="2:18" x14ac:dyDescent="0.2">
      <c r="B40" s="151"/>
      <c r="C40" s="151"/>
      <c r="D40" s="92">
        <v>33</v>
      </c>
      <c r="E40" s="19" t="s">
        <v>422</v>
      </c>
      <c r="F40" s="92" t="s">
        <v>12</v>
      </c>
      <c r="G40" s="92" t="s">
        <v>423</v>
      </c>
      <c r="H40" s="92" t="s">
        <v>10</v>
      </c>
      <c r="I40" s="92" t="s">
        <v>2</v>
      </c>
      <c r="J40" s="19"/>
      <c r="K40" s="58">
        <v>27225</v>
      </c>
      <c r="L40" s="59">
        <f t="shared" si="2"/>
        <v>1974</v>
      </c>
      <c r="M40" s="59">
        <f t="shared" si="3"/>
        <v>45</v>
      </c>
      <c r="N40" s="92" t="s">
        <v>3</v>
      </c>
      <c r="O40" s="92"/>
      <c r="P40" s="19" t="s">
        <v>46</v>
      </c>
      <c r="Q40" s="92"/>
      <c r="R40" s="19" t="s">
        <v>17</v>
      </c>
    </row>
    <row r="41" spans="2:18" x14ac:dyDescent="0.2">
      <c r="B41" s="151"/>
      <c r="C41" s="151"/>
      <c r="D41" s="92">
        <v>34</v>
      </c>
      <c r="E41" s="19" t="s">
        <v>424</v>
      </c>
      <c r="F41" s="92" t="s">
        <v>18</v>
      </c>
      <c r="G41" s="92" t="s">
        <v>425</v>
      </c>
      <c r="H41" s="92" t="s">
        <v>1</v>
      </c>
      <c r="I41" s="92" t="s">
        <v>15</v>
      </c>
      <c r="J41" s="19"/>
      <c r="K41" s="58">
        <v>35584</v>
      </c>
      <c r="L41" s="59">
        <f t="shared" si="2"/>
        <v>1997</v>
      </c>
      <c r="M41" s="59">
        <f t="shared" si="3"/>
        <v>22</v>
      </c>
      <c r="N41" s="92" t="s">
        <v>3</v>
      </c>
      <c r="O41" s="92"/>
      <c r="P41" s="19" t="s">
        <v>46</v>
      </c>
      <c r="Q41" s="92"/>
      <c r="R41" s="19" t="s">
        <v>16</v>
      </c>
    </row>
    <row r="42" spans="2:18" ht="25.5" x14ac:dyDescent="0.2">
      <c r="B42" s="151"/>
      <c r="C42" s="151"/>
      <c r="D42" s="92">
        <v>35</v>
      </c>
      <c r="E42" s="19" t="s">
        <v>426</v>
      </c>
      <c r="F42" s="92" t="s">
        <v>18</v>
      </c>
      <c r="G42" s="92" t="s">
        <v>427</v>
      </c>
      <c r="H42" s="92" t="s">
        <v>1</v>
      </c>
      <c r="I42" s="92" t="s">
        <v>15</v>
      </c>
      <c r="J42" s="19"/>
      <c r="K42" s="58">
        <v>37775</v>
      </c>
      <c r="L42" s="59">
        <f t="shared" si="2"/>
        <v>2003</v>
      </c>
      <c r="M42" s="59">
        <f t="shared" si="3"/>
        <v>16</v>
      </c>
      <c r="N42" s="92" t="s">
        <v>3</v>
      </c>
      <c r="O42" s="92"/>
      <c r="P42" s="19" t="s">
        <v>16</v>
      </c>
      <c r="Q42" s="92"/>
      <c r="R42" s="19" t="s">
        <v>16</v>
      </c>
    </row>
    <row r="43" spans="2:18" ht="38.25" x14ac:dyDescent="0.2">
      <c r="B43" s="151"/>
      <c r="C43" s="151"/>
      <c r="D43" s="92">
        <v>36</v>
      </c>
      <c r="E43" s="19" t="s">
        <v>428</v>
      </c>
      <c r="F43" s="92" t="s">
        <v>18</v>
      </c>
      <c r="G43" s="92" t="s">
        <v>429</v>
      </c>
      <c r="H43" s="92" t="s">
        <v>1</v>
      </c>
      <c r="I43" s="92" t="s">
        <v>15</v>
      </c>
      <c r="J43" s="19"/>
      <c r="K43" s="58">
        <v>39524</v>
      </c>
      <c r="L43" s="59">
        <f t="shared" si="2"/>
        <v>2008</v>
      </c>
      <c r="M43" s="59">
        <f t="shared" si="3"/>
        <v>11</v>
      </c>
      <c r="N43" s="92" t="s">
        <v>3</v>
      </c>
      <c r="O43" s="92"/>
      <c r="P43" s="19" t="s">
        <v>16</v>
      </c>
      <c r="Q43" s="92"/>
      <c r="R43" s="19" t="s">
        <v>16</v>
      </c>
    </row>
    <row r="44" spans="2:18" ht="25.5" x14ac:dyDescent="0.2">
      <c r="B44" s="151"/>
      <c r="C44" s="151"/>
      <c r="D44" s="92">
        <v>37</v>
      </c>
      <c r="E44" s="19" t="s">
        <v>430</v>
      </c>
      <c r="F44" s="92" t="s">
        <v>18</v>
      </c>
      <c r="G44" s="92" t="s">
        <v>431</v>
      </c>
      <c r="H44" s="92" t="s">
        <v>1</v>
      </c>
      <c r="I44" s="92" t="s">
        <v>15</v>
      </c>
      <c r="J44" s="19"/>
      <c r="K44" s="58">
        <v>40480</v>
      </c>
      <c r="L44" s="59">
        <f t="shared" si="2"/>
        <v>2010</v>
      </c>
      <c r="M44" s="59">
        <f t="shared" si="3"/>
        <v>9</v>
      </c>
      <c r="N44" s="92" t="s">
        <v>3</v>
      </c>
      <c r="O44" s="92"/>
      <c r="P44" s="19" t="s">
        <v>16</v>
      </c>
      <c r="Q44" s="92"/>
      <c r="R44" s="19" t="s">
        <v>16</v>
      </c>
    </row>
    <row r="45" spans="2:18" x14ac:dyDescent="0.2">
      <c r="B45" s="151">
        <v>8</v>
      </c>
      <c r="C45" s="151"/>
      <c r="D45" s="92">
        <v>38</v>
      </c>
      <c r="E45" s="19" t="s">
        <v>432</v>
      </c>
      <c r="F45" s="92" t="s">
        <v>7</v>
      </c>
      <c r="G45" s="92" t="s">
        <v>433</v>
      </c>
      <c r="H45" s="92" t="s">
        <v>1</v>
      </c>
      <c r="I45" s="92" t="s">
        <v>2</v>
      </c>
      <c r="J45" s="19"/>
      <c r="K45" s="58">
        <v>27759</v>
      </c>
      <c r="L45" s="59">
        <f t="shared" si="2"/>
        <v>1975</v>
      </c>
      <c r="M45" s="59">
        <f t="shared" si="3"/>
        <v>44</v>
      </c>
      <c r="N45" s="92" t="s">
        <v>3</v>
      </c>
      <c r="O45" s="92"/>
      <c r="P45" s="19" t="s">
        <v>35</v>
      </c>
      <c r="Q45" s="92"/>
      <c r="R45" s="19" t="s">
        <v>39</v>
      </c>
    </row>
    <row r="46" spans="2:18" x14ac:dyDescent="0.2">
      <c r="B46" s="151"/>
      <c r="C46" s="151"/>
      <c r="D46" s="92">
        <v>39</v>
      </c>
      <c r="E46" s="19" t="s">
        <v>434</v>
      </c>
      <c r="F46" s="92" t="s">
        <v>12</v>
      </c>
      <c r="G46" s="92" t="s">
        <v>435</v>
      </c>
      <c r="H46" s="92" t="s">
        <v>10</v>
      </c>
      <c r="I46" s="92" t="s">
        <v>2</v>
      </c>
      <c r="J46" s="19"/>
      <c r="K46" s="58">
        <v>29220</v>
      </c>
      <c r="L46" s="59">
        <f t="shared" si="2"/>
        <v>1979</v>
      </c>
      <c r="M46" s="59">
        <f t="shared" si="3"/>
        <v>40</v>
      </c>
      <c r="N46" s="92" t="s">
        <v>3</v>
      </c>
      <c r="O46" s="92"/>
      <c r="P46" s="19" t="s">
        <v>27</v>
      </c>
      <c r="Q46" s="92"/>
      <c r="R46" s="19" t="s">
        <v>43</v>
      </c>
    </row>
    <row r="47" spans="2:18" ht="25.5" x14ac:dyDescent="0.2">
      <c r="B47" s="151"/>
      <c r="C47" s="151"/>
      <c r="D47" s="92">
        <v>40</v>
      </c>
      <c r="E47" s="19" t="s">
        <v>436</v>
      </c>
      <c r="F47" s="92" t="s">
        <v>18</v>
      </c>
      <c r="G47" s="92" t="s">
        <v>437</v>
      </c>
      <c r="H47" s="92" t="s">
        <v>10</v>
      </c>
      <c r="I47" s="92" t="s">
        <v>15</v>
      </c>
      <c r="J47" s="19"/>
      <c r="K47" s="58">
        <v>37597</v>
      </c>
      <c r="L47" s="59">
        <f t="shared" si="2"/>
        <v>2002</v>
      </c>
      <c r="M47" s="59">
        <f t="shared" si="3"/>
        <v>17</v>
      </c>
      <c r="N47" s="92" t="s">
        <v>3</v>
      </c>
      <c r="O47" s="92"/>
      <c r="P47" s="19" t="s">
        <v>46</v>
      </c>
      <c r="Q47" s="92"/>
      <c r="R47" s="19" t="s">
        <v>16</v>
      </c>
    </row>
    <row r="48" spans="2:18" ht="38.25" x14ac:dyDescent="0.2">
      <c r="B48" s="151"/>
      <c r="C48" s="151"/>
      <c r="D48" s="92">
        <v>41</v>
      </c>
      <c r="E48" s="19" t="s">
        <v>438</v>
      </c>
      <c r="F48" s="92" t="s">
        <v>18</v>
      </c>
      <c r="G48" s="92" t="s">
        <v>439</v>
      </c>
      <c r="H48" s="92" t="s">
        <v>1</v>
      </c>
      <c r="I48" s="92" t="s">
        <v>15</v>
      </c>
      <c r="J48" s="19"/>
      <c r="K48" s="58">
        <v>39126</v>
      </c>
      <c r="L48" s="59">
        <f t="shared" si="2"/>
        <v>2007</v>
      </c>
      <c r="M48" s="59">
        <f t="shared" si="3"/>
        <v>12</v>
      </c>
      <c r="N48" s="92" t="s">
        <v>3</v>
      </c>
      <c r="O48" s="92"/>
      <c r="P48" s="19" t="s">
        <v>16</v>
      </c>
      <c r="Q48" s="92"/>
      <c r="R48" s="19" t="s">
        <v>16</v>
      </c>
    </row>
    <row r="49" spans="2:18" x14ac:dyDescent="0.2">
      <c r="B49" s="151">
        <v>9</v>
      </c>
      <c r="C49" s="151"/>
      <c r="D49" s="92">
        <v>42</v>
      </c>
      <c r="E49" s="19" t="s">
        <v>440</v>
      </c>
      <c r="F49" s="92" t="s">
        <v>7</v>
      </c>
      <c r="G49" s="92" t="s">
        <v>441</v>
      </c>
      <c r="H49" s="92" t="s">
        <v>1</v>
      </c>
      <c r="I49" s="92" t="s">
        <v>2</v>
      </c>
      <c r="J49" s="19"/>
      <c r="K49" s="58">
        <v>25351</v>
      </c>
      <c r="L49" s="59">
        <f t="shared" si="2"/>
        <v>1969</v>
      </c>
      <c r="M49" s="59">
        <f t="shared" si="3"/>
        <v>50</v>
      </c>
      <c r="N49" s="92" t="s">
        <v>3</v>
      </c>
      <c r="O49" s="92"/>
      <c r="P49" s="19" t="s">
        <v>27</v>
      </c>
      <c r="Q49" s="92"/>
      <c r="R49" s="19" t="s">
        <v>54</v>
      </c>
    </row>
    <row r="50" spans="2:18" x14ac:dyDescent="0.2">
      <c r="B50" s="151"/>
      <c r="C50" s="151"/>
      <c r="D50" s="92">
        <v>43</v>
      </c>
      <c r="E50" s="19" t="s">
        <v>442</v>
      </c>
      <c r="F50" s="92" t="s">
        <v>12</v>
      </c>
      <c r="G50" s="92" t="s">
        <v>443</v>
      </c>
      <c r="H50" s="92" t="s">
        <v>10</v>
      </c>
      <c r="I50" s="92" t="s">
        <v>2</v>
      </c>
      <c r="J50" s="19"/>
      <c r="K50" s="58">
        <v>26528</v>
      </c>
      <c r="L50" s="59">
        <f t="shared" si="2"/>
        <v>1972</v>
      </c>
      <c r="M50" s="59">
        <f t="shared" si="3"/>
        <v>47</v>
      </c>
      <c r="N50" s="92" t="s">
        <v>3</v>
      </c>
      <c r="O50" s="92"/>
      <c r="P50" s="19" t="s">
        <v>27</v>
      </c>
      <c r="Q50" s="92"/>
      <c r="R50" s="19" t="s">
        <v>43</v>
      </c>
    </row>
    <row r="51" spans="2:18" ht="25.5" x14ac:dyDescent="0.2">
      <c r="B51" s="151"/>
      <c r="C51" s="151"/>
      <c r="D51" s="92">
        <v>44</v>
      </c>
      <c r="E51" s="19" t="s">
        <v>444</v>
      </c>
      <c r="F51" s="92" t="s">
        <v>18</v>
      </c>
      <c r="G51" s="92" t="s">
        <v>445</v>
      </c>
      <c r="H51" s="92" t="s">
        <v>1</v>
      </c>
      <c r="I51" s="92" t="s">
        <v>15</v>
      </c>
      <c r="J51" s="19"/>
      <c r="K51" s="58">
        <v>36284</v>
      </c>
      <c r="L51" s="59">
        <f t="shared" si="2"/>
        <v>1999</v>
      </c>
      <c r="M51" s="59">
        <f t="shared" si="3"/>
        <v>20</v>
      </c>
      <c r="N51" s="92" t="s">
        <v>3</v>
      </c>
      <c r="O51" s="92"/>
      <c r="P51" s="19" t="s">
        <v>35</v>
      </c>
      <c r="Q51" s="92"/>
      <c r="R51" s="19" t="s">
        <v>16</v>
      </c>
    </row>
    <row r="52" spans="2:18" ht="25.5" x14ac:dyDescent="0.2">
      <c r="B52" s="151"/>
      <c r="C52" s="151"/>
      <c r="D52" s="92">
        <v>45</v>
      </c>
      <c r="E52" s="19" t="s">
        <v>446</v>
      </c>
      <c r="F52" s="92" t="s">
        <v>18</v>
      </c>
      <c r="G52" s="92" t="s">
        <v>447</v>
      </c>
      <c r="H52" s="92" t="s">
        <v>1</v>
      </c>
      <c r="I52" s="92" t="s">
        <v>15</v>
      </c>
      <c r="J52" s="19"/>
      <c r="K52" s="58">
        <v>39352</v>
      </c>
      <c r="L52" s="59">
        <f t="shared" si="2"/>
        <v>2007</v>
      </c>
      <c r="M52" s="59">
        <f t="shared" si="3"/>
        <v>12</v>
      </c>
      <c r="N52" s="92" t="s">
        <v>3</v>
      </c>
      <c r="O52" s="92"/>
      <c r="P52" s="19" t="s">
        <v>16</v>
      </c>
      <c r="Q52" s="92"/>
      <c r="R52" s="19" t="s">
        <v>16</v>
      </c>
    </row>
    <row r="53" spans="2:18" ht="15" customHeight="1" x14ac:dyDescent="0.2">
      <c r="B53" s="151">
        <v>10</v>
      </c>
      <c r="C53" s="152" t="s">
        <v>2454</v>
      </c>
      <c r="D53" s="92">
        <v>46</v>
      </c>
      <c r="E53" s="19" t="s">
        <v>448</v>
      </c>
      <c r="F53" s="92" t="s">
        <v>7</v>
      </c>
      <c r="G53" s="92" t="s">
        <v>2457</v>
      </c>
      <c r="H53" s="92" t="s">
        <v>1</v>
      </c>
      <c r="I53" s="92" t="s">
        <v>2</v>
      </c>
      <c r="J53" s="19" t="s">
        <v>1631</v>
      </c>
      <c r="K53" s="58">
        <v>23376</v>
      </c>
      <c r="L53" s="59">
        <v>1963</v>
      </c>
      <c r="M53" s="59">
        <f>2019-1963</f>
        <v>56</v>
      </c>
      <c r="N53" s="92" t="s">
        <v>3</v>
      </c>
      <c r="O53" s="92" t="s">
        <v>1632</v>
      </c>
      <c r="P53" s="19" t="s">
        <v>1732</v>
      </c>
      <c r="Q53" s="92"/>
      <c r="R53" s="19" t="s">
        <v>1808</v>
      </c>
    </row>
    <row r="54" spans="2:18" ht="25.5" x14ac:dyDescent="0.2">
      <c r="B54" s="151"/>
      <c r="C54" s="153"/>
      <c r="D54" s="92">
        <v>47</v>
      </c>
      <c r="E54" s="19" t="s">
        <v>449</v>
      </c>
      <c r="F54" s="92" t="s">
        <v>12</v>
      </c>
      <c r="G54" s="92" t="s">
        <v>2458</v>
      </c>
      <c r="H54" s="92" t="s">
        <v>10</v>
      </c>
      <c r="I54" s="92" t="s">
        <v>2</v>
      </c>
      <c r="J54" s="19" t="s">
        <v>2356</v>
      </c>
      <c r="K54" s="58">
        <v>24107</v>
      </c>
      <c r="L54" s="59">
        <v>1965</v>
      </c>
      <c r="M54" s="59">
        <f>2019-1965</f>
        <v>54</v>
      </c>
      <c r="N54" s="92" t="s">
        <v>3</v>
      </c>
      <c r="O54" s="92" t="s">
        <v>1632</v>
      </c>
      <c r="P54" s="19" t="s">
        <v>1732</v>
      </c>
      <c r="Q54" s="92"/>
      <c r="R54" s="19" t="s">
        <v>1808</v>
      </c>
    </row>
    <row r="55" spans="2:18" ht="25.5" x14ac:dyDescent="0.2">
      <c r="B55" s="151"/>
      <c r="C55" s="153"/>
      <c r="D55" s="92">
        <v>48</v>
      </c>
      <c r="E55" s="19" t="s">
        <v>2455</v>
      </c>
      <c r="F55" s="92" t="s">
        <v>18</v>
      </c>
      <c r="G55" s="92" t="s">
        <v>450</v>
      </c>
      <c r="H55" s="92" t="s">
        <v>1</v>
      </c>
      <c r="I55" s="92" t="s">
        <v>15</v>
      </c>
      <c r="J55" s="19" t="s">
        <v>1631</v>
      </c>
      <c r="K55" s="58">
        <v>34222</v>
      </c>
      <c r="L55" s="59">
        <v>1993</v>
      </c>
      <c r="M55" s="59">
        <f>2019-1993</f>
        <v>26</v>
      </c>
      <c r="N55" s="92" t="s">
        <v>3</v>
      </c>
      <c r="O55" s="92" t="s">
        <v>1632</v>
      </c>
      <c r="P55" s="19" t="s">
        <v>1677</v>
      </c>
      <c r="Q55" s="92"/>
      <c r="R55" s="19" t="s">
        <v>1625</v>
      </c>
    </row>
    <row r="56" spans="2:18" ht="25.5" x14ac:dyDescent="0.2">
      <c r="B56" s="151"/>
      <c r="C56" s="153"/>
      <c r="D56" s="92">
        <v>49</v>
      </c>
      <c r="E56" s="19" t="s">
        <v>451</v>
      </c>
      <c r="F56" s="92" t="s">
        <v>18</v>
      </c>
      <c r="G56" s="92" t="s">
        <v>452</v>
      </c>
      <c r="H56" s="92" t="s">
        <v>10</v>
      </c>
      <c r="I56" s="92" t="s">
        <v>15</v>
      </c>
      <c r="J56" s="19" t="s">
        <v>1631</v>
      </c>
      <c r="K56" s="58">
        <v>35104</v>
      </c>
      <c r="L56" s="59">
        <v>1996</v>
      </c>
      <c r="M56" s="59">
        <f>2019-1996</f>
        <v>23</v>
      </c>
      <c r="N56" s="92" t="s">
        <v>3</v>
      </c>
      <c r="O56" s="92" t="s">
        <v>1632</v>
      </c>
      <c r="P56" s="19" t="s">
        <v>1677</v>
      </c>
      <c r="Q56" s="92"/>
      <c r="R56" s="19" t="s">
        <v>1625</v>
      </c>
    </row>
    <row r="57" spans="2:18" ht="25.5" x14ac:dyDescent="0.2">
      <c r="B57" s="151"/>
      <c r="C57" s="154"/>
      <c r="D57" s="92">
        <v>50</v>
      </c>
      <c r="E57" s="19" t="s">
        <v>2456</v>
      </c>
      <c r="F57" s="92" t="s">
        <v>18</v>
      </c>
      <c r="G57" s="92" t="s">
        <v>453</v>
      </c>
      <c r="H57" s="92" t="s">
        <v>10</v>
      </c>
      <c r="I57" s="92" t="s">
        <v>15</v>
      </c>
      <c r="J57" s="19" t="s">
        <v>1631</v>
      </c>
      <c r="K57" s="58">
        <v>37763</v>
      </c>
      <c r="L57" s="59">
        <v>2003</v>
      </c>
      <c r="M57" s="59">
        <f>2019-2003</f>
        <v>16</v>
      </c>
      <c r="N57" s="92" t="s">
        <v>3</v>
      </c>
      <c r="O57" s="92" t="s">
        <v>1632</v>
      </c>
      <c r="P57" s="19" t="s">
        <v>1635</v>
      </c>
      <c r="Q57" s="92"/>
      <c r="R57" s="19" t="s">
        <v>1625</v>
      </c>
    </row>
    <row r="58" spans="2:18" x14ac:dyDescent="0.2">
      <c r="B58" s="151">
        <v>11</v>
      </c>
      <c r="C58" s="151"/>
      <c r="D58" s="92">
        <v>51</v>
      </c>
      <c r="E58" s="19" t="s">
        <v>461</v>
      </c>
      <c r="F58" s="92" t="s">
        <v>7</v>
      </c>
      <c r="G58" s="92" t="s">
        <v>455</v>
      </c>
      <c r="H58" s="92" t="s">
        <v>1</v>
      </c>
      <c r="I58" s="92" t="s">
        <v>2</v>
      </c>
      <c r="J58" s="19"/>
      <c r="K58" s="58">
        <v>24837</v>
      </c>
      <c r="L58" s="59">
        <f t="shared" ref="L58:L67" si="4">YEAR(K58)</f>
        <v>1967</v>
      </c>
      <c r="M58" s="59">
        <f t="shared" ref="M58:M67" si="5">2019-L58</f>
        <v>52</v>
      </c>
      <c r="N58" s="92" t="s">
        <v>3</v>
      </c>
      <c r="O58" s="92"/>
      <c r="P58" s="19" t="s">
        <v>46</v>
      </c>
      <c r="Q58" s="92"/>
      <c r="R58" s="19" t="s">
        <v>39</v>
      </c>
    </row>
    <row r="59" spans="2:18" x14ac:dyDescent="0.2">
      <c r="B59" s="151"/>
      <c r="C59" s="151"/>
      <c r="D59" s="92">
        <v>52</v>
      </c>
      <c r="E59" s="19" t="s">
        <v>462</v>
      </c>
      <c r="F59" s="92" t="s">
        <v>12</v>
      </c>
      <c r="G59" s="92" t="s">
        <v>463</v>
      </c>
      <c r="H59" s="92" t="s">
        <v>10</v>
      </c>
      <c r="I59" s="92" t="s">
        <v>2</v>
      </c>
      <c r="J59" s="19"/>
      <c r="K59" s="58">
        <v>25568</v>
      </c>
      <c r="L59" s="59">
        <f t="shared" si="4"/>
        <v>1969</v>
      </c>
      <c r="M59" s="59">
        <f t="shared" si="5"/>
        <v>50</v>
      </c>
      <c r="N59" s="92" t="s">
        <v>3</v>
      </c>
      <c r="O59" s="92"/>
      <c r="P59" s="19" t="s">
        <v>46</v>
      </c>
      <c r="Q59" s="92"/>
      <c r="R59" s="19" t="s">
        <v>28</v>
      </c>
    </row>
    <row r="60" spans="2:18" x14ac:dyDescent="0.2">
      <c r="B60" s="151"/>
      <c r="C60" s="151"/>
      <c r="D60" s="92">
        <v>53</v>
      </c>
      <c r="E60" s="19" t="s">
        <v>464</v>
      </c>
      <c r="F60" s="92" t="s">
        <v>18</v>
      </c>
      <c r="G60" s="92" t="s">
        <v>465</v>
      </c>
      <c r="H60" s="92" t="s">
        <v>10</v>
      </c>
      <c r="I60" s="92" t="s">
        <v>15</v>
      </c>
      <c r="J60" s="19"/>
      <c r="K60" s="58">
        <v>33676</v>
      </c>
      <c r="L60" s="59">
        <f t="shared" si="4"/>
        <v>1992</v>
      </c>
      <c r="M60" s="59">
        <f t="shared" si="5"/>
        <v>27</v>
      </c>
      <c r="N60" s="92" t="s">
        <v>3</v>
      </c>
      <c r="O60" s="92"/>
      <c r="P60" s="19" t="s">
        <v>46</v>
      </c>
      <c r="Q60" s="92"/>
      <c r="R60" s="19" t="s">
        <v>16</v>
      </c>
    </row>
    <row r="61" spans="2:18" x14ac:dyDescent="0.2">
      <c r="B61" s="151"/>
      <c r="C61" s="151"/>
      <c r="D61" s="92">
        <v>54</v>
      </c>
      <c r="E61" s="19" t="s">
        <v>466</v>
      </c>
      <c r="F61" s="92" t="s">
        <v>18</v>
      </c>
      <c r="G61" s="92" t="s">
        <v>467</v>
      </c>
      <c r="H61" s="92" t="s">
        <v>1</v>
      </c>
      <c r="I61" s="92" t="s">
        <v>15</v>
      </c>
      <c r="J61" s="19"/>
      <c r="K61" s="58">
        <v>35688</v>
      </c>
      <c r="L61" s="59">
        <f t="shared" si="4"/>
        <v>1997</v>
      </c>
      <c r="M61" s="59">
        <f t="shared" si="5"/>
        <v>22</v>
      </c>
      <c r="N61" s="92" t="s">
        <v>3</v>
      </c>
      <c r="O61" s="92"/>
      <c r="P61" s="19" t="s">
        <v>35</v>
      </c>
      <c r="Q61" s="92"/>
      <c r="R61" s="19" t="s">
        <v>16</v>
      </c>
    </row>
    <row r="62" spans="2:18" ht="25.5" x14ac:dyDescent="0.2">
      <c r="B62" s="151"/>
      <c r="C62" s="151"/>
      <c r="D62" s="92">
        <v>55</v>
      </c>
      <c r="E62" s="19" t="s">
        <v>468</v>
      </c>
      <c r="F62" s="92" t="s">
        <v>18</v>
      </c>
      <c r="G62" s="92" t="s">
        <v>469</v>
      </c>
      <c r="H62" s="92" t="s">
        <v>1</v>
      </c>
      <c r="I62" s="92" t="s">
        <v>15</v>
      </c>
      <c r="J62" s="19"/>
      <c r="K62" s="58">
        <v>39198</v>
      </c>
      <c r="L62" s="59">
        <f t="shared" si="4"/>
        <v>2007</v>
      </c>
      <c r="M62" s="59">
        <f t="shared" si="5"/>
        <v>12</v>
      </c>
      <c r="N62" s="92" t="s">
        <v>3</v>
      </c>
      <c r="O62" s="92"/>
      <c r="P62" s="19" t="s">
        <v>16</v>
      </c>
      <c r="Q62" s="92"/>
      <c r="R62" s="19" t="s">
        <v>16</v>
      </c>
    </row>
    <row r="63" spans="2:18" x14ac:dyDescent="0.2">
      <c r="B63" s="151">
        <v>12</v>
      </c>
      <c r="C63" s="151"/>
      <c r="D63" s="92">
        <v>56</v>
      </c>
      <c r="E63" s="19" t="s">
        <v>470</v>
      </c>
      <c r="F63" s="92" t="s">
        <v>7</v>
      </c>
      <c r="G63" s="92" t="s">
        <v>471</v>
      </c>
      <c r="H63" s="92" t="s">
        <v>1</v>
      </c>
      <c r="I63" s="92" t="s">
        <v>2</v>
      </c>
      <c r="J63" s="19"/>
      <c r="K63" s="58">
        <v>25933</v>
      </c>
      <c r="L63" s="59">
        <f t="shared" si="4"/>
        <v>1970</v>
      </c>
      <c r="M63" s="59">
        <f t="shared" si="5"/>
        <v>49</v>
      </c>
      <c r="N63" s="92" t="s">
        <v>3</v>
      </c>
      <c r="O63" s="92"/>
      <c r="P63" s="19" t="s">
        <v>46</v>
      </c>
      <c r="Q63" s="92"/>
      <c r="R63" s="19" t="s">
        <v>28</v>
      </c>
    </row>
    <row r="64" spans="2:18" x14ac:dyDescent="0.2">
      <c r="B64" s="151"/>
      <c r="C64" s="151"/>
      <c r="D64" s="92">
        <v>57</v>
      </c>
      <c r="E64" s="19" t="s">
        <v>472</v>
      </c>
      <c r="F64" s="92" t="s">
        <v>12</v>
      </c>
      <c r="G64" s="92" t="s">
        <v>474</v>
      </c>
      <c r="H64" s="92" t="s">
        <v>10</v>
      </c>
      <c r="I64" s="92" t="s">
        <v>2</v>
      </c>
      <c r="J64" s="19"/>
      <c r="K64" s="58">
        <v>26846</v>
      </c>
      <c r="L64" s="59">
        <f t="shared" si="4"/>
        <v>1973</v>
      </c>
      <c r="M64" s="59">
        <f t="shared" si="5"/>
        <v>46</v>
      </c>
      <c r="N64" s="92" t="s">
        <v>3</v>
      </c>
      <c r="O64" s="92"/>
      <c r="P64" s="19" t="s">
        <v>46</v>
      </c>
      <c r="Q64" s="92"/>
      <c r="R64" s="19" t="s">
        <v>473</v>
      </c>
    </row>
    <row r="65" spans="2:18" x14ac:dyDescent="0.2">
      <c r="B65" s="151"/>
      <c r="C65" s="151"/>
      <c r="D65" s="92">
        <v>58</v>
      </c>
      <c r="E65" s="19" t="s">
        <v>475</v>
      </c>
      <c r="F65" s="92" t="s">
        <v>18</v>
      </c>
      <c r="G65" s="92" t="s">
        <v>476</v>
      </c>
      <c r="H65" s="92" t="s">
        <v>1</v>
      </c>
      <c r="I65" s="92" t="s">
        <v>15</v>
      </c>
      <c r="J65" s="19"/>
      <c r="K65" s="58">
        <v>35064</v>
      </c>
      <c r="L65" s="59">
        <f t="shared" si="4"/>
        <v>1995</v>
      </c>
      <c r="M65" s="59">
        <f t="shared" si="5"/>
        <v>24</v>
      </c>
      <c r="N65" s="92" t="s">
        <v>3</v>
      </c>
      <c r="O65" s="92"/>
      <c r="P65" s="19" t="s">
        <v>35</v>
      </c>
      <c r="Q65" s="92"/>
      <c r="R65" s="19" t="s">
        <v>16</v>
      </c>
    </row>
    <row r="66" spans="2:18" x14ac:dyDescent="0.2">
      <c r="B66" s="151"/>
      <c r="C66" s="151"/>
      <c r="D66" s="92">
        <v>59</v>
      </c>
      <c r="E66" s="19" t="s">
        <v>477</v>
      </c>
      <c r="F66" s="92" t="s">
        <v>18</v>
      </c>
      <c r="G66" s="92" t="s">
        <v>478</v>
      </c>
      <c r="H66" s="92" t="s">
        <v>1</v>
      </c>
      <c r="I66" s="92" t="s">
        <v>15</v>
      </c>
      <c r="J66" s="19"/>
      <c r="K66" s="58">
        <v>35508</v>
      </c>
      <c r="L66" s="59">
        <f t="shared" si="4"/>
        <v>1997</v>
      </c>
      <c r="M66" s="59">
        <f t="shared" si="5"/>
        <v>22</v>
      </c>
      <c r="N66" s="92" t="s">
        <v>3</v>
      </c>
      <c r="O66" s="92"/>
      <c r="P66" s="19" t="s">
        <v>46</v>
      </c>
      <c r="Q66" s="92"/>
      <c r="R66" s="19" t="s">
        <v>16</v>
      </c>
    </row>
    <row r="67" spans="2:18" ht="25.5" x14ac:dyDescent="0.2">
      <c r="B67" s="151"/>
      <c r="C67" s="151"/>
      <c r="D67" s="92">
        <v>60</v>
      </c>
      <c r="E67" s="19" t="s">
        <v>479</v>
      </c>
      <c r="F67" s="92" t="s">
        <v>18</v>
      </c>
      <c r="G67" s="92" t="s">
        <v>480</v>
      </c>
      <c r="H67" s="92" t="s">
        <v>1</v>
      </c>
      <c r="I67" s="92" t="s">
        <v>15</v>
      </c>
      <c r="J67" s="19"/>
      <c r="K67" s="58">
        <v>39358</v>
      </c>
      <c r="L67" s="59">
        <f t="shared" si="4"/>
        <v>2007</v>
      </c>
      <c r="M67" s="59">
        <f t="shared" si="5"/>
        <v>12</v>
      </c>
      <c r="N67" s="92" t="s">
        <v>3</v>
      </c>
      <c r="O67" s="92"/>
      <c r="P67" s="19" t="s">
        <v>16</v>
      </c>
      <c r="Q67" s="92"/>
      <c r="R67" s="19" t="s">
        <v>16</v>
      </c>
    </row>
    <row r="68" spans="2:18" ht="25.5" x14ac:dyDescent="0.2">
      <c r="B68" s="151">
        <v>13</v>
      </c>
      <c r="C68" s="151" t="s">
        <v>2451</v>
      </c>
      <c r="D68" s="92">
        <v>61</v>
      </c>
      <c r="E68" s="19" t="s">
        <v>481</v>
      </c>
      <c r="F68" s="92" t="s">
        <v>7</v>
      </c>
      <c r="G68" s="92" t="s">
        <v>482</v>
      </c>
      <c r="H68" s="92" t="s">
        <v>1</v>
      </c>
      <c r="I68" s="92" t="s">
        <v>2</v>
      </c>
      <c r="J68" s="19" t="s">
        <v>1672</v>
      </c>
      <c r="K68" s="58">
        <v>34448</v>
      </c>
      <c r="L68" s="59">
        <v>1994</v>
      </c>
      <c r="M68" s="59">
        <f>2019-1994</f>
        <v>25</v>
      </c>
      <c r="N68" s="92" t="s">
        <v>3</v>
      </c>
      <c r="O68" s="92"/>
      <c r="P68" s="19" t="s">
        <v>1677</v>
      </c>
      <c r="Q68" s="92"/>
      <c r="R68" s="19" t="s">
        <v>39</v>
      </c>
    </row>
    <row r="69" spans="2:18" ht="25.5" x14ac:dyDescent="0.2">
      <c r="B69" s="151"/>
      <c r="C69" s="151"/>
      <c r="D69" s="92">
        <v>62</v>
      </c>
      <c r="E69" s="19" t="s">
        <v>483</v>
      </c>
      <c r="F69" s="92" t="s">
        <v>12</v>
      </c>
      <c r="G69" s="92" t="s">
        <v>484</v>
      </c>
      <c r="H69" s="92" t="s">
        <v>10</v>
      </c>
      <c r="I69" s="92" t="s">
        <v>2</v>
      </c>
      <c r="J69" s="19" t="s">
        <v>1623</v>
      </c>
      <c r="K69" s="58">
        <v>28192</v>
      </c>
      <c r="L69" s="59">
        <v>1977</v>
      </c>
      <c r="M69" s="59">
        <f>2019-1977</f>
        <v>42</v>
      </c>
      <c r="N69" s="92" t="s">
        <v>3</v>
      </c>
      <c r="O69" s="92"/>
      <c r="P69" s="19" t="s">
        <v>1677</v>
      </c>
      <c r="Q69" s="92"/>
      <c r="R69" s="19" t="s">
        <v>1764</v>
      </c>
    </row>
    <row r="70" spans="2:18" ht="25.5" x14ac:dyDescent="0.2">
      <c r="B70" s="151"/>
      <c r="C70" s="151"/>
      <c r="D70" s="92">
        <v>63</v>
      </c>
      <c r="E70" s="19" t="s">
        <v>485</v>
      </c>
      <c r="F70" s="92" t="s">
        <v>18</v>
      </c>
      <c r="G70" s="92" t="s">
        <v>486</v>
      </c>
      <c r="H70" s="92" t="s">
        <v>10</v>
      </c>
      <c r="I70" s="92" t="s">
        <v>15</v>
      </c>
      <c r="J70" s="19" t="s">
        <v>1623</v>
      </c>
      <c r="K70" s="58">
        <v>41661</v>
      </c>
      <c r="L70" s="59">
        <v>2014</v>
      </c>
      <c r="M70" s="59">
        <f>2019-2014</f>
        <v>5</v>
      </c>
      <c r="N70" s="92" t="s">
        <v>3</v>
      </c>
      <c r="O70" s="92"/>
      <c r="P70" s="19" t="s">
        <v>1733</v>
      </c>
      <c r="Q70" s="92"/>
      <c r="R70" s="19" t="s">
        <v>1638</v>
      </c>
    </row>
    <row r="71" spans="2:18" ht="25.5" x14ac:dyDescent="0.2">
      <c r="B71" s="151">
        <v>14</v>
      </c>
      <c r="C71" s="151" t="s">
        <v>1933</v>
      </c>
      <c r="D71" s="92">
        <v>64</v>
      </c>
      <c r="E71" s="19" t="s">
        <v>487</v>
      </c>
      <c r="F71" s="92" t="s">
        <v>7</v>
      </c>
      <c r="G71" s="92" t="s">
        <v>488</v>
      </c>
      <c r="H71" s="92" t="s">
        <v>10</v>
      </c>
      <c r="I71" s="92" t="s">
        <v>21</v>
      </c>
      <c r="J71" s="19" t="s">
        <v>1623</v>
      </c>
      <c r="K71" s="58">
        <v>25203</v>
      </c>
      <c r="L71" s="59">
        <v>1968</v>
      </c>
      <c r="M71" s="59">
        <f>2019-1968</f>
        <v>51</v>
      </c>
      <c r="N71" s="92" t="s">
        <v>3</v>
      </c>
      <c r="O71" s="92" t="s">
        <v>1632</v>
      </c>
      <c r="P71" s="19" t="s">
        <v>1732</v>
      </c>
      <c r="Q71" s="92"/>
      <c r="R71" s="19" t="s">
        <v>1764</v>
      </c>
    </row>
    <row r="72" spans="2:18" ht="25.5" x14ac:dyDescent="0.2">
      <c r="B72" s="151"/>
      <c r="C72" s="151"/>
      <c r="D72" s="92">
        <v>65</v>
      </c>
      <c r="E72" s="19" t="s">
        <v>1934</v>
      </c>
      <c r="F72" s="92" t="s">
        <v>18</v>
      </c>
      <c r="G72" s="92" t="s">
        <v>489</v>
      </c>
      <c r="H72" s="92" t="s">
        <v>1</v>
      </c>
      <c r="I72" s="92" t="s">
        <v>15</v>
      </c>
      <c r="J72" s="19" t="s">
        <v>1898</v>
      </c>
      <c r="K72" s="58">
        <v>34337</v>
      </c>
      <c r="L72" s="59">
        <v>1994</v>
      </c>
      <c r="M72" s="59">
        <f>2019-1994</f>
        <v>25</v>
      </c>
      <c r="N72" s="92" t="s">
        <v>3</v>
      </c>
      <c r="O72" s="92" t="s">
        <v>1632</v>
      </c>
      <c r="P72" s="19" t="s">
        <v>1677</v>
      </c>
      <c r="Q72" s="92"/>
      <c r="R72" s="19" t="s">
        <v>1625</v>
      </c>
    </row>
    <row r="73" spans="2:18" ht="25.5" x14ac:dyDescent="0.2">
      <c r="B73" s="151"/>
      <c r="C73" s="151"/>
      <c r="D73" s="92">
        <v>66</v>
      </c>
      <c r="E73" s="19" t="s">
        <v>490</v>
      </c>
      <c r="F73" s="92" t="s">
        <v>18</v>
      </c>
      <c r="G73" s="92" t="s">
        <v>491</v>
      </c>
      <c r="H73" s="92" t="s">
        <v>1</v>
      </c>
      <c r="I73" s="92" t="s">
        <v>15</v>
      </c>
      <c r="J73" s="19" t="s">
        <v>1623</v>
      </c>
      <c r="K73" s="58">
        <v>36368</v>
      </c>
      <c r="L73" s="59">
        <v>1999</v>
      </c>
      <c r="M73" s="59">
        <f>2019-1999</f>
        <v>20</v>
      </c>
      <c r="N73" s="92" t="s">
        <v>3</v>
      </c>
      <c r="O73" s="92" t="s">
        <v>1632</v>
      </c>
      <c r="P73" s="19" t="s">
        <v>1641</v>
      </c>
      <c r="Q73" s="92"/>
      <c r="R73" s="19" t="s">
        <v>1625</v>
      </c>
    </row>
    <row r="74" spans="2:18" ht="25.5" x14ac:dyDescent="0.2">
      <c r="B74" s="151"/>
      <c r="C74" s="151"/>
      <c r="D74" s="92">
        <v>67</v>
      </c>
      <c r="E74" s="19" t="s">
        <v>1935</v>
      </c>
      <c r="F74" s="92" t="s">
        <v>18</v>
      </c>
      <c r="G74" s="92" t="s">
        <v>492</v>
      </c>
      <c r="H74" s="92" t="s">
        <v>1</v>
      </c>
      <c r="I74" s="92" t="s">
        <v>15</v>
      </c>
      <c r="J74" s="19" t="s">
        <v>1623</v>
      </c>
      <c r="K74" s="58">
        <v>37641</v>
      </c>
      <c r="L74" s="59">
        <v>2003</v>
      </c>
      <c r="M74" s="59">
        <f>2019-2003</f>
        <v>16</v>
      </c>
      <c r="N74" s="92" t="s">
        <v>3</v>
      </c>
      <c r="O74" s="92" t="s">
        <v>1632</v>
      </c>
      <c r="P74" s="19" t="s">
        <v>1732</v>
      </c>
      <c r="Q74" s="92"/>
      <c r="R74" s="19" t="s">
        <v>1625</v>
      </c>
    </row>
    <row r="75" spans="2:18" ht="25.5" x14ac:dyDescent="0.2">
      <c r="B75" s="151"/>
      <c r="C75" s="151"/>
      <c r="D75" s="92">
        <v>68</v>
      </c>
      <c r="E75" s="19" t="s">
        <v>1936</v>
      </c>
      <c r="F75" s="92" t="s">
        <v>18</v>
      </c>
      <c r="G75" s="92" t="s">
        <v>493</v>
      </c>
      <c r="H75" s="92" t="s">
        <v>1</v>
      </c>
      <c r="I75" s="92" t="s">
        <v>15</v>
      </c>
      <c r="J75" s="19" t="s">
        <v>1623</v>
      </c>
      <c r="K75" s="58">
        <v>39658</v>
      </c>
      <c r="L75" s="59">
        <v>2008</v>
      </c>
      <c r="M75" s="59">
        <f>2019-2008</f>
        <v>11</v>
      </c>
      <c r="N75" s="92" t="s">
        <v>3</v>
      </c>
      <c r="O75" s="92" t="s">
        <v>1632</v>
      </c>
      <c r="P75" s="19" t="s">
        <v>1635</v>
      </c>
      <c r="Q75" s="92"/>
      <c r="R75" s="19" t="s">
        <v>1625</v>
      </c>
    </row>
    <row r="76" spans="2:18" x14ac:dyDescent="0.2">
      <c r="B76" s="151">
        <v>15</v>
      </c>
      <c r="C76" s="151"/>
      <c r="D76" s="92">
        <v>69</v>
      </c>
      <c r="E76" s="19"/>
      <c r="F76" s="92" t="s">
        <v>7</v>
      </c>
      <c r="G76" s="92" t="s">
        <v>494</v>
      </c>
      <c r="H76" s="92" t="s">
        <v>10</v>
      </c>
      <c r="I76" s="92" t="s">
        <v>21</v>
      </c>
      <c r="J76" s="19"/>
      <c r="K76" s="58">
        <v>22259</v>
      </c>
      <c r="L76" s="59">
        <f t="shared" ref="L76:L80" si="6">YEAR(K76)</f>
        <v>1960</v>
      </c>
      <c r="M76" s="59">
        <f t="shared" ref="M76:M80" si="7">2019-L76</f>
        <v>59</v>
      </c>
      <c r="N76" s="92" t="s">
        <v>3</v>
      </c>
      <c r="O76" s="92"/>
      <c r="P76" s="19" t="s">
        <v>4</v>
      </c>
      <c r="Q76" s="92"/>
      <c r="R76" s="19" t="s">
        <v>11</v>
      </c>
    </row>
    <row r="77" spans="2:18" ht="25.5" x14ac:dyDescent="0.2">
      <c r="B77" s="151"/>
      <c r="C77" s="151"/>
      <c r="D77" s="92">
        <v>70</v>
      </c>
      <c r="E77" s="19" t="s">
        <v>495</v>
      </c>
      <c r="F77" s="92" t="s">
        <v>18</v>
      </c>
      <c r="G77" s="92" t="s">
        <v>496</v>
      </c>
      <c r="H77" s="92" t="s">
        <v>1</v>
      </c>
      <c r="I77" s="92" t="s">
        <v>15</v>
      </c>
      <c r="J77" s="19"/>
      <c r="K77" s="58">
        <v>31810</v>
      </c>
      <c r="L77" s="59">
        <f t="shared" si="6"/>
        <v>1987</v>
      </c>
      <c r="M77" s="59">
        <f t="shared" si="7"/>
        <v>32</v>
      </c>
      <c r="N77" s="92" t="s">
        <v>3</v>
      </c>
      <c r="O77" s="92"/>
      <c r="P77" s="19" t="s">
        <v>4</v>
      </c>
      <c r="Q77" s="92"/>
      <c r="R77" s="19" t="s">
        <v>39</v>
      </c>
    </row>
    <row r="78" spans="2:18" ht="25.5" x14ac:dyDescent="0.2">
      <c r="B78" s="151"/>
      <c r="C78" s="151"/>
      <c r="D78" s="92">
        <v>71</v>
      </c>
      <c r="E78" s="19" t="s">
        <v>497</v>
      </c>
      <c r="F78" s="92" t="s">
        <v>18</v>
      </c>
      <c r="G78" s="92" t="s">
        <v>498</v>
      </c>
      <c r="H78" s="92" t="s">
        <v>1</v>
      </c>
      <c r="I78" s="92" t="s">
        <v>15</v>
      </c>
      <c r="J78" s="19"/>
      <c r="K78" s="58">
        <v>33369</v>
      </c>
      <c r="L78" s="59">
        <f t="shared" si="6"/>
        <v>1991</v>
      </c>
      <c r="M78" s="59">
        <f t="shared" si="7"/>
        <v>28</v>
      </c>
      <c r="N78" s="92" t="s">
        <v>3</v>
      </c>
      <c r="O78" s="92"/>
      <c r="P78" s="19" t="s">
        <v>4</v>
      </c>
      <c r="Q78" s="92"/>
      <c r="R78" s="19" t="s">
        <v>39</v>
      </c>
    </row>
    <row r="79" spans="2:18" x14ac:dyDescent="0.2">
      <c r="B79" s="151">
        <v>16</v>
      </c>
      <c r="C79" s="151"/>
      <c r="D79" s="92">
        <v>72</v>
      </c>
      <c r="E79" s="19" t="s">
        <v>499</v>
      </c>
      <c r="F79" s="92" t="s">
        <v>21</v>
      </c>
      <c r="G79" s="92" t="s">
        <v>500</v>
      </c>
      <c r="H79" s="92" t="s">
        <v>10</v>
      </c>
      <c r="I79" s="92" t="s">
        <v>21</v>
      </c>
      <c r="J79" s="19"/>
      <c r="K79" s="58">
        <v>22828</v>
      </c>
      <c r="L79" s="59">
        <f t="shared" si="6"/>
        <v>1962</v>
      </c>
      <c r="M79" s="59">
        <f t="shared" si="7"/>
        <v>57</v>
      </c>
      <c r="N79" s="92" t="s">
        <v>3</v>
      </c>
      <c r="O79" s="92"/>
      <c r="P79" s="19" t="s">
        <v>46</v>
      </c>
      <c r="Q79" s="92"/>
      <c r="R79" s="19" t="s">
        <v>17</v>
      </c>
    </row>
    <row r="80" spans="2:18" x14ac:dyDescent="0.2">
      <c r="B80" s="151"/>
      <c r="C80" s="151"/>
      <c r="D80" s="92">
        <v>73</v>
      </c>
      <c r="E80" s="19" t="s">
        <v>501</v>
      </c>
      <c r="F80" s="92" t="s">
        <v>18</v>
      </c>
      <c r="G80" s="92" t="s">
        <v>502</v>
      </c>
      <c r="H80" s="92" t="s">
        <v>1</v>
      </c>
      <c r="I80" s="92" t="s">
        <v>15</v>
      </c>
      <c r="J80" s="19"/>
      <c r="K80" s="58">
        <v>33100</v>
      </c>
      <c r="L80" s="59">
        <f t="shared" si="6"/>
        <v>1990</v>
      </c>
      <c r="M80" s="59">
        <f t="shared" si="7"/>
        <v>29</v>
      </c>
      <c r="N80" s="92" t="s">
        <v>3</v>
      </c>
      <c r="O80" s="92"/>
      <c r="P80" s="19" t="s">
        <v>27</v>
      </c>
      <c r="Q80" s="92"/>
      <c r="R80" s="19" t="s">
        <v>39</v>
      </c>
    </row>
    <row r="81" spans="2:18" ht="25.5" x14ac:dyDescent="0.2">
      <c r="B81" s="151">
        <v>17</v>
      </c>
      <c r="C81" s="151" t="s">
        <v>1905</v>
      </c>
      <c r="D81" s="92">
        <v>74</v>
      </c>
      <c r="E81" s="19" t="s">
        <v>503</v>
      </c>
      <c r="F81" s="92" t="s">
        <v>7</v>
      </c>
      <c r="G81" s="92" t="s">
        <v>1907</v>
      </c>
      <c r="H81" s="92" t="s">
        <v>1</v>
      </c>
      <c r="I81" s="92" t="s">
        <v>2</v>
      </c>
      <c r="J81" s="19" t="s">
        <v>1631</v>
      </c>
      <c r="K81" s="58">
        <v>14983</v>
      </c>
      <c r="L81" s="59">
        <v>1941</v>
      </c>
      <c r="M81" s="59">
        <f>2019-1941</f>
        <v>78</v>
      </c>
      <c r="N81" s="92" t="s">
        <v>3</v>
      </c>
      <c r="O81" s="92" t="s">
        <v>1632</v>
      </c>
      <c r="P81" s="19" t="s">
        <v>1732</v>
      </c>
      <c r="Q81" s="92"/>
      <c r="R81" s="19" t="s">
        <v>1808</v>
      </c>
    </row>
    <row r="82" spans="2:18" ht="25.5" x14ac:dyDescent="0.2">
      <c r="B82" s="151"/>
      <c r="C82" s="151"/>
      <c r="D82" s="92">
        <v>75</v>
      </c>
      <c r="E82" s="19" t="s">
        <v>504</v>
      </c>
      <c r="F82" s="92" t="s">
        <v>12</v>
      </c>
      <c r="G82" s="92" t="s">
        <v>1908</v>
      </c>
      <c r="H82" s="92" t="s">
        <v>10</v>
      </c>
      <c r="I82" s="92" t="s">
        <v>2</v>
      </c>
      <c r="J82" s="19" t="s">
        <v>1631</v>
      </c>
      <c r="K82" s="58">
        <v>26305</v>
      </c>
      <c r="L82" s="59">
        <v>1972</v>
      </c>
      <c r="M82" s="59">
        <f>2019-1972</f>
        <v>47</v>
      </c>
      <c r="N82" s="92" t="s">
        <v>3</v>
      </c>
      <c r="O82" s="92" t="s">
        <v>1632</v>
      </c>
      <c r="P82" s="19" t="s">
        <v>1732</v>
      </c>
      <c r="Q82" s="92"/>
      <c r="R82" s="19" t="s">
        <v>1808</v>
      </c>
    </row>
    <row r="83" spans="2:18" ht="25.5" x14ac:dyDescent="0.2">
      <c r="B83" s="151"/>
      <c r="C83" s="151"/>
      <c r="D83" s="92">
        <v>76</v>
      </c>
      <c r="E83" s="19" t="s">
        <v>505</v>
      </c>
      <c r="F83" s="92" t="s">
        <v>18</v>
      </c>
      <c r="G83" s="92" t="s">
        <v>1909</v>
      </c>
      <c r="H83" s="92" t="s">
        <v>1</v>
      </c>
      <c r="I83" s="92" t="s">
        <v>15</v>
      </c>
      <c r="J83" s="19" t="s">
        <v>1631</v>
      </c>
      <c r="K83" s="58">
        <v>34036</v>
      </c>
      <c r="L83" s="59">
        <v>1993</v>
      </c>
      <c r="M83" s="59">
        <f>2019-1993</f>
        <v>26</v>
      </c>
      <c r="N83" s="92" t="s">
        <v>3</v>
      </c>
      <c r="O83" s="92" t="s">
        <v>1632</v>
      </c>
      <c r="P83" s="19" t="s">
        <v>1641</v>
      </c>
      <c r="Q83" s="92"/>
      <c r="R83" s="19" t="s">
        <v>39</v>
      </c>
    </row>
    <row r="84" spans="2:18" ht="25.5" x14ac:dyDescent="0.2">
      <c r="B84" s="151"/>
      <c r="C84" s="151"/>
      <c r="D84" s="92">
        <v>77</v>
      </c>
      <c r="E84" s="19" t="s">
        <v>1906</v>
      </c>
      <c r="F84" s="92" t="s">
        <v>18</v>
      </c>
      <c r="G84" s="92" t="s">
        <v>1910</v>
      </c>
      <c r="H84" s="92" t="s">
        <v>10</v>
      </c>
      <c r="I84" s="92" t="s">
        <v>15</v>
      </c>
      <c r="J84" s="19" t="s">
        <v>1631</v>
      </c>
      <c r="K84" s="58">
        <v>34761</v>
      </c>
      <c r="L84" s="59">
        <v>1995</v>
      </c>
      <c r="M84" s="59">
        <f>2019-1995</f>
        <v>24</v>
      </c>
      <c r="N84" s="92" t="s">
        <v>3</v>
      </c>
      <c r="O84" s="92" t="s">
        <v>1632</v>
      </c>
      <c r="P84" s="19" t="s">
        <v>1641</v>
      </c>
      <c r="Q84" s="92"/>
      <c r="R84" s="19" t="s">
        <v>39</v>
      </c>
    </row>
    <row r="85" spans="2:18" ht="25.5" x14ac:dyDescent="0.2">
      <c r="B85" s="151"/>
      <c r="C85" s="151"/>
      <c r="D85" s="92">
        <v>78</v>
      </c>
      <c r="E85" s="19" t="s">
        <v>506</v>
      </c>
      <c r="F85" s="92" t="s">
        <v>18</v>
      </c>
      <c r="G85" s="92" t="s">
        <v>1911</v>
      </c>
      <c r="H85" s="92" t="s">
        <v>10</v>
      </c>
      <c r="I85" s="92" t="s">
        <v>15</v>
      </c>
      <c r="J85" s="19" t="s">
        <v>1631</v>
      </c>
      <c r="K85" s="58">
        <v>36160</v>
      </c>
      <c r="L85" s="59">
        <v>1998</v>
      </c>
      <c r="M85" s="59">
        <f>2019-1998</f>
        <v>21</v>
      </c>
      <c r="N85" s="92" t="s">
        <v>3</v>
      </c>
      <c r="O85" s="92" t="s">
        <v>1632</v>
      </c>
      <c r="P85" s="19" t="s">
        <v>1677</v>
      </c>
      <c r="Q85" s="92"/>
      <c r="R85" s="19" t="s">
        <v>1625</v>
      </c>
    </row>
    <row r="86" spans="2:18" ht="25.5" x14ac:dyDescent="0.2">
      <c r="B86" s="151"/>
      <c r="C86" s="151"/>
      <c r="D86" s="92">
        <v>79</v>
      </c>
      <c r="E86" s="19" t="s">
        <v>507</v>
      </c>
      <c r="F86" s="92" t="s">
        <v>18</v>
      </c>
      <c r="G86" s="92" t="s">
        <v>1912</v>
      </c>
      <c r="H86" s="92" t="s">
        <v>10</v>
      </c>
      <c r="I86" s="92" t="s">
        <v>15</v>
      </c>
      <c r="J86" s="19" t="s">
        <v>1631</v>
      </c>
      <c r="K86" s="58">
        <v>39592</v>
      </c>
      <c r="L86" s="59">
        <v>2008</v>
      </c>
      <c r="M86" s="59">
        <f>2019-2008</f>
        <v>11</v>
      </c>
      <c r="N86" s="92" t="s">
        <v>3</v>
      </c>
      <c r="O86" s="92" t="s">
        <v>1632</v>
      </c>
      <c r="P86" s="19" t="s">
        <v>1635</v>
      </c>
      <c r="Q86" s="92"/>
      <c r="R86" s="19" t="s">
        <v>1625</v>
      </c>
    </row>
    <row r="87" spans="2:18" ht="25.5" x14ac:dyDescent="0.2">
      <c r="B87" s="151">
        <v>18</v>
      </c>
      <c r="C87" s="151" t="s">
        <v>2459</v>
      </c>
      <c r="D87" s="92">
        <v>80</v>
      </c>
      <c r="E87" s="19" t="s">
        <v>508</v>
      </c>
      <c r="F87" s="92" t="s">
        <v>7</v>
      </c>
      <c r="G87" s="92" t="s">
        <v>509</v>
      </c>
      <c r="H87" s="92" t="s">
        <v>1</v>
      </c>
      <c r="I87" s="92" t="s">
        <v>2</v>
      </c>
      <c r="J87" s="19" t="s">
        <v>1631</v>
      </c>
      <c r="K87" s="58">
        <v>17174</v>
      </c>
      <c r="L87" s="59">
        <v>1947</v>
      </c>
      <c r="M87" s="59">
        <f>2019-1947</f>
        <v>72</v>
      </c>
      <c r="N87" s="92" t="s">
        <v>3</v>
      </c>
      <c r="O87" s="92" t="s">
        <v>1632</v>
      </c>
      <c r="P87" s="19" t="s">
        <v>1732</v>
      </c>
      <c r="Q87" s="92"/>
      <c r="R87" s="19" t="s">
        <v>2460</v>
      </c>
    </row>
    <row r="88" spans="2:18" ht="25.5" x14ac:dyDescent="0.2">
      <c r="B88" s="151"/>
      <c r="C88" s="151"/>
      <c r="D88" s="92">
        <v>81</v>
      </c>
      <c r="E88" s="19" t="s">
        <v>9</v>
      </c>
      <c r="F88" s="92" t="s">
        <v>12</v>
      </c>
      <c r="G88" s="92" t="s">
        <v>510</v>
      </c>
      <c r="H88" s="92" t="s">
        <v>10</v>
      </c>
      <c r="I88" s="92" t="s">
        <v>2</v>
      </c>
      <c r="J88" s="19" t="s">
        <v>1631</v>
      </c>
      <c r="K88" s="58">
        <v>20096</v>
      </c>
      <c r="L88" s="59">
        <v>1955</v>
      </c>
      <c r="M88" s="59">
        <f>2019-1955</f>
        <v>64</v>
      </c>
      <c r="N88" s="92" t="s">
        <v>3</v>
      </c>
      <c r="O88" s="92" t="s">
        <v>1632</v>
      </c>
      <c r="P88" s="19" t="s">
        <v>1732</v>
      </c>
      <c r="Q88" s="92"/>
      <c r="R88" s="19" t="s">
        <v>1808</v>
      </c>
    </row>
    <row r="89" spans="2:18" ht="25.5" x14ac:dyDescent="0.2">
      <c r="B89" s="151"/>
      <c r="C89" s="151"/>
      <c r="D89" s="92">
        <v>82</v>
      </c>
      <c r="E89" s="19" t="s">
        <v>780</v>
      </c>
      <c r="F89" s="92" t="s">
        <v>18</v>
      </c>
      <c r="G89" s="92" t="s">
        <v>511</v>
      </c>
      <c r="H89" s="92" t="s">
        <v>1</v>
      </c>
      <c r="I89" s="92" t="s">
        <v>15</v>
      </c>
      <c r="J89" s="19" t="s">
        <v>1623</v>
      </c>
      <c r="K89" s="58">
        <v>28542</v>
      </c>
      <c r="L89" s="59">
        <v>1978</v>
      </c>
      <c r="M89" s="59">
        <f>2019-1978</f>
        <v>41</v>
      </c>
      <c r="N89" s="92" t="s">
        <v>3</v>
      </c>
      <c r="O89" s="92" t="s">
        <v>1632</v>
      </c>
      <c r="P89" s="19" t="s">
        <v>1732</v>
      </c>
      <c r="Q89" s="92"/>
      <c r="R89" s="19" t="s">
        <v>1638</v>
      </c>
    </row>
    <row r="90" spans="2:18" ht="25.5" x14ac:dyDescent="0.2">
      <c r="B90" s="151">
        <v>19</v>
      </c>
      <c r="C90" s="151" t="s">
        <v>2462</v>
      </c>
      <c r="D90" s="92">
        <v>83</v>
      </c>
      <c r="E90" s="19" t="s">
        <v>512</v>
      </c>
      <c r="F90" s="92" t="s">
        <v>7</v>
      </c>
      <c r="G90" s="92" t="s">
        <v>513</v>
      </c>
      <c r="H90" s="92" t="s">
        <v>1</v>
      </c>
      <c r="I90" s="92" t="s">
        <v>2465</v>
      </c>
      <c r="J90" s="19" t="s">
        <v>1631</v>
      </c>
      <c r="K90" s="58">
        <v>30135</v>
      </c>
      <c r="L90" s="59">
        <v>1982</v>
      </c>
      <c r="M90" s="59">
        <f>2019-1982</f>
        <v>37</v>
      </c>
      <c r="N90" s="92" t="s">
        <v>3</v>
      </c>
      <c r="O90" s="92" t="s">
        <v>1632</v>
      </c>
      <c r="P90" s="19" t="s">
        <v>1677</v>
      </c>
      <c r="Q90" s="92"/>
      <c r="R90" s="19" t="s">
        <v>39</v>
      </c>
    </row>
    <row r="91" spans="2:18" x14ac:dyDescent="0.2">
      <c r="B91" s="151"/>
      <c r="C91" s="151"/>
      <c r="D91" s="92">
        <v>84</v>
      </c>
      <c r="E91" s="19" t="s">
        <v>514</v>
      </c>
      <c r="F91" s="92" t="s">
        <v>12</v>
      </c>
      <c r="G91" s="92" t="s">
        <v>2463</v>
      </c>
      <c r="H91" s="92" t="s">
        <v>10</v>
      </c>
      <c r="I91" s="92" t="s">
        <v>2465</v>
      </c>
      <c r="J91" s="19" t="s">
        <v>2466</v>
      </c>
      <c r="K91" s="58">
        <v>32582</v>
      </c>
      <c r="L91" s="59">
        <v>1989</v>
      </c>
      <c r="M91" s="59">
        <f>2019-1989</f>
        <v>30</v>
      </c>
      <c r="N91" s="92" t="s">
        <v>3</v>
      </c>
      <c r="O91" s="92" t="s">
        <v>1632</v>
      </c>
      <c r="P91" s="19" t="s">
        <v>1677</v>
      </c>
      <c r="Q91" s="92"/>
      <c r="R91" s="19" t="s">
        <v>39</v>
      </c>
    </row>
    <row r="92" spans="2:18" ht="25.5" x14ac:dyDescent="0.2">
      <c r="B92" s="151"/>
      <c r="C92" s="151"/>
      <c r="D92" s="92">
        <v>85</v>
      </c>
      <c r="E92" s="19" t="s">
        <v>2467</v>
      </c>
      <c r="F92" s="92" t="s">
        <v>18</v>
      </c>
      <c r="G92" s="92" t="s">
        <v>2464</v>
      </c>
      <c r="H92" s="92" t="s">
        <v>1</v>
      </c>
      <c r="I92" s="92" t="s">
        <v>15</v>
      </c>
      <c r="J92" s="19" t="s">
        <v>1631</v>
      </c>
      <c r="K92" s="58">
        <v>41404</v>
      </c>
      <c r="L92" s="59">
        <v>2013</v>
      </c>
      <c r="M92" s="59">
        <f>2019-2013</f>
        <v>6</v>
      </c>
      <c r="N92" s="92" t="s">
        <v>3</v>
      </c>
      <c r="O92" s="92" t="s">
        <v>1632</v>
      </c>
      <c r="P92" s="19" t="s">
        <v>1733</v>
      </c>
      <c r="Q92" s="92"/>
      <c r="R92" s="19" t="s">
        <v>1638</v>
      </c>
    </row>
    <row r="93" spans="2:18" ht="25.5" x14ac:dyDescent="0.2">
      <c r="B93" s="92">
        <v>20</v>
      </c>
      <c r="C93" s="92" t="s">
        <v>2450</v>
      </c>
      <c r="D93" s="92">
        <v>86</v>
      </c>
      <c r="E93" s="19" t="s">
        <v>515</v>
      </c>
      <c r="F93" s="92" t="s">
        <v>7</v>
      </c>
      <c r="G93" s="92" t="s">
        <v>516</v>
      </c>
      <c r="H93" s="92" t="s">
        <v>10</v>
      </c>
      <c r="I93" s="92" t="s">
        <v>1735</v>
      </c>
      <c r="J93" s="19" t="s">
        <v>1631</v>
      </c>
      <c r="K93" s="58">
        <v>18328</v>
      </c>
      <c r="L93" s="59">
        <v>1950</v>
      </c>
      <c r="M93" s="59">
        <f>2019-1950</f>
        <v>69</v>
      </c>
      <c r="N93" s="92" t="s">
        <v>3</v>
      </c>
      <c r="O93" s="92" t="s">
        <v>1632</v>
      </c>
      <c r="P93" s="19" t="s">
        <v>1635</v>
      </c>
      <c r="Q93" s="92"/>
      <c r="R93" s="19" t="s">
        <v>1764</v>
      </c>
    </row>
    <row r="94" spans="2:18" ht="25.5" x14ac:dyDescent="0.2">
      <c r="B94" s="152">
        <v>21</v>
      </c>
      <c r="C94" s="152" t="s">
        <v>2452</v>
      </c>
      <c r="D94" s="92">
        <v>87</v>
      </c>
      <c r="E94" s="19" t="s">
        <v>517</v>
      </c>
      <c r="F94" s="92" t="s">
        <v>7</v>
      </c>
      <c r="G94" s="92" t="s">
        <v>2452</v>
      </c>
      <c r="H94" s="92" t="s">
        <v>1</v>
      </c>
      <c r="I94" s="92" t="s">
        <v>2</v>
      </c>
      <c r="J94" s="112" t="s">
        <v>1631</v>
      </c>
      <c r="K94" s="58">
        <v>23559</v>
      </c>
      <c r="L94" s="59">
        <v>1964</v>
      </c>
      <c r="M94" s="59">
        <f>2019-1964</f>
        <v>55</v>
      </c>
      <c r="N94" s="92" t="s">
        <v>3</v>
      </c>
      <c r="O94" s="92" t="s">
        <v>1632</v>
      </c>
      <c r="P94" s="19" t="s">
        <v>1732</v>
      </c>
      <c r="Q94" s="92"/>
      <c r="R94" s="19" t="s">
        <v>1893</v>
      </c>
    </row>
    <row r="95" spans="2:18" ht="25.5" x14ac:dyDescent="0.2">
      <c r="B95" s="153"/>
      <c r="C95" s="153"/>
      <c r="D95" s="92">
        <v>88</v>
      </c>
      <c r="E95" s="19" t="s">
        <v>518</v>
      </c>
      <c r="F95" s="92" t="s">
        <v>12</v>
      </c>
      <c r="G95" s="92" t="s">
        <v>2453</v>
      </c>
      <c r="H95" s="92" t="s">
        <v>10</v>
      </c>
      <c r="I95" s="92" t="s">
        <v>2</v>
      </c>
      <c r="J95" s="19" t="s">
        <v>1631</v>
      </c>
      <c r="K95" s="58">
        <v>24844</v>
      </c>
      <c r="L95" s="59">
        <v>1968</v>
      </c>
      <c r="M95" s="59">
        <f>2019-1968</f>
        <v>51</v>
      </c>
      <c r="N95" s="92" t="s">
        <v>3</v>
      </c>
      <c r="O95" s="92" t="s">
        <v>1632</v>
      </c>
      <c r="P95" s="19" t="s">
        <v>1732</v>
      </c>
      <c r="Q95" s="92"/>
      <c r="R95" s="19" t="s">
        <v>1764</v>
      </c>
    </row>
    <row r="96" spans="2:18" ht="25.5" x14ac:dyDescent="0.2">
      <c r="B96" s="153"/>
      <c r="C96" s="153"/>
      <c r="D96" s="92">
        <v>89</v>
      </c>
      <c r="E96" s="19" t="s">
        <v>519</v>
      </c>
      <c r="F96" s="92" t="s">
        <v>18</v>
      </c>
      <c r="G96" s="92" t="s">
        <v>520</v>
      </c>
      <c r="H96" s="92" t="s">
        <v>1</v>
      </c>
      <c r="I96" s="92" t="s">
        <v>15</v>
      </c>
      <c r="J96" s="19"/>
      <c r="K96" s="58">
        <v>32001</v>
      </c>
      <c r="L96" s="59">
        <f t="shared" ref="L96:L97" si="8">YEAR(K96)</f>
        <v>1987</v>
      </c>
      <c r="M96" s="59">
        <f t="shared" ref="M96:M97" si="9">2019-L96</f>
        <v>32</v>
      </c>
      <c r="N96" s="92" t="s">
        <v>3</v>
      </c>
      <c r="O96" s="92"/>
      <c r="P96" s="19" t="s">
        <v>27</v>
      </c>
      <c r="Q96" s="92"/>
      <c r="R96" s="19" t="s">
        <v>39</v>
      </c>
    </row>
    <row r="97" spans="2:18" x14ac:dyDescent="0.2">
      <c r="B97" s="154"/>
      <c r="C97" s="154"/>
      <c r="D97" s="92">
        <v>90</v>
      </c>
      <c r="E97" s="19" t="s">
        <v>521</v>
      </c>
      <c r="F97" s="92" t="s">
        <v>18</v>
      </c>
      <c r="G97" s="92" t="s">
        <v>522</v>
      </c>
      <c r="H97" s="92" t="s">
        <v>10</v>
      </c>
      <c r="I97" s="92" t="s">
        <v>15</v>
      </c>
      <c r="J97" s="19"/>
      <c r="K97" s="58">
        <v>31777</v>
      </c>
      <c r="L97" s="59">
        <f t="shared" si="8"/>
        <v>1986</v>
      </c>
      <c r="M97" s="59">
        <f t="shared" si="9"/>
        <v>33</v>
      </c>
      <c r="N97" s="92" t="s">
        <v>3</v>
      </c>
      <c r="O97" s="92"/>
      <c r="P97" s="19" t="s">
        <v>27</v>
      </c>
      <c r="Q97" s="92"/>
      <c r="R97" s="19" t="s">
        <v>39</v>
      </c>
    </row>
    <row r="98" spans="2:18" ht="25.5" x14ac:dyDescent="0.2">
      <c r="B98" s="151">
        <v>22</v>
      </c>
      <c r="C98" s="151" t="s">
        <v>2461</v>
      </c>
      <c r="D98" s="92">
        <v>91</v>
      </c>
      <c r="E98" s="19" t="s">
        <v>523</v>
      </c>
      <c r="F98" s="92" t="s">
        <v>7</v>
      </c>
      <c r="G98" s="92" t="s">
        <v>524</v>
      </c>
      <c r="H98" s="92" t="s">
        <v>1</v>
      </c>
      <c r="I98" s="92" t="s">
        <v>15</v>
      </c>
      <c r="J98" s="19" t="s">
        <v>1631</v>
      </c>
      <c r="K98" s="58">
        <v>30999</v>
      </c>
      <c r="L98" s="59">
        <v>1984</v>
      </c>
      <c r="M98" s="59">
        <f>2019-1984</f>
        <v>35</v>
      </c>
      <c r="N98" s="92" t="s">
        <v>3</v>
      </c>
      <c r="O98" s="92" t="s">
        <v>1632</v>
      </c>
      <c r="P98" s="19" t="s">
        <v>1732</v>
      </c>
      <c r="Q98" s="92"/>
      <c r="R98" s="19" t="s">
        <v>39</v>
      </c>
    </row>
    <row r="99" spans="2:18" ht="25.5" x14ac:dyDescent="0.2">
      <c r="B99" s="151"/>
      <c r="C99" s="151"/>
      <c r="D99" s="92">
        <v>92</v>
      </c>
      <c r="E99" s="19" t="s">
        <v>525</v>
      </c>
      <c r="F99" s="92" t="s">
        <v>2241</v>
      </c>
      <c r="G99" s="92" t="s">
        <v>526</v>
      </c>
      <c r="H99" s="92" t="s">
        <v>1</v>
      </c>
      <c r="I99" s="92" t="s">
        <v>15</v>
      </c>
      <c r="J99" s="19" t="s">
        <v>1631</v>
      </c>
      <c r="K99" s="58">
        <v>33001</v>
      </c>
      <c r="L99" s="59">
        <v>1990</v>
      </c>
      <c r="M99" s="59">
        <f>2019-1990</f>
        <v>29</v>
      </c>
      <c r="N99" s="92" t="s">
        <v>3</v>
      </c>
      <c r="O99" s="92" t="s">
        <v>1632</v>
      </c>
      <c r="P99" s="19" t="s">
        <v>1641</v>
      </c>
      <c r="Q99" s="92"/>
      <c r="R99" s="19" t="s">
        <v>39</v>
      </c>
    </row>
    <row r="100" spans="2:18" ht="25.5" x14ac:dyDescent="0.2">
      <c r="B100" s="151">
        <v>23</v>
      </c>
      <c r="C100" s="151"/>
      <c r="D100" s="92">
        <v>93</v>
      </c>
      <c r="E100" s="19" t="s">
        <v>527</v>
      </c>
      <c r="F100" s="92" t="s">
        <v>7</v>
      </c>
      <c r="G100" s="92" t="s">
        <v>528</v>
      </c>
      <c r="H100" s="92" t="s">
        <v>1</v>
      </c>
      <c r="I100" s="92" t="s">
        <v>2</v>
      </c>
      <c r="J100" s="19"/>
      <c r="K100" s="58">
        <v>30177</v>
      </c>
      <c r="L100" s="59">
        <f t="shared" ref="L100:L104" si="10">YEAR(K100)</f>
        <v>1982</v>
      </c>
      <c r="M100" s="59">
        <f t="shared" ref="M100:M104" si="11">2019-L100</f>
        <v>37</v>
      </c>
      <c r="N100" s="92" t="s">
        <v>3</v>
      </c>
      <c r="O100" s="92"/>
      <c r="P100" s="19" t="s">
        <v>46</v>
      </c>
      <c r="Q100" s="92"/>
      <c r="R100" s="19" t="s">
        <v>11</v>
      </c>
    </row>
    <row r="101" spans="2:18" x14ac:dyDescent="0.2">
      <c r="B101" s="151"/>
      <c r="C101" s="151"/>
      <c r="D101" s="92">
        <v>94</v>
      </c>
      <c r="E101" s="19" t="s">
        <v>529</v>
      </c>
      <c r="F101" s="92" t="s">
        <v>12</v>
      </c>
      <c r="G101" s="92" t="s">
        <v>530</v>
      </c>
      <c r="H101" s="92" t="s">
        <v>10</v>
      </c>
      <c r="I101" s="92" t="s">
        <v>2</v>
      </c>
      <c r="J101" s="19"/>
      <c r="K101" s="58">
        <v>30498</v>
      </c>
      <c r="L101" s="59">
        <f t="shared" si="10"/>
        <v>1983</v>
      </c>
      <c r="M101" s="59">
        <f t="shared" si="11"/>
        <v>36</v>
      </c>
      <c r="N101" s="92" t="s">
        <v>3</v>
      </c>
      <c r="O101" s="92"/>
      <c r="P101" s="19" t="s">
        <v>46</v>
      </c>
      <c r="Q101" s="92"/>
      <c r="R101" s="19" t="s">
        <v>28</v>
      </c>
    </row>
    <row r="102" spans="2:18" ht="25.5" x14ac:dyDescent="0.2">
      <c r="B102" s="151"/>
      <c r="C102" s="151"/>
      <c r="D102" s="92">
        <v>95</v>
      </c>
      <c r="E102" s="19" t="s">
        <v>531</v>
      </c>
      <c r="F102" s="92" t="s">
        <v>18</v>
      </c>
      <c r="G102" s="92" t="s">
        <v>532</v>
      </c>
      <c r="H102" s="92" t="s">
        <v>1</v>
      </c>
      <c r="I102" s="92" t="s">
        <v>15</v>
      </c>
      <c r="J102" s="19"/>
      <c r="K102" s="58">
        <v>38011</v>
      </c>
      <c r="L102" s="59">
        <f t="shared" si="10"/>
        <v>2004</v>
      </c>
      <c r="M102" s="59">
        <f t="shared" si="11"/>
        <v>15</v>
      </c>
      <c r="N102" s="92" t="s">
        <v>3</v>
      </c>
      <c r="O102" s="92"/>
      <c r="P102" s="19" t="s">
        <v>16</v>
      </c>
      <c r="Q102" s="92"/>
      <c r="R102" s="19" t="s">
        <v>16</v>
      </c>
    </row>
    <row r="103" spans="2:18" ht="25.5" x14ac:dyDescent="0.2">
      <c r="B103" s="151"/>
      <c r="C103" s="151"/>
      <c r="D103" s="92">
        <v>96</v>
      </c>
      <c r="E103" s="19" t="s">
        <v>533</v>
      </c>
      <c r="F103" s="92" t="s">
        <v>18</v>
      </c>
      <c r="G103" s="92" t="s">
        <v>534</v>
      </c>
      <c r="H103" s="92" t="s">
        <v>10</v>
      </c>
      <c r="I103" s="92" t="s">
        <v>15</v>
      </c>
      <c r="J103" s="19"/>
      <c r="K103" s="58">
        <v>40014</v>
      </c>
      <c r="L103" s="59">
        <f t="shared" si="10"/>
        <v>2009</v>
      </c>
      <c r="M103" s="59">
        <f t="shared" si="11"/>
        <v>10</v>
      </c>
      <c r="N103" s="92" t="s">
        <v>3</v>
      </c>
      <c r="O103" s="92"/>
      <c r="P103" s="19" t="s">
        <v>16</v>
      </c>
      <c r="Q103" s="92"/>
      <c r="R103" s="19" t="s">
        <v>16</v>
      </c>
    </row>
    <row r="104" spans="2:18" x14ac:dyDescent="0.2">
      <c r="B104" s="92">
        <v>24</v>
      </c>
      <c r="C104" s="92"/>
      <c r="D104" s="92">
        <v>97</v>
      </c>
      <c r="E104" s="19" t="s">
        <v>535</v>
      </c>
      <c r="F104" s="92" t="s">
        <v>7</v>
      </c>
      <c r="G104" s="92" t="s">
        <v>536</v>
      </c>
      <c r="H104" s="92" t="s">
        <v>10</v>
      </c>
      <c r="I104" s="92" t="s">
        <v>21</v>
      </c>
      <c r="J104" s="19"/>
      <c r="K104" s="58">
        <v>25043</v>
      </c>
      <c r="L104" s="59">
        <f t="shared" si="10"/>
        <v>1968</v>
      </c>
      <c r="M104" s="59">
        <f t="shared" si="11"/>
        <v>51</v>
      </c>
      <c r="N104" s="92" t="s">
        <v>3</v>
      </c>
      <c r="O104" s="92"/>
      <c r="P104" s="19" t="s">
        <v>46</v>
      </c>
      <c r="Q104" s="92"/>
      <c r="R104" s="19" t="s">
        <v>39</v>
      </c>
    </row>
    <row r="105" spans="2:18" ht="25.5" x14ac:dyDescent="0.2">
      <c r="B105" s="92">
        <v>25</v>
      </c>
      <c r="C105" s="92" t="s">
        <v>1927</v>
      </c>
      <c r="D105" s="92">
        <v>98</v>
      </c>
      <c r="E105" s="19" t="s">
        <v>537</v>
      </c>
      <c r="F105" s="92" t="s">
        <v>7</v>
      </c>
      <c r="G105" s="92" t="s">
        <v>538</v>
      </c>
      <c r="H105" s="92" t="s">
        <v>1</v>
      </c>
      <c r="I105" s="92" t="s">
        <v>2</v>
      </c>
      <c r="J105" s="19" t="s">
        <v>1736</v>
      </c>
      <c r="K105" s="58">
        <v>9869</v>
      </c>
      <c r="L105" s="59">
        <v>1927</v>
      </c>
      <c r="M105" s="59">
        <f>2019-1927</f>
        <v>92</v>
      </c>
      <c r="N105" s="92" t="s">
        <v>3</v>
      </c>
      <c r="O105" s="92" t="s">
        <v>1632</v>
      </c>
      <c r="P105" s="19" t="s">
        <v>1732</v>
      </c>
      <c r="Q105" s="92"/>
      <c r="R105" s="19" t="s">
        <v>1638</v>
      </c>
    </row>
    <row r="106" spans="2:18" x14ac:dyDescent="0.2">
      <c r="B106" s="151">
        <v>26</v>
      </c>
      <c r="C106" s="151"/>
      <c r="D106" s="92">
        <v>99</v>
      </c>
      <c r="E106" s="19" t="s">
        <v>540</v>
      </c>
      <c r="F106" s="92" t="s">
        <v>7</v>
      </c>
      <c r="G106" s="92" t="s">
        <v>541</v>
      </c>
      <c r="H106" s="92" t="s">
        <v>10</v>
      </c>
      <c r="I106" s="92" t="s">
        <v>15</v>
      </c>
      <c r="J106" s="19"/>
      <c r="K106" s="58">
        <v>25203</v>
      </c>
      <c r="L106" s="59">
        <f t="shared" ref="L106:L116" si="12">YEAR(K106)</f>
        <v>1968</v>
      </c>
      <c r="M106" s="59">
        <f t="shared" ref="M106:M116" si="13">2019-L106</f>
        <v>51</v>
      </c>
      <c r="N106" s="92" t="s">
        <v>3</v>
      </c>
      <c r="O106" s="92"/>
      <c r="P106" s="19" t="s">
        <v>16</v>
      </c>
      <c r="Q106" s="92"/>
      <c r="R106" s="19" t="s">
        <v>28</v>
      </c>
    </row>
    <row r="107" spans="2:18" x14ac:dyDescent="0.2">
      <c r="B107" s="151"/>
      <c r="C107" s="151"/>
      <c r="D107" s="92">
        <v>100</v>
      </c>
      <c r="E107" s="19" t="s">
        <v>542</v>
      </c>
      <c r="F107" s="92" t="s">
        <v>24</v>
      </c>
      <c r="G107" s="92" t="s">
        <v>543</v>
      </c>
      <c r="H107" s="92" t="s">
        <v>10</v>
      </c>
      <c r="I107" s="92" t="s">
        <v>21</v>
      </c>
      <c r="J107" s="19"/>
      <c r="K107" s="58">
        <v>15706</v>
      </c>
      <c r="L107" s="59">
        <f t="shared" si="12"/>
        <v>1942</v>
      </c>
      <c r="M107" s="59">
        <f t="shared" si="13"/>
        <v>77</v>
      </c>
      <c r="N107" s="92" t="s">
        <v>3</v>
      </c>
      <c r="O107" s="92"/>
      <c r="P107" s="19" t="s">
        <v>16</v>
      </c>
      <c r="Q107" s="92"/>
      <c r="R107" s="19" t="s">
        <v>16</v>
      </c>
    </row>
    <row r="108" spans="2:18" x14ac:dyDescent="0.2">
      <c r="B108" s="92">
        <v>27</v>
      </c>
      <c r="C108" s="92"/>
      <c r="D108" s="92">
        <v>101</v>
      </c>
      <c r="E108" s="19" t="s">
        <v>544</v>
      </c>
      <c r="F108" s="92" t="s">
        <v>7</v>
      </c>
      <c r="G108" s="92">
        <v>0</v>
      </c>
      <c r="H108" s="92" t="s">
        <v>10</v>
      </c>
      <c r="I108" s="92" t="s">
        <v>21</v>
      </c>
      <c r="J108" s="19"/>
      <c r="K108" s="58">
        <v>17349</v>
      </c>
      <c r="L108" s="59">
        <f t="shared" si="12"/>
        <v>1947</v>
      </c>
      <c r="M108" s="59">
        <f t="shared" si="13"/>
        <v>72</v>
      </c>
      <c r="N108" s="92" t="s">
        <v>3</v>
      </c>
      <c r="O108" s="92"/>
      <c r="P108" s="19" t="s">
        <v>16</v>
      </c>
      <c r="Q108" s="92"/>
      <c r="R108" s="19" t="s">
        <v>37</v>
      </c>
    </row>
    <row r="109" spans="2:18" x14ac:dyDescent="0.2">
      <c r="B109" s="151">
        <v>28</v>
      </c>
      <c r="C109" s="151"/>
      <c r="D109" s="92">
        <v>102</v>
      </c>
      <c r="E109" s="19" t="s">
        <v>545</v>
      </c>
      <c r="F109" s="92" t="s">
        <v>7</v>
      </c>
      <c r="G109" s="92" t="s">
        <v>546</v>
      </c>
      <c r="H109" s="92" t="s">
        <v>1</v>
      </c>
      <c r="I109" s="92" t="s">
        <v>2</v>
      </c>
      <c r="J109" s="19"/>
      <c r="K109" s="58">
        <v>26998</v>
      </c>
      <c r="L109" s="59">
        <f t="shared" si="12"/>
        <v>1973</v>
      </c>
      <c r="M109" s="59">
        <f t="shared" si="13"/>
        <v>46</v>
      </c>
      <c r="N109" s="92" t="s">
        <v>3</v>
      </c>
      <c r="O109" s="92"/>
      <c r="P109" s="19" t="s">
        <v>27</v>
      </c>
      <c r="Q109" s="92"/>
      <c r="R109" s="19" t="s">
        <v>39</v>
      </c>
    </row>
    <row r="110" spans="2:18" x14ac:dyDescent="0.2">
      <c r="B110" s="151"/>
      <c r="C110" s="151"/>
      <c r="D110" s="92">
        <v>103</v>
      </c>
      <c r="E110" s="19" t="s">
        <v>547</v>
      </c>
      <c r="F110" s="92" t="s">
        <v>12</v>
      </c>
      <c r="G110" s="92" t="s">
        <v>548</v>
      </c>
      <c r="H110" s="92" t="s">
        <v>10</v>
      </c>
      <c r="I110" s="92" t="s">
        <v>2</v>
      </c>
      <c r="J110" s="19"/>
      <c r="K110" s="58">
        <v>28964</v>
      </c>
      <c r="L110" s="59">
        <f t="shared" si="12"/>
        <v>1979</v>
      </c>
      <c r="M110" s="59">
        <f t="shared" si="13"/>
        <v>40</v>
      </c>
      <c r="N110" s="92" t="s">
        <v>3</v>
      </c>
      <c r="O110" s="92"/>
      <c r="P110" s="19" t="s">
        <v>35</v>
      </c>
      <c r="Q110" s="92"/>
      <c r="R110" s="19" t="s">
        <v>43</v>
      </c>
    </row>
    <row r="111" spans="2:18" ht="25.5" x14ac:dyDescent="0.2">
      <c r="B111" s="151"/>
      <c r="C111" s="151"/>
      <c r="D111" s="92">
        <v>104</v>
      </c>
      <c r="E111" s="19" t="s">
        <v>549</v>
      </c>
      <c r="F111" s="92" t="s">
        <v>18</v>
      </c>
      <c r="G111" s="92" t="s">
        <v>550</v>
      </c>
      <c r="H111" s="92" t="s">
        <v>1</v>
      </c>
      <c r="I111" s="92" t="s">
        <v>15</v>
      </c>
      <c r="J111" s="19"/>
      <c r="K111" s="58">
        <v>35716</v>
      </c>
      <c r="L111" s="59">
        <f t="shared" si="12"/>
        <v>1997</v>
      </c>
      <c r="M111" s="59">
        <f t="shared" si="13"/>
        <v>22</v>
      </c>
      <c r="N111" s="92" t="s">
        <v>3</v>
      </c>
      <c r="O111" s="92"/>
      <c r="P111" s="19" t="s">
        <v>35</v>
      </c>
      <c r="Q111" s="92"/>
      <c r="R111" s="19" t="s">
        <v>16</v>
      </c>
    </row>
    <row r="112" spans="2:18" ht="25.5" x14ac:dyDescent="0.2">
      <c r="B112" s="151"/>
      <c r="C112" s="151"/>
      <c r="D112" s="92">
        <v>105</v>
      </c>
      <c r="E112" s="19" t="s">
        <v>551</v>
      </c>
      <c r="F112" s="92" t="s">
        <v>18</v>
      </c>
      <c r="G112" s="92" t="s">
        <v>552</v>
      </c>
      <c r="H112" s="92" t="s">
        <v>1</v>
      </c>
      <c r="I112" s="92" t="s">
        <v>15</v>
      </c>
      <c r="J112" s="19"/>
      <c r="K112" s="58">
        <v>38209</v>
      </c>
      <c r="L112" s="59">
        <f t="shared" si="12"/>
        <v>2004</v>
      </c>
      <c r="M112" s="59">
        <f t="shared" si="13"/>
        <v>15</v>
      </c>
      <c r="N112" s="92" t="s">
        <v>3</v>
      </c>
      <c r="O112" s="92"/>
      <c r="P112" s="19" t="s">
        <v>16</v>
      </c>
      <c r="Q112" s="92"/>
      <c r="R112" s="19" t="s">
        <v>16</v>
      </c>
    </row>
    <row r="113" spans="2:18" ht="25.5" x14ac:dyDescent="0.2">
      <c r="B113" s="151"/>
      <c r="C113" s="151"/>
      <c r="D113" s="92">
        <v>106</v>
      </c>
      <c r="E113" s="19" t="s">
        <v>553</v>
      </c>
      <c r="F113" s="92" t="s">
        <v>18</v>
      </c>
      <c r="G113" s="92" t="s">
        <v>554</v>
      </c>
      <c r="H113" s="92" t="s">
        <v>10</v>
      </c>
      <c r="I113" s="92" t="s">
        <v>15</v>
      </c>
      <c r="J113" s="19"/>
      <c r="K113" s="58">
        <v>41382</v>
      </c>
      <c r="L113" s="59">
        <f t="shared" si="12"/>
        <v>2013</v>
      </c>
      <c r="M113" s="59">
        <f t="shared" si="13"/>
        <v>6</v>
      </c>
      <c r="N113" s="92" t="s">
        <v>3</v>
      </c>
      <c r="O113" s="92"/>
      <c r="P113" s="19" t="s">
        <v>16</v>
      </c>
      <c r="Q113" s="92"/>
      <c r="R113" s="19" t="s">
        <v>16</v>
      </c>
    </row>
    <row r="114" spans="2:18" x14ac:dyDescent="0.2">
      <c r="B114" s="151">
        <v>29</v>
      </c>
      <c r="C114" s="151"/>
      <c r="D114" s="92">
        <v>107</v>
      </c>
      <c r="E114" s="19" t="s">
        <v>555</v>
      </c>
      <c r="F114" s="92" t="s">
        <v>7</v>
      </c>
      <c r="G114" s="92" t="s">
        <v>556</v>
      </c>
      <c r="H114" s="92" t="s">
        <v>1</v>
      </c>
      <c r="I114" s="92" t="s">
        <v>2</v>
      </c>
      <c r="J114" s="19"/>
      <c r="K114" s="58">
        <v>32118</v>
      </c>
      <c r="L114" s="59">
        <f t="shared" si="12"/>
        <v>1987</v>
      </c>
      <c r="M114" s="59">
        <f t="shared" si="13"/>
        <v>32</v>
      </c>
      <c r="N114" s="92" t="s">
        <v>3</v>
      </c>
      <c r="O114" s="92"/>
      <c r="P114" s="19" t="s">
        <v>27</v>
      </c>
      <c r="Q114" s="92"/>
      <c r="R114" s="19" t="s">
        <v>39</v>
      </c>
    </row>
    <row r="115" spans="2:18" ht="25.5" x14ac:dyDescent="0.2">
      <c r="B115" s="151"/>
      <c r="C115" s="151"/>
      <c r="D115" s="92">
        <v>108</v>
      </c>
      <c r="E115" s="19" t="s">
        <v>557</v>
      </c>
      <c r="F115" s="92" t="s">
        <v>12</v>
      </c>
      <c r="G115" s="92" t="s">
        <v>558</v>
      </c>
      <c r="H115" s="92" t="s">
        <v>10</v>
      </c>
      <c r="I115" s="92" t="s">
        <v>2</v>
      </c>
      <c r="J115" s="19"/>
      <c r="K115" s="58">
        <v>34114</v>
      </c>
      <c r="L115" s="59">
        <f t="shared" si="12"/>
        <v>1993</v>
      </c>
      <c r="M115" s="59">
        <f t="shared" si="13"/>
        <v>26</v>
      </c>
      <c r="N115" s="92" t="s">
        <v>3</v>
      </c>
      <c r="O115" s="92"/>
      <c r="P115" s="19" t="s">
        <v>27</v>
      </c>
      <c r="Q115" s="92"/>
      <c r="R115" s="19" t="s">
        <v>39</v>
      </c>
    </row>
    <row r="116" spans="2:18" ht="38.25" x14ac:dyDescent="0.2">
      <c r="B116" s="151"/>
      <c r="C116" s="151"/>
      <c r="D116" s="92">
        <v>109</v>
      </c>
      <c r="E116" s="19" t="s">
        <v>559</v>
      </c>
      <c r="F116" s="92" t="s">
        <v>18</v>
      </c>
      <c r="G116" s="92" t="s">
        <v>560</v>
      </c>
      <c r="H116" s="92" t="s">
        <v>1</v>
      </c>
      <c r="I116" s="92" t="s">
        <v>15</v>
      </c>
      <c r="J116" s="19"/>
      <c r="K116" s="58">
        <v>41464</v>
      </c>
      <c r="L116" s="59">
        <f t="shared" si="12"/>
        <v>2013</v>
      </c>
      <c r="M116" s="59">
        <f t="shared" si="13"/>
        <v>6</v>
      </c>
      <c r="N116" s="92" t="s">
        <v>3</v>
      </c>
      <c r="O116" s="92"/>
      <c r="P116" s="19" t="s">
        <v>16</v>
      </c>
      <c r="Q116" s="92"/>
      <c r="R116" s="19" t="s">
        <v>16</v>
      </c>
    </row>
    <row r="117" spans="2:18" ht="25.5" x14ac:dyDescent="0.2">
      <c r="B117" s="151">
        <v>30</v>
      </c>
      <c r="C117" s="151" t="s">
        <v>1938</v>
      </c>
      <c r="D117" s="92">
        <v>110</v>
      </c>
      <c r="E117" s="19" t="s">
        <v>1939</v>
      </c>
      <c r="F117" s="92" t="s">
        <v>7</v>
      </c>
      <c r="G117" s="92" t="s">
        <v>1941</v>
      </c>
      <c r="H117" s="92" t="s">
        <v>1</v>
      </c>
      <c r="I117" s="92" t="s">
        <v>2</v>
      </c>
      <c r="J117" s="19" t="s">
        <v>1631</v>
      </c>
      <c r="K117" s="58">
        <v>29951</v>
      </c>
      <c r="L117" s="59">
        <v>1981</v>
      </c>
      <c r="M117" s="59">
        <f>2019-1981</f>
        <v>38</v>
      </c>
      <c r="N117" s="92" t="s">
        <v>3</v>
      </c>
      <c r="O117" s="92" t="s">
        <v>1632</v>
      </c>
      <c r="P117" s="19" t="s">
        <v>1677</v>
      </c>
      <c r="Q117" s="92"/>
      <c r="R117" s="19" t="s">
        <v>1809</v>
      </c>
    </row>
    <row r="118" spans="2:18" x14ac:dyDescent="0.2">
      <c r="B118" s="151"/>
      <c r="C118" s="151"/>
      <c r="D118" s="92">
        <v>111</v>
      </c>
      <c r="E118" s="19" t="s">
        <v>561</v>
      </c>
      <c r="F118" s="92" t="s">
        <v>12</v>
      </c>
      <c r="G118" s="92" t="s">
        <v>1942</v>
      </c>
      <c r="H118" s="92" t="s">
        <v>10</v>
      </c>
      <c r="I118" s="92" t="s">
        <v>2</v>
      </c>
      <c r="J118" s="19" t="s">
        <v>1944</v>
      </c>
      <c r="K118" s="58">
        <v>30091</v>
      </c>
      <c r="L118" s="59">
        <v>1982</v>
      </c>
      <c r="M118" s="59">
        <f>2019-1982</f>
        <v>37</v>
      </c>
      <c r="N118" s="92" t="s">
        <v>3</v>
      </c>
      <c r="O118" s="92" t="s">
        <v>1632</v>
      </c>
      <c r="P118" s="19" t="s">
        <v>1645</v>
      </c>
      <c r="Q118" s="92"/>
      <c r="R118" s="19" t="s">
        <v>1946</v>
      </c>
    </row>
    <row r="119" spans="2:18" ht="25.5" x14ac:dyDescent="0.2">
      <c r="B119" s="151"/>
      <c r="C119" s="151"/>
      <c r="D119" s="92">
        <v>112</v>
      </c>
      <c r="E119" s="19" t="s">
        <v>562</v>
      </c>
      <c r="F119" s="92" t="s">
        <v>18</v>
      </c>
      <c r="G119" s="92" t="s">
        <v>563</v>
      </c>
      <c r="H119" s="92" t="s">
        <v>1</v>
      </c>
      <c r="I119" s="92" t="s">
        <v>15</v>
      </c>
      <c r="J119" s="19" t="s">
        <v>1631</v>
      </c>
      <c r="K119" s="58">
        <v>39709</v>
      </c>
      <c r="L119" s="59">
        <v>2008</v>
      </c>
      <c r="M119" s="59">
        <f>2019-2008</f>
        <v>11</v>
      </c>
      <c r="N119" s="92" t="s">
        <v>3</v>
      </c>
      <c r="O119" s="92" t="s">
        <v>1632</v>
      </c>
      <c r="P119" s="19" t="s">
        <v>1635</v>
      </c>
      <c r="Q119" s="92"/>
      <c r="R119" s="19" t="s">
        <v>1625</v>
      </c>
    </row>
    <row r="120" spans="2:18" ht="38.25" x14ac:dyDescent="0.2">
      <c r="B120" s="151"/>
      <c r="C120" s="151"/>
      <c r="D120" s="92">
        <v>113</v>
      </c>
      <c r="E120" s="19" t="s">
        <v>1940</v>
      </c>
      <c r="F120" s="92" t="s">
        <v>18</v>
      </c>
      <c r="G120" s="92" t="s">
        <v>1943</v>
      </c>
      <c r="H120" s="92" t="s">
        <v>1</v>
      </c>
      <c r="I120" s="92" t="s">
        <v>15</v>
      </c>
      <c r="J120" s="19" t="s">
        <v>1631</v>
      </c>
      <c r="K120" s="58">
        <v>42379</v>
      </c>
      <c r="L120" s="59">
        <v>2016</v>
      </c>
      <c r="M120" s="59">
        <f>2019-2016</f>
        <v>3</v>
      </c>
      <c r="N120" s="92" t="s">
        <v>3</v>
      </c>
      <c r="O120" s="92" t="s">
        <v>1632</v>
      </c>
      <c r="P120" s="19" t="s">
        <v>1945</v>
      </c>
      <c r="Q120" s="92"/>
      <c r="R120" s="19" t="s">
        <v>1638</v>
      </c>
    </row>
    <row r="121" spans="2:18" x14ac:dyDescent="0.2">
      <c r="B121" s="92">
        <v>31</v>
      </c>
      <c r="C121" s="92"/>
      <c r="D121" s="92">
        <v>114</v>
      </c>
      <c r="E121" s="19" t="s">
        <v>564</v>
      </c>
      <c r="F121" s="92" t="s">
        <v>7</v>
      </c>
      <c r="G121" s="92">
        <v>0</v>
      </c>
      <c r="H121" s="92" t="s">
        <v>10</v>
      </c>
      <c r="I121" s="92" t="s">
        <v>21</v>
      </c>
      <c r="J121" s="19"/>
      <c r="K121" s="58">
        <v>17349</v>
      </c>
      <c r="L121" s="59">
        <f t="shared" ref="L121:L147" si="14">YEAR(K121)</f>
        <v>1947</v>
      </c>
      <c r="M121" s="59">
        <f t="shared" ref="M121:M147" si="15">2019-L121</f>
        <v>72</v>
      </c>
      <c r="N121" s="92" t="s">
        <v>3</v>
      </c>
      <c r="O121" s="92"/>
      <c r="P121" s="19" t="s">
        <v>16</v>
      </c>
      <c r="Q121" s="92"/>
      <c r="R121" s="19" t="s">
        <v>37</v>
      </c>
    </row>
    <row r="122" spans="2:18" x14ac:dyDescent="0.2">
      <c r="B122" s="151">
        <v>32</v>
      </c>
      <c r="C122" s="151"/>
      <c r="D122" s="92">
        <v>115</v>
      </c>
      <c r="E122" s="19" t="s">
        <v>565</v>
      </c>
      <c r="F122" s="92" t="s">
        <v>7</v>
      </c>
      <c r="G122" s="92" t="s">
        <v>566</v>
      </c>
      <c r="H122" s="92" t="s">
        <v>1</v>
      </c>
      <c r="I122" s="92" t="s">
        <v>2</v>
      </c>
      <c r="J122" s="19"/>
      <c r="K122" s="58">
        <v>28125</v>
      </c>
      <c r="L122" s="59">
        <f t="shared" si="14"/>
        <v>1976</v>
      </c>
      <c r="M122" s="59">
        <f t="shared" si="15"/>
        <v>43</v>
      </c>
      <c r="N122" s="92" t="s">
        <v>3</v>
      </c>
      <c r="O122" s="92"/>
      <c r="P122" s="19" t="s">
        <v>46</v>
      </c>
      <c r="Q122" s="92"/>
      <c r="R122" s="19" t="s">
        <v>28</v>
      </c>
    </row>
    <row r="123" spans="2:18" x14ac:dyDescent="0.2">
      <c r="B123" s="151"/>
      <c r="C123" s="151"/>
      <c r="D123" s="92">
        <v>116</v>
      </c>
      <c r="E123" s="19" t="s">
        <v>567</v>
      </c>
      <c r="F123" s="92" t="s">
        <v>12</v>
      </c>
      <c r="G123" s="92" t="s">
        <v>568</v>
      </c>
      <c r="H123" s="92" t="s">
        <v>10</v>
      </c>
      <c r="I123" s="92" t="s">
        <v>2</v>
      </c>
      <c r="J123" s="19"/>
      <c r="K123" s="58">
        <v>30249</v>
      </c>
      <c r="L123" s="59">
        <f t="shared" si="14"/>
        <v>1982</v>
      </c>
      <c r="M123" s="59">
        <f t="shared" si="15"/>
        <v>37</v>
      </c>
      <c r="N123" s="92" t="s">
        <v>3</v>
      </c>
      <c r="O123" s="92"/>
      <c r="P123" s="19" t="s">
        <v>27</v>
      </c>
      <c r="Q123" s="92"/>
      <c r="R123" s="19" t="s">
        <v>43</v>
      </c>
    </row>
    <row r="124" spans="2:18" ht="25.5" x14ac:dyDescent="0.2">
      <c r="B124" s="151"/>
      <c r="C124" s="151"/>
      <c r="D124" s="92">
        <v>117</v>
      </c>
      <c r="E124" s="19" t="s">
        <v>569</v>
      </c>
      <c r="F124" s="92" t="s">
        <v>18</v>
      </c>
      <c r="G124" s="92" t="s">
        <v>570</v>
      </c>
      <c r="H124" s="92" t="s">
        <v>1</v>
      </c>
      <c r="I124" s="92" t="s">
        <v>15</v>
      </c>
      <c r="J124" s="19"/>
      <c r="K124" s="58">
        <v>37533</v>
      </c>
      <c r="L124" s="59">
        <f t="shared" si="14"/>
        <v>2002</v>
      </c>
      <c r="M124" s="59">
        <f t="shared" si="15"/>
        <v>17</v>
      </c>
      <c r="N124" s="92" t="s">
        <v>3</v>
      </c>
      <c r="O124" s="92"/>
      <c r="P124" s="19" t="s">
        <v>46</v>
      </c>
      <c r="Q124" s="92"/>
      <c r="R124" s="19" t="s">
        <v>16</v>
      </c>
    </row>
    <row r="125" spans="2:18" ht="25.5" x14ac:dyDescent="0.2">
      <c r="B125" s="151"/>
      <c r="C125" s="151"/>
      <c r="D125" s="92">
        <v>118</v>
      </c>
      <c r="E125" s="19" t="s">
        <v>571</v>
      </c>
      <c r="F125" s="92" t="s">
        <v>18</v>
      </c>
      <c r="G125" s="92" t="s">
        <v>572</v>
      </c>
      <c r="H125" s="92" t="s">
        <v>1</v>
      </c>
      <c r="I125" s="92" t="s">
        <v>15</v>
      </c>
      <c r="J125" s="19"/>
      <c r="K125" s="58">
        <v>39242</v>
      </c>
      <c r="L125" s="59">
        <f t="shared" si="14"/>
        <v>2007</v>
      </c>
      <c r="M125" s="59">
        <f t="shared" si="15"/>
        <v>12</v>
      </c>
      <c r="N125" s="92" t="s">
        <v>3</v>
      </c>
      <c r="O125" s="92"/>
      <c r="P125" s="19" t="s">
        <v>16</v>
      </c>
      <c r="Q125" s="92"/>
      <c r="R125" s="19" t="s">
        <v>16</v>
      </c>
    </row>
    <row r="126" spans="2:18" x14ac:dyDescent="0.2">
      <c r="B126" s="151">
        <v>33</v>
      </c>
      <c r="C126" s="151"/>
      <c r="D126" s="92">
        <v>119</v>
      </c>
      <c r="E126" s="19" t="s">
        <v>573</v>
      </c>
      <c r="F126" s="92" t="s">
        <v>7</v>
      </c>
      <c r="G126" s="92" t="s">
        <v>574</v>
      </c>
      <c r="H126" s="92" t="s">
        <v>1</v>
      </c>
      <c r="I126" s="92" t="s">
        <v>2</v>
      </c>
      <c r="J126" s="19"/>
      <c r="K126" s="58">
        <v>31047</v>
      </c>
      <c r="L126" s="59">
        <f t="shared" si="14"/>
        <v>1984</v>
      </c>
      <c r="M126" s="59">
        <f t="shared" si="15"/>
        <v>35</v>
      </c>
      <c r="N126" s="92" t="s">
        <v>3</v>
      </c>
      <c r="O126" s="92"/>
      <c r="P126" s="19" t="s">
        <v>46</v>
      </c>
      <c r="Q126" s="92"/>
      <c r="R126" s="19" t="s">
        <v>28</v>
      </c>
    </row>
    <row r="127" spans="2:18" x14ac:dyDescent="0.2">
      <c r="B127" s="151"/>
      <c r="C127" s="151"/>
      <c r="D127" s="92">
        <v>120</v>
      </c>
      <c r="E127" s="19" t="s">
        <v>575</v>
      </c>
      <c r="F127" s="92" t="s">
        <v>12</v>
      </c>
      <c r="G127" s="92" t="s">
        <v>576</v>
      </c>
      <c r="H127" s="92" t="s">
        <v>10</v>
      </c>
      <c r="I127" s="92" t="s">
        <v>2</v>
      </c>
      <c r="J127" s="19"/>
      <c r="K127" s="58">
        <v>31047</v>
      </c>
      <c r="L127" s="59">
        <f t="shared" si="14"/>
        <v>1984</v>
      </c>
      <c r="M127" s="59">
        <f t="shared" si="15"/>
        <v>35</v>
      </c>
      <c r="N127" s="92" t="s">
        <v>3</v>
      </c>
      <c r="O127" s="92"/>
      <c r="P127" s="19" t="s">
        <v>46</v>
      </c>
      <c r="Q127" s="92"/>
      <c r="R127" s="19" t="s">
        <v>37</v>
      </c>
    </row>
    <row r="128" spans="2:18" ht="25.5" x14ac:dyDescent="0.2">
      <c r="B128" s="151"/>
      <c r="C128" s="151"/>
      <c r="D128" s="92">
        <v>121</v>
      </c>
      <c r="E128" s="19" t="s">
        <v>577</v>
      </c>
      <c r="F128" s="92" t="s">
        <v>18</v>
      </c>
      <c r="G128" s="92">
        <v>0</v>
      </c>
      <c r="H128" s="92" t="s">
        <v>1</v>
      </c>
      <c r="I128" s="92" t="s">
        <v>15</v>
      </c>
      <c r="J128" s="19"/>
      <c r="K128" s="58">
        <v>40323</v>
      </c>
      <c r="L128" s="59">
        <f t="shared" si="14"/>
        <v>2010</v>
      </c>
      <c r="M128" s="59">
        <f t="shared" si="15"/>
        <v>9</v>
      </c>
      <c r="N128" s="92" t="s">
        <v>3</v>
      </c>
      <c r="O128" s="92"/>
      <c r="P128" s="19" t="s">
        <v>16</v>
      </c>
      <c r="Q128" s="92"/>
      <c r="R128" s="19" t="s">
        <v>16</v>
      </c>
    </row>
    <row r="129" spans="2:18" ht="25.5" x14ac:dyDescent="0.2">
      <c r="B129" s="92">
        <v>34</v>
      </c>
      <c r="C129" s="92"/>
      <c r="D129" s="92">
        <v>122</v>
      </c>
      <c r="E129" s="19" t="s">
        <v>578</v>
      </c>
      <c r="F129" s="92" t="s">
        <v>7</v>
      </c>
      <c r="G129" s="92" t="s">
        <v>579</v>
      </c>
      <c r="H129" s="92" t="s">
        <v>10</v>
      </c>
      <c r="I129" s="92" t="s">
        <v>21</v>
      </c>
      <c r="J129" s="19"/>
      <c r="K129" s="58">
        <v>22281</v>
      </c>
      <c r="L129" s="59">
        <f t="shared" si="14"/>
        <v>1960</v>
      </c>
      <c r="M129" s="59">
        <f t="shared" si="15"/>
        <v>59</v>
      </c>
      <c r="N129" s="92" t="s">
        <v>3</v>
      </c>
      <c r="O129" s="92"/>
      <c r="P129" s="19" t="s">
        <v>46</v>
      </c>
      <c r="Q129" s="92"/>
      <c r="R129" s="19" t="s">
        <v>43</v>
      </c>
    </row>
    <row r="130" spans="2:18" x14ac:dyDescent="0.2">
      <c r="B130" s="151">
        <v>35</v>
      </c>
      <c r="C130" s="151"/>
      <c r="D130" s="92">
        <v>123</v>
      </c>
      <c r="E130" s="19" t="s">
        <v>580</v>
      </c>
      <c r="F130" s="92" t="s">
        <v>7</v>
      </c>
      <c r="G130" s="92" t="s">
        <v>581</v>
      </c>
      <c r="H130" s="92" t="s">
        <v>10</v>
      </c>
      <c r="I130" s="92" t="s">
        <v>21</v>
      </c>
      <c r="J130" s="19"/>
      <c r="K130" s="58">
        <v>20089</v>
      </c>
      <c r="L130" s="59">
        <f t="shared" si="14"/>
        <v>1954</v>
      </c>
      <c r="M130" s="59">
        <f t="shared" si="15"/>
        <v>65</v>
      </c>
      <c r="N130" s="92" t="s">
        <v>3</v>
      </c>
      <c r="O130" s="92"/>
      <c r="P130" s="19" t="s">
        <v>46</v>
      </c>
      <c r="Q130" s="92"/>
      <c r="R130" s="19" t="s">
        <v>43</v>
      </c>
    </row>
    <row r="131" spans="2:18" ht="25.5" x14ac:dyDescent="0.2">
      <c r="B131" s="151"/>
      <c r="C131" s="151"/>
      <c r="D131" s="92">
        <v>124</v>
      </c>
      <c r="E131" s="19" t="s">
        <v>582</v>
      </c>
      <c r="F131" s="92" t="s">
        <v>18</v>
      </c>
      <c r="G131" s="92" t="s">
        <v>583</v>
      </c>
      <c r="H131" s="92" t="s">
        <v>10</v>
      </c>
      <c r="I131" s="92" t="s">
        <v>15</v>
      </c>
      <c r="J131" s="19"/>
      <c r="K131" s="58">
        <v>34763</v>
      </c>
      <c r="L131" s="59">
        <f t="shared" si="14"/>
        <v>1995</v>
      </c>
      <c r="M131" s="59">
        <f t="shared" si="15"/>
        <v>24</v>
      </c>
      <c r="N131" s="92" t="s">
        <v>3</v>
      </c>
      <c r="O131" s="92"/>
      <c r="P131" s="19" t="s">
        <v>27</v>
      </c>
      <c r="Q131" s="92"/>
      <c r="R131" s="19" t="s">
        <v>16</v>
      </c>
    </row>
    <row r="132" spans="2:18" x14ac:dyDescent="0.2">
      <c r="B132" s="92">
        <v>36</v>
      </c>
      <c r="C132" s="92"/>
      <c r="D132" s="92">
        <v>125</v>
      </c>
      <c r="E132" s="19" t="s">
        <v>584</v>
      </c>
      <c r="F132" s="92" t="s">
        <v>7</v>
      </c>
      <c r="G132" s="92">
        <v>0</v>
      </c>
      <c r="H132" s="92" t="s">
        <v>10</v>
      </c>
      <c r="I132" s="92" t="s">
        <v>21</v>
      </c>
      <c r="J132" s="19"/>
      <c r="K132" s="58">
        <v>8218</v>
      </c>
      <c r="L132" s="59">
        <f t="shared" si="14"/>
        <v>1922</v>
      </c>
      <c r="M132" s="59">
        <f t="shared" si="15"/>
        <v>97</v>
      </c>
      <c r="N132" s="92" t="s">
        <v>3</v>
      </c>
      <c r="O132" s="92"/>
      <c r="P132" s="19" t="s">
        <v>16</v>
      </c>
      <c r="Q132" s="92"/>
      <c r="R132" s="19" t="s">
        <v>16</v>
      </c>
    </row>
    <row r="133" spans="2:18" x14ac:dyDescent="0.2">
      <c r="B133" s="151">
        <v>37</v>
      </c>
      <c r="C133" s="151"/>
      <c r="D133" s="92">
        <v>126</v>
      </c>
      <c r="E133" s="19" t="s">
        <v>585</v>
      </c>
      <c r="F133" s="92" t="s">
        <v>7</v>
      </c>
      <c r="G133" s="92" t="s">
        <v>586</v>
      </c>
      <c r="H133" s="92" t="s">
        <v>1</v>
      </c>
      <c r="I133" s="92" t="s">
        <v>2</v>
      </c>
      <c r="J133" s="19"/>
      <c r="K133" s="58">
        <v>31039</v>
      </c>
      <c r="L133" s="59">
        <f t="shared" si="14"/>
        <v>1984</v>
      </c>
      <c r="M133" s="59">
        <f t="shared" si="15"/>
        <v>35</v>
      </c>
      <c r="N133" s="92" t="s">
        <v>3</v>
      </c>
      <c r="O133" s="92"/>
      <c r="P133" s="19" t="s">
        <v>4</v>
      </c>
      <c r="Q133" s="92"/>
      <c r="R133" s="19" t="s">
        <v>39</v>
      </c>
    </row>
    <row r="134" spans="2:18" x14ac:dyDescent="0.2">
      <c r="B134" s="151"/>
      <c r="C134" s="151"/>
      <c r="D134" s="92">
        <v>127</v>
      </c>
      <c r="E134" s="19" t="s">
        <v>587</v>
      </c>
      <c r="F134" s="92" t="s">
        <v>12</v>
      </c>
      <c r="G134" s="92" t="s">
        <v>588</v>
      </c>
      <c r="H134" s="92" t="s">
        <v>10</v>
      </c>
      <c r="I134" s="92" t="s">
        <v>2</v>
      </c>
      <c r="J134" s="19"/>
      <c r="K134" s="58">
        <v>32847</v>
      </c>
      <c r="L134" s="59">
        <f t="shared" si="14"/>
        <v>1989</v>
      </c>
      <c r="M134" s="59">
        <f t="shared" si="15"/>
        <v>30</v>
      </c>
      <c r="N134" s="92" t="s">
        <v>3</v>
      </c>
      <c r="O134" s="92"/>
      <c r="P134" s="19" t="s">
        <v>4</v>
      </c>
      <c r="Q134" s="92"/>
      <c r="R134" s="19" t="s">
        <v>54</v>
      </c>
    </row>
    <row r="135" spans="2:18" ht="25.5" x14ac:dyDescent="0.2">
      <c r="B135" s="151"/>
      <c r="C135" s="151"/>
      <c r="D135" s="92">
        <v>128</v>
      </c>
      <c r="E135" s="19" t="s">
        <v>589</v>
      </c>
      <c r="F135" s="92" t="s">
        <v>18</v>
      </c>
      <c r="G135" s="92" t="s">
        <v>590</v>
      </c>
      <c r="H135" s="92" t="s">
        <v>10</v>
      </c>
      <c r="I135" s="92" t="s">
        <v>15</v>
      </c>
      <c r="J135" s="19"/>
      <c r="K135" s="58">
        <v>42011</v>
      </c>
      <c r="L135" s="59">
        <f t="shared" si="14"/>
        <v>2015</v>
      </c>
      <c r="M135" s="59">
        <f t="shared" si="15"/>
        <v>4</v>
      </c>
      <c r="N135" s="92" t="s">
        <v>3</v>
      </c>
      <c r="O135" s="92"/>
      <c r="P135" s="19" t="s">
        <v>16</v>
      </c>
      <c r="Q135" s="92"/>
      <c r="R135" s="19" t="s">
        <v>16</v>
      </c>
    </row>
    <row r="136" spans="2:18" ht="25.5" x14ac:dyDescent="0.2">
      <c r="B136" s="151">
        <v>38</v>
      </c>
      <c r="C136" s="151"/>
      <c r="D136" s="92">
        <v>129</v>
      </c>
      <c r="E136" s="19" t="s">
        <v>796</v>
      </c>
      <c r="F136" s="92" t="s">
        <v>7</v>
      </c>
      <c r="G136" s="92" t="s">
        <v>1992</v>
      </c>
      <c r="H136" s="92" t="s">
        <v>1</v>
      </c>
      <c r="I136" s="92" t="s">
        <v>2</v>
      </c>
      <c r="J136" s="19" t="s">
        <v>1994</v>
      </c>
      <c r="K136" s="58">
        <v>20827</v>
      </c>
      <c r="L136" s="59">
        <f t="shared" si="14"/>
        <v>1957</v>
      </c>
      <c r="M136" s="59">
        <f t="shared" si="15"/>
        <v>62</v>
      </c>
      <c r="N136" s="92" t="s">
        <v>3</v>
      </c>
      <c r="O136" s="50" t="s">
        <v>1632</v>
      </c>
      <c r="P136" s="19" t="s">
        <v>1732</v>
      </c>
      <c r="Q136" s="60"/>
      <c r="R136" s="19" t="s">
        <v>1808</v>
      </c>
    </row>
    <row r="137" spans="2:18" ht="25.5" x14ac:dyDescent="0.2">
      <c r="B137" s="151"/>
      <c r="C137" s="151"/>
      <c r="D137" s="92">
        <v>130</v>
      </c>
      <c r="E137" s="19" t="s">
        <v>499</v>
      </c>
      <c r="F137" s="92" t="s">
        <v>12</v>
      </c>
      <c r="G137" s="92" t="s">
        <v>500</v>
      </c>
      <c r="H137" s="92" t="s">
        <v>10</v>
      </c>
      <c r="I137" s="92" t="s">
        <v>2</v>
      </c>
      <c r="J137" s="19" t="s">
        <v>1631</v>
      </c>
      <c r="K137" s="58">
        <v>22653</v>
      </c>
      <c r="L137" s="59">
        <f t="shared" si="14"/>
        <v>1962</v>
      </c>
      <c r="M137" s="59">
        <f t="shared" si="15"/>
        <v>57</v>
      </c>
      <c r="N137" s="92" t="s">
        <v>3</v>
      </c>
      <c r="O137" s="50" t="s">
        <v>1632</v>
      </c>
      <c r="P137" s="19" t="s">
        <v>1732</v>
      </c>
      <c r="Q137" s="60"/>
      <c r="R137" s="19" t="s">
        <v>1764</v>
      </c>
    </row>
    <row r="138" spans="2:18" x14ac:dyDescent="0.2">
      <c r="B138" s="151"/>
      <c r="C138" s="151"/>
      <c r="D138" s="92">
        <v>131</v>
      </c>
      <c r="E138" s="19" t="s">
        <v>501</v>
      </c>
      <c r="F138" s="92" t="s">
        <v>18</v>
      </c>
      <c r="G138" s="92" t="s">
        <v>1993</v>
      </c>
      <c r="H138" s="92" t="s">
        <v>1</v>
      </c>
      <c r="I138" s="92" t="s">
        <v>15</v>
      </c>
      <c r="J138" s="19" t="s">
        <v>1994</v>
      </c>
      <c r="K138" s="58">
        <v>33100</v>
      </c>
      <c r="L138" s="59">
        <f t="shared" si="14"/>
        <v>1990</v>
      </c>
      <c r="M138" s="59">
        <f t="shared" si="15"/>
        <v>29</v>
      </c>
      <c r="N138" s="92" t="s">
        <v>3</v>
      </c>
      <c r="O138" s="92" t="s">
        <v>1632</v>
      </c>
      <c r="P138" s="19" t="s">
        <v>1677</v>
      </c>
      <c r="Q138" s="60"/>
      <c r="R138" s="19" t="s">
        <v>39</v>
      </c>
    </row>
    <row r="139" spans="2:18" ht="25.5" x14ac:dyDescent="0.2">
      <c r="B139" s="151">
        <v>39</v>
      </c>
      <c r="C139" s="151" t="s">
        <v>1995</v>
      </c>
      <c r="D139" s="92">
        <v>132</v>
      </c>
      <c r="E139" s="19" t="s">
        <v>1996</v>
      </c>
      <c r="F139" s="92" t="s">
        <v>7</v>
      </c>
      <c r="G139" s="92" t="s">
        <v>1999</v>
      </c>
      <c r="H139" s="92" t="s">
        <v>1</v>
      </c>
      <c r="I139" s="92" t="s">
        <v>1735</v>
      </c>
      <c r="J139" s="19" t="s">
        <v>1631</v>
      </c>
      <c r="K139" s="58">
        <v>28855</v>
      </c>
      <c r="L139" s="59">
        <f t="shared" si="14"/>
        <v>1978</v>
      </c>
      <c r="M139" s="59">
        <f t="shared" si="15"/>
        <v>41</v>
      </c>
      <c r="N139" s="50" t="s">
        <v>3</v>
      </c>
      <c r="O139" s="50" t="s">
        <v>1632</v>
      </c>
      <c r="P139" s="113" t="s">
        <v>1677</v>
      </c>
      <c r="Q139" s="60"/>
      <c r="R139" s="114" t="s">
        <v>39</v>
      </c>
    </row>
    <row r="140" spans="2:18" ht="25.5" x14ac:dyDescent="0.2">
      <c r="B140" s="151"/>
      <c r="C140" s="151"/>
      <c r="D140" s="92">
        <v>133</v>
      </c>
      <c r="E140" s="19" t="s">
        <v>1997</v>
      </c>
      <c r="F140" s="92" t="s">
        <v>18</v>
      </c>
      <c r="G140" s="92" t="s">
        <v>2000</v>
      </c>
      <c r="H140" s="92" t="s">
        <v>10</v>
      </c>
      <c r="I140" s="92" t="s">
        <v>15</v>
      </c>
      <c r="J140" s="19" t="s">
        <v>1898</v>
      </c>
      <c r="K140" s="58">
        <v>38043</v>
      </c>
      <c r="L140" s="59">
        <f t="shared" si="14"/>
        <v>2004</v>
      </c>
      <c r="M140" s="59">
        <f t="shared" si="15"/>
        <v>15</v>
      </c>
      <c r="N140" s="50" t="s">
        <v>3</v>
      </c>
      <c r="O140" s="50" t="s">
        <v>1632</v>
      </c>
      <c r="P140" s="113" t="s">
        <v>1677</v>
      </c>
      <c r="Q140" s="60"/>
      <c r="R140" s="114" t="s">
        <v>1625</v>
      </c>
    </row>
    <row r="141" spans="2:18" ht="25.5" x14ac:dyDescent="0.2">
      <c r="B141" s="151"/>
      <c r="C141" s="151"/>
      <c r="D141" s="92">
        <v>134</v>
      </c>
      <c r="E141" s="19" t="s">
        <v>1998</v>
      </c>
      <c r="F141" s="92" t="s">
        <v>18</v>
      </c>
      <c r="G141" s="92" t="s">
        <v>2001</v>
      </c>
      <c r="H141" s="92" t="s">
        <v>10</v>
      </c>
      <c r="I141" s="92" t="s">
        <v>15</v>
      </c>
      <c r="J141" s="19" t="s">
        <v>1898</v>
      </c>
      <c r="K141" s="58">
        <v>40379</v>
      </c>
      <c r="L141" s="59">
        <f t="shared" si="14"/>
        <v>2010</v>
      </c>
      <c r="M141" s="59">
        <f t="shared" si="15"/>
        <v>9</v>
      </c>
      <c r="N141" s="50" t="s">
        <v>3</v>
      </c>
      <c r="O141" s="50" t="s">
        <v>1632</v>
      </c>
      <c r="P141" s="113" t="s">
        <v>1635</v>
      </c>
      <c r="Q141" s="60"/>
      <c r="R141" s="114" t="s">
        <v>1625</v>
      </c>
    </row>
    <row r="142" spans="2:18" ht="25.5" x14ac:dyDescent="0.2">
      <c r="B142" s="151">
        <v>40</v>
      </c>
      <c r="C142" s="151" t="s">
        <v>2002</v>
      </c>
      <c r="D142" s="92">
        <v>135</v>
      </c>
      <c r="E142" s="19" t="s">
        <v>2003</v>
      </c>
      <c r="F142" s="50" t="s">
        <v>7</v>
      </c>
      <c r="G142" s="50" t="s">
        <v>727</v>
      </c>
      <c r="H142" s="50" t="s">
        <v>1</v>
      </c>
      <c r="I142" s="50" t="s">
        <v>2</v>
      </c>
      <c r="J142" s="113" t="s">
        <v>2011</v>
      </c>
      <c r="K142" s="58">
        <v>27029</v>
      </c>
      <c r="L142" s="59">
        <f t="shared" si="14"/>
        <v>1973</v>
      </c>
      <c r="M142" s="59">
        <f t="shared" si="15"/>
        <v>46</v>
      </c>
      <c r="N142" s="50" t="s">
        <v>3</v>
      </c>
      <c r="O142" s="50" t="s">
        <v>1632</v>
      </c>
      <c r="P142" s="113" t="s">
        <v>1677</v>
      </c>
      <c r="Q142" s="50"/>
      <c r="R142" s="113" t="s">
        <v>39</v>
      </c>
    </row>
    <row r="143" spans="2:18" x14ac:dyDescent="0.2">
      <c r="B143" s="151"/>
      <c r="C143" s="151"/>
      <c r="D143" s="92">
        <v>136</v>
      </c>
      <c r="E143" s="19" t="s">
        <v>2004</v>
      </c>
      <c r="F143" s="92" t="s">
        <v>12</v>
      </c>
      <c r="G143" s="92" t="s">
        <v>2008</v>
      </c>
      <c r="H143" s="92" t="s">
        <v>10</v>
      </c>
      <c r="I143" s="92" t="s">
        <v>2</v>
      </c>
      <c r="J143" s="19" t="s">
        <v>1623</v>
      </c>
      <c r="K143" s="58">
        <v>26664</v>
      </c>
      <c r="L143" s="59">
        <f t="shared" si="14"/>
        <v>1972</v>
      </c>
      <c r="M143" s="59">
        <f t="shared" si="15"/>
        <v>47</v>
      </c>
      <c r="N143" s="50" t="s">
        <v>3</v>
      </c>
      <c r="O143" s="50" t="s">
        <v>1632</v>
      </c>
      <c r="P143" s="113" t="s">
        <v>1677</v>
      </c>
      <c r="Q143" s="50"/>
      <c r="R143" s="113" t="s">
        <v>39</v>
      </c>
    </row>
    <row r="144" spans="2:18" ht="25.5" x14ac:dyDescent="0.2">
      <c r="B144" s="151"/>
      <c r="C144" s="151"/>
      <c r="D144" s="92">
        <v>137</v>
      </c>
      <c r="E144" s="19" t="s">
        <v>730</v>
      </c>
      <c r="F144" s="92" t="s">
        <v>18</v>
      </c>
      <c r="G144" s="92" t="s">
        <v>2009</v>
      </c>
      <c r="H144" s="92" t="s">
        <v>1</v>
      </c>
      <c r="I144" s="92" t="s">
        <v>15</v>
      </c>
      <c r="J144" s="19" t="s">
        <v>1623</v>
      </c>
      <c r="K144" s="58">
        <v>35827</v>
      </c>
      <c r="L144" s="59">
        <f t="shared" si="14"/>
        <v>1998</v>
      </c>
      <c r="M144" s="59">
        <f t="shared" si="15"/>
        <v>21</v>
      </c>
      <c r="N144" s="50" t="s">
        <v>3</v>
      </c>
      <c r="O144" s="50" t="s">
        <v>1632</v>
      </c>
      <c r="P144" s="113" t="s">
        <v>1732</v>
      </c>
      <c r="Q144" s="50"/>
      <c r="R144" s="113" t="s">
        <v>1625</v>
      </c>
    </row>
    <row r="145" spans="2:18" ht="25.5" x14ac:dyDescent="0.2">
      <c r="B145" s="151"/>
      <c r="C145" s="151"/>
      <c r="D145" s="92">
        <v>138</v>
      </c>
      <c r="E145" s="19" t="s">
        <v>2005</v>
      </c>
      <c r="F145" s="92" t="s">
        <v>18</v>
      </c>
      <c r="G145" s="92" t="s">
        <v>733</v>
      </c>
      <c r="H145" s="92" t="s">
        <v>10</v>
      </c>
      <c r="I145" s="92" t="s">
        <v>15</v>
      </c>
      <c r="J145" s="19" t="s">
        <v>1623</v>
      </c>
      <c r="K145" s="58">
        <v>37583</v>
      </c>
      <c r="L145" s="59">
        <f t="shared" si="14"/>
        <v>2002</v>
      </c>
      <c r="M145" s="59">
        <f t="shared" si="15"/>
        <v>17</v>
      </c>
      <c r="N145" s="50" t="s">
        <v>3</v>
      </c>
      <c r="O145" s="50" t="s">
        <v>1632</v>
      </c>
      <c r="P145" s="113" t="s">
        <v>1635</v>
      </c>
      <c r="Q145" s="50"/>
      <c r="R145" s="113" t="s">
        <v>1625</v>
      </c>
    </row>
    <row r="146" spans="2:18" ht="25.5" x14ac:dyDescent="0.2">
      <c r="B146" s="151">
        <v>41</v>
      </c>
      <c r="C146" s="151" t="s">
        <v>2119</v>
      </c>
      <c r="D146" s="92">
        <v>139</v>
      </c>
      <c r="E146" s="19" t="s">
        <v>2006</v>
      </c>
      <c r="F146" s="92" t="s">
        <v>18</v>
      </c>
      <c r="G146" s="92" t="s">
        <v>2010</v>
      </c>
      <c r="H146" s="92" t="s">
        <v>1</v>
      </c>
      <c r="I146" s="92" t="s">
        <v>15</v>
      </c>
      <c r="J146" s="19" t="s">
        <v>1623</v>
      </c>
      <c r="K146" s="58">
        <v>37749</v>
      </c>
      <c r="L146" s="59">
        <f t="shared" si="14"/>
        <v>2003</v>
      </c>
      <c r="M146" s="59">
        <f t="shared" si="15"/>
        <v>16</v>
      </c>
      <c r="N146" s="50" t="s">
        <v>3</v>
      </c>
      <c r="O146" s="50" t="s">
        <v>1632</v>
      </c>
      <c r="P146" s="113" t="s">
        <v>1733</v>
      </c>
      <c r="Q146" s="50"/>
      <c r="R146" s="113" t="s">
        <v>1638</v>
      </c>
    </row>
    <row r="147" spans="2:18" ht="25.5" x14ac:dyDescent="0.2">
      <c r="B147" s="151"/>
      <c r="C147" s="151"/>
      <c r="D147" s="92">
        <v>140</v>
      </c>
      <c r="E147" s="19" t="s">
        <v>2007</v>
      </c>
      <c r="F147" s="92" t="s">
        <v>18</v>
      </c>
      <c r="G147" s="50" t="s">
        <v>737</v>
      </c>
      <c r="H147" s="92" t="s">
        <v>1</v>
      </c>
      <c r="I147" s="92" t="s">
        <v>15</v>
      </c>
      <c r="J147" s="19" t="s">
        <v>1898</v>
      </c>
      <c r="K147" s="58">
        <v>40524</v>
      </c>
      <c r="L147" s="59">
        <f t="shared" si="14"/>
        <v>2010</v>
      </c>
      <c r="M147" s="59">
        <f t="shared" si="15"/>
        <v>9</v>
      </c>
      <c r="N147" s="50" t="s">
        <v>3</v>
      </c>
      <c r="O147" s="50" t="s">
        <v>1632</v>
      </c>
      <c r="P147" s="113" t="s">
        <v>1733</v>
      </c>
      <c r="Q147" s="50"/>
      <c r="R147" s="113" t="s">
        <v>1638</v>
      </c>
    </row>
    <row r="148" spans="2:18" ht="25.5" x14ac:dyDescent="0.2">
      <c r="B148" s="151"/>
      <c r="C148" s="151"/>
      <c r="D148" s="92">
        <v>141</v>
      </c>
      <c r="E148" s="19" t="s">
        <v>2120</v>
      </c>
      <c r="F148" s="92" t="s">
        <v>7</v>
      </c>
      <c r="G148" s="92" t="s">
        <v>2125</v>
      </c>
      <c r="H148" s="92" t="s">
        <v>1</v>
      </c>
      <c r="I148" s="92" t="s">
        <v>2</v>
      </c>
      <c r="J148" s="19" t="s">
        <v>2130</v>
      </c>
      <c r="K148" s="58">
        <v>30328</v>
      </c>
      <c r="L148" s="59">
        <v>1983</v>
      </c>
      <c r="M148" s="59">
        <f>2019-1983</f>
        <v>36</v>
      </c>
      <c r="N148" s="50" t="s">
        <v>3</v>
      </c>
      <c r="O148" s="50" t="s">
        <v>1632</v>
      </c>
      <c r="P148" s="113" t="s">
        <v>2131</v>
      </c>
      <c r="Q148" s="60"/>
      <c r="R148" s="113" t="s">
        <v>1946</v>
      </c>
    </row>
    <row r="149" spans="2:18" ht="25.5" x14ac:dyDescent="0.2">
      <c r="B149" s="151"/>
      <c r="C149" s="151"/>
      <c r="D149" s="92">
        <v>142</v>
      </c>
      <c r="E149" s="19" t="s">
        <v>2121</v>
      </c>
      <c r="F149" s="92" t="s">
        <v>12</v>
      </c>
      <c r="G149" s="92" t="s">
        <v>2126</v>
      </c>
      <c r="H149" s="92" t="s">
        <v>10</v>
      </c>
      <c r="I149" s="92" t="s">
        <v>2</v>
      </c>
      <c r="J149" s="19" t="s">
        <v>2061</v>
      </c>
      <c r="K149" s="58">
        <v>33572</v>
      </c>
      <c r="L149" s="59">
        <v>1991</v>
      </c>
      <c r="M149" s="59">
        <f>2019-1991</f>
        <v>28</v>
      </c>
      <c r="N149" s="50" t="s">
        <v>3</v>
      </c>
      <c r="O149" s="50" t="s">
        <v>1632</v>
      </c>
      <c r="P149" s="113" t="s">
        <v>1677</v>
      </c>
      <c r="Q149" s="60"/>
      <c r="R149" s="113" t="s">
        <v>1764</v>
      </c>
    </row>
    <row r="150" spans="2:18" ht="25.5" x14ac:dyDescent="0.2">
      <c r="B150" s="151"/>
      <c r="C150" s="151"/>
      <c r="D150" s="92">
        <v>143</v>
      </c>
      <c r="E150" s="19" t="s">
        <v>2122</v>
      </c>
      <c r="F150" s="92" t="s">
        <v>18</v>
      </c>
      <c r="G150" s="92" t="s">
        <v>2127</v>
      </c>
      <c r="H150" s="92" t="s">
        <v>10</v>
      </c>
      <c r="I150" s="92" t="s">
        <v>15</v>
      </c>
      <c r="J150" s="19" t="s">
        <v>2061</v>
      </c>
      <c r="K150" s="58">
        <v>40531</v>
      </c>
      <c r="L150" s="59">
        <v>2010</v>
      </c>
      <c r="M150" s="59">
        <f>2019-2010</f>
        <v>9</v>
      </c>
      <c r="N150" s="50" t="s">
        <v>3</v>
      </c>
      <c r="O150" s="50" t="s">
        <v>1632</v>
      </c>
      <c r="P150" s="113" t="s">
        <v>1733</v>
      </c>
      <c r="Q150" s="60"/>
      <c r="R150" s="113" t="s">
        <v>1638</v>
      </c>
    </row>
    <row r="151" spans="2:18" ht="25.5" x14ac:dyDescent="0.2">
      <c r="B151" s="151"/>
      <c r="C151" s="151"/>
      <c r="D151" s="92">
        <v>144</v>
      </c>
      <c r="E151" s="19" t="s">
        <v>2123</v>
      </c>
      <c r="F151" s="92" t="s">
        <v>18</v>
      </c>
      <c r="G151" s="92" t="s">
        <v>2128</v>
      </c>
      <c r="H151" s="92" t="s">
        <v>1</v>
      </c>
      <c r="I151" s="92" t="s">
        <v>15</v>
      </c>
      <c r="J151" s="19" t="s">
        <v>1631</v>
      </c>
      <c r="K151" s="58">
        <v>41424</v>
      </c>
      <c r="L151" s="59">
        <v>2013</v>
      </c>
      <c r="M151" s="59">
        <f>2019-2013</f>
        <v>6</v>
      </c>
      <c r="N151" s="50" t="s">
        <v>3</v>
      </c>
      <c r="O151" s="50" t="s">
        <v>1632</v>
      </c>
      <c r="P151" s="113" t="s">
        <v>1733</v>
      </c>
      <c r="Q151" s="60"/>
      <c r="R151" s="113" t="s">
        <v>1638</v>
      </c>
    </row>
    <row r="152" spans="2:18" ht="25.5" x14ac:dyDescent="0.2">
      <c r="B152" s="151"/>
      <c r="C152" s="151"/>
      <c r="D152" s="92">
        <v>145</v>
      </c>
      <c r="E152" s="19" t="s">
        <v>2124</v>
      </c>
      <c r="F152" s="92" t="s">
        <v>18</v>
      </c>
      <c r="G152" s="92" t="s">
        <v>2129</v>
      </c>
      <c r="H152" s="92" t="s">
        <v>10</v>
      </c>
      <c r="I152" s="92" t="s">
        <v>15</v>
      </c>
      <c r="J152" s="19" t="s">
        <v>1623</v>
      </c>
      <c r="K152" s="58">
        <v>43411</v>
      </c>
      <c r="L152" s="59">
        <v>2018</v>
      </c>
      <c r="M152" s="59">
        <f>2019-2018</f>
        <v>1</v>
      </c>
      <c r="N152" s="50" t="s">
        <v>3</v>
      </c>
      <c r="O152" s="50" t="s">
        <v>1632</v>
      </c>
      <c r="P152" s="113" t="s">
        <v>1733</v>
      </c>
      <c r="Q152" s="60"/>
      <c r="R152" s="113" t="s">
        <v>1638</v>
      </c>
    </row>
    <row r="156" spans="2:18" s="57" customFormat="1" ht="15" x14ac:dyDescent="0.25">
      <c r="D156" s="166" t="s">
        <v>2509</v>
      </c>
      <c r="E156" s="166"/>
      <c r="F156" s="166"/>
      <c r="L156" s="120"/>
      <c r="P156" s="121"/>
      <c r="R156" s="121"/>
    </row>
    <row r="157" spans="2:18" s="57" customFormat="1" ht="15" x14ac:dyDescent="0.25">
      <c r="D157" s="166" t="s">
        <v>2510</v>
      </c>
      <c r="E157" s="166"/>
      <c r="F157" s="166"/>
      <c r="L157" s="120"/>
      <c r="P157" s="146" t="s">
        <v>2511</v>
      </c>
      <c r="Q157" s="146"/>
      <c r="R157" s="121"/>
    </row>
    <row r="158" spans="2:18" s="57" customFormat="1" ht="15" x14ac:dyDescent="0.25">
      <c r="D158" s="122"/>
      <c r="E158" s="123"/>
      <c r="F158" s="122"/>
      <c r="L158" s="120"/>
      <c r="P158" s="64"/>
      <c r="Q158" s="65"/>
      <c r="R158" s="121"/>
    </row>
    <row r="159" spans="2:18" s="57" customFormat="1" ht="15" x14ac:dyDescent="0.25">
      <c r="D159" s="122"/>
      <c r="E159" s="123"/>
      <c r="F159" s="122"/>
      <c r="L159" s="120"/>
      <c r="P159" s="64"/>
      <c r="Q159" s="65"/>
      <c r="R159" s="121"/>
    </row>
    <row r="160" spans="2:18" s="57" customFormat="1" ht="14.25" x14ac:dyDescent="0.2">
      <c r="D160" s="167" t="s">
        <v>2512</v>
      </c>
      <c r="E160" s="167"/>
      <c r="F160" s="167"/>
      <c r="L160" s="120"/>
      <c r="P160" s="145" t="s">
        <v>946</v>
      </c>
      <c r="Q160" s="145"/>
      <c r="R160" s="121"/>
    </row>
    <row r="161" spans="4:18" s="57" customFormat="1" ht="14.25" x14ac:dyDescent="0.2">
      <c r="D161" s="167" t="s">
        <v>2513</v>
      </c>
      <c r="E161" s="167"/>
      <c r="F161" s="167"/>
      <c r="L161" s="120"/>
      <c r="P161" s="121"/>
      <c r="R161" s="121"/>
    </row>
  </sheetData>
  <autoFilter ref="B7:R152"/>
  <mergeCells count="91">
    <mergeCell ref="D161:F161"/>
    <mergeCell ref="D156:F156"/>
    <mergeCell ref="D157:F157"/>
    <mergeCell ref="P157:Q157"/>
    <mergeCell ref="D160:F160"/>
    <mergeCell ref="P160:Q160"/>
    <mergeCell ref="C133:C135"/>
    <mergeCell ref="C109:C113"/>
    <mergeCell ref="C114:C116"/>
    <mergeCell ref="C122:C125"/>
    <mergeCell ref="C126:C128"/>
    <mergeCell ref="C130:C131"/>
    <mergeCell ref="B1:R1"/>
    <mergeCell ref="B2:R2"/>
    <mergeCell ref="C8:C13"/>
    <mergeCell ref="C14:C20"/>
    <mergeCell ref="C21:C25"/>
    <mergeCell ref="J5:L5"/>
    <mergeCell ref="G5:G6"/>
    <mergeCell ref="Q5:Q6"/>
    <mergeCell ref="C5:C6"/>
    <mergeCell ref="B5:B6"/>
    <mergeCell ref="E5:E6"/>
    <mergeCell ref="H5:H6"/>
    <mergeCell ref="I5:I6"/>
    <mergeCell ref="R5:R6"/>
    <mergeCell ref="B8:B13"/>
    <mergeCell ref="B14:B20"/>
    <mergeCell ref="B136:B138"/>
    <mergeCell ref="B139:B141"/>
    <mergeCell ref="B142:B145"/>
    <mergeCell ref="B146:B152"/>
    <mergeCell ref="C68:C70"/>
    <mergeCell ref="C71:C75"/>
    <mergeCell ref="C94:C97"/>
    <mergeCell ref="C98:C99"/>
    <mergeCell ref="C146:C152"/>
    <mergeCell ref="C117:C120"/>
    <mergeCell ref="B117:B120"/>
    <mergeCell ref="C142:C145"/>
    <mergeCell ref="C81:C86"/>
    <mergeCell ref="C136:C138"/>
    <mergeCell ref="C139:C141"/>
    <mergeCell ref="B109:B113"/>
    <mergeCell ref="B133:B135"/>
    <mergeCell ref="M5:M6"/>
    <mergeCell ref="O5:O6"/>
    <mergeCell ref="N5:N6"/>
    <mergeCell ref="P5:P6"/>
    <mergeCell ref="C90:C92"/>
    <mergeCell ref="C87:C89"/>
    <mergeCell ref="B58:B62"/>
    <mergeCell ref="B53:B57"/>
    <mergeCell ref="C53:C57"/>
    <mergeCell ref="B71:B75"/>
    <mergeCell ref="B76:B78"/>
    <mergeCell ref="B79:B80"/>
    <mergeCell ref="B34:B38"/>
    <mergeCell ref="F5:F6"/>
    <mergeCell ref="B68:B70"/>
    <mergeCell ref="B21:B25"/>
    <mergeCell ref="B26:B28"/>
    <mergeCell ref="B29:B33"/>
    <mergeCell ref="D5:D6"/>
    <mergeCell ref="C34:C38"/>
    <mergeCell ref="C26:C28"/>
    <mergeCell ref="C29:C33"/>
    <mergeCell ref="B130:B131"/>
    <mergeCell ref="B87:B89"/>
    <mergeCell ref="B63:B67"/>
    <mergeCell ref="B39:B44"/>
    <mergeCell ref="B45:B48"/>
    <mergeCell ref="B49:B52"/>
    <mergeCell ref="B126:B128"/>
    <mergeCell ref="B81:B86"/>
    <mergeCell ref="B114:B116"/>
    <mergeCell ref="B122:B125"/>
    <mergeCell ref="B90:B92"/>
    <mergeCell ref="B94:B97"/>
    <mergeCell ref="B98:B99"/>
    <mergeCell ref="B100:B103"/>
    <mergeCell ref="B106:B107"/>
    <mergeCell ref="C76:C78"/>
    <mergeCell ref="C79:C80"/>
    <mergeCell ref="C100:C103"/>
    <mergeCell ref="C106:C107"/>
    <mergeCell ref="C39:C44"/>
    <mergeCell ref="C45:C48"/>
    <mergeCell ref="C49:C52"/>
    <mergeCell ref="C58:C62"/>
    <mergeCell ref="C63:C67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workbookViewId="0">
      <pane ySplit="2" topLeftCell="A3" activePane="bottomLeft" state="frozen"/>
      <selection pane="bottomLeft" activeCell="C1" sqref="C1"/>
    </sheetView>
  </sheetViews>
  <sheetFormatPr defaultRowHeight="15" x14ac:dyDescent="0.25"/>
  <cols>
    <col min="2" max="2" width="23.42578125" customWidth="1"/>
    <col min="4" max="4" width="18.42578125" customWidth="1"/>
    <col min="6" max="6" width="17" customWidth="1"/>
    <col min="9" max="9" width="16.28515625" customWidth="1"/>
    <col min="10" max="10" width="15.42578125" customWidth="1"/>
    <col min="11" max="11" width="12.140625" customWidth="1"/>
    <col min="15" max="15" width="15.5703125" customWidth="1"/>
    <col min="16" max="16" width="13.5703125" customWidth="1"/>
    <col min="17" max="17" width="14.140625" customWidth="1"/>
  </cols>
  <sheetData>
    <row r="1" spans="1:25" ht="15" customHeight="1" x14ac:dyDescent="0.25">
      <c r="A1" s="181" t="s">
        <v>348</v>
      </c>
      <c r="B1" s="177" t="s">
        <v>1745</v>
      </c>
      <c r="C1" s="6" t="s">
        <v>168</v>
      </c>
      <c r="D1" s="181" t="s">
        <v>349</v>
      </c>
      <c r="E1" s="181" t="s">
        <v>356</v>
      </c>
      <c r="F1" s="182" t="s">
        <v>357</v>
      </c>
      <c r="G1" s="181" t="s">
        <v>350</v>
      </c>
      <c r="H1" s="181" t="s">
        <v>351</v>
      </c>
      <c r="I1" s="174" t="s">
        <v>1610</v>
      </c>
      <c r="J1" s="175"/>
      <c r="K1" s="176"/>
      <c r="L1" s="179" t="s">
        <v>1611</v>
      </c>
      <c r="M1" s="181" t="s">
        <v>353</v>
      </c>
      <c r="N1" s="177" t="s">
        <v>1612</v>
      </c>
      <c r="O1" s="181" t="s">
        <v>354</v>
      </c>
      <c r="P1" s="177" t="s">
        <v>1613</v>
      </c>
      <c r="Q1" s="181" t="s">
        <v>355</v>
      </c>
      <c r="R1" s="181" t="s">
        <v>1614</v>
      </c>
      <c r="S1" s="181"/>
      <c r="T1" s="174" t="s">
        <v>1685</v>
      </c>
      <c r="U1" s="175"/>
      <c r="V1" s="175"/>
      <c r="W1" s="176"/>
    </row>
    <row r="2" spans="1:25" ht="26.25" thickBot="1" x14ac:dyDescent="0.3">
      <c r="A2" s="181"/>
      <c r="B2" s="178"/>
      <c r="C2" s="6" t="s">
        <v>1607</v>
      </c>
      <c r="D2" s="181"/>
      <c r="E2" s="181"/>
      <c r="F2" s="182"/>
      <c r="G2" s="181"/>
      <c r="H2" s="181"/>
      <c r="I2" s="7" t="s">
        <v>1615</v>
      </c>
      <c r="J2" s="17" t="s">
        <v>1616</v>
      </c>
      <c r="K2" s="24" t="s">
        <v>1617</v>
      </c>
      <c r="L2" s="180"/>
      <c r="M2" s="181"/>
      <c r="N2" s="178"/>
      <c r="O2" s="181"/>
      <c r="P2" s="178"/>
      <c r="Q2" s="181"/>
      <c r="R2" s="6" t="s">
        <v>1618</v>
      </c>
      <c r="S2" s="6" t="s">
        <v>1619</v>
      </c>
      <c r="T2" s="6" t="s">
        <v>7</v>
      </c>
      <c r="U2" s="6" t="s">
        <v>1688</v>
      </c>
      <c r="V2" s="6" t="s">
        <v>1687</v>
      </c>
      <c r="W2" s="6" t="s">
        <v>1686</v>
      </c>
    </row>
    <row r="3" spans="1:25" ht="15.75" thickBot="1" x14ac:dyDescent="0.3">
      <c r="A3" s="12"/>
      <c r="B3" s="12"/>
      <c r="C3" s="12"/>
      <c r="D3" s="12"/>
      <c r="E3" s="12"/>
      <c r="F3" s="13"/>
      <c r="G3" s="12"/>
      <c r="H3" s="12"/>
      <c r="I3" s="12"/>
      <c r="J3" s="18"/>
      <c r="K3" s="14"/>
      <c r="L3" s="14"/>
      <c r="M3" s="12"/>
      <c r="N3" s="12"/>
      <c r="O3" s="12"/>
      <c r="P3" s="12"/>
      <c r="Q3" s="12"/>
      <c r="R3" s="7">
        <v>18</v>
      </c>
      <c r="S3" s="6">
        <v>19</v>
      </c>
      <c r="T3" s="7">
        <v>18</v>
      </c>
      <c r="U3" s="6">
        <v>19</v>
      </c>
      <c r="V3" s="7">
        <v>18</v>
      </c>
      <c r="W3" s="6">
        <v>19</v>
      </c>
    </row>
    <row r="4" spans="1:25" ht="26.25" thickBot="1" x14ac:dyDescent="0.3">
      <c r="B4" s="3"/>
      <c r="C4" s="3"/>
      <c r="D4" s="1" t="s">
        <v>1738</v>
      </c>
      <c r="E4" s="1" t="s">
        <v>18</v>
      </c>
      <c r="F4" s="1" t="s">
        <v>1742</v>
      </c>
      <c r="G4" s="1" t="s">
        <v>1</v>
      </c>
      <c r="H4" s="1"/>
      <c r="I4" s="1" t="s">
        <v>1631</v>
      </c>
      <c r="J4" s="2" t="s">
        <v>1744</v>
      </c>
      <c r="K4" s="16">
        <v>1996</v>
      </c>
      <c r="L4" s="15">
        <f t="shared" ref="L4" si="0">2019-K4</f>
        <v>23</v>
      </c>
      <c r="M4" s="1" t="s">
        <v>3</v>
      </c>
      <c r="N4" s="1" t="s">
        <v>1723</v>
      </c>
      <c r="O4" s="1" t="s">
        <v>1677</v>
      </c>
      <c r="P4" s="1"/>
      <c r="Q4" s="1" t="s">
        <v>39</v>
      </c>
      <c r="R4" s="8"/>
      <c r="S4" s="8"/>
      <c r="T4" s="8"/>
      <c r="U4" s="8"/>
      <c r="V4" s="8"/>
      <c r="W4" s="8"/>
    </row>
    <row r="5" spans="1:25" s="11" customFormat="1" ht="15.75" thickBot="1" x14ac:dyDescent="0.3">
      <c r="B5" s="30"/>
      <c r="C5" s="19">
        <v>16</v>
      </c>
      <c r="D5" s="19" t="s">
        <v>1175</v>
      </c>
      <c r="E5" s="19" t="s">
        <v>18</v>
      </c>
      <c r="F5" s="30" t="s">
        <v>1176</v>
      </c>
      <c r="G5" s="19" t="s">
        <v>10</v>
      </c>
      <c r="H5" s="19" t="s">
        <v>2</v>
      </c>
      <c r="I5" s="19"/>
      <c r="J5" s="31">
        <v>29224</v>
      </c>
      <c r="K5" s="32"/>
      <c r="L5" s="30"/>
      <c r="M5" s="33" t="s">
        <v>3</v>
      </c>
      <c r="N5" s="19"/>
      <c r="O5" s="19" t="s">
        <v>35</v>
      </c>
      <c r="P5" s="19"/>
      <c r="Q5" s="19" t="s">
        <v>28</v>
      </c>
      <c r="R5" s="19"/>
      <c r="S5" s="19"/>
      <c r="T5" s="19"/>
      <c r="U5" s="19"/>
      <c r="V5" s="19"/>
      <c r="W5" s="19"/>
    </row>
    <row r="6" spans="1:25" s="11" customFormat="1" ht="15.75" thickBot="1" x14ac:dyDescent="0.3">
      <c r="B6" s="30"/>
      <c r="C6" s="19">
        <v>17</v>
      </c>
      <c r="D6" s="19" t="s">
        <v>249</v>
      </c>
      <c r="E6" s="19" t="s">
        <v>18</v>
      </c>
      <c r="F6" s="30" t="s">
        <v>1177</v>
      </c>
      <c r="G6" s="19" t="s">
        <v>10</v>
      </c>
      <c r="H6" s="19" t="s">
        <v>21</v>
      </c>
      <c r="I6" s="19"/>
      <c r="J6" s="31">
        <v>30320</v>
      </c>
      <c r="K6" s="32"/>
      <c r="L6" s="30"/>
      <c r="M6" s="33" t="s">
        <v>3</v>
      </c>
      <c r="N6" s="19"/>
      <c r="O6" s="19" t="s">
        <v>35</v>
      </c>
      <c r="P6" s="19"/>
      <c r="Q6" s="19" t="s">
        <v>28</v>
      </c>
      <c r="R6" s="19"/>
      <c r="S6" s="19"/>
      <c r="T6" s="19"/>
      <c r="U6" s="19"/>
      <c r="V6" s="19"/>
      <c r="W6" s="19"/>
    </row>
    <row r="7" spans="1:25" s="11" customFormat="1" ht="25.5" customHeight="1" thickBot="1" x14ac:dyDescent="0.3">
      <c r="A7" s="34"/>
      <c r="C7" s="35">
        <v>50</v>
      </c>
      <c r="D7" s="36" t="s">
        <v>105</v>
      </c>
      <c r="E7" s="36" t="s">
        <v>18</v>
      </c>
      <c r="F7" s="36" t="s">
        <v>1883</v>
      </c>
      <c r="G7" s="36" t="s">
        <v>10</v>
      </c>
      <c r="H7" s="36" t="s">
        <v>15</v>
      </c>
      <c r="I7" s="36" t="s">
        <v>1623</v>
      </c>
      <c r="J7" s="37">
        <v>34171</v>
      </c>
      <c r="K7" s="38"/>
      <c r="L7" s="39">
        <f t="shared" ref="L7" si="1">2019-K7</f>
        <v>2019</v>
      </c>
      <c r="M7" s="36" t="s">
        <v>3</v>
      </c>
      <c r="N7" s="36"/>
      <c r="O7" s="36" t="s">
        <v>27</v>
      </c>
      <c r="P7" s="36"/>
      <c r="Q7" s="36" t="s">
        <v>16</v>
      </c>
      <c r="R7" s="36" t="s">
        <v>6</v>
      </c>
      <c r="S7" s="36" t="s">
        <v>103</v>
      </c>
      <c r="T7" s="19"/>
      <c r="U7" s="19"/>
      <c r="V7" s="19"/>
      <c r="W7" s="19"/>
      <c r="X7" s="19"/>
      <c r="Y7" s="19"/>
    </row>
    <row r="8" spans="1:25" s="11" customFormat="1" ht="26.25" thickBot="1" x14ac:dyDescent="0.3">
      <c r="B8" s="40"/>
      <c r="C8" s="40">
        <v>58</v>
      </c>
      <c r="D8" s="36" t="s">
        <v>457</v>
      </c>
      <c r="E8" s="36" t="s">
        <v>18</v>
      </c>
      <c r="F8" s="36" t="s">
        <v>458</v>
      </c>
      <c r="G8" s="36" t="s">
        <v>1</v>
      </c>
      <c r="H8" s="36" t="s">
        <v>15</v>
      </c>
      <c r="I8" s="36"/>
      <c r="J8" s="37">
        <v>33737</v>
      </c>
      <c r="K8" s="38"/>
      <c r="L8" s="38"/>
      <c r="M8" s="36" t="s">
        <v>3</v>
      </c>
      <c r="N8" s="36"/>
      <c r="O8" s="36" t="s">
        <v>27</v>
      </c>
      <c r="P8" s="36"/>
      <c r="Q8" s="36" t="s">
        <v>54</v>
      </c>
      <c r="R8" s="19"/>
      <c r="S8" s="19"/>
      <c r="T8" s="19"/>
      <c r="U8" s="19"/>
      <c r="V8" s="19"/>
      <c r="W8" s="19"/>
    </row>
    <row r="9" spans="1:25" s="11" customFormat="1" ht="15.75" thickBot="1" x14ac:dyDescent="0.3">
      <c r="B9" s="30"/>
      <c r="C9" s="19">
        <v>4</v>
      </c>
      <c r="D9" s="19" t="s">
        <v>1170</v>
      </c>
      <c r="E9" s="19" t="s">
        <v>18</v>
      </c>
      <c r="F9" s="30" t="s">
        <v>22</v>
      </c>
      <c r="G9" s="19" t="s">
        <v>10</v>
      </c>
      <c r="H9" s="19" t="s">
        <v>21</v>
      </c>
      <c r="I9" s="19"/>
      <c r="J9" s="31">
        <v>33303</v>
      </c>
      <c r="K9" s="32"/>
      <c r="L9" s="30"/>
      <c r="M9" s="33" t="s">
        <v>3</v>
      </c>
      <c r="N9" s="19"/>
      <c r="O9" s="19" t="s">
        <v>27</v>
      </c>
      <c r="P9" s="19"/>
      <c r="Q9" s="19" t="s">
        <v>16</v>
      </c>
      <c r="R9" s="19"/>
      <c r="S9" s="19"/>
      <c r="T9" s="19"/>
      <c r="U9" s="19"/>
      <c r="V9" s="19"/>
      <c r="W9" s="19"/>
    </row>
    <row r="10" spans="1:25" s="11" customFormat="1" ht="26.25" thickBot="1" x14ac:dyDescent="0.3">
      <c r="B10" s="30"/>
      <c r="C10" s="19">
        <v>205</v>
      </c>
      <c r="D10" s="19" t="s">
        <v>1448</v>
      </c>
      <c r="E10" s="19" t="s">
        <v>18</v>
      </c>
      <c r="F10" s="30" t="s">
        <v>1956</v>
      </c>
      <c r="G10" s="19" t="s">
        <v>10</v>
      </c>
      <c r="H10" s="19" t="s">
        <v>15</v>
      </c>
      <c r="J10" s="31">
        <v>34488</v>
      </c>
      <c r="K10" s="32"/>
      <c r="L10" s="30"/>
      <c r="M10" s="33" t="s">
        <v>3</v>
      </c>
      <c r="N10" s="19" t="s">
        <v>1632</v>
      </c>
      <c r="O10" s="19" t="s">
        <v>1635</v>
      </c>
      <c r="P10" s="19"/>
      <c r="Q10" s="19" t="s">
        <v>16</v>
      </c>
      <c r="R10" s="19"/>
      <c r="S10" s="19"/>
      <c r="T10" s="19"/>
      <c r="U10" s="19"/>
      <c r="V10" s="19"/>
      <c r="W10" s="19"/>
    </row>
    <row r="11" spans="1:25" s="11" customFormat="1" ht="18.75" customHeight="1" thickBot="1" x14ac:dyDescent="0.3">
      <c r="B11" s="19"/>
      <c r="C11" s="41">
        <v>180</v>
      </c>
      <c r="D11" s="36" t="s">
        <v>317</v>
      </c>
      <c r="E11" s="36" t="s">
        <v>18</v>
      </c>
      <c r="F11" s="36"/>
      <c r="G11" s="36" t="s">
        <v>1</v>
      </c>
      <c r="H11" s="36" t="s">
        <v>15</v>
      </c>
      <c r="I11" s="36"/>
      <c r="J11" s="37">
        <v>30498</v>
      </c>
      <c r="K11" s="38"/>
      <c r="L11" s="39">
        <f t="shared" ref="L11" si="2">2019-K11</f>
        <v>2019</v>
      </c>
      <c r="M11" s="36" t="s">
        <v>3</v>
      </c>
      <c r="N11" s="36"/>
      <c r="O11" s="36" t="s">
        <v>35</v>
      </c>
      <c r="P11" s="36"/>
      <c r="Q11" s="36" t="s">
        <v>28</v>
      </c>
      <c r="R11" s="36" t="s">
        <v>6</v>
      </c>
      <c r="S11" s="36" t="s">
        <v>316</v>
      </c>
      <c r="T11" s="19"/>
      <c r="U11" s="19"/>
      <c r="V11" s="19"/>
      <c r="W11" s="19"/>
      <c r="X11" s="19"/>
      <c r="Y11" s="19"/>
    </row>
    <row r="12" spans="1:25" ht="15.75" thickBot="1" x14ac:dyDescent="0.3">
      <c r="B12" s="27"/>
      <c r="C12" s="26">
        <v>99</v>
      </c>
      <c r="D12" s="26" t="s">
        <v>1288</v>
      </c>
      <c r="E12" s="26" t="s">
        <v>18</v>
      </c>
      <c r="F12" s="27" t="s">
        <v>1289</v>
      </c>
      <c r="G12" s="26" t="s">
        <v>10</v>
      </c>
      <c r="H12" s="26" t="s">
        <v>2</v>
      </c>
      <c r="I12" s="26"/>
      <c r="J12" s="28">
        <v>32230</v>
      </c>
      <c r="K12" s="9"/>
      <c r="L12" s="27"/>
      <c r="M12" s="29" t="s">
        <v>3</v>
      </c>
      <c r="N12" s="26"/>
      <c r="O12" s="26" t="s">
        <v>27</v>
      </c>
      <c r="P12" s="26"/>
      <c r="Q12" s="26" t="s">
        <v>39</v>
      </c>
      <c r="R12" s="26"/>
      <c r="S12" s="26"/>
      <c r="T12" s="26"/>
      <c r="U12" s="26"/>
      <c r="V12" s="26"/>
      <c r="W12" s="26"/>
    </row>
    <row r="13" spans="1:25" ht="26.25" thickBot="1" x14ac:dyDescent="0.3">
      <c r="B13" s="27"/>
      <c r="C13" s="26">
        <v>174</v>
      </c>
      <c r="D13" s="26" t="s">
        <v>1393</v>
      </c>
      <c r="E13" s="26" t="s">
        <v>18</v>
      </c>
      <c r="F13" s="27" t="s">
        <v>1394</v>
      </c>
      <c r="G13" s="26" t="s">
        <v>1</v>
      </c>
      <c r="H13" s="26" t="s">
        <v>15</v>
      </c>
      <c r="I13" s="26"/>
      <c r="J13" s="28">
        <v>32964</v>
      </c>
      <c r="K13" s="9"/>
      <c r="L13" s="27"/>
      <c r="M13" s="29" t="s">
        <v>3</v>
      </c>
      <c r="N13" s="26"/>
      <c r="O13" s="26" t="s">
        <v>27</v>
      </c>
      <c r="P13" s="26"/>
      <c r="Q13" s="26" t="s">
        <v>54</v>
      </c>
      <c r="R13" s="26"/>
      <c r="S13" s="26"/>
      <c r="T13" s="26"/>
      <c r="U13" s="26"/>
      <c r="V13" s="26"/>
      <c r="W13" s="26"/>
    </row>
    <row r="14" spans="1:25" ht="26.25" thickBot="1" x14ac:dyDescent="0.3">
      <c r="B14" s="27"/>
      <c r="C14" s="26">
        <v>216</v>
      </c>
      <c r="D14" s="26" t="s">
        <v>1467</v>
      </c>
      <c r="E14" s="26" t="s">
        <v>18</v>
      </c>
      <c r="F14" s="27" t="s">
        <v>1468</v>
      </c>
      <c r="G14" s="26" t="s">
        <v>10</v>
      </c>
      <c r="H14" s="26" t="s">
        <v>15</v>
      </c>
      <c r="I14" s="26"/>
      <c r="J14" s="28">
        <v>35554</v>
      </c>
      <c r="K14" s="9"/>
      <c r="L14" s="27"/>
      <c r="M14" s="29" t="s">
        <v>3</v>
      </c>
      <c r="N14" s="26"/>
      <c r="O14" s="26" t="s">
        <v>35</v>
      </c>
      <c r="P14" s="26"/>
      <c r="Q14" s="26" t="s">
        <v>16</v>
      </c>
      <c r="R14" s="26"/>
      <c r="S14" s="26"/>
      <c r="T14" s="26"/>
      <c r="U14" s="26"/>
      <c r="V14" s="26"/>
      <c r="W14" s="26"/>
    </row>
    <row r="15" spans="1:25" ht="26.25" thickBot="1" x14ac:dyDescent="0.3">
      <c r="B15" s="3"/>
      <c r="C15" s="4">
        <v>67</v>
      </c>
      <c r="D15" s="1" t="s">
        <v>692</v>
      </c>
      <c r="E15" s="1" t="s">
        <v>18</v>
      </c>
      <c r="F15" s="1" t="s">
        <v>608</v>
      </c>
      <c r="G15" s="1" t="s">
        <v>1</v>
      </c>
      <c r="H15" s="1" t="s">
        <v>15</v>
      </c>
      <c r="I15" s="1"/>
      <c r="J15" s="2">
        <v>30780</v>
      </c>
      <c r="K15" s="16"/>
      <c r="L15" s="15">
        <f t="shared" ref="L15:L16" si="3">2019-K15</f>
        <v>2019</v>
      </c>
      <c r="M15" s="1" t="s">
        <v>3</v>
      </c>
      <c r="N15" s="1"/>
      <c r="O15" s="1" t="s">
        <v>27</v>
      </c>
      <c r="P15" s="1"/>
      <c r="Q15" s="1" t="s">
        <v>39</v>
      </c>
      <c r="R15" s="26"/>
      <c r="S15" s="26"/>
      <c r="T15" s="26"/>
      <c r="U15" s="26"/>
      <c r="V15" s="26"/>
      <c r="W15" s="26"/>
    </row>
    <row r="16" spans="1:25" ht="26.25" thickBot="1" x14ac:dyDescent="0.3">
      <c r="B16" s="23"/>
      <c r="C16" s="43">
        <v>54</v>
      </c>
      <c r="D16" s="43" t="s">
        <v>1000</v>
      </c>
      <c r="E16" s="43" t="s">
        <v>18</v>
      </c>
      <c r="F16" s="43" t="s">
        <v>1001</v>
      </c>
      <c r="G16" s="43" t="s">
        <v>1</v>
      </c>
      <c r="H16" s="43" t="s">
        <v>15</v>
      </c>
      <c r="I16" s="43"/>
      <c r="J16" s="20">
        <v>33824</v>
      </c>
      <c r="K16" s="21"/>
      <c r="L16" s="22">
        <f t="shared" si="3"/>
        <v>2019</v>
      </c>
      <c r="M16" s="43" t="s">
        <v>3</v>
      </c>
      <c r="N16" s="43"/>
      <c r="O16" s="43" t="s">
        <v>27</v>
      </c>
      <c r="P16" s="43"/>
      <c r="Q16" s="43" t="s">
        <v>16</v>
      </c>
      <c r="R16" s="42"/>
      <c r="S16" s="42"/>
      <c r="T16" s="42"/>
      <c r="U16" s="42"/>
      <c r="V16" s="42"/>
      <c r="W16" s="42"/>
    </row>
    <row r="17" spans="1:25" ht="26.25" thickBot="1" x14ac:dyDescent="0.3">
      <c r="B17" s="27"/>
      <c r="C17" s="44">
        <v>71</v>
      </c>
      <c r="D17" s="44" t="s">
        <v>575</v>
      </c>
      <c r="E17" s="44" t="s">
        <v>18</v>
      </c>
      <c r="F17" s="27" t="s">
        <v>1243</v>
      </c>
      <c r="G17" s="44" t="s">
        <v>10</v>
      </c>
      <c r="H17" s="44" t="s">
        <v>15</v>
      </c>
      <c r="I17" s="44"/>
      <c r="J17" s="28">
        <v>27064</v>
      </c>
      <c r="K17" s="9"/>
      <c r="L17" s="27"/>
      <c r="M17" s="29" t="s">
        <v>3</v>
      </c>
      <c r="N17" s="44"/>
      <c r="O17" s="44" t="s">
        <v>46</v>
      </c>
      <c r="P17" s="44"/>
      <c r="Q17" s="44" t="s">
        <v>16</v>
      </c>
      <c r="R17" s="44"/>
      <c r="S17" s="44"/>
      <c r="T17" s="44"/>
      <c r="U17" s="44"/>
      <c r="V17" s="44"/>
      <c r="W17" s="44"/>
    </row>
    <row r="18" spans="1:25" ht="26.25" thickBot="1" x14ac:dyDescent="0.3">
      <c r="B18" s="27"/>
      <c r="C18" s="44">
        <v>73</v>
      </c>
      <c r="D18" s="44" t="s">
        <v>591</v>
      </c>
      <c r="E18" s="44" t="s">
        <v>18</v>
      </c>
      <c r="F18" s="27" t="s">
        <v>1245</v>
      </c>
      <c r="G18" s="44" t="s">
        <v>1</v>
      </c>
      <c r="H18" s="44" t="s">
        <v>15</v>
      </c>
      <c r="I18" s="44"/>
      <c r="J18" s="28">
        <v>30782</v>
      </c>
      <c r="K18" s="9"/>
      <c r="L18" s="27"/>
      <c r="M18" s="29" t="s">
        <v>3</v>
      </c>
      <c r="N18" s="44"/>
      <c r="O18" s="44" t="s">
        <v>35</v>
      </c>
      <c r="P18" s="44"/>
      <c r="Q18" s="44" t="s">
        <v>11</v>
      </c>
      <c r="R18" s="44"/>
      <c r="S18" s="44"/>
      <c r="T18" s="44"/>
      <c r="U18" s="44"/>
      <c r="V18" s="44"/>
      <c r="W18" s="44"/>
    </row>
    <row r="19" spans="1:25" ht="26.25" thickBot="1" x14ac:dyDescent="0.3">
      <c r="B19" s="3"/>
      <c r="C19" s="4">
        <v>137</v>
      </c>
      <c r="D19" s="1" t="s">
        <v>724</v>
      </c>
      <c r="E19" s="1" t="s">
        <v>18</v>
      </c>
      <c r="F19" s="1" t="s">
        <v>1119</v>
      </c>
      <c r="G19" s="1" t="s">
        <v>10</v>
      </c>
      <c r="H19" s="1" t="s">
        <v>15</v>
      </c>
      <c r="I19" s="1"/>
      <c r="J19" s="2">
        <v>30906</v>
      </c>
      <c r="K19" s="16"/>
      <c r="L19" s="15">
        <f t="shared" ref="L19:L24" si="4">2019-K19</f>
        <v>2019</v>
      </c>
      <c r="M19" s="1" t="s">
        <v>3</v>
      </c>
      <c r="N19" s="1"/>
      <c r="O19" s="1" t="s">
        <v>27</v>
      </c>
      <c r="P19" s="1"/>
      <c r="Q19" s="1" t="s">
        <v>11</v>
      </c>
      <c r="R19" s="45"/>
      <c r="S19" s="45"/>
      <c r="T19" s="45"/>
      <c r="U19" s="45"/>
      <c r="V19" s="45"/>
      <c r="W19" s="45"/>
    </row>
    <row r="20" spans="1:25" ht="26.25" thickBot="1" x14ac:dyDescent="0.3">
      <c r="B20" s="1"/>
      <c r="C20" s="1">
        <v>138</v>
      </c>
      <c r="D20" s="1" t="s">
        <v>1120</v>
      </c>
      <c r="E20" s="1" t="s">
        <v>18</v>
      </c>
      <c r="F20" s="1" t="s">
        <v>1121</v>
      </c>
      <c r="G20" s="1" t="s">
        <v>1</v>
      </c>
      <c r="H20" s="1" t="s">
        <v>15</v>
      </c>
      <c r="I20" s="1"/>
      <c r="J20" s="2">
        <v>31634</v>
      </c>
      <c r="K20" s="16"/>
      <c r="L20" s="15">
        <f t="shared" si="4"/>
        <v>2019</v>
      </c>
      <c r="M20" s="1" t="s">
        <v>3</v>
      </c>
      <c r="N20" s="1"/>
      <c r="O20" s="1" t="s">
        <v>27</v>
      </c>
      <c r="P20" s="1"/>
      <c r="Q20" s="1" t="s">
        <v>54</v>
      </c>
      <c r="R20" s="45"/>
      <c r="S20" s="45"/>
      <c r="T20" s="45"/>
      <c r="U20" s="45"/>
      <c r="V20" s="45"/>
      <c r="W20" s="45"/>
    </row>
    <row r="21" spans="1:25" s="10" customFormat="1" ht="26.25" thickBot="1" x14ac:dyDescent="0.3">
      <c r="A21"/>
      <c r="B21" s="23"/>
      <c r="C21" s="47">
        <v>17</v>
      </c>
      <c r="D21" s="48" t="s">
        <v>947</v>
      </c>
      <c r="E21" s="48" t="s">
        <v>18</v>
      </c>
      <c r="F21" s="48" t="s">
        <v>948</v>
      </c>
      <c r="G21" s="48" t="s">
        <v>10</v>
      </c>
      <c r="H21" s="48" t="s">
        <v>15</v>
      </c>
      <c r="I21" s="48"/>
      <c r="J21" s="20">
        <v>35786</v>
      </c>
      <c r="K21" s="21"/>
      <c r="L21" s="22">
        <f t="shared" si="4"/>
        <v>2019</v>
      </c>
      <c r="M21" s="48" t="s">
        <v>3</v>
      </c>
      <c r="N21" s="48"/>
      <c r="O21" s="48" t="s">
        <v>35</v>
      </c>
      <c r="P21" s="48"/>
      <c r="Q21" s="48" t="s">
        <v>16</v>
      </c>
      <c r="R21" s="46"/>
      <c r="S21" s="46"/>
      <c r="T21" s="46"/>
      <c r="U21" s="46"/>
      <c r="V21" s="46"/>
      <c r="W21" s="46"/>
    </row>
    <row r="22" spans="1:25" ht="26.25" thickBot="1" x14ac:dyDescent="0.3">
      <c r="B22" s="3"/>
      <c r="C22" s="4">
        <v>149</v>
      </c>
      <c r="D22" s="1" t="s">
        <v>827</v>
      </c>
      <c r="E22" s="1" t="s">
        <v>18</v>
      </c>
      <c r="F22" s="1" t="s">
        <v>828</v>
      </c>
      <c r="G22" s="1" t="s">
        <v>1</v>
      </c>
      <c r="H22" s="1" t="s">
        <v>15</v>
      </c>
      <c r="I22" s="1"/>
      <c r="J22" s="2">
        <v>28583</v>
      </c>
      <c r="K22" s="16"/>
      <c r="L22" s="15">
        <f t="shared" si="4"/>
        <v>2019</v>
      </c>
      <c r="M22" s="1" t="s">
        <v>3</v>
      </c>
      <c r="N22" s="1"/>
      <c r="O22" s="1" t="s">
        <v>46</v>
      </c>
      <c r="P22" s="1"/>
      <c r="Q22" s="1" t="s">
        <v>54</v>
      </c>
      <c r="R22" s="49"/>
      <c r="S22" s="49"/>
      <c r="T22" s="49"/>
      <c r="U22" s="49"/>
      <c r="V22" s="49"/>
      <c r="W22" s="49"/>
    </row>
    <row r="23" spans="1:25" ht="26.25" thickBot="1" x14ac:dyDescent="0.3">
      <c r="B23" s="3"/>
      <c r="C23" s="3">
        <v>150</v>
      </c>
      <c r="D23" s="1" t="s">
        <v>829</v>
      </c>
      <c r="E23" s="1" t="s">
        <v>18</v>
      </c>
      <c r="F23" s="1" t="s">
        <v>830</v>
      </c>
      <c r="G23" s="1" t="s">
        <v>1</v>
      </c>
      <c r="H23" s="1" t="s">
        <v>15</v>
      </c>
      <c r="I23" s="1"/>
      <c r="J23" s="2">
        <v>31819</v>
      </c>
      <c r="K23" s="16"/>
      <c r="L23" s="15">
        <f t="shared" si="4"/>
        <v>2019</v>
      </c>
      <c r="M23" s="1" t="s">
        <v>3</v>
      </c>
      <c r="N23" s="1"/>
      <c r="O23" s="1" t="s">
        <v>4</v>
      </c>
      <c r="P23" s="1"/>
      <c r="Q23" s="1" t="s">
        <v>28</v>
      </c>
      <c r="R23" s="49"/>
      <c r="S23" s="49"/>
      <c r="T23" s="49"/>
      <c r="U23" s="49"/>
      <c r="V23" s="49"/>
      <c r="W23" s="49"/>
    </row>
    <row r="24" spans="1:25" ht="27" customHeight="1" thickBot="1" x14ac:dyDescent="0.3">
      <c r="B24" s="4"/>
      <c r="C24" s="5">
        <v>93</v>
      </c>
      <c r="D24" s="1" t="s">
        <v>162</v>
      </c>
      <c r="E24" s="1" t="s">
        <v>18</v>
      </c>
      <c r="F24" s="1" t="s">
        <v>163</v>
      </c>
      <c r="G24" s="1" t="s">
        <v>10</v>
      </c>
      <c r="H24" s="1" t="s">
        <v>15</v>
      </c>
      <c r="I24" s="1"/>
      <c r="J24" s="2">
        <v>32716</v>
      </c>
      <c r="K24" s="16"/>
      <c r="L24" s="15">
        <f t="shared" si="4"/>
        <v>2019</v>
      </c>
      <c r="M24" s="1" t="s">
        <v>3</v>
      </c>
      <c r="N24" s="1"/>
      <c r="O24" s="1" t="s">
        <v>27</v>
      </c>
      <c r="P24" s="1"/>
      <c r="Q24" s="1" t="s">
        <v>16</v>
      </c>
      <c r="R24" s="1" t="s">
        <v>6</v>
      </c>
      <c r="S24" s="1" t="s">
        <v>158</v>
      </c>
      <c r="T24" s="49"/>
      <c r="U24" s="49"/>
      <c r="V24" s="49"/>
      <c r="W24" s="49"/>
      <c r="X24" s="49"/>
      <c r="Y24" s="49"/>
    </row>
  </sheetData>
  <autoFilter ref="A3:W3"/>
  <mergeCells count="16">
    <mergeCell ref="T1:W1"/>
    <mergeCell ref="N1:N2"/>
    <mergeCell ref="P1:P2"/>
    <mergeCell ref="L1:L2"/>
    <mergeCell ref="A1:A2"/>
    <mergeCell ref="D1:D2"/>
    <mergeCell ref="E1:E2"/>
    <mergeCell ref="F1:F2"/>
    <mergeCell ref="G1:G2"/>
    <mergeCell ref="H1:H2"/>
    <mergeCell ref="B1:B2"/>
    <mergeCell ref="I1:K1"/>
    <mergeCell ref="M1:M2"/>
    <mergeCell ref="O1:O2"/>
    <mergeCell ref="Q1:Q2"/>
    <mergeCell ref="R1:S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7" sqref="C7"/>
    </sheetView>
  </sheetViews>
  <sheetFormatPr defaultRowHeight="15" x14ac:dyDescent="0.25"/>
  <sheetData>
    <row r="1" spans="1:3" x14ac:dyDescent="0.25">
      <c r="A1">
        <v>82</v>
      </c>
      <c r="C1">
        <v>303</v>
      </c>
    </row>
    <row r="2" spans="1:3" x14ac:dyDescent="0.25">
      <c r="A2">
        <v>48</v>
      </c>
      <c r="C2">
        <v>168</v>
      </c>
    </row>
    <row r="3" spans="1:3" x14ac:dyDescent="0.25">
      <c r="A3">
        <v>53</v>
      </c>
      <c r="C3">
        <v>201</v>
      </c>
    </row>
    <row r="4" spans="1:3" x14ac:dyDescent="0.25">
      <c r="A4">
        <v>58</v>
      </c>
      <c r="C4">
        <v>212</v>
      </c>
    </row>
    <row r="5" spans="1:3" x14ac:dyDescent="0.25">
      <c r="A5">
        <v>38</v>
      </c>
      <c r="C5">
        <v>139</v>
      </c>
    </row>
    <row r="6" spans="1:3" x14ac:dyDescent="0.25">
      <c r="A6">
        <f>SUM(A1:A5)</f>
        <v>279</v>
      </c>
      <c r="C6">
        <f>SUM(C1:C5)</f>
        <v>1023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"/>
  <sheetViews>
    <sheetView workbookViewId="0">
      <selection sqref="A1:XFD1"/>
    </sheetView>
  </sheetViews>
  <sheetFormatPr defaultRowHeight="15" x14ac:dyDescent="0.25"/>
  <sheetData>
    <row r="1" spans="2:23" ht="15.75" thickBot="1" x14ac:dyDescent="0.3">
      <c r="B1" s="3"/>
      <c r="C1" s="3">
        <v>110</v>
      </c>
      <c r="D1" s="1" t="s">
        <v>539</v>
      </c>
      <c r="E1" s="1" t="s">
        <v>12</v>
      </c>
      <c r="F1" s="1">
        <v>0</v>
      </c>
      <c r="G1" s="1" t="s">
        <v>10</v>
      </c>
      <c r="H1" s="1" t="s">
        <v>2</v>
      </c>
      <c r="I1" s="1"/>
      <c r="J1" s="2">
        <v>16619</v>
      </c>
      <c r="K1" s="16"/>
      <c r="L1" s="16"/>
      <c r="M1" s="1" t="s">
        <v>3</v>
      </c>
      <c r="N1" s="1"/>
      <c r="O1" s="1" t="s">
        <v>16</v>
      </c>
      <c r="P1" s="1"/>
      <c r="Q1" s="1" t="s">
        <v>37</v>
      </c>
      <c r="R1" s="25"/>
      <c r="S1" s="25"/>
      <c r="T1" s="25"/>
      <c r="U1" s="25"/>
      <c r="V1" s="25"/>
      <c r="W1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"/>
  <sheetViews>
    <sheetView tabSelected="1" zoomScaleNormal="100" zoomScaleSheetLayoutView="89" workbookViewId="0">
      <selection activeCell="P17" sqref="P17"/>
    </sheetView>
  </sheetViews>
  <sheetFormatPr defaultRowHeight="15" x14ac:dyDescent="0.25"/>
  <cols>
    <col min="2" max="2" width="19.140625" bestFit="1" customWidth="1"/>
    <col min="3" max="8" width="9.140625" style="62"/>
    <col min="9" max="10" width="10.7109375" style="62" customWidth="1"/>
    <col min="11" max="11" width="9.140625" style="62"/>
    <col min="12" max="13" width="11.7109375" style="62" customWidth="1"/>
    <col min="14" max="14" width="9.140625" style="62"/>
  </cols>
  <sheetData>
    <row r="1" spans="2:15" ht="15.75" thickBot="1" x14ac:dyDescent="0.3"/>
    <row r="2" spans="2:15" s="64" customFormat="1" ht="15.75" thickBot="1" x14ac:dyDescent="0.3">
      <c r="B2" s="139" t="s">
        <v>2518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1"/>
      <c r="O2" s="65"/>
    </row>
    <row r="3" spans="2:15" s="64" customFormat="1" ht="15.75" thickBot="1" x14ac:dyDescent="0.3">
      <c r="B3" s="142" t="s">
        <v>2524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4"/>
      <c r="O3" s="65"/>
    </row>
    <row r="4" spans="2:15" ht="15.75" x14ac:dyDescent="0.25">
      <c r="B4" s="149" t="s">
        <v>2517</v>
      </c>
      <c r="C4" s="138" t="s">
        <v>2488</v>
      </c>
      <c r="D4" s="135"/>
      <c r="E4" s="147" t="s">
        <v>2489</v>
      </c>
      <c r="F4" s="134" t="s">
        <v>2490</v>
      </c>
      <c r="G4" s="135"/>
      <c r="H4" s="136" t="s">
        <v>2489</v>
      </c>
      <c r="I4" s="138" t="s">
        <v>2491</v>
      </c>
      <c r="J4" s="135"/>
      <c r="K4" s="147" t="s">
        <v>2489</v>
      </c>
      <c r="L4" s="134" t="s">
        <v>2492</v>
      </c>
      <c r="M4" s="135"/>
      <c r="N4" s="147" t="s">
        <v>2489</v>
      </c>
    </row>
    <row r="5" spans="2:15" ht="15.75" thickBot="1" x14ac:dyDescent="0.3">
      <c r="B5" s="150"/>
      <c r="C5" s="77" t="s">
        <v>1</v>
      </c>
      <c r="D5" s="78" t="s">
        <v>10</v>
      </c>
      <c r="E5" s="148"/>
      <c r="F5" s="79" t="s">
        <v>1</v>
      </c>
      <c r="G5" s="78" t="s">
        <v>10</v>
      </c>
      <c r="H5" s="137"/>
      <c r="I5" s="77" t="s">
        <v>1</v>
      </c>
      <c r="J5" s="78" t="s">
        <v>10</v>
      </c>
      <c r="K5" s="148"/>
      <c r="L5" s="79" t="s">
        <v>1</v>
      </c>
      <c r="M5" s="78" t="s">
        <v>10</v>
      </c>
      <c r="N5" s="148"/>
    </row>
    <row r="6" spans="2:15" ht="15.75" x14ac:dyDescent="0.25">
      <c r="B6" s="71"/>
      <c r="C6" s="72"/>
      <c r="D6" s="73"/>
      <c r="E6" s="74"/>
      <c r="F6" s="75"/>
      <c r="G6" s="73"/>
      <c r="H6" s="76"/>
      <c r="I6" s="72"/>
      <c r="J6" s="73"/>
      <c r="K6" s="74"/>
      <c r="L6" s="75"/>
      <c r="M6" s="73"/>
      <c r="N6" s="74"/>
    </row>
    <row r="7" spans="2:15" ht="15.75" x14ac:dyDescent="0.25">
      <c r="B7" s="67"/>
      <c r="C7" s="69"/>
      <c r="D7" s="61"/>
      <c r="E7" s="66"/>
      <c r="F7" s="68"/>
      <c r="G7" s="61"/>
      <c r="H7" s="70"/>
      <c r="I7" s="69"/>
      <c r="J7" s="61"/>
      <c r="K7" s="66"/>
      <c r="L7" s="68"/>
      <c r="M7" s="61"/>
      <c r="N7" s="66"/>
    </row>
    <row r="8" spans="2:15" ht="15.75" x14ac:dyDescent="0.25">
      <c r="B8" s="67"/>
      <c r="C8" s="69"/>
      <c r="D8" s="61"/>
      <c r="E8" s="66"/>
      <c r="F8" s="68"/>
      <c r="G8" s="61"/>
      <c r="H8" s="70"/>
      <c r="I8" s="69"/>
      <c r="J8" s="61"/>
      <c r="K8" s="66"/>
      <c r="L8" s="68"/>
      <c r="M8" s="61"/>
      <c r="N8" s="66"/>
    </row>
    <row r="9" spans="2:15" ht="15.75" x14ac:dyDescent="0.25">
      <c r="B9" s="67"/>
      <c r="C9" s="69"/>
      <c r="D9" s="61"/>
      <c r="E9" s="66"/>
      <c r="F9" s="68"/>
      <c r="G9" s="61"/>
      <c r="H9" s="70"/>
      <c r="I9" s="69"/>
      <c r="J9" s="61"/>
      <c r="K9" s="66"/>
      <c r="L9" s="68"/>
      <c r="M9" s="61"/>
      <c r="N9" s="66"/>
    </row>
    <row r="10" spans="2:15" ht="16.5" thickBot="1" x14ac:dyDescent="0.3">
      <c r="B10" s="80"/>
      <c r="C10" s="81"/>
      <c r="D10" s="82"/>
      <c r="E10" s="83"/>
      <c r="F10" s="84"/>
      <c r="G10" s="82"/>
      <c r="H10" s="85"/>
      <c r="I10" s="81"/>
      <c r="J10" s="82"/>
      <c r="K10" s="83"/>
      <c r="L10" s="84"/>
      <c r="M10" s="82"/>
      <c r="N10" s="83"/>
    </row>
    <row r="11" spans="2:15" ht="16.5" thickBot="1" x14ac:dyDescent="0.3">
      <c r="B11" s="86" t="s">
        <v>2498</v>
      </c>
      <c r="C11" s="87"/>
      <c r="D11" s="88"/>
      <c r="E11" s="89"/>
      <c r="F11" s="90"/>
      <c r="G11" s="88"/>
      <c r="H11" s="91"/>
      <c r="I11" s="87"/>
      <c r="J11" s="88"/>
      <c r="K11" s="89"/>
      <c r="L11" s="90"/>
      <c r="M11" s="88"/>
      <c r="N11" s="89"/>
    </row>
    <row r="15" spans="2:15" s="64" customFormat="1" x14ac:dyDescent="0.25">
      <c r="C15" s="146" t="s">
        <v>2509</v>
      </c>
      <c r="D15" s="146"/>
      <c r="E15" s="146"/>
      <c r="F15" s="65"/>
      <c r="G15" s="65"/>
      <c r="H15" s="65"/>
      <c r="I15" s="65"/>
      <c r="J15" s="65"/>
      <c r="K15" s="146"/>
      <c r="L15" s="146"/>
      <c r="M15" s="65"/>
      <c r="N15" s="65"/>
    </row>
    <row r="16" spans="2:15" s="64" customFormat="1" x14ac:dyDescent="0.25">
      <c r="C16" s="146" t="s">
        <v>2510</v>
      </c>
      <c r="D16" s="146"/>
      <c r="E16" s="146"/>
      <c r="F16" s="65"/>
      <c r="G16" s="65"/>
      <c r="H16" s="65"/>
      <c r="I16" s="65"/>
      <c r="J16" s="65"/>
      <c r="K16" s="146" t="s">
        <v>2511</v>
      </c>
      <c r="L16" s="146"/>
      <c r="M16" s="65"/>
      <c r="N16" s="65"/>
    </row>
    <row r="17" spans="3:14" s="64" customFormat="1" x14ac:dyDescent="0.25">
      <c r="C17" s="65"/>
      <c r="E17" s="65"/>
      <c r="F17" s="65"/>
      <c r="G17" s="65"/>
      <c r="H17" s="65"/>
      <c r="I17" s="65"/>
      <c r="J17" s="65"/>
      <c r="L17" s="65"/>
      <c r="M17" s="65"/>
      <c r="N17" s="65"/>
    </row>
    <row r="18" spans="3:14" s="64" customFormat="1" x14ac:dyDescent="0.25">
      <c r="C18" s="65"/>
      <c r="E18" s="65"/>
      <c r="F18" s="65"/>
      <c r="G18" s="65"/>
      <c r="H18" s="65"/>
      <c r="I18" s="65"/>
      <c r="J18" s="65"/>
      <c r="L18" s="65"/>
      <c r="M18" s="65"/>
      <c r="N18" s="65"/>
    </row>
    <row r="19" spans="3:14" s="64" customFormat="1" x14ac:dyDescent="0.25">
      <c r="C19" s="65"/>
      <c r="E19" s="65"/>
      <c r="F19" s="65"/>
      <c r="G19" s="65"/>
      <c r="H19" s="65"/>
      <c r="I19" s="65"/>
      <c r="J19" s="65"/>
      <c r="L19" s="65"/>
      <c r="M19" s="65"/>
      <c r="N19" s="65"/>
    </row>
    <row r="20" spans="3:14" s="64" customFormat="1" x14ac:dyDescent="0.25">
      <c r="C20" s="145" t="s">
        <v>2512</v>
      </c>
      <c r="D20" s="145"/>
      <c r="E20" s="145"/>
      <c r="F20" s="65"/>
      <c r="G20" s="65"/>
      <c r="H20" s="65"/>
      <c r="I20" s="65"/>
      <c r="J20" s="65"/>
      <c r="K20" s="145" t="s">
        <v>2523</v>
      </c>
      <c r="L20" s="145"/>
      <c r="M20" s="65"/>
      <c r="N20" s="65"/>
    </row>
    <row r="21" spans="3:14" s="64" customFormat="1" x14ac:dyDescent="0.25">
      <c r="C21" s="145" t="s">
        <v>2513</v>
      </c>
      <c r="D21" s="145"/>
      <c r="E21" s="145"/>
      <c r="F21" s="65"/>
      <c r="G21" s="65"/>
      <c r="H21" s="65"/>
      <c r="I21" s="65"/>
      <c r="J21" s="65"/>
      <c r="K21" s="145"/>
      <c r="L21" s="145"/>
      <c r="M21" s="65"/>
      <c r="N21" s="65"/>
    </row>
  </sheetData>
  <mergeCells count="19">
    <mergeCell ref="C21:E21"/>
    <mergeCell ref="K21:L21"/>
    <mergeCell ref="N4:N5"/>
    <mergeCell ref="C15:E15"/>
    <mergeCell ref="K15:L15"/>
    <mergeCell ref="C16:E16"/>
    <mergeCell ref="K16:L16"/>
    <mergeCell ref="C20:E20"/>
    <mergeCell ref="K20:L20"/>
    <mergeCell ref="B2:N2"/>
    <mergeCell ref="B3:N3"/>
    <mergeCell ref="B4:B5"/>
    <mergeCell ref="C4:D4"/>
    <mergeCell ref="E4:E5"/>
    <mergeCell ref="F4:G4"/>
    <mergeCell ref="H4:H5"/>
    <mergeCell ref="I4:J4"/>
    <mergeCell ref="K4:K5"/>
    <mergeCell ref="L4:M4"/>
  </mergeCells>
  <printOptions horizontalCentered="1" verticalCentered="1"/>
  <pageMargins left="0.17" right="0.15" top="0.78740157480314998" bottom="0.78740157480314998" header="0.31496062992126" footer="0.31496062992126"/>
  <pageSetup paperSize="10000" scale="105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49"/>
  <sheetViews>
    <sheetView view="pageBreakPreview" topLeftCell="A13" zoomScale="112" zoomScaleNormal="100" zoomScaleSheetLayoutView="112" workbookViewId="0">
      <selection activeCell="K36" sqref="K36"/>
    </sheetView>
  </sheetViews>
  <sheetFormatPr defaultRowHeight="12.75" x14ac:dyDescent="0.2"/>
  <cols>
    <col min="1" max="1" width="9.140625" style="51"/>
    <col min="2" max="2" width="3.7109375" style="51" customWidth="1"/>
    <col min="3" max="3" width="15.7109375" style="51" customWidth="1"/>
    <col min="4" max="4" width="6.7109375" style="51" customWidth="1"/>
    <col min="5" max="5" width="12.7109375" style="100" customWidth="1"/>
    <col min="6" max="6" width="9.7109375" style="51" customWidth="1"/>
    <col min="7" max="7" width="15.7109375" style="51" customWidth="1"/>
    <col min="8" max="8" width="7.7109375" style="51" customWidth="1"/>
    <col min="9" max="9" width="10.7109375" style="51" customWidth="1"/>
    <col min="10" max="10" width="13.7109375" style="100" customWidth="1"/>
    <col min="11" max="11" width="15.7109375" style="101" customWidth="1"/>
    <col min="12" max="12" width="6" style="51" customWidth="1"/>
    <col min="13" max="13" width="4.42578125" style="119" customWidth="1"/>
    <col min="14" max="14" width="6.42578125" style="51" customWidth="1"/>
    <col min="15" max="15" width="5" style="51" customWidth="1"/>
    <col min="16" max="16" width="16.7109375" style="102" customWidth="1"/>
    <col min="17" max="17" width="10.5703125" style="51" bestFit="1" customWidth="1"/>
    <col min="18" max="18" width="15.7109375" style="102" customWidth="1"/>
    <col min="19" max="21" width="9.140625" style="52"/>
    <col min="22" max="22" width="1.5703125" style="52" bestFit="1" customWidth="1"/>
    <col min="23" max="46" width="9.140625" style="52"/>
    <col min="47" max="16384" width="9.140625" style="51"/>
  </cols>
  <sheetData>
    <row r="1" spans="2:46" s="63" customFormat="1" ht="15.75" x14ac:dyDescent="0.25">
      <c r="B1" s="164" t="s">
        <v>2500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5"/>
      <c r="N1" s="164"/>
      <c r="O1" s="164"/>
      <c r="P1" s="164"/>
      <c r="Q1" s="164"/>
      <c r="R1" s="164"/>
    </row>
    <row r="2" spans="2:46" s="63" customFormat="1" ht="15.75" x14ac:dyDescent="0.25">
      <c r="B2" s="164" t="s">
        <v>2519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5"/>
      <c r="N2" s="164"/>
      <c r="O2" s="164"/>
      <c r="P2" s="164"/>
      <c r="Q2" s="164"/>
      <c r="R2" s="164"/>
    </row>
    <row r="3" spans="2:46" s="63" customFormat="1" ht="15.75" x14ac:dyDescent="0.25">
      <c r="B3" s="115" t="s">
        <v>2520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9"/>
      <c r="N3" s="128"/>
      <c r="O3" s="128"/>
      <c r="P3" s="128"/>
      <c r="Q3" s="128"/>
      <c r="R3" s="128"/>
    </row>
    <row r="4" spans="2:46" ht="15.75" x14ac:dyDescent="0.2">
      <c r="B4" s="115" t="s">
        <v>2521</v>
      </c>
    </row>
    <row r="5" spans="2:46" ht="20.100000000000001" customHeight="1" x14ac:dyDescent="0.2">
      <c r="B5" s="160" t="s">
        <v>348</v>
      </c>
      <c r="C5" s="161" t="s">
        <v>1608</v>
      </c>
      <c r="D5" s="162" t="s">
        <v>1609</v>
      </c>
      <c r="E5" s="159" t="s">
        <v>2502</v>
      </c>
      <c r="F5" s="162" t="s">
        <v>356</v>
      </c>
      <c r="G5" s="161" t="s">
        <v>357</v>
      </c>
      <c r="H5" s="162" t="s">
        <v>350</v>
      </c>
      <c r="I5" s="162" t="s">
        <v>351</v>
      </c>
      <c r="J5" s="160" t="s">
        <v>1610</v>
      </c>
      <c r="K5" s="160"/>
      <c r="L5" s="160"/>
      <c r="M5" s="161" t="s">
        <v>1611</v>
      </c>
      <c r="N5" s="160" t="s">
        <v>353</v>
      </c>
      <c r="O5" s="160" t="s">
        <v>1612</v>
      </c>
      <c r="P5" s="159" t="s">
        <v>354</v>
      </c>
      <c r="Q5" s="160" t="s">
        <v>1613</v>
      </c>
      <c r="R5" s="159" t="s">
        <v>355</v>
      </c>
    </row>
    <row r="6" spans="2:46" ht="20.100000000000001" customHeight="1" x14ac:dyDescent="0.2">
      <c r="B6" s="160"/>
      <c r="C6" s="161"/>
      <c r="D6" s="163"/>
      <c r="E6" s="159"/>
      <c r="F6" s="163"/>
      <c r="G6" s="161"/>
      <c r="H6" s="163"/>
      <c r="I6" s="163"/>
      <c r="J6" s="130" t="s">
        <v>1615</v>
      </c>
      <c r="K6" s="104" t="s">
        <v>1616</v>
      </c>
      <c r="L6" s="133" t="s">
        <v>1617</v>
      </c>
      <c r="M6" s="161"/>
      <c r="N6" s="160"/>
      <c r="O6" s="160"/>
      <c r="P6" s="159"/>
      <c r="Q6" s="160"/>
      <c r="R6" s="159"/>
    </row>
    <row r="7" spans="2:46" x14ac:dyDescent="0.2">
      <c r="B7" s="131"/>
      <c r="C7" s="132"/>
      <c r="D7" s="131"/>
      <c r="E7" s="130"/>
      <c r="F7" s="132"/>
      <c r="G7" s="131"/>
      <c r="H7" s="131"/>
      <c r="I7" s="132"/>
      <c r="J7" s="130"/>
      <c r="K7" s="104"/>
      <c r="L7" s="132"/>
      <c r="M7" s="132"/>
      <c r="N7" s="131"/>
      <c r="O7" s="132"/>
      <c r="P7" s="130"/>
      <c r="Q7" s="131"/>
      <c r="R7" s="108"/>
    </row>
    <row r="8" spans="2:46" x14ac:dyDescent="0.2">
      <c r="B8" s="151">
        <v>1</v>
      </c>
      <c r="C8" s="155"/>
      <c r="D8" s="126"/>
      <c r="E8" s="19"/>
      <c r="F8" s="126"/>
      <c r="G8" s="127"/>
      <c r="H8" s="126"/>
      <c r="I8" s="126"/>
      <c r="J8" s="19"/>
      <c r="K8" s="58"/>
      <c r="L8" s="59"/>
      <c r="M8" s="127"/>
      <c r="N8" s="126"/>
      <c r="O8" s="126"/>
      <c r="P8" s="19"/>
      <c r="Q8" s="126"/>
      <c r="R8" s="19"/>
    </row>
    <row r="9" spans="2:46" x14ac:dyDescent="0.2">
      <c r="B9" s="151"/>
      <c r="C9" s="155"/>
      <c r="D9" s="126"/>
      <c r="E9" s="19"/>
      <c r="F9" s="126"/>
      <c r="G9" s="127"/>
      <c r="H9" s="126"/>
      <c r="I9" s="126"/>
      <c r="J9" s="19"/>
      <c r="K9" s="58"/>
      <c r="L9" s="59"/>
      <c r="M9" s="127"/>
      <c r="N9" s="126"/>
      <c r="O9" s="126"/>
      <c r="P9" s="19"/>
      <c r="Q9" s="126"/>
      <c r="R9" s="19"/>
    </row>
    <row r="10" spans="2:46" x14ac:dyDescent="0.2">
      <c r="B10" s="151"/>
      <c r="C10" s="155"/>
      <c r="D10" s="126"/>
      <c r="E10" s="19"/>
      <c r="F10" s="126"/>
      <c r="G10" s="127"/>
      <c r="H10" s="126"/>
      <c r="I10" s="126"/>
      <c r="J10" s="19"/>
      <c r="K10" s="58"/>
      <c r="L10" s="59"/>
      <c r="M10" s="127"/>
      <c r="N10" s="126"/>
      <c r="O10" s="126"/>
      <c r="P10" s="19"/>
      <c r="Q10" s="126"/>
      <c r="R10" s="19"/>
    </row>
    <row r="11" spans="2:46" x14ac:dyDescent="0.2">
      <c r="B11" s="151"/>
      <c r="C11" s="155"/>
      <c r="D11" s="126"/>
      <c r="E11" s="19"/>
      <c r="F11" s="126"/>
      <c r="G11" s="127"/>
      <c r="H11" s="126"/>
      <c r="I11" s="126"/>
      <c r="J11" s="19"/>
      <c r="K11" s="58"/>
      <c r="L11" s="59"/>
      <c r="M11" s="127"/>
      <c r="N11" s="126"/>
      <c r="O11" s="126"/>
      <c r="P11" s="19"/>
      <c r="Q11" s="126"/>
      <c r="R11" s="19"/>
    </row>
    <row r="12" spans="2:46" x14ac:dyDescent="0.2">
      <c r="B12" s="151">
        <v>2</v>
      </c>
      <c r="C12" s="155"/>
      <c r="D12" s="126"/>
      <c r="E12" s="19"/>
      <c r="F12" s="126"/>
      <c r="G12" s="127"/>
      <c r="H12" s="126"/>
      <c r="I12" s="126"/>
      <c r="J12" s="19"/>
      <c r="K12" s="58"/>
      <c r="L12" s="59"/>
      <c r="M12" s="127"/>
      <c r="N12" s="126"/>
      <c r="O12" s="126"/>
      <c r="P12" s="19"/>
      <c r="Q12" s="126"/>
      <c r="R12" s="19"/>
    </row>
    <row r="13" spans="2:46" x14ac:dyDescent="0.2">
      <c r="B13" s="151"/>
      <c r="C13" s="155"/>
      <c r="D13" s="126"/>
      <c r="E13" s="19"/>
      <c r="F13" s="126"/>
      <c r="G13" s="127"/>
      <c r="H13" s="126"/>
      <c r="I13" s="126"/>
      <c r="J13" s="19"/>
      <c r="K13" s="58"/>
      <c r="L13" s="59"/>
      <c r="M13" s="127"/>
      <c r="N13" s="126"/>
      <c r="O13" s="126"/>
      <c r="P13" s="19"/>
      <c r="Q13" s="126"/>
      <c r="R13" s="19"/>
    </row>
    <row r="14" spans="2:46" x14ac:dyDescent="0.2">
      <c r="B14" s="151"/>
      <c r="C14" s="155"/>
      <c r="D14" s="126"/>
      <c r="E14" s="19"/>
      <c r="F14" s="126"/>
      <c r="G14" s="127"/>
      <c r="H14" s="126"/>
      <c r="I14" s="126"/>
      <c r="J14" s="19"/>
      <c r="K14" s="58"/>
      <c r="L14" s="59"/>
      <c r="M14" s="127"/>
      <c r="N14" s="126"/>
      <c r="O14" s="126"/>
      <c r="P14" s="19"/>
      <c r="Q14" s="126"/>
      <c r="R14" s="19"/>
    </row>
    <row r="15" spans="2:46" s="53" customFormat="1" x14ac:dyDescent="0.2">
      <c r="B15" s="151"/>
      <c r="C15" s="155"/>
      <c r="D15" s="126"/>
      <c r="E15" s="19"/>
      <c r="F15" s="126"/>
      <c r="G15" s="127"/>
      <c r="H15" s="126"/>
      <c r="I15" s="126"/>
      <c r="J15" s="19"/>
      <c r="K15" s="58"/>
      <c r="L15" s="59"/>
      <c r="M15" s="127"/>
      <c r="N15" s="126"/>
      <c r="O15" s="126"/>
      <c r="P15" s="19"/>
      <c r="Q15" s="126"/>
      <c r="R15" s="19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</row>
    <row r="16" spans="2:46" x14ac:dyDescent="0.2">
      <c r="B16" s="151"/>
      <c r="C16" s="155"/>
      <c r="D16" s="126"/>
      <c r="E16" s="19"/>
      <c r="F16" s="126"/>
      <c r="G16" s="127"/>
      <c r="H16" s="126"/>
      <c r="I16" s="126"/>
      <c r="J16" s="19"/>
      <c r="K16" s="58"/>
      <c r="L16" s="59"/>
      <c r="M16" s="127"/>
      <c r="N16" s="126"/>
      <c r="O16" s="126"/>
      <c r="P16" s="19"/>
      <c r="Q16" s="126"/>
      <c r="R16" s="19"/>
    </row>
    <row r="17" spans="2:18" x14ac:dyDescent="0.2">
      <c r="B17" s="151">
        <v>3</v>
      </c>
      <c r="C17" s="155"/>
      <c r="D17" s="126"/>
      <c r="E17" s="19"/>
      <c r="F17" s="126"/>
      <c r="G17" s="127"/>
      <c r="H17" s="126"/>
      <c r="I17" s="126"/>
      <c r="J17" s="19"/>
      <c r="K17" s="58"/>
      <c r="L17" s="59"/>
      <c r="M17" s="127"/>
      <c r="N17" s="126"/>
      <c r="O17" s="126"/>
      <c r="P17" s="19"/>
      <c r="Q17" s="126"/>
      <c r="R17" s="19"/>
    </row>
    <row r="18" spans="2:18" x14ac:dyDescent="0.2">
      <c r="B18" s="151"/>
      <c r="C18" s="155"/>
      <c r="D18" s="126"/>
      <c r="E18" s="19"/>
      <c r="F18" s="126"/>
      <c r="G18" s="127"/>
      <c r="H18" s="126"/>
      <c r="I18" s="126"/>
      <c r="J18" s="19"/>
      <c r="K18" s="58"/>
      <c r="L18" s="59"/>
      <c r="M18" s="127"/>
      <c r="N18" s="126"/>
      <c r="O18" s="126"/>
      <c r="P18" s="19"/>
      <c r="Q18" s="126"/>
      <c r="R18" s="19"/>
    </row>
    <row r="19" spans="2:18" x14ac:dyDescent="0.2">
      <c r="B19" s="151"/>
      <c r="C19" s="155"/>
      <c r="D19" s="126"/>
      <c r="E19" s="19"/>
      <c r="F19" s="126"/>
      <c r="G19" s="127"/>
      <c r="H19" s="126"/>
      <c r="I19" s="126"/>
      <c r="J19" s="19"/>
      <c r="K19" s="58"/>
      <c r="L19" s="59"/>
      <c r="M19" s="127"/>
      <c r="N19" s="126"/>
      <c r="O19" s="126"/>
      <c r="P19" s="19"/>
      <c r="Q19" s="126"/>
      <c r="R19" s="19"/>
    </row>
    <row r="20" spans="2:18" x14ac:dyDescent="0.2">
      <c r="B20" s="151"/>
      <c r="C20" s="155"/>
      <c r="D20" s="126"/>
      <c r="E20" s="19"/>
      <c r="F20" s="126"/>
      <c r="G20" s="127"/>
      <c r="H20" s="126"/>
      <c r="I20" s="126"/>
      <c r="J20" s="19"/>
      <c r="K20" s="58"/>
      <c r="L20" s="59"/>
      <c r="M20" s="127"/>
      <c r="N20" s="126"/>
      <c r="O20" s="126"/>
      <c r="P20" s="19"/>
      <c r="Q20" s="126"/>
      <c r="R20" s="19"/>
    </row>
    <row r="21" spans="2:18" x14ac:dyDescent="0.2">
      <c r="B21" s="151"/>
      <c r="C21" s="155"/>
      <c r="D21" s="126"/>
      <c r="E21" s="19"/>
      <c r="F21" s="126"/>
      <c r="G21" s="127"/>
      <c r="H21" s="126"/>
      <c r="I21" s="126"/>
      <c r="J21" s="19"/>
      <c r="K21" s="58"/>
      <c r="L21" s="59"/>
      <c r="M21" s="127"/>
      <c r="N21" s="126"/>
      <c r="O21" s="126"/>
      <c r="P21" s="19"/>
      <c r="Q21" s="126"/>
      <c r="R21" s="19"/>
    </row>
    <row r="22" spans="2:18" x14ac:dyDescent="0.2">
      <c r="B22" s="151">
        <v>4</v>
      </c>
      <c r="C22" s="155"/>
      <c r="D22" s="126"/>
      <c r="E22" s="19"/>
      <c r="F22" s="126"/>
      <c r="G22" s="127"/>
      <c r="H22" s="126"/>
      <c r="I22" s="126"/>
      <c r="J22" s="19"/>
      <c r="K22" s="58"/>
      <c r="L22" s="59"/>
      <c r="M22" s="127"/>
      <c r="N22" s="126"/>
      <c r="O22" s="126"/>
      <c r="P22" s="19"/>
      <c r="Q22" s="126"/>
      <c r="R22" s="19"/>
    </row>
    <row r="23" spans="2:18" x14ac:dyDescent="0.2">
      <c r="B23" s="151"/>
      <c r="C23" s="155"/>
      <c r="D23" s="126"/>
      <c r="E23" s="19"/>
      <c r="F23" s="126"/>
      <c r="G23" s="127"/>
      <c r="H23" s="126"/>
      <c r="I23" s="126"/>
      <c r="J23" s="19"/>
      <c r="K23" s="58"/>
      <c r="L23" s="59"/>
      <c r="M23" s="127"/>
      <c r="N23" s="126"/>
      <c r="O23" s="126"/>
      <c r="P23" s="19"/>
      <c r="Q23" s="126"/>
      <c r="R23" s="19"/>
    </row>
    <row r="24" spans="2:18" x14ac:dyDescent="0.2">
      <c r="B24" s="151"/>
      <c r="C24" s="155"/>
      <c r="D24" s="126"/>
      <c r="E24" s="19"/>
      <c r="F24" s="126"/>
      <c r="G24" s="127"/>
      <c r="H24" s="126"/>
      <c r="I24" s="126"/>
      <c r="J24" s="19"/>
      <c r="K24" s="58"/>
      <c r="L24" s="59"/>
      <c r="M24" s="127"/>
      <c r="N24" s="126"/>
      <c r="O24" s="126"/>
      <c r="P24" s="19"/>
      <c r="Q24" s="126"/>
      <c r="R24" s="19"/>
    </row>
    <row r="25" spans="2:18" x14ac:dyDescent="0.2">
      <c r="B25" s="151"/>
      <c r="C25" s="155"/>
      <c r="D25" s="126"/>
      <c r="E25" s="19"/>
      <c r="F25" s="126"/>
      <c r="G25" s="127"/>
      <c r="H25" s="126"/>
      <c r="I25" s="126"/>
      <c r="J25" s="19"/>
      <c r="K25" s="58"/>
      <c r="L25" s="59"/>
      <c r="M25" s="127"/>
      <c r="N25" s="126"/>
      <c r="O25" s="126"/>
      <c r="P25" s="19"/>
      <c r="Q25" s="126"/>
      <c r="R25" s="19"/>
    </row>
    <row r="26" spans="2:18" x14ac:dyDescent="0.2">
      <c r="B26" s="151"/>
      <c r="C26" s="155"/>
      <c r="D26" s="126"/>
      <c r="E26" s="19"/>
      <c r="F26" s="126"/>
      <c r="G26" s="127"/>
      <c r="H26" s="126"/>
      <c r="I26" s="126"/>
      <c r="J26" s="19"/>
      <c r="K26" s="58"/>
      <c r="L26" s="59"/>
      <c r="M26" s="127"/>
      <c r="N26" s="126"/>
      <c r="O26" s="126"/>
      <c r="P26" s="19"/>
      <c r="Q26" s="126"/>
      <c r="R26" s="19"/>
    </row>
    <row r="27" spans="2:18" x14ac:dyDescent="0.2">
      <c r="B27" s="151"/>
      <c r="C27" s="155"/>
      <c r="D27" s="126"/>
      <c r="E27" s="19"/>
      <c r="F27" s="126"/>
      <c r="G27" s="127"/>
      <c r="H27" s="126"/>
      <c r="I27" s="126"/>
      <c r="J27" s="19"/>
      <c r="K27" s="58"/>
      <c r="L27" s="59"/>
      <c r="M27" s="127"/>
      <c r="N27" s="126"/>
      <c r="O27" s="126"/>
      <c r="P27" s="19"/>
      <c r="Q27" s="126"/>
      <c r="R27" s="19"/>
    </row>
    <row r="28" spans="2:18" x14ac:dyDescent="0.2">
      <c r="B28" s="151">
        <v>5</v>
      </c>
      <c r="C28" s="155"/>
      <c r="D28" s="126"/>
      <c r="E28" s="19"/>
      <c r="F28" s="126"/>
      <c r="G28" s="127"/>
      <c r="H28" s="126"/>
      <c r="I28" s="126"/>
      <c r="J28" s="19"/>
      <c r="K28" s="58"/>
      <c r="L28" s="59"/>
      <c r="M28" s="127"/>
      <c r="N28" s="126"/>
      <c r="O28" s="126"/>
      <c r="P28" s="19"/>
      <c r="Q28" s="126"/>
      <c r="R28" s="19"/>
    </row>
    <row r="29" spans="2:18" x14ac:dyDescent="0.2">
      <c r="B29" s="151"/>
      <c r="C29" s="155"/>
      <c r="D29" s="126"/>
      <c r="E29" s="19"/>
      <c r="F29" s="126"/>
      <c r="G29" s="127"/>
      <c r="H29" s="126"/>
      <c r="I29" s="126"/>
      <c r="J29" s="19"/>
      <c r="K29" s="58"/>
      <c r="L29" s="59"/>
      <c r="M29" s="127"/>
      <c r="N29" s="126"/>
      <c r="O29" s="126"/>
      <c r="P29" s="19"/>
      <c r="Q29" s="126"/>
      <c r="R29" s="19"/>
    </row>
    <row r="30" spans="2:18" x14ac:dyDescent="0.2">
      <c r="B30" s="151"/>
      <c r="C30" s="155"/>
      <c r="D30" s="126"/>
      <c r="E30" s="19"/>
      <c r="F30" s="126"/>
      <c r="G30" s="127"/>
      <c r="H30" s="126"/>
      <c r="I30" s="126"/>
      <c r="J30" s="19"/>
      <c r="K30" s="58"/>
      <c r="L30" s="59"/>
      <c r="M30" s="127"/>
      <c r="N30" s="126"/>
      <c r="O30" s="126"/>
      <c r="P30" s="19"/>
      <c r="Q30" s="126"/>
      <c r="R30" s="19"/>
    </row>
    <row r="31" spans="2:18" x14ac:dyDescent="0.2">
      <c r="B31" s="151"/>
      <c r="C31" s="155"/>
      <c r="D31" s="126"/>
      <c r="E31" s="19"/>
      <c r="F31" s="126"/>
      <c r="G31" s="127"/>
      <c r="H31" s="126"/>
      <c r="I31" s="126"/>
      <c r="J31" s="19"/>
      <c r="K31" s="58"/>
      <c r="L31" s="59"/>
      <c r="M31" s="127"/>
      <c r="N31" s="126"/>
      <c r="O31" s="126"/>
      <c r="P31" s="19"/>
      <c r="Q31" s="126"/>
      <c r="R31" s="19"/>
    </row>
    <row r="32" spans="2:18" x14ac:dyDescent="0.2">
      <c r="B32" s="151">
        <v>6</v>
      </c>
      <c r="C32" s="151"/>
      <c r="D32" s="126"/>
      <c r="E32" s="19"/>
      <c r="F32" s="126"/>
      <c r="G32" s="127"/>
      <c r="H32" s="126"/>
      <c r="I32" s="126"/>
      <c r="J32" s="19"/>
      <c r="K32" s="58"/>
      <c r="L32" s="59"/>
      <c r="M32" s="127"/>
      <c r="N32" s="126"/>
      <c r="O32" s="126"/>
      <c r="P32" s="19"/>
      <c r="Q32" s="126"/>
      <c r="R32" s="19"/>
    </row>
    <row r="33" spans="1:178" x14ac:dyDescent="0.2">
      <c r="B33" s="151"/>
      <c r="C33" s="151"/>
      <c r="D33" s="126"/>
      <c r="E33" s="19"/>
      <c r="F33" s="126"/>
      <c r="G33" s="127"/>
      <c r="H33" s="126"/>
      <c r="I33" s="126"/>
      <c r="J33" s="19"/>
      <c r="K33" s="58"/>
      <c r="L33" s="59"/>
      <c r="M33" s="127"/>
      <c r="N33" s="126"/>
      <c r="O33" s="126"/>
      <c r="P33" s="19"/>
      <c r="Q33" s="126"/>
      <c r="R33" s="19"/>
    </row>
    <row r="34" spans="1:178" x14ac:dyDescent="0.2">
      <c r="B34" s="151"/>
      <c r="C34" s="151"/>
      <c r="D34" s="126"/>
      <c r="E34" s="19"/>
      <c r="F34" s="126"/>
      <c r="G34" s="127"/>
      <c r="H34" s="126"/>
      <c r="I34" s="126"/>
      <c r="J34" s="19"/>
      <c r="K34" s="58"/>
      <c r="L34" s="59"/>
      <c r="M34" s="127"/>
      <c r="N34" s="126"/>
      <c r="O34" s="126"/>
      <c r="P34" s="19"/>
      <c r="Q34" s="126"/>
      <c r="R34" s="19"/>
    </row>
    <row r="35" spans="1:178" x14ac:dyDescent="0.2">
      <c r="B35" s="151"/>
      <c r="C35" s="151"/>
      <c r="D35" s="126"/>
      <c r="E35" s="19"/>
      <c r="F35" s="126"/>
      <c r="G35" s="127"/>
      <c r="H35" s="126"/>
      <c r="I35" s="126"/>
      <c r="J35" s="19"/>
      <c r="K35" s="58"/>
      <c r="L35" s="59"/>
      <c r="M35" s="127"/>
      <c r="N35" s="126"/>
      <c r="O35" s="126"/>
      <c r="P35" s="19"/>
      <c r="Q35" s="126"/>
      <c r="R35" s="19"/>
    </row>
    <row r="36" spans="1:178" x14ac:dyDescent="0.2">
      <c r="B36" s="151">
        <v>7</v>
      </c>
      <c r="C36" s="155"/>
      <c r="D36" s="126"/>
      <c r="E36" s="19"/>
      <c r="F36" s="126"/>
      <c r="G36" s="127"/>
      <c r="H36" s="126"/>
      <c r="I36" s="126"/>
      <c r="J36" s="19"/>
      <c r="K36" s="58"/>
      <c r="L36" s="59"/>
      <c r="M36" s="127"/>
      <c r="N36" s="126"/>
      <c r="O36" s="126"/>
      <c r="P36" s="19"/>
      <c r="Q36" s="126"/>
      <c r="R36" s="19"/>
    </row>
    <row r="37" spans="1:178" x14ac:dyDescent="0.2">
      <c r="B37" s="151"/>
      <c r="C37" s="155"/>
      <c r="D37" s="126"/>
      <c r="E37" s="19"/>
      <c r="F37" s="126"/>
      <c r="G37" s="127"/>
      <c r="H37" s="126"/>
      <c r="I37" s="126"/>
      <c r="J37" s="19"/>
      <c r="K37" s="58"/>
      <c r="L37" s="59"/>
      <c r="M37" s="127"/>
      <c r="N37" s="126"/>
      <c r="O37" s="126"/>
      <c r="P37" s="19"/>
      <c r="Q37" s="126"/>
      <c r="R37" s="19"/>
    </row>
    <row r="38" spans="1:178" x14ac:dyDescent="0.2">
      <c r="B38" s="151">
        <v>8</v>
      </c>
      <c r="C38" s="151"/>
      <c r="D38" s="126"/>
      <c r="E38" s="19"/>
      <c r="F38" s="126"/>
      <c r="G38" s="127"/>
      <c r="H38" s="126"/>
      <c r="I38" s="126"/>
      <c r="J38" s="19"/>
      <c r="K38" s="58"/>
      <c r="L38" s="126"/>
      <c r="M38" s="127"/>
      <c r="N38" s="126"/>
      <c r="O38" s="126"/>
      <c r="P38" s="19"/>
      <c r="Q38" s="126"/>
      <c r="R38" s="19"/>
    </row>
    <row r="39" spans="1:178" x14ac:dyDescent="0.2">
      <c r="B39" s="151"/>
      <c r="C39" s="151"/>
      <c r="D39" s="126"/>
      <c r="E39" s="19"/>
      <c r="F39" s="126"/>
      <c r="G39" s="127"/>
      <c r="H39" s="126"/>
      <c r="I39" s="126"/>
      <c r="J39" s="19"/>
      <c r="K39" s="58"/>
      <c r="L39" s="126"/>
      <c r="M39" s="127"/>
      <c r="N39" s="126"/>
      <c r="O39" s="126"/>
      <c r="P39" s="19"/>
      <c r="Q39" s="126"/>
      <c r="R39" s="19"/>
    </row>
    <row r="40" spans="1:178" x14ac:dyDescent="0.2">
      <c r="B40" s="151"/>
      <c r="C40" s="151"/>
      <c r="D40" s="126"/>
      <c r="E40" s="19"/>
      <c r="F40" s="126"/>
      <c r="G40" s="127"/>
      <c r="H40" s="126"/>
      <c r="I40" s="126"/>
      <c r="J40" s="19"/>
      <c r="K40" s="58"/>
      <c r="L40" s="126"/>
      <c r="M40" s="127"/>
      <c r="N40" s="126"/>
      <c r="O40" s="126"/>
      <c r="P40" s="19"/>
      <c r="Q40" s="126"/>
      <c r="R40" s="19"/>
    </row>
    <row r="41" spans="1:178" x14ac:dyDescent="0.2">
      <c r="B41" s="151"/>
      <c r="C41" s="151"/>
      <c r="D41" s="126"/>
      <c r="E41" s="19"/>
      <c r="F41" s="126"/>
      <c r="G41" s="127"/>
      <c r="H41" s="126"/>
      <c r="I41" s="126"/>
      <c r="J41" s="19"/>
      <c r="K41" s="58"/>
      <c r="L41" s="126"/>
      <c r="M41" s="127"/>
      <c r="N41" s="126"/>
      <c r="O41" s="126"/>
      <c r="P41" s="19"/>
      <c r="Q41" s="126"/>
      <c r="R41" s="19"/>
    </row>
    <row r="42" spans="1:178" x14ac:dyDescent="0.2">
      <c r="B42" s="151"/>
      <c r="C42" s="151"/>
      <c r="D42" s="126"/>
      <c r="E42" s="19"/>
      <c r="F42" s="126"/>
      <c r="G42" s="127"/>
      <c r="H42" s="126"/>
      <c r="I42" s="126"/>
      <c r="J42" s="19"/>
      <c r="K42" s="58"/>
      <c r="L42" s="126"/>
      <c r="M42" s="127"/>
      <c r="N42" s="126"/>
      <c r="O42" s="126"/>
      <c r="P42" s="19"/>
      <c r="Q42" s="126"/>
      <c r="R42" s="19"/>
    </row>
    <row r="43" spans="1:178" s="52" customFormat="1" x14ac:dyDescent="0.2">
      <c r="A43" s="51"/>
      <c r="B43" s="151">
        <v>9</v>
      </c>
      <c r="C43" s="155"/>
      <c r="D43" s="126"/>
      <c r="E43" s="19"/>
      <c r="F43" s="126"/>
      <c r="G43" s="127"/>
      <c r="H43" s="126"/>
      <c r="I43" s="126"/>
      <c r="J43" s="19"/>
      <c r="K43" s="58"/>
      <c r="L43" s="59"/>
      <c r="M43" s="127"/>
      <c r="N43" s="126"/>
      <c r="O43" s="126"/>
      <c r="P43" s="19"/>
      <c r="Q43" s="126"/>
      <c r="R43" s="19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  <c r="EC43" s="51"/>
      <c r="ED43" s="51"/>
      <c r="EE43" s="51"/>
      <c r="EF43" s="51"/>
      <c r="EG43" s="51"/>
      <c r="EH43" s="51"/>
      <c r="EI43" s="51"/>
      <c r="EJ43" s="51"/>
      <c r="EK43" s="51"/>
      <c r="EL43" s="51"/>
      <c r="EM43" s="51"/>
      <c r="EN43" s="51"/>
      <c r="EO43" s="51"/>
      <c r="EP43" s="51"/>
      <c r="EQ43" s="51"/>
      <c r="ER43" s="51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51"/>
      <c r="FG43" s="51"/>
      <c r="FH43" s="51"/>
      <c r="FI43" s="51"/>
      <c r="FJ43" s="51"/>
      <c r="FK43" s="51"/>
      <c r="FL43" s="51"/>
      <c r="FM43" s="51"/>
      <c r="FN43" s="51"/>
      <c r="FO43" s="51"/>
      <c r="FP43" s="51"/>
      <c r="FQ43" s="51"/>
      <c r="FR43" s="51"/>
      <c r="FS43" s="51"/>
      <c r="FT43" s="51"/>
      <c r="FU43" s="51"/>
      <c r="FV43" s="51"/>
    </row>
    <row r="44" spans="1:178" s="52" customFormat="1" x14ac:dyDescent="0.2">
      <c r="A44" s="51"/>
      <c r="B44" s="151"/>
      <c r="C44" s="155"/>
      <c r="D44" s="126"/>
      <c r="E44" s="19"/>
      <c r="F44" s="126"/>
      <c r="G44" s="127"/>
      <c r="H44" s="126"/>
      <c r="I44" s="126"/>
      <c r="J44" s="19"/>
      <c r="K44" s="58"/>
      <c r="L44" s="59"/>
      <c r="M44" s="127"/>
      <c r="N44" s="126"/>
      <c r="O44" s="126"/>
      <c r="P44" s="19"/>
      <c r="Q44" s="126"/>
      <c r="R44" s="19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  <c r="FE44" s="51"/>
      <c r="FF44" s="51"/>
      <c r="FG44" s="51"/>
      <c r="FH44" s="51"/>
      <c r="FI44" s="51"/>
      <c r="FJ44" s="51"/>
      <c r="FK44" s="51"/>
      <c r="FL44" s="51"/>
      <c r="FM44" s="51"/>
      <c r="FN44" s="51"/>
      <c r="FO44" s="51"/>
      <c r="FP44" s="51"/>
      <c r="FQ44" s="51"/>
      <c r="FR44" s="51"/>
      <c r="FS44" s="51"/>
      <c r="FT44" s="51"/>
      <c r="FU44" s="51"/>
      <c r="FV44" s="51"/>
    </row>
    <row r="45" spans="1:178" s="57" customFormat="1" ht="15" x14ac:dyDescent="0.25">
      <c r="D45" s="166" t="s">
        <v>2509</v>
      </c>
      <c r="E45" s="166"/>
      <c r="F45" s="166"/>
      <c r="K45" s="125"/>
      <c r="L45" s="120"/>
      <c r="P45" s="121"/>
      <c r="R45" s="121"/>
    </row>
    <row r="46" spans="1:178" s="57" customFormat="1" ht="15" x14ac:dyDescent="0.25">
      <c r="D46" s="166" t="s">
        <v>2510</v>
      </c>
      <c r="E46" s="166"/>
      <c r="F46" s="166"/>
      <c r="K46" s="125"/>
      <c r="L46" s="120"/>
      <c r="P46" s="146" t="s">
        <v>2511</v>
      </c>
      <c r="Q46" s="146"/>
      <c r="R46" s="121"/>
    </row>
    <row r="47" spans="1:178" s="57" customFormat="1" ht="15" x14ac:dyDescent="0.25">
      <c r="D47" s="122"/>
      <c r="E47" s="123"/>
      <c r="F47" s="122"/>
      <c r="K47" s="125"/>
      <c r="L47" s="120"/>
      <c r="P47" s="64"/>
      <c r="Q47" s="65"/>
      <c r="R47" s="121"/>
    </row>
    <row r="48" spans="1:178" s="57" customFormat="1" ht="14.25" x14ac:dyDescent="0.2">
      <c r="D48" s="167" t="s">
        <v>2512</v>
      </c>
      <c r="E48" s="167"/>
      <c r="F48" s="167"/>
      <c r="K48" s="125"/>
      <c r="L48" s="120"/>
      <c r="P48" s="145" t="s">
        <v>2522</v>
      </c>
      <c r="Q48" s="145"/>
      <c r="R48" s="121"/>
    </row>
    <row r="49" spans="4:18" s="57" customFormat="1" ht="14.25" x14ac:dyDescent="0.2">
      <c r="D49" s="167" t="s">
        <v>2513</v>
      </c>
      <c r="E49" s="167"/>
      <c r="F49" s="167"/>
      <c r="K49" s="125"/>
      <c r="L49" s="120"/>
      <c r="P49" s="121"/>
      <c r="R49" s="121"/>
    </row>
  </sheetData>
  <autoFilter ref="A7:FV46"/>
  <mergeCells count="41">
    <mergeCell ref="D45:F45"/>
    <mergeCell ref="D46:F46"/>
    <mergeCell ref="P46:Q46"/>
    <mergeCell ref="D48:F48"/>
    <mergeCell ref="P48:Q48"/>
    <mergeCell ref="D49:F49"/>
    <mergeCell ref="B43:B44"/>
    <mergeCell ref="C43:C44"/>
    <mergeCell ref="B36:B37"/>
    <mergeCell ref="C36:C37"/>
    <mergeCell ref="B38:B42"/>
    <mergeCell ref="C38:C42"/>
    <mergeCell ref="B22:B27"/>
    <mergeCell ref="C22:C27"/>
    <mergeCell ref="B28:B31"/>
    <mergeCell ref="C28:C31"/>
    <mergeCell ref="B32:B35"/>
    <mergeCell ref="C32:C35"/>
    <mergeCell ref="R5:R6"/>
    <mergeCell ref="B8:B11"/>
    <mergeCell ref="C8:C11"/>
    <mergeCell ref="B12:B16"/>
    <mergeCell ref="C12:C16"/>
    <mergeCell ref="B17:B21"/>
    <mergeCell ref="C17:C21"/>
    <mergeCell ref="J5:L5"/>
    <mergeCell ref="M5:M6"/>
    <mergeCell ref="N5:N6"/>
    <mergeCell ref="O5:O6"/>
    <mergeCell ref="P5:P6"/>
    <mergeCell ref="Q5:Q6"/>
    <mergeCell ref="B1:R1"/>
    <mergeCell ref="B2:R2"/>
    <mergeCell ref="B5:B6"/>
    <mergeCell ref="C5:C6"/>
    <mergeCell ref="D5:D6"/>
    <mergeCell ref="E5:E6"/>
    <mergeCell ref="F5:F6"/>
    <mergeCell ref="G5:G6"/>
    <mergeCell ref="H5:H6"/>
    <mergeCell ref="I5:I6"/>
  </mergeCells>
  <pageMargins left="0.21" right="0.19685039370078741" top="0.39370078740157483" bottom="0.62992125984251968" header="0.31496062992125984" footer="0.31496062992125984"/>
  <pageSetup paperSize="5" scale="82" orientation="landscape" horizontalDpi="300" verticalDpi="300" r:id="rId1"/>
  <headerFooter>
    <oddFooter>&amp;C&amp;"-,Bold"&amp;12&amp;P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Rekap</vt:lpstr>
      <vt:lpstr>RT 01</vt:lpstr>
      <vt:lpstr>RT 02</vt:lpstr>
      <vt:lpstr>RT 03</vt:lpstr>
      <vt:lpstr>RT 04</vt:lpstr>
      <vt:lpstr>RT 05</vt:lpstr>
      <vt:lpstr>pindah kk</vt:lpstr>
      <vt:lpstr>Sheet1</vt:lpstr>
      <vt:lpstr>MENINGGAL</vt:lpstr>
      <vt:lpstr>Rekap form</vt:lpstr>
      <vt:lpstr>form tabel</vt:lpstr>
      <vt:lpstr>Sheet2</vt:lpstr>
      <vt:lpstr>'form tabel'!Print_Area</vt:lpstr>
      <vt:lpstr>Rekap!Print_Area</vt:lpstr>
      <vt:lpstr>'Rekap form'!Print_Area</vt:lpstr>
      <vt:lpstr>'RT 01'!Print_Area</vt:lpstr>
      <vt:lpstr>'RT 02'!Print_Area</vt:lpstr>
      <vt:lpstr>'RT 03'!Print_Area</vt:lpstr>
      <vt:lpstr>'RT 04'!Print_Area</vt:lpstr>
      <vt:lpstr>'RT 05'!Print_Area</vt:lpstr>
      <vt:lpstr>'form tabel'!Print_Titles</vt:lpstr>
      <vt:lpstr>'RT 01'!Print_Titles</vt:lpstr>
      <vt:lpstr>'RT 02'!Print_Titles</vt:lpstr>
      <vt:lpstr>'RT 03'!Print_Titles</vt:lpstr>
      <vt:lpstr>'RT 04'!Print_Titles</vt:lpstr>
      <vt:lpstr>'RT 05'!Print_Titles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C20-830</cp:lastModifiedBy>
  <cp:lastPrinted>2021-05-21T00:58:45Z</cp:lastPrinted>
  <dcterms:created xsi:type="dcterms:W3CDTF">2015-10-08T02:08:09Z</dcterms:created>
  <dcterms:modified xsi:type="dcterms:W3CDTF">2021-05-21T00:59:22Z</dcterms:modified>
</cp:coreProperties>
</file>