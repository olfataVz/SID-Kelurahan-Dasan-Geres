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duduk exsel\"/>
    </mc:Choice>
  </mc:AlternateContent>
  <bookViews>
    <workbookView xWindow="240" yWindow="75" windowWidth="20115" windowHeight="7995"/>
  </bookViews>
  <sheets>
    <sheet name="Rekap" sheetId="8" r:id="rId1"/>
    <sheet name="RT 01" sheetId="1" r:id="rId2"/>
    <sheet name="RT 02" sheetId="2" r:id="rId3"/>
    <sheet name="RT 03" sheetId="3" r:id="rId4"/>
    <sheet name="RT 04" sheetId="4" r:id="rId5"/>
    <sheet name="Sheet1" sheetId="5" r:id="rId6"/>
    <sheet name="Pindah Keluar" sheetId="6" r:id="rId7"/>
    <sheet name="Meninggal" sheetId="7" r:id="rId8"/>
  </sheets>
  <definedNames>
    <definedName name="_xlnm._FilterDatabase" localSheetId="7" hidden="1">Meninggal!$B$4:$W$4</definedName>
    <definedName name="_xlnm._FilterDatabase" localSheetId="6" hidden="1">'Pindah Keluar'!$B$4:$W$4</definedName>
    <definedName name="_xlnm._FilterDatabase" localSheetId="1" hidden="1">'RT 01'!$B$7:$R$244</definedName>
    <definedName name="_xlnm._FilterDatabase" localSheetId="2" hidden="1">'RT 02'!$B$7:$R$184</definedName>
    <definedName name="_xlnm._FilterDatabase" localSheetId="3" hidden="1">'RT 03'!$A$7:$HM$161</definedName>
    <definedName name="_xlnm._FilterDatabase" localSheetId="4" hidden="1">'RT 04'!$A$7:$R$266</definedName>
    <definedName name="_xlnm.Print_Area" localSheetId="0">Rekap!$B$2:$N$20</definedName>
    <definedName name="_xlnm.Print_Area" localSheetId="1">'RT 01'!$B$1:$R$254</definedName>
    <definedName name="_xlnm.Print_Area" localSheetId="2">'RT 02'!$B$1:$R$194</definedName>
    <definedName name="_xlnm.Print_Area" localSheetId="3">'RT 03'!$B$1:$R$171</definedName>
    <definedName name="_xlnm.Print_Area" localSheetId="4">'RT 04'!$B$1:$R$276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  <definedName name="_xlnm.Print_Titles" localSheetId="4">'RT 04'!$1:$7</definedName>
  </definedNames>
  <calcPr calcId="162913"/>
</workbook>
</file>

<file path=xl/calcChain.xml><?xml version="1.0" encoding="utf-8"?>
<calcChain xmlns="http://schemas.openxmlformats.org/spreadsheetml/2006/main">
  <c r="J9" i="8" l="1"/>
  <c r="I9" i="8"/>
  <c r="J8" i="8"/>
  <c r="I8" i="8"/>
  <c r="J7" i="8"/>
  <c r="I7" i="8"/>
  <c r="J6" i="8"/>
  <c r="I6" i="8"/>
  <c r="G6" i="8" l="1"/>
  <c r="M77" i="2"/>
  <c r="M7" i="7"/>
  <c r="M16" i="6"/>
  <c r="M15" i="6"/>
  <c r="M14" i="6"/>
  <c r="M6" i="7"/>
  <c r="M128" i="1"/>
  <c r="M13" i="6"/>
  <c r="M120" i="1"/>
  <c r="M119" i="1"/>
  <c r="M5" i="7"/>
  <c r="M99" i="2"/>
  <c r="M98" i="2"/>
  <c r="M12" i="6"/>
  <c r="M11" i="6"/>
  <c r="M85" i="3"/>
  <c r="G9" i="8"/>
  <c r="F9" i="8"/>
  <c r="D9" i="8"/>
  <c r="C9" i="8"/>
  <c r="G8" i="8"/>
  <c r="G7" i="8"/>
  <c r="F8" i="8"/>
  <c r="D8" i="8"/>
  <c r="C8" i="8"/>
  <c r="F7" i="8"/>
  <c r="D7" i="8"/>
  <c r="C7" i="8"/>
  <c r="F6" i="8"/>
  <c r="D6" i="8"/>
  <c r="C6" i="8"/>
  <c r="M241" i="1" l="1"/>
  <c r="M242" i="1"/>
  <c r="M243" i="1"/>
  <c r="M244" i="1"/>
  <c r="M240" i="1"/>
  <c r="M238" i="1"/>
  <c r="M239" i="1"/>
  <c r="M237" i="1"/>
  <c r="M182" i="2"/>
  <c r="M183" i="2"/>
  <c r="M184" i="2"/>
  <c r="M181" i="2"/>
  <c r="M176" i="2"/>
  <c r="M177" i="2"/>
  <c r="M178" i="2"/>
  <c r="M179" i="2"/>
  <c r="M180" i="2"/>
  <c r="M175" i="2"/>
  <c r="M174" i="2"/>
  <c r="M173" i="2"/>
  <c r="M172" i="2"/>
  <c r="M171" i="2"/>
  <c r="M105" i="2"/>
  <c r="M266" i="4"/>
  <c r="M265" i="4"/>
  <c r="M264" i="4"/>
  <c r="M263" i="4"/>
  <c r="M262" i="4"/>
  <c r="M170" i="2"/>
  <c r="M169" i="2"/>
  <c r="M168" i="2"/>
  <c r="M167" i="2"/>
  <c r="M166" i="2"/>
  <c r="M234" i="1"/>
  <c r="M235" i="1"/>
  <c r="M236" i="1"/>
  <c r="M161" i="3"/>
  <c r="M160" i="3"/>
  <c r="M159" i="3"/>
  <c r="M158" i="3"/>
  <c r="M157" i="3"/>
  <c r="L10" i="8"/>
  <c r="M10" i="8"/>
  <c r="E8" i="8"/>
  <c r="N9" i="8"/>
  <c r="N8" i="8"/>
  <c r="N7" i="8"/>
  <c r="N6" i="8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4" i="3"/>
  <c r="M23" i="3"/>
  <c r="M22" i="3"/>
  <c r="M21" i="3"/>
  <c r="M20" i="3"/>
  <c r="M19" i="3"/>
  <c r="M18" i="3"/>
  <c r="M17" i="3"/>
  <c r="M16" i="3"/>
  <c r="M14" i="3"/>
  <c r="M13" i="3"/>
  <c r="M12" i="3"/>
  <c r="M11" i="3"/>
  <c r="M9" i="3"/>
  <c r="M8" i="3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N10" i="8" l="1"/>
  <c r="E7" i="8"/>
  <c r="I10" i="8"/>
  <c r="D10" i="8"/>
  <c r="F10" i="8"/>
  <c r="G10" i="8"/>
  <c r="J10" i="8"/>
  <c r="C10" i="8"/>
  <c r="K8" i="8"/>
  <c r="K7" i="8"/>
  <c r="K6" i="8"/>
  <c r="K9" i="8"/>
  <c r="H8" i="8"/>
  <c r="H7" i="8"/>
  <c r="H6" i="8"/>
  <c r="H9" i="8"/>
  <c r="E6" i="8"/>
  <c r="E9" i="8"/>
  <c r="M18" i="2"/>
  <c r="M165" i="2"/>
  <c r="M10" i="6"/>
  <c r="M9" i="6"/>
  <c r="M155" i="2"/>
  <c r="E10" i="8" l="1"/>
  <c r="H10" i="8"/>
  <c r="K10" i="8"/>
  <c r="M108" i="2"/>
  <c r="M58" i="2"/>
  <c r="M164" i="2"/>
  <c r="M163" i="2"/>
  <c r="M162" i="2"/>
  <c r="M161" i="2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7" i="1"/>
  <c r="M126" i="1"/>
  <c r="M125" i="1"/>
  <c r="M124" i="1"/>
  <c r="M123" i="1"/>
  <c r="M122" i="1"/>
  <c r="M121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8" i="6"/>
  <c r="M7" i="6"/>
  <c r="M6" i="6"/>
  <c r="M5" i="6"/>
  <c r="M9" i="2" l="1"/>
  <c r="M10" i="2"/>
  <c r="M11" i="2"/>
  <c r="M12" i="2"/>
  <c r="M13" i="2"/>
  <c r="M14" i="2"/>
  <c r="M15" i="2"/>
  <c r="M16" i="2"/>
  <c r="M17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100" i="2"/>
  <c r="M101" i="2"/>
  <c r="M102" i="2"/>
  <c r="M103" i="2"/>
  <c r="M104" i="2"/>
  <c r="M106" i="2"/>
  <c r="M107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6" i="2"/>
  <c r="M157" i="2"/>
  <c r="M158" i="2"/>
  <c r="M159" i="2"/>
  <c r="M160" i="2"/>
  <c r="M8" i="2"/>
  <c r="C5" i="5"/>
  <c r="A5" i="5"/>
</calcChain>
</file>

<file path=xl/sharedStrings.xml><?xml version="1.0" encoding="utf-8"?>
<sst xmlns="http://schemas.openxmlformats.org/spreadsheetml/2006/main" count="8236" uniqueCount="1857">
  <si>
    <t>Rusli</t>
  </si>
  <si>
    <t>L</t>
  </si>
  <si>
    <t>Kawin</t>
  </si>
  <si>
    <t>Islam</t>
  </si>
  <si>
    <t>-</t>
  </si>
  <si>
    <t>KK</t>
  </si>
  <si>
    <t>Hikmah</t>
  </si>
  <si>
    <t>P</t>
  </si>
  <si>
    <t>SLTP/MTSN</t>
  </si>
  <si>
    <t>Istri</t>
  </si>
  <si>
    <t>Belum kawin</t>
  </si>
  <si>
    <t>Anak</t>
  </si>
  <si>
    <t>Muhadi</t>
  </si>
  <si>
    <t>SD/MI</t>
  </si>
  <si>
    <t>Rabitah</t>
  </si>
  <si>
    <t>Muhamad Haekal Ramadhan</t>
  </si>
  <si>
    <t>Awaludin</t>
  </si>
  <si>
    <t>Indrawati</t>
  </si>
  <si>
    <t>Taufik Hidayat</t>
  </si>
  <si>
    <t>Suahrdi</t>
  </si>
  <si>
    <t>Irawati</t>
  </si>
  <si>
    <t>SLTA/MA</t>
  </si>
  <si>
    <t>Arfa Ardi Nata</t>
  </si>
  <si>
    <t>Ahmad</t>
  </si>
  <si>
    <t>Rahman</t>
  </si>
  <si>
    <t>Sahnun</t>
  </si>
  <si>
    <t>Alemah</t>
  </si>
  <si>
    <t>Hernan</t>
  </si>
  <si>
    <t>Almah</t>
  </si>
  <si>
    <t>Maeka Salmah Airani</t>
  </si>
  <si>
    <t>Sakmah</t>
  </si>
  <si>
    <t>Selamet Hadi</t>
  </si>
  <si>
    <t>Anisa</t>
  </si>
  <si>
    <t>Sahugi</t>
  </si>
  <si>
    <t>Susilawati</t>
  </si>
  <si>
    <t>Isri</t>
  </si>
  <si>
    <t>Herwin Sunardi</t>
  </si>
  <si>
    <t>Muhidi</t>
  </si>
  <si>
    <t>Saknah</t>
  </si>
  <si>
    <t>Janda</t>
  </si>
  <si>
    <t>Salnah</t>
  </si>
  <si>
    <t>Muhamar</t>
  </si>
  <si>
    <t>Fauzan ammar</t>
  </si>
  <si>
    <t>anak</t>
  </si>
  <si>
    <t>Hamdani</t>
  </si>
  <si>
    <t>Salmah</t>
  </si>
  <si>
    <t>Riki Febrian</t>
  </si>
  <si>
    <t>Saparudin</t>
  </si>
  <si>
    <t>Rukyah</t>
  </si>
  <si>
    <t>Muslimah</t>
  </si>
  <si>
    <t>Sakrah</t>
  </si>
  <si>
    <t>Siti Rakmah</t>
  </si>
  <si>
    <t>Sudirman</t>
  </si>
  <si>
    <t>Sayadi</t>
  </si>
  <si>
    <t>Wiraswasta</t>
  </si>
  <si>
    <t>Srianah</t>
  </si>
  <si>
    <t>Muhamad Rizal</t>
  </si>
  <si>
    <t>Istiharoh</t>
  </si>
  <si>
    <t>Zila Noveli</t>
  </si>
  <si>
    <t>Yusriadi</t>
  </si>
  <si>
    <t>Sanawiyah</t>
  </si>
  <si>
    <t>Sahabudin</t>
  </si>
  <si>
    <t>Herna Sari</t>
  </si>
  <si>
    <t>Muhamad Indra</t>
  </si>
  <si>
    <t>Neli Agustina</t>
  </si>
  <si>
    <t>Sahnan</t>
  </si>
  <si>
    <t>Halimah</t>
  </si>
  <si>
    <t>Samsul Hadi</t>
  </si>
  <si>
    <t>Mashuri</t>
  </si>
  <si>
    <t>Alin Januarti</t>
  </si>
  <si>
    <t>Hasan Nurdin</t>
  </si>
  <si>
    <t>Nurhayati</t>
  </si>
  <si>
    <t>Idham Kholid</t>
  </si>
  <si>
    <t>Muhamad Nur</t>
  </si>
  <si>
    <t>Nuraini</t>
  </si>
  <si>
    <t>Ilham Jayadi</t>
  </si>
  <si>
    <t>Olivia Febrina</t>
  </si>
  <si>
    <t>Mahli</t>
  </si>
  <si>
    <t>Saharudin</t>
  </si>
  <si>
    <t>Kamariah</t>
  </si>
  <si>
    <t>Kawan</t>
  </si>
  <si>
    <t>Zaenudin</t>
  </si>
  <si>
    <t>Sumini</t>
  </si>
  <si>
    <t>Lainnya</t>
  </si>
  <si>
    <t>Muhamad Reza</t>
  </si>
  <si>
    <t>Dina Olivia</t>
  </si>
  <si>
    <t>Dini Aminarti</t>
  </si>
  <si>
    <t>Joriah</t>
  </si>
  <si>
    <t>Sukma Wati</t>
  </si>
  <si>
    <t>Dedi Irawan</t>
  </si>
  <si>
    <t>Dian Candra</t>
  </si>
  <si>
    <t>Masitah</t>
  </si>
  <si>
    <t>Tanwir</t>
  </si>
  <si>
    <t>Sahram</t>
  </si>
  <si>
    <t>Widya Anggi Lestari</t>
  </si>
  <si>
    <t>Angga Rizki Satria</t>
  </si>
  <si>
    <t>Haeruman</t>
  </si>
  <si>
    <t>Nikmah</t>
  </si>
  <si>
    <t>Muniah</t>
  </si>
  <si>
    <t>Nia Wahyuni</t>
  </si>
  <si>
    <t>Helmalia Putri</t>
  </si>
  <si>
    <t>Wildan</t>
  </si>
  <si>
    <t>Yanti Susilawati</t>
  </si>
  <si>
    <t>Yusman Jayadi</t>
  </si>
  <si>
    <t>Hamzan Ashari</t>
  </si>
  <si>
    <t>Saat</t>
  </si>
  <si>
    <t>Rukiyah</t>
  </si>
  <si>
    <t>Siti Khadijah</t>
  </si>
  <si>
    <t>No</t>
  </si>
  <si>
    <t>Nama Lengkap/panggilan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</si>
  <si>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</si>
  <si>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</si>
  <si>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</si>
  <si>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</si>
  <si>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</si>
  <si>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</si>
  <si>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</si>
  <si>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Jumenah</t>
  </si>
  <si>
    <t>PT/Akademik</t>
  </si>
  <si>
    <t>PT/Akademi</t>
  </si>
  <si>
    <t>Maulana Anwar Habib</t>
  </si>
  <si>
    <t>Burhanudin</t>
  </si>
  <si>
    <t>Siti Maryam</t>
  </si>
  <si>
    <t>Muhamad</t>
  </si>
  <si>
    <t>Suharnik</t>
  </si>
  <si>
    <t>Ibrahim</t>
  </si>
  <si>
    <t>Rodiah</t>
  </si>
  <si>
    <t>Saiun</t>
  </si>
  <si>
    <t>Junuriah</t>
  </si>
  <si>
    <t>Belum Kawin</t>
  </si>
  <si>
    <t>Murdan</t>
  </si>
  <si>
    <t>Budiyah</t>
  </si>
  <si>
    <t>Mulhakim</t>
  </si>
  <si>
    <t>kawin</t>
  </si>
  <si>
    <t>Sri Wijayanti</t>
  </si>
  <si>
    <t>Muhamad Satria Hakim</t>
  </si>
  <si>
    <t>Riadi</t>
  </si>
  <si>
    <t>Soleha</t>
  </si>
  <si>
    <t>Firman Firdaus</t>
  </si>
  <si>
    <t>Rejan</t>
  </si>
  <si>
    <t>Hariadi</t>
  </si>
  <si>
    <t>Nurhaini</t>
  </si>
  <si>
    <t>M Yusuf Fazuri</t>
  </si>
  <si>
    <t>Juanda  Alfitri Yeni</t>
  </si>
  <si>
    <t>Belum kawi</t>
  </si>
  <si>
    <t>Zaini</t>
  </si>
  <si>
    <t>Rosidi</t>
  </si>
  <si>
    <t>Siti Aisah</t>
  </si>
  <si>
    <t>p</t>
  </si>
  <si>
    <t>Ahmadyani</t>
  </si>
  <si>
    <t>Munawaroh</t>
  </si>
  <si>
    <t>Kuniah</t>
  </si>
  <si>
    <t>Sumaini</t>
  </si>
  <si>
    <t>Maknah</t>
  </si>
  <si>
    <t>Marzuri</t>
  </si>
  <si>
    <t>Rabi Atun</t>
  </si>
  <si>
    <t>Malfeareza Azzohri</t>
  </si>
  <si>
    <t>Hasmani</t>
  </si>
  <si>
    <t>Pahariah</t>
  </si>
  <si>
    <t>Lain-lain</t>
  </si>
  <si>
    <t>Usman</t>
  </si>
  <si>
    <t>Misnawati</t>
  </si>
  <si>
    <t>Sajenah</t>
  </si>
  <si>
    <t>Baiq Sri Budi Hartini</t>
  </si>
  <si>
    <t>Widia ayu</t>
  </si>
  <si>
    <t>Sumarni</t>
  </si>
  <si>
    <t>Muharis</t>
  </si>
  <si>
    <t>Ifa Hidayatin Haris</t>
  </si>
  <si>
    <t>Sri Mulyani</t>
  </si>
  <si>
    <t>Ifa Bidayatina Haris</t>
  </si>
  <si>
    <t>Nurhidayah</t>
  </si>
  <si>
    <t>Belum kawin `</t>
  </si>
  <si>
    <t>Warni</t>
  </si>
  <si>
    <t>Saibe</t>
  </si>
  <si>
    <t>Hilmah</t>
  </si>
  <si>
    <t>Aswad</t>
  </si>
  <si>
    <t>Safnah</t>
  </si>
  <si>
    <t>Suryani</t>
  </si>
  <si>
    <t>Ardi Malik</t>
  </si>
  <si>
    <t>Dodi Swandi</t>
  </si>
  <si>
    <t>Salemah</t>
  </si>
  <si>
    <t>Sunik</t>
  </si>
  <si>
    <t>Ihsan</t>
  </si>
  <si>
    <t>Jodi Irawan</t>
  </si>
  <si>
    <t>Dinda Khanaya</t>
  </si>
  <si>
    <t>Maat</t>
  </si>
  <si>
    <t>Rabiah</t>
  </si>
  <si>
    <t>Muhammad Arham</t>
  </si>
  <si>
    <t>Johariah</t>
  </si>
  <si>
    <t>Alifzaidan Robbani</t>
  </si>
  <si>
    <t>Amerin</t>
  </si>
  <si>
    <t>Mardiah</t>
  </si>
  <si>
    <t>Robi Saputra</t>
  </si>
  <si>
    <t>Indri Rahmawati</t>
  </si>
  <si>
    <t>Munawar</t>
  </si>
  <si>
    <t>Masni</t>
  </si>
  <si>
    <t>Muslim</t>
  </si>
  <si>
    <t>Sukriyadi</t>
  </si>
  <si>
    <t>Rabiatul Adawiyah</t>
  </si>
  <si>
    <t>Murni</t>
  </si>
  <si>
    <t>Zulhadi</t>
  </si>
  <si>
    <t>Seruni</t>
  </si>
  <si>
    <t>Rosita</t>
  </si>
  <si>
    <t>Doni Erlangga</t>
  </si>
  <si>
    <t>Saeful Ajis</t>
  </si>
  <si>
    <t>Munir</t>
  </si>
  <si>
    <t>Satemah</t>
  </si>
  <si>
    <t>Suadi</t>
  </si>
  <si>
    <t>Sadeli</t>
  </si>
  <si>
    <t>Mahnim</t>
  </si>
  <si>
    <t>Muhamad Abin</t>
  </si>
  <si>
    <t>Islamiyah</t>
  </si>
  <si>
    <t>Siti Zulmahira</t>
  </si>
  <si>
    <t>Samat</t>
  </si>
  <si>
    <t>Bahri Pranata</t>
  </si>
  <si>
    <t>Sanimah</t>
  </si>
  <si>
    <t>Mahdi</t>
  </si>
  <si>
    <t>Mutini</t>
  </si>
  <si>
    <t>Rafii</t>
  </si>
  <si>
    <t>Zudin</t>
  </si>
  <si>
    <t>Helmi</t>
  </si>
  <si>
    <t>Amanah</t>
  </si>
  <si>
    <t>Maryani</t>
  </si>
  <si>
    <t>Maryam</t>
  </si>
  <si>
    <t>Ade Zulhaaa</t>
  </si>
  <si>
    <t>Belu kawin</t>
  </si>
  <si>
    <t>Andilala</t>
  </si>
  <si>
    <t>Irwan Febriansah</t>
  </si>
  <si>
    <t>lainnya</t>
  </si>
  <si>
    <t>Suparlan</t>
  </si>
  <si>
    <t>Mahnep</t>
  </si>
  <si>
    <t>H Salmiyah</t>
  </si>
  <si>
    <t>janda</t>
  </si>
  <si>
    <t>Huriah</t>
  </si>
  <si>
    <t>Ita Srinawati</t>
  </si>
  <si>
    <t>Muhajis</t>
  </si>
  <si>
    <t>Martini</t>
  </si>
  <si>
    <t>Alfina Laila</t>
  </si>
  <si>
    <t>Mujitahit</t>
  </si>
  <si>
    <t>Damsiah</t>
  </si>
  <si>
    <t>Siti Mahram</t>
  </si>
  <si>
    <t>Lukman</t>
  </si>
  <si>
    <t>Laras Wati Dewi</t>
  </si>
  <si>
    <t>Dewi Candra</t>
  </si>
  <si>
    <t>Sapoan Hakim</t>
  </si>
  <si>
    <t>Diana Hakim</t>
  </si>
  <si>
    <t>dara</t>
  </si>
  <si>
    <t>520101 1005850007</t>
  </si>
  <si>
    <t>520101 6512850002</t>
  </si>
  <si>
    <t>520101 2302110001</t>
  </si>
  <si>
    <t>520101 2704830003</t>
  </si>
  <si>
    <t>520101 0107900125</t>
  </si>
  <si>
    <t>520101 0107750533</t>
  </si>
  <si>
    <t>520101 4107800726</t>
  </si>
  <si>
    <t>520101 5910980001</t>
  </si>
  <si>
    <t>520101 6501050002</t>
  </si>
  <si>
    <t>520101 5003100001</t>
  </si>
  <si>
    <t>520101 0107940293</t>
  </si>
  <si>
    <t>520101 1010140002</t>
  </si>
  <si>
    <t>520101 2511050002</t>
  </si>
  <si>
    <t>520101 2105840005</t>
  </si>
  <si>
    <t>520101 6102910001</t>
  </si>
  <si>
    <t>520101 1405130003</t>
  </si>
  <si>
    <t>520101 1809820002</t>
  </si>
  <si>
    <t>520101 4408900001</t>
  </si>
  <si>
    <t>520101 3112750005</t>
  </si>
  <si>
    <t>520101 7112930019</t>
  </si>
  <si>
    <t>520101 3112820123</t>
  </si>
  <si>
    <t>520101 7112820054</t>
  </si>
  <si>
    <t>520101 2511070003</t>
  </si>
  <si>
    <t>520101 4107721001</t>
  </si>
  <si>
    <t>520101 0404021001</t>
  </si>
  <si>
    <t>520101 4107571002</t>
  </si>
  <si>
    <t>520101 0403851001</t>
  </si>
  <si>
    <t>520101 5704901002</t>
  </si>
  <si>
    <t>520101 6802111001</t>
  </si>
  <si>
    <t>520101 4908090003</t>
  </si>
  <si>
    <t>520101 4107840466</t>
  </si>
  <si>
    <t>520101 2709020002</t>
  </si>
  <si>
    <t>520101 5710100001</t>
  </si>
  <si>
    <t>520101 0107710291</t>
  </si>
  <si>
    <t>520101 5411040002</t>
  </si>
  <si>
    <t>520101 4710880002</t>
  </si>
  <si>
    <t>520101 7005100001</t>
  </si>
  <si>
    <t>520101 1212780009</t>
  </si>
  <si>
    <t>520101 4107760283</t>
  </si>
  <si>
    <t>520101 5207130002</t>
  </si>
  <si>
    <t>520101 3112600097</t>
  </si>
  <si>
    <t>520101 0810850003</t>
  </si>
  <si>
    <t>520101 5811140001</t>
  </si>
  <si>
    <t>520101 5210720003</t>
  </si>
  <si>
    <t>520101 2711970001</t>
  </si>
  <si>
    <t>520101 2003090001</t>
  </si>
  <si>
    <t>520101 4107750543</t>
  </si>
  <si>
    <t>520101 4107511002</t>
  </si>
  <si>
    <t>520101 3112750157</t>
  </si>
  <si>
    <t>520101 4411780001</t>
  </si>
  <si>
    <t>520101 0212990003</t>
  </si>
  <si>
    <t>520101 0107840415</t>
  </si>
  <si>
    <t>520101 2302130001</t>
  </si>
  <si>
    <t>520101 0806750002</t>
  </si>
  <si>
    <t>520101 5212050005</t>
  </si>
  <si>
    <t>520101 4808850001</t>
  </si>
  <si>
    <t>520101 200400683</t>
  </si>
  <si>
    <t>520101 200400687</t>
  </si>
  <si>
    <t>520101 200400689</t>
  </si>
  <si>
    <t>520101 0512880003</t>
  </si>
  <si>
    <t>520101 1303891001</t>
  </si>
  <si>
    <t>520101 5708001003</t>
  </si>
  <si>
    <t>520101 6207071001</t>
  </si>
  <si>
    <t>520101 0107670253</t>
  </si>
  <si>
    <t>520101 0107930286</t>
  </si>
  <si>
    <t>520101 3197760001</t>
  </si>
  <si>
    <t>520101 7300401002</t>
  </si>
  <si>
    <t>520101 7112730152</t>
  </si>
  <si>
    <t>520101 4388899001</t>
  </si>
  <si>
    <t>520101 0705120002</t>
  </si>
  <si>
    <t>520101 3112530011</t>
  </si>
  <si>
    <t>520101 4611800002</t>
  </si>
  <si>
    <t>520101 5605330001</t>
  </si>
  <si>
    <t>520101 1348700003</t>
  </si>
  <si>
    <t>520101 4203890002</t>
  </si>
  <si>
    <t>520101 0208890002</t>
  </si>
  <si>
    <t>520101 7112530046</t>
  </si>
  <si>
    <t>520101 0306580001</t>
  </si>
  <si>
    <t>520101 7112731016</t>
  </si>
  <si>
    <t>520101 0804031001</t>
  </si>
  <si>
    <t>520101 3112820205</t>
  </si>
  <si>
    <t>520101 6808890019</t>
  </si>
  <si>
    <t>Nasrudin</t>
  </si>
  <si>
    <t>Sahmin</t>
  </si>
  <si>
    <t>Endang Widiawati</t>
  </si>
  <si>
    <t>Adi Darma</t>
  </si>
  <si>
    <t>520101 0107930279</t>
  </si>
  <si>
    <t>Mariani</t>
  </si>
  <si>
    <t>Yusuf Jayadi</t>
  </si>
  <si>
    <t>520101 1908131002</t>
  </si>
  <si>
    <t>520101 3112810124</t>
  </si>
  <si>
    <t>Murini</t>
  </si>
  <si>
    <t>520101 7112900119</t>
  </si>
  <si>
    <t>Rizal</t>
  </si>
  <si>
    <t>520101 0305040005</t>
  </si>
  <si>
    <t>Rizka</t>
  </si>
  <si>
    <t>520101 5907080002</t>
  </si>
  <si>
    <t>Johari</t>
  </si>
  <si>
    <t>520101 0804100001</t>
  </si>
  <si>
    <t>Samsiah</t>
  </si>
  <si>
    <t>520101 3112780058</t>
  </si>
  <si>
    <t>520101 7112790084</t>
  </si>
  <si>
    <t>520101 0505040001</t>
  </si>
  <si>
    <t>Samsudin</t>
  </si>
  <si>
    <t>520101 0107800469</t>
  </si>
  <si>
    <t>Sarinah</t>
  </si>
  <si>
    <t>520101 7112820037</t>
  </si>
  <si>
    <t>Jahratul Sita</t>
  </si>
  <si>
    <t>Muhamad Jainul Ilmi</t>
  </si>
  <si>
    <t>520101 1210100002</t>
  </si>
  <si>
    <t>Muzakki</t>
  </si>
  <si>
    <t>520101 2803130002</t>
  </si>
  <si>
    <t>Amenah</t>
  </si>
  <si>
    <t>520101 0107690395</t>
  </si>
  <si>
    <t>Rusnan</t>
  </si>
  <si>
    <t>520101 1209900001</t>
  </si>
  <si>
    <t>Siti Soleha</t>
  </si>
  <si>
    <t>520101 4101940004</t>
  </si>
  <si>
    <t>Sahar</t>
  </si>
  <si>
    <t>Maemunah</t>
  </si>
  <si>
    <t>Muhamad Sahid Mahmud</t>
  </si>
  <si>
    <t>520101 2904010002</t>
  </si>
  <si>
    <t>Unduan Lestari</t>
  </si>
  <si>
    <t>Ramli</t>
  </si>
  <si>
    <t>520101 0201910003</t>
  </si>
  <si>
    <t>520101 7001930001</t>
  </si>
  <si>
    <t>Muammad Ali Januardi</t>
  </si>
  <si>
    <t>520101 0901110002</t>
  </si>
  <si>
    <t>Jumini</t>
  </si>
  <si>
    <t>520101 4107650355</t>
  </si>
  <si>
    <t>Mahsun</t>
  </si>
  <si>
    <t>520101 0107830284</t>
  </si>
  <si>
    <t>520101 4107850545</t>
  </si>
  <si>
    <t>Erma Delin</t>
  </si>
  <si>
    <t>520101 5402090001</t>
  </si>
  <si>
    <t>Muhamad Azka Setiawan</t>
  </si>
  <si>
    <t>520101 2609140001</t>
  </si>
  <si>
    <t>Rade</t>
  </si>
  <si>
    <t>520101 0107480138</t>
  </si>
  <si>
    <t>520101 4107570530</t>
  </si>
  <si>
    <t>Sahrul Hidayat</t>
  </si>
  <si>
    <t>Nur Hasanah</t>
  </si>
  <si>
    <t>520101 6803110004</t>
  </si>
  <si>
    <t>Sahir</t>
  </si>
  <si>
    <t>520101 2004102122</t>
  </si>
  <si>
    <t>Raknah</t>
  </si>
  <si>
    <t>Nursimah</t>
  </si>
  <si>
    <t>520101 0107630273</t>
  </si>
  <si>
    <t>Nurhasanah</t>
  </si>
  <si>
    <t>520101 4107690414</t>
  </si>
  <si>
    <t>Hernawati</t>
  </si>
  <si>
    <t>520101 6407940003</t>
  </si>
  <si>
    <t>Suheriyanto</t>
  </si>
  <si>
    <t>520101 0605900001</t>
  </si>
  <si>
    <t>520101 4107880389</t>
  </si>
  <si>
    <t>Kamiludin</t>
  </si>
  <si>
    <t>520101 0504750004</t>
  </si>
  <si>
    <t>520101 5112790003</t>
  </si>
  <si>
    <t>Abdul Karim</t>
  </si>
  <si>
    <t>520101 0510900006</t>
  </si>
  <si>
    <t>Indra Mayadi</t>
  </si>
  <si>
    <t>520101 1609010004</t>
  </si>
  <si>
    <t>Isna Zullaena</t>
  </si>
  <si>
    <t>520101 5310060002</t>
  </si>
  <si>
    <t>Cemok</t>
  </si>
  <si>
    <t>Asmuni</t>
  </si>
  <si>
    <t>520101 7112740015</t>
  </si>
  <si>
    <t>520101 1102960001</t>
  </si>
  <si>
    <t>Maulana Hakim</t>
  </si>
  <si>
    <t>520101 1307980002</t>
  </si>
  <si>
    <t>Nazilla Zatihil Wani</t>
  </si>
  <si>
    <t>520101 4211100002</t>
  </si>
  <si>
    <t>Mahyun</t>
  </si>
  <si>
    <t>Mehram</t>
  </si>
  <si>
    <t>Duda</t>
  </si>
  <si>
    <t>Rumaseh</t>
  </si>
  <si>
    <t>Deni Suandi</t>
  </si>
  <si>
    <t>520101 2912850003</t>
  </si>
  <si>
    <t>Siti Fatimah</t>
  </si>
  <si>
    <t xml:space="preserve">P </t>
  </si>
  <si>
    <t>520101 6107870008</t>
  </si>
  <si>
    <t>520101 0502120001</t>
  </si>
  <si>
    <t>Haji Safiin</t>
  </si>
  <si>
    <t>520101 3112650064</t>
  </si>
  <si>
    <t>520101 3112670050</t>
  </si>
  <si>
    <t>Sopian Harli</t>
  </si>
  <si>
    <t>520101 3112980014</t>
  </si>
  <si>
    <t>Fadmi julianti</t>
  </si>
  <si>
    <t>520101 3112000017</t>
  </si>
  <si>
    <t>520101 2802690002</t>
  </si>
  <si>
    <t>Raihanun</t>
  </si>
  <si>
    <t>520101 2080854291</t>
  </si>
  <si>
    <t>Rinaldi Salim</t>
  </si>
  <si>
    <t>520101 1310870003</t>
  </si>
  <si>
    <t>Amak Idah</t>
  </si>
  <si>
    <t>Rembek</t>
  </si>
  <si>
    <t>520101 0107020336</t>
  </si>
  <si>
    <t>Hilyati</t>
  </si>
  <si>
    <t>520101 4107770405</t>
  </si>
  <si>
    <t>Fadila Tatammi</t>
  </si>
  <si>
    <t>520101 6607030003</t>
  </si>
  <si>
    <t>Kasyifi Yazid Bamami</t>
  </si>
  <si>
    <t>520101 1806080003</t>
  </si>
  <si>
    <t>520101 7112580077</t>
  </si>
  <si>
    <t>Hadijah</t>
  </si>
  <si>
    <t>Mahuni</t>
  </si>
  <si>
    <t>Marsan</t>
  </si>
  <si>
    <t>520101 0107820664</t>
  </si>
  <si>
    <t>Fitriah</t>
  </si>
  <si>
    <t>520101 4107880405</t>
  </si>
  <si>
    <t>Muhamad Ihsan</t>
  </si>
  <si>
    <t>520101 1908060002</t>
  </si>
  <si>
    <t>Muhamad Arifin</t>
  </si>
  <si>
    <t>Aruman</t>
  </si>
  <si>
    <t>520101 0702720001</t>
  </si>
  <si>
    <t>Munisah</t>
  </si>
  <si>
    <t>520101 4205750001</t>
  </si>
  <si>
    <t>Rahmatul Wasiah</t>
  </si>
  <si>
    <t>520101 6701000003</t>
  </si>
  <si>
    <t>Ulpatul Aini</t>
  </si>
  <si>
    <t>520101 6603060001</t>
  </si>
  <si>
    <t>Mukminah</t>
  </si>
  <si>
    <t>520101 7112690030</t>
  </si>
  <si>
    <t>Muhamam Nazril Ilham</t>
  </si>
  <si>
    <t>Sahwal</t>
  </si>
  <si>
    <t>520101 0510820002</t>
  </si>
  <si>
    <t>520101 4209890002</t>
  </si>
  <si>
    <t>Hasbi</t>
  </si>
  <si>
    <t>520101 0709780003</t>
  </si>
  <si>
    <t>Istiqomah</t>
  </si>
  <si>
    <t>520101 7112580078</t>
  </si>
  <si>
    <t>Munawarah</t>
  </si>
  <si>
    <t>520101 4101880004</t>
  </si>
  <si>
    <t>Muhsinin</t>
  </si>
  <si>
    <t>Siti Mahyani</t>
  </si>
  <si>
    <t xml:space="preserve">Anak </t>
  </si>
  <si>
    <t>520101 5307000002</t>
  </si>
  <si>
    <t>Abdul Hafiz</t>
  </si>
  <si>
    <t>520101 1511050001</t>
  </si>
  <si>
    <t>Sarif</t>
  </si>
  <si>
    <t>salamah</t>
  </si>
  <si>
    <t>Amrullah</t>
  </si>
  <si>
    <t>Elvira Dewi Annisa</t>
  </si>
  <si>
    <t>Sanusi</t>
  </si>
  <si>
    <t>Nurihsan</t>
  </si>
  <si>
    <t>Annisa Pujayanti</t>
  </si>
  <si>
    <t>Dinda Aryanti</t>
  </si>
  <si>
    <t>Haji Nawahi</t>
  </si>
  <si>
    <t>Hajah Halimah</t>
  </si>
  <si>
    <t>Rusnawati</t>
  </si>
  <si>
    <t>Rudi Nawawi</t>
  </si>
  <si>
    <t>Roni Salim</t>
  </si>
  <si>
    <t>Hajatan Wati</t>
  </si>
  <si>
    <t>Novita Idayatun Nisa</t>
  </si>
  <si>
    <t>Muhamad Syafii</t>
  </si>
  <si>
    <t>520101 0107830210</t>
  </si>
  <si>
    <t>Yulianti</t>
  </si>
  <si>
    <t>520101 4107820592</t>
  </si>
  <si>
    <t>Zidan Saputra</t>
  </si>
  <si>
    <t>520101 1001060001</t>
  </si>
  <si>
    <t>Zafa Aulia</t>
  </si>
  <si>
    <t>520101 4712110001</t>
  </si>
  <si>
    <t>Harpian</t>
  </si>
  <si>
    <t>520101 3112900141</t>
  </si>
  <si>
    <t>Nur Arti lussy</t>
  </si>
  <si>
    <t>520101 4203930002</t>
  </si>
  <si>
    <t>Haji Nurhadi</t>
  </si>
  <si>
    <t>520101 0107420186</t>
  </si>
  <si>
    <t>Hajah Nurhayati</t>
  </si>
  <si>
    <t>Siti Zaenap</t>
  </si>
  <si>
    <t>520101 6204961001</t>
  </si>
  <si>
    <t>Taufikurrahman</t>
  </si>
  <si>
    <t>Mustiah</t>
  </si>
  <si>
    <t>Rakmah</t>
  </si>
  <si>
    <t>520101 4107720833</t>
  </si>
  <si>
    <t>Fajar</t>
  </si>
  <si>
    <t>520101 0107520282</t>
  </si>
  <si>
    <t>Lia lestari</t>
  </si>
  <si>
    <t>Mahpud</t>
  </si>
  <si>
    <t>Irnawati</t>
  </si>
  <si>
    <t>Aditya Saputra Artama</t>
  </si>
  <si>
    <t>Mansur</t>
  </si>
  <si>
    <t>Maryanah</t>
  </si>
  <si>
    <t>Sumiati</t>
  </si>
  <si>
    <t>Harianto</t>
  </si>
  <si>
    <t>520101 3112750219</t>
  </si>
  <si>
    <t>Mahyudin</t>
  </si>
  <si>
    <t>520101 0709730003</t>
  </si>
  <si>
    <t>Saebah</t>
  </si>
  <si>
    <t>520101 5905700001</t>
  </si>
  <si>
    <t>520101 4802940003</t>
  </si>
  <si>
    <t>Saemah</t>
  </si>
  <si>
    <t>520101 5808010001</t>
  </si>
  <si>
    <t>Isnaenah</t>
  </si>
  <si>
    <t>520101 5308030002</t>
  </si>
  <si>
    <t>Muhamad Zul Arfan</t>
  </si>
  <si>
    <t>520101 1311050001</t>
  </si>
  <si>
    <t>Suharti</t>
  </si>
  <si>
    <t>520101 6703080002</t>
  </si>
  <si>
    <t>Faizal Ardiansyah</t>
  </si>
  <si>
    <t>Rianah</t>
  </si>
  <si>
    <t>Khaerul Azmi</t>
  </si>
  <si>
    <t>Amir Hamzah</t>
  </si>
  <si>
    <t>520101 1507940002</t>
  </si>
  <si>
    <t>Ayu Nurmala Sari</t>
  </si>
  <si>
    <t>Herman</t>
  </si>
  <si>
    <t>Sulaiman</t>
  </si>
  <si>
    <t>520101 1010680002</t>
  </si>
  <si>
    <t>Juariah</t>
  </si>
  <si>
    <t>520101 7011710001</t>
  </si>
  <si>
    <t>Habibah Maryani</t>
  </si>
  <si>
    <t>520101 4310020002</t>
  </si>
  <si>
    <t>520101 2708040002</t>
  </si>
  <si>
    <t>520101 1508070001</t>
  </si>
  <si>
    <t>520101 5807090001</t>
  </si>
  <si>
    <t>Sahri</t>
  </si>
  <si>
    <t>520101 0107510032</t>
  </si>
  <si>
    <t>Rahmat</t>
  </si>
  <si>
    <t>520101 7112931012</t>
  </si>
  <si>
    <t>Ahmad Dhani</t>
  </si>
  <si>
    <t>Marjan</t>
  </si>
  <si>
    <t>520101 3112620009</t>
  </si>
  <si>
    <t>Mastah</t>
  </si>
  <si>
    <t>520101 7112790006</t>
  </si>
  <si>
    <t>Nita Sepiana</t>
  </si>
  <si>
    <t>520101 5011980001</t>
  </si>
  <si>
    <t>Dedi Yusanto</t>
  </si>
  <si>
    <t>520101 1308010001</t>
  </si>
  <si>
    <t>Bohri</t>
  </si>
  <si>
    <t>Benah</t>
  </si>
  <si>
    <t>Naya Septiani</t>
  </si>
  <si>
    <t>Hartawan</t>
  </si>
  <si>
    <t>520101 0107800662</t>
  </si>
  <si>
    <t>H. Muh Saleh</t>
  </si>
  <si>
    <t>Reza Aditia Saputra</t>
  </si>
  <si>
    <t>Rohimah</t>
  </si>
  <si>
    <t>Temok</t>
  </si>
  <si>
    <t>Budi Haryanto</t>
  </si>
  <si>
    <t>Bambang Sopian</t>
  </si>
  <si>
    <t xml:space="preserve">Muksin </t>
  </si>
  <si>
    <t xml:space="preserve">Kawin </t>
  </si>
  <si>
    <t xml:space="preserve">Islam </t>
  </si>
  <si>
    <t xml:space="preserve">Belum kawin </t>
  </si>
  <si>
    <t xml:space="preserve">Muhamad Rizal </t>
  </si>
  <si>
    <t>Sopian Hadi</t>
  </si>
  <si>
    <t>Satarudin</t>
  </si>
  <si>
    <t>520101 010762065</t>
  </si>
  <si>
    <t>520101 4107780495</t>
  </si>
  <si>
    <t>Kartini</t>
  </si>
  <si>
    <t>520101 4187060220</t>
  </si>
  <si>
    <t>520101 2108030002</t>
  </si>
  <si>
    <t>520101 4708060004</t>
  </si>
  <si>
    <t>Hambali</t>
  </si>
  <si>
    <t>520101 0107890418</t>
  </si>
  <si>
    <t>Siti Zubaedah</t>
  </si>
  <si>
    <t>520101 7009900001</t>
  </si>
  <si>
    <t>Aulia Syafari</t>
  </si>
  <si>
    <t>520101 5712140001</t>
  </si>
  <si>
    <t>Hamdi Afandi Putra</t>
  </si>
  <si>
    <t>520101 1808740001</t>
  </si>
  <si>
    <t>520101 6201780001</t>
  </si>
  <si>
    <t>Aditya Pranata</t>
  </si>
  <si>
    <t>Suriah</t>
  </si>
  <si>
    <t>Mukinah</t>
  </si>
  <si>
    <t>H.Tawahid</t>
  </si>
  <si>
    <t>Mahnip</t>
  </si>
  <si>
    <t>520101 4107700648</t>
  </si>
  <si>
    <t>Anisa Lestari</t>
  </si>
  <si>
    <t>520101 4107691002</t>
  </si>
  <si>
    <t>520101 0107870120</t>
  </si>
  <si>
    <t>520101 6308051001</t>
  </si>
  <si>
    <t>Nurul azizah</t>
  </si>
  <si>
    <t>Sarah</t>
  </si>
  <si>
    <t>Maskanah</t>
  </si>
  <si>
    <t>Mujemal</t>
  </si>
  <si>
    <t>520101 3112840189</t>
  </si>
  <si>
    <t>Masoah</t>
  </si>
  <si>
    <t>520101 7112780195</t>
  </si>
  <si>
    <t>Muhamad Marzuki</t>
  </si>
  <si>
    <t>520101 1610120002</t>
  </si>
  <si>
    <t>Rusni</t>
  </si>
  <si>
    <t>Ehsan</t>
  </si>
  <si>
    <t>520101 010770684</t>
  </si>
  <si>
    <t>Rauhun</t>
  </si>
  <si>
    <t>520101 4107730049</t>
  </si>
  <si>
    <t>Noviana</t>
  </si>
  <si>
    <t>520101 5911950001</t>
  </si>
  <si>
    <t>Dewi Yulasri</t>
  </si>
  <si>
    <t>520101 4107980275</t>
  </si>
  <si>
    <t>Ilham Saputra</t>
  </si>
  <si>
    <t>520101 0107010026</t>
  </si>
  <si>
    <t>Muhammad Juhaidi</t>
  </si>
  <si>
    <t>520101 0106020007</t>
  </si>
  <si>
    <t>Muhazam</t>
  </si>
  <si>
    <t>520101 0107831003</t>
  </si>
  <si>
    <t>Enam</t>
  </si>
  <si>
    <t>520101 5505850003</t>
  </si>
  <si>
    <t>Rohani</t>
  </si>
  <si>
    <t>520101 6705011001</t>
  </si>
  <si>
    <t>Nurul aini</t>
  </si>
  <si>
    <t>520101 5401061001</t>
  </si>
  <si>
    <t>Muhamad munahar</t>
  </si>
  <si>
    <t>520101 0801111001</t>
  </si>
  <si>
    <t>Muhazim</t>
  </si>
  <si>
    <t>Murniati</t>
  </si>
  <si>
    <t>520101 5812070001</t>
  </si>
  <si>
    <t>kamarudin</t>
  </si>
  <si>
    <t>Nasrah</t>
  </si>
  <si>
    <t>520101 0107570387</t>
  </si>
  <si>
    <t>Nurminah</t>
  </si>
  <si>
    <t>520101 4107590156</t>
  </si>
  <si>
    <t>Ranni wati</t>
  </si>
  <si>
    <t>520101 4107870486</t>
  </si>
  <si>
    <t>520101 1708860004</t>
  </si>
  <si>
    <t>Tasminah</t>
  </si>
  <si>
    <t>520101 5701830002</t>
  </si>
  <si>
    <t>Muhajirin</t>
  </si>
  <si>
    <t>520101 1806980002</t>
  </si>
  <si>
    <t>Nursehan</t>
  </si>
  <si>
    <t>520101 1010040003</t>
  </si>
  <si>
    <t>520101 0307120002</t>
  </si>
  <si>
    <t>Murnah</t>
  </si>
  <si>
    <t>520101 4509100001</t>
  </si>
  <si>
    <t>Badrun abidin</t>
  </si>
  <si>
    <t>520101 1307650001</t>
  </si>
  <si>
    <t>520101 4711680001</t>
  </si>
  <si>
    <t>Toni Santana</t>
  </si>
  <si>
    <t>520101 1002130002</t>
  </si>
  <si>
    <t>Nursan</t>
  </si>
  <si>
    <t>520101 0107700587</t>
  </si>
  <si>
    <t>Mutiah</t>
  </si>
  <si>
    <t>520101 4107750545</t>
  </si>
  <si>
    <t>Mario</t>
  </si>
  <si>
    <t>520101 1204970002</t>
  </si>
  <si>
    <t>520101 4107010014</t>
  </si>
  <si>
    <t>Ahyar</t>
  </si>
  <si>
    <t>520101 0107670686</t>
  </si>
  <si>
    <t>Saidah</t>
  </si>
  <si>
    <t>520101 7112720002</t>
  </si>
  <si>
    <t>520101 0107910087</t>
  </si>
  <si>
    <t>Suniarti</t>
  </si>
  <si>
    <t>520101 4507991001</t>
  </si>
  <si>
    <t>Shufia</t>
  </si>
  <si>
    <t>520101 4014081001</t>
  </si>
  <si>
    <t>520101 1504840003</t>
  </si>
  <si>
    <t>Ustina</t>
  </si>
  <si>
    <t>520101 7112900028</t>
  </si>
  <si>
    <t>Rina Aulia Putri</t>
  </si>
  <si>
    <t>520101 4521110001</t>
  </si>
  <si>
    <t>520101 0107650215</t>
  </si>
  <si>
    <t>520101 7112670046</t>
  </si>
  <si>
    <t>Suhaimi</t>
  </si>
  <si>
    <t>Hasbih</t>
  </si>
  <si>
    <t>520101 0107800647</t>
  </si>
  <si>
    <t>Susmita</t>
  </si>
  <si>
    <t>Munawir</t>
  </si>
  <si>
    <t>Maenah</t>
  </si>
  <si>
    <t>520101 5107120002</t>
  </si>
  <si>
    <t>Zaskia Amanda</t>
  </si>
  <si>
    <t>Angga Dwi Putra</t>
  </si>
  <si>
    <t>Imah</t>
  </si>
  <si>
    <t>Sukini</t>
  </si>
  <si>
    <t>Nurmin</t>
  </si>
  <si>
    <t>Yudi Susanto</t>
  </si>
  <si>
    <t>Cemih</t>
  </si>
  <si>
    <t>Muhamad Saleh</t>
  </si>
  <si>
    <t>520101 0107750453</t>
  </si>
  <si>
    <t>Sriani</t>
  </si>
  <si>
    <t>520101 4107790319</t>
  </si>
  <si>
    <t>Aenayal Al Fatehah</t>
  </si>
  <si>
    <t>520101 4107992263</t>
  </si>
  <si>
    <t>520101 2307080001</t>
  </si>
  <si>
    <t>Muhamad Fahri Hamzah</t>
  </si>
  <si>
    <t>520101 0311140002</t>
  </si>
  <si>
    <t>520101 1209880003</t>
  </si>
  <si>
    <t>Suliana</t>
  </si>
  <si>
    <t>520101 6308890001</t>
  </si>
  <si>
    <t>Assyifa Albina Rasti</t>
  </si>
  <si>
    <t>520101 6209110002</t>
  </si>
  <si>
    <t>Siti Raodah</t>
  </si>
  <si>
    <t>Suhartini</t>
  </si>
  <si>
    <t>Annisa Dwi Rahmadani</t>
  </si>
  <si>
    <t>Rozi Budiman</t>
  </si>
  <si>
    <t>Roza komalasari</t>
  </si>
  <si>
    <t>Haji Tajudin</t>
  </si>
  <si>
    <t>520101 0107400119</t>
  </si>
  <si>
    <t>Amemenah</t>
  </si>
  <si>
    <t>520101 4107690063</t>
  </si>
  <si>
    <t>Rohayati S.P.d</t>
  </si>
  <si>
    <t>Irma Yadi</t>
  </si>
  <si>
    <t>520101 0105900002</t>
  </si>
  <si>
    <t>Safwan</t>
  </si>
  <si>
    <t>520101 1310790002</t>
  </si>
  <si>
    <t>Fatmah</t>
  </si>
  <si>
    <t>520101 1290890001</t>
  </si>
  <si>
    <t>Huan Alvino</t>
  </si>
  <si>
    <t>520101 0707110001</t>
  </si>
  <si>
    <t>Huan Zikrillah</t>
  </si>
  <si>
    <t>520101 0707100002</t>
  </si>
  <si>
    <t>Ahmad Jaelani Hidayat</t>
  </si>
  <si>
    <t>Elmayani</t>
  </si>
  <si>
    <t>Zulkifli</t>
  </si>
  <si>
    <t>520101 0107720190</t>
  </si>
  <si>
    <t>520101 6708131002</t>
  </si>
  <si>
    <t>520101 0107750517</t>
  </si>
  <si>
    <t>520101 3001810001</t>
  </si>
  <si>
    <t>520101 7112840052</t>
  </si>
  <si>
    <t>520101 0408100001</t>
  </si>
  <si>
    <t>520101 3112700062</t>
  </si>
  <si>
    <t>520101 7112720012</t>
  </si>
  <si>
    <t>520101 5001000003</t>
  </si>
  <si>
    <t>520101 2307040002</t>
  </si>
  <si>
    <t>520101 1107870004</t>
  </si>
  <si>
    <t>520101 3103120001</t>
  </si>
  <si>
    <t>520101 0107550212</t>
  </si>
  <si>
    <t>520101 4107570538</t>
  </si>
  <si>
    <t>520101 0107770302</t>
  </si>
  <si>
    <t>520101 7112850041</t>
  </si>
  <si>
    <t>520101 0107960335</t>
  </si>
  <si>
    <t>520101 6706100001</t>
  </si>
  <si>
    <t>520101 1505120002</t>
  </si>
  <si>
    <t>520101 0601860002</t>
  </si>
  <si>
    <t>520101 4212900002</t>
  </si>
  <si>
    <t>520101 4102641001</t>
  </si>
  <si>
    <t>520101 3112941009</t>
  </si>
  <si>
    <t>520101 2612011001</t>
  </si>
  <si>
    <t>520101 0107890409</t>
  </si>
  <si>
    <t>520101 5205910001</t>
  </si>
  <si>
    <t>520101 2002130001</t>
  </si>
  <si>
    <t>520101 0107730003</t>
  </si>
  <si>
    <t>520101 4107730011</t>
  </si>
  <si>
    <t>520101 0606060003</t>
  </si>
  <si>
    <t>520101 4107590157</t>
  </si>
  <si>
    <t>520101 7112900013</t>
  </si>
  <si>
    <t>520101 1212881002</t>
  </si>
  <si>
    <t>520101 5810861001</t>
  </si>
  <si>
    <t>520101 200403338</t>
  </si>
  <si>
    <t>520101 200403339</t>
  </si>
  <si>
    <t>520101 0808800005</t>
  </si>
  <si>
    <t>520101 5607971001</t>
  </si>
  <si>
    <t>520101 0212021001</t>
  </si>
  <si>
    <t>520101 601100003</t>
  </si>
  <si>
    <t>520101 0107690064</t>
  </si>
  <si>
    <t>520101 4107770516</t>
  </si>
  <si>
    <t>520101 1204790001</t>
  </si>
  <si>
    <t>520101 4105040001</t>
  </si>
  <si>
    <t>520101 1609090001</t>
  </si>
  <si>
    <t>520101 0107860212</t>
  </si>
  <si>
    <t>520101 4107600393</t>
  </si>
  <si>
    <t>520101 0107670177</t>
  </si>
  <si>
    <t>520101 4305881001</t>
  </si>
  <si>
    <t>520101 0212891001</t>
  </si>
  <si>
    <t>520101 6308941001</t>
  </si>
  <si>
    <t>520101 6709051001</t>
  </si>
  <si>
    <t>520101 0107570490</t>
  </si>
  <si>
    <t>520101 5990496001</t>
  </si>
  <si>
    <t>Nomor KK</t>
  </si>
  <si>
    <t>Jumlah Jiwa</t>
  </si>
  <si>
    <t>Lahir</t>
  </si>
  <si>
    <t>Tempat</t>
  </si>
  <si>
    <t>Tanggal</t>
  </si>
  <si>
    <t>Tahun</t>
  </si>
  <si>
    <t>Usia</t>
  </si>
  <si>
    <t>Etnis</t>
  </si>
  <si>
    <t>Jurusan</t>
  </si>
  <si>
    <t>Cacat</t>
  </si>
  <si>
    <t>Ada/tidak</t>
  </si>
  <si>
    <t>Mental</t>
  </si>
  <si>
    <t>Fisik</t>
  </si>
  <si>
    <t>KTP/KIA</t>
  </si>
  <si>
    <t>Buku Niikah</t>
  </si>
  <si>
    <t>520101 0503083158</t>
  </si>
  <si>
    <t>520101 4108060003</t>
  </si>
  <si>
    <t>DASAN GERES</t>
  </si>
  <si>
    <t>Sasak</t>
  </si>
  <si>
    <t>BELUM TAMAT SD/SEDERAJAT</t>
  </si>
  <si>
    <t>TAMAT SD/SEDERAJAT</t>
  </si>
  <si>
    <t>TIDAK/BELUM SEKOLAH</t>
  </si>
  <si>
    <t>Belum / Tidak Bekerja</t>
  </si>
  <si>
    <t>Buruh Harian Lepas</t>
  </si>
  <si>
    <t>Mengurus Rumah Tangga</t>
  </si>
  <si>
    <t>Pelajar / Mahasiswa</t>
  </si>
  <si>
    <t>520101 0703110261</t>
  </si>
  <si>
    <t>DASAN GERES TIMUR</t>
  </si>
  <si>
    <t>SLTP/SEDERAJAT</t>
  </si>
  <si>
    <t>520101 0503081585</t>
  </si>
  <si>
    <t>Nisa Amelia</t>
  </si>
  <si>
    <t>520101 4210100001</t>
  </si>
  <si>
    <t>520101 1604040001</t>
  </si>
  <si>
    <t>520101 4107820545</t>
  </si>
  <si>
    <t>520101 0107750183</t>
  </si>
  <si>
    <t>LEMOKEK</t>
  </si>
  <si>
    <t>DASAN GERES TENGAH</t>
  </si>
  <si>
    <t>Petani / Pekebun</t>
  </si>
  <si>
    <t>520101 1704120002</t>
  </si>
  <si>
    <t>Muhazis</t>
  </si>
  <si>
    <t>Murtini</t>
  </si>
  <si>
    <t>Alfina Lailin</t>
  </si>
  <si>
    <t>M. Rafi Azka Saputra</t>
  </si>
  <si>
    <t>520101 3112830113</t>
  </si>
  <si>
    <t>520101 5505850005</t>
  </si>
  <si>
    <t>520101 5910110001</t>
  </si>
  <si>
    <t>520101 1907150001</t>
  </si>
  <si>
    <t>MONTOR GLIMAK</t>
  </si>
  <si>
    <t>GERUNG</t>
  </si>
  <si>
    <t>520101 0703110133</t>
  </si>
  <si>
    <t>H. Imron</t>
  </si>
  <si>
    <t>Sabrina Kania Putri</t>
  </si>
  <si>
    <t>Dinda Zulaikha Putri</t>
  </si>
  <si>
    <t>520101 0107860336</t>
  </si>
  <si>
    <t>520101 4107890311</t>
  </si>
  <si>
    <t>520101 5605170001</t>
  </si>
  <si>
    <t>AIK ARE, UBUNG</t>
  </si>
  <si>
    <t>SLTA/SEDERAJAT</t>
  </si>
  <si>
    <t>520101 0503083186</t>
  </si>
  <si>
    <t>Purniati</t>
  </si>
  <si>
    <t>520101 5212920002</t>
  </si>
  <si>
    <t>520101 1004980001</t>
  </si>
  <si>
    <t>520101 003110150</t>
  </si>
  <si>
    <t>Ummi Salamah</t>
  </si>
  <si>
    <t>LONGSERAN</t>
  </si>
  <si>
    <t>Tukang Kayu</t>
  </si>
  <si>
    <t>520101 2206100033</t>
  </si>
  <si>
    <t>Moh. Sahril</t>
  </si>
  <si>
    <t>Samsuriyah</t>
  </si>
  <si>
    <t>TEMPOS</t>
  </si>
  <si>
    <t>520101 2205130011</t>
  </si>
  <si>
    <t>520101 0707700635</t>
  </si>
  <si>
    <t>520101 4504080045</t>
  </si>
  <si>
    <t>BILEKEDIT</t>
  </si>
  <si>
    <t>Buruh Tani / Perkebunan</t>
  </si>
  <si>
    <t>520101 0703110165</t>
  </si>
  <si>
    <t>Sahrim</t>
  </si>
  <si>
    <t>520101 0703110151</t>
  </si>
  <si>
    <t>Cerai Hidup</t>
  </si>
  <si>
    <t>520101 3009140012</t>
  </si>
  <si>
    <t>Cerai Mati</t>
  </si>
  <si>
    <t>520101 0503082074</t>
  </si>
  <si>
    <t>Mahnam</t>
  </si>
  <si>
    <t>Suhadatul Hadawiyah</t>
  </si>
  <si>
    <t>Sinari Kuratul Aini</t>
  </si>
  <si>
    <t>Hana Tohir  Muhammad</t>
  </si>
  <si>
    <t>520101 0107680349</t>
  </si>
  <si>
    <t>520101 4107720813</t>
  </si>
  <si>
    <t>520101 2312960001</t>
  </si>
  <si>
    <t>520101 1307990001</t>
  </si>
  <si>
    <t>520101 5706840001</t>
  </si>
  <si>
    <t>Famili Lain</t>
  </si>
  <si>
    <t>RUMAK</t>
  </si>
  <si>
    <t>520101 0503081564</t>
  </si>
  <si>
    <t>520101 2404981001</t>
  </si>
  <si>
    <t>520101 4107570441</t>
  </si>
  <si>
    <t>Pedagang</t>
  </si>
  <si>
    <t>520101 1803141002</t>
  </si>
  <si>
    <t>520113 5604950003</t>
  </si>
  <si>
    <t>SERUMBUNG</t>
  </si>
  <si>
    <t>520101 1509120024</t>
  </si>
  <si>
    <t>520101 4703810002</t>
  </si>
  <si>
    <t xml:space="preserve">DASAN GERES </t>
  </si>
  <si>
    <t>520101 0809120035</t>
  </si>
  <si>
    <t>Salsa Nova Maulia</t>
  </si>
  <si>
    <t>520101 0312730001</t>
  </si>
  <si>
    <t>520101 6203840002</t>
  </si>
  <si>
    <t>520101 4107020036</t>
  </si>
  <si>
    <t>520101 6011170001</t>
  </si>
  <si>
    <t>520101 0503083118</t>
  </si>
  <si>
    <t>Naharudin</t>
  </si>
  <si>
    <t>520101 0107610121</t>
  </si>
  <si>
    <t>520101 0703110209</t>
  </si>
  <si>
    <t>M. Harpujarrin</t>
  </si>
  <si>
    <t>Muhammad Panduan Aguna</t>
  </si>
  <si>
    <t>520101 2302110013</t>
  </si>
  <si>
    <t>520101 1908750004</t>
  </si>
  <si>
    <t>520101 6911780001</t>
  </si>
  <si>
    <t>520101 1908980001</t>
  </si>
  <si>
    <t>520101 4511080002</t>
  </si>
  <si>
    <t>520101 2008140004</t>
  </si>
  <si>
    <t>520101 0503083193</t>
  </si>
  <si>
    <t>Riska Dewi Yanti</t>
  </si>
  <si>
    <t>520101 5807060001</t>
  </si>
  <si>
    <t>520101 0503081594</t>
  </si>
  <si>
    <t>520101 4107390029</t>
  </si>
  <si>
    <t>520101 0703110127</t>
  </si>
  <si>
    <t xml:space="preserve">Muriah </t>
  </si>
  <si>
    <t>Belum tamat SD/Sederajat</t>
  </si>
  <si>
    <t xml:space="preserve">SD/Sederajat </t>
  </si>
  <si>
    <t>SLTP/Sederajat</t>
  </si>
  <si>
    <t>Adila rabiatun zahra</t>
  </si>
  <si>
    <t>520101 2206110013</t>
  </si>
  <si>
    <t>Tamat SD/Sederajat</t>
  </si>
  <si>
    <t>Tidak belum sekolah</t>
  </si>
  <si>
    <t xml:space="preserve">Hilman </t>
  </si>
  <si>
    <t xml:space="preserve">Sahnun </t>
  </si>
  <si>
    <t>Elsa Nadya Meka</t>
  </si>
  <si>
    <t>520101 3112860107</t>
  </si>
  <si>
    <t>520101 4107790181</t>
  </si>
  <si>
    <t>520101 4305100002</t>
  </si>
  <si>
    <t>Adam Arestu Jayadi</t>
  </si>
  <si>
    <t>520101 0603180000</t>
  </si>
  <si>
    <t>520101 2303180003</t>
  </si>
  <si>
    <t>520101 1105180001</t>
  </si>
  <si>
    <t>Tidak/Belun Sekolah</t>
  </si>
  <si>
    <t xml:space="preserve">M. Arman </t>
  </si>
  <si>
    <t>520101 0503083104</t>
  </si>
  <si>
    <t>520101 3112601014</t>
  </si>
  <si>
    <t>520101 0105130002</t>
  </si>
  <si>
    <t>Abdul Mujib</t>
  </si>
  <si>
    <t>520115 0107910008</t>
  </si>
  <si>
    <t>520101 5006890001</t>
  </si>
  <si>
    <t>520101 0703110120</t>
  </si>
  <si>
    <t>520101 0703110145</t>
  </si>
  <si>
    <t>Aldin Hardiansyah</t>
  </si>
  <si>
    <t>Nayma Putri Hartanti</t>
  </si>
  <si>
    <t>520101 6402900002</t>
  </si>
  <si>
    <t>520101 6208090001</t>
  </si>
  <si>
    <t>520101 0211160005</t>
  </si>
  <si>
    <t>520101 0703110108</t>
  </si>
  <si>
    <t>Jumnah, A.Md</t>
  </si>
  <si>
    <t>Nikmah, S.Pd</t>
  </si>
  <si>
    <t>Aqila Rahma Putri</t>
  </si>
  <si>
    <t>520101 1005830004</t>
  </si>
  <si>
    <t>520101 6912850001</t>
  </si>
  <si>
    <t>520101 2302110004</t>
  </si>
  <si>
    <t>520101 5802160002</t>
  </si>
  <si>
    <t>Akademi/Diploma lll/Sarjana muda</t>
  </si>
  <si>
    <t>520101 0809150003</t>
  </si>
  <si>
    <t>Ruslan</t>
  </si>
  <si>
    <t>Mahini</t>
  </si>
  <si>
    <t>520101 3112750042</t>
  </si>
  <si>
    <t>520101 7112790040</t>
  </si>
  <si>
    <t>520101 0609090004</t>
  </si>
  <si>
    <t>SLTA/Sederajat</t>
  </si>
  <si>
    <t>520101 2307190006</t>
  </si>
  <si>
    <t xml:space="preserve">Lukman </t>
  </si>
  <si>
    <t>520101 1804960002</t>
  </si>
  <si>
    <t>520101 6707000003</t>
  </si>
  <si>
    <t>520101 0503083068</t>
  </si>
  <si>
    <t>520101 0107870225</t>
  </si>
  <si>
    <t>520101 4107850169</t>
  </si>
  <si>
    <t>520101 1005961001</t>
  </si>
  <si>
    <t>520101 0910001001</t>
  </si>
  <si>
    <t>520101 6601101001</t>
  </si>
  <si>
    <t>520101 2410180014</t>
  </si>
  <si>
    <t>Lilik Suryaningsih</t>
  </si>
  <si>
    <t>520102 24505961001</t>
  </si>
  <si>
    <t>BLTA/Sederajat</t>
  </si>
  <si>
    <t>520101 0503083003</t>
  </si>
  <si>
    <t>520101 0107010352</t>
  </si>
  <si>
    <t>520101 4107050376</t>
  </si>
  <si>
    <t>520101 4107050375</t>
  </si>
  <si>
    <t>520101 0503083625</t>
  </si>
  <si>
    <t>520101 4107700450</t>
  </si>
  <si>
    <t>520101 5506820003</t>
  </si>
  <si>
    <t>520101 0503083008</t>
  </si>
  <si>
    <t>Mariatun</t>
  </si>
  <si>
    <t>520101 4309780001</t>
  </si>
  <si>
    <t>520101 5911980001</t>
  </si>
  <si>
    <t>Jaknah</t>
  </si>
  <si>
    <t>Sitiah</t>
  </si>
  <si>
    <t>520101 0503082031</t>
  </si>
  <si>
    <t>520101 0503083014</t>
  </si>
  <si>
    <t>520101 0107550211</t>
  </si>
  <si>
    <t>520101 4107500247</t>
  </si>
  <si>
    <t>520101 4107860349</t>
  </si>
  <si>
    <t>520101 0503083610</t>
  </si>
  <si>
    <t>520101 4107590171</t>
  </si>
  <si>
    <t>520101 0107900127</t>
  </si>
  <si>
    <t>Kawin Belum Tercatat</t>
  </si>
  <si>
    <t>durahma</t>
  </si>
  <si>
    <t>520101 0503083112</t>
  </si>
  <si>
    <t xml:space="preserve">Durahman </t>
  </si>
  <si>
    <t>HJ. Rusnah</t>
  </si>
  <si>
    <t>520101 0117300057</t>
  </si>
  <si>
    <t>520101 4107420025</t>
  </si>
  <si>
    <t>520101 7112720058</t>
  </si>
  <si>
    <t>520101 4107800197</t>
  </si>
  <si>
    <t>520101 0503083089</t>
  </si>
  <si>
    <t>M. Sandika Yusup</t>
  </si>
  <si>
    <t xml:space="preserve"> Kiki Nabila Safiri</t>
  </si>
  <si>
    <t>Mohammad Faisal</t>
  </si>
  <si>
    <t>520101 0510040001</t>
  </si>
  <si>
    <t>520101 0503083012</t>
  </si>
  <si>
    <t>Suci Alya Putri</t>
  </si>
  <si>
    <t>Cucu</t>
  </si>
  <si>
    <t>520101 4107650433</t>
  </si>
  <si>
    <t>520101 0108930001</t>
  </si>
  <si>
    <t>520101 0107980372</t>
  </si>
  <si>
    <t>520101 7112090003</t>
  </si>
  <si>
    <t>520101 0503083617</t>
  </si>
  <si>
    <t>520101 6102120003</t>
  </si>
  <si>
    <t>520101 3108120004</t>
  </si>
  <si>
    <t>Saedun</t>
  </si>
  <si>
    <t>Quratulaini</t>
  </si>
  <si>
    <t>Muhammad Zaki Al Hafiz</t>
  </si>
  <si>
    <t>520101 0510780002</t>
  </si>
  <si>
    <t>520101 4107750111</t>
  </si>
  <si>
    <t>520101 6812020005</t>
  </si>
  <si>
    <t>520101 1403150005</t>
  </si>
  <si>
    <t>Hasanah</t>
  </si>
  <si>
    <t xml:space="preserve"> 520101 4107840041</t>
  </si>
  <si>
    <t>527105 2201130006</t>
  </si>
  <si>
    <t>Mawardi, SH,. ,MH</t>
  </si>
  <si>
    <t>RR Dewi Yuniarti Purwarini, SH</t>
  </si>
  <si>
    <t>Yudhi Himawan Mawardi</t>
  </si>
  <si>
    <t>Rizky Setianto Mawardi</t>
  </si>
  <si>
    <t>Nurul Salsabilla Mawardi</t>
  </si>
  <si>
    <t>527105 3112680178</t>
  </si>
  <si>
    <t>527105 5212710007</t>
  </si>
  <si>
    <t>527105 1909980002</t>
  </si>
  <si>
    <t>527105 0308030003</t>
  </si>
  <si>
    <t>527105 6208040002</t>
  </si>
  <si>
    <t>STRATA-II</t>
  </si>
  <si>
    <t>DIPLOMA IV/STRATA I</t>
  </si>
  <si>
    <t>520101 1406080001</t>
  </si>
  <si>
    <t>Sahnun Bin Amaq Pi'i</t>
  </si>
  <si>
    <t>Almah Binti H. Alimudin</t>
  </si>
  <si>
    <t>Saknah Binti Amaq Suriyah</t>
  </si>
  <si>
    <t>Mertua</t>
  </si>
  <si>
    <t>520101 3112540023</t>
  </si>
  <si>
    <t>520101 7112580045</t>
  </si>
  <si>
    <t>520101 7121480020</t>
  </si>
  <si>
    <t>520101 0403141014</t>
  </si>
  <si>
    <t>Sopian</t>
  </si>
  <si>
    <t>Pur Periawan</t>
  </si>
  <si>
    <t>Muhammad Solihin</t>
  </si>
  <si>
    <t>520101 0809120034</t>
  </si>
  <si>
    <t>Sa'i</t>
  </si>
  <si>
    <t>520101 1204871001</t>
  </si>
  <si>
    <t>520101 4107901028</t>
  </si>
  <si>
    <t>Tidak/Belum Sekolah</t>
  </si>
  <si>
    <t>520101 0503086093</t>
  </si>
  <si>
    <t>Belum Tamat SD/Sederajat</t>
  </si>
  <si>
    <t>Na'an</t>
  </si>
  <si>
    <t>Hairudin</t>
  </si>
  <si>
    <t>520101 0704090055</t>
  </si>
  <si>
    <t>520101 1212780002</t>
  </si>
  <si>
    <t>520101 7112620029</t>
  </si>
  <si>
    <t>Orang Tua</t>
  </si>
  <si>
    <t>520101 0503086172</t>
  </si>
  <si>
    <t>520101 0107900558</t>
  </si>
  <si>
    <t>Hery Cahyadi</t>
  </si>
  <si>
    <t>Zuriyatun</t>
  </si>
  <si>
    <t>Zahwa Cahya Sasaki</t>
  </si>
  <si>
    <t>520101 3108180008</t>
  </si>
  <si>
    <t>520804 5608930002</t>
  </si>
  <si>
    <t>520101 6909180001</t>
  </si>
  <si>
    <t>Salkiah</t>
  </si>
  <si>
    <t xml:space="preserve">Sukri  </t>
  </si>
  <si>
    <t>520101 2110100028</t>
  </si>
  <si>
    <t>520101 7112890044</t>
  </si>
  <si>
    <t>520101 3112900042</t>
  </si>
  <si>
    <t>520101 0802910002</t>
  </si>
  <si>
    <t>520101 7112780080</t>
  </si>
  <si>
    <t>520101 1310140017</t>
  </si>
  <si>
    <t xml:space="preserve">M. Panji Khairul Adam </t>
  </si>
  <si>
    <t>520101 5008960002</t>
  </si>
  <si>
    <t>520101 2501150002</t>
  </si>
  <si>
    <t>Zaenal Abidin</t>
  </si>
  <si>
    <t>Sulis Tini</t>
  </si>
  <si>
    <t>520101 1008720002</t>
  </si>
  <si>
    <t>520101 5707880003</t>
  </si>
  <si>
    <t>520101 1608120001</t>
  </si>
  <si>
    <t>Marzuki</t>
  </si>
  <si>
    <t>Rabiatun</t>
  </si>
  <si>
    <t>Mummad Alfareza azzohry</t>
  </si>
  <si>
    <t>Ziyad Al Muzakki</t>
  </si>
  <si>
    <t>520101 0503082051</t>
  </si>
  <si>
    <t>520101 0107820276</t>
  </si>
  <si>
    <t>520101 4107810397</t>
  </si>
  <si>
    <t>520101 2512070001</t>
  </si>
  <si>
    <t>520101 0406180003</t>
  </si>
  <si>
    <t>520101 2909120031</t>
  </si>
  <si>
    <t>M. Yusuf Azwari</t>
  </si>
  <si>
    <t>Hurhaini</t>
  </si>
  <si>
    <t>Hariyadi</t>
  </si>
  <si>
    <t>520101 5102910001</t>
  </si>
  <si>
    <t>520101 1105130003</t>
  </si>
  <si>
    <t>Haerun</t>
  </si>
  <si>
    <t>Sahrullah</t>
  </si>
  <si>
    <t>Ratna Dewi</t>
  </si>
  <si>
    <t>Anis Marsella</t>
  </si>
  <si>
    <t>520101 4701670002</t>
  </si>
  <si>
    <t>520101 0701930001</t>
  </si>
  <si>
    <t>520101 0503086161</t>
  </si>
  <si>
    <t>520101 3005180010</t>
  </si>
  <si>
    <t>Maryam Amlina</t>
  </si>
  <si>
    <t>Sapwatul Ula Alpateha</t>
  </si>
  <si>
    <t>520101 5210920003</t>
  </si>
  <si>
    <t>520101 4101120004</t>
  </si>
  <si>
    <t>Suandi</t>
  </si>
  <si>
    <t>520101 4107680326</t>
  </si>
  <si>
    <t>520101 2012960001</t>
  </si>
  <si>
    <t>520101 1710021002</t>
  </si>
  <si>
    <t>520101 0503085082</t>
  </si>
  <si>
    <t>520101 0503086056</t>
  </si>
  <si>
    <t>Diky Swandi</t>
  </si>
  <si>
    <t>520101 2703670001</t>
  </si>
  <si>
    <t>520101 6101900003</t>
  </si>
  <si>
    <t>420101 21100910002</t>
  </si>
  <si>
    <t>520101 0503082023</t>
  </si>
  <si>
    <t>Manik Agung</t>
  </si>
  <si>
    <t>Wahyu Kalam</t>
  </si>
  <si>
    <t>520101 0107690390</t>
  </si>
  <si>
    <t>520101 4107700603</t>
  </si>
  <si>
    <t>520101 0505950005</t>
  </si>
  <si>
    <t>520101 1208000001</t>
  </si>
  <si>
    <t>Zuldin</t>
  </si>
  <si>
    <t>Atiah</t>
  </si>
  <si>
    <t>520101 1304870002</t>
  </si>
  <si>
    <t>520115 4107880048</t>
  </si>
  <si>
    <t>520101 0902160002</t>
  </si>
  <si>
    <t>520101 0703110279</t>
  </si>
  <si>
    <t>Fujeriatun Oktariani</t>
  </si>
  <si>
    <t>Dian Komala Dewi</t>
  </si>
  <si>
    <t>Ummi Zakrah</t>
  </si>
  <si>
    <t>520101 0809120031</t>
  </si>
  <si>
    <t>520101 6004820001</t>
  </si>
  <si>
    <t>520101 4101050008</t>
  </si>
  <si>
    <t>Yeni Rara Armiyati</t>
  </si>
  <si>
    <t>520113 1004860001</t>
  </si>
  <si>
    <t>520113 4107940144</t>
  </si>
  <si>
    <t>520113 3003150004</t>
  </si>
  <si>
    <t>520113 2503150016</t>
  </si>
  <si>
    <t>520101 2909120030</t>
  </si>
  <si>
    <t>520101 5211790002</t>
  </si>
  <si>
    <t>520101 1810980007</t>
  </si>
  <si>
    <t>520101 0503086117</t>
  </si>
  <si>
    <t>520101 0107840412</t>
  </si>
  <si>
    <t>520101 4107830193</t>
  </si>
  <si>
    <t>520101 01017070280</t>
  </si>
  <si>
    <t>520101 0503160001</t>
  </si>
  <si>
    <t>Nuriah</t>
  </si>
  <si>
    <t>Malik Lilil Absor</t>
  </si>
  <si>
    <t>520101 7112480104</t>
  </si>
  <si>
    <t>Dipe</t>
  </si>
  <si>
    <t>520101 2502150003</t>
  </si>
  <si>
    <t>Muliati</t>
  </si>
  <si>
    <t>Azura Estiati Zahra</t>
  </si>
  <si>
    <t>520101 2010870002</t>
  </si>
  <si>
    <t>520211 4107920503</t>
  </si>
  <si>
    <t>520101 4312130001</t>
  </si>
  <si>
    <t>520101 0503085086</t>
  </si>
  <si>
    <t>520101 0107450165</t>
  </si>
  <si>
    <t>520101 4409750001</t>
  </si>
  <si>
    <t>520101 0503940005</t>
  </si>
  <si>
    <t>Sahwan</t>
  </si>
  <si>
    <t>520101 3112570069</t>
  </si>
  <si>
    <t>520101 2707160017</t>
  </si>
  <si>
    <t>520101 1807120014</t>
  </si>
  <si>
    <t>Junaidi Azhari</t>
  </si>
  <si>
    <t>520101 0107710194</t>
  </si>
  <si>
    <t>520101 31129500055</t>
  </si>
  <si>
    <t>520101 3112940037</t>
  </si>
  <si>
    <t>520101 2006160018</t>
  </si>
  <si>
    <t>Olang Saputra</t>
  </si>
  <si>
    <t>Nova Anita</t>
  </si>
  <si>
    <t>520101 3112800183</t>
  </si>
  <si>
    <t>520101 7112810020</t>
  </si>
  <si>
    <t>520101 3112060027</t>
  </si>
  <si>
    <t>520101 6810100002</t>
  </si>
  <si>
    <t>520101 0503086121</t>
  </si>
  <si>
    <t>Wawan Darmawan</t>
  </si>
  <si>
    <t>Aulia</t>
  </si>
  <si>
    <t>520101 0107700318</t>
  </si>
  <si>
    <t>520101 4107710105</t>
  </si>
  <si>
    <t>520101 0107960293</t>
  </si>
  <si>
    <t>520101 1810980002</t>
  </si>
  <si>
    <t>520101 4107050152</t>
  </si>
  <si>
    <t>520101 0403090003</t>
  </si>
  <si>
    <t>520101 3008131012</t>
  </si>
  <si>
    <t>Abdul Rahim</t>
  </si>
  <si>
    <t>Sa'ah</t>
  </si>
  <si>
    <t>520101 0401100041</t>
  </si>
  <si>
    <t>Abi Maulana Azwari</t>
  </si>
  <si>
    <t>Assyifa Rahma Azwari</t>
  </si>
  <si>
    <t>520101 3112800057</t>
  </si>
  <si>
    <t>520101 11101070002</t>
  </si>
  <si>
    <t>520101 6803160003</t>
  </si>
  <si>
    <t>520101 0809120036</t>
  </si>
  <si>
    <t>Nadira Fitria</t>
  </si>
  <si>
    <t>Naufa Al Huzayn</t>
  </si>
  <si>
    <t>520101 0602190003</t>
  </si>
  <si>
    <t>520101 15121800002</t>
  </si>
  <si>
    <t>520101 0107570083</t>
  </si>
  <si>
    <t>520101 4107600217</t>
  </si>
  <si>
    <t>520101 2705111265</t>
  </si>
  <si>
    <t>Monzir</t>
  </si>
  <si>
    <t>Husnul Hotimah</t>
  </si>
  <si>
    <t>Nabila Mursida</t>
  </si>
  <si>
    <t>520101 3112810011</t>
  </si>
  <si>
    <t>520115 4107030019</t>
  </si>
  <si>
    <t>Janoar</t>
  </si>
  <si>
    <t>Marzanah</t>
  </si>
  <si>
    <t>M. Jaelani</t>
  </si>
  <si>
    <t>520101 1011770001</t>
  </si>
  <si>
    <t>520101 4107790561</t>
  </si>
  <si>
    <t>520115 6103060004</t>
  </si>
  <si>
    <t>520101 2209120003</t>
  </si>
  <si>
    <t>520101 0503085076</t>
  </si>
  <si>
    <t>520101 2209120008</t>
  </si>
  <si>
    <t>Sapwan Hakim</t>
  </si>
  <si>
    <t>Diana Wahyuni</t>
  </si>
  <si>
    <t>Dara Natasya Putri</t>
  </si>
  <si>
    <t>520101 3112820206</t>
  </si>
  <si>
    <t>520115 6808890009</t>
  </si>
  <si>
    <t>520101 5612090001</t>
  </si>
  <si>
    <t>520101 3103160002</t>
  </si>
  <si>
    <t>Fitri Ramadani</t>
  </si>
  <si>
    <t>Rizki NikmatulLah</t>
  </si>
  <si>
    <t>520101 5104850003</t>
  </si>
  <si>
    <t>520101 5010070002</t>
  </si>
  <si>
    <t>Nani Hastriani</t>
  </si>
  <si>
    <t>Ziadah Ilma Dewi</t>
  </si>
  <si>
    <t>520101 41027730398</t>
  </si>
  <si>
    <t>520101 5702950006</t>
  </si>
  <si>
    <t>Akedemi Diploma III/Sarjan Muda</t>
  </si>
  <si>
    <t>520101 0503085069</t>
  </si>
  <si>
    <t>520101 2803120013</t>
  </si>
  <si>
    <t xml:space="preserve">Suhardi </t>
  </si>
  <si>
    <t>Alda Putri Adila</t>
  </si>
  <si>
    <t>520101 5008920001</t>
  </si>
  <si>
    <t>520115 3103120001</t>
  </si>
  <si>
    <t>520101 5211160001</t>
  </si>
  <si>
    <t>Bekum Kawin</t>
  </si>
  <si>
    <t>Sri mulyana</t>
  </si>
  <si>
    <t>Ahmad Zaky Waiz Haris</t>
  </si>
  <si>
    <t>520101 2309870001</t>
  </si>
  <si>
    <t>520101 7006100001</t>
  </si>
  <si>
    <t>520101 1202190001</t>
  </si>
  <si>
    <t>TIDAK TAMAT SD/SEDERAJAT</t>
  </si>
  <si>
    <t>DENPASAR</t>
  </si>
  <si>
    <t>LABULIA</t>
  </si>
  <si>
    <t>520101 0503083731</t>
  </si>
  <si>
    <t>Sanakyah</t>
  </si>
  <si>
    <t>520101 4107550138</t>
  </si>
  <si>
    <t>Sunar</t>
  </si>
  <si>
    <t>520101 0107950372</t>
  </si>
  <si>
    <t>520101 0509120009</t>
  </si>
  <si>
    <t>520101 3112920069</t>
  </si>
  <si>
    <t>520101 4406920003</t>
  </si>
  <si>
    <t>KEBON BONGOR</t>
  </si>
  <si>
    <t>520101 2206120001</t>
  </si>
  <si>
    <t>520101 1406170001</t>
  </si>
  <si>
    <t>520101 0107780392</t>
  </si>
  <si>
    <t>520101 7112800197</t>
  </si>
  <si>
    <t>MENTOKOK PUJUT</t>
  </si>
  <si>
    <t>Zaeratul Aini</t>
  </si>
  <si>
    <t>520101 4607100005</t>
  </si>
  <si>
    <t>Dita Risnawati</t>
  </si>
  <si>
    <t>520101 6305170001</t>
  </si>
  <si>
    <t>520101 2510100010</t>
  </si>
  <si>
    <t>Baharudin</t>
  </si>
  <si>
    <t>520101 0303800001</t>
  </si>
  <si>
    <t>520101 4706110001</t>
  </si>
  <si>
    <t>Harmi</t>
  </si>
  <si>
    <t>520101 4406100001</t>
  </si>
  <si>
    <t>520101 2205130009</t>
  </si>
  <si>
    <t>Jauriah</t>
  </si>
  <si>
    <t>520101 4107780393</t>
  </si>
  <si>
    <t>Reza Aditiya</t>
  </si>
  <si>
    <t>520101 1802960002</t>
  </si>
  <si>
    <t>Saskia Adameka</t>
  </si>
  <si>
    <t>520101 7112000017</t>
  </si>
  <si>
    <t>Sintiya Winata Audia</t>
  </si>
  <si>
    <t>520101 5511160002</t>
  </si>
  <si>
    <t>520101 1201160005</t>
  </si>
  <si>
    <t>BERMI</t>
  </si>
  <si>
    <t>520101 5307930002</t>
  </si>
  <si>
    <t>KESUMA</t>
  </si>
  <si>
    <t>Ayfa Khumaira Hamzah</t>
  </si>
  <si>
    <t>520101 6704150003</t>
  </si>
  <si>
    <t>520101 1310100016</t>
  </si>
  <si>
    <t>JAWA TIMUR</t>
  </si>
  <si>
    <t>Samsul Habibi</t>
  </si>
  <si>
    <t>Panji Bayanullah</t>
  </si>
  <si>
    <t>Ajeng Baiduri</t>
  </si>
  <si>
    <t>520101 0503083742</t>
  </si>
  <si>
    <t>520101 2202160011</t>
  </si>
  <si>
    <t>520101 4107940182</t>
  </si>
  <si>
    <t>KAWO - LOTENG</t>
  </si>
  <si>
    <t>520101 2403140002</t>
  </si>
  <si>
    <t>Maharani</t>
  </si>
  <si>
    <t>520101 5807150002</t>
  </si>
  <si>
    <t>520101 0103170002</t>
  </si>
  <si>
    <t>Bohari</t>
  </si>
  <si>
    <t>520101 3112750053</t>
  </si>
  <si>
    <t>Asimah</t>
  </si>
  <si>
    <t>520113 7112800377</t>
  </si>
  <si>
    <t>520101 0503083733</t>
  </si>
  <si>
    <t>Sabenah</t>
  </si>
  <si>
    <t>520101 4107610170</t>
  </si>
  <si>
    <t>Salmin</t>
  </si>
  <si>
    <t>520101 4107820616</t>
  </si>
  <si>
    <t>Usnayati</t>
  </si>
  <si>
    <t>520101 6010060002</t>
  </si>
  <si>
    <t>520101 0503082997</t>
  </si>
  <si>
    <t>Sahirudin</t>
  </si>
  <si>
    <t>520101 0107820275</t>
  </si>
  <si>
    <t>520101 4107800707</t>
  </si>
  <si>
    <t>Sarniati</t>
  </si>
  <si>
    <t>520101 4107030419</t>
  </si>
  <si>
    <t>520101 0703110159</t>
  </si>
  <si>
    <t>Lalu Muhamad Alid</t>
  </si>
  <si>
    <t>Hasnah</t>
  </si>
  <si>
    <t>520101 4107660257</t>
  </si>
  <si>
    <t>520101 0107680345</t>
  </si>
  <si>
    <t>520101 0503083165</t>
  </si>
  <si>
    <t>Aremah</t>
  </si>
  <si>
    <t>Roni Parlan</t>
  </si>
  <si>
    <t>Rina Safitri</t>
  </si>
  <si>
    <t>TIDAK/BLM SEKOLAH</t>
  </si>
  <si>
    <t>520101 0804150019</t>
  </si>
  <si>
    <t>Zakiah</t>
  </si>
  <si>
    <t>520101 4701820002</t>
  </si>
  <si>
    <t>520101 5103740001</t>
  </si>
  <si>
    <t>520101 7112450025</t>
  </si>
  <si>
    <t>520101 0503085202</t>
  </si>
  <si>
    <t>Budi Sumitro</t>
  </si>
  <si>
    <t>Mahariah</t>
  </si>
  <si>
    <t>Najwa Maula Yulfi</t>
  </si>
  <si>
    <t>Juang Maulana Abdillah</t>
  </si>
  <si>
    <t>520101 2904170002</t>
  </si>
  <si>
    <t>520101 5101080002</t>
  </si>
  <si>
    <t>520101 4709840001</t>
  </si>
  <si>
    <t>520101 1404770001</t>
  </si>
  <si>
    <t>Pegawai Negeri Sipil</t>
  </si>
  <si>
    <t>Guru</t>
  </si>
  <si>
    <t>520101 0503083255</t>
  </si>
  <si>
    <t>520101 1603150002</t>
  </si>
  <si>
    <t>MATARAM</t>
  </si>
  <si>
    <t>Karyawan Swasta</t>
  </si>
  <si>
    <t>520101 0909110001</t>
  </si>
  <si>
    <t>Nurmah</t>
  </si>
  <si>
    <t>520101 3112830069</t>
  </si>
  <si>
    <t>520101 7112850158</t>
  </si>
  <si>
    <t>DASAN GERERS TENGAH</t>
  </si>
  <si>
    <t>520101 2005110062</t>
  </si>
  <si>
    <t>Merok</t>
  </si>
  <si>
    <t>520101 3112400051</t>
  </si>
  <si>
    <t>520101 0101001001</t>
  </si>
  <si>
    <t>520101 7112700113</t>
  </si>
  <si>
    <t>Tilawa til a tia</t>
  </si>
  <si>
    <t>520101 2405110111</t>
  </si>
  <si>
    <t>Fani Maulida</t>
  </si>
  <si>
    <t>520101 4312160001</t>
  </si>
  <si>
    <t>520101 4107860424</t>
  </si>
  <si>
    <t>520101 0107860340</t>
  </si>
  <si>
    <t>520101 1511131016</t>
  </si>
  <si>
    <t>Dedi Suprianto</t>
  </si>
  <si>
    <t>Gilang anugerah</t>
  </si>
  <si>
    <t>520101 0503085193</t>
  </si>
  <si>
    <t>520101 0107490070</t>
  </si>
  <si>
    <t>520101 4107550140</t>
  </si>
  <si>
    <t>520101 0107910427</t>
  </si>
  <si>
    <t>520101 0107050260</t>
  </si>
  <si>
    <t>520101 1305110001</t>
  </si>
  <si>
    <t>GUNUNG SARI</t>
  </si>
  <si>
    <t>Saripudin</t>
  </si>
  <si>
    <t>520101 0503083329</t>
  </si>
  <si>
    <t>520101 4107870781</t>
  </si>
  <si>
    <t>520101 2506150003</t>
  </si>
  <si>
    <t>DASAN BELO</t>
  </si>
  <si>
    <t>520101 4512061001</t>
  </si>
  <si>
    <t>520101 0503083209</t>
  </si>
  <si>
    <t>Anggun Sri Hartini</t>
  </si>
  <si>
    <t>520101 1010130003</t>
  </si>
  <si>
    <t>520101 5008080004</t>
  </si>
  <si>
    <t>520101 4602880001</t>
  </si>
  <si>
    <t>520101 1001810004</t>
  </si>
  <si>
    <t>DASAN GERES PANDE</t>
  </si>
  <si>
    <t>Saenun</t>
  </si>
  <si>
    <t>Imung Saputra</t>
  </si>
  <si>
    <t>520101 0503083202</t>
  </si>
  <si>
    <t>520101 0107650440</t>
  </si>
  <si>
    <t>520101 5305000001</t>
  </si>
  <si>
    <t>520101 0107060225</t>
  </si>
  <si>
    <t>Siti Rohaniah</t>
  </si>
  <si>
    <t>Ifan Sopandi</t>
  </si>
  <si>
    <t>Fatin Amalia Afhifah</t>
  </si>
  <si>
    <t>520101 0503083336</t>
  </si>
  <si>
    <t>520101 4107731023</t>
  </si>
  <si>
    <t>50101 2508061001</t>
  </si>
  <si>
    <t>520101 2705111198</t>
  </si>
  <si>
    <t>Rusmini</t>
  </si>
  <si>
    <t>Putri Viaolita</t>
  </si>
  <si>
    <t>Reni Dwi Febriany</t>
  </si>
  <si>
    <t>520101 1705700001</t>
  </si>
  <si>
    <t>520101 4107750168</t>
  </si>
  <si>
    <t>520101 2111950001</t>
  </si>
  <si>
    <t>520101 4506020003</t>
  </si>
  <si>
    <t>520101 4506070006</t>
  </si>
  <si>
    <t>520101 5402170003</t>
  </si>
  <si>
    <t>520101 0503085218</t>
  </si>
  <si>
    <t>Muhajab</t>
  </si>
  <si>
    <t>Lina Hariani</t>
  </si>
  <si>
    <t>520101 6410070001</t>
  </si>
  <si>
    <t>GEREPEK</t>
  </si>
  <si>
    <t>rt 2</t>
  </si>
  <si>
    <t>520101 00809120038</t>
  </si>
  <si>
    <t>520101 7112560052</t>
  </si>
  <si>
    <t>520101 0503083160</t>
  </si>
  <si>
    <t>Redwan</t>
  </si>
  <si>
    <t>520101 0107680339</t>
  </si>
  <si>
    <t>520101 4107800366</t>
  </si>
  <si>
    <t>520101 0107970328</t>
  </si>
  <si>
    <t>520101 1711150017</t>
  </si>
  <si>
    <t>Muhimah</t>
  </si>
  <si>
    <t>520101 4107520229</t>
  </si>
  <si>
    <t>520101 3107150006</t>
  </si>
  <si>
    <t>Ramnah</t>
  </si>
  <si>
    <t>520101 4107570155</t>
  </si>
  <si>
    <t>520101 2608140011</t>
  </si>
  <si>
    <t>Gibran Tabrani</t>
  </si>
  <si>
    <t>520101 2007160002</t>
  </si>
  <si>
    <t>SENTRAL SARI SULTENG</t>
  </si>
  <si>
    <t>520101 0503083217</t>
  </si>
  <si>
    <t>Cici Parida</t>
  </si>
  <si>
    <t>520101 0703110106</t>
  </si>
  <si>
    <t>Dasan Geres Tengah</t>
  </si>
  <si>
    <t>520101 4403890002</t>
  </si>
  <si>
    <t>Sastia Yulia ningsih</t>
  </si>
  <si>
    <t>520101 5006090002</t>
  </si>
  <si>
    <t>Belum/Tidak Sekolah</t>
  </si>
  <si>
    <t>Amelia azzahra</t>
  </si>
  <si>
    <t>520101 5902160001</t>
  </si>
  <si>
    <t>Dasan Geres</t>
  </si>
  <si>
    <t>520101 2005800006</t>
  </si>
  <si>
    <t>Puyung</t>
  </si>
  <si>
    <t>Pelajar/Mahasiswa</t>
  </si>
  <si>
    <t>520101 1208120006</t>
  </si>
  <si>
    <t>520101 0604180008</t>
  </si>
  <si>
    <t>520113 7112860238</t>
  </si>
  <si>
    <t>Teluk Waru</t>
  </si>
  <si>
    <t>Dasan Geres Timur</t>
  </si>
  <si>
    <t>Dasab Geres Timur</t>
  </si>
  <si>
    <t>Tempos</t>
  </si>
  <si>
    <t>Peternak</t>
  </si>
  <si>
    <t>520101 0503085072</t>
  </si>
  <si>
    <t>520101 0107580146</t>
  </si>
  <si>
    <t>Idah</t>
  </si>
  <si>
    <t>520101 4107690229</t>
  </si>
  <si>
    <t>Buruh Tani/Perkebunan</t>
  </si>
  <si>
    <t>Juanda  Al Fitri Yeni</t>
  </si>
  <si>
    <t>520101 6103060004</t>
  </si>
  <si>
    <t>Belum/Tidak Bekerja</t>
  </si>
  <si>
    <t>M Jaelani</t>
  </si>
  <si>
    <t>Dasan Tapen</t>
  </si>
  <si>
    <t>520101 0503082087</t>
  </si>
  <si>
    <t>520101 0107650447</t>
  </si>
  <si>
    <t>Petani/Pekebun</t>
  </si>
  <si>
    <t>Nurmini</t>
  </si>
  <si>
    <t>520101 4107680400</t>
  </si>
  <si>
    <t>520101 0807890001</t>
  </si>
  <si>
    <t>520101 4107950351</t>
  </si>
  <si>
    <t>520101 0503082101</t>
  </si>
  <si>
    <t>520101 4107490062</t>
  </si>
  <si>
    <t>520101 0503083741</t>
  </si>
  <si>
    <t>520101 0107720210</t>
  </si>
  <si>
    <t>520208 4107760275</t>
  </si>
  <si>
    <t>Karang Kebon</t>
  </si>
  <si>
    <t>Moh. Ramdani</t>
  </si>
  <si>
    <t>520101 1307150002</t>
  </si>
  <si>
    <t xml:space="preserve">Sopia </t>
  </si>
  <si>
    <t>520101 4902180003</t>
  </si>
  <si>
    <t>Gerung</t>
  </si>
  <si>
    <t>520101 0404141001</t>
  </si>
  <si>
    <t>Pelambik</t>
  </si>
  <si>
    <t>Suci Amanda</t>
  </si>
  <si>
    <t>Nanda Herman</t>
  </si>
  <si>
    <t>520101 0103180003</t>
  </si>
  <si>
    <t>520101 2603190001</t>
  </si>
  <si>
    <t>kursiah</t>
  </si>
  <si>
    <t>Beleke</t>
  </si>
  <si>
    <t>Haerul Fikri</t>
  </si>
  <si>
    <t>Saeful</t>
  </si>
  <si>
    <t>Tukang Jahit</t>
  </si>
  <si>
    <t>Dasan Geres Pande</t>
  </si>
  <si>
    <t>520101 0703110267</t>
  </si>
  <si>
    <t>Kawin Tercatat</t>
  </si>
  <si>
    <t xml:space="preserve"> Kawin Tercatat</t>
  </si>
  <si>
    <t>Dasan Tebu</t>
  </si>
  <si>
    <t>Lobar</t>
  </si>
  <si>
    <t>520101 0703110230</t>
  </si>
  <si>
    <t>Sairun</t>
  </si>
  <si>
    <t>520101 0107690396</t>
  </si>
  <si>
    <t>520101 4107710322</t>
  </si>
  <si>
    <t>Babussalam</t>
  </si>
  <si>
    <t>520101 4808020002</t>
  </si>
  <si>
    <t>Zahratul Aini</t>
  </si>
  <si>
    <t>520101 4701080002</t>
  </si>
  <si>
    <t>520101 5201130001</t>
  </si>
  <si>
    <t>520101 0703110147</t>
  </si>
  <si>
    <t>520101 4107880367</t>
  </si>
  <si>
    <t>Mengus Rumah Tangga</t>
  </si>
  <si>
    <t xml:space="preserve">Dasan Geres </t>
  </si>
  <si>
    <t>Isynal Haniyya</t>
  </si>
  <si>
    <t>520101 5204170003</t>
  </si>
  <si>
    <t xml:space="preserve">Petani/Pekebu </t>
  </si>
  <si>
    <t>520101 10401100022</t>
  </si>
  <si>
    <t>Wahab baderun</t>
  </si>
  <si>
    <t>Tukang Batu</t>
  </si>
  <si>
    <t>Dasan Geres  Tengah</t>
  </si>
  <si>
    <t>Andrian</t>
  </si>
  <si>
    <t>Burug Tani/Perkebunan</t>
  </si>
  <si>
    <t>Jati</t>
  </si>
  <si>
    <t>Rumak</t>
  </si>
  <si>
    <t>Puyuhan</t>
  </si>
  <si>
    <t>Habibi Eka Hadaya</t>
  </si>
  <si>
    <t>520101 0809120032</t>
  </si>
  <si>
    <t>Buruh Tani/ Perkebunan</t>
  </si>
  <si>
    <t>Batu Mulik</t>
  </si>
  <si>
    <t>Sambik Elen</t>
  </si>
  <si>
    <t>Pesanggrahan</t>
  </si>
  <si>
    <t>Bermi</t>
  </si>
  <si>
    <t>Buruh tani/Perkebunan</t>
  </si>
  <si>
    <t>Dua Pelet</t>
  </si>
  <si>
    <t>Kuripan  Dua Pelet</t>
  </si>
  <si>
    <t>Arfa Ardinata</t>
  </si>
  <si>
    <t>520101 2206160001</t>
  </si>
  <si>
    <t>Ahmad Yani</t>
  </si>
  <si>
    <t>520101 1809830002</t>
  </si>
  <si>
    <t>Aprilia Maharani</t>
  </si>
  <si>
    <t>520101 6504160001</t>
  </si>
  <si>
    <t>520101 3108160009</t>
  </si>
  <si>
    <t>520101 1012910001</t>
  </si>
  <si>
    <t xml:space="preserve">Misnah </t>
  </si>
  <si>
    <t>520108 5312910002</t>
  </si>
  <si>
    <t>Perempuan</t>
  </si>
  <si>
    <t>Mira Rifdhatul Malik</t>
  </si>
  <si>
    <t>520101 5011160005</t>
  </si>
  <si>
    <t>520101 1602170001</t>
  </si>
  <si>
    <t>Marni</t>
  </si>
  <si>
    <t>520101 5707870007</t>
  </si>
  <si>
    <t>M. Erwin Hidayat</t>
  </si>
  <si>
    <t>520101 0903120009</t>
  </si>
  <si>
    <t>520101 2011170014</t>
  </si>
  <si>
    <t>520101 1611940001</t>
  </si>
  <si>
    <t>520101 6204960003</t>
  </si>
  <si>
    <t>Zafira Wina Arsya</t>
  </si>
  <si>
    <t>520101 5805180001</t>
  </si>
  <si>
    <t xml:space="preserve"> 520101 1806190002</t>
  </si>
  <si>
    <t>kk</t>
  </si>
  <si>
    <t>Misnatul Aini</t>
  </si>
  <si>
    <t>527106 7112970017</t>
  </si>
  <si>
    <t>Tembelok</t>
  </si>
  <si>
    <t>520101 0809120033</t>
  </si>
  <si>
    <t>Safi'i</t>
  </si>
  <si>
    <t>520101 3112530043</t>
  </si>
  <si>
    <t>520101 7112810022</t>
  </si>
  <si>
    <t>520101 1710170012</t>
  </si>
  <si>
    <t>Ade Zulhana</t>
  </si>
  <si>
    <t>520101 0107000157</t>
  </si>
  <si>
    <t>Baiq Sulastri</t>
  </si>
  <si>
    <t>520101 6310980001</t>
  </si>
  <si>
    <t>520101 2507120014</t>
  </si>
  <si>
    <t>Mohammad Fauzi</t>
  </si>
  <si>
    <t>520101 1504850004</t>
  </si>
  <si>
    <t>Sri Muliana</t>
  </si>
  <si>
    <t>520101 5002940001</t>
  </si>
  <si>
    <t>520101 1606150001</t>
  </si>
  <si>
    <t>Nur Arti Lussy</t>
  </si>
  <si>
    <t>Akedemi Diploma III/S.Muda</t>
  </si>
  <si>
    <t>Perawat</t>
  </si>
  <si>
    <t>Muhammad Al Ghifari</t>
  </si>
  <si>
    <t>520101 2412150001</t>
  </si>
  <si>
    <t>Buruh Tani/Pekebun</t>
  </si>
  <si>
    <t>Peturunan Puntik</t>
  </si>
  <si>
    <t>Siti Zora Maratu Soleha</t>
  </si>
  <si>
    <t>510101 5208090004</t>
  </si>
  <si>
    <t>Buruh Tani/Perkebun</t>
  </si>
  <si>
    <t>520101 702870001</t>
  </si>
  <si>
    <t>Berambang</t>
  </si>
  <si>
    <t>Rumeni</t>
  </si>
  <si>
    <t>Lembar</t>
  </si>
  <si>
    <t>Kiki Nabila Safiri</t>
  </si>
  <si>
    <t>Haeriah</t>
  </si>
  <si>
    <t>Dasan Geres Barat</t>
  </si>
  <si>
    <t>Jumadil Awal</t>
  </si>
  <si>
    <t>Mesanggok</t>
  </si>
  <si>
    <t>520101 1007930002</t>
  </si>
  <si>
    <t>Beruh Harian Lepas</t>
  </si>
  <si>
    <t>Kuripan</t>
  </si>
  <si>
    <t>520101 2908120013</t>
  </si>
  <si>
    <t>520101 3112730176</t>
  </si>
  <si>
    <t>520113 4907810002</t>
  </si>
  <si>
    <t>Nyiur Lembang</t>
  </si>
  <si>
    <t>Muhammad Samhudi</t>
  </si>
  <si>
    <t>520101 3004000001</t>
  </si>
  <si>
    <t>520101 901030001</t>
  </si>
  <si>
    <t>Vira Vebriana</t>
  </si>
  <si>
    <t>520101 6302160002</t>
  </si>
  <si>
    <t>520101 3112711011</t>
  </si>
  <si>
    <t>520101 7112761013</t>
  </si>
  <si>
    <t>520101 4107840041</t>
  </si>
  <si>
    <t>Waje Geseng</t>
  </si>
  <si>
    <t>Mataram</t>
  </si>
  <si>
    <t>Dasan Ketujur</t>
  </si>
  <si>
    <t>Riska Harianti</t>
  </si>
  <si>
    <t>Ombe</t>
  </si>
  <si>
    <t>Muhammad Herfan</t>
  </si>
  <si>
    <t>Karang Sedeman</t>
  </si>
  <si>
    <t>Karyawan Honorer</t>
  </si>
  <si>
    <t>Dodokan Gerung</t>
  </si>
  <si>
    <t>Ampenan</t>
  </si>
  <si>
    <t>Dian Candra Harmoni</t>
  </si>
  <si>
    <t>520101 0202170004</t>
  </si>
  <si>
    <t>520101 4107460080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</si>
  <si>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</si>
  <si>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</si>
  <si>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</si>
  <si>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</si>
  <si>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</si>
  <si>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</si>
  <si>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</si>
  <si>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3</t>
  </si>
  <si>
    <t>RT 4</t>
  </si>
  <si>
    <t>JUMLAH TOTAL</t>
  </si>
  <si>
    <t>Muhmmad Reza</t>
  </si>
  <si>
    <t>Karywan Swasta</t>
  </si>
  <si>
    <t>Habib Eka Hadaya</t>
  </si>
  <si>
    <t>520113 4107940114</t>
  </si>
  <si>
    <t>Puyahan</t>
  </si>
  <si>
    <t>520101 1806190002</t>
  </si>
  <si>
    <t>520101 2908120031</t>
  </si>
  <si>
    <t>Idha Kholid</t>
  </si>
  <si>
    <t>520101 1901030001</t>
  </si>
  <si>
    <t>Suhaili Rizki</t>
  </si>
  <si>
    <t>Dea Aprilia</t>
  </si>
  <si>
    <t>520101 2410050001</t>
  </si>
  <si>
    <t>520101 2704110003</t>
  </si>
  <si>
    <t xml:space="preserve">DASAN GERERS </t>
  </si>
  <si>
    <t>520101 1102100005</t>
  </si>
  <si>
    <t>Titin Hasnawati</t>
  </si>
  <si>
    <t>Riski Yuni Wulandari</t>
  </si>
  <si>
    <t>520101 3112570013</t>
  </si>
  <si>
    <t>520101 7112580008</t>
  </si>
  <si>
    <t>520101 7008870002</t>
  </si>
  <si>
    <t>520101 6606940005</t>
  </si>
  <si>
    <t>Karyawan Honor</t>
  </si>
  <si>
    <t>520101 0503096056</t>
  </si>
  <si>
    <t>Abdi Mailik</t>
  </si>
  <si>
    <t>520101 6101300003</t>
  </si>
  <si>
    <t>520101 2110010002</t>
  </si>
  <si>
    <t>520101 2711370001</t>
  </si>
  <si>
    <t>520101 52120500005</t>
  </si>
  <si>
    <t>Hery Chyadi</t>
  </si>
  <si>
    <t>520101 3112950055</t>
  </si>
  <si>
    <t>DATA INDUK PENDUDUK KELURAHAN DASAN GERES</t>
  </si>
  <si>
    <t>TAHUN 2019</t>
  </si>
  <si>
    <t>Nama Lengkap/ Panggilan</t>
  </si>
  <si>
    <t>520101 1270051180</t>
  </si>
  <si>
    <t>LINGKUNGAN DASAN GERES TIMUR</t>
  </si>
  <si>
    <t>520101 0503082016</t>
  </si>
  <si>
    <t>Julida</t>
  </si>
  <si>
    <t>520101 7112881028</t>
  </si>
  <si>
    <t>rt 4</t>
  </si>
  <si>
    <t>520101 0503086128</t>
  </si>
  <si>
    <t>Hj. Samenah</t>
  </si>
  <si>
    <t>520101 4107690235</t>
  </si>
  <si>
    <t>520101 0107490059</t>
  </si>
  <si>
    <t>H. Hasimudin</t>
  </si>
  <si>
    <t>Bilemah</t>
  </si>
  <si>
    <t>Siti Patimah</t>
  </si>
  <si>
    <t>Siti Sulaeha</t>
  </si>
  <si>
    <t>Siti Subaedah</t>
  </si>
  <si>
    <t>Dahlan</t>
  </si>
  <si>
    <t>Hamdan</t>
  </si>
  <si>
    <t>Yayamadi</t>
  </si>
  <si>
    <t>520101 4206880004</t>
  </si>
  <si>
    <t>520101 4112880003</t>
  </si>
  <si>
    <t>520101 5212890001</t>
  </si>
  <si>
    <t>520101 0102990002</t>
  </si>
  <si>
    <t>520101 0103010001</t>
  </si>
  <si>
    <t>520101 0204030001</t>
  </si>
  <si>
    <t>520101 0503085244</t>
  </si>
  <si>
    <t>520101 3108120005</t>
  </si>
  <si>
    <t>520101 1810160013</t>
  </si>
  <si>
    <t>Muhamad Rifa'i</t>
  </si>
  <si>
    <t>Muhamad Patho Yasin</t>
  </si>
  <si>
    <t>Yulia Ningsih</t>
  </si>
  <si>
    <t>520101 0107880020</t>
  </si>
  <si>
    <t>520101 4106121001</t>
  </si>
  <si>
    <t>520101 0501100022</t>
  </si>
  <si>
    <t>Nursehan Husen</t>
  </si>
  <si>
    <t>Wariq Prihatin Nupus</t>
  </si>
  <si>
    <t>520101 6611100001</t>
  </si>
  <si>
    <t>520101 2007010003</t>
  </si>
  <si>
    <t>KEDIRI</t>
  </si>
  <si>
    <t>Rizky Amalia Sari</t>
  </si>
  <si>
    <t>520101 0503085094</t>
  </si>
  <si>
    <t>520101 0107680341</t>
  </si>
  <si>
    <t>520101 4702720003</t>
  </si>
  <si>
    <t>520101 5505000013</t>
  </si>
  <si>
    <t>520101 4401080003</t>
  </si>
  <si>
    <t>Fitri Hidayani</t>
  </si>
  <si>
    <t>520101 0703110173</t>
  </si>
  <si>
    <t>520101 0809670001</t>
  </si>
  <si>
    <t>520101 4107700613</t>
  </si>
  <si>
    <t>520101 0705930003</t>
  </si>
  <si>
    <t>520101 6010950001</t>
  </si>
  <si>
    <t>520101 2301150002</t>
  </si>
  <si>
    <t>Muhammad Zam'anussyafi'i</t>
  </si>
  <si>
    <t>Muhammad Naja Baroya</t>
  </si>
  <si>
    <t>520313 4112840009</t>
  </si>
  <si>
    <t>520101 2711150004</t>
  </si>
  <si>
    <t>520101 0911170003</t>
  </si>
  <si>
    <t>SURALAGA</t>
  </si>
  <si>
    <t>DIPLOMA 1/11</t>
  </si>
  <si>
    <t>rt 1</t>
  </si>
  <si>
    <t>520101 1509120027</t>
  </si>
  <si>
    <t>H. Akhmadi</t>
  </si>
  <si>
    <t>Hj. Zaenab</t>
  </si>
  <si>
    <t>520101 3112470042</t>
  </si>
  <si>
    <t>520101 1509120026</t>
  </si>
  <si>
    <t>DASAN BARU</t>
  </si>
  <si>
    <t>520101 0112870002</t>
  </si>
  <si>
    <t>WAJE GESENG</t>
  </si>
  <si>
    <t>Pelajar /Mahasiswa</t>
  </si>
  <si>
    <t>520101 0503085092</t>
  </si>
  <si>
    <t>Uswatun Hasanah</t>
  </si>
  <si>
    <t>520101 6809160001</t>
  </si>
  <si>
    <t>520101 7112810018</t>
  </si>
  <si>
    <t>520101 3107720001</t>
  </si>
  <si>
    <t>JEMBATAN KEMBAR</t>
  </si>
  <si>
    <t>520101 2705111210</t>
  </si>
  <si>
    <t>Herwan</t>
  </si>
  <si>
    <t>Salamah</t>
  </si>
  <si>
    <t>Meyka Salma Khaerani</t>
  </si>
  <si>
    <t>520101 6610110006</t>
  </si>
  <si>
    <t>520101 4107850003</t>
  </si>
  <si>
    <t>520101 2504810001</t>
  </si>
  <si>
    <t>DAAN GERES</t>
  </si>
  <si>
    <t>520101 0503083168</t>
  </si>
  <si>
    <t>520101 2007920008</t>
  </si>
  <si>
    <t>520101 4107020043</t>
  </si>
  <si>
    <t>rt 3</t>
  </si>
  <si>
    <t>520101 0503083015</t>
  </si>
  <si>
    <t>Rawinah</t>
  </si>
  <si>
    <t>520101 4107600086</t>
  </si>
  <si>
    <t>520101 0107570383</t>
  </si>
  <si>
    <t>520101 0503085207</t>
  </si>
  <si>
    <t>520101 0503083071</t>
  </si>
  <si>
    <t>Muhur Zohri</t>
  </si>
  <si>
    <t>520101 0107690089</t>
  </si>
  <si>
    <t>520101 4107790321</t>
  </si>
  <si>
    <t>520101 1012940122</t>
  </si>
  <si>
    <t>520101 4107040092</t>
  </si>
  <si>
    <t>520101 2007120003</t>
  </si>
  <si>
    <t>520101 2211080003</t>
  </si>
  <si>
    <t>Mulisah</t>
  </si>
  <si>
    <t>520101 2802180001</t>
  </si>
  <si>
    <t>Joli Akmal</t>
  </si>
  <si>
    <t>Arya Sandika</t>
  </si>
  <si>
    <t>Muhammam Egi Saputra</t>
  </si>
  <si>
    <t>520101 4107860341</t>
  </si>
  <si>
    <t>520101 0107840411</t>
  </si>
  <si>
    <t>520101 0205170005</t>
  </si>
  <si>
    <t>M. Haikal Alparizi</t>
  </si>
  <si>
    <t>520101 0609910002</t>
  </si>
  <si>
    <t>520101 0503085227</t>
  </si>
  <si>
    <t>Fendi Ahyar</t>
  </si>
  <si>
    <t>520101 0503083374</t>
  </si>
  <si>
    <t>Muhamad Hidayat Al Qalbi</t>
  </si>
  <si>
    <t>Ismail Marzuki</t>
  </si>
  <si>
    <t>520101 0503085237</t>
  </si>
  <si>
    <t>520101 0105030001</t>
  </si>
  <si>
    <t>520101 4706970003</t>
  </si>
  <si>
    <t>520101 4107690234</t>
  </si>
  <si>
    <t>520101 0107670691</t>
  </si>
  <si>
    <t>LINTAK BUWUR</t>
  </si>
  <si>
    <t>520101 1007140006</t>
  </si>
  <si>
    <t>Fatmawati S.Pd</t>
  </si>
  <si>
    <t>520101 6507880004</t>
  </si>
  <si>
    <t>DASAN TAPEN</t>
  </si>
  <si>
    <t>520101 0503083305</t>
  </si>
  <si>
    <t>Jalaludin Jahrin</t>
  </si>
  <si>
    <t>Nada Azzahratulaen</t>
  </si>
  <si>
    <t>Dara Kinaya Azzulfa</t>
  </si>
  <si>
    <t>Kania Arsyila</t>
  </si>
  <si>
    <t>520101 5501180002</t>
  </si>
  <si>
    <t>520101 5607050001</t>
  </si>
  <si>
    <t>520101 4107840464</t>
  </si>
  <si>
    <t>520101 0107830232</t>
  </si>
  <si>
    <t>520101 0503083620</t>
  </si>
  <si>
    <t>BEREMI</t>
  </si>
  <si>
    <t>520101 1509120023</t>
  </si>
  <si>
    <t>520101 2204850001</t>
  </si>
  <si>
    <t>520101 5103870003</t>
  </si>
  <si>
    <t>Menguruh Rumah Tangga</t>
  </si>
  <si>
    <t>520101 2006160006</t>
  </si>
  <si>
    <t>Rusimah</t>
  </si>
  <si>
    <t>520101 7112610014</t>
  </si>
  <si>
    <t>Muhamad Aqil Adzka</t>
  </si>
  <si>
    <t>520101 2705111181</t>
  </si>
  <si>
    <t>RT 04</t>
  </si>
  <si>
    <t>RT 01</t>
  </si>
  <si>
    <t>RT 02</t>
  </si>
  <si>
    <t>RT 03</t>
  </si>
  <si>
    <t>Mengetahui</t>
  </si>
  <si>
    <t>Lurah Dasan Geres</t>
  </si>
  <si>
    <t>Kepala Lingkungan</t>
  </si>
  <si>
    <t>Hulaifi, S.H.</t>
  </si>
  <si>
    <t>NIP. 19841231 201101 1 023</t>
  </si>
  <si>
    <t>REKAP DATA PENDUDUK</t>
  </si>
  <si>
    <t>RT</t>
  </si>
  <si>
    <t>Muh. Saleh</t>
  </si>
  <si>
    <t>520317 2504810000</t>
  </si>
  <si>
    <t>520317 7112870240</t>
  </si>
  <si>
    <t>520106 607800002</t>
  </si>
  <si>
    <t>520102 1111790000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</si>
</sst>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dd\ mmmm\ yyyy;@"/>
  </numFmts>
  <fonts count="7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3" fillId="0" borderId="0" xfId="0" applyFont="1" applyFill="1"/>
    <xf numFmtId="0" fontId="3" fillId="0" borderId="0" xfId="0" applyFont="1"/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3" fontId="5" fillId="0" borderId="15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3" fontId="5" fillId="0" borderId="38" xfId="0" applyNumberFormat="1" applyFont="1" applyBorder="1" applyAlignment="1">
      <alignment horizontal="center" vertical="center"/>
    </xf>
    <xf numFmtId="3" fontId="5" fillId="0" borderId="39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3" fontId="6" fillId="0" borderId="4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Border="1"/>
    <xf numFmtId="0" fontId="3" fillId="0" borderId="0" xfId="0" applyFont="1" applyBorder="1"/>
    <xf numFmtId="0" fontId="6" fillId="0" borderId="0" xfId="0" applyFont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3" fontId="5" fillId="0" borderId="21" xfId="0" applyNumberFormat="1" applyFont="1" applyBorder="1" applyAlignment="1">
      <alignment horizontal="center" vertical="center"/>
    </xf>
    <xf numFmtId="3" fontId="5" fillId="0" borderId="22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36" xfId="0" applyNumberFormat="1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 wrapText="1"/>
    </xf>
    <xf numFmtId="0" fontId="2" fillId="6" borderId="3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"/>
  <sheetViews>
    <sheetView tabSelected="1" workbookViewId="0">
      <selection activeCell="M10" sqref="M10"/>
    </sheetView>
  </sheetViews>
  <sheetFormatPr defaultRowHeight="15" x14ac:dyDescent="0.25"/>
  <cols>
    <col min="2" max="2" width="19.140625" bestFit="1" customWidth="1"/>
    <col min="3" max="8" width="9.140625" style="34"/>
    <col min="9" max="10" width="10.7109375" style="34" customWidth="1"/>
    <col min="11" max="11" width="9.140625" style="34"/>
    <col min="12" max="13" width="11.7109375" style="34" customWidth="1"/>
    <col min="14" max="14" width="9.140625" style="34"/>
  </cols>
  <sheetData>
    <row r="1" spans="2:15" ht="15.75" thickBot="1" x14ac:dyDescent="0.3"/>
    <row r="2" spans="2:15" s="36" customFormat="1" ht="15.75" thickBot="1" x14ac:dyDescent="0.3">
      <c r="B2" s="112" t="s">
        <v>1850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  <c r="O2" s="40"/>
    </row>
    <row r="3" spans="2:15" s="36" customFormat="1" ht="15.75" thickBot="1" x14ac:dyDescent="0.3">
      <c r="B3" s="115" t="s">
        <v>1698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7"/>
      <c r="O3" s="40"/>
    </row>
    <row r="4" spans="2:15" ht="15.75" x14ac:dyDescent="0.25">
      <c r="B4" s="123" t="s">
        <v>1851</v>
      </c>
      <c r="C4" s="125" t="s">
        <v>1654</v>
      </c>
      <c r="D4" s="122"/>
      <c r="E4" s="119" t="s">
        <v>1655</v>
      </c>
      <c r="F4" s="121" t="s">
        <v>1656</v>
      </c>
      <c r="G4" s="122"/>
      <c r="H4" s="126" t="s">
        <v>1655</v>
      </c>
      <c r="I4" s="125" t="s">
        <v>1657</v>
      </c>
      <c r="J4" s="122"/>
      <c r="K4" s="119" t="s">
        <v>1655</v>
      </c>
      <c r="L4" s="121" t="s">
        <v>1658</v>
      </c>
      <c r="M4" s="122"/>
      <c r="N4" s="119" t="s">
        <v>1655</v>
      </c>
    </row>
    <row r="5" spans="2:15" ht="15.75" thickBot="1" x14ac:dyDescent="0.3">
      <c r="B5" s="124"/>
      <c r="C5" s="58" t="s">
        <v>1</v>
      </c>
      <c r="D5" s="42" t="s">
        <v>7</v>
      </c>
      <c r="E5" s="120"/>
      <c r="F5" s="53" t="s">
        <v>1</v>
      </c>
      <c r="G5" s="42" t="s">
        <v>7</v>
      </c>
      <c r="H5" s="127"/>
      <c r="I5" s="58" t="s">
        <v>1</v>
      </c>
      <c r="J5" s="42" t="s">
        <v>7</v>
      </c>
      <c r="K5" s="120"/>
      <c r="L5" s="53" t="s">
        <v>1</v>
      </c>
      <c r="M5" s="42" t="s">
        <v>7</v>
      </c>
      <c r="N5" s="120"/>
    </row>
    <row r="6" spans="2:15" ht="15.75" x14ac:dyDescent="0.25">
      <c r="B6" s="49" t="s">
        <v>1659</v>
      </c>
      <c r="C6" s="59">
        <f>COUNTIF('RT 01'!$H$8:$H$244,"L")</f>
        <v>112</v>
      </c>
      <c r="D6" s="43">
        <f>COUNTIF('RT 01'!$H$8:$H$244,"P")</f>
        <v>124</v>
      </c>
      <c r="E6" s="44">
        <f>SUM(C6:D6)</f>
        <v>236</v>
      </c>
      <c r="F6" s="54">
        <f>COUNTIFS('RT 01'!$F$8:$F$244,"KK",'RT 01'!$H$8:$H$244,"L")</f>
        <v>61</v>
      </c>
      <c r="G6" s="43">
        <f>COUNTIFS('RT 01'!$F$8:$F$244,"KK",'RT 01'!$H$8:$H$244,"P")</f>
        <v>10</v>
      </c>
      <c r="H6" s="63">
        <f>SUM(F6:G6)</f>
        <v>71</v>
      </c>
      <c r="I6" s="59">
        <f>COUNTIFS('RT 01'!$I$8:$I$244,"Cerai Mati",'RT 01'!$H$8:$H$244,"L")+COUNTIFS('RT 01'!$I$8:$I$244,"Cerai Hidup",'RT 01'!$H$8:$H$244,"L")+COUNTIFS('RT 01'!$I$8:$I$244,"Duda",'RT 01'!$H$8:$H$244,"L")</f>
        <v>6</v>
      </c>
      <c r="J6" s="43">
        <f>COUNTIFS('RT 01'!$I$8:$I$244,"Cerai Mati",'RT 01'!$H$8:$H$244,"P")+COUNTIFS('RT 01'!$I$8:$I$244,"Cerai Hidup",'RT 01'!$H$8:$H$244,"P")+COUNTIFS('RT 01'!$I$8:$I$244,"Janda",'RT 01'!$H$8:$H$244,"P")</f>
        <v>13</v>
      </c>
      <c r="K6" s="44">
        <f>SUM(I6:J6)</f>
        <v>19</v>
      </c>
      <c r="L6" s="54">
        <v>12</v>
      </c>
      <c r="M6" s="43">
        <v>13</v>
      </c>
      <c r="N6" s="44">
        <f>SUM(L6:M6)</f>
        <v>25</v>
      </c>
    </row>
    <row r="7" spans="2:15" ht="15.75" x14ac:dyDescent="0.25">
      <c r="B7" s="50" t="s">
        <v>1660</v>
      </c>
      <c r="C7" s="60">
        <f>COUNTIF('RT 02'!$H$8:$H$184,"L")</f>
        <v>83</v>
      </c>
      <c r="D7" s="33">
        <f>COUNTIF('RT 02'!$H$8:$H$184,"P")</f>
        <v>94</v>
      </c>
      <c r="E7" s="41">
        <f t="shared" ref="E7:E9" si="0">SUM(C7:D7)</f>
        <v>177</v>
      </c>
      <c r="F7" s="55">
        <f>COUNTIFS('RT 02'!$F$8:$F$184,"KK",'RT 02'!$H$8:$H$184,"L")</f>
        <v>37</v>
      </c>
      <c r="G7" s="33">
        <f>COUNTIFS('RT 02'!$F$8:$F$184,"KK",'RT 02'!$H$8:$H$184,"P")</f>
        <v>11</v>
      </c>
      <c r="H7" s="64">
        <f t="shared" ref="H7:H9" si="1">SUM(F7:G7)</f>
        <v>48</v>
      </c>
      <c r="I7" s="60">
        <f>COUNTIFS('RT 02'!$I$8:$I$184,"Cerai Mati",'RT 02'!$H$8:$H$184,"L")+COUNTIFS('RT 02'!$I$8:$I$184,"Cerai Hidup",'RT 02'!$H$8:$H$184,"L")+COUNTIFS('RT 02'!$I$8:$I$184,"Duda",'RT 02'!$H$8:$H$184,"L")</f>
        <v>5</v>
      </c>
      <c r="J7" s="33">
        <f>COUNTIFS('RT 02'!$I$8:$I$184,"Cerai Mati",'RT 02'!$H$8:$H$184,"P")+COUNTIFS('RT 02'!$I$8:$I$184,"Cerai Hidup",'RT 02'!$H$8:$H$184,"P")+COUNTIFS('RT 02'!$I$8:$I$184,"Janda",'RT 02'!$H$8:$H$184,"P")</f>
        <v>10</v>
      </c>
      <c r="K7" s="41">
        <f t="shared" ref="K7:K9" si="2">SUM(I7:J7)</f>
        <v>15</v>
      </c>
      <c r="L7" s="55">
        <v>6</v>
      </c>
      <c r="M7" s="33">
        <v>10</v>
      </c>
      <c r="N7" s="41">
        <f t="shared" ref="N7:N9" si="3">SUM(L7:M7)</f>
        <v>16</v>
      </c>
    </row>
    <row r="8" spans="2:15" ht="15.75" x14ac:dyDescent="0.25">
      <c r="B8" s="50" t="s">
        <v>1661</v>
      </c>
      <c r="C8" s="60">
        <f>COUNTIF('RT 03'!$H$8:$H$161,"L")</f>
        <v>70</v>
      </c>
      <c r="D8" s="33">
        <f>COUNTIF('RT 03'!$H$8:$H$161,"P")</f>
        <v>84</v>
      </c>
      <c r="E8" s="41">
        <f t="shared" si="0"/>
        <v>154</v>
      </c>
      <c r="F8" s="55">
        <f>COUNTIFS('RT 03'!$F$8:$F$161,"KK",'RT 03'!$H$8:$H$161,"L")</f>
        <v>36</v>
      </c>
      <c r="G8" s="33">
        <f>COUNTIFS('RT 03'!$F$8:$F$161,"KK",'RT 03'!$H$8:$H$161,"P")</f>
        <v>7</v>
      </c>
      <c r="H8" s="64">
        <f t="shared" si="1"/>
        <v>43</v>
      </c>
      <c r="I8" s="60">
        <f>COUNTIFS('RT 03'!$I$8:$I$161,"Cerai Mati",'RT 03'!$H$8:$H$161,"L")+COUNTIFS('RT 03'!$I$8:$I$161,"Cerai Hidup",'RT 03'!$H$8:$H$161,"L")+COUNTIFS('RT 03'!$I$8:$I$161,"Duda",'RT 03'!$H$8:$H$161,"L")</f>
        <v>1</v>
      </c>
      <c r="J8" s="33">
        <f>COUNTIFS('RT 03'!$I$8:$I$161,"Cerai Mati",'RT 03'!$H$8:$H$161,"P")+COUNTIFS('RT 03'!$I$8:$I$161,"Cerai Hidup",'RT 03'!$H$8:$H$161,"P")+COUNTIFS('RT 03'!$I$8:$I$161,"Janda",'RT 03'!$H$8:$H$161,"P")</f>
        <v>9</v>
      </c>
      <c r="K8" s="41">
        <f t="shared" si="2"/>
        <v>10</v>
      </c>
      <c r="L8" s="55">
        <v>6</v>
      </c>
      <c r="M8" s="33">
        <v>5</v>
      </c>
      <c r="N8" s="41">
        <f t="shared" si="3"/>
        <v>11</v>
      </c>
    </row>
    <row r="9" spans="2:15" ht="16.5" thickBot="1" x14ac:dyDescent="0.3">
      <c r="B9" s="51" t="s">
        <v>1662</v>
      </c>
      <c r="C9" s="61">
        <f>COUNTIF('RT 04'!$H$8:$H$266,"L")</f>
        <v>128</v>
      </c>
      <c r="D9" s="45">
        <f>COUNTIF('RT 04'!$H$8:$H$266,"P")</f>
        <v>131</v>
      </c>
      <c r="E9" s="46">
        <f t="shared" si="0"/>
        <v>259</v>
      </c>
      <c r="F9" s="56">
        <f>COUNTIFS('RT 04'!$F$8:$F$266,"KK",'RT 04'!$H$8:$H$266,"L")</f>
        <v>66</v>
      </c>
      <c r="G9" s="45">
        <f>COUNTIFS('RT 04'!$F$8:$F$266,"KK",'RT 04'!$H$8:$H$266,"P")</f>
        <v>12</v>
      </c>
      <c r="H9" s="65">
        <f t="shared" si="1"/>
        <v>78</v>
      </c>
      <c r="I9" s="61">
        <f>COUNTIFS('RT 04'!$I$8:$I$266,"Cerai Mati",'RT 04'!$H$8:$H$266,"L")+COUNTIFS('RT 04'!$I$8:$I$266,"Cerai Hidup",'RT 04'!$H$8:$H$266,"L")+COUNTIFS('RT 04'!$I$8:$I$266,"Duda",'RT 04'!$H$8:$H$266,"L")</f>
        <v>1</v>
      </c>
      <c r="J9" s="45">
        <f>COUNTIFS('RT 04'!$I$8:$I$266,"Cerai Mati",'RT 04'!$H$8:$H$266,"P")+COUNTIFS('RT 04'!$I$8:$I$266,"Cerai Hidup",'RT 04'!$H$8:$H$266,"P")+COUNTIFS('RT 04'!$I$8:$I$266,"Janda",'RT 04'!$H$8:$H$266,"P")</f>
        <v>16</v>
      </c>
      <c r="K9" s="46">
        <f t="shared" si="2"/>
        <v>17</v>
      </c>
      <c r="L9" s="56">
        <v>8</v>
      </c>
      <c r="M9" s="45">
        <v>7</v>
      </c>
      <c r="N9" s="46">
        <f t="shared" si="3"/>
        <v>15</v>
      </c>
    </row>
    <row r="10" spans="2:15" ht="16.5" thickBot="1" x14ac:dyDescent="0.3">
      <c r="B10" s="52" t="s">
        <v>1663</v>
      </c>
      <c r="C10" s="62">
        <f>SUM(C6:C9)</f>
        <v>393</v>
      </c>
      <c r="D10" s="47">
        <f t="shared" ref="D10:N10" si="4">SUM(D6:D9)</f>
        <v>433</v>
      </c>
      <c r="E10" s="48">
        <f t="shared" si="4"/>
        <v>826</v>
      </c>
      <c r="F10" s="57">
        <f t="shared" si="4"/>
        <v>200</v>
      </c>
      <c r="G10" s="47">
        <f t="shared" si="4"/>
        <v>40</v>
      </c>
      <c r="H10" s="66">
        <f t="shared" si="4"/>
        <v>240</v>
      </c>
      <c r="I10" s="62">
        <f t="shared" si="4"/>
        <v>13</v>
      </c>
      <c r="J10" s="47">
        <f t="shared" si="4"/>
        <v>48</v>
      </c>
      <c r="K10" s="48">
        <f t="shared" si="4"/>
        <v>61</v>
      </c>
      <c r="L10" s="57">
        <f t="shared" si="4"/>
        <v>32</v>
      </c>
      <c r="M10" s="47">
        <f t="shared" si="4"/>
        <v>35</v>
      </c>
      <c r="N10" s="48">
        <f t="shared" si="4"/>
        <v>67</v>
      </c>
    </row>
    <row r="14" spans="2:15" s="36" customFormat="1" x14ac:dyDescent="0.25">
      <c r="C14" s="118" t="s">
        <v>1845</v>
      </c>
      <c r="D14" s="118"/>
      <c r="E14" s="118"/>
      <c r="F14" s="40"/>
      <c r="G14" s="40"/>
      <c r="H14" s="40"/>
      <c r="I14" s="40"/>
      <c r="J14" s="40"/>
      <c r="K14" s="118"/>
      <c r="L14" s="118"/>
      <c r="M14" s="40"/>
      <c r="N14" s="40"/>
    </row>
    <row r="15" spans="2:15" s="36" customFormat="1" x14ac:dyDescent="0.25">
      <c r="C15" s="118" t="s">
        <v>1846</v>
      </c>
      <c r="D15" s="118"/>
      <c r="E15" s="118"/>
      <c r="F15" s="40"/>
      <c r="G15" s="40"/>
      <c r="H15" s="40"/>
      <c r="I15" s="40"/>
      <c r="J15" s="40"/>
      <c r="K15" s="118" t="s">
        <v>1847</v>
      </c>
      <c r="L15" s="118"/>
      <c r="M15" s="40"/>
      <c r="N15" s="40"/>
    </row>
    <row r="16" spans="2:15" s="36" customFormat="1" x14ac:dyDescent="0.25">
      <c r="C16" s="40"/>
      <c r="E16" s="40"/>
      <c r="F16" s="40"/>
      <c r="G16" s="40"/>
      <c r="H16" s="40"/>
      <c r="I16" s="40"/>
      <c r="J16" s="40"/>
      <c r="L16" s="40"/>
      <c r="M16" s="40"/>
      <c r="N16" s="40"/>
    </row>
    <row r="17" spans="3:14" s="36" customFormat="1" x14ac:dyDescent="0.25">
      <c r="C17" s="40"/>
      <c r="E17" s="40"/>
      <c r="F17" s="40"/>
      <c r="G17" s="40"/>
      <c r="H17" s="40"/>
      <c r="I17" s="40"/>
      <c r="J17" s="40"/>
      <c r="L17" s="40"/>
      <c r="M17" s="40"/>
      <c r="N17" s="40"/>
    </row>
    <row r="18" spans="3:14" s="36" customFormat="1" x14ac:dyDescent="0.25">
      <c r="C18" s="40"/>
      <c r="E18" s="40"/>
      <c r="F18" s="40"/>
      <c r="G18" s="40"/>
      <c r="H18" s="40"/>
      <c r="I18" s="40"/>
      <c r="J18" s="40"/>
      <c r="L18" s="40"/>
      <c r="M18" s="40"/>
      <c r="N18" s="40"/>
    </row>
    <row r="19" spans="3:14" s="36" customFormat="1" x14ac:dyDescent="0.25">
      <c r="C19" s="111" t="s">
        <v>1848</v>
      </c>
      <c r="D19" s="111"/>
      <c r="E19" s="111"/>
      <c r="F19" s="40"/>
      <c r="G19" s="40"/>
      <c r="H19" s="40"/>
      <c r="I19" s="40"/>
      <c r="J19" s="40"/>
      <c r="K19" s="111" t="s">
        <v>1852</v>
      </c>
      <c r="L19" s="111"/>
      <c r="M19" s="40"/>
      <c r="N19" s="40"/>
    </row>
    <row r="20" spans="3:14" s="36" customFormat="1" x14ac:dyDescent="0.25">
      <c r="C20" s="111" t="s">
        <v>1849</v>
      </c>
      <c r="D20" s="111"/>
      <c r="E20" s="111"/>
      <c r="F20" s="40"/>
      <c r="G20" s="40"/>
      <c r="H20" s="40"/>
      <c r="I20" s="40"/>
      <c r="J20" s="40"/>
      <c r="K20" s="111"/>
      <c r="L20" s="111"/>
      <c r="M20" s="40"/>
      <c r="N20" s="40"/>
    </row>
  </sheetData>
  <mergeCells count="19">
    <mergeCell ref="F4:G4"/>
    <mergeCell ref="H4:H5"/>
    <mergeCell ref="I4:J4"/>
    <mergeCell ref="C20:E20"/>
    <mergeCell ref="K20:L20"/>
    <mergeCell ref="B2:N2"/>
    <mergeCell ref="B3:N3"/>
    <mergeCell ref="C14:E14"/>
    <mergeCell ref="K14:L14"/>
    <mergeCell ref="C15:E15"/>
    <mergeCell ref="K15:L15"/>
    <mergeCell ref="C19:E19"/>
    <mergeCell ref="K19:L19"/>
    <mergeCell ref="K4:K5"/>
    <mergeCell ref="L4:M4"/>
    <mergeCell ref="N4:N5"/>
    <mergeCell ref="B4:B5"/>
    <mergeCell ref="C4:D4"/>
    <mergeCell ref="E4:E5"/>
  </mergeCells>
  <printOptions horizontalCentered="1" verticalCentered="1"/>
  <pageMargins left="1.37795275590551" right="0.78740157480314998" top="0.78740157480314998" bottom="0.78740157480314998" header="0.31496062992126" footer="0.31496062992126"/>
  <pageSetup paperSize="1000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54"/>
  <sheetViews>
    <sheetView zoomScaleNormal="100" workbookViewId="0">
      <pane ySplit="6" topLeftCell="A7" activePane="bottomLeft" state="frozen"/>
      <selection pane="bottomLeft" activeCell="H7" sqref="H7"/>
    </sheetView>
  </sheetViews>
  <sheetFormatPr defaultRowHeight="15" x14ac:dyDescent="0.25"/>
  <cols>
    <col min="1" max="1" width="9.140625" style="27"/>
    <col min="2" max="2" width="3.140625" style="79" customWidth="1"/>
    <col min="3" max="3" width="15.28515625" style="79" customWidth="1"/>
    <col min="4" max="4" width="8.7109375" style="79" customWidth="1"/>
    <col min="5" max="5" width="12.7109375" style="80" customWidth="1"/>
    <col min="6" max="6" width="9.7109375" style="79" customWidth="1"/>
    <col min="7" max="7" width="15.28515625" style="79" customWidth="1"/>
    <col min="8" max="8" width="7.7109375" style="79" customWidth="1"/>
    <col min="9" max="9" width="10.7109375" style="79" customWidth="1"/>
    <col min="10" max="10" width="13.7109375" style="80" customWidth="1"/>
    <col min="11" max="11" width="16.28515625" style="81" bestFit="1" customWidth="1"/>
    <col min="12" max="12" width="6" style="79" customWidth="1"/>
    <col min="13" max="13" width="4.42578125" style="79" customWidth="1"/>
    <col min="14" max="14" width="6.42578125" style="79" customWidth="1"/>
    <col min="15" max="15" width="5" style="79" customWidth="1"/>
    <col min="16" max="16" width="16.7109375" style="80" customWidth="1"/>
    <col min="17" max="17" width="7.5703125" style="79" customWidth="1"/>
    <col min="18" max="18" width="15.7109375" style="80" customWidth="1"/>
    <col min="19" max="16384" width="9.140625" style="27"/>
  </cols>
  <sheetData>
    <row r="1" spans="2:18" s="35" customFormat="1" ht="15.75" x14ac:dyDescent="0.25">
      <c r="B1" s="131" t="s">
        <v>1694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</row>
    <row r="2" spans="2:18" s="35" customFormat="1" ht="15.75" x14ac:dyDescent="0.25">
      <c r="B2" s="131" t="s">
        <v>1695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2:18" s="35" customFormat="1" ht="15.75" x14ac:dyDescent="0.25">
      <c r="B3" s="106" t="s">
        <v>1698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2:18" ht="15.75" x14ac:dyDescent="0.25">
      <c r="B4" s="106" t="s">
        <v>1842</v>
      </c>
    </row>
    <row r="5" spans="2:18" ht="20.100000000000001" customHeight="1" x14ac:dyDescent="0.25">
      <c r="B5" s="135" t="s">
        <v>108</v>
      </c>
      <c r="C5" s="135" t="s">
        <v>803</v>
      </c>
      <c r="D5" s="137" t="s">
        <v>804</v>
      </c>
      <c r="E5" s="136" t="s">
        <v>1696</v>
      </c>
      <c r="F5" s="137" t="s">
        <v>115</v>
      </c>
      <c r="G5" s="135" t="s">
        <v>116</v>
      </c>
      <c r="H5" s="137" t="s">
        <v>110</v>
      </c>
      <c r="I5" s="137" t="s">
        <v>111</v>
      </c>
      <c r="J5" s="135" t="s">
        <v>805</v>
      </c>
      <c r="K5" s="135"/>
      <c r="L5" s="135"/>
      <c r="M5" s="135" t="s">
        <v>809</v>
      </c>
      <c r="N5" s="135" t="s">
        <v>112</v>
      </c>
      <c r="O5" s="135" t="s">
        <v>810</v>
      </c>
      <c r="P5" s="136" t="s">
        <v>113</v>
      </c>
      <c r="Q5" s="135" t="s">
        <v>811</v>
      </c>
      <c r="R5" s="136" t="s">
        <v>114</v>
      </c>
    </row>
    <row r="6" spans="2:18" ht="20.100000000000001" customHeight="1" x14ac:dyDescent="0.25">
      <c r="B6" s="135"/>
      <c r="C6" s="135"/>
      <c r="D6" s="138"/>
      <c r="E6" s="136"/>
      <c r="F6" s="138"/>
      <c r="G6" s="135"/>
      <c r="H6" s="138"/>
      <c r="I6" s="138"/>
      <c r="J6" s="86" t="s">
        <v>806</v>
      </c>
      <c r="K6" s="87" t="s">
        <v>807</v>
      </c>
      <c r="L6" s="88" t="s">
        <v>808</v>
      </c>
      <c r="M6" s="135"/>
      <c r="N6" s="135"/>
      <c r="O6" s="135"/>
      <c r="P6" s="136"/>
      <c r="Q6" s="135"/>
      <c r="R6" s="136"/>
    </row>
    <row r="7" spans="2:18" x14ac:dyDescent="0.25">
      <c r="B7" s="88"/>
      <c r="C7" s="88"/>
      <c r="D7" s="88"/>
      <c r="E7" s="86"/>
      <c r="F7" s="88"/>
      <c r="G7" s="88"/>
      <c r="H7" s="88"/>
      <c r="I7" s="88"/>
      <c r="J7" s="86"/>
      <c r="K7" s="87"/>
      <c r="L7" s="88"/>
      <c r="M7" s="88"/>
      <c r="N7" s="88"/>
      <c r="O7" s="88"/>
      <c r="P7" s="86"/>
      <c r="Q7" s="88"/>
      <c r="R7" s="86"/>
    </row>
    <row r="8" spans="2:18" ht="25.5" x14ac:dyDescent="0.25">
      <c r="B8" s="130">
        <v>1</v>
      </c>
      <c r="C8" s="130" t="s">
        <v>906</v>
      </c>
      <c r="D8" s="26">
        <v>1</v>
      </c>
      <c r="E8" s="75" t="s">
        <v>329</v>
      </c>
      <c r="F8" s="26" t="s">
        <v>5</v>
      </c>
      <c r="G8" s="26" t="s">
        <v>908</v>
      </c>
      <c r="H8" s="26" t="s">
        <v>1</v>
      </c>
      <c r="I8" s="26" t="s">
        <v>2</v>
      </c>
      <c r="J8" s="75" t="s">
        <v>820</v>
      </c>
      <c r="K8" s="30">
        <v>27001</v>
      </c>
      <c r="L8" s="26">
        <v>1973</v>
      </c>
      <c r="M8" s="26">
        <f>2019-L8</f>
        <v>46</v>
      </c>
      <c r="N8" s="26" t="s">
        <v>3</v>
      </c>
      <c r="O8" s="26" t="s">
        <v>821</v>
      </c>
      <c r="P8" s="75" t="s">
        <v>823</v>
      </c>
      <c r="Q8" s="26"/>
      <c r="R8" s="75" t="s">
        <v>899</v>
      </c>
    </row>
    <row r="9" spans="2:18" ht="25.5" x14ac:dyDescent="0.25">
      <c r="B9" s="130"/>
      <c r="C9" s="130"/>
      <c r="D9" s="26">
        <v>2</v>
      </c>
      <c r="E9" s="75" t="s">
        <v>330</v>
      </c>
      <c r="F9" s="26" t="s">
        <v>9</v>
      </c>
      <c r="G9" s="26" t="s">
        <v>909</v>
      </c>
      <c r="H9" s="26" t="s">
        <v>7</v>
      </c>
      <c r="I9" s="26" t="s">
        <v>2</v>
      </c>
      <c r="J9" s="75" t="s">
        <v>820</v>
      </c>
      <c r="K9" s="30">
        <v>30764</v>
      </c>
      <c r="L9" s="26">
        <v>1984</v>
      </c>
      <c r="M9" s="26">
        <f t="shared" ref="M9:M72" si="0">2019-L9</f>
        <v>35</v>
      </c>
      <c r="N9" s="26" t="s">
        <v>3</v>
      </c>
      <c r="O9" s="26" t="s">
        <v>821</v>
      </c>
      <c r="P9" s="75" t="s">
        <v>823</v>
      </c>
      <c r="Q9" s="26"/>
      <c r="R9" s="75" t="s">
        <v>827</v>
      </c>
    </row>
    <row r="10" spans="2:18" ht="25.5" x14ac:dyDescent="0.25">
      <c r="B10" s="130"/>
      <c r="C10" s="130"/>
      <c r="D10" s="26">
        <v>3</v>
      </c>
      <c r="E10" s="75" t="s">
        <v>331</v>
      </c>
      <c r="F10" s="26" t="s">
        <v>11</v>
      </c>
      <c r="G10" s="26" t="s">
        <v>910</v>
      </c>
      <c r="H10" s="26" t="s">
        <v>7</v>
      </c>
      <c r="I10" s="26" t="s">
        <v>10</v>
      </c>
      <c r="J10" s="75" t="s">
        <v>820</v>
      </c>
      <c r="K10" s="30">
        <v>37615</v>
      </c>
      <c r="L10" s="26">
        <v>2002</v>
      </c>
      <c r="M10" s="26">
        <f t="shared" si="0"/>
        <v>17</v>
      </c>
      <c r="N10" s="26" t="s">
        <v>3</v>
      </c>
      <c r="O10" s="26" t="s">
        <v>821</v>
      </c>
      <c r="P10" s="75" t="s">
        <v>831</v>
      </c>
      <c r="Q10" s="26"/>
      <c r="R10" s="75" t="s">
        <v>828</v>
      </c>
    </row>
    <row r="11" spans="2:18" ht="25.5" x14ac:dyDescent="0.25">
      <c r="B11" s="130"/>
      <c r="C11" s="130"/>
      <c r="D11" s="26">
        <v>4</v>
      </c>
      <c r="E11" s="75" t="s">
        <v>907</v>
      </c>
      <c r="F11" s="26" t="s">
        <v>11</v>
      </c>
      <c r="G11" s="26" t="s">
        <v>911</v>
      </c>
      <c r="H11" s="26" t="s">
        <v>7</v>
      </c>
      <c r="I11" s="26" t="s">
        <v>10</v>
      </c>
      <c r="J11" s="75" t="s">
        <v>830</v>
      </c>
      <c r="K11" s="30">
        <v>43059</v>
      </c>
      <c r="L11" s="26">
        <v>2017</v>
      </c>
      <c r="M11" s="26">
        <f t="shared" si="0"/>
        <v>2</v>
      </c>
      <c r="N11" s="26" t="s">
        <v>3</v>
      </c>
      <c r="O11" s="26" t="s">
        <v>821</v>
      </c>
      <c r="P11" s="75" t="s">
        <v>824</v>
      </c>
      <c r="Q11" s="26"/>
      <c r="R11" s="75" t="s">
        <v>825</v>
      </c>
    </row>
    <row r="12" spans="2:18" ht="25.5" x14ac:dyDescent="0.25">
      <c r="B12" s="130">
        <v>2</v>
      </c>
      <c r="C12" s="130" t="s">
        <v>900</v>
      </c>
      <c r="D12" s="26">
        <v>5</v>
      </c>
      <c r="E12" s="75" t="s">
        <v>332</v>
      </c>
      <c r="F12" s="26" t="s">
        <v>5</v>
      </c>
      <c r="G12" s="26" t="s">
        <v>333</v>
      </c>
      <c r="H12" s="26" t="s">
        <v>1</v>
      </c>
      <c r="I12" s="26" t="s">
        <v>2</v>
      </c>
      <c r="J12" s="75" t="s">
        <v>820</v>
      </c>
      <c r="K12" s="30">
        <v>34523</v>
      </c>
      <c r="L12" s="26">
        <v>1994</v>
      </c>
      <c r="M12" s="26">
        <f t="shared" si="0"/>
        <v>25</v>
      </c>
      <c r="N12" s="26" t="s">
        <v>3</v>
      </c>
      <c r="O12" s="26" t="s">
        <v>821</v>
      </c>
      <c r="P12" s="75" t="s">
        <v>831</v>
      </c>
      <c r="Q12" s="26"/>
      <c r="R12" s="75" t="s">
        <v>826</v>
      </c>
    </row>
    <row r="13" spans="2:18" ht="25.5" x14ac:dyDescent="0.25">
      <c r="B13" s="130"/>
      <c r="C13" s="130"/>
      <c r="D13" s="26">
        <v>6</v>
      </c>
      <c r="E13" s="75" t="s">
        <v>334</v>
      </c>
      <c r="F13" s="26" t="s">
        <v>9</v>
      </c>
      <c r="G13" s="26" t="s">
        <v>901</v>
      </c>
      <c r="H13" s="26" t="s">
        <v>7</v>
      </c>
      <c r="I13" s="26" t="s">
        <v>2</v>
      </c>
      <c r="J13" s="75" t="s">
        <v>902</v>
      </c>
      <c r="K13" s="30">
        <v>34805</v>
      </c>
      <c r="L13" s="26">
        <v>1995</v>
      </c>
      <c r="M13" s="26">
        <f t="shared" si="0"/>
        <v>24</v>
      </c>
      <c r="N13" s="26" t="s">
        <v>3</v>
      </c>
      <c r="O13" s="26" t="s">
        <v>821</v>
      </c>
      <c r="P13" s="75" t="s">
        <v>831</v>
      </c>
      <c r="Q13" s="26"/>
      <c r="R13" s="75" t="s">
        <v>827</v>
      </c>
    </row>
    <row r="14" spans="2:18" ht="25.5" x14ac:dyDescent="0.25">
      <c r="B14" s="130"/>
      <c r="C14" s="130"/>
      <c r="D14" s="26">
        <v>7</v>
      </c>
      <c r="E14" s="75" t="s">
        <v>335</v>
      </c>
      <c r="F14" s="26" t="s">
        <v>11</v>
      </c>
      <c r="G14" s="26" t="s">
        <v>336</v>
      </c>
      <c r="H14" s="26" t="s">
        <v>1</v>
      </c>
      <c r="I14" s="26" t="s">
        <v>10</v>
      </c>
      <c r="J14" s="75" t="s">
        <v>820</v>
      </c>
      <c r="K14" s="30">
        <v>41505</v>
      </c>
      <c r="L14" s="26">
        <v>2013</v>
      </c>
      <c r="M14" s="26">
        <f t="shared" si="0"/>
        <v>6</v>
      </c>
      <c r="N14" s="26" t="s">
        <v>3</v>
      </c>
      <c r="O14" s="26" t="s">
        <v>821</v>
      </c>
      <c r="P14" s="75" t="s">
        <v>824</v>
      </c>
      <c r="Q14" s="26"/>
      <c r="R14" s="75" t="s">
        <v>825</v>
      </c>
    </row>
    <row r="15" spans="2:18" ht="25.5" x14ac:dyDescent="0.25">
      <c r="B15" s="130">
        <v>3</v>
      </c>
      <c r="C15" s="130" t="s">
        <v>924</v>
      </c>
      <c r="D15" s="26">
        <v>8</v>
      </c>
      <c r="E15" s="75" t="s">
        <v>229</v>
      </c>
      <c r="F15" s="26" t="s">
        <v>5</v>
      </c>
      <c r="G15" s="26" t="s">
        <v>337</v>
      </c>
      <c r="H15" s="26" t="s">
        <v>1</v>
      </c>
      <c r="I15" s="26" t="s">
        <v>2</v>
      </c>
      <c r="J15" s="75" t="s">
        <v>830</v>
      </c>
      <c r="K15" s="30">
        <v>29220</v>
      </c>
      <c r="L15" s="26">
        <v>1979</v>
      </c>
      <c r="M15" s="26">
        <f t="shared" si="0"/>
        <v>40</v>
      </c>
      <c r="N15" s="26" t="s">
        <v>3</v>
      </c>
      <c r="O15" s="26" t="s">
        <v>821</v>
      </c>
      <c r="P15" s="75" t="s">
        <v>823</v>
      </c>
      <c r="Q15" s="26"/>
      <c r="R15" s="75" t="s">
        <v>826</v>
      </c>
    </row>
    <row r="16" spans="2:18" ht="25.5" x14ac:dyDescent="0.25">
      <c r="B16" s="130"/>
      <c r="C16" s="130"/>
      <c r="D16" s="26">
        <v>9</v>
      </c>
      <c r="E16" s="75" t="s">
        <v>338</v>
      </c>
      <c r="F16" s="26" t="s">
        <v>9</v>
      </c>
      <c r="G16" s="26" t="s">
        <v>339</v>
      </c>
      <c r="H16" s="26" t="s">
        <v>7</v>
      </c>
      <c r="I16" s="26" t="s">
        <v>2</v>
      </c>
      <c r="J16" s="75" t="s">
        <v>872</v>
      </c>
      <c r="K16" s="30">
        <v>30681</v>
      </c>
      <c r="L16" s="26">
        <v>1983</v>
      </c>
      <c r="M16" s="26">
        <f t="shared" si="0"/>
        <v>36</v>
      </c>
      <c r="N16" s="26" t="s">
        <v>3</v>
      </c>
      <c r="O16" s="26" t="s">
        <v>821</v>
      </c>
      <c r="P16" s="75" t="s">
        <v>823</v>
      </c>
      <c r="Q16" s="26"/>
      <c r="R16" s="75" t="s">
        <v>840</v>
      </c>
    </row>
    <row r="17" spans="2:18" ht="25.5" x14ac:dyDescent="0.25">
      <c r="B17" s="130"/>
      <c r="C17" s="130"/>
      <c r="D17" s="26">
        <v>10</v>
      </c>
      <c r="E17" s="75" t="s">
        <v>340</v>
      </c>
      <c r="F17" s="26" t="s">
        <v>11</v>
      </c>
      <c r="G17" s="26" t="s">
        <v>341</v>
      </c>
      <c r="H17" s="26" t="s">
        <v>1</v>
      </c>
      <c r="I17" s="26" t="s">
        <v>10</v>
      </c>
      <c r="J17" s="75" t="s">
        <v>830</v>
      </c>
      <c r="K17" s="30">
        <v>38110</v>
      </c>
      <c r="L17" s="26">
        <v>2004</v>
      </c>
      <c r="M17" s="26">
        <f t="shared" si="0"/>
        <v>15</v>
      </c>
      <c r="N17" s="26" t="s">
        <v>3</v>
      </c>
      <c r="O17" s="26" t="s">
        <v>821</v>
      </c>
      <c r="P17" s="75" t="s">
        <v>822</v>
      </c>
      <c r="Q17" s="26"/>
      <c r="R17" s="75" t="s">
        <v>828</v>
      </c>
    </row>
    <row r="18" spans="2:18" ht="25.5" x14ac:dyDescent="0.25">
      <c r="B18" s="130"/>
      <c r="C18" s="130"/>
      <c r="D18" s="26">
        <v>11</v>
      </c>
      <c r="E18" s="75" t="s">
        <v>925</v>
      </c>
      <c r="F18" s="26" t="s">
        <v>11</v>
      </c>
      <c r="G18" s="26" t="s">
        <v>926</v>
      </c>
      <c r="H18" s="26" t="s">
        <v>7</v>
      </c>
      <c r="I18" s="26" t="s">
        <v>10</v>
      </c>
      <c r="J18" s="75" t="s">
        <v>830</v>
      </c>
      <c r="K18" s="30">
        <v>38815</v>
      </c>
      <c r="L18" s="26">
        <v>2006</v>
      </c>
      <c r="M18" s="26">
        <f t="shared" si="0"/>
        <v>13</v>
      </c>
      <c r="N18" s="26" t="s">
        <v>3</v>
      </c>
      <c r="O18" s="26" t="s">
        <v>821</v>
      </c>
      <c r="P18" s="75" t="s">
        <v>824</v>
      </c>
      <c r="Q18" s="26"/>
      <c r="R18" s="75" t="s">
        <v>825</v>
      </c>
    </row>
    <row r="19" spans="2:18" ht="25.5" x14ac:dyDescent="0.25">
      <c r="B19" s="130"/>
      <c r="C19" s="130"/>
      <c r="D19" s="26">
        <v>12</v>
      </c>
      <c r="E19" s="75" t="s">
        <v>342</v>
      </c>
      <c r="F19" s="26" t="s">
        <v>11</v>
      </c>
      <c r="G19" s="26" t="s">
        <v>343</v>
      </c>
      <c r="H19" s="26" t="s">
        <v>7</v>
      </c>
      <c r="I19" s="26" t="s">
        <v>10</v>
      </c>
      <c r="J19" s="75" t="s">
        <v>830</v>
      </c>
      <c r="K19" s="30">
        <v>39546</v>
      </c>
      <c r="L19" s="26">
        <v>2008</v>
      </c>
      <c r="M19" s="26">
        <f t="shared" si="0"/>
        <v>11</v>
      </c>
      <c r="N19" s="26" t="s">
        <v>3</v>
      </c>
      <c r="O19" s="26" t="s">
        <v>821</v>
      </c>
      <c r="P19" s="75" t="s">
        <v>824</v>
      </c>
      <c r="Q19" s="26"/>
      <c r="R19" s="75" t="s">
        <v>825</v>
      </c>
    </row>
    <row r="20" spans="2:18" ht="25.5" x14ac:dyDescent="0.25">
      <c r="B20" s="130"/>
      <c r="C20" s="130"/>
      <c r="D20" s="26">
        <v>13</v>
      </c>
      <c r="E20" s="75" t="s">
        <v>344</v>
      </c>
      <c r="F20" s="26" t="s">
        <v>11</v>
      </c>
      <c r="G20" s="26" t="s">
        <v>345</v>
      </c>
      <c r="H20" s="26" t="s">
        <v>1</v>
      </c>
      <c r="I20" s="26" t="s">
        <v>10</v>
      </c>
      <c r="J20" s="75" t="s">
        <v>830</v>
      </c>
      <c r="K20" s="30">
        <v>40377</v>
      </c>
      <c r="L20" s="26">
        <v>2010</v>
      </c>
      <c r="M20" s="26">
        <f t="shared" si="0"/>
        <v>9</v>
      </c>
      <c r="N20" s="26" t="s">
        <v>3</v>
      </c>
      <c r="O20" s="26" t="s">
        <v>821</v>
      </c>
      <c r="P20" s="75" t="s">
        <v>824</v>
      </c>
      <c r="Q20" s="26"/>
      <c r="R20" s="75" t="s">
        <v>825</v>
      </c>
    </row>
    <row r="21" spans="2:18" ht="25.5" x14ac:dyDescent="0.25">
      <c r="B21" s="130">
        <v>4</v>
      </c>
      <c r="C21" s="130" t="s">
        <v>869</v>
      </c>
      <c r="D21" s="26">
        <v>14</v>
      </c>
      <c r="E21" s="75" t="s">
        <v>346</v>
      </c>
      <c r="F21" s="26" t="s">
        <v>5</v>
      </c>
      <c r="G21" s="26" t="s">
        <v>347</v>
      </c>
      <c r="H21" s="26" t="s">
        <v>1</v>
      </c>
      <c r="I21" s="26" t="s">
        <v>2</v>
      </c>
      <c r="J21" s="75" t="s">
        <v>839</v>
      </c>
      <c r="K21" s="30">
        <v>28855</v>
      </c>
      <c r="L21" s="26">
        <v>1978</v>
      </c>
      <c r="M21" s="26">
        <f t="shared" si="0"/>
        <v>41</v>
      </c>
      <c r="N21" s="26" t="s">
        <v>3</v>
      </c>
      <c r="O21" s="26" t="s">
        <v>821</v>
      </c>
      <c r="P21" s="75" t="s">
        <v>860</v>
      </c>
      <c r="Q21" s="26"/>
      <c r="R21" s="75" t="s">
        <v>54</v>
      </c>
    </row>
    <row r="22" spans="2:18" x14ac:dyDescent="0.25">
      <c r="B22" s="130"/>
      <c r="C22" s="130"/>
      <c r="D22" s="26">
        <v>15</v>
      </c>
      <c r="E22" s="75" t="s">
        <v>871</v>
      </c>
      <c r="F22" s="26" t="s">
        <v>9</v>
      </c>
      <c r="G22" s="26" t="s">
        <v>348</v>
      </c>
      <c r="H22" s="26" t="s">
        <v>7</v>
      </c>
      <c r="I22" s="26" t="s">
        <v>2</v>
      </c>
      <c r="J22" s="75" t="s">
        <v>872</v>
      </c>
      <c r="K22" s="30">
        <v>29220</v>
      </c>
      <c r="L22" s="26">
        <v>1979</v>
      </c>
      <c r="M22" s="26">
        <f t="shared" si="0"/>
        <v>40</v>
      </c>
      <c r="N22" s="26" t="s">
        <v>3</v>
      </c>
      <c r="O22" s="26" t="s">
        <v>821</v>
      </c>
      <c r="P22" s="75" t="s">
        <v>860</v>
      </c>
      <c r="Q22" s="26"/>
      <c r="R22" s="75" t="s">
        <v>54</v>
      </c>
    </row>
    <row r="23" spans="2:18" ht="25.5" x14ac:dyDescent="0.25">
      <c r="B23" s="130"/>
      <c r="C23" s="130"/>
      <c r="D23" s="26">
        <v>16</v>
      </c>
      <c r="E23" s="75" t="s">
        <v>870</v>
      </c>
      <c r="F23" s="26" t="s">
        <v>11</v>
      </c>
      <c r="G23" s="26" t="s">
        <v>349</v>
      </c>
      <c r="H23" s="26" t="s">
        <v>1</v>
      </c>
      <c r="I23" s="26" t="s">
        <v>10</v>
      </c>
      <c r="J23" s="75" t="s">
        <v>830</v>
      </c>
      <c r="K23" s="30">
        <v>38112</v>
      </c>
      <c r="L23" s="26">
        <v>2004</v>
      </c>
      <c r="M23" s="26">
        <f t="shared" si="0"/>
        <v>15</v>
      </c>
      <c r="N23" s="26" t="s">
        <v>3</v>
      </c>
      <c r="O23" s="26" t="s">
        <v>821</v>
      </c>
      <c r="P23" s="75" t="s">
        <v>824</v>
      </c>
      <c r="Q23" s="26"/>
      <c r="R23" s="75" t="s">
        <v>825</v>
      </c>
    </row>
    <row r="24" spans="2:18" ht="25.5" x14ac:dyDescent="0.25">
      <c r="B24" s="130">
        <v>5</v>
      </c>
      <c r="C24" s="130" t="s">
        <v>818</v>
      </c>
      <c r="D24" s="26">
        <v>17</v>
      </c>
      <c r="E24" s="75" t="s">
        <v>350</v>
      </c>
      <c r="F24" s="26" t="s">
        <v>5</v>
      </c>
      <c r="G24" s="26" t="s">
        <v>351</v>
      </c>
      <c r="H24" s="26" t="s">
        <v>1</v>
      </c>
      <c r="I24" s="26" t="s">
        <v>2</v>
      </c>
      <c r="J24" s="75" t="s">
        <v>820</v>
      </c>
      <c r="K24" s="30">
        <v>27759</v>
      </c>
      <c r="L24" s="26">
        <v>1975</v>
      </c>
      <c r="M24" s="26">
        <f t="shared" si="0"/>
        <v>44</v>
      </c>
      <c r="N24" s="26" t="s">
        <v>3</v>
      </c>
      <c r="O24" s="26" t="s">
        <v>821</v>
      </c>
      <c r="P24" s="75" t="s">
        <v>822</v>
      </c>
      <c r="Q24" s="26"/>
      <c r="R24" s="75" t="s">
        <v>826</v>
      </c>
    </row>
    <row r="25" spans="2:18" ht="25.5" x14ac:dyDescent="0.25">
      <c r="B25" s="130"/>
      <c r="C25" s="130"/>
      <c r="D25" s="26">
        <v>18</v>
      </c>
      <c r="E25" s="75" t="s">
        <v>352</v>
      </c>
      <c r="F25" s="26" t="s">
        <v>9</v>
      </c>
      <c r="G25" s="26" t="s">
        <v>353</v>
      </c>
      <c r="H25" s="26" t="s">
        <v>7</v>
      </c>
      <c r="I25" s="26" t="s">
        <v>2</v>
      </c>
      <c r="J25" s="75" t="s">
        <v>820</v>
      </c>
      <c r="K25" s="30">
        <v>30316</v>
      </c>
      <c r="L25" s="26">
        <v>1982</v>
      </c>
      <c r="M25" s="26">
        <f t="shared" si="0"/>
        <v>37</v>
      </c>
      <c r="N25" s="26" t="s">
        <v>3</v>
      </c>
      <c r="O25" s="26" t="s">
        <v>821</v>
      </c>
      <c r="P25" s="75" t="s">
        <v>823</v>
      </c>
      <c r="Q25" s="26"/>
      <c r="R25" s="75" t="s">
        <v>827</v>
      </c>
    </row>
    <row r="26" spans="2:18" ht="25.5" x14ac:dyDescent="0.25">
      <c r="B26" s="130"/>
      <c r="C26" s="130"/>
      <c r="D26" s="26">
        <v>19</v>
      </c>
      <c r="E26" s="75" t="s">
        <v>354</v>
      </c>
      <c r="F26" s="26" t="s">
        <v>11</v>
      </c>
      <c r="G26" s="26" t="s">
        <v>819</v>
      </c>
      <c r="H26" s="26" t="s">
        <v>7</v>
      </c>
      <c r="I26" s="26" t="s">
        <v>10</v>
      </c>
      <c r="J26" s="75" t="s">
        <v>820</v>
      </c>
      <c r="K26" s="30">
        <v>39661</v>
      </c>
      <c r="L26" s="26">
        <v>2008</v>
      </c>
      <c r="M26" s="26">
        <f t="shared" si="0"/>
        <v>11</v>
      </c>
      <c r="N26" s="26" t="s">
        <v>3</v>
      </c>
      <c r="O26" s="26" t="s">
        <v>821</v>
      </c>
      <c r="P26" s="75" t="s">
        <v>823</v>
      </c>
      <c r="Q26" s="26"/>
      <c r="R26" s="75" t="s">
        <v>828</v>
      </c>
    </row>
    <row r="27" spans="2:18" ht="25.5" x14ac:dyDescent="0.25">
      <c r="B27" s="130"/>
      <c r="C27" s="130"/>
      <c r="D27" s="26">
        <v>20</v>
      </c>
      <c r="E27" s="75" t="s">
        <v>355</v>
      </c>
      <c r="F27" s="26" t="s">
        <v>11</v>
      </c>
      <c r="G27" s="26" t="s">
        <v>356</v>
      </c>
      <c r="H27" s="26" t="s">
        <v>1</v>
      </c>
      <c r="I27" s="26" t="s">
        <v>10</v>
      </c>
      <c r="J27" s="75" t="s">
        <v>820</v>
      </c>
      <c r="K27" s="30">
        <v>40463</v>
      </c>
      <c r="L27" s="26">
        <v>2010</v>
      </c>
      <c r="M27" s="26">
        <f t="shared" si="0"/>
        <v>9</v>
      </c>
      <c r="N27" s="26" t="s">
        <v>3</v>
      </c>
      <c r="O27" s="26" t="s">
        <v>821</v>
      </c>
      <c r="P27" s="75" t="s">
        <v>824</v>
      </c>
      <c r="Q27" s="26"/>
      <c r="R27" s="75" t="s">
        <v>825</v>
      </c>
    </row>
    <row r="28" spans="2:18" ht="25.5" x14ac:dyDescent="0.25">
      <c r="B28" s="130"/>
      <c r="C28" s="130"/>
      <c r="D28" s="26">
        <v>21</v>
      </c>
      <c r="E28" s="75" t="s">
        <v>357</v>
      </c>
      <c r="F28" s="26" t="s">
        <v>11</v>
      </c>
      <c r="G28" s="26" t="s">
        <v>358</v>
      </c>
      <c r="H28" s="26" t="s">
        <v>1</v>
      </c>
      <c r="I28" s="26" t="s">
        <v>10</v>
      </c>
      <c r="J28" s="75" t="s">
        <v>820</v>
      </c>
      <c r="K28" s="30">
        <v>41361</v>
      </c>
      <c r="L28" s="26">
        <v>2013</v>
      </c>
      <c r="M28" s="26">
        <f t="shared" si="0"/>
        <v>6</v>
      </c>
      <c r="N28" s="26" t="s">
        <v>3</v>
      </c>
      <c r="O28" s="26" t="s">
        <v>821</v>
      </c>
      <c r="P28" s="75" t="s">
        <v>824</v>
      </c>
      <c r="Q28" s="26"/>
      <c r="R28" s="75" t="s">
        <v>825</v>
      </c>
    </row>
    <row r="29" spans="2:18" ht="25.5" x14ac:dyDescent="0.25">
      <c r="B29" s="130">
        <v>6</v>
      </c>
      <c r="C29" s="130" t="s">
        <v>880</v>
      </c>
      <c r="D29" s="26">
        <v>22</v>
      </c>
      <c r="E29" s="75" t="s">
        <v>359</v>
      </c>
      <c r="F29" s="26" t="s">
        <v>5</v>
      </c>
      <c r="G29" s="26" t="s">
        <v>360</v>
      </c>
      <c r="H29" s="26" t="s">
        <v>7</v>
      </c>
      <c r="I29" s="26" t="s">
        <v>881</v>
      </c>
      <c r="J29" s="75" t="s">
        <v>830</v>
      </c>
      <c r="K29" s="30">
        <v>19359</v>
      </c>
      <c r="L29" s="26">
        <v>1952</v>
      </c>
      <c r="M29" s="26">
        <f t="shared" si="0"/>
        <v>67</v>
      </c>
      <c r="N29" s="26" t="s">
        <v>3</v>
      </c>
      <c r="O29" s="26" t="s">
        <v>821</v>
      </c>
      <c r="P29" s="75" t="s">
        <v>824</v>
      </c>
      <c r="Q29" s="26"/>
      <c r="R29" s="75" t="s">
        <v>877</v>
      </c>
    </row>
    <row r="30" spans="2:18" ht="25.5" x14ac:dyDescent="0.25">
      <c r="B30" s="130"/>
      <c r="C30" s="130"/>
      <c r="D30" s="26">
        <v>23</v>
      </c>
      <c r="E30" s="75" t="s">
        <v>361</v>
      </c>
      <c r="F30" s="26" t="s">
        <v>11</v>
      </c>
      <c r="G30" s="26" t="s">
        <v>362</v>
      </c>
      <c r="H30" s="26" t="s">
        <v>1</v>
      </c>
      <c r="I30" s="26" t="s">
        <v>10</v>
      </c>
      <c r="J30" s="75" t="s">
        <v>830</v>
      </c>
      <c r="K30" s="30">
        <v>33128</v>
      </c>
      <c r="L30" s="26">
        <v>1990</v>
      </c>
      <c r="M30" s="26">
        <f t="shared" si="0"/>
        <v>29</v>
      </c>
      <c r="N30" s="26" t="s">
        <v>3</v>
      </c>
      <c r="O30" s="26" t="s">
        <v>821</v>
      </c>
      <c r="P30" s="75" t="s">
        <v>831</v>
      </c>
      <c r="Q30" s="26"/>
      <c r="R30" s="75" t="s">
        <v>54</v>
      </c>
    </row>
    <row r="31" spans="2:18" ht="25.5" x14ac:dyDescent="0.25">
      <c r="B31" s="130"/>
      <c r="C31" s="130"/>
      <c r="D31" s="26">
        <v>24</v>
      </c>
      <c r="E31" s="75" t="s">
        <v>363</v>
      </c>
      <c r="F31" s="26" t="s">
        <v>11</v>
      </c>
      <c r="G31" s="26" t="s">
        <v>364</v>
      </c>
      <c r="H31" s="26" t="s">
        <v>7</v>
      </c>
      <c r="I31" s="26" t="s">
        <v>10</v>
      </c>
      <c r="J31" s="75" t="s">
        <v>830</v>
      </c>
      <c r="K31" s="30">
        <v>34335</v>
      </c>
      <c r="L31" s="26">
        <v>1994</v>
      </c>
      <c r="M31" s="26">
        <f t="shared" si="0"/>
        <v>25</v>
      </c>
      <c r="N31" s="26" t="s">
        <v>3</v>
      </c>
      <c r="O31" s="26" t="s">
        <v>821</v>
      </c>
      <c r="P31" s="75" t="s">
        <v>831</v>
      </c>
      <c r="Q31" s="26"/>
      <c r="R31" s="75" t="s">
        <v>54</v>
      </c>
    </row>
    <row r="32" spans="2:18" ht="25.5" x14ac:dyDescent="0.25">
      <c r="B32" s="130">
        <v>7</v>
      </c>
      <c r="C32" s="130" t="s">
        <v>918</v>
      </c>
      <c r="D32" s="26">
        <v>25</v>
      </c>
      <c r="E32" s="75" t="s">
        <v>365</v>
      </c>
      <c r="F32" s="26" t="s">
        <v>5</v>
      </c>
      <c r="G32" s="26" t="s">
        <v>919</v>
      </c>
      <c r="H32" s="26" t="s">
        <v>1</v>
      </c>
      <c r="I32" s="26" t="s">
        <v>2</v>
      </c>
      <c r="J32" s="75" t="s">
        <v>839</v>
      </c>
      <c r="K32" s="30">
        <v>27625</v>
      </c>
      <c r="L32" s="26">
        <v>1975</v>
      </c>
      <c r="M32" s="26">
        <f t="shared" si="0"/>
        <v>44</v>
      </c>
      <c r="N32" s="26" t="s">
        <v>3</v>
      </c>
      <c r="O32" s="26" t="s">
        <v>821</v>
      </c>
      <c r="P32" s="75" t="s">
        <v>823</v>
      </c>
      <c r="Q32" s="26"/>
      <c r="R32" s="75" t="s">
        <v>54</v>
      </c>
    </row>
    <row r="33" spans="2:18" ht="25.5" x14ac:dyDescent="0.25">
      <c r="B33" s="130"/>
      <c r="C33" s="130"/>
      <c r="D33" s="26">
        <v>26</v>
      </c>
      <c r="E33" s="75" t="s">
        <v>366</v>
      </c>
      <c r="F33" s="26" t="s">
        <v>9</v>
      </c>
      <c r="G33" s="26" t="s">
        <v>920</v>
      </c>
      <c r="H33" s="26" t="s">
        <v>7</v>
      </c>
      <c r="I33" s="26" t="s">
        <v>2</v>
      </c>
      <c r="J33" s="75" t="s">
        <v>839</v>
      </c>
      <c r="K33" s="30">
        <v>28823</v>
      </c>
      <c r="L33" s="26">
        <v>1978</v>
      </c>
      <c r="M33" s="26">
        <f t="shared" si="0"/>
        <v>41</v>
      </c>
      <c r="N33" s="26" t="s">
        <v>3</v>
      </c>
      <c r="O33" s="26" t="s">
        <v>821</v>
      </c>
      <c r="P33" s="75" t="s">
        <v>823</v>
      </c>
      <c r="Q33" s="26"/>
      <c r="R33" s="75" t="s">
        <v>827</v>
      </c>
    </row>
    <row r="34" spans="2:18" ht="25.5" x14ac:dyDescent="0.25">
      <c r="B34" s="130"/>
      <c r="C34" s="130"/>
      <c r="D34" s="26">
        <v>27</v>
      </c>
      <c r="E34" s="75" t="s">
        <v>367</v>
      </c>
      <c r="F34" s="26" t="s">
        <v>11</v>
      </c>
      <c r="G34" s="26" t="s">
        <v>921</v>
      </c>
      <c r="H34" s="26" t="s">
        <v>1</v>
      </c>
      <c r="I34" s="26" t="s">
        <v>10</v>
      </c>
      <c r="J34" s="75" t="s">
        <v>839</v>
      </c>
      <c r="K34" s="30">
        <v>36016</v>
      </c>
      <c r="L34" s="26">
        <v>1998</v>
      </c>
      <c r="M34" s="26">
        <f t="shared" si="0"/>
        <v>21</v>
      </c>
      <c r="N34" s="26" t="s">
        <v>3</v>
      </c>
      <c r="O34" s="26" t="s">
        <v>821</v>
      </c>
      <c r="P34" s="75" t="s">
        <v>860</v>
      </c>
      <c r="Q34" s="26"/>
      <c r="R34" s="75" t="s">
        <v>828</v>
      </c>
    </row>
    <row r="35" spans="2:18" ht="25.5" x14ac:dyDescent="0.25">
      <c r="B35" s="130"/>
      <c r="C35" s="130"/>
      <c r="D35" s="26">
        <v>28</v>
      </c>
      <c r="E35" s="75" t="s">
        <v>916</v>
      </c>
      <c r="F35" s="26" t="s">
        <v>11</v>
      </c>
      <c r="G35" s="26" t="s">
        <v>368</v>
      </c>
      <c r="H35" s="26" t="s">
        <v>1</v>
      </c>
      <c r="I35" s="26" t="s">
        <v>10</v>
      </c>
      <c r="J35" s="75" t="s">
        <v>820</v>
      </c>
      <c r="K35" s="30">
        <v>37010</v>
      </c>
      <c r="L35" s="26">
        <v>2001</v>
      </c>
      <c r="M35" s="26">
        <f t="shared" si="0"/>
        <v>18</v>
      </c>
      <c r="N35" s="26" t="s">
        <v>3</v>
      </c>
      <c r="O35" s="26" t="s">
        <v>821</v>
      </c>
      <c r="P35" s="75" t="s">
        <v>823</v>
      </c>
      <c r="Q35" s="26"/>
      <c r="R35" s="75" t="s">
        <v>828</v>
      </c>
    </row>
    <row r="36" spans="2:18" ht="25.5" x14ac:dyDescent="0.25">
      <c r="B36" s="130"/>
      <c r="C36" s="130"/>
      <c r="D36" s="26">
        <v>29</v>
      </c>
      <c r="E36" s="75" t="s">
        <v>369</v>
      </c>
      <c r="F36" s="26" t="s">
        <v>11</v>
      </c>
      <c r="G36" s="26" t="s">
        <v>922</v>
      </c>
      <c r="H36" s="26" t="s">
        <v>7</v>
      </c>
      <c r="I36" s="26" t="s">
        <v>10</v>
      </c>
      <c r="J36" s="75" t="s">
        <v>820</v>
      </c>
      <c r="K36" s="30">
        <v>39757</v>
      </c>
      <c r="L36" s="26">
        <v>2008</v>
      </c>
      <c r="M36" s="26">
        <f t="shared" si="0"/>
        <v>11</v>
      </c>
      <c r="N36" s="26" t="s">
        <v>3</v>
      </c>
      <c r="O36" s="26" t="s">
        <v>821</v>
      </c>
      <c r="P36" s="75" t="s">
        <v>822</v>
      </c>
      <c r="Q36" s="26"/>
      <c r="R36" s="75" t="s">
        <v>828</v>
      </c>
    </row>
    <row r="37" spans="2:18" ht="38.25" x14ac:dyDescent="0.25">
      <c r="B37" s="130"/>
      <c r="C37" s="130"/>
      <c r="D37" s="26">
        <v>30</v>
      </c>
      <c r="E37" s="75" t="s">
        <v>917</v>
      </c>
      <c r="F37" s="26" t="s">
        <v>11</v>
      </c>
      <c r="G37" s="26" t="s">
        <v>923</v>
      </c>
      <c r="H37" s="26" t="s">
        <v>1</v>
      </c>
      <c r="I37" s="26" t="s">
        <v>10</v>
      </c>
      <c r="J37" s="75" t="s">
        <v>820</v>
      </c>
      <c r="K37" s="30">
        <v>41871</v>
      </c>
      <c r="L37" s="26">
        <v>2014</v>
      </c>
      <c r="M37" s="26">
        <f t="shared" si="0"/>
        <v>5</v>
      </c>
      <c r="N37" s="26" t="s">
        <v>3</v>
      </c>
      <c r="O37" s="26" t="s">
        <v>821</v>
      </c>
      <c r="P37" s="75" t="s">
        <v>824</v>
      </c>
      <c r="Q37" s="26"/>
      <c r="R37" s="75" t="s">
        <v>825</v>
      </c>
    </row>
    <row r="38" spans="2:18" ht="25.5" x14ac:dyDescent="0.25">
      <c r="B38" s="130">
        <v>8</v>
      </c>
      <c r="C38" s="130" t="s">
        <v>915</v>
      </c>
      <c r="D38" s="26">
        <v>31</v>
      </c>
      <c r="E38" s="75" t="s">
        <v>370</v>
      </c>
      <c r="F38" s="26" t="s">
        <v>5</v>
      </c>
      <c r="G38" s="26" t="s">
        <v>371</v>
      </c>
      <c r="H38" s="26" t="s">
        <v>1</v>
      </c>
      <c r="I38" s="26" t="s">
        <v>2</v>
      </c>
      <c r="J38" s="75" t="s">
        <v>830</v>
      </c>
      <c r="K38" s="30">
        <v>33240</v>
      </c>
      <c r="L38" s="26">
        <v>1991</v>
      </c>
      <c r="M38" s="26">
        <f t="shared" si="0"/>
        <v>28</v>
      </c>
      <c r="N38" s="26" t="s">
        <v>3</v>
      </c>
      <c r="O38" s="26" t="s">
        <v>821</v>
      </c>
      <c r="P38" s="75" t="s">
        <v>831</v>
      </c>
      <c r="Q38" s="26"/>
      <c r="R38" s="75" t="s">
        <v>826</v>
      </c>
    </row>
    <row r="39" spans="2:18" ht="25.5" x14ac:dyDescent="0.25">
      <c r="B39" s="130"/>
      <c r="C39" s="130"/>
      <c r="D39" s="26">
        <v>32</v>
      </c>
      <c r="E39" s="75" t="s">
        <v>71</v>
      </c>
      <c r="F39" s="26" t="s">
        <v>9</v>
      </c>
      <c r="G39" s="26" t="s">
        <v>372</v>
      </c>
      <c r="H39" s="26" t="s">
        <v>7</v>
      </c>
      <c r="I39" s="26" t="s">
        <v>2</v>
      </c>
      <c r="J39" s="75" t="s">
        <v>830</v>
      </c>
      <c r="K39" s="30">
        <v>33614</v>
      </c>
      <c r="L39" s="26">
        <v>1992</v>
      </c>
      <c r="M39" s="26">
        <f t="shared" si="0"/>
        <v>27</v>
      </c>
      <c r="N39" s="26" t="s">
        <v>3</v>
      </c>
      <c r="O39" s="26" t="s">
        <v>821</v>
      </c>
      <c r="P39" s="75" t="s">
        <v>823</v>
      </c>
      <c r="Q39" s="26"/>
      <c r="R39" s="75" t="s">
        <v>827</v>
      </c>
    </row>
    <row r="40" spans="2:18" ht="25.5" x14ac:dyDescent="0.25">
      <c r="B40" s="130"/>
      <c r="C40" s="130"/>
      <c r="D40" s="26">
        <v>33</v>
      </c>
      <c r="E40" s="75" t="s">
        <v>373</v>
      </c>
      <c r="F40" s="26" t="s">
        <v>11</v>
      </c>
      <c r="G40" s="26" t="s">
        <v>374</v>
      </c>
      <c r="H40" s="26" t="s">
        <v>1</v>
      </c>
      <c r="I40" s="26" t="s">
        <v>10</v>
      </c>
      <c r="J40" s="75" t="s">
        <v>820</v>
      </c>
      <c r="K40" s="30">
        <v>40552</v>
      </c>
      <c r="L40" s="26">
        <v>2011</v>
      </c>
      <c r="M40" s="26">
        <f t="shared" si="0"/>
        <v>8</v>
      </c>
      <c r="N40" s="26" t="s">
        <v>3</v>
      </c>
      <c r="O40" s="26" t="s">
        <v>821</v>
      </c>
      <c r="P40" s="75" t="s">
        <v>824</v>
      </c>
      <c r="Q40" s="26"/>
      <c r="R40" s="75" t="s">
        <v>825</v>
      </c>
    </row>
    <row r="41" spans="2:18" ht="25.5" x14ac:dyDescent="0.25">
      <c r="B41" s="130">
        <v>9</v>
      </c>
      <c r="C41" s="130" t="s">
        <v>912</v>
      </c>
      <c r="D41" s="26">
        <v>34</v>
      </c>
      <c r="E41" s="75" t="s">
        <v>913</v>
      </c>
      <c r="F41" s="26" t="s">
        <v>5</v>
      </c>
      <c r="G41" s="26" t="s">
        <v>914</v>
      </c>
      <c r="H41" s="26" t="s">
        <v>1</v>
      </c>
      <c r="I41" s="26" t="s">
        <v>2</v>
      </c>
      <c r="J41" s="75" t="s">
        <v>820</v>
      </c>
      <c r="K41" s="30">
        <v>22463</v>
      </c>
      <c r="L41" s="26">
        <v>1961</v>
      </c>
      <c r="M41" s="26">
        <f t="shared" si="0"/>
        <v>58</v>
      </c>
      <c r="N41" s="26" t="s">
        <v>3</v>
      </c>
      <c r="O41" s="26" t="s">
        <v>821</v>
      </c>
      <c r="P41" s="75" t="s">
        <v>823</v>
      </c>
      <c r="Q41" s="26"/>
      <c r="R41" s="75" t="s">
        <v>826</v>
      </c>
    </row>
    <row r="42" spans="2:18" ht="25.5" x14ac:dyDescent="0.25">
      <c r="B42" s="130"/>
      <c r="C42" s="130"/>
      <c r="D42" s="26">
        <v>35</v>
      </c>
      <c r="E42" s="75" t="s">
        <v>375</v>
      </c>
      <c r="F42" s="26" t="s">
        <v>9</v>
      </c>
      <c r="G42" s="26" t="s">
        <v>376</v>
      </c>
      <c r="H42" s="26" t="s">
        <v>7</v>
      </c>
      <c r="I42" s="26" t="s">
        <v>2</v>
      </c>
      <c r="J42" s="75" t="s">
        <v>820</v>
      </c>
      <c r="K42" s="30">
        <v>23924</v>
      </c>
      <c r="L42" s="26">
        <v>1965</v>
      </c>
      <c r="M42" s="26">
        <f t="shared" si="0"/>
        <v>54</v>
      </c>
      <c r="N42" s="26" t="s">
        <v>3</v>
      </c>
      <c r="O42" s="26" t="s">
        <v>821</v>
      </c>
      <c r="P42" s="75" t="s">
        <v>822</v>
      </c>
      <c r="Q42" s="26"/>
      <c r="R42" s="75" t="s">
        <v>827</v>
      </c>
    </row>
    <row r="43" spans="2:18" ht="25.5" x14ac:dyDescent="0.25">
      <c r="B43" s="130">
        <v>10</v>
      </c>
      <c r="C43" s="130" t="s">
        <v>829</v>
      </c>
      <c r="D43" s="26">
        <v>36</v>
      </c>
      <c r="E43" s="75" t="s">
        <v>377</v>
      </c>
      <c r="F43" s="26" t="s">
        <v>5</v>
      </c>
      <c r="G43" s="26" t="s">
        <v>378</v>
      </c>
      <c r="H43" s="26" t="s">
        <v>1</v>
      </c>
      <c r="I43" s="26" t="s">
        <v>2</v>
      </c>
      <c r="J43" s="75" t="s">
        <v>830</v>
      </c>
      <c r="K43" s="30">
        <v>30498</v>
      </c>
      <c r="L43" s="26">
        <v>1983</v>
      </c>
      <c r="M43" s="26">
        <f t="shared" si="0"/>
        <v>36</v>
      </c>
      <c r="N43" s="26" t="s">
        <v>3</v>
      </c>
      <c r="O43" s="26" t="s">
        <v>821</v>
      </c>
      <c r="P43" s="75" t="s">
        <v>831</v>
      </c>
      <c r="Q43" s="26"/>
      <c r="R43" s="75" t="s">
        <v>54</v>
      </c>
    </row>
    <row r="44" spans="2:18" ht="25.5" x14ac:dyDescent="0.25">
      <c r="B44" s="130"/>
      <c r="C44" s="130"/>
      <c r="D44" s="26">
        <v>37</v>
      </c>
      <c r="E44" s="75" t="s">
        <v>66</v>
      </c>
      <c r="F44" s="26" t="s">
        <v>9</v>
      </c>
      <c r="G44" s="26" t="s">
        <v>379</v>
      </c>
      <c r="H44" s="26" t="s">
        <v>7</v>
      </c>
      <c r="I44" s="26" t="s">
        <v>2</v>
      </c>
      <c r="J44" s="75" t="s">
        <v>830</v>
      </c>
      <c r="K44" s="30">
        <v>31229</v>
      </c>
      <c r="L44" s="26">
        <v>1985</v>
      </c>
      <c r="M44" s="26">
        <f t="shared" si="0"/>
        <v>34</v>
      </c>
      <c r="N44" s="26" t="s">
        <v>3</v>
      </c>
      <c r="O44" s="26" t="s">
        <v>821</v>
      </c>
      <c r="P44" s="75" t="s">
        <v>831</v>
      </c>
      <c r="Q44" s="26"/>
      <c r="R44" s="75" t="s">
        <v>827</v>
      </c>
    </row>
    <row r="45" spans="2:18" ht="25.5" x14ac:dyDescent="0.25">
      <c r="B45" s="130"/>
      <c r="C45" s="130"/>
      <c r="D45" s="26">
        <v>38</v>
      </c>
      <c r="E45" s="75" t="s">
        <v>380</v>
      </c>
      <c r="F45" s="26" t="s">
        <v>11</v>
      </c>
      <c r="G45" s="26" t="s">
        <v>381</v>
      </c>
      <c r="H45" s="26" t="s">
        <v>7</v>
      </c>
      <c r="I45" s="26" t="s">
        <v>10</v>
      </c>
      <c r="J45" s="75" t="s">
        <v>830</v>
      </c>
      <c r="K45" s="30">
        <v>39858</v>
      </c>
      <c r="L45" s="26">
        <v>2009</v>
      </c>
      <c r="M45" s="26">
        <f t="shared" si="0"/>
        <v>10</v>
      </c>
      <c r="N45" s="26" t="s">
        <v>3</v>
      </c>
      <c r="O45" s="26" t="s">
        <v>821</v>
      </c>
      <c r="P45" s="75" t="s">
        <v>822</v>
      </c>
      <c r="Q45" s="26"/>
      <c r="R45" s="75" t="s">
        <v>825</v>
      </c>
    </row>
    <row r="46" spans="2:18" ht="25.5" x14ac:dyDescent="0.25">
      <c r="B46" s="130"/>
      <c r="C46" s="130"/>
      <c r="D46" s="26">
        <v>39</v>
      </c>
      <c r="E46" s="75" t="s">
        <v>382</v>
      </c>
      <c r="F46" s="26" t="s">
        <v>11</v>
      </c>
      <c r="G46" s="26" t="s">
        <v>383</v>
      </c>
      <c r="H46" s="26" t="s">
        <v>1</v>
      </c>
      <c r="I46" s="26" t="s">
        <v>10</v>
      </c>
      <c r="J46" s="75" t="s">
        <v>830</v>
      </c>
      <c r="K46" s="30">
        <v>41908</v>
      </c>
      <c r="L46" s="26">
        <v>2014</v>
      </c>
      <c r="M46" s="26">
        <f t="shared" si="0"/>
        <v>5</v>
      </c>
      <c r="N46" s="26" t="s">
        <v>3</v>
      </c>
      <c r="O46" s="26" t="s">
        <v>821</v>
      </c>
      <c r="P46" s="75" t="s">
        <v>824</v>
      </c>
      <c r="Q46" s="26"/>
      <c r="R46" s="75" t="s">
        <v>825</v>
      </c>
    </row>
    <row r="47" spans="2:18" ht="25.5" x14ac:dyDescent="0.25">
      <c r="B47" s="132">
        <v>11</v>
      </c>
      <c r="C47" s="132" t="s">
        <v>861</v>
      </c>
      <c r="D47" s="26">
        <v>40</v>
      </c>
      <c r="E47" s="76" t="s">
        <v>384</v>
      </c>
      <c r="F47" s="77" t="s">
        <v>5</v>
      </c>
      <c r="G47" s="77" t="s">
        <v>385</v>
      </c>
      <c r="H47" s="77" t="s">
        <v>1</v>
      </c>
      <c r="I47" s="77" t="s">
        <v>2</v>
      </c>
      <c r="J47" s="75" t="s">
        <v>830</v>
      </c>
      <c r="K47" s="78">
        <v>17715</v>
      </c>
      <c r="L47" s="26">
        <v>1948</v>
      </c>
      <c r="M47" s="26">
        <f t="shared" si="0"/>
        <v>71</v>
      </c>
      <c r="N47" s="77" t="s">
        <v>3</v>
      </c>
      <c r="O47" s="26" t="s">
        <v>821</v>
      </c>
      <c r="P47" s="76" t="s">
        <v>824</v>
      </c>
      <c r="Q47" s="26"/>
      <c r="R47" s="76" t="s">
        <v>826</v>
      </c>
    </row>
    <row r="48" spans="2:18" ht="25.5" x14ac:dyDescent="0.25">
      <c r="B48" s="133"/>
      <c r="C48" s="133"/>
      <c r="D48" s="26">
        <v>41</v>
      </c>
      <c r="E48" s="75" t="s">
        <v>330</v>
      </c>
      <c r="F48" s="26" t="s">
        <v>9</v>
      </c>
      <c r="G48" s="26" t="s">
        <v>386</v>
      </c>
      <c r="H48" s="26" t="s">
        <v>7</v>
      </c>
      <c r="I48" s="26" t="s">
        <v>2</v>
      </c>
      <c r="J48" s="75" t="s">
        <v>830</v>
      </c>
      <c r="K48" s="30">
        <v>21002</v>
      </c>
      <c r="L48" s="26">
        <v>1957</v>
      </c>
      <c r="M48" s="26">
        <f t="shared" si="0"/>
        <v>62</v>
      </c>
      <c r="N48" s="26" t="s">
        <v>3</v>
      </c>
      <c r="O48" s="26" t="s">
        <v>821</v>
      </c>
      <c r="P48" s="75" t="s">
        <v>824</v>
      </c>
      <c r="Q48" s="26"/>
      <c r="R48" s="75" t="s">
        <v>826</v>
      </c>
    </row>
    <row r="49" spans="2:18" ht="25.5" x14ac:dyDescent="0.25">
      <c r="B49" s="133"/>
      <c r="C49" s="133"/>
      <c r="D49" s="26">
        <v>42</v>
      </c>
      <c r="E49" s="75" t="s">
        <v>862</v>
      </c>
      <c r="F49" s="26" t="s">
        <v>11</v>
      </c>
      <c r="G49" s="26" t="s">
        <v>863</v>
      </c>
      <c r="H49" s="26" t="s">
        <v>7</v>
      </c>
      <c r="I49" s="26" t="s">
        <v>10</v>
      </c>
      <c r="J49" s="75" t="s">
        <v>830</v>
      </c>
      <c r="K49" s="30">
        <v>29567</v>
      </c>
      <c r="L49" s="26">
        <v>1980</v>
      </c>
      <c r="M49" s="26">
        <f t="shared" si="0"/>
        <v>39</v>
      </c>
      <c r="N49" s="26" t="s">
        <v>3</v>
      </c>
      <c r="O49" s="26" t="s">
        <v>821</v>
      </c>
      <c r="P49" s="75" t="s">
        <v>823</v>
      </c>
      <c r="Q49" s="26"/>
      <c r="R49" s="75" t="s">
        <v>825</v>
      </c>
    </row>
    <row r="50" spans="2:18" ht="25.5" x14ac:dyDescent="0.25">
      <c r="B50" s="134"/>
      <c r="C50" s="134"/>
      <c r="D50" s="26">
        <v>43</v>
      </c>
      <c r="E50" s="75" t="s">
        <v>387</v>
      </c>
      <c r="F50" s="26" t="s">
        <v>11</v>
      </c>
      <c r="G50" s="26" t="s">
        <v>864</v>
      </c>
      <c r="H50" s="26" t="s">
        <v>1</v>
      </c>
      <c r="I50" s="26" t="s">
        <v>10</v>
      </c>
      <c r="J50" s="75" t="s">
        <v>820</v>
      </c>
      <c r="K50" s="30">
        <v>35562</v>
      </c>
      <c r="L50" s="26">
        <v>1997</v>
      </c>
      <c r="M50" s="26">
        <f t="shared" si="0"/>
        <v>22</v>
      </c>
      <c r="N50" s="26" t="s">
        <v>3</v>
      </c>
      <c r="O50" s="26" t="s">
        <v>821</v>
      </c>
      <c r="P50" s="75" t="s">
        <v>831</v>
      </c>
      <c r="Q50" s="26"/>
      <c r="R50" s="75" t="s">
        <v>828</v>
      </c>
    </row>
    <row r="51" spans="2:18" ht="25.5" x14ac:dyDescent="0.25">
      <c r="B51" s="130">
        <v>12</v>
      </c>
      <c r="C51" s="130" t="s">
        <v>852</v>
      </c>
      <c r="D51" s="26">
        <v>44</v>
      </c>
      <c r="E51" s="75" t="s">
        <v>853</v>
      </c>
      <c r="F51" s="26" t="s">
        <v>5</v>
      </c>
      <c r="G51" s="26" t="s">
        <v>856</v>
      </c>
      <c r="H51" s="26" t="s">
        <v>1</v>
      </c>
      <c r="I51" s="26" t="s">
        <v>2</v>
      </c>
      <c r="J51" s="75" t="s">
        <v>830</v>
      </c>
      <c r="K51" s="30">
        <v>31777</v>
      </c>
      <c r="L51" s="26">
        <v>1986</v>
      </c>
      <c r="M51" s="26">
        <f t="shared" si="0"/>
        <v>33</v>
      </c>
      <c r="N51" s="26" t="s">
        <v>3</v>
      </c>
      <c r="O51" s="26" t="s">
        <v>821</v>
      </c>
      <c r="P51" s="75" t="s">
        <v>860</v>
      </c>
      <c r="Q51" s="26"/>
      <c r="R51" s="75" t="s">
        <v>840</v>
      </c>
    </row>
    <row r="52" spans="2:18" ht="25.5" x14ac:dyDescent="0.25">
      <c r="B52" s="130"/>
      <c r="C52" s="130"/>
      <c r="D52" s="26">
        <v>45</v>
      </c>
      <c r="E52" s="75" t="s">
        <v>388</v>
      </c>
      <c r="F52" s="26" t="s">
        <v>9</v>
      </c>
      <c r="G52" s="26" t="s">
        <v>857</v>
      </c>
      <c r="H52" s="26" t="s">
        <v>7</v>
      </c>
      <c r="I52" s="26" t="s">
        <v>2</v>
      </c>
      <c r="J52" s="75" t="s">
        <v>859</v>
      </c>
      <c r="K52" s="30">
        <v>32690</v>
      </c>
      <c r="L52" s="26">
        <v>1989</v>
      </c>
      <c r="M52" s="26">
        <f t="shared" si="0"/>
        <v>30</v>
      </c>
      <c r="N52" s="26" t="s">
        <v>3</v>
      </c>
      <c r="O52" s="26" t="s">
        <v>821</v>
      </c>
      <c r="P52" s="75" t="s">
        <v>860</v>
      </c>
      <c r="Q52" s="26"/>
      <c r="R52" s="75" t="s">
        <v>827</v>
      </c>
    </row>
    <row r="53" spans="2:18" ht="25.5" x14ac:dyDescent="0.25">
      <c r="B53" s="130"/>
      <c r="C53" s="130"/>
      <c r="D53" s="26">
        <v>46</v>
      </c>
      <c r="E53" s="75" t="s">
        <v>854</v>
      </c>
      <c r="F53" s="26" t="s">
        <v>11</v>
      </c>
      <c r="G53" s="26" t="s">
        <v>389</v>
      </c>
      <c r="H53" s="26" t="s">
        <v>7</v>
      </c>
      <c r="I53" s="26" t="s">
        <v>10</v>
      </c>
      <c r="J53" s="75" t="s">
        <v>851</v>
      </c>
      <c r="K53" s="30">
        <v>40630</v>
      </c>
      <c r="L53" s="26">
        <v>2011</v>
      </c>
      <c r="M53" s="26">
        <f t="shared" si="0"/>
        <v>8</v>
      </c>
      <c r="N53" s="26" t="s">
        <v>3</v>
      </c>
      <c r="O53" s="26" t="s">
        <v>821</v>
      </c>
      <c r="P53" s="75" t="s">
        <v>824</v>
      </c>
      <c r="Q53" s="26"/>
      <c r="R53" s="75" t="s">
        <v>825</v>
      </c>
    </row>
    <row r="54" spans="2:18" ht="25.5" x14ac:dyDescent="0.25">
      <c r="B54" s="130"/>
      <c r="C54" s="130"/>
      <c r="D54" s="26">
        <v>47</v>
      </c>
      <c r="E54" s="75" t="s">
        <v>855</v>
      </c>
      <c r="F54" s="26" t="s">
        <v>11</v>
      </c>
      <c r="G54" s="26" t="s">
        <v>858</v>
      </c>
      <c r="H54" s="26" t="s">
        <v>7</v>
      </c>
      <c r="I54" s="26" t="s">
        <v>10</v>
      </c>
      <c r="J54" s="75" t="s">
        <v>830</v>
      </c>
      <c r="K54" s="30">
        <v>42871</v>
      </c>
      <c r="L54" s="26">
        <v>2017</v>
      </c>
      <c r="M54" s="26">
        <f t="shared" si="0"/>
        <v>2</v>
      </c>
      <c r="N54" s="26" t="s">
        <v>3</v>
      </c>
      <c r="O54" s="26" t="s">
        <v>821</v>
      </c>
      <c r="P54" s="75" t="s">
        <v>824</v>
      </c>
      <c r="Q54" s="26"/>
      <c r="R54" s="75" t="s">
        <v>825</v>
      </c>
    </row>
    <row r="55" spans="2:18" x14ac:dyDescent="0.25">
      <c r="B55" s="130">
        <v>13</v>
      </c>
      <c r="C55" s="130"/>
      <c r="D55" s="26">
        <v>48</v>
      </c>
      <c r="E55" s="75" t="s">
        <v>390</v>
      </c>
      <c r="F55" s="26" t="s">
        <v>5</v>
      </c>
      <c r="G55" s="26" t="s">
        <v>391</v>
      </c>
      <c r="H55" s="26" t="s">
        <v>1</v>
      </c>
      <c r="I55" s="26" t="s">
        <v>2</v>
      </c>
      <c r="J55" s="75"/>
      <c r="K55" s="30">
        <v>28318</v>
      </c>
      <c r="L55" s="26">
        <v>1977</v>
      </c>
      <c r="M55" s="26">
        <f t="shared" si="0"/>
        <v>42</v>
      </c>
      <c r="N55" s="26" t="s">
        <v>3</v>
      </c>
      <c r="O55" s="26"/>
      <c r="P55" s="75" t="s">
        <v>4</v>
      </c>
      <c r="Q55" s="26"/>
      <c r="R55" s="75"/>
    </row>
    <row r="56" spans="2:18" x14ac:dyDescent="0.25">
      <c r="B56" s="130"/>
      <c r="C56" s="130"/>
      <c r="D56" s="26">
        <v>49</v>
      </c>
      <c r="E56" s="75" t="s">
        <v>392</v>
      </c>
      <c r="F56" s="26" t="s">
        <v>9</v>
      </c>
      <c r="G56" s="26"/>
      <c r="H56" s="26" t="s">
        <v>7</v>
      </c>
      <c r="I56" s="26" t="s">
        <v>2</v>
      </c>
      <c r="J56" s="75"/>
      <c r="K56" s="30">
        <v>31717</v>
      </c>
      <c r="L56" s="26">
        <v>1986</v>
      </c>
      <c r="M56" s="26">
        <f t="shared" si="0"/>
        <v>33</v>
      </c>
      <c r="N56" s="26" t="s">
        <v>3</v>
      </c>
      <c r="O56" s="26"/>
      <c r="P56" s="75" t="s">
        <v>4</v>
      </c>
      <c r="Q56" s="26"/>
      <c r="R56" s="75"/>
    </row>
    <row r="57" spans="2:18" x14ac:dyDescent="0.25">
      <c r="B57" s="130"/>
      <c r="C57" s="130"/>
      <c r="D57" s="26">
        <v>50</v>
      </c>
      <c r="E57" s="75" t="s">
        <v>199</v>
      </c>
      <c r="F57" s="26" t="s">
        <v>11</v>
      </c>
      <c r="G57" s="26"/>
      <c r="H57" s="26" t="s">
        <v>1</v>
      </c>
      <c r="I57" s="26" t="s">
        <v>10</v>
      </c>
      <c r="J57" s="75"/>
      <c r="K57" s="30">
        <v>38018</v>
      </c>
      <c r="L57" s="26">
        <v>2004</v>
      </c>
      <c r="M57" s="26">
        <f t="shared" si="0"/>
        <v>15</v>
      </c>
      <c r="N57" s="26" t="s">
        <v>3</v>
      </c>
      <c r="O57" s="26"/>
      <c r="P57" s="75" t="s">
        <v>4</v>
      </c>
      <c r="Q57" s="26"/>
      <c r="R57" s="75"/>
    </row>
    <row r="58" spans="2:18" x14ac:dyDescent="0.25">
      <c r="B58" s="26">
        <v>14</v>
      </c>
      <c r="C58" s="26"/>
      <c r="D58" s="26">
        <v>51</v>
      </c>
      <c r="E58" s="75" t="s">
        <v>393</v>
      </c>
      <c r="F58" s="26" t="s">
        <v>5</v>
      </c>
      <c r="G58" s="26"/>
      <c r="H58" s="26" t="s">
        <v>7</v>
      </c>
      <c r="I58" s="26" t="s">
        <v>39</v>
      </c>
      <c r="J58" s="75"/>
      <c r="K58" s="30">
        <v>23448</v>
      </c>
      <c r="L58" s="26">
        <v>1964</v>
      </c>
      <c r="M58" s="26">
        <f t="shared" si="0"/>
        <v>55</v>
      </c>
      <c r="N58" s="26" t="s">
        <v>3</v>
      </c>
      <c r="O58" s="26"/>
      <c r="P58" s="75" t="s">
        <v>4</v>
      </c>
      <c r="Q58" s="26"/>
      <c r="R58" s="75"/>
    </row>
    <row r="59" spans="2:18" ht="25.5" x14ac:dyDescent="0.25">
      <c r="B59" s="130">
        <v>15</v>
      </c>
      <c r="C59" s="130" t="s">
        <v>878</v>
      </c>
      <c r="D59" s="26">
        <v>52</v>
      </c>
      <c r="E59" s="75" t="s">
        <v>879</v>
      </c>
      <c r="F59" s="26" t="s">
        <v>5</v>
      </c>
      <c r="G59" s="26" t="s">
        <v>394</v>
      </c>
      <c r="H59" s="26" t="s">
        <v>1</v>
      </c>
      <c r="I59" s="26" t="s">
        <v>2</v>
      </c>
      <c r="J59" s="75" t="s">
        <v>830</v>
      </c>
      <c r="K59" s="30">
        <v>23193</v>
      </c>
      <c r="L59" s="26">
        <v>1963</v>
      </c>
      <c r="M59" s="26">
        <f t="shared" si="0"/>
        <v>56</v>
      </c>
      <c r="N59" s="26" t="s">
        <v>3</v>
      </c>
      <c r="O59" s="26" t="s">
        <v>821</v>
      </c>
      <c r="P59" s="75" t="s">
        <v>824</v>
      </c>
      <c r="Q59" s="26"/>
      <c r="R59" s="75" t="s">
        <v>840</v>
      </c>
    </row>
    <row r="60" spans="2:18" ht="25.5" x14ac:dyDescent="0.25">
      <c r="B60" s="130"/>
      <c r="C60" s="130"/>
      <c r="D60" s="26">
        <v>53</v>
      </c>
      <c r="E60" s="75" t="s">
        <v>395</v>
      </c>
      <c r="F60" s="26" t="s">
        <v>9</v>
      </c>
      <c r="G60" s="26" t="s">
        <v>396</v>
      </c>
      <c r="H60" s="26" t="s">
        <v>7</v>
      </c>
      <c r="I60" s="26" t="s">
        <v>2</v>
      </c>
      <c r="J60" s="75" t="s">
        <v>830</v>
      </c>
      <c r="K60" s="30">
        <v>25385</v>
      </c>
      <c r="L60" s="26">
        <v>1969</v>
      </c>
      <c r="M60" s="26">
        <f t="shared" si="0"/>
        <v>50</v>
      </c>
      <c r="N60" s="26" t="s">
        <v>3</v>
      </c>
      <c r="O60" s="26" t="s">
        <v>821</v>
      </c>
      <c r="P60" s="75" t="s">
        <v>822</v>
      </c>
      <c r="Q60" s="26"/>
      <c r="R60" s="75" t="s">
        <v>840</v>
      </c>
    </row>
    <row r="61" spans="2:18" ht="25.5" x14ac:dyDescent="0.25">
      <c r="B61" s="130"/>
      <c r="C61" s="130"/>
      <c r="D61" s="26">
        <v>54</v>
      </c>
      <c r="E61" s="75" t="s">
        <v>397</v>
      </c>
      <c r="F61" s="26" t="s">
        <v>11</v>
      </c>
      <c r="G61" s="26" t="s">
        <v>398</v>
      </c>
      <c r="H61" s="26" t="s">
        <v>7</v>
      </c>
      <c r="I61" s="26" t="s">
        <v>10</v>
      </c>
      <c r="J61" s="75" t="s">
        <v>830</v>
      </c>
      <c r="K61" s="30">
        <v>34539</v>
      </c>
      <c r="L61" s="26">
        <v>1994</v>
      </c>
      <c r="M61" s="26">
        <f t="shared" si="0"/>
        <v>25</v>
      </c>
      <c r="N61" s="26" t="s">
        <v>3</v>
      </c>
      <c r="O61" s="26" t="s">
        <v>821</v>
      </c>
      <c r="P61" s="75" t="s">
        <v>831</v>
      </c>
      <c r="Q61" s="26"/>
      <c r="R61" s="75" t="s">
        <v>828</v>
      </c>
    </row>
    <row r="62" spans="2:18" ht="25.5" x14ac:dyDescent="0.25">
      <c r="B62" s="130">
        <v>16</v>
      </c>
      <c r="C62" s="130" t="s">
        <v>865</v>
      </c>
      <c r="D62" s="26">
        <v>55</v>
      </c>
      <c r="E62" s="75" t="s">
        <v>399</v>
      </c>
      <c r="F62" s="26" t="s">
        <v>5</v>
      </c>
      <c r="G62" s="26" t="s">
        <v>400</v>
      </c>
      <c r="H62" s="26" t="s">
        <v>1</v>
      </c>
      <c r="I62" s="26" t="s">
        <v>2</v>
      </c>
      <c r="J62" s="75" t="s">
        <v>839</v>
      </c>
      <c r="K62" s="30">
        <v>33364</v>
      </c>
      <c r="L62" s="26">
        <v>1991</v>
      </c>
      <c r="M62" s="26">
        <f t="shared" si="0"/>
        <v>28</v>
      </c>
      <c r="N62" s="26" t="s">
        <v>3</v>
      </c>
      <c r="O62" s="26" t="s">
        <v>821</v>
      </c>
      <c r="P62" s="75" t="s">
        <v>831</v>
      </c>
      <c r="Q62" s="26"/>
      <c r="R62" s="75" t="s">
        <v>868</v>
      </c>
    </row>
    <row r="63" spans="2:18" ht="25.5" x14ac:dyDescent="0.25">
      <c r="B63" s="130"/>
      <c r="C63" s="130"/>
      <c r="D63" s="26">
        <v>56</v>
      </c>
      <c r="E63" s="75" t="s">
        <v>866</v>
      </c>
      <c r="F63" s="26" t="s">
        <v>35</v>
      </c>
      <c r="G63" s="26" t="s">
        <v>401</v>
      </c>
      <c r="H63" s="26" t="s">
        <v>7</v>
      </c>
      <c r="I63" s="26" t="s">
        <v>2</v>
      </c>
      <c r="J63" s="75" t="s">
        <v>867</v>
      </c>
      <c r="K63" s="30">
        <v>32325</v>
      </c>
      <c r="L63" s="26">
        <v>1988</v>
      </c>
      <c r="M63" s="26">
        <f t="shared" si="0"/>
        <v>31</v>
      </c>
      <c r="N63" s="26" t="s">
        <v>3</v>
      </c>
      <c r="O63" s="26" t="s">
        <v>821</v>
      </c>
      <c r="P63" s="75" t="s">
        <v>824</v>
      </c>
      <c r="Q63" s="26"/>
      <c r="R63" s="75" t="s">
        <v>826</v>
      </c>
    </row>
    <row r="64" spans="2:18" ht="25.5" x14ac:dyDescent="0.25">
      <c r="B64" s="130">
        <v>17</v>
      </c>
      <c r="C64" s="130"/>
      <c r="D64" s="26">
        <v>57</v>
      </c>
      <c r="E64" s="75" t="s">
        <v>402</v>
      </c>
      <c r="F64" s="26" t="s">
        <v>5</v>
      </c>
      <c r="G64" s="26" t="s">
        <v>403</v>
      </c>
      <c r="H64" s="26" t="s">
        <v>1</v>
      </c>
      <c r="I64" s="26" t="s">
        <v>2</v>
      </c>
      <c r="J64" s="75" t="s">
        <v>839</v>
      </c>
      <c r="K64" s="30">
        <v>27576</v>
      </c>
      <c r="L64" s="26">
        <v>1975</v>
      </c>
      <c r="M64" s="26">
        <f t="shared" si="0"/>
        <v>44</v>
      </c>
      <c r="N64" s="26" t="s">
        <v>3</v>
      </c>
      <c r="O64" s="26" t="s">
        <v>821</v>
      </c>
      <c r="P64" s="75" t="s">
        <v>823</v>
      </c>
      <c r="Q64" s="26"/>
      <c r="R64" s="75" t="s">
        <v>826</v>
      </c>
    </row>
    <row r="65" spans="2:18" ht="25.5" x14ac:dyDescent="0.25">
      <c r="B65" s="130"/>
      <c r="C65" s="130"/>
      <c r="D65" s="26">
        <v>58</v>
      </c>
      <c r="E65" s="75" t="s">
        <v>71</v>
      </c>
      <c r="F65" s="26" t="s">
        <v>9</v>
      </c>
      <c r="G65" s="26" t="s">
        <v>404</v>
      </c>
      <c r="H65" s="26" t="s">
        <v>7</v>
      </c>
      <c r="I65" s="26" t="s">
        <v>2</v>
      </c>
      <c r="J65" s="75" t="s">
        <v>872</v>
      </c>
      <c r="K65" s="30">
        <v>26846</v>
      </c>
      <c r="L65" s="26">
        <v>1973</v>
      </c>
      <c r="M65" s="26">
        <f t="shared" si="0"/>
        <v>46</v>
      </c>
      <c r="N65" s="26" t="s">
        <v>3</v>
      </c>
      <c r="O65" s="26" t="s">
        <v>821</v>
      </c>
      <c r="P65" s="75" t="s">
        <v>1276</v>
      </c>
      <c r="Q65" s="26"/>
      <c r="R65" s="75" t="s">
        <v>840</v>
      </c>
    </row>
    <row r="66" spans="2:18" ht="25.5" x14ac:dyDescent="0.25">
      <c r="B66" s="130"/>
      <c r="C66" s="130"/>
      <c r="D66" s="26">
        <v>59</v>
      </c>
      <c r="E66" s="75" t="s">
        <v>405</v>
      </c>
      <c r="F66" s="26" t="s">
        <v>11</v>
      </c>
      <c r="G66" s="26" t="s">
        <v>406</v>
      </c>
      <c r="H66" s="26" t="s">
        <v>1</v>
      </c>
      <c r="I66" s="26" t="s">
        <v>129</v>
      </c>
      <c r="J66" s="75" t="s">
        <v>1277</v>
      </c>
      <c r="K66" s="30">
        <v>33151</v>
      </c>
      <c r="L66" s="26">
        <v>1990</v>
      </c>
      <c r="M66" s="26">
        <f t="shared" si="0"/>
        <v>29</v>
      </c>
      <c r="N66" s="26" t="s">
        <v>3</v>
      </c>
      <c r="O66" s="26" t="s">
        <v>821</v>
      </c>
      <c r="P66" s="75" t="s">
        <v>823</v>
      </c>
      <c r="Q66" s="26"/>
      <c r="R66" s="75" t="s">
        <v>826</v>
      </c>
    </row>
    <row r="67" spans="2:18" ht="25.5" x14ac:dyDescent="0.25">
      <c r="B67" s="130"/>
      <c r="C67" s="130"/>
      <c r="D67" s="26">
        <v>60</v>
      </c>
      <c r="E67" s="75" t="s">
        <v>407</v>
      </c>
      <c r="F67" s="26" t="s">
        <v>11</v>
      </c>
      <c r="G67" s="26" t="s">
        <v>408</v>
      </c>
      <c r="H67" s="26" t="s">
        <v>1</v>
      </c>
      <c r="I67" s="26" t="s">
        <v>10</v>
      </c>
      <c r="J67" s="75" t="s">
        <v>839</v>
      </c>
      <c r="K67" s="30">
        <v>37150</v>
      </c>
      <c r="L67" s="26">
        <v>2001</v>
      </c>
      <c r="M67" s="26">
        <f t="shared" si="0"/>
        <v>18</v>
      </c>
      <c r="N67" s="26" t="s">
        <v>3</v>
      </c>
      <c r="O67" s="26" t="s">
        <v>821</v>
      </c>
      <c r="P67" s="75" t="s">
        <v>823</v>
      </c>
      <c r="Q67" s="26"/>
      <c r="R67" s="75" t="s">
        <v>825</v>
      </c>
    </row>
    <row r="68" spans="2:18" ht="25.5" x14ac:dyDescent="0.25">
      <c r="B68" s="130"/>
      <c r="C68" s="130"/>
      <c r="D68" s="26">
        <v>61</v>
      </c>
      <c r="E68" s="75" t="s">
        <v>409</v>
      </c>
      <c r="F68" s="26" t="s">
        <v>11</v>
      </c>
      <c r="G68" s="26" t="s">
        <v>410</v>
      </c>
      <c r="H68" s="26" t="s">
        <v>7</v>
      </c>
      <c r="I68" s="26" t="s">
        <v>10</v>
      </c>
      <c r="J68" s="75" t="s">
        <v>1278</v>
      </c>
      <c r="K68" s="30">
        <v>39003</v>
      </c>
      <c r="L68" s="26">
        <v>2006</v>
      </c>
      <c r="M68" s="26">
        <f t="shared" si="0"/>
        <v>13</v>
      </c>
      <c r="N68" s="26" t="s">
        <v>3</v>
      </c>
      <c r="O68" s="26" t="s">
        <v>821</v>
      </c>
      <c r="P68" s="75" t="s">
        <v>823</v>
      </c>
      <c r="Q68" s="26"/>
      <c r="R68" s="75" t="s">
        <v>825</v>
      </c>
    </row>
    <row r="69" spans="2:18" x14ac:dyDescent="0.25">
      <c r="B69" s="26">
        <v>18</v>
      </c>
      <c r="C69" s="26"/>
      <c r="D69" s="26">
        <v>62</v>
      </c>
      <c r="E69" s="75" t="s">
        <v>411</v>
      </c>
      <c r="F69" s="26" t="s">
        <v>5</v>
      </c>
      <c r="G69" s="26"/>
      <c r="H69" s="26" t="s">
        <v>7</v>
      </c>
      <c r="I69" s="26" t="s">
        <v>39</v>
      </c>
      <c r="J69" s="75"/>
      <c r="K69" s="30">
        <v>20271</v>
      </c>
      <c r="L69" s="26">
        <v>1955</v>
      </c>
      <c r="M69" s="26">
        <f t="shared" si="0"/>
        <v>64</v>
      </c>
      <c r="N69" s="26" t="s">
        <v>3</v>
      </c>
      <c r="O69" s="26"/>
      <c r="P69" s="75" t="s">
        <v>4</v>
      </c>
      <c r="Q69" s="26"/>
      <c r="R69" s="75"/>
    </row>
    <row r="70" spans="2:18" ht="25.5" x14ac:dyDescent="0.25">
      <c r="B70" s="130">
        <v>19</v>
      </c>
      <c r="C70" s="130" t="s">
        <v>882</v>
      </c>
      <c r="D70" s="26">
        <v>63</v>
      </c>
      <c r="E70" s="75" t="s">
        <v>412</v>
      </c>
      <c r="F70" s="26" t="s">
        <v>5</v>
      </c>
      <c r="G70" s="26" t="s">
        <v>413</v>
      </c>
      <c r="H70" s="26" t="s">
        <v>7</v>
      </c>
      <c r="I70" s="26" t="s">
        <v>883</v>
      </c>
      <c r="J70" s="75" t="s">
        <v>820</v>
      </c>
      <c r="K70" s="30">
        <v>27394</v>
      </c>
      <c r="L70" s="26">
        <v>1974</v>
      </c>
      <c r="M70" s="26">
        <f t="shared" si="0"/>
        <v>45</v>
      </c>
      <c r="N70" s="26" t="s">
        <v>3</v>
      </c>
      <c r="O70" s="26" t="s">
        <v>821</v>
      </c>
      <c r="P70" s="75" t="s">
        <v>823</v>
      </c>
      <c r="Q70" s="26"/>
      <c r="R70" s="75" t="s">
        <v>840</v>
      </c>
    </row>
    <row r="71" spans="2:18" ht="25.5" x14ac:dyDescent="0.25">
      <c r="B71" s="130"/>
      <c r="C71" s="130"/>
      <c r="D71" s="26">
        <v>64</v>
      </c>
      <c r="E71" s="75" t="s">
        <v>61</v>
      </c>
      <c r="F71" s="26" t="s">
        <v>11</v>
      </c>
      <c r="G71" s="26" t="s">
        <v>414</v>
      </c>
      <c r="H71" s="26" t="s">
        <v>1</v>
      </c>
      <c r="I71" s="26" t="s">
        <v>10</v>
      </c>
      <c r="J71" s="75" t="s">
        <v>839</v>
      </c>
      <c r="K71" s="30">
        <v>35106</v>
      </c>
      <c r="L71" s="26">
        <v>1996</v>
      </c>
      <c r="M71" s="26">
        <f t="shared" si="0"/>
        <v>23</v>
      </c>
      <c r="N71" s="26" t="s">
        <v>3</v>
      </c>
      <c r="O71" s="26" t="s">
        <v>821</v>
      </c>
      <c r="P71" s="75" t="s">
        <v>860</v>
      </c>
      <c r="Q71" s="26"/>
      <c r="R71" s="75" t="s">
        <v>54</v>
      </c>
    </row>
    <row r="72" spans="2:18" ht="25.5" x14ac:dyDescent="0.25">
      <c r="B72" s="130"/>
      <c r="C72" s="130"/>
      <c r="D72" s="26">
        <v>65</v>
      </c>
      <c r="E72" s="75" t="s">
        <v>415</v>
      </c>
      <c r="F72" s="26" t="s">
        <v>11</v>
      </c>
      <c r="G72" s="26" t="s">
        <v>416</v>
      </c>
      <c r="H72" s="26" t="s">
        <v>1</v>
      </c>
      <c r="I72" s="26" t="s">
        <v>10</v>
      </c>
      <c r="J72" s="75" t="s">
        <v>820</v>
      </c>
      <c r="K72" s="30">
        <v>35989</v>
      </c>
      <c r="L72" s="26">
        <v>1998</v>
      </c>
      <c r="M72" s="26">
        <f t="shared" si="0"/>
        <v>21</v>
      </c>
      <c r="N72" s="26" t="s">
        <v>3</v>
      </c>
      <c r="O72" s="26" t="s">
        <v>821</v>
      </c>
      <c r="P72" s="75" t="s">
        <v>831</v>
      </c>
      <c r="Q72" s="26"/>
      <c r="R72" s="75" t="s">
        <v>828</v>
      </c>
    </row>
    <row r="73" spans="2:18" ht="25.5" x14ac:dyDescent="0.25">
      <c r="B73" s="130"/>
      <c r="C73" s="130"/>
      <c r="D73" s="26">
        <v>66</v>
      </c>
      <c r="E73" s="75" t="s">
        <v>417</v>
      </c>
      <c r="F73" s="26" t="s">
        <v>11</v>
      </c>
      <c r="G73" s="26" t="s">
        <v>418</v>
      </c>
      <c r="H73" s="26" t="s">
        <v>7</v>
      </c>
      <c r="I73" s="26" t="s">
        <v>10</v>
      </c>
      <c r="J73" s="75" t="s">
        <v>820</v>
      </c>
      <c r="K73" s="30">
        <v>40484</v>
      </c>
      <c r="L73" s="26">
        <v>2010</v>
      </c>
      <c r="M73" s="26">
        <f t="shared" ref="M73:M138" si="1">2019-L73</f>
        <v>9</v>
      </c>
      <c r="N73" s="26" t="s">
        <v>3</v>
      </c>
      <c r="O73" s="26" t="s">
        <v>821</v>
      </c>
      <c r="P73" s="75" t="s">
        <v>824</v>
      </c>
      <c r="Q73" s="26"/>
      <c r="R73" s="75" t="s">
        <v>825</v>
      </c>
    </row>
    <row r="74" spans="2:18" ht="25.5" x14ac:dyDescent="0.25">
      <c r="B74" s="130">
        <v>20</v>
      </c>
      <c r="C74" s="130" t="s">
        <v>884</v>
      </c>
      <c r="D74" s="26">
        <v>67</v>
      </c>
      <c r="E74" s="75" t="s">
        <v>419</v>
      </c>
      <c r="F74" s="26" t="s">
        <v>5</v>
      </c>
      <c r="G74" s="26" t="s">
        <v>889</v>
      </c>
      <c r="H74" s="26" t="s">
        <v>1</v>
      </c>
      <c r="I74" s="26" t="s">
        <v>2</v>
      </c>
      <c r="J74" s="75" t="s">
        <v>820</v>
      </c>
      <c r="K74" s="30">
        <v>25020</v>
      </c>
      <c r="L74" s="26">
        <v>1968</v>
      </c>
      <c r="M74" s="26">
        <f t="shared" si="1"/>
        <v>51</v>
      </c>
      <c r="N74" s="26" t="s">
        <v>3</v>
      </c>
      <c r="O74" s="26" t="s">
        <v>821</v>
      </c>
      <c r="P74" s="75" t="s">
        <v>823</v>
      </c>
      <c r="Q74" s="26"/>
      <c r="R74" s="75" t="s">
        <v>877</v>
      </c>
    </row>
    <row r="75" spans="2:18" ht="25.5" x14ac:dyDescent="0.25">
      <c r="B75" s="130"/>
      <c r="C75" s="130"/>
      <c r="D75" s="26">
        <v>68</v>
      </c>
      <c r="E75" s="75" t="s">
        <v>885</v>
      </c>
      <c r="F75" s="26" t="s">
        <v>9</v>
      </c>
      <c r="G75" s="26" t="s">
        <v>890</v>
      </c>
      <c r="H75" s="26" t="s">
        <v>7</v>
      </c>
      <c r="I75" s="26" t="s">
        <v>2</v>
      </c>
      <c r="J75" s="75" t="s">
        <v>895</v>
      </c>
      <c r="K75" s="30">
        <v>26481</v>
      </c>
      <c r="L75" s="26">
        <v>1972</v>
      </c>
      <c r="M75" s="26">
        <f t="shared" si="1"/>
        <v>47</v>
      </c>
      <c r="N75" s="26" t="s">
        <v>3</v>
      </c>
      <c r="O75" s="26" t="s">
        <v>821</v>
      </c>
      <c r="P75" s="75" t="s">
        <v>822</v>
      </c>
      <c r="Q75" s="26"/>
      <c r="R75" s="75" t="s">
        <v>877</v>
      </c>
    </row>
    <row r="76" spans="2:18" ht="25.5" x14ac:dyDescent="0.25">
      <c r="B76" s="130"/>
      <c r="C76" s="130"/>
      <c r="D76" s="26">
        <v>69</v>
      </c>
      <c r="E76" s="75" t="s">
        <v>886</v>
      </c>
      <c r="F76" s="26" t="s">
        <v>11</v>
      </c>
      <c r="G76" s="26" t="s">
        <v>891</v>
      </c>
      <c r="H76" s="26" t="s">
        <v>7</v>
      </c>
      <c r="I76" s="26" t="s">
        <v>10</v>
      </c>
      <c r="J76" s="75" t="s">
        <v>820</v>
      </c>
      <c r="K76" s="30">
        <v>35422</v>
      </c>
      <c r="L76" s="26">
        <v>1996</v>
      </c>
      <c r="M76" s="26">
        <f t="shared" si="1"/>
        <v>23</v>
      </c>
      <c r="N76" s="26" t="s">
        <v>3</v>
      </c>
      <c r="O76" s="26" t="s">
        <v>821</v>
      </c>
      <c r="P76" s="75" t="s">
        <v>831</v>
      </c>
      <c r="Q76" s="26"/>
      <c r="R76" s="75" t="s">
        <v>825</v>
      </c>
    </row>
    <row r="77" spans="2:18" ht="25.5" x14ac:dyDescent="0.25">
      <c r="B77" s="130"/>
      <c r="C77" s="130"/>
      <c r="D77" s="26">
        <v>70</v>
      </c>
      <c r="E77" s="75" t="s">
        <v>887</v>
      </c>
      <c r="F77" s="26" t="s">
        <v>11</v>
      </c>
      <c r="G77" s="26" t="s">
        <v>892</v>
      </c>
      <c r="H77" s="26" t="s">
        <v>7</v>
      </c>
      <c r="I77" s="26" t="s">
        <v>10</v>
      </c>
      <c r="J77" s="75" t="s">
        <v>820</v>
      </c>
      <c r="K77" s="30">
        <v>36223</v>
      </c>
      <c r="L77" s="26">
        <v>1999</v>
      </c>
      <c r="M77" s="26">
        <f t="shared" si="1"/>
        <v>20</v>
      </c>
      <c r="N77" s="26" t="s">
        <v>3</v>
      </c>
      <c r="O77" s="26" t="s">
        <v>821</v>
      </c>
      <c r="P77" s="75" t="s">
        <v>822</v>
      </c>
      <c r="Q77" s="26"/>
      <c r="R77" s="75" t="s">
        <v>828</v>
      </c>
    </row>
    <row r="78" spans="2:18" ht="25.5" x14ac:dyDescent="0.25">
      <c r="B78" s="130"/>
      <c r="C78" s="130"/>
      <c r="D78" s="26">
        <v>71</v>
      </c>
      <c r="E78" s="75" t="s">
        <v>888</v>
      </c>
      <c r="F78" s="26" t="s">
        <v>894</v>
      </c>
      <c r="G78" s="26" t="s">
        <v>893</v>
      </c>
      <c r="H78" s="26" t="s">
        <v>7</v>
      </c>
      <c r="I78" s="26" t="s">
        <v>10</v>
      </c>
      <c r="J78" s="75" t="s">
        <v>820</v>
      </c>
      <c r="K78" s="30">
        <v>30850</v>
      </c>
      <c r="L78" s="26">
        <v>1984</v>
      </c>
      <c r="M78" s="26">
        <f t="shared" si="1"/>
        <v>35</v>
      </c>
      <c r="N78" s="26" t="s">
        <v>3</v>
      </c>
      <c r="O78" s="26" t="s">
        <v>821</v>
      </c>
      <c r="P78" s="75" t="s">
        <v>824</v>
      </c>
      <c r="Q78" s="26"/>
      <c r="R78" s="75" t="s">
        <v>54</v>
      </c>
    </row>
    <row r="79" spans="2:18" x14ac:dyDescent="0.25">
      <c r="B79" s="26">
        <v>21</v>
      </c>
      <c r="C79" s="26"/>
      <c r="D79" s="26">
        <v>72</v>
      </c>
      <c r="E79" s="75" t="s">
        <v>420</v>
      </c>
      <c r="F79" s="26" t="s">
        <v>5</v>
      </c>
      <c r="G79" s="26"/>
      <c r="H79" s="26" t="s">
        <v>1</v>
      </c>
      <c r="I79" s="26" t="s">
        <v>421</v>
      </c>
      <c r="J79" s="75"/>
      <c r="K79" s="30">
        <v>16650</v>
      </c>
      <c r="L79" s="26">
        <v>1955</v>
      </c>
      <c r="M79" s="26">
        <f t="shared" si="1"/>
        <v>64</v>
      </c>
      <c r="N79" s="26" t="s">
        <v>3</v>
      </c>
      <c r="O79" s="26"/>
      <c r="P79" s="75" t="s">
        <v>4</v>
      </c>
      <c r="Q79" s="26"/>
      <c r="R79" s="75"/>
    </row>
    <row r="80" spans="2:18" x14ac:dyDescent="0.25">
      <c r="B80" s="26">
        <v>22</v>
      </c>
      <c r="C80" s="26"/>
      <c r="D80" s="26">
        <v>73</v>
      </c>
      <c r="E80" s="75" t="s">
        <v>422</v>
      </c>
      <c r="F80" s="26" t="s">
        <v>5</v>
      </c>
      <c r="G80" s="26"/>
      <c r="H80" s="26" t="s">
        <v>7</v>
      </c>
      <c r="I80" s="26" t="s">
        <v>39</v>
      </c>
      <c r="J80" s="75"/>
      <c r="K80" s="30">
        <v>16620</v>
      </c>
      <c r="L80" s="26">
        <v>1945</v>
      </c>
      <c r="M80" s="26">
        <f t="shared" si="1"/>
        <v>74</v>
      </c>
      <c r="N80" s="26" t="s">
        <v>3</v>
      </c>
      <c r="O80" s="26"/>
      <c r="P80" s="75" t="s">
        <v>4</v>
      </c>
      <c r="Q80" s="26"/>
      <c r="R80" s="75"/>
    </row>
    <row r="81" spans="2:18" x14ac:dyDescent="0.25">
      <c r="B81" s="130">
        <v>23</v>
      </c>
      <c r="C81" s="130" t="s">
        <v>1840</v>
      </c>
      <c r="D81" s="26">
        <v>74</v>
      </c>
      <c r="E81" s="75" t="s">
        <v>423</v>
      </c>
      <c r="F81" s="26" t="s">
        <v>5</v>
      </c>
      <c r="G81" s="26" t="s">
        <v>424</v>
      </c>
      <c r="H81" s="26" t="s">
        <v>1</v>
      </c>
      <c r="I81" s="26" t="s">
        <v>2</v>
      </c>
      <c r="J81" s="75" t="s">
        <v>820</v>
      </c>
      <c r="K81" s="30">
        <v>31409</v>
      </c>
      <c r="L81" s="26">
        <v>1985</v>
      </c>
      <c r="M81" s="26">
        <f t="shared" si="1"/>
        <v>34</v>
      </c>
      <c r="N81" s="26" t="s">
        <v>3</v>
      </c>
      <c r="O81" s="26" t="s">
        <v>821</v>
      </c>
      <c r="P81" s="75" t="s">
        <v>860</v>
      </c>
      <c r="Q81" s="26"/>
      <c r="R81" s="75" t="s">
        <v>54</v>
      </c>
    </row>
    <row r="82" spans="2:18" ht="25.5" x14ac:dyDescent="0.25">
      <c r="B82" s="130"/>
      <c r="C82" s="130"/>
      <c r="D82" s="26">
        <v>75</v>
      </c>
      <c r="E82" s="75" t="s">
        <v>425</v>
      </c>
      <c r="F82" s="26" t="s">
        <v>9</v>
      </c>
      <c r="G82" s="26" t="s">
        <v>427</v>
      </c>
      <c r="H82" s="26" t="s">
        <v>426</v>
      </c>
      <c r="I82" s="26" t="s">
        <v>2</v>
      </c>
      <c r="J82" s="75" t="s">
        <v>820</v>
      </c>
      <c r="K82" s="30">
        <v>31979</v>
      </c>
      <c r="L82" s="26">
        <v>1987</v>
      </c>
      <c r="M82" s="26">
        <f t="shared" si="1"/>
        <v>32</v>
      </c>
      <c r="N82" s="26" t="s">
        <v>3</v>
      </c>
      <c r="O82" s="26" t="s">
        <v>821</v>
      </c>
      <c r="P82" s="75" t="s">
        <v>860</v>
      </c>
      <c r="Q82" s="26"/>
      <c r="R82" s="75" t="s">
        <v>827</v>
      </c>
    </row>
    <row r="83" spans="2:18" ht="25.5" x14ac:dyDescent="0.25">
      <c r="B83" s="130"/>
      <c r="C83" s="130"/>
      <c r="D83" s="26">
        <v>76</v>
      </c>
      <c r="E83" s="75" t="s">
        <v>1839</v>
      </c>
      <c r="F83" s="26" t="s">
        <v>11</v>
      </c>
      <c r="G83" s="26" t="s">
        <v>428</v>
      </c>
      <c r="H83" s="26" t="s">
        <v>1</v>
      </c>
      <c r="I83" s="26" t="s">
        <v>10</v>
      </c>
      <c r="J83" s="75" t="s">
        <v>820</v>
      </c>
      <c r="K83" s="30">
        <v>40944</v>
      </c>
      <c r="L83" s="26">
        <v>2012</v>
      </c>
      <c r="M83" s="26">
        <f t="shared" si="1"/>
        <v>7</v>
      </c>
      <c r="N83" s="26" t="s">
        <v>3</v>
      </c>
      <c r="O83" s="26" t="s">
        <v>821</v>
      </c>
      <c r="P83" s="75" t="s">
        <v>824</v>
      </c>
      <c r="Q83" s="26"/>
      <c r="R83" s="75" t="s">
        <v>825</v>
      </c>
    </row>
    <row r="84" spans="2:18" x14ac:dyDescent="0.25">
      <c r="B84" s="130">
        <v>24</v>
      </c>
      <c r="C84" s="130"/>
      <c r="D84" s="26">
        <v>77</v>
      </c>
      <c r="E84" s="75" t="s">
        <v>429</v>
      </c>
      <c r="F84" s="26" t="s">
        <v>5</v>
      </c>
      <c r="G84" s="26" t="s">
        <v>430</v>
      </c>
      <c r="H84" s="26" t="s">
        <v>1</v>
      </c>
      <c r="I84" s="26" t="s">
        <v>2</v>
      </c>
      <c r="J84" s="75"/>
      <c r="K84" s="30">
        <v>20454</v>
      </c>
      <c r="L84" s="26">
        <v>1955</v>
      </c>
      <c r="M84" s="26">
        <f t="shared" si="1"/>
        <v>64</v>
      </c>
      <c r="N84" s="26" t="s">
        <v>3</v>
      </c>
      <c r="O84" s="26"/>
      <c r="P84" s="75" t="s">
        <v>21</v>
      </c>
      <c r="Q84" s="26"/>
      <c r="R84" s="75"/>
    </row>
    <row r="85" spans="2:18" x14ac:dyDescent="0.25">
      <c r="B85" s="130"/>
      <c r="C85" s="130"/>
      <c r="D85" s="26">
        <v>78</v>
      </c>
      <c r="E85" s="75" t="s">
        <v>330</v>
      </c>
      <c r="F85" s="26" t="s">
        <v>9</v>
      </c>
      <c r="G85" s="26" t="s">
        <v>431</v>
      </c>
      <c r="H85" s="26" t="s">
        <v>7</v>
      </c>
      <c r="I85" s="26" t="s">
        <v>2</v>
      </c>
      <c r="J85" s="75"/>
      <c r="K85" s="30">
        <v>21185</v>
      </c>
      <c r="L85" s="26">
        <v>1957</v>
      </c>
      <c r="M85" s="26">
        <f t="shared" si="1"/>
        <v>62</v>
      </c>
      <c r="N85" s="26" t="s">
        <v>3</v>
      </c>
      <c r="O85" s="26"/>
      <c r="P85" s="75" t="s">
        <v>13</v>
      </c>
      <c r="Q85" s="26"/>
      <c r="R85" s="75"/>
    </row>
    <row r="86" spans="2:18" x14ac:dyDescent="0.25">
      <c r="B86" s="130"/>
      <c r="C86" s="130"/>
      <c r="D86" s="26">
        <v>79</v>
      </c>
      <c r="E86" s="75" t="s">
        <v>432</v>
      </c>
      <c r="F86" s="26" t="s">
        <v>11</v>
      </c>
      <c r="G86" s="26" t="s">
        <v>433</v>
      </c>
      <c r="H86" s="26" t="s">
        <v>7</v>
      </c>
      <c r="I86" s="26" t="s">
        <v>10</v>
      </c>
      <c r="J86" s="75"/>
      <c r="K86" s="30">
        <v>36160</v>
      </c>
      <c r="L86" s="26">
        <v>1998</v>
      </c>
      <c r="M86" s="26">
        <f t="shared" si="1"/>
        <v>21</v>
      </c>
      <c r="N86" s="26" t="s">
        <v>3</v>
      </c>
      <c r="O86" s="26"/>
      <c r="P86" s="75" t="s">
        <v>21</v>
      </c>
      <c r="Q86" s="26"/>
      <c r="R86" s="75"/>
    </row>
    <row r="87" spans="2:18" x14ac:dyDescent="0.25">
      <c r="B87" s="130"/>
      <c r="C87" s="130"/>
      <c r="D87" s="26">
        <v>80</v>
      </c>
      <c r="E87" s="75" t="s">
        <v>434</v>
      </c>
      <c r="F87" s="26" t="s">
        <v>11</v>
      </c>
      <c r="G87" s="26" t="s">
        <v>435</v>
      </c>
      <c r="H87" s="26" t="s">
        <v>7</v>
      </c>
      <c r="I87" s="26" t="s">
        <v>10</v>
      </c>
      <c r="J87" s="75"/>
      <c r="K87" s="30">
        <v>36891</v>
      </c>
      <c r="L87" s="26">
        <v>2000</v>
      </c>
      <c r="M87" s="26">
        <f t="shared" si="1"/>
        <v>19</v>
      </c>
      <c r="N87" s="26" t="s">
        <v>3</v>
      </c>
      <c r="O87" s="26"/>
      <c r="P87" s="75" t="s">
        <v>13</v>
      </c>
      <c r="Q87" s="26"/>
      <c r="R87" s="75"/>
    </row>
    <row r="88" spans="2:18" x14ac:dyDescent="0.25">
      <c r="B88" s="130">
        <v>25</v>
      </c>
      <c r="C88" s="130"/>
      <c r="D88" s="26">
        <v>81</v>
      </c>
      <c r="E88" s="75" t="s">
        <v>196</v>
      </c>
      <c r="F88" s="26" t="s">
        <v>5</v>
      </c>
      <c r="G88" s="26" t="s">
        <v>436</v>
      </c>
      <c r="H88" s="26" t="s">
        <v>1</v>
      </c>
      <c r="I88" s="26" t="s">
        <v>2</v>
      </c>
      <c r="J88" s="75"/>
      <c r="K88" s="30">
        <v>25262</v>
      </c>
      <c r="L88" s="26">
        <v>1969</v>
      </c>
      <c r="M88" s="26">
        <f t="shared" si="1"/>
        <v>50</v>
      </c>
      <c r="N88" s="26" t="s">
        <v>3</v>
      </c>
      <c r="O88" s="26"/>
      <c r="P88" s="75" t="s">
        <v>13</v>
      </c>
      <c r="Q88" s="26"/>
      <c r="R88" s="75"/>
    </row>
    <row r="89" spans="2:18" x14ac:dyDescent="0.25">
      <c r="B89" s="130"/>
      <c r="C89" s="130"/>
      <c r="D89" s="26">
        <v>82</v>
      </c>
      <c r="E89" s="75" t="s">
        <v>437</v>
      </c>
      <c r="F89" s="26" t="s">
        <v>9</v>
      </c>
      <c r="G89" s="26" t="s">
        <v>438</v>
      </c>
      <c r="H89" s="26" t="s">
        <v>7</v>
      </c>
      <c r="I89" s="26" t="s">
        <v>2</v>
      </c>
      <c r="J89" s="75"/>
      <c r="K89" s="30">
        <v>31264</v>
      </c>
      <c r="L89" s="26">
        <v>1985</v>
      </c>
      <c r="M89" s="26">
        <f t="shared" si="1"/>
        <v>34</v>
      </c>
      <c r="N89" s="26" t="s">
        <v>3</v>
      </c>
      <c r="O89" s="26"/>
      <c r="P89" s="75" t="s">
        <v>13</v>
      </c>
      <c r="Q89" s="26"/>
      <c r="R89" s="75"/>
    </row>
    <row r="90" spans="2:18" x14ac:dyDescent="0.25">
      <c r="B90" s="130"/>
      <c r="C90" s="130"/>
      <c r="D90" s="26">
        <v>83</v>
      </c>
      <c r="E90" s="75" t="s">
        <v>439</v>
      </c>
      <c r="F90" s="26" t="s">
        <v>11</v>
      </c>
      <c r="G90" s="26" t="s">
        <v>440</v>
      </c>
      <c r="H90" s="26" t="s">
        <v>1</v>
      </c>
      <c r="I90" s="26" t="s">
        <v>10</v>
      </c>
      <c r="J90" s="75"/>
      <c r="K90" s="30">
        <v>35716</v>
      </c>
      <c r="L90" s="26">
        <v>1997</v>
      </c>
      <c r="M90" s="26">
        <f t="shared" si="1"/>
        <v>22</v>
      </c>
      <c r="N90" s="26" t="s">
        <v>3</v>
      </c>
      <c r="O90" s="26"/>
      <c r="P90" s="75" t="s">
        <v>21</v>
      </c>
      <c r="Q90" s="26"/>
      <c r="R90" s="75"/>
    </row>
    <row r="91" spans="2:18" x14ac:dyDescent="0.25">
      <c r="B91" s="130"/>
      <c r="C91" s="130"/>
      <c r="D91" s="26">
        <v>84</v>
      </c>
      <c r="E91" s="75" t="s">
        <v>441</v>
      </c>
      <c r="F91" s="26" t="s">
        <v>83</v>
      </c>
      <c r="G91" s="26"/>
      <c r="H91" s="26" t="s">
        <v>1</v>
      </c>
      <c r="I91" s="26" t="s">
        <v>421</v>
      </c>
      <c r="J91" s="75"/>
      <c r="K91" s="30">
        <v>19176</v>
      </c>
      <c r="L91" s="26">
        <v>1952</v>
      </c>
      <c r="M91" s="26">
        <f t="shared" si="1"/>
        <v>67</v>
      </c>
      <c r="N91" s="26" t="s">
        <v>3</v>
      </c>
      <c r="O91" s="26"/>
      <c r="P91" s="75" t="s">
        <v>4</v>
      </c>
      <c r="Q91" s="26"/>
      <c r="R91" s="75"/>
    </row>
    <row r="92" spans="2:18" x14ac:dyDescent="0.25">
      <c r="B92" s="26">
        <v>26</v>
      </c>
      <c r="C92" s="26"/>
      <c r="D92" s="26">
        <v>85</v>
      </c>
      <c r="E92" s="75" t="s">
        <v>442</v>
      </c>
      <c r="F92" s="26" t="s">
        <v>5</v>
      </c>
      <c r="G92" s="26"/>
      <c r="H92" s="26" t="s">
        <v>1</v>
      </c>
      <c r="I92" s="26" t="s">
        <v>10</v>
      </c>
      <c r="J92" s="75"/>
      <c r="K92" s="30">
        <v>18852</v>
      </c>
      <c r="L92" s="26">
        <v>1951</v>
      </c>
      <c r="M92" s="26">
        <f t="shared" si="1"/>
        <v>68</v>
      </c>
      <c r="N92" s="26" t="s">
        <v>3</v>
      </c>
      <c r="O92" s="26"/>
      <c r="P92" s="75" t="s">
        <v>4</v>
      </c>
      <c r="Q92" s="26"/>
      <c r="R92" s="75"/>
    </row>
    <row r="93" spans="2:18" ht="25.5" x14ac:dyDescent="0.25">
      <c r="B93" s="132">
        <v>27</v>
      </c>
      <c r="C93" s="132" t="s">
        <v>1722</v>
      </c>
      <c r="D93" s="26">
        <v>86</v>
      </c>
      <c r="E93" s="75" t="s">
        <v>194</v>
      </c>
      <c r="F93" s="26" t="s">
        <v>5</v>
      </c>
      <c r="G93" s="26" t="s">
        <v>443</v>
      </c>
      <c r="H93" s="26" t="s">
        <v>1</v>
      </c>
      <c r="I93" s="26" t="s">
        <v>2</v>
      </c>
      <c r="J93" s="75" t="s">
        <v>839</v>
      </c>
      <c r="K93" s="30">
        <v>26481</v>
      </c>
      <c r="L93" s="26">
        <v>1972</v>
      </c>
      <c r="M93" s="26">
        <f t="shared" si="1"/>
        <v>47</v>
      </c>
      <c r="N93" s="26" t="s">
        <v>3</v>
      </c>
      <c r="O93" s="26" t="s">
        <v>821</v>
      </c>
      <c r="P93" s="75" t="s">
        <v>860</v>
      </c>
      <c r="Q93" s="26"/>
      <c r="R93" s="75" t="s">
        <v>840</v>
      </c>
    </row>
    <row r="94" spans="2:18" ht="25.5" x14ac:dyDescent="0.25">
      <c r="B94" s="133"/>
      <c r="C94" s="133"/>
      <c r="D94" s="26">
        <v>87</v>
      </c>
      <c r="E94" s="75" t="s">
        <v>444</v>
      </c>
      <c r="F94" s="26" t="s">
        <v>9</v>
      </c>
      <c r="G94" s="26" t="s">
        <v>445</v>
      </c>
      <c r="H94" s="26" t="s">
        <v>7</v>
      </c>
      <c r="I94" s="26" t="s">
        <v>2</v>
      </c>
      <c r="J94" s="75" t="s">
        <v>830</v>
      </c>
      <c r="K94" s="30">
        <v>28307</v>
      </c>
      <c r="L94" s="26">
        <v>1977</v>
      </c>
      <c r="M94" s="26">
        <f t="shared" si="1"/>
        <v>42</v>
      </c>
      <c r="N94" s="26" t="s">
        <v>3</v>
      </c>
      <c r="O94" s="26" t="s">
        <v>821</v>
      </c>
      <c r="P94" s="75" t="s">
        <v>860</v>
      </c>
      <c r="Q94" s="26"/>
      <c r="R94" s="75" t="s">
        <v>827</v>
      </c>
    </row>
    <row r="95" spans="2:18" ht="25.5" x14ac:dyDescent="0.25">
      <c r="B95" s="133"/>
      <c r="C95" s="133"/>
      <c r="D95" s="26">
        <v>88</v>
      </c>
      <c r="E95" s="75" t="s">
        <v>446</v>
      </c>
      <c r="F95" s="26" t="s">
        <v>11</v>
      </c>
      <c r="G95" s="26" t="s">
        <v>447</v>
      </c>
      <c r="H95" s="26" t="s">
        <v>7</v>
      </c>
      <c r="I95" s="26" t="s">
        <v>10</v>
      </c>
      <c r="J95" s="75" t="s">
        <v>839</v>
      </c>
      <c r="K95" s="30">
        <v>37828</v>
      </c>
      <c r="L95" s="26">
        <v>2003</v>
      </c>
      <c r="M95" s="26">
        <f t="shared" si="1"/>
        <v>16</v>
      </c>
      <c r="N95" s="26" t="s">
        <v>3</v>
      </c>
      <c r="O95" s="26" t="s">
        <v>821</v>
      </c>
      <c r="P95" s="75" t="s">
        <v>822</v>
      </c>
      <c r="Q95" s="26"/>
      <c r="R95" s="75" t="s">
        <v>828</v>
      </c>
    </row>
    <row r="96" spans="2:18" ht="25.5" x14ac:dyDescent="0.25">
      <c r="B96" s="134"/>
      <c r="C96" s="134"/>
      <c r="D96" s="26">
        <v>89</v>
      </c>
      <c r="E96" s="75" t="s">
        <v>448</v>
      </c>
      <c r="F96" s="26" t="s">
        <v>11</v>
      </c>
      <c r="G96" s="26" t="s">
        <v>449</v>
      </c>
      <c r="H96" s="26" t="s">
        <v>1</v>
      </c>
      <c r="I96" s="26" t="s">
        <v>10</v>
      </c>
      <c r="J96" s="75" t="s">
        <v>839</v>
      </c>
      <c r="K96" s="30">
        <v>39618</v>
      </c>
      <c r="L96" s="26">
        <v>2008</v>
      </c>
      <c r="M96" s="26">
        <f t="shared" si="1"/>
        <v>11</v>
      </c>
      <c r="N96" s="26" t="s">
        <v>3</v>
      </c>
      <c r="O96" s="26" t="s">
        <v>821</v>
      </c>
      <c r="P96" s="75" t="s">
        <v>824</v>
      </c>
      <c r="Q96" s="26"/>
      <c r="R96" s="75" t="s">
        <v>825</v>
      </c>
    </row>
    <row r="97" spans="2:18" ht="25.5" x14ac:dyDescent="0.25">
      <c r="B97" s="130">
        <v>28</v>
      </c>
      <c r="C97" s="130" t="s">
        <v>903</v>
      </c>
      <c r="D97" s="26">
        <v>90</v>
      </c>
      <c r="E97" s="75" t="s">
        <v>137</v>
      </c>
      <c r="F97" s="26" t="s">
        <v>5</v>
      </c>
      <c r="G97" s="26" t="s">
        <v>450</v>
      </c>
      <c r="H97" s="26" t="s">
        <v>7</v>
      </c>
      <c r="I97" s="26" t="s">
        <v>883</v>
      </c>
      <c r="J97" s="75" t="s">
        <v>905</v>
      </c>
      <c r="K97" s="30">
        <v>21550</v>
      </c>
      <c r="L97" s="26">
        <v>1958</v>
      </c>
      <c r="M97" s="26">
        <f t="shared" si="1"/>
        <v>61</v>
      </c>
      <c r="N97" s="26" t="s">
        <v>3</v>
      </c>
      <c r="O97" s="26" t="s">
        <v>821</v>
      </c>
      <c r="P97" s="75" t="s">
        <v>824</v>
      </c>
      <c r="Q97" s="26"/>
      <c r="R97" s="75" t="s">
        <v>827</v>
      </c>
    </row>
    <row r="98" spans="2:18" ht="25.5" x14ac:dyDescent="0.25">
      <c r="B98" s="130"/>
      <c r="C98" s="130"/>
      <c r="D98" s="26">
        <v>91</v>
      </c>
      <c r="E98" s="75" t="s">
        <v>451</v>
      </c>
      <c r="F98" s="26" t="s">
        <v>11</v>
      </c>
      <c r="G98" s="26" t="s">
        <v>904</v>
      </c>
      <c r="H98" s="26" t="s">
        <v>7</v>
      </c>
      <c r="I98" s="26" t="s">
        <v>10</v>
      </c>
      <c r="J98" s="75" t="s">
        <v>905</v>
      </c>
      <c r="K98" s="30">
        <v>29652</v>
      </c>
      <c r="L98" s="26">
        <v>1981</v>
      </c>
      <c r="M98" s="26">
        <f t="shared" si="1"/>
        <v>38</v>
      </c>
      <c r="N98" s="26" t="s">
        <v>3</v>
      </c>
      <c r="O98" s="26" t="s">
        <v>821</v>
      </c>
      <c r="P98" s="75" t="s">
        <v>824</v>
      </c>
      <c r="Q98" s="26"/>
      <c r="R98" s="75" t="s">
        <v>877</v>
      </c>
    </row>
    <row r="99" spans="2:18" x14ac:dyDescent="0.25">
      <c r="B99" s="130">
        <v>29</v>
      </c>
      <c r="C99" s="130" t="s">
        <v>1832</v>
      </c>
      <c r="D99" s="26">
        <v>92</v>
      </c>
      <c r="E99" s="75" t="s">
        <v>125</v>
      </c>
      <c r="F99" s="26" t="s">
        <v>5</v>
      </c>
      <c r="G99" s="26" t="s">
        <v>1833</v>
      </c>
      <c r="H99" s="26" t="s">
        <v>1</v>
      </c>
      <c r="I99" s="26" t="s">
        <v>2</v>
      </c>
      <c r="J99" s="75" t="s">
        <v>820</v>
      </c>
      <c r="K99" s="30">
        <v>31524</v>
      </c>
      <c r="L99" s="26">
        <v>1986</v>
      </c>
      <c r="M99" s="26">
        <f t="shared" si="1"/>
        <v>33</v>
      </c>
      <c r="N99" s="26" t="s">
        <v>3</v>
      </c>
      <c r="O99" s="26" t="s">
        <v>821</v>
      </c>
      <c r="P99" s="75" t="s">
        <v>831</v>
      </c>
      <c r="Q99" s="26"/>
      <c r="R99" s="75" t="s">
        <v>54</v>
      </c>
    </row>
    <row r="100" spans="2:18" ht="25.5" x14ac:dyDescent="0.25">
      <c r="B100" s="130"/>
      <c r="C100" s="130"/>
      <c r="D100" s="26">
        <v>93</v>
      </c>
      <c r="E100" s="75" t="s">
        <v>452</v>
      </c>
      <c r="F100" s="26" t="s">
        <v>9</v>
      </c>
      <c r="G100" s="26" t="s">
        <v>1834</v>
      </c>
      <c r="H100" s="26" t="s">
        <v>7</v>
      </c>
      <c r="I100" s="26" t="s">
        <v>2</v>
      </c>
      <c r="J100" s="75" t="s">
        <v>820</v>
      </c>
      <c r="K100" s="30">
        <v>31847</v>
      </c>
      <c r="L100" s="26">
        <v>1987</v>
      </c>
      <c r="M100" s="26">
        <f t="shared" si="1"/>
        <v>32</v>
      </c>
      <c r="N100" s="26" t="s">
        <v>3</v>
      </c>
      <c r="O100" s="26" t="s">
        <v>821</v>
      </c>
      <c r="P100" s="75" t="s">
        <v>831</v>
      </c>
      <c r="Q100" s="26"/>
      <c r="R100" s="75" t="s">
        <v>1835</v>
      </c>
    </row>
    <row r="101" spans="2:18" x14ac:dyDescent="0.25">
      <c r="B101" s="130">
        <v>30</v>
      </c>
      <c r="C101" s="130"/>
      <c r="D101" s="26">
        <v>94</v>
      </c>
      <c r="E101" s="75" t="s">
        <v>453</v>
      </c>
      <c r="F101" s="26" t="s">
        <v>5</v>
      </c>
      <c r="G101" s="26" t="s">
        <v>454</v>
      </c>
      <c r="H101" s="26" t="s">
        <v>1</v>
      </c>
      <c r="I101" s="26" t="s">
        <v>2</v>
      </c>
      <c r="J101" s="75"/>
      <c r="K101" s="30">
        <v>30133</v>
      </c>
      <c r="L101" s="26">
        <v>1982</v>
      </c>
      <c r="M101" s="26">
        <f t="shared" si="1"/>
        <v>37</v>
      </c>
      <c r="N101" s="26" t="s">
        <v>3</v>
      </c>
      <c r="O101" s="26"/>
      <c r="P101" s="75" t="s">
        <v>4</v>
      </c>
      <c r="Q101" s="26"/>
      <c r="R101" s="75"/>
    </row>
    <row r="102" spans="2:18" x14ac:dyDescent="0.25">
      <c r="B102" s="130"/>
      <c r="C102" s="130"/>
      <c r="D102" s="26">
        <v>95</v>
      </c>
      <c r="E102" s="75" t="s">
        <v>455</v>
      </c>
      <c r="F102" s="26" t="s">
        <v>9</v>
      </c>
      <c r="G102" s="26" t="s">
        <v>456</v>
      </c>
      <c r="H102" s="26" t="s">
        <v>7</v>
      </c>
      <c r="I102" s="26" t="s">
        <v>2</v>
      </c>
      <c r="J102" s="75"/>
      <c r="K102" s="30">
        <v>31594</v>
      </c>
      <c r="L102" s="26">
        <v>1986</v>
      </c>
      <c r="M102" s="26">
        <f t="shared" si="1"/>
        <v>33</v>
      </c>
      <c r="N102" s="26" t="s">
        <v>3</v>
      </c>
      <c r="O102" s="26"/>
      <c r="P102" s="75" t="s">
        <v>4</v>
      </c>
      <c r="Q102" s="26"/>
      <c r="R102" s="75"/>
    </row>
    <row r="103" spans="2:18" ht="25.5" x14ac:dyDescent="0.25">
      <c r="B103" s="130"/>
      <c r="C103" s="130"/>
      <c r="D103" s="26">
        <v>96</v>
      </c>
      <c r="E103" s="75" t="s">
        <v>457</v>
      </c>
      <c r="F103" s="26" t="s">
        <v>11</v>
      </c>
      <c r="G103" s="26" t="s">
        <v>458</v>
      </c>
      <c r="H103" s="26" t="s">
        <v>1</v>
      </c>
      <c r="I103" s="26" t="s">
        <v>10</v>
      </c>
      <c r="J103" s="75"/>
      <c r="K103" s="30">
        <v>38979</v>
      </c>
      <c r="L103" s="26">
        <v>2006</v>
      </c>
      <c r="M103" s="26">
        <f t="shared" si="1"/>
        <v>13</v>
      </c>
      <c r="N103" s="26" t="s">
        <v>3</v>
      </c>
      <c r="O103" s="26"/>
      <c r="P103" s="75" t="s">
        <v>4</v>
      </c>
      <c r="Q103" s="26"/>
      <c r="R103" s="75"/>
    </row>
    <row r="104" spans="2:18" ht="25.5" x14ac:dyDescent="0.25">
      <c r="B104" s="130"/>
      <c r="C104" s="130"/>
      <c r="D104" s="26">
        <v>97</v>
      </c>
      <c r="E104" s="75" t="s">
        <v>459</v>
      </c>
      <c r="F104" s="26" t="s">
        <v>11</v>
      </c>
      <c r="G104" s="26"/>
      <c r="H104" s="26" t="s">
        <v>1</v>
      </c>
      <c r="I104" s="26" t="s">
        <v>10</v>
      </c>
      <c r="J104" s="75"/>
      <c r="K104" s="30">
        <v>41409</v>
      </c>
      <c r="L104" s="26">
        <v>2013</v>
      </c>
      <c r="M104" s="26">
        <f t="shared" si="1"/>
        <v>6</v>
      </c>
      <c r="N104" s="26" t="s">
        <v>3</v>
      </c>
      <c r="O104" s="26"/>
      <c r="P104" s="75" t="s">
        <v>4</v>
      </c>
      <c r="Q104" s="26"/>
      <c r="R104" s="75"/>
    </row>
    <row r="105" spans="2:18" ht="25.5" x14ac:dyDescent="0.25">
      <c r="B105" s="130">
        <v>31</v>
      </c>
      <c r="C105" s="130" t="s">
        <v>1830</v>
      </c>
      <c r="D105" s="26">
        <v>98</v>
      </c>
      <c r="E105" s="75" t="s">
        <v>460</v>
      </c>
      <c r="F105" s="26" t="s">
        <v>5</v>
      </c>
      <c r="G105" s="26" t="s">
        <v>461</v>
      </c>
      <c r="H105" s="26" t="s">
        <v>1</v>
      </c>
      <c r="I105" s="26" t="s">
        <v>2</v>
      </c>
      <c r="J105" s="75" t="s">
        <v>839</v>
      </c>
      <c r="K105" s="30">
        <v>26702</v>
      </c>
      <c r="L105" s="26">
        <v>1973</v>
      </c>
      <c r="M105" s="26">
        <f t="shared" si="1"/>
        <v>46</v>
      </c>
      <c r="N105" s="26" t="s">
        <v>3</v>
      </c>
      <c r="O105" s="26" t="s">
        <v>821</v>
      </c>
      <c r="P105" s="75" t="s">
        <v>860</v>
      </c>
      <c r="Q105" s="26"/>
      <c r="R105" s="75" t="s">
        <v>826</v>
      </c>
    </row>
    <row r="106" spans="2:18" ht="25.5" x14ac:dyDescent="0.25">
      <c r="B106" s="130"/>
      <c r="C106" s="130"/>
      <c r="D106" s="26">
        <v>99</v>
      </c>
      <c r="E106" s="75" t="s">
        <v>462</v>
      </c>
      <c r="F106" s="26" t="s">
        <v>9</v>
      </c>
      <c r="G106" s="26" t="s">
        <v>463</v>
      </c>
      <c r="H106" s="26" t="s">
        <v>7</v>
      </c>
      <c r="I106" s="26" t="s">
        <v>2</v>
      </c>
      <c r="J106" s="75" t="s">
        <v>1831</v>
      </c>
      <c r="K106" s="30">
        <v>27516</v>
      </c>
      <c r="L106" s="26">
        <v>1975</v>
      </c>
      <c r="M106" s="26">
        <f t="shared" si="1"/>
        <v>44</v>
      </c>
      <c r="N106" s="26" t="s">
        <v>3</v>
      </c>
      <c r="O106" s="26" t="s">
        <v>821</v>
      </c>
      <c r="P106" s="75" t="s">
        <v>831</v>
      </c>
      <c r="Q106" s="26"/>
      <c r="R106" s="75" t="s">
        <v>826</v>
      </c>
    </row>
    <row r="107" spans="2:18" ht="25.5" x14ac:dyDescent="0.25">
      <c r="B107" s="130"/>
      <c r="C107" s="130"/>
      <c r="D107" s="26">
        <v>100</v>
      </c>
      <c r="E107" s="75" t="s">
        <v>464</v>
      </c>
      <c r="F107" s="26" t="s">
        <v>11</v>
      </c>
      <c r="G107" s="26" t="s">
        <v>465</v>
      </c>
      <c r="H107" s="26" t="s">
        <v>7</v>
      </c>
      <c r="I107" s="26" t="s">
        <v>10</v>
      </c>
      <c r="J107" s="75" t="s">
        <v>839</v>
      </c>
      <c r="K107" s="30">
        <v>36552</v>
      </c>
      <c r="L107" s="26">
        <v>2000</v>
      </c>
      <c r="M107" s="26">
        <f t="shared" si="1"/>
        <v>19</v>
      </c>
      <c r="N107" s="26" t="s">
        <v>3</v>
      </c>
      <c r="O107" s="26" t="s">
        <v>821</v>
      </c>
      <c r="P107" s="75" t="s">
        <v>822</v>
      </c>
      <c r="Q107" s="26"/>
      <c r="R107" s="75" t="s">
        <v>828</v>
      </c>
    </row>
    <row r="108" spans="2:18" ht="25.5" x14ac:dyDescent="0.25">
      <c r="B108" s="130"/>
      <c r="C108" s="130"/>
      <c r="D108" s="26">
        <v>101</v>
      </c>
      <c r="E108" s="75" t="s">
        <v>466</v>
      </c>
      <c r="F108" s="26" t="s">
        <v>11</v>
      </c>
      <c r="G108" s="26" t="s">
        <v>467</v>
      </c>
      <c r="H108" s="26" t="s">
        <v>7</v>
      </c>
      <c r="I108" s="26" t="s">
        <v>10</v>
      </c>
      <c r="J108" s="75" t="s">
        <v>839</v>
      </c>
      <c r="K108" s="30">
        <v>38802</v>
      </c>
      <c r="L108" s="26">
        <v>2006</v>
      </c>
      <c r="M108" s="26">
        <f t="shared" si="1"/>
        <v>13</v>
      </c>
      <c r="N108" s="26" t="s">
        <v>3</v>
      </c>
      <c r="O108" s="26" t="s">
        <v>821</v>
      </c>
      <c r="P108" s="75" t="s">
        <v>824</v>
      </c>
      <c r="Q108" s="26"/>
      <c r="R108" s="75" t="s">
        <v>825</v>
      </c>
    </row>
    <row r="109" spans="2:18" x14ac:dyDescent="0.25">
      <c r="B109" s="130">
        <v>32</v>
      </c>
      <c r="C109" s="130"/>
      <c r="D109" s="26">
        <v>102</v>
      </c>
      <c r="E109" s="75" t="s">
        <v>468</v>
      </c>
      <c r="F109" s="26" t="s">
        <v>5</v>
      </c>
      <c r="G109" s="26" t="s">
        <v>469</v>
      </c>
      <c r="H109" s="26" t="s">
        <v>7</v>
      </c>
      <c r="I109" s="26" t="s">
        <v>39</v>
      </c>
      <c r="J109" s="75"/>
      <c r="K109" s="30">
        <v>25568</v>
      </c>
      <c r="L109" s="26">
        <v>1969</v>
      </c>
      <c r="M109" s="26">
        <f t="shared" si="1"/>
        <v>50</v>
      </c>
      <c r="N109" s="26" t="s">
        <v>3</v>
      </c>
      <c r="O109" s="26"/>
      <c r="P109" s="75" t="s">
        <v>4</v>
      </c>
      <c r="Q109" s="26"/>
      <c r="R109" s="75"/>
    </row>
    <row r="110" spans="2:18" x14ac:dyDescent="0.25">
      <c r="B110" s="130"/>
      <c r="C110" s="130"/>
      <c r="D110" s="26">
        <v>103</v>
      </c>
      <c r="E110" s="75" t="s">
        <v>97</v>
      </c>
      <c r="F110" s="26" t="s">
        <v>11</v>
      </c>
      <c r="G110" s="26"/>
      <c r="H110" s="26" t="s">
        <v>7</v>
      </c>
      <c r="I110" s="26" t="s">
        <v>39</v>
      </c>
      <c r="J110" s="75"/>
      <c r="K110" s="30">
        <v>33973</v>
      </c>
      <c r="L110" s="26">
        <v>1993</v>
      </c>
      <c r="M110" s="26">
        <f t="shared" si="1"/>
        <v>26</v>
      </c>
      <c r="N110" s="26" t="s">
        <v>3</v>
      </c>
      <c r="O110" s="26"/>
      <c r="P110" s="75" t="s">
        <v>8</v>
      </c>
      <c r="Q110" s="26"/>
      <c r="R110" s="75"/>
    </row>
    <row r="111" spans="2:18" x14ac:dyDescent="0.25">
      <c r="B111" s="130"/>
      <c r="C111" s="130"/>
      <c r="D111" s="26">
        <v>104</v>
      </c>
      <c r="E111" s="75" t="s">
        <v>74</v>
      </c>
      <c r="F111" s="26" t="s">
        <v>11</v>
      </c>
      <c r="G111" s="26"/>
      <c r="H111" s="26" t="s">
        <v>7</v>
      </c>
      <c r="I111" s="26" t="s">
        <v>10</v>
      </c>
      <c r="J111" s="75"/>
      <c r="K111" s="30">
        <v>35621</v>
      </c>
      <c r="L111" s="26">
        <v>1997</v>
      </c>
      <c r="M111" s="26">
        <f t="shared" si="1"/>
        <v>22</v>
      </c>
      <c r="N111" s="26" t="s">
        <v>3</v>
      </c>
      <c r="O111" s="26"/>
      <c r="P111" s="75" t="s">
        <v>13</v>
      </c>
      <c r="Q111" s="26"/>
      <c r="R111" s="75"/>
    </row>
    <row r="112" spans="2:18" ht="25.5" x14ac:dyDescent="0.25">
      <c r="B112" s="130"/>
      <c r="C112" s="130"/>
      <c r="D112" s="26">
        <v>105</v>
      </c>
      <c r="E112" s="75" t="s">
        <v>470</v>
      </c>
      <c r="F112" s="26" t="s">
        <v>228</v>
      </c>
      <c r="G112" s="26"/>
      <c r="H112" s="26" t="s">
        <v>1</v>
      </c>
      <c r="I112" s="26" t="s">
        <v>10</v>
      </c>
      <c r="J112" s="75"/>
      <c r="K112" s="30">
        <v>40540</v>
      </c>
      <c r="L112" s="26">
        <v>2010</v>
      </c>
      <c r="M112" s="26">
        <f t="shared" si="1"/>
        <v>9</v>
      </c>
      <c r="N112" s="26" t="s">
        <v>3</v>
      </c>
      <c r="O112" s="26"/>
      <c r="P112" s="75" t="s">
        <v>4</v>
      </c>
      <c r="Q112" s="26"/>
      <c r="R112" s="75"/>
    </row>
    <row r="113" spans="2:18" ht="25.5" x14ac:dyDescent="0.25">
      <c r="B113" s="132">
        <v>33</v>
      </c>
      <c r="C113" s="132" t="s">
        <v>1742</v>
      </c>
      <c r="D113" s="26">
        <v>106</v>
      </c>
      <c r="E113" s="75" t="s">
        <v>471</v>
      </c>
      <c r="F113" s="26" t="s">
        <v>5</v>
      </c>
      <c r="G113" s="26" t="s">
        <v>1743</v>
      </c>
      <c r="H113" s="26" t="s">
        <v>1</v>
      </c>
      <c r="I113" s="26" t="s">
        <v>2</v>
      </c>
      <c r="J113" s="75" t="s">
        <v>830</v>
      </c>
      <c r="K113" s="30">
        <v>24723</v>
      </c>
      <c r="L113" s="26">
        <v>1967</v>
      </c>
      <c r="M113" s="26">
        <f t="shared" si="1"/>
        <v>52</v>
      </c>
      <c r="N113" s="26" t="s">
        <v>3</v>
      </c>
      <c r="O113" s="26" t="s">
        <v>821</v>
      </c>
      <c r="P113" s="75" t="s">
        <v>860</v>
      </c>
      <c r="Q113" s="26"/>
      <c r="R113" s="75" t="s">
        <v>840</v>
      </c>
    </row>
    <row r="114" spans="2:18" ht="25.5" x14ac:dyDescent="0.25">
      <c r="B114" s="133"/>
      <c r="C114" s="133"/>
      <c r="D114" s="26">
        <v>107</v>
      </c>
      <c r="E114" s="75" t="s">
        <v>28</v>
      </c>
      <c r="F114" s="26" t="s">
        <v>9</v>
      </c>
      <c r="G114" s="26" t="s">
        <v>1744</v>
      </c>
      <c r="H114" s="26" t="s">
        <v>7</v>
      </c>
      <c r="I114" s="26" t="s">
        <v>2</v>
      </c>
      <c r="J114" s="75" t="s">
        <v>830</v>
      </c>
      <c r="K114" s="30">
        <v>25750</v>
      </c>
      <c r="L114" s="26">
        <v>1970</v>
      </c>
      <c r="M114" s="26">
        <f t="shared" si="1"/>
        <v>49</v>
      </c>
      <c r="N114" s="26" t="s">
        <v>3</v>
      </c>
      <c r="O114" s="26" t="s">
        <v>821</v>
      </c>
      <c r="P114" s="75" t="s">
        <v>823</v>
      </c>
      <c r="Q114" s="26"/>
      <c r="R114" s="75" t="s">
        <v>840</v>
      </c>
    </row>
    <row r="115" spans="2:18" ht="25.5" x14ac:dyDescent="0.25">
      <c r="B115" s="133"/>
      <c r="C115" s="133"/>
      <c r="D115" s="26">
        <v>108</v>
      </c>
      <c r="E115" s="75" t="s">
        <v>166</v>
      </c>
      <c r="F115" s="26" t="s">
        <v>11</v>
      </c>
      <c r="G115" s="26" t="s">
        <v>1745</v>
      </c>
      <c r="H115" s="26" t="s">
        <v>1</v>
      </c>
      <c r="I115" s="26" t="s">
        <v>10</v>
      </c>
      <c r="J115" s="75" t="s">
        <v>830</v>
      </c>
      <c r="K115" s="30">
        <v>34096</v>
      </c>
      <c r="L115" s="26">
        <v>1993</v>
      </c>
      <c r="M115" s="26">
        <f t="shared" si="1"/>
        <v>26</v>
      </c>
      <c r="N115" s="26" t="s">
        <v>3</v>
      </c>
      <c r="O115" s="26" t="s">
        <v>821</v>
      </c>
      <c r="P115" s="75" t="s">
        <v>860</v>
      </c>
      <c r="Q115" s="26"/>
      <c r="R115" s="75" t="s">
        <v>828</v>
      </c>
    </row>
    <row r="116" spans="2:18" ht="25.5" x14ac:dyDescent="0.25">
      <c r="B116" s="134"/>
      <c r="C116" s="134"/>
      <c r="D116" s="26">
        <v>109</v>
      </c>
      <c r="E116" s="75" t="s">
        <v>1741</v>
      </c>
      <c r="F116" s="26" t="s">
        <v>11</v>
      </c>
      <c r="G116" s="26" t="s">
        <v>1746</v>
      </c>
      <c r="H116" s="26" t="s">
        <v>7</v>
      </c>
      <c r="I116" s="26" t="s">
        <v>10</v>
      </c>
      <c r="J116" s="75" t="s">
        <v>830</v>
      </c>
      <c r="K116" s="30">
        <v>34994</v>
      </c>
      <c r="L116" s="26">
        <v>1995</v>
      </c>
      <c r="M116" s="26">
        <f t="shared" si="1"/>
        <v>24</v>
      </c>
      <c r="N116" s="26" t="s">
        <v>3</v>
      </c>
      <c r="O116" s="26" t="s">
        <v>821</v>
      </c>
      <c r="P116" s="75" t="s">
        <v>831</v>
      </c>
      <c r="Q116" s="26"/>
      <c r="R116" s="75" t="s">
        <v>825</v>
      </c>
    </row>
    <row r="117" spans="2:18" x14ac:dyDescent="0.25">
      <c r="B117" s="130">
        <v>34</v>
      </c>
      <c r="C117" s="130" t="s">
        <v>1760</v>
      </c>
      <c r="D117" s="26">
        <v>110</v>
      </c>
      <c r="E117" s="75" t="s">
        <v>68</v>
      </c>
      <c r="F117" s="26" t="s">
        <v>5</v>
      </c>
      <c r="G117" s="26" t="s">
        <v>472</v>
      </c>
      <c r="H117" s="26" t="s">
        <v>1</v>
      </c>
      <c r="I117" s="26" t="s">
        <v>2</v>
      </c>
      <c r="J117" s="75" t="s">
        <v>820</v>
      </c>
      <c r="K117" s="30">
        <v>30229</v>
      </c>
      <c r="L117" s="26">
        <v>1982</v>
      </c>
      <c r="M117" s="26">
        <f t="shared" si="1"/>
        <v>37</v>
      </c>
      <c r="N117" s="26" t="s">
        <v>3</v>
      </c>
      <c r="O117" s="26" t="s">
        <v>821</v>
      </c>
      <c r="P117" s="75" t="s">
        <v>860</v>
      </c>
      <c r="Q117" s="26"/>
      <c r="R117" s="75" t="s">
        <v>54</v>
      </c>
    </row>
    <row r="118" spans="2:18" x14ac:dyDescent="0.25">
      <c r="B118" s="130"/>
      <c r="C118" s="130"/>
      <c r="D118" s="26">
        <v>111</v>
      </c>
      <c r="E118" s="75" t="s">
        <v>48</v>
      </c>
      <c r="F118" s="26" t="s">
        <v>9</v>
      </c>
      <c r="G118" s="26" t="s">
        <v>473</v>
      </c>
      <c r="H118" s="26" t="s">
        <v>148</v>
      </c>
      <c r="I118" s="26" t="s">
        <v>2</v>
      </c>
      <c r="J118" s="75" t="s">
        <v>1761</v>
      </c>
      <c r="K118" s="30">
        <v>32753</v>
      </c>
      <c r="L118" s="26">
        <v>1989</v>
      </c>
      <c r="M118" s="26">
        <f t="shared" si="1"/>
        <v>30</v>
      </c>
      <c r="N118" s="26" t="s">
        <v>3</v>
      </c>
      <c r="O118" s="26" t="s">
        <v>821</v>
      </c>
      <c r="P118" s="75" t="s">
        <v>860</v>
      </c>
      <c r="Q118" s="26"/>
      <c r="R118" s="75" t="s">
        <v>54</v>
      </c>
    </row>
    <row r="119" spans="2:18" x14ac:dyDescent="0.25">
      <c r="B119" s="132">
        <v>35</v>
      </c>
      <c r="C119" s="132" t="s">
        <v>1747</v>
      </c>
      <c r="D119" s="26">
        <v>112</v>
      </c>
      <c r="E119" s="75" t="s">
        <v>474</v>
      </c>
      <c r="F119" s="26" t="s">
        <v>5</v>
      </c>
      <c r="G119" s="26" t="s">
        <v>475</v>
      </c>
      <c r="H119" s="26" t="s">
        <v>1</v>
      </c>
      <c r="I119" s="26" t="s">
        <v>2</v>
      </c>
      <c r="J119" s="75" t="s">
        <v>820</v>
      </c>
      <c r="K119" s="30">
        <v>28740</v>
      </c>
      <c r="L119" s="26">
        <v>1978</v>
      </c>
      <c r="M119" s="26">
        <f t="shared" ref="M119:M120" si="2">2019-L119</f>
        <v>41</v>
      </c>
      <c r="N119" s="26" t="s">
        <v>3</v>
      </c>
      <c r="O119" s="26" t="s">
        <v>821</v>
      </c>
      <c r="P119" s="75" t="s">
        <v>860</v>
      </c>
      <c r="Q119" s="26"/>
      <c r="R119" s="75" t="s">
        <v>54</v>
      </c>
    </row>
    <row r="120" spans="2:18" ht="25.5" x14ac:dyDescent="0.25">
      <c r="B120" s="133"/>
      <c r="C120" s="133"/>
      <c r="D120" s="26">
        <v>113</v>
      </c>
      <c r="E120" s="75" t="s">
        <v>476</v>
      </c>
      <c r="F120" s="26" t="s">
        <v>9</v>
      </c>
      <c r="G120" s="26" t="s">
        <v>1750</v>
      </c>
      <c r="H120" s="26" t="s">
        <v>7</v>
      </c>
      <c r="I120" s="26" t="s">
        <v>2</v>
      </c>
      <c r="J120" s="75" t="s">
        <v>1753</v>
      </c>
      <c r="K120" s="30">
        <v>31017</v>
      </c>
      <c r="L120" s="26">
        <v>1984</v>
      </c>
      <c r="M120" s="26">
        <f t="shared" si="2"/>
        <v>35</v>
      </c>
      <c r="N120" s="26" t="s">
        <v>3</v>
      </c>
      <c r="O120" s="26" t="s">
        <v>821</v>
      </c>
      <c r="P120" s="75" t="s">
        <v>1754</v>
      </c>
      <c r="Q120" s="26"/>
      <c r="R120" s="75" t="s">
        <v>827</v>
      </c>
    </row>
    <row r="121" spans="2:18" ht="25.5" x14ac:dyDescent="0.25">
      <c r="B121" s="133"/>
      <c r="C121" s="133"/>
      <c r="D121" s="26">
        <v>114</v>
      </c>
      <c r="E121" s="75" t="s">
        <v>1748</v>
      </c>
      <c r="F121" s="26" t="s">
        <v>11</v>
      </c>
      <c r="G121" s="26" t="s">
        <v>1751</v>
      </c>
      <c r="H121" s="26" t="s">
        <v>1</v>
      </c>
      <c r="I121" s="26" t="s">
        <v>129</v>
      </c>
      <c r="J121" s="75" t="s">
        <v>851</v>
      </c>
      <c r="K121" s="30">
        <v>42335</v>
      </c>
      <c r="L121" s="26">
        <v>2015</v>
      </c>
      <c r="M121" s="26">
        <f t="shared" si="1"/>
        <v>4</v>
      </c>
      <c r="N121" s="26" t="s">
        <v>3</v>
      </c>
      <c r="O121" s="26" t="s">
        <v>821</v>
      </c>
      <c r="P121" s="75" t="s">
        <v>824</v>
      </c>
      <c r="Q121" s="26"/>
      <c r="R121" s="75" t="s">
        <v>825</v>
      </c>
    </row>
    <row r="122" spans="2:18" ht="25.5" x14ac:dyDescent="0.25">
      <c r="B122" s="134"/>
      <c r="C122" s="134"/>
      <c r="D122" s="26">
        <v>115</v>
      </c>
      <c r="E122" s="75" t="s">
        <v>1749</v>
      </c>
      <c r="F122" s="26" t="s">
        <v>11</v>
      </c>
      <c r="G122" s="26" t="s">
        <v>1752</v>
      </c>
      <c r="H122" s="26" t="s">
        <v>1</v>
      </c>
      <c r="I122" s="26" t="s">
        <v>129</v>
      </c>
      <c r="J122" s="75" t="s">
        <v>820</v>
      </c>
      <c r="K122" s="30">
        <v>43048</v>
      </c>
      <c r="L122" s="26">
        <v>2017</v>
      </c>
      <c r="M122" s="26">
        <f t="shared" si="1"/>
        <v>2</v>
      </c>
      <c r="N122" s="26" t="s">
        <v>3</v>
      </c>
      <c r="O122" s="26" t="s">
        <v>821</v>
      </c>
      <c r="P122" s="75" t="s">
        <v>824</v>
      </c>
      <c r="Q122" s="26"/>
      <c r="R122" s="75" t="s">
        <v>825</v>
      </c>
    </row>
    <row r="123" spans="2:18" x14ac:dyDescent="0.25">
      <c r="B123" s="130">
        <v>36</v>
      </c>
      <c r="C123" s="130" t="s">
        <v>1756</v>
      </c>
      <c r="D123" s="26">
        <v>116</v>
      </c>
      <c r="E123" s="75" t="s">
        <v>1757</v>
      </c>
      <c r="F123" s="26" t="s">
        <v>5</v>
      </c>
      <c r="G123" s="26" t="s">
        <v>1759</v>
      </c>
      <c r="H123" s="26" t="s">
        <v>1</v>
      </c>
      <c r="I123" s="26" t="s">
        <v>2</v>
      </c>
      <c r="J123" s="75" t="s">
        <v>820</v>
      </c>
      <c r="K123" s="30">
        <v>17532</v>
      </c>
      <c r="L123" s="26">
        <v>1947</v>
      </c>
      <c r="M123" s="26">
        <f t="shared" si="1"/>
        <v>72</v>
      </c>
      <c r="N123" s="26" t="s">
        <v>3</v>
      </c>
      <c r="O123" s="26" t="s">
        <v>821</v>
      </c>
      <c r="P123" s="75" t="s">
        <v>831</v>
      </c>
      <c r="Q123" s="26"/>
      <c r="R123" s="75" t="s">
        <v>840</v>
      </c>
    </row>
    <row r="124" spans="2:18" ht="25.5" x14ac:dyDescent="0.25">
      <c r="B124" s="130"/>
      <c r="C124" s="130"/>
      <c r="D124" s="26">
        <v>117</v>
      </c>
      <c r="E124" s="75" t="s">
        <v>1758</v>
      </c>
      <c r="F124" s="26" t="s">
        <v>9</v>
      </c>
      <c r="G124" s="26" t="s">
        <v>477</v>
      </c>
      <c r="H124" s="26" t="s">
        <v>7</v>
      </c>
      <c r="I124" s="26" t="s">
        <v>2</v>
      </c>
      <c r="J124" s="75" t="s">
        <v>820</v>
      </c>
      <c r="K124" s="30">
        <v>21550</v>
      </c>
      <c r="L124" s="26">
        <v>1958</v>
      </c>
      <c r="M124" s="26">
        <f t="shared" si="1"/>
        <v>61</v>
      </c>
      <c r="N124" s="26" t="s">
        <v>3</v>
      </c>
      <c r="O124" s="26" t="s">
        <v>821</v>
      </c>
      <c r="P124" s="75" t="s">
        <v>823</v>
      </c>
      <c r="Q124" s="26"/>
      <c r="R124" s="75" t="s">
        <v>840</v>
      </c>
    </row>
    <row r="125" spans="2:18" x14ac:dyDescent="0.25">
      <c r="B125" s="130">
        <v>37</v>
      </c>
      <c r="C125" s="130" t="s">
        <v>1765</v>
      </c>
      <c r="D125" s="26">
        <v>118</v>
      </c>
      <c r="E125" s="75" t="s">
        <v>480</v>
      </c>
      <c r="F125" s="26" t="s">
        <v>5</v>
      </c>
      <c r="G125" s="26" t="s">
        <v>1769</v>
      </c>
      <c r="H125" s="26" t="s">
        <v>1</v>
      </c>
      <c r="I125" s="26" t="s">
        <v>2</v>
      </c>
      <c r="J125" s="75" t="s">
        <v>820</v>
      </c>
      <c r="K125" s="30">
        <v>27241</v>
      </c>
      <c r="L125" s="26">
        <v>1974</v>
      </c>
      <c r="M125" s="26">
        <f t="shared" si="1"/>
        <v>45</v>
      </c>
      <c r="N125" s="26" t="s">
        <v>3</v>
      </c>
      <c r="O125" s="26" t="s">
        <v>821</v>
      </c>
      <c r="P125" s="75" t="s">
        <v>860</v>
      </c>
      <c r="Q125" s="26"/>
      <c r="R125" s="75" t="s">
        <v>54</v>
      </c>
    </row>
    <row r="126" spans="2:18" ht="25.5" x14ac:dyDescent="0.25">
      <c r="B126" s="130"/>
      <c r="C126" s="130"/>
      <c r="D126" s="26">
        <v>119</v>
      </c>
      <c r="E126" s="75" t="s">
        <v>49</v>
      </c>
      <c r="F126" s="26" t="s">
        <v>9</v>
      </c>
      <c r="G126" s="26" t="s">
        <v>1768</v>
      </c>
      <c r="H126" s="26" t="s">
        <v>7</v>
      </c>
      <c r="I126" s="26" t="s">
        <v>2</v>
      </c>
      <c r="J126" s="75" t="s">
        <v>1770</v>
      </c>
      <c r="K126" s="30">
        <v>29951</v>
      </c>
      <c r="L126" s="26">
        <v>1981</v>
      </c>
      <c r="M126" s="26">
        <f t="shared" si="1"/>
        <v>38</v>
      </c>
      <c r="N126" s="26" t="s">
        <v>3</v>
      </c>
      <c r="O126" s="26" t="s">
        <v>821</v>
      </c>
      <c r="P126" s="75" t="s">
        <v>823</v>
      </c>
      <c r="Q126" s="26"/>
      <c r="R126" s="75" t="s">
        <v>899</v>
      </c>
    </row>
    <row r="127" spans="2:18" ht="25.5" x14ac:dyDescent="0.25">
      <c r="B127" s="130"/>
      <c r="C127" s="130"/>
      <c r="D127" s="26">
        <v>120</v>
      </c>
      <c r="E127" s="75" t="s">
        <v>481</v>
      </c>
      <c r="F127" s="26" t="s">
        <v>482</v>
      </c>
      <c r="G127" s="26" t="s">
        <v>483</v>
      </c>
      <c r="H127" s="26" t="s">
        <v>7</v>
      </c>
      <c r="I127" s="26" t="s">
        <v>10</v>
      </c>
      <c r="J127" s="75" t="s">
        <v>820</v>
      </c>
      <c r="K127" s="30">
        <v>37085</v>
      </c>
      <c r="L127" s="26">
        <v>2001</v>
      </c>
      <c r="M127" s="26">
        <f t="shared" si="1"/>
        <v>18</v>
      </c>
      <c r="N127" s="26" t="s">
        <v>3</v>
      </c>
      <c r="O127" s="26" t="s">
        <v>821</v>
      </c>
      <c r="P127" s="75" t="s">
        <v>831</v>
      </c>
      <c r="Q127" s="26"/>
      <c r="R127" s="75" t="s">
        <v>828</v>
      </c>
    </row>
    <row r="128" spans="2:18" ht="25.5" x14ac:dyDescent="0.25">
      <c r="B128" s="130"/>
      <c r="C128" s="130"/>
      <c r="D128" s="26">
        <v>121</v>
      </c>
      <c r="E128" s="75" t="s">
        <v>484</v>
      </c>
      <c r="F128" s="26" t="s">
        <v>482</v>
      </c>
      <c r="G128" s="26" t="s">
        <v>485</v>
      </c>
      <c r="H128" s="26" t="s">
        <v>1</v>
      </c>
      <c r="I128" s="26" t="s">
        <v>10</v>
      </c>
      <c r="J128" s="75" t="s">
        <v>839</v>
      </c>
      <c r="K128" s="30">
        <v>38671</v>
      </c>
      <c r="L128" s="26">
        <v>2005</v>
      </c>
      <c r="M128" s="26">
        <f t="shared" ref="M128" si="3">2019-L128</f>
        <v>14</v>
      </c>
      <c r="N128" s="26" t="s">
        <v>3</v>
      </c>
      <c r="O128" s="26" t="s">
        <v>821</v>
      </c>
      <c r="P128" s="75" t="s">
        <v>823</v>
      </c>
      <c r="Q128" s="26"/>
      <c r="R128" s="75" t="s">
        <v>828</v>
      </c>
    </row>
    <row r="129" spans="2:18" ht="25.5" x14ac:dyDescent="0.25">
      <c r="B129" s="130"/>
      <c r="C129" s="130"/>
      <c r="D129" s="26">
        <v>122</v>
      </c>
      <c r="E129" s="75" t="s">
        <v>1766</v>
      </c>
      <c r="F129" s="26" t="s">
        <v>482</v>
      </c>
      <c r="G129" s="26" t="s">
        <v>1767</v>
      </c>
      <c r="H129" s="26" t="s">
        <v>7</v>
      </c>
      <c r="I129" s="26" t="s">
        <v>10</v>
      </c>
      <c r="J129" s="75" t="s">
        <v>820</v>
      </c>
      <c r="K129" s="30">
        <v>42641</v>
      </c>
      <c r="L129" s="26">
        <v>2016</v>
      </c>
      <c r="M129" s="26">
        <f t="shared" si="1"/>
        <v>3</v>
      </c>
      <c r="N129" s="26" t="s">
        <v>3</v>
      </c>
      <c r="O129" s="26" t="s">
        <v>821</v>
      </c>
      <c r="P129" s="75" t="s">
        <v>824</v>
      </c>
      <c r="Q129" s="26"/>
      <c r="R129" s="75" t="s">
        <v>825</v>
      </c>
    </row>
    <row r="130" spans="2:18" x14ac:dyDescent="0.25">
      <c r="B130" s="130">
        <v>38</v>
      </c>
      <c r="C130" s="130"/>
      <c r="D130" s="26">
        <v>123</v>
      </c>
      <c r="E130" s="75" t="s">
        <v>486</v>
      </c>
      <c r="F130" s="26" t="s">
        <v>5</v>
      </c>
      <c r="G130" s="26"/>
      <c r="H130" s="26" t="s">
        <v>1</v>
      </c>
      <c r="I130" s="26" t="s">
        <v>2</v>
      </c>
      <c r="J130" s="75"/>
      <c r="K130" s="30">
        <v>14427</v>
      </c>
      <c r="L130" s="26">
        <v>1939</v>
      </c>
      <c r="M130" s="26">
        <f t="shared" si="1"/>
        <v>80</v>
      </c>
      <c r="N130" s="26" t="s">
        <v>3</v>
      </c>
      <c r="O130" s="26"/>
      <c r="P130" s="75" t="s">
        <v>4</v>
      </c>
      <c r="Q130" s="26"/>
      <c r="R130" s="75"/>
    </row>
    <row r="131" spans="2:18" x14ac:dyDescent="0.25">
      <c r="B131" s="130"/>
      <c r="C131" s="130"/>
      <c r="D131" s="26">
        <v>124</v>
      </c>
      <c r="E131" s="75" t="s">
        <v>487</v>
      </c>
      <c r="F131" s="26" t="s">
        <v>9</v>
      </c>
      <c r="G131" s="26"/>
      <c r="H131" s="26" t="s">
        <v>7</v>
      </c>
      <c r="I131" s="26" t="s">
        <v>2</v>
      </c>
      <c r="J131" s="75"/>
      <c r="K131" s="30">
        <v>26330</v>
      </c>
      <c r="L131" s="26">
        <v>1972</v>
      </c>
      <c r="M131" s="26">
        <f t="shared" si="1"/>
        <v>47</v>
      </c>
      <c r="N131" s="26" t="s">
        <v>3</v>
      </c>
      <c r="O131" s="26"/>
      <c r="P131" s="75" t="s">
        <v>4</v>
      </c>
      <c r="Q131" s="26"/>
      <c r="R131" s="75"/>
    </row>
    <row r="132" spans="2:18" ht="25.5" x14ac:dyDescent="0.25">
      <c r="B132" s="130">
        <v>39</v>
      </c>
      <c r="C132" s="130" t="s">
        <v>1736</v>
      </c>
      <c r="D132" s="26">
        <v>125</v>
      </c>
      <c r="E132" s="75" t="s">
        <v>488</v>
      </c>
      <c r="F132" s="26" t="s">
        <v>5</v>
      </c>
      <c r="G132" s="26" t="s">
        <v>1737</v>
      </c>
      <c r="H132" s="26" t="s">
        <v>1</v>
      </c>
      <c r="I132" s="26" t="s">
        <v>2</v>
      </c>
      <c r="J132" s="75" t="s">
        <v>830</v>
      </c>
      <c r="K132" s="30">
        <v>25020</v>
      </c>
      <c r="L132" s="26">
        <v>1968</v>
      </c>
      <c r="M132" s="26">
        <f t="shared" si="1"/>
        <v>51</v>
      </c>
      <c r="N132" s="26" t="s">
        <v>3</v>
      </c>
      <c r="O132" s="26" t="s">
        <v>821</v>
      </c>
      <c r="P132" s="75" t="s">
        <v>860</v>
      </c>
      <c r="Q132" s="26"/>
      <c r="R132" s="75" t="s">
        <v>54</v>
      </c>
    </row>
    <row r="133" spans="2:18" ht="25.5" x14ac:dyDescent="0.25">
      <c r="B133" s="130"/>
      <c r="C133" s="130"/>
      <c r="D133" s="26">
        <v>126</v>
      </c>
      <c r="E133" s="75" t="s">
        <v>359</v>
      </c>
      <c r="F133" s="26" t="s">
        <v>9</v>
      </c>
      <c r="G133" s="26" t="s">
        <v>1738</v>
      </c>
      <c r="H133" s="26" t="s">
        <v>7</v>
      </c>
      <c r="I133" s="26" t="s">
        <v>2</v>
      </c>
      <c r="J133" s="75" t="s">
        <v>905</v>
      </c>
      <c r="K133" s="30">
        <v>26336</v>
      </c>
      <c r="L133" s="26">
        <v>1972</v>
      </c>
      <c r="M133" s="26">
        <f t="shared" si="1"/>
        <v>47</v>
      </c>
      <c r="N133" s="26" t="s">
        <v>3</v>
      </c>
      <c r="O133" s="26" t="s">
        <v>821</v>
      </c>
      <c r="P133" s="75" t="s">
        <v>860</v>
      </c>
      <c r="Q133" s="26"/>
      <c r="R133" s="75" t="s">
        <v>827</v>
      </c>
    </row>
    <row r="134" spans="2:18" ht="25.5" x14ac:dyDescent="0.25">
      <c r="B134" s="130"/>
      <c r="C134" s="130"/>
      <c r="D134" s="26">
        <v>127</v>
      </c>
      <c r="E134" s="75" t="s">
        <v>1735</v>
      </c>
      <c r="F134" s="26" t="s">
        <v>11</v>
      </c>
      <c r="G134" s="26" t="s">
        <v>1739</v>
      </c>
      <c r="H134" s="26" t="s">
        <v>7</v>
      </c>
      <c r="I134" s="26" t="s">
        <v>10</v>
      </c>
      <c r="J134" s="75" t="s">
        <v>820</v>
      </c>
      <c r="K134" s="30">
        <v>37026</v>
      </c>
      <c r="L134" s="26">
        <v>2001</v>
      </c>
      <c r="M134" s="26">
        <f t="shared" si="1"/>
        <v>18</v>
      </c>
      <c r="N134" s="26" t="s">
        <v>3</v>
      </c>
      <c r="O134" s="26" t="s">
        <v>821</v>
      </c>
      <c r="P134" s="75" t="s">
        <v>831</v>
      </c>
      <c r="Q134" s="26"/>
      <c r="R134" s="75" t="s">
        <v>828</v>
      </c>
    </row>
    <row r="135" spans="2:18" ht="25.5" x14ac:dyDescent="0.25">
      <c r="B135" s="130"/>
      <c r="C135" s="130"/>
      <c r="D135" s="26">
        <v>128</v>
      </c>
      <c r="E135" s="75" t="s">
        <v>489</v>
      </c>
      <c r="F135" s="26" t="s">
        <v>11</v>
      </c>
      <c r="G135" s="26" t="s">
        <v>1740</v>
      </c>
      <c r="H135" s="26" t="s">
        <v>7</v>
      </c>
      <c r="I135" s="26" t="s">
        <v>10</v>
      </c>
      <c r="J135" s="75" t="s">
        <v>830</v>
      </c>
      <c r="K135" s="30">
        <v>39451</v>
      </c>
      <c r="L135" s="26">
        <v>2008</v>
      </c>
      <c r="M135" s="26">
        <f t="shared" si="1"/>
        <v>11</v>
      </c>
      <c r="N135" s="26" t="s">
        <v>3</v>
      </c>
      <c r="O135" s="26" t="s">
        <v>821</v>
      </c>
      <c r="P135" s="75" t="s">
        <v>824</v>
      </c>
      <c r="Q135" s="26"/>
      <c r="R135" s="75" t="s">
        <v>825</v>
      </c>
    </row>
    <row r="136" spans="2:18" x14ac:dyDescent="0.25">
      <c r="B136" s="130">
        <v>40</v>
      </c>
      <c r="C136" s="130"/>
      <c r="D136" s="26">
        <v>129</v>
      </c>
      <c r="E136" s="75" t="s">
        <v>490</v>
      </c>
      <c r="F136" s="26" t="s">
        <v>5</v>
      </c>
      <c r="G136" s="26"/>
      <c r="H136" s="26" t="s">
        <v>1</v>
      </c>
      <c r="I136" s="26" t="s">
        <v>2</v>
      </c>
      <c r="J136" s="75"/>
      <c r="K136" s="30">
        <v>25200</v>
      </c>
      <c r="L136" s="26">
        <v>1968</v>
      </c>
      <c r="M136" s="26">
        <f t="shared" si="1"/>
        <v>51</v>
      </c>
      <c r="N136" s="26" t="s">
        <v>3</v>
      </c>
      <c r="O136" s="26"/>
      <c r="P136" s="75" t="s">
        <v>21</v>
      </c>
      <c r="Q136" s="26"/>
      <c r="R136" s="75"/>
    </row>
    <row r="137" spans="2:18" x14ac:dyDescent="0.25">
      <c r="B137" s="130"/>
      <c r="C137" s="130"/>
      <c r="D137" s="26">
        <v>130</v>
      </c>
      <c r="E137" s="75" t="s">
        <v>491</v>
      </c>
      <c r="F137" s="26" t="s">
        <v>9</v>
      </c>
      <c r="G137" s="26"/>
      <c r="H137" s="26" t="s">
        <v>7</v>
      </c>
      <c r="I137" s="26" t="s">
        <v>2</v>
      </c>
      <c r="J137" s="75"/>
      <c r="K137" s="30">
        <v>25633</v>
      </c>
      <c r="L137" s="26">
        <v>1970</v>
      </c>
      <c r="M137" s="26">
        <f t="shared" si="1"/>
        <v>49</v>
      </c>
      <c r="N137" s="26" t="s">
        <v>3</v>
      </c>
      <c r="O137" s="26"/>
      <c r="P137" s="75" t="s">
        <v>21</v>
      </c>
      <c r="Q137" s="26"/>
      <c r="R137" s="75"/>
    </row>
    <row r="138" spans="2:18" ht="25.5" x14ac:dyDescent="0.25">
      <c r="B138" s="130"/>
      <c r="C138" s="130"/>
      <c r="D138" s="26">
        <v>131</v>
      </c>
      <c r="E138" s="75" t="s">
        <v>492</v>
      </c>
      <c r="F138" s="26" t="s">
        <v>482</v>
      </c>
      <c r="G138" s="26"/>
      <c r="H138" s="26" t="s">
        <v>7</v>
      </c>
      <c r="I138" s="26" t="s">
        <v>10</v>
      </c>
      <c r="J138" s="75"/>
      <c r="K138" s="30">
        <v>36952</v>
      </c>
      <c r="L138" s="26">
        <v>2001</v>
      </c>
      <c r="M138" s="26">
        <f t="shared" si="1"/>
        <v>18</v>
      </c>
      <c r="N138" s="26" t="s">
        <v>3</v>
      </c>
      <c r="O138" s="26"/>
      <c r="P138" s="75" t="s">
        <v>13</v>
      </c>
      <c r="Q138" s="26"/>
      <c r="R138" s="75"/>
    </row>
    <row r="139" spans="2:18" x14ac:dyDescent="0.25">
      <c r="B139" s="130"/>
      <c r="C139" s="130"/>
      <c r="D139" s="26">
        <v>132</v>
      </c>
      <c r="E139" s="75" t="s">
        <v>493</v>
      </c>
      <c r="F139" s="26" t="s">
        <v>482</v>
      </c>
      <c r="G139" s="26"/>
      <c r="H139" s="26" t="s">
        <v>7</v>
      </c>
      <c r="I139" s="26" t="s">
        <v>10</v>
      </c>
      <c r="J139" s="75"/>
      <c r="K139" s="30">
        <v>40909</v>
      </c>
      <c r="L139" s="26">
        <v>2012</v>
      </c>
      <c r="M139" s="26">
        <f t="shared" ref="M139:M205" si="4">2019-L139</f>
        <v>7</v>
      </c>
      <c r="N139" s="26" t="s">
        <v>3</v>
      </c>
      <c r="O139" s="26"/>
      <c r="P139" s="75" t="s">
        <v>4</v>
      </c>
      <c r="Q139" s="26"/>
      <c r="R139" s="75"/>
    </row>
    <row r="140" spans="2:18" x14ac:dyDescent="0.25">
      <c r="B140" s="130">
        <v>41</v>
      </c>
      <c r="C140" s="130"/>
      <c r="D140" s="26">
        <v>133</v>
      </c>
      <c r="E140" s="75" t="s">
        <v>494</v>
      </c>
      <c r="F140" s="26" t="s">
        <v>5</v>
      </c>
      <c r="G140" s="26"/>
      <c r="H140" s="26" t="s">
        <v>1</v>
      </c>
      <c r="I140" s="26" t="s">
        <v>2</v>
      </c>
      <c r="J140" s="75"/>
      <c r="K140" s="30">
        <v>14976</v>
      </c>
      <c r="L140" s="26">
        <v>1940</v>
      </c>
      <c r="M140" s="26">
        <f t="shared" si="4"/>
        <v>79</v>
      </c>
      <c r="N140" s="26" t="s">
        <v>3</v>
      </c>
      <c r="O140" s="26"/>
      <c r="P140" s="75" t="s">
        <v>13</v>
      </c>
      <c r="Q140" s="26"/>
      <c r="R140" s="75"/>
    </row>
    <row r="141" spans="2:18" x14ac:dyDescent="0.25">
      <c r="B141" s="130"/>
      <c r="C141" s="130"/>
      <c r="D141" s="26">
        <v>134</v>
      </c>
      <c r="E141" s="75" t="s">
        <v>495</v>
      </c>
      <c r="F141" s="26" t="s">
        <v>9</v>
      </c>
      <c r="G141" s="26"/>
      <c r="H141" s="26" t="s">
        <v>7</v>
      </c>
      <c r="I141" s="26" t="s">
        <v>2</v>
      </c>
      <c r="J141" s="75"/>
      <c r="K141" s="30">
        <v>18628</v>
      </c>
      <c r="L141" s="26">
        <v>1950</v>
      </c>
      <c r="M141" s="26">
        <f t="shared" si="4"/>
        <v>69</v>
      </c>
      <c r="N141" s="26" t="s">
        <v>3</v>
      </c>
      <c r="O141" s="26"/>
      <c r="P141" s="75" t="s">
        <v>13</v>
      </c>
      <c r="Q141" s="26"/>
      <c r="R141" s="75"/>
    </row>
    <row r="142" spans="2:18" x14ac:dyDescent="0.25">
      <c r="B142" s="130"/>
      <c r="C142" s="130"/>
      <c r="D142" s="26">
        <v>135</v>
      </c>
      <c r="E142" s="75" t="s">
        <v>496</v>
      </c>
      <c r="F142" s="26" t="s">
        <v>11</v>
      </c>
      <c r="G142" s="26"/>
      <c r="H142" s="26" t="s">
        <v>7</v>
      </c>
      <c r="I142" s="26" t="s">
        <v>10</v>
      </c>
      <c r="J142" s="75"/>
      <c r="K142" s="30">
        <v>28536</v>
      </c>
      <c r="L142" s="26">
        <v>1978</v>
      </c>
      <c r="M142" s="26">
        <f t="shared" si="4"/>
        <v>41</v>
      </c>
      <c r="N142" s="26" t="s">
        <v>3</v>
      </c>
      <c r="O142" s="26"/>
      <c r="P142" s="75" t="s">
        <v>8</v>
      </c>
      <c r="Q142" s="26"/>
      <c r="R142" s="75"/>
    </row>
    <row r="143" spans="2:18" x14ac:dyDescent="0.25">
      <c r="B143" s="130"/>
      <c r="C143" s="130"/>
      <c r="D143" s="26">
        <v>136</v>
      </c>
      <c r="E143" s="75" t="s">
        <v>497</v>
      </c>
      <c r="F143" s="26" t="s">
        <v>11</v>
      </c>
      <c r="G143" s="26"/>
      <c r="H143" s="26" t="s">
        <v>1</v>
      </c>
      <c r="I143" s="26" t="s">
        <v>10</v>
      </c>
      <c r="J143" s="75"/>
      <c r="K143" s="30">
        <v>29357</v>
      </c>
      <c r="L143" s="26">
        <v>1980</v>
      </c>
      <c r="M143" s="26">
        <f t="shared" si="4"/>
        <v>39</v>
      </c>
      <c r="N143" s="26" t="s">
        <v>3</v>
      </c>
      <c r="O143" s="26"/>
      <c r="P143" s="75" t="s">
        <v>4</v>
      </c>
      <c r="Q143" s="26"/>
      <c r="R143" s="75"/>
    </row>
    <row r="144" spans="2:18" x14ac:dyDescent="0.25">
      <c r="B144" s="130">
        <v>42</v>
      </c>
      <c r="C144" s="130"/>
      <c r="D144" s="26">
        <v>137</v>
      </c>
      <c r="E144" s="75" t="s">
        <v>498</v>
      </c>
      <c r="F144" s="26" t="s">
        <v>5</v>
      </c>
      <c r="G144" s="26"/>
      <c r="H144" s="26" t="s">
        <v>1</v>
      </c>
      <c r="I144" s="26" t="s">
        <v>2</v>
      </c>
      <c r="J144" s="75"/>
      <c r="K144" s="30">
        <v>28478</v>
      </c>
      <c r="L144" s="26">
        <v>1977</v>
      </c>
      <c r="M144" s="26">
        <f t="shared" si="4"/>
        <v>42</v>
      </c>
      <c r="N144" s="26" t="s">
        <v>3</v>
      </c>
      <c r="O144" s="26"/>
      <c r="P144" s="75" t="s">
        <v>21</v>
      </c>
      <c r="Q144" s="26"/>
      <c r="R144" s="75"/>
    </row>
    <row r="145" spans="2:18" x14ac:dyDescent="0.25">
      <c r="B145" s="130"/>
      <c r="C145" s="130"/>
      <c r="D145" s="26">
        <v>138</v>
      </c>
      <c r="E145" s="75" t="s">
        <v>499</v>
      </c>
      <c r="F145" s="26" t="s">
        <v>9</v>
      </c>
      <c r="G145" s="26"/>
      <c r="H145" s="26" t="s">
        <v>7</v>
      </c>
      <c r="I145" s="26" t="s">
        <v>2</v>
      </c>
      <c r="J145" s="75"/>
      <c r="K145" s="30">
        <v>31776</v>
      </c>
      <c r="L145" s="26">
        <v>1986</v>
      </c>
      <c r="M145" s="26">
        <f t="shared" si="4"/>
        <v>33</v>
      </c>
      <c r="N145" s="26" t="s">
        <v>3</v>
      </c>
      <c r="O145" s="26"/>
      <c r="P145" s="75" t="s">
        <v>13</v>
      </c>
      <c r="Q145" s="26"/>
      <c r="R145" s="75"/>
    </row>
    <row r="146" spans="2:18" ht="25.5" x14ac:dyDescent="0.25">
      <c r="B146" s="130"/>
      <c r="C146" s="130"/>
      <c r="D146" s="26">
        <v>139</v>
      </c>
      <c r="E146" s="75" t="s">
        <v>500</v>
      </c>
      <c r="F146" s="26" t="s">
        <v>11</v>
      </c>
      <c r="G146" s="26"/>
      <c r="H146" s="26" t="s">
        <v>7</v>
      </c>
      <c r="I146" s="26" t="s">
        <v>10</v>
      </c>
      <c r="J146" s="75"/>
      <c r="K146" s="30">
        <v>41226</v>
      </c>
      <c r="L146" s="26">
        <v>2012</v>
      </c>
      <c r="M146" s="26">
        <f t="shared" si="4"/>
        <v>7</v>
      </c>
      <c r="N146" s="26" t="s">
        <v>3</v>
      </c>
      <c r="O146" s="26"/>
      <c r="P146" s="75" t="s">
        <v>4</v>
      </c>
      <c r="Q146" s="26"/>
      <c r="R146" s="75"/>
    </row>
    <row r="147" spans="2:18" ht="25.5" x14ac:dyDescent="0.25">
      <c r="B147" s="130">
        <v>43</v>
      </c>
      <c r="C147" s="130"/>
      <c r="D147" s="26">
        <v>140</v>
      </c>
      <c r="E147" s="75" t="s">
        <v>501</v>
      </c>
      <c r="F147" s="26" t="s">
        <v>5</v>
      </c>
      <c r="G147" s="26" t="s">
        <v>502</v>
      </c>
      <c r="H147" s="26" t="s">
        <v>1</v>
      </c>
      <c r="I147" s="26" t="s">
        <v>2</v>
      </c>
      <c r="J147" s="75"/>
      <c r="K147" s="30">
        <v>30498</v>
      </c>
      <c r="L147" s="26">
        <v>1983</v>
      </c>
      <c r="M147" s="26">
        <f t="shared" si="4"/>
        <v>36</v>
      </c>
      <c r="N147" s="26" t="s">
        <v>3</v>
      </c>
      <c r="O147" s="26"/>
      <c r="P147" s="75" t="s">
        <v>13</v>
      </c>
      <c r="Q147" s="26"/>
      <c r="R147" s="75"/>
    </row>
    <row r="148" spans="2:18" x14ac:dyDescent="0.25">
      <c r="B148" s="130"/>
      <c r="C148" s="130"/>
      <c r="D148" s="26">
        <v>141</v>
      </c>
      <c r="E148" s="75" t="s">
        <v>503</v>
      </c>
      <c r="F148" s="26" t="s">
        <v>9</v>
      </c>
      <c r="G148" s="26" t="s">
        <v>504</v>
      </c>
      <c r="H148" s="26" t="s">
        <v>7</v>
      </c>
      <c r="I148" s="26" t="s">
        <v>2</v>
      </c>
      <c r="J148" s="75"/>
      <c r="K148" s="30">
        <v>30133</v>
      </c>
      <c r="L148" s="26">
        <v>1982</v>
      </c>
      <c r="M148" s="26">
        <f t="shared" si="4"/>
        <v>37</v>
      </c>
      <c r="N148" s="26" t="s">
        <v>3</v>
      </c>
      <c r="O148" s="26"/>
      <c r="P148" s="75" t="s">
        <v>13</v>
      </c>
      <c r="Q148" s="26"/>
      <c r="R148" s="75"/>
    </row>
    <row r="149" spans="2:18" x14ac:dyDescent="0.25">
      <c r="B149" s="130"/>
      <c r="C149" s="130"/>
      <c r="D149" s="26">
        <v>142</v>
      </c>
      <c r="E149" s="75" t="s">
        <v>505</v>
      </c>
      <c r="F149" s="26" t="s">
        <v>11</v>
      </c>
      <c r="G149" s="26" t="s">
        <v>506</v>
      </c>
      <c r="H149" s="26" t="s">
        <v>1</v>
      </c>
      <c r="I149" s="26" t="s">
        <v>10</v>
      </c>
      <c r="J149" s="75"/>
      <c r="K149" s="30">
        <v>38727</v>
      </c>
      <c r="L149" s="26">
        <v>2006</v>
      </c>
      <c r="M149" s="26">
        <f t="shared" si="4"/>
        <v>13</v>
      </c>
      <c r="N149" s="26" t="s">
        <v>3</v>
      </c>
      <c r="O149" s="26"/>
      <c r="P149" s="75" t="s">
        <v>4</v>
      </c>
      <c r="Q149" s="26"/>
      <c r="R149" s="75"/>
    </row>
    <row r="150" spans="2:18" x14ac:dyDescent="0.25">
      <c r="B150" s="130"/>
      <c r="C150" s="130"/>
      <c r="D150" s="26">
        <v>143</v>
      </c>
      <c r="E150" s="75" t="s">
        <v>507</v>
      </c>
      <c r="F150" s="26" t="s">
        <v>11</v>
      </c>
      <c r="G150" s="26" t="s">
        <v>508</v>
      </c>
      <c r="H150" s="26" t="s">
        <v>7</v>
      </c>
      <c r="I150" s="26" t="s">
        <v>10</v>
      </c>
      <c r="J150" s="75"/>
      <c r="K150" s="30">
        <v>40884</v>
      </c>
      <c r="L150" s="26">
        <v>2011</v>
      </c>
      <c r="M150" s="26">
        <f t="shared" si="4"/>
        <v>8</v>
      </c>
      <c r="N150" s="26" t="s">
        <v>3</v>
      </c>
      <c r="O150" s="26"/>
      <c r="P150" s="75" t="s">
        <v>4</v>
      </c>
      <c r="Q150" s="26"/>
      <c r="R150" s="75"/>
    </row>
    <row r="151" spans="2:18" x14ac:dyDescent="0.25">
      <c r="B151" s="130">
        <v>44</v>
      </c>
      <c r="C151" s="130"/>
      <c r="D151" s="26">
        <v>144</v>
      </c>
      <c r="E151" s="75" t="s">
        <v>509</v>
      </c>
      <c r="F151" s="26" t="s">
        <v>5</v>
      </c>
      <c r="G151" s="26" t="s">
        <v>510</v>
      </c>
      <c r="H151" s="26" t="s">
        <v>1</v>
      </c>
      <c r="I151" s="26" t="s">
        <v>2</v>
      </c>
      <c r="J151" s="75"/>
      <c r="K151" s="30">
        <v>31879</v>
      </c>
      <c r="L151" s="26">
        <v>1987</v>
      </c>
      <c r="M151" s="26">
        <f t="shared" si="4"/>
        <v>32</v>
      </c>
      <c r="N151" s="26" t="s">
        <v>3</v>
      </c>
      <c r="O151" s="26"/>
      <c r="P151" s="75" t="s">
        <v>21</v>
      </c>
      <c r="Q151" s="26"/>
      <c r="R151" s="75"/>
    </row>
    <row r="152" spans="2:18" x14ac:dyDescent="0.25">
      <c r="B152" s="130"/>
      <c r="C152" s="130"/>
      <c r="D152" s="26">
        <v>145</v>
      </c>
      <c r="E152" s="75" t="s">
        <v>511</v>
      </c>
      <c r="F152" s="26" t="s">
        <v>9</v>
      </c>
      <c r="G152" s="26" t="s">
        <v>512</v>
      </c>
      <c r="H152" s="26" t="s">
        <v>7</v>
      </c>
      <c r="I152" s="26" t="s">
        <v>2</v>
      </c>
      <c r="J152" s="75"/>
      <c r="K152" s="30">
        <v>34030</v>
      </c>
      <c r="L152" s="26">
        <v>1993</v>
      </c>
      <c r="M152" s="26">
        <f t="shared" si="4"/>
        <v>26</v>
      </c>
      <c r="N152" s="26" t="s">
        <v>3</v>
      </c>
      <c r="O152" s="26"/>
      <c r="P152" s="75" t="s">
        <v>119</v>
      </c>
      <c r="Q152" s="26"/>
      <c r="R152" s="75"/>
    </row>
    <row r="153" spans="2:18" ht="25.5" x14ac:dyDescent="0.25">
      <c r="B153" s="130">
        <v>45</v>
      </c>
      <c r="C153" s="130" t="s">
        <v>896</v>
      </c>
      <c r="D153" s="26">
        <v>146</v>
      </c>
      <c r="E153" s="75" t="s">
        <v>513</v>
      </c>
      <c r="F153" s="26" t="s">
        <v>5</v>
      </c>
      <c r="G153" s="26" t="s">
        <v>514</v>
      </c>
      <c r="H153" s="26" t="s">
        <v>1</v>
      </c>
      <c r="I153" s="26" t="s">
        <v>2</v>
      </c>
      <c r="J153" s="75" t="s">
        <v>820</v>
      </c>
      <c r="K153" s="30">
        <v>15523</v>
      </c>
      <c r="L153" s="26">
        <v>1942</v>
      </c>
      <c r="M153" s="26">
        <f t="shared" si="4"/>
        <v>77</v>
      </c>
      <c r="N153" s="26" t="s">
        <v>3</v>
      </c>
      <c r="O153" s="26" t="s">
        <v>821</v>
      </c>
      <c r="P153" s="75" t="s">
        <v>824</v>
      </c>
      <c r="Q153" s="26"/>
      <c r="R153" s="75" t="s">
        <v>840</v>
      </c>
    </row>
    <row r="154" spans="2:18" ht="25.5" x14ac:dyDescent="0.25">
      <c r="B154" s="130"/>
      <c r="C154" s="130"/>
      <c r="D154" s="26">
        <v>147</v>
      </c>
      <c r="E154" s="75" t="s">
        <v>515</v>
      </c>
      <c r="F154" s="26" t="s">
        <v>9</v>
      </c>
      <c r="G154" s="26" t="s">
        <v>898</v>
      </c>
      <c r="H154" s="26" t="s">
        <v>7</v>
      </c>
      <c r="I154" s="26" t="s">
        <v>2</v>
      </c>
      <c r="J154" s="75" t="s">
        <v>839</v>
      </c>
      <c r="K154" s="30">
        <v>21002</v>
      </c>
      <c r="L154" s="26">
        <v>1957</v>
      </c>
      <c r="M154" s="26">
        <f t="shared" si="4"/>
        <v>62</v>
      </c>
      <c r="N154" s="26" t="s">
        <v>3</v>
      </c>
      <c r="O154" s="26" t="s">
        <v>821</v>
      </c>
      <c r="P154" s="75" t="s">
        <v>824</v>
      </c>
      <c r="Q154" s="26"/>
      <c r="R154" s="75" t="s">
        <v>899</v>
      </c>
    </row>
    <row r="155" spans="2:18" ht="25.5" x14ac:dyDescent="0.25">
      <c r="B155" s="130"/>
      <c r="C155" s="130"/>
      <c r="D155" s="26">
        <v>148</v>
      </c>
      <c r="E155" s="75" t="s">
        <v>516</v>
      </c>
      <c r="F155" s="26" t="s">
        <v>11</v>
      </c>
      <c r="G155" s="26" t="s">
        <v>517</v>
      </c>
      <c r="H155" s="26" t="s">
        <v>7</v>
      </c>
      <c r="I155" s="26" t="s">
        <v>10</v>
      </c>
      <c r="J155" s="75" t="s">
        <v>820</v>
      </c>
      <c r="K155" s="30">
        <v>35177</v>
      </c>
      <c r="L155" s="26">
        <v>1996</v>
      </c>
      <c r="M155" s="26">
        <f t="shared" si="4"/>
        <v>23</v>
      </c>
      <c r="N155" s="26" t="s">
        <v>3</v>
      </c>
      <c r="O155" s="26" t="s">
        <v>821</v>
      </c>
      <c r="P155" s="75" t="s">
        <v>860</v>
      </c>
      <c r="Q155" s="26"/>
      <c r="R155" s="75" t="s">
        <v>828</v>
      </c>
    </row>
    <row r="156" spans="2:18" ht="25.5" x14ac:dyDescent="0.25">
      <c r="B156" s="130"/>
      <c r="C156" s="130"/>
      <c r="D156" s="26">
        <v>149</v>
      </c>
      <c r="E156" s="75" t="s">
        <v>518</v>
      </c>
      <c r="F156" s="26" t="s">
        <v>11</v>
      </c>
      <c r="G156" s="26" t="s">
        <v>897</v>
      </c>
      <c r="H156" s="26" t="s">
        <v>1</v>
      </c>
      <c r="I156" s="26" t="s">
        <v>10</v>
      </c>
      <c r="J156" s="75" t="s">
        <v>820</v>
      </c>
      <c r="K156" s="30">
        <v>35909</v>
      </c>
      <c r="L156" s="26">
        <v>1998</v>
      </c>
      <c r="M156" s="26">
        <f t="shared" si="4"/>
        <v>21</v>
      </c>
      <c r="N156" s="26" t="s">
        <v>3</v>
      </c>
      <c r="O156" s="26" t="s">
        <v>821</v>
      </c>
      <c r="P156" s="75" t="s">
        <v>831</v>
      </c>
      <c r="Q156" s="26"/>
      <c r="R156" s="75" t="s">
        <v>828</v>
      </c>
    </row>
    <row r="157" spans="2:18" ht="25.5" x14ac:dyDescent="0.25">
      <c r="B157" s="130">
        <v>46</v>
      </c>
      <c r="C157" s="130" t="s">
        <v>873</v>
      </c>
      <c r="D157" s="26">
        <v>150</v>
      </c>
      <c r="E157" s="75" t="s">
        <v>519</v>
      </c>
      <c r="F157" s="26" t="s">
        <v>5</v>
      </c>
      <c r="G157" s="26" t="s">
        <v>874</v>
      </c>
      <c r="H157" s="26" t="s">
        <v>1</v>
      </c>
      <c r="I157" s="26" t="s">
        <v>2</v>
      </c>
      <c r="J157" s="75" t="s">
        <v>839</v>
      </c>
      <c r="K157" s="30">
        <v>25750</v>
      </c>
      <c r="L157" s="26">
        <v>1970</v>
      </c>
      <c r="M157" s="26">
        <f t="shared" si="4"/>
        <v>49</v>
      </c>
      <c r="N157" s="26" t="s">
        <v>3</v>
      </c>
      <c r="O157" s="26" t="s">
        <v>821</v>
      </c>
      <c r="P157" s="75" t="s">
        <v>824</v>
      </c>
      <c r="Q157" s="26"/>
      <c r="R157" s="75" t="s">
        <v>877</v>
      </c>
    </row>
    <row r="158" spans="2:18" ht="25.5" x14ac:dyDescent="0.25">
      <c r="B158" s="130"/>
      <c r="C158" s="130"/>
      <c r="D158" s="26">
        <v>151</v>
      </c>
      <c r="E158" s="75" t="s">
        <v>520</v>
      </c>
      <c r="F158" s="26" t="s">
        <v>9</v>
      </c>
      <c r="G158" s="26" t="s">
        <v>521</v>
      </c>
      <c r="H158" s="26" t="s">
        <v>7</v>
      </c>
      <c r="I158" s="26" t="s">
        <v>2</v>
      </c>
      <c r="J158" s="75" t="s">
        <v>876</v>
      </c>
      <c r="K158" s="30">
        <v>26481</v>
      </c>
      <c r="L158" s="26">
        <v>1972</v>
      </c>
      <c r="M158" s="26">
        <f t="shared" si="4"/>
        <v>47</v>
      </c>
      <c r="N158" s="26" t="s">
        <v>3</v>
      </c>
      <c r="O158" s="26" t="s">
        <v>821</v>
      </c>
      <c r="P158" s="75" t="s">
        <v>824</v>
      </c>
      <c r="Q158" s="26"/>
      <c r="R158" s="75" t="s">
        <v>877</v>
      </c>
    </row>
    <row r="159" spans="2:18" ht="25.5" x14ac:dyDescent="0.25">
      <c r="B159" s="130"/>
      <c r="C159" s="130"/>
      <c r="D159" s="26">
        <v>152</v>
      </c>
      <c r="E159" s="75" t="s">
        <v>236</v>
      </c>
      <c r="F159" s="26" t="s">
        <v>11</v>
      </c>
      <c r="G159" s="26" t="s">
        <v>875</v>
      </c>
      <c r="H159" s="26" t="s">
        <v>7</v>
      </c>
      <c r="I159" s="26" t="s">
        <v>10</v>
      </c>
      <c r="J159" s="75" t="s">
        <v>820</v>
      </c>
      <c r="K159" s="30">
        <v>39543</v>
      </c>
      <c r="L159" s="26">
        <v>2008</v>
      </c>
      <c r="M159" s="26">
        <f t="shared" si="4"/>
        <v>11</v>
      </c>
      <c r="N159" s="26" t="s">
        <v>3</v>
      </c>
      <c r="O159" s="26" t="s">
        <v>821</v>
      </c>
      <c r="P159" s="75" t="s">
        <v>824</v>
      </c>
      <c r="Q159" s="26"/>
      <c r="R159" s="75" t="s">
        <v>825</v>
      </c>
    </row>
    <row r="160" spans="2:18" ht="25.5" x14ac:dyDescent="0.25">
      <c r="B160" s="130">
        <v>47</v>
      </c>
      <c r="C160" s="130" t="s">
        <v>1279</v>
      </c>
      <c r="D160" s="26">
        <v>153</v>
      </c>
      <c r="E160" s="75" t="s">
        <v>522</v>
      </c>
      <c r="F160" s="26" t="s">
        <v>5</v>
      </c>
      <c r="G160" s="26" t="s">
        <v>523</v>
      </c>
      <c r="H160" s="26" t="s">
        <v>1</v>
      </c>
      <c r="I160" s="26" t="s">
        <v>2</v>
      </c>
      <c r="J160" s="75" t="s">
        <v>839</v>
      </c>
      <c r="K160" s="30">
        <v>19176</v>
      </c>
      <c r="L160" s="26">
        <v>1952</v>
      </c>
      <c r="M160" s="26">
        <f t="shared" si="4"/>
        <v>67</v>
      </c>
      <c r="N160" s="26" t="s">
        <v>3</v>
      </c>
      <c r="O160" s="26" t="s">
        <v>821</v>
      </c>
      <c r="P160" s="75" t="s">
        <v>824</v>
      </c>
      <c r="Q160" s="26"/>
      <c r="R160" s="75" t="s">
        <v>826</v>
      </c>
    </row>
    <row r="161" spans="2:18" ht="25.5" x14ac:dyDescent="0.25">
      <c r="B161" s="130"/>
      <c r="C161" s="130"/>
      <c r="D161" s="26">
        <v>154</v>
      </c>
      <c r="E161" s="75" t="s">
        <v>1280</v>
      </c>
      <c r="F161" s="26" t="s">
        <v>9</v>
      </c>
      <c r="G161" s="26" t="s">
        <v>1281</v>
      </c>
      <c r="H161" s="26" t="s">
        <v>7</v>
      </c>
      <c r="I161" s="26" t="s">
        <v>2</v>
      </c>
      <c r="J161" s="75" t="s">
        <v>839</v>
      </c>
      <c r="K161" s="30">
        <v>20679</v>
      </c>
      <c r="L161" s="26">
        <v>1956</v>
      </c>
      <c r="M161" s="26">
        <f t="shared" si="4"/>
        <v>63</v>
      </c>
      <c r="N161" s="26" t="s">
        <v>3</v>
      </c>
      <c r="O161" s="26" t="s">
        <v>821</v>
      </c>
      <c r="P161" s="75" t="s">
        <v>824</v>
      </c>
      <c r="Q161" s="26"/>
      <c r="R161" s="75" t="s">
        <v>826</v>
      </c>
    </row>
    <row r="162" spans="2:18" ht="25.5" x14ac:dyDescent="0.25">
      <c r="B162" s="130"/>
      <c r="C162" s="130"/>
      <c r="D162" s="26">
        <v>155</v>
      </c>
      <c r="E162" s="75" t="s">
        <v>1282</v>
      </c>
      <c r="F162" s="26" t="s">
        <v>11</v>
      </c>
      <c r="G162" s="26" t="s">
        <v>1283</v>
      </c>
      <c r="H162" s="26" t="s">
        <v>1</v>
      </c>
      <c r="I162" s="26" t="s">
        <v>10</v>
      </c>
      <c r="J162" s="75" t="s">
        <v>839</v>
      </c>
      <c r="K162" s="30">
        <v>36221</v>
      </c>
      <c r="L162" s="26">
        <v>1999</v>
      </c>
      <c r="M162" s="26">
        <f t="shared" si="4"/>
        <v>20</v>
      </c>
      <c r="N162" s="26" t="s">
        <v>3</v>
      </c>
      <c r="O162" s="26" t="s">
        <v>821</v>
      </c>
      <c r="P162" s="75" t="s">
        <v>831</v>
      </c>
      <c r="Q162" s="26"/>
      <c r="R162" s="75" t="s">
        <v>828</v>
      </c>
    </row>
    <row r="163" spans="2:18" x14ac:dyDescent="0.25">
      <c r="B163" s="130"/>
      <c r="C163" s="130"/>
      <c r="D163" s="26">
        <v>156</v>
      </c>
      <c r="E163" s="75" t="s">
        <v>524</v>
      </c>
      <c r="F163" s="26" t="s">
        <v>11</v>
      </c>
      <c r="G163" s="26"/>
      <c r="H163" s="26" t="s">
        <v>7</v>
      </c>
      <c r="I163" s="26" t="s">
        <v>10</v>
      </c>
      <c r="J163" s="75"/>
      <c r="K163" s="30">
        <v>38079</v>
      </c>
      <c r="L163" s="26">
        <v>2004</v>
      </c>
      <c r="M163" s="26">
        <f t="shared" si="4"/>
        <v>15</v>
      </c>
      <c r="N163" s="26" t="s">
        <v>3</v>
      </c>
      <c r="O163" s="26" t="s">
        <v>821</v>
      </c>
      <c r="P163" s="75" t="s">
        <v>4</v>
      </c>
      <c r="Q163" s="26"/>
      <c r="R163" s="75"/>
    </row>
    <row r="164" spans="2:18" ht="25.5" x14ac:dyDescent="0.25">
      <c r="B164" s="130">
        <v>48</v>
      </c>
      <c r="C164" s="130" t="s">
        <v>1284</v>
      </c>
      <c r="D164" s="26">
        <v>157</v>
      </c>
      <c r="E164" s="75" t="s">
        <v>525</v>
      </c>
      <c r="F164" s="26" t="s">
        <v>5</v>
      </c>
      <c r="G164" s="26" t="s">
        <v>1285</v>
      </c>
      <c r="H164" s="26" t="s">
        <v>1</v>
      </c>
      <c r="I164" s="26" t="s">
        <v>2</v>
      </c>
      <c r="J164" s="75" t="s">
        <v>820</v>
      </c>
      <c r="K164" s="30">
        <v>33969</v>
      </c>
      <c r="L164" s="26">
        <v>1992</v>
      </c>
      <c r="M164" s="26">
        <f t="shared" si="4"/>
        <v>27</v>
      </c>
      <c r="N164" s="26" t="s">
        <v>3</v>
      </c>
      <c r="O164" s="26" t="s">
        <v>821</v>
      </c>
      <c r="P164" s="75" t="s">
        <v>823</v>
      </c>
      <c r="Q164" s="26"/>
      <c r="R164" s="75" t="s">
        <v>54</v>
      </c>
    </row>
    <row r="165" spans="2:18" ht="25.5" x14ac:dyDescent="0.25">
      <c r="B165" s="130"/>
      <c r="C165" s="130"/>
      <c r="D165" s="26">
        <v>158</v>
      </c>
      <c r="E165" s="75" t="s">
        <v>526</v>
      </c>
      <c r="F165" s="26" t="s">
        <v>9</v>
      </c>
      <c r="G165" s="26" t="s">
        <v>1286</v>
      </c>
      <c r="H165" s="26" t="s">
        <v>7</v>
      </c>
      <c r="I165" s="26" t="s">
        <v>2</v>
      </c>
      <c r="J165" s="75" t="s">
        <v>1287</v>
      </c>
      <c r="K165" s="30">
        <v>33728</v>
      </c>
      <c r="L165" s="26">
        <v>1992</v>
      </c>
      <c r="M165" s="26">
        <f t="shared" si="4"/>
        <v>27</v>
      </c>
      <c r="N165" s="26" t="s">
        <v>3</v>
      </c>
      <c r="O165" s="26" t="s">
        <v>821</v>
      </c>
      <c r="P165" s="75" t="s">
        <v>823</v>
      </c>
      <c r="Q165" s="26"/>
      <c r="R165" s="75" t="s">
        <v>827</v>
      </c>
    </row>
    <row r="166" spans="2:18" ht="25.5" x14ac:dyDescent="0.25">
      <c r="B166" s="130"/>
      <c r="C166" s="130"/>
      <c r="D166" s="26">
        <v>159</v>
      </c>
      <c r="E166" s="75" t="s">
        <v>527</v>
      </c>
      <c r="F166" s="26" t="s">
        <v>11</v>
      </c>
      <c r="G166" s="26" t="s">
        <v>1288</v>
      </c>
      <c r="H166" s="26" t="s">
        <v>1</v>
      </c>
      <c r="I166" s="26" t="s">
        <v>10</v>
      </c>
      <c r="J166" s="75" t="s">
        <v>820</v>
      </c>
      <c r="K166" s="30">
        <v>41082</v>
      </c>
      <c r="L166" s="26">
        <v>2012</v>
      </c>
      <c r="M166" s="26">
        <f t="shared" si="4"/>
        <v>7</v>
      </c>
      <c r="N166" s="26" t="s">
        <v>3</v>
      </c>
      <c r="O166" s="26" t="s">
        <v>821</v>
      </c>
      <c r="P166" s="75" t="s">
        <v>824</v>
      </c>
      <c r="Q166" s="26"/>
      <c r="R166" s="75" t="s">
        <v>825</v>
      </c>
    </row>
    <row r="167" spans="2:18" ht="25.5" x14ac:dyDescent="0.25">
      <c r="B167" s="130">
        <v>49</v>
      </c>
      <c r="C167" s="130" t="s">
        <v>1289</v>
      </c>
      <c r="D167" s="26">
        <v>160</v>
      </c>
      <c r="E167" s="75" t="s">
        <v>528</v>
      </c>
      <c r="F167" s="26" t="s">
        <v>5</v>
      </c>
      <c r="G167" s="26" t="s">
        <v>1290</v>
      </c>
      <c r="H167" s="26" t="s">
        <v>1</v>
      </c>
      <c r="I167" s="26" t="s">
        <v>2</v>
      </c>
      <c r="J167" s="75" t="s">
        <v>839</v>
      </c>
      <c r="K167" s="30">
        <v>28691</v>
      </c>
      <c r="L167" s="26">
        <v>1978</v>
      </c>
      <c r="M167" s="26">
        <f t="shared" si="4"/>
        <v>41</v>
      </c>
      <c r="N167" s="26" t="s">
        <v>3</v>
      </c>
      <c r="O167" s="26" t="s">
        <v>821</v>
      </c>
      <c r="P167" s="75" t="s">
        <v>823</v>
      </c>
      <c r="Q167" s="26"/>
      <c r="R167" s="75" t="s">
        <v>826</v>
      </c>
    </row>
    <row r="168" spans="2:18" ht="25.5" x14ac:dyDescent="0.25">
      <c r="B168" s="130"/>
      <c r="C168" s="130"/>
      <c r="D168" s="26">
        <v>161</v>
      </c>
      <c r="E168" s="75" t="s">
        <v>529</v>
      </c>
      <c r="F168" s="26" t="s">
        <v>9</v>
      </c>
      <c r="G168" s="26" t="s">
        <v>1291</v>
      </c>
      <c r="H168" s="26" t="s">
        <v>7</v>
      </c>
      <c r="I168" s="26" t="s">
        <v>2</v>
      </c>
      <c r="J168" s="75" t="s">
        <v>1292</v>
      </c>
      <c r="K168" s="30">
        <v>29586</v>
      </c>
      <c r="L168" s="26">
        <v>1980</v>
      </c>
      <c r="M168" s="26">
        <f t="shared" si="4"/>
        <v>39</v>
      </c>
      <c r="N168" s="26" t="s">
        <v>3</v>
      </c>
      <c r="O168" s="26" t="s">
        <v>821</v>
      </c>
      <c r="P168" s="75" t="s">
        <v>823</v>
      </c>
      <c r="Q168" s="26"/>
      <c r="R168" s="75" t="s">
        <v>826</v>
      </c>
    </row>
    <row r="169" spans="2:18" ht="25.5" x14ac:dyDescent="0.25">
      <c r="B169" s="130"/>
      <c r="C169" s="130"/>
      <c r="D169" s="26">
        <v>162</v>
      </c>
      <c r="E169" s="75" t="s">
        <v>1293</v>
      </c>
      <c r="F169" s="26" t="s">
        <v>11</v>
      </c>
      <c r="G169" s="26" t="s">
        <v>1294</v>
      </c>
      <c r="H169" s="26" t="s">
        <v>7</v>
      </c>
      <c r="I169" s="26" t="s">
        <v>10</v>
      </c>
      <c r="J169" s="75" t="s">
        <v>820</v>
      </c>
      <c r="K169" s="30">
        <v>40365</v>
      </c>
      <c r="L169" s="26">
        <v>2010</v>
      </c>
      <c r="M169" s="26">
        <f t="shared" si="4"/>
        <v>9</v>
      </c>
      <c r="N169" s="26" t="s">
        <v>3</v>
      </c>
      <c r="O169" s="26" t="s">
        <v>821</v>
      </c>
      <c r="P169" s="75" t="s">
        <v>824</v>
      </c>
      <c r="Q169" s="26"/>
      <c r="R169" s="75" t="s">
        <v>825</v>
      </c>
    </row>
    <row r="170" spans="2:18" ht="25.5" x14ac:dyDescent="0.25">
      <c r="B170" s="130"/>
      <c r="C170" s="130"/>
      <c r="D170" s="26">
        <v>163</v>
      </c>
      <c r="E170" s="75" t="s">
        <v>1295</v>
      </c>
      <c r="F170" s="26" t="s">
        <v>11</v>
      </c>
      <c r="G170" s="26" t="s">
        <v>1296</v>
      </c>
      <c r="H170" s="26" t="s">
        <v>7</v>
      </c>
      <c r="I170" s="26" t="s">
        <v>10</v>
      </c>
      <c r="J170" s="75" t="s">
        <v>830</v>
      </c>
      <c r="K170" s="30">
        <v>42878</v>
      </c>
      <c r="L170" s="26">
        <v>2017</v>
      </c>
      <c r="M170" s="26">
        <f t="shared" si="4"/>
        <v>2</v>
      </c>
      <c r="N170" s="26" t="s">
        <v>3</v>
      </c>
      <c r="O170" s="26" t="s">
        <v>821</v>
      </c>
      <c r="P170" s="75" t="s">
        <v>824</v>
      </c>
      <c r="Q170" s="26"/>
      <c r="R170" s="75" t="s">
        <v>825</v>
      </c>
    </row>
    <row r="171" spans="2:18" ht="25.5" x14ac:dyDescent="0.25">
      <c r="B171" s="130">
        <v>50</v>
      </c>
      <c r="C171" s="130" t="s">
        <v>1297</v>
      </c>
      <c r="D171" s="26">
        <v>164</v>
      </c>
      <c r="E171" s="75" t="s">
        <v>1298</v>
      </c>
      <c r="F171" s="26" t="s">
        <v>5</v>
      </c>
      <c r="G171" s="26" t="s">
        <v>1299</v>
      </c>
      <c r="H171" s="26" t="s">
        <v>1</v>
      </c>
      <c r="I171" s="26" t="s">
        <v>2</v>
      </c>
      <c r="J171" s="75" t="s">
        <v>839</v>
      </c>
      <c r="K171" s="30">
        <v>29314</v>
      </c>
      <c r="L171" s="26">
        <v>1980</v>
      </c>
      <c r="M171" s="26">
        <f t="shared" si="4"/>
        <v>39</v>
      </c>
      <c r="N171" s="26" t="s">
        <v>3</v>
      </c>
      <c r="O171" s="26" t="s">
        <v>821</v>
      </c>
      <c r="P171" s="75" t="s">
        <v>823</v>
      </c>
      <c r="Q171" s="26"/>
      <c r="R171" s="75" t="s">
        <v>54</v>
      </c>
    </row>
    <row r="172" spans="2:18" ht="25.5" x14ac:dyDescent="0.25">
      <c r="B172" s="130"/>
      <c r="C172" s="130"/>
      <c r="D172" s="26">
        <v>165</v>
      </c>
      <c r="E172" s="75" t="s">
        <v>530</v>
      </c>
      <c r="F172" s="26" t="s">
        <v>9</v>
      </c>
      <c r="G172" s="26" t="s">
        <v>1300</v>
      </c>
      <c r="H172" s="26" t="s">
        <v>7</v>
      </c>
      <c r="I172" s="26" t="s">
        <v>2</v>
      </c>
      <c r="J172" s="75" t="s">
        <v>839</v>
      </c>
      <c r="K172" s="30">
        <v>33396</v>
      </c>
      <c r="L172" s="26">
        <v>1991</v>
      </c>
      <c r="M172" s="26">
        <f t="shared" si="4"/>
        <v>28</v>
      </c>
      <c r="N172" s="26" t="s">
        <v>3</v>
      </c>
      <c r="O172" s="26" t="s">
        <v>821</v>
      </c>
      <c r="P172" s="75" t="s">
        <v>823</v>
      </c>
      <c r="Q172" s="26"/>
      <c r="R172" s="75" t="s">
        <v>54</v>
      </c>
    </row>
    <row r="173" spans="2:18" ht="25.5" x14ac:dyDescent="0.25">
      <c r="B173" s="130"/>
      <c r="C173" s="130"/>
      <c r="D173" s="26">
        <v>166</v>
      </c>
      <c r="E173" s="75" t="s">
        <v>1301</v>
      </c>
      <c r="F173" s="26" t="s">
        <v>11</v>
      </c>
      <c r="G173" s="26" t="s">
        <v>1302</v>
      </c>
      <c r="H173" s="26" t="s">
        <v>7</v>
      </c>
      <c r="I173" s="26" t="s">
        <v>10</v>
      </c>
      <c r="J173" s="75" t="s">
        <v>839</v>
      </c>
      <c r="K173" s="30">
        <v>40394</v>
      </c>
      <c r="L173" s="26">
        <v>2010</v>
      </c>
      <c r="M173" s="26">
        <f t="shared" si="4"/>
        <v>9</v>
      </c>
      <c r="N173" s="26" t="s">
        <v>3</v>
      </c>
      <c r="O173" s="26" t="s">
        <v>821</v>
      </c>
      <c r="P173" s="75" t="s">
        <v>824</v>
      </c>
      <c r="Q173" s="26"/>
      <c r="R173" s="75" t="s">
        <v>825</v>
      </c>
    </row>
    <row r="174" spans="2:18" x14ac:dyDescent="0.25">
      <c r="B174" s="130"/>
      <c r="C174" s="130"/>
      <c r="D174" s="26">
        <v>167</v>
      </c>
      <c r="E174" s="75" t="s">
        <v>531</v>
      </c>
      <c r="F174" s="26" t="s">
        <v>11</v>
      </c>
      <c r="G174" s="26"/>
      <c r="H174" s="26" t="s">
        <v>1</v>
      </c>
      <c r="I174" s="26" t="s">
        <v>10</v>
      </c>
      <c r="J174" s="75"/>
      <c r="K174" s="30">
        <v>40945</v>
      </c>
      <c r="L174" s="26">
        <v>2012</v>
      </c>
      <c r="M174" s="26">
        <f t="shared" si="4"/>
        <v>7</v>
      </c>
      <c r="N174" s="26" t="s">
        <v>3</v>
      </c>
      <c r="O174" s="26"/>
      <c r="P174" s="75" t="s">
        <v>4</v>
      </c>
      <c r="Q174" s="26"/>
      <c r="R174" s="75"/>
    </row>
    <row r="175" spans="2:18" ht="25.5" x14ac:dyDescent="0.25">
      <c r="B175" s="130">
        <v>51</v>
      </c>
      <c r="C175" s="130" t="s">
        <v>1303</v>
      </c>
      <c r="D175" s="26">
        <v>168</v>
      </c>
      <c r="E175" s="75" t="s">
        <v>121</v>
      </c>
      <c r="F175" s="26" t="s">
        <v>5</v>
      </c>
      <c r="G175" s="26" t="s">
        <v>532</v>
      </c>
      <c r="H175" s="26" t="s">
        <v>1</v>
      </c>
      <c r="I175" s="26" t="s">
        <v>2</v>
      </c>
      <c r="J175" s="75" t="s">
        <v>839</v>
      </c>
      <c r="K175" s="30">
        <v>27759</v>
      </c>
      <c r="L175" s="26">
        <v>1975</v>
      </c>
      <c r="M175" s="26">
        <f t="shared" si="4"/>
        <v>44</v>
      </c>
      <c r="N175" s="26" t="s">
        <v>3</v>
      </c>
      <c r="O175" s="26" t="s">
        <v>821</v>
      </c>
      <c r="P175" s="75" t="s">
        <v>823</v>
      </c>
      <c r="Q175" s="26"/>
      <c r="R175" s="75" t="s">
        <v>826</v>
      </c>
    </row>
    <row r="176" spans="2:18" ht="25.5" x14ac:dyDescent="0.25">
      <c r="B176" s="130"/>
      <c r="C176" s="130"/>
      <c r="D176" s="26">
        <v>169</v>
      </c>
      <c r="E176" s="75" t="s">
        <v>1304</v>
      </c>
      <c r="F176" s="26" t="s">
        <v>9</v>
      </c>
      <c r="G176" s="26" t="s">
        <v>1305</v>
      </c>
      <c r="H176" s="26" t="s">
        <v>7</v>
      </c>
      <c r="I176" s="26" t="s">
        <v>2</v>
      </c>
      <c r="J176" s="75" t="s">
        <v>839</v>
      </c>
      <c r="K176" s="30">
        <v>28672</v>
      </c>
      <c r="L176" s="26">
        <v>1978</v>
      </c>
      <c r="M176" s="26">
        <f t="shared" si="4"/>
        <v>41</v>
      </c>
      <c r="N176" s="26" t="s">
        <v>3</v>
      </c>
      <c r="O176" s="26" t="s">
        <v>821</v>
      </c>
      <c r="P176" s="75" t="s">
        <v>823</v>
      </c>
      <c r="Q176" s="26"/>
      <c r="R176" s="75" t="s">
        <v>840</v>
      </c>
    </row>
    <row r="177" spans="2:18" ht="25.5" x14ac:dyDescent="0.25">
      <c r="B177" s="130"/>
      <c r="C177" s="130"/>
      <c r="D177" s="26">
        <v>170</v>
      </c>
      <c r="E177" s="75" t="s">
        <v>1306</v>
      </c>
      <c r="F177" s="26" t="s">
        <v>11</v>
      </c>
      <c r="G177" s="26" t="s">
        <v>1307</v>
      </c>
      <c r="H177" s="26" t="s">
        <v>1</v>
      </c>
      <c r="I177" s="26" t="s">
        <v>129</v>
      </c>
      <c r="J177" s="75" t="s">
        <v>820</v>
      </c>
      <c r="K177" s="30">
        <v>35844</v>
      </c>
      <c r="L177" s="26">
        <v>1998</v>
      </c>
      <c r="M177" s="26">
        <f t="shared" si="4"/>
        <v>21</v>
      </c>
      <c r="N177" s="26" t="s">
        <v>3</v>
      </c>
      <c r="O177" s="26" t="s">
        <v>821</v>
      </c>
      <c r="P177" s="75" t="s">
        <v>831</v>
      </c>
      <c r="Q177" s="26"/>
      <c r="R177" s="75" t="s">
        <v>828</v>
      </c>
    </row>
    <row r="178" spans="2:18" ht="25.5" x14ac:dyDescent="0.25">
      <c r="B178" s="130"/>
      <c r="C178" s="130"/>
      <c r="D178" s="26">
        <v>171</v>
      </c>
      <c r="E178" s="75" t="s">
        <v>1308</v>
      </c>
      <c r="F178" s="26" t="s">
        <v>11</v>
      </c>
      <c r="G178" s="26" t="s">
        <v>1309</v>
      </c>
      <c r="H178" s="26" t="s">
        <v>7</v>
      </c>
      <c r="I178" s="26" t="s">
        <v>10</v>
      </c>
      <c r="J178" s="75" t="s">
        <v>820</v>
      </c>
      <c r="K178" s="30">
        <v>36891</v>
      </c>
      <c r="L178" s="26">
        <v>2000</v>
      </c>
      <c r="M178" s="26">
        <f t="shared" si="4"/>
        <v>19</v>
      </c>
      <c r="N178" s="26" t="s">
        <v>3</v>
      </c>
      <c r="O178" s="26" t="s">
        <v>821</v>
      </c>
      <c r="P178" s="75" t="s">
        <v>831</v>
      </c>
      <c r="Q178" s="26"/>
      <c r="R178" s="75" t="s">
        <v>828</v>
      </c>
    </row>
    <row r="179" spans="2:18" ht="25.5" x14ac:dyDescent="0.25">
      <c r="B179" s="130"/>
      <c r="C179" s="130"/>
      <c r="D179" s="26">
        <v>172</v>
      </c>
      <c r="E179" s="75" t="s">
        <v>1310</v>
      </c>
      <c r="F179" s="26" t="s">
        <v>11</v>
      </c>
      <c r="G179" s="26" t="s">
        <v>1311</v>
      </c>
      <c r="H179" s="26" t="s">
        <v>7</v>
      </c>
      <c r="I179" s="26" t="s">
        <v>10</v>
      </c>
      <c r="J179" s="75" t="s">
        <v>820</v>
      </c>
      <c r="K179" s="30">
        <v>42689</v>
      </c>
      <c r="L179" s="26">
        <v>2016</v>
      </c>
      <c r="M179" s="26">
        <f t="shared" si="4"/>
        <v>3</v>
      </c>
      <c r="N179" s="26" t="s">
        <v>3</v>
      </c>
      <c r="O179" s="26" t="s">
        <v>821</v>
      </c>
      <c r="P179" s="75" t="s">
        <v>824</v>
      </c>
      <c r="Q179" s="26"/>
      <c r="R179" s="75" t="s">
        <v>825</v>
      </c>
    </row>
    <row r="180" spans="2:18" ht="25.5" x14ac:dyDescent="0.25">
      <c r="B180" s="130">
        <v>52</v>
      </c>
      <c r="C180" s="130" t="s">
        <v>1794</v>
      </c>
      <c r="D180" s="26">
        <v>173</v>
      </c>
      <c r="E180" s="75" t="s">
        <v>533</v>
      </c>
      <c r="F180" s="26" t="s">
        <v>5</v>
      </c>
      <c r="G180" s="26" t="s">
        <v>534</v>
      </c>
      <c r="H180" s="26" t="s">
        <v>1</v>
      </c>
      <c r="I180" s="26" t="s">
        <v>2</v>
      </c>
      <c r="J180" s="75" t="s">
        <v>820</v>
      </c>
      <c r="K180" s="30">
        <v>26883</v>
      </c>
      <c r="L180" s="26">
        <v>1973</v>
      </c>
      <c r="M180" s="26">
        <f t="shared" si="4"/>
        <v>46</v>
      </c>
      <c r="N180" s="26" t="s">
        <v>3</v>
      </c>
      <c r="O180" s="26" t="s">
        <v>821</v>
      </c>
      <c r="P180" s="75" t="s">
        <v>823</v>
      </c>
      <c r="Q180" s="26"/>
      <c r="R180" s="75" t="s">
        <v>826</v>
      </c>
    </row>
    <row r="181" spans="2:18" ht="25.5" x14ac:dyDescent="0.25">
      <c r="B181" s="130"/>
      <c r="C181" s="130"/>
      <c r="D181" s="26">
        <v>174</v>
      </c>
      <c r="E181" s="75" t="s">
        <v>535</v>
      </c>
      <c r="F181" s="26" t="s">
        <v>9</v>
      </c>
      <c r="G181" s="26" t="s">
        <v>536</v>
      </c>
      <c r="H181" s="26" t="s">
        <v>7</v>
      </c>
      <c r="I181" s="26" t="s">
        <v>2</v>
      </c>
      <c r="J181" s="75" t="s">
        <v>820</v>
      </c>
      <c r="K181" s="30">
        <v>25707</v>
      </c>
      <c r="L181" s="26">
        <v>1970</v>
      </c>
      <c r="M181" s="26">
        <f t="shared" si="4"/>
        <v>49</v>
      </c>
      <c r="N181" s="26" t="s">
        <v>3</v>
      </c>
      <c r="O181" s="26" t="s">
        <v>821</v>
      </c>
      <c r="P181" s="75" t="s">
        <v>823</v>
      </c>
      <c r="Q181" s="26"/>
      <c r="R181" s="75" t="s">
        <v>827</v>
      </c>
    </row>
    <row r="182" spans="2:18" ht="25.5" x14ac:dyDescent="0.25">
      <c r="B182" s="130"/>
      <c r="C182" s="130"/>
      <c r="D182" s="26">
        <v>175</v>
      </c>
      <c r="E182" s="75" t="s">
        <v>530</v>
      </c>
      <c r="F182" s="26" t="s">
        <v>11</v>
      </c>
      <c r="G182" s="26" t="s">
        <v>537</v>
      </c>
      <c r="H182" s="26" t="s">
        <v>7</v>
      </c>
      <c r="I182" s="26" t="s">
        <v>10</v>
      </c>
      <c r="J182" s="75" t="s">
        <v>820</v>
      </c>
      <c r="K182" s="30">
        <v>34373</v>
      </c>
      <c r="L182" s="26">
        <v>1994</v>
      </c>
      <c r="M182" s="26">
        <f t="shared" si="4"/>
        <v>25</v>
      </c>
      <c r="N182" s="26" t="s">
        <v>3</v>
      </c>
      <c r="O182" s="26" t="s">
        <v>821</v>
      </c>
      <c r="P182" s="75" t="s">
        <v>860</v>
      </c>
      <c r="Q182" s="26"/>
      <c r="R182" s="75" t="s">
        <v>825</v>
      </c>
    </row>
    <row r="183" spans="2:18" ht="25.5" x14ac:dyDescent="0.25">
      <c r="B183" s="130"/>
      <c r="C183" s="130"/>
      <c r="D183" s="26">
        <v>176</v>
      </c>
      <c r="E183" s="75" t="s">
        <v>538</v>
      </c>
      <c r="F183" s="26" t="s">
        <v>11</v>
      </c>
      <c r="G183" s="26" t="s">
        <v>539</v>
      </c>
      <c r="H183" s="26" t="s">
        <v>7</v>
      </c>
      <c r="I183" s="26" t="s">
        <v>10</v>
      </c>
      <c r="J183" s="75" t="s">
        <v>820</v>
      </c>
      <c r="K183" s="30">
        <v>37122</v>
      </c>
      <c r="L183" s="26">
        <v>2001</v>
      </c>
      <c r="M183" s="26">
        <f t="shared" si="4"/>
        <v>18</v>
      </c>
      <c r="N183" s="26" t="s">
        <v>3</v>
      </c>
      <c r="O183" s="26" t="s">
        <v>821</v>
      </c>
      <c r="P183" s="75" t="s">
        <v>822</v>
      </c>
      <c r="Q183" s="26"/>
      <c r="R183" s="75" t="s">
        <v>828</v>
      </c>
    </row>
    <row r="184" spans="2:18" ht="25.5" x14ac:dyDescent="0.25">
      <c r="B184" s="130"/>
      <c r="C184" s="130"/>
      <c r="D184" s="26">
        <v>177</v>
      </c>
      <c r="E184" s="75" t="s">
        <v>540</v>
      </c>
      <c r="F184" s="26" t="s">
        <v>11</v>
      </c>
      <c r="G184" s="26" t="s">
        <v>541</v>
      </c>
      <c r="H184" s="26" t="s">
        <v>7</v>
      </c>
      <c r="I184" s="26" t="s">
        <v>10</v>
      </c>
      <c r="J184" s="75" t="s">
        <v>820</v>
      </c>
      <c r="K184" s="30">
        <v>37846</v>
      </c>
      <c r="L184" s="26">
        <v>2003</v>
      </c>
      <c r="M184" s="26">
        <f t="shared" si="4"/>
        <v>16</v>
      </c>
      <c r="N184" s="26" t="s">
        <v>3</v>
      </c>
      <c r="O184" s="26" t="s">
        <v>821</v>
      </c>
      <c r="P184" s="75" t="s">
        <v>822</v>
      </c>
      <c r="Q184" s="26"/>
      <c r="R184" s="75" t="s">
        <v>828</v>
      </c>
    </row>
    <row r="185" spans="2:18" ht="25.5" x14ac:dyDescent="0.25">
      <c r="B185" s="130"/>
      <c r="C185" s="130"/>
      <c r="D185" s="26">
        <v>178</v>
      </c>
      <c r="E185" s="75" t="s">
        <v>542</v>
      </c>
      <c r="F185" s="26" t="s">
        <v>482</v>
      </c>
      <c r="G185" s="26" t="s">
        <v>543</v>
      </c>
      <c r="H185" s="26" t="s">
        <v>1</v>
      </c>
      <c r="I185" s="26" t="s">
        <v>10</v>
      </c>
      <c r="J185" s="75" t="s">
        <v>820</v>
      </c>
      <c r="K185" s="30">
        <v>38669</v>
      </c>
      <c r="L185" s="26">
        <v>2005</v>
      </c>
      <c r="M185" s="26">
        <f t="shared" si="4"/>
        <v>14</v>
      </c>
      <c r="N185" s="26" t="s">
        <v>3</v>
      </c>
      <c r="O185" s="26" t="s">
        <v>821</v>
      </c>
      <c r="P185" s="75" t="s">
        <v>822</v>
      </c>
      <c r="Q185" s="26"/>
      <c r="R185" s="75" t="s">
        <v>828</v>
      </c>
    </row>
    <row r="186" spans="2:18" ht="25.5" x14ac:dyDescent="0.25">
      <c r="B186" s="130"/>
      <c r="C186" s="130"/>
      <c r="D186" s="26">
        <v>179</v>
      </c>
      <c r="E186" s="75" t="s">
        <v>544</v>
      </c>
      <c r="F186" s="26" t="s">
        <v>482</v>
      </c>
      <c r="G186" s="26" t="s">
        <v>545</v>
      </c>
      <c r="H186" s="26" t="s">
        <v>7</v>
      </c>
      <c r="I186" s="26" t="s">
        <v>10</v>
      </c>
      <c r="J186" s="75" t="s">
        <v>820</v>
      </c>
      <c r="K186" s="30">
        <v>39534</v>
      </c>
      <c r="L186" s="26">
        <v>2008</v>
      </c>
      <c r="M186" s="26">
        <f t="shared" si="4"/>
        <v>11</v>
      </c>
      <c r="N186" s="26" t="s">
        <v>3</v>
      </c>
      <c r="O186" s="26" t="s">
        <v>821</v>
      </c>
      <c r="P186" s="75" t="s">
        <v>824</v>
      </c>
      <c r="Q186" s="26"/>
      <c r="R186" s="75" t="s">
        <v>825</v>
      </c>
    </row>
    <row r="187" spans="2:18" ht="25.5" x14ac:dyDescent="0.25">
      <c r="B187" s="130">
        <v>53</v>
      </c>
      <c r="C187" s="130"/>
      <c r="D187" s="26">
        <v>180</v>
      </c>
      <c r="E187" s="75" t="s">
        <v>546</v>
      </c>
      <c r="F187" s="26" t="s">
        <v>5</v>
      </c>
      <c r="G187" s="26" t="s">
        <v>1856</v>
      </c>
      <c r="H187" s="26" t="s">
        <v>1</v>
      </c>
      <c r="I187" s="26" t="s">
        <v>2</v>
      </c>
      <c r="J187" s="75"/>
      <c r="K187" s="30">
        <v>29170</v>
      </c>
      <c r="L187" s="26">
        <v>1979</v>
      </c>
      <c r="M187" s="26">
        <f t="shared" si="4"/>
        <v>40</v>
      </c>
      <c r="N187" s="26" t="s">
        <v>3</v>
      </c>
      <c r="O187" s="26"/>
      <c r="P187" s="75" t="s">
        <v>4</v>
      </c>
      <c r="Q187" s="26"/>
      <c r="R187" s="75"/>
    </row>
    <row r="188" spans="2:18" x14ac:dyDescent="0.25">
      <c r="B188" s="130"/>
      <c r="C188" s="130"/>
      <c r="D188" s="26">
        <v>181</v>
      </c>
      <c r="E188" s="75" t="s">
        <v>547</v>
      </c>
      <c r="F188" s="26" t="s">
        <v>9</v>
      </c>
      <c r="G188" s="26"/>
      <c r="H188" s="26" t="s">
        <v>7</v>
      </c>
      <c r="I188" s="26" t="s">
        <v>2</v>
      </c>
      <c r="J188" s="75"/>
      <c r="K188" s="30">
        <v>31905</v>
      </c>
      <c r="L188" s="26">
        <v>1987</v>
      </c>
      <c r="M188" s="26">
        <f t="shared" si="4"/>
        <v>32</v>
      </c>
      <c r="N188" s="26" t="s">
        <v>3</v>
      </c>
      <c r="O188" s="26"/>
      <c r="P188" s="75" t="s">
        <v>4</v>
      </c>
      <c r="Q188" s="26"/>
      <c r="R188" s="75"/>
    </row>
    <row r="189" spans="2:18" x14ac:dyDescent="0.25">
      <c r="B189" s="130"/>
      <c r="C189" s="130"/>
      <c r="D189" s="26">
        <v>182</v>
      </c>
      <c r="E189" s="75" t="s">
        <v>548</v>
      </c>
      <c r="F189" s="26" t="s">
        <v>11</v>
      </c>
      <c r="G189" s="26"/>
      <c r="H189" s="26" t="s">
        <v>1</v>
      </c>
      <c r="I189" s="26" t="s">
        <v>10</v>
      </c>
      <c r="J189" s="75"/>
      <c r="K189" s="30">
        <v>41119</v>
      </c>
      <c r="L189" s="26">
        <v>2012</v>
      </c>
      <c r="M189" s="26">
        <f t="shared" si="4"/>
        <v>7</v>
      </c>
      <c r="N189" s="26" t="s">
        <v>3</v>
      </c>
      <c r="O189" s="26"/>
      <c r="P189" s="75" t="s">
        <v>4</v>
      </c>
      <c r="Q189" s="26"/>
      <c r="R189" s="75"/>
    </row>
    <row r="190" spans="2:18" x14ac:dyDescent="0.25">
      <c r="B190" s="130">
        <v>54</v>
      </c>
      <c r="C190" s="130" t="s">
        <v>1312</v>
      </c>
      <c r="D190" s="26">
        <v>183</v>
      </c>
      <c r="E190" s="75" t="s">
        <v>549</v>
      </c>
      <c r="F190" s="26" t="s">
        <v>5</v>
      </c>
      <c r="G190" s="26" t="s">
        <v>550</v>
      </c>
      <c r="H190" s="26" t="s">
        <v>1</v>
      </c>
      <c r="I190" s="26" t="s">
        <v>2</v>
      </c>
      <c r="J190" s="75" t="s">
        <v>1313</v>
      </c>
      <c r="K190" s="30">
        <v>34530</v>
      </c>
      <c r="L190" s="26">
        <v>1994</v>
      </c>
      <c r="M190" s="26">
        <f t="shared" si="4"/>
        <v>25</v>
      </c>
      <c r="N190" s="26" t="s">
        <v>3</v>
      </c>
      <c r="O190" s="26" t="s">
        <v>821</v>
      </c>
      <c r="P190" s="75" t="s">
        <v>860</v>
      </c>
      <c r="Q190" s="26"/>
      <c r="R190" s="75" t="s">
        <v>54</v>
      </c>
    </row>
    <row r="191" spans="2:18" ht="25.5" x14ac:dyDescent="0.25">
      <c r="B191" s="130"/>
      <c r="C191" s="130"/>
      <c r="D191" s="26">
        <v>184</v>
      </c>
      <c r="E191" s="75" t="s">
        <v>551</v>
      </c>
      <c r="F191" s="26" t="s">
        <v>9</v>
      </c>
      <c r="G191" s="26" t="s">
        <v>1314</v>
      </c>
      <c r="H191" s="26" t="s">
        <v>7</v>
      </c>
      <c r="I191" s="26" t="s">
        <v>2</v>
      </c>
      <c r="J191" s="75" t="s">
        <v>1315</v>
      </c>
      <c r="K191" s="30">
        <v>34163</v>
      </c>
      <c r="L191" s="26">
        <v>1993</v>
      </c>
      <c r="M191" s="26">
        <f t="shared" si="4"/>
        <v>26</v>
      </c>
      <c r="N191" s="26" t="s">
        <v>3</v>
      </c>
      <c r="O191" s="26" t="s">
        <v>821</v>
      </c>
      <c r="P191" s="75" t="s">
        <v>860</v>
      </c>
      <c r="Q191" s="26"/>
      <c r="R191" s="75" t="s">
        <v>54</v>
      </c>
    </row>
    <row r="192" spans="2:18" ht="25.5" x14ac:dyDescent="0.25">
      <c r="B192" s="130"/>
      <c r="C192" s="130"/>
      <c r="D192" s="26">
        <v>185</v>
      </c>
      <c r="E192" s="75" t="s">
        <v>1316</v>
      </c>
      <c r="F192" s="26" t="s">
        <v>11</v>
      </c>
      <c r="G192" s="26" t="s">
        <v>1317</v>
      </c>
      <c r="H192" s="26" t="s">
        <v>7</v>
      </c>
      <c r="I192" s="26" t="s">
        <v>10</v>
      </c>
      <c r="J192" s="75" t="s">
        <v>851</v>
      </c>
      <c r="K192" s="30">
        <v>42121</v>
      </c>
      <c r="L192" s="26">
        <v>2015</v>
      </c>
      <c r="M192" s="26">
        <f t="shared" si="4"/>
        <v>4</v>
      </c>
      <c r="N192" s="26" t="s">
        <v>3</v>
      </c>
      <c r="O192" s="26" t="s">
        <v>821</v>
      </c>
      <c r="P192" s="75" t="s">
        <v>824</v>
      </c>
      <c r="Q192" s="26"/>
      <c r="R192" s="75" t="s">
        <v>825</v>
      </c>
    </row>
    <row r="193" spans="2:18" x14ac:dyDescent="0.25">
      <c r="B193" s="130">
        <v>55</v>
      </c>
      <c r="C193" s="130" t="s">
        <v>1318</v>
      </c>
      <c r="D193" s="26">
        <v>186</v>
      </c>
      <c r="E193" s="75" t="s">
        <v>553</v>
      </c>
      <c r="F193" s="26" t="s">
        <v>5</v>
      </c>
      <c r="G193" s="26" t="s">
        <v>554</v>
      </c>
      <c r="H193" s="26" t="s">
        <v>1</v>
      </c>
      <c r="I193" s="26" t="s">
        <v>2</v>
      </c>
      <c r="J193" s="75" t="s">
        <v>820</v>
      </c>
      <c r="K193" s="30">
        <v>25121</v>
      </c>
      <c r="L193" s="26">
        <v>1968</v>
      </c>
      <c r="M193" s="26">
        <f t="shared" si="4"/>
        <v>51</v>
      </c>
      <c r="N193" s="26" t="s">
        <v>3</v>
      </c>
      <c r="O193" s="26" t="s">
        <v>821</v>
      </c>
      <c r="P193" s="75" t="s">
        <v>860</v>
      </c>
      <c r="Q193" s="26"/>
      <c r="R193" s="75" t="s">
        <v>54</v>
      </c>
    </row>
    <row r="194" spans="2:18" x14ac:dyDescent="0.25">
      <c r="B194" s="130"/>
      <c r="C194" s="130"/>
      <c r="D194" s="26">
        <v>187</v>
      </c>
      <c r="E194" s="75" t="s">
        <v>555</v>
      </c>
      <c r="F194" s="26" t="s">
        <v>9</v>
      </c>
      <c r="G194" s="26" t="s">
        <v>556</v>
      </c>
      <c r="H194" s="26" t="s">
        <v>7</v>
      </c>
      <c r="I194" s="26" t="s">
        <v>2</v>
      </c>
      <c r="J194" s="75" t="s">
        <v>1319</v>
      </c>
      <c r="K194" s="30">
        <v>26267</v>
      </c>
      <c r="L194" s="26">
        <v>1971</v>
      </c>
      <c r="M194" s="26">
        <f t="shared" si="4"/>
        <v>48</v>
      </c>
      <c r="N194" s="26" t="s">
        <v>3</v>
      </c>
      <c r="O194" s="26" t="s">
        <v>821</v>
      </c>
      <c r="P194" s="75" t="s">
        <v>831</v>
      </c>
      <c r="Q194" s="26"/>
      <c r="R194" s="75" t="s">
        <v>54</v>
      </c>
    </row>
    <row r="195" spans="2:18" ht="25.5" x14ac:dyDescent="0.25">
      <c r="B195" s="130"/>
      <c r="C195" s="130"/>
      <c r="D195" s="26">
        <v>188</v>
      </c>
      <c r="E195" s="75" t="s">
        <v>557</v>
      </c>
      <c r="F195" s="26" t="s">
        <v>11</v>
      </c>
      <c r="G195" s="26" t="s">
        <v>558</v>
      </c>
      <c r="H195" s="26" t="s">
        <v>7</v>
      </c>
      <c r="I195" s="26" t="s">
        <v>10</v>
      </c>
      <c r="J195" s="75" t="s">
        <v>820</v>
      </c>
      <c r="K195" s="30">
        <v>37532</v>
      </c>
      <c r="L195" s="26">
        <v>2002</v>
      </c>
      <c r="M195" s="26">
        <f t="shared" si="4"/>
        <v>17</v>
      </c>
      <c r="N195" s="26" t="s">
        <v>3</v>
      </c>
      <c r="O195" s="26" t="s">
        <v>821</v>
      </c>
      <c r="P195" s="75" t="s">
        <v>822</v>
      </c>
      <c r="Q195" s="26"/>
      <c r="R195" s="75" t="s">
        <v>828</v>
      </c>
    </row>
    <row r="196" spans="2:18" ht="25.5" x14ac:dyDescent="0.25">
      <c r="B196" s="130"/>
      <c r="C196" s="130"/>
      <c r="D196" s="26">
        <v>189</v>
      </c>
      <c r="E196" s="75" t="s">
        <v>1320</v>
      </c>
      <c r="F196" s="26" t="s">
        <v>11</v>
      </c>
      <c r="G196" s="26" t="s">
        <v>559</v>
      </c>
      <c r="H196" s="26" t="s">
        <v>1</v>
      </c>
      <c r="I196" s="26" t="s">
        <v>10</v>
      </c>
      <c r="J196" s="75" t="s">
        <v>820</v>
      </c>
      <c r="K196" s="30">
        <v>38226</v>
      </c>
      <c r="L196" s="26">
        <v>2004</v>
      </c>
      <c r="M196" s="26">
        <f t="shared" si="4"/>
        <v>15</v>
      </c>
      <c r="N196" s="26" t="s">
        <v>3</v>
      </c>
      <c r="O196" s="26" t="s">
        <v>821</v>
      </c>
      <c r="P196" s="75" t="s">
        <v>824</v>
      </c>
      <c r="Q196" s="26"/>
      <c r="R196" s="75" t="s">
        <v>825</v>
      </c>
    </row>
    <row r="197" spans="2:18" ht="25.5" x14ac:dyDescent="0.25">
      <c r="B197" s="130"/>
      <c r="C197" s="130"/>
      <c r="D197" s="26">
        <v>190</v>
      </c>
      <c r="E197" s="75" t="s">
        <v>1321</v>
      </c>
      <c r="F197" s="26" t="s">
        <v>11</v>
      </c>
      <c r="G197" s="26" t="s">
        <v>560</v>
      </c>
      <c r="H197" s="26" t="s">
        <v>1</v>
      </c>
      <c r="I197" s="26" t="s">
        <v>10</v>
      </c>
      <c r="J197" s="75" t="s">
        <v>820</v>
      </c>
      <c r="K197" s="30">
        <v>39309</v>
      </c>
      <c r="L197" s="26">
        <v>2007</v>
      </c>
      <c r="M197" s="26">
        <f t="shared" si="4"/>
        <v>12</v>
      </c>
      <c r="N197" s="26" t="s">
        <v>3</v>
      </c>
      <c r="O197" s="26" t="s">
        <v>821</v>
      </c>
      <c r="P197" s="75" t="s">
        <v>824</v>
      </c>
      <c r="Q197" s="26"/>
      <c r="R197" s="75" t="s">
        <v>825</v>
      </c>
    </row>
    <row r="198" spans="2:18" ht="25.5" x14ac:dyDescent="0.25">
      <c r="B198" s="130"/>
      <c r="C198" s="130"/>
      <c r="D198" s="26">
        <v>191</v>
      </c>
      <c r="E198" s="75" t="s">
        <v>1322</v>
      </c>
      <c r="F198" s="26" t="s">
        <v>11</v>
      </c>
      <c r="G198" s="26" t="s">
        <v>561</v>
      </c>
      <c r="H198" s="26" t="s">
        <v>7</v>
      </c>
      <c r="I198" s="26" t="s">
        <v>10</v>
      </c>
      <c r="J198" s="75" t="s">
        <v>820</v>
      </c>
      <c r="K198" s="30">
        <v>40012</v>
      </c>
      <c r="L198" s="26">
        <v>2009</v>
      </c>
      <c r="M198" s="26">
        <f t="shared" si="4"/>
        <v>10</v>
      </c>
      <c r="N198" s="26" t="s">
        <v>3</v>
      </c>
      <c r="O198" s="26" t="s">
        <v>821</v>
      </c>
      <c r="P198" s="75" t="s">
        <v>824</v>
      </c>
      <c r="Q198" s="26"/>
      <c r="R198" s="75" t="s">
        <v>825</v>
      </c>
    </row>
    <row r="199" spans="2:18" ht="25.5" x14ac:dyDescent="0.25">
      <c r="B199" s="26">
        <v>56</v>
      </c>
      <c r="C199" s="26" t="s">
        <v>1323</v>
      </c>
      <c r="D199" s="26">
        <v>192</v>
      </c>
      <c r="E199" s="75" t="s">
        <v>562</v>
      </c>
      <c r="F199" s="26" t="s">
        <v>5</v>
      </c>
      <c r="G199" s="26" t="s">
        <v>563</v>
      </c>
      <c r="H199" s="26" t="s">
        <v>1</v>
      </c>
      <c r="I199" s="26" t="s">
        <v>883</v>
      </c>
      <c r="J199" s="75" t="s">
        <v>839</v>
      </c>
      <c r="K199" s="30">
        <v>21185</v>
      </c>
      <c r="L199" s="26">
        <v>1957</v>
      </c>
      <c r="M199" s="26">
        <f t="shared" si="4"/>
        <v>62</v>
      </c>
      <c r="N199" s="26" t="s">
        <v>3</v>
      </c>
      <c r="O199" s="26" t="s">
        <v>821</v>
      </c>
      <c r="P199" s="75" t="s">
        <v>824</v>
      </c>
      <c r="Q199" s="26"/>
      <c r="R199" s="75" t="s">
        <v>825</v>
      </c>
    </row>
    <row r="200" spans="2:18" ht="25.5" x14ac:dyDescent="0.25">
      <c r="B200" s="130">
        <v>57</v>
      </c>
      <c r="C200" s="130" t="s">
        <v>1324</v>
      </c>
      <c r="D200" s="26">
        <v>193</v>
      </c>
      <c r="E200" s="75" t="s">
        <v>564</v>
      </c>
      <c r="F200" s="26" t="s">
        <v>5</v>
      </c>
      <c r="G200" s="26" t="s">
        <v>1325</v>
      </c>
      <c r="H200" s="26" t="s">
        <v>1</v>
      </c>
      <c r="I200" s="26" t="s">
        <v>2</v>
      </c>
      <c r="J200" s="75" t="s">
        <v>820</v>
      </c>
      <c r="K200" s="30">
        <v>34125</v>
      </c>
      <c r="L200" s="26">
        <v>1993</v>
      </c>
      <c r="M200" s="26">
        <f t="shared" si="4"/>
        <v>26</v>
      </c>
      <c r="N200" s="26" t="s">
        <v>3</v>
      </c>
      <c r="O200" s="26" t="s">
        <v>821</v>
      </c>
      <c r="P200" s="75" t="s">
        <v>831</v>
      </c>
      <c r="Q200" s="26"/>
      <c r="R200" s="75" t="s">
        <v>877</v>
      </c>
    </row>
    <row r="201" spans="2:18" ht="25.5" x14ac:dyDescent="0.25">
      <c r="B201" s="130"/>
      <c r="C201" s="130"/>
      <c r="D201" s="26">
        <v>194</v>
      </c>
      <c r="E201" s="75" t="s">
        <v>714</v>
      </c>
      <c r="F201" s="26" t="s">
        <v>9</v>
      </c>
      <c r="G201" s="26" t="s">
        <v>565</v>
      </c>
      <c r="H201" s="26" t="s">
        <v>7</v>
      </c>
      <c r="I201" s="26" t="s">
        <v>2</v>
      </c>
      <c r="J201" s="75" t="s">
        <v>1326</v>
      </c>
      <c r="K201" s="30">
        <v>34334</v>
      </c>
      <c r="L201" s="26">
        <v>1993</v>
      </c>
      <c r="M201" s="26">
        <f t="shared" si="4"/>
        <v>26</v>
      </c>
      <c r="N201" s="26" t="s">
        <v>3</v>
      </c>
      <c r="O201" s="26" t="s">
        <v>821</v>
      </c>
      <c r="P201" s="75" t="s">
        <v>831</v>
      </c>
      <c r="Q201" s="26"/>
      <c r="R201" s="75" t="s">
        <v>827</v>
      </c>
    </row>
    <row r="202" spans="2:18" ht="25.5" x14ac:dyDescent="0.25">
      <c r="B202" s="130"/>
      <c r="C202" s="130"/>
      <c r="D202" s="26">
        <v>195</v>
      </c>
      <c r="E202" s="75" t="s">
        <v>566</v>
      </c>
      <c r="F202" s="26" t="s">
        <v>11</v>
      </c>
      <c r="G202" s="26" t="s">
        <v>1327</v>
      </c>
      <c r="H202" s="26" t="s">
        <v>1</v>
      </c>
      <c r="I202" s="26" t="s">
        <v>129</v>
      </c>
      <c r="J202" s="75" t="s">
        <v>851</v>
      </c>
      <c r="K202" s="30">
        <v>41722</v>
      </c>
      <c r="L202" s="26">
        <v>2014</v>
      </c>
      <c r="M202" s="26">
        <f t="shared" si="4"/>
        <v>5</v>
      </c>
      <c r="N202" s="26" t="s">
        <v>3</v>
      </c>
      <c r="O202" s="26" t="s">
        <v>821</v>
      </c>
      <c r="P202" s="75" t="s">
        <v>824</v>
      </c>
      <c r="Q202" s="26"/>
      <c r="R202" s="75" t="s">
        <v>825</v>
      </c>
    </row>
    <row r="203" spans="2:18" ht="25.5" x14ac:dyDescent="0.25">
      <c r="B203" s="130"/>
      <c r="C203" s="130"/>
      <c r="D203" s="26">
        <v>196</v>
      </c>
      <c r="E203" s="75" t="s">
        <v>1328</v>
      </c>
      <c r="F203" s="26" t="s">
        <v>11</v>
      </c>
      <c r="G203" s="26" t="s">
        <v>1329</v>
      </c>
      <c r="H203" s="26" t="s">
        <v>7</v>
      </c>
      <c r="I203" s="26" t="s">
        <v>129</v>
      </c>
      <c r="J203" s="75" t="s">
        <v>851</v>
      </c>
      <c r="K203" s="30">
        <v>42203</v>
      </c>
      <c r="L203" s="26">
        <v>2015</v>
      </c>
      <c r="M203" s="26">
        <f t="shared" si="4"/>
        <v>4</v>
      </c>
      <c r="N203" s="26" t="s">
        <v>3</v>
      </c>
      <c r="O203" s="26" t="s">
        <v>821</v>
      </c>
      <c r="P203" s="75" t="s">
        <v>824</v>
      </c>
      <c r="Q203" s="26"/>
      <c r="R203" s="75" t="s">
        <v>825</v>
      </c>
    </row>
    <row r="204" spans="2:18" x14ac:dyDescent="0.25">
      <c r="B204" s="130">
        <v>58</v>
      </c>
      <c r="C204" s="130"/>
      <c r="D204" s="26">
        <v>197</v>
      </c>
      <c r="E204" s="75" t="s">
        <v>567</v>
      </c>
      <c r="F204" s="26" t="s">
        <v>5</v>
      </c>
      <c r="G204" s="26" t="s">
        <v>568</v>
      </c>
      <c r="H204" s="26" t="s">
        <v>1</v>
      </c>
      <c r="I204" s="26" t="s">
        <v>2</v>
      </c>
      <c r="J204" s="75"/>
      <c r="K204" s="30">
        <v>23011</v>
      </c>
      <c r="L204" s="26">
        <v>1962</v>
      </c>
      <c r="M204" s="26">
        <f t="shared" si="4"/>
        <v>57</v>
      </c>
      <c r="N204" s="26" t="s">
        <v>3</v>
      </c>
      <c r="O204" s="26"/>
      <c r="P204" s="75" t="s">
        <v>4</v>
      </c>
      <c r="Q204" s="26"/>
      <c r="R204" s="75"/>
    </row>
    <row r="205" spans="2:18" x14ac:dyDescent="0.25">
      <c r="B205" s="130"/>
      <c r="C205" s="130"/>
      <c r="D205" s="26">
        <v>198</v>
      </c>
      <c r="E205" s="75" t="s">
        <v>569</v>
      </c>
      <c r="F205" s="26" t="s">
        <v>9</v>
      </c>
      <c r="G205" s="26" t="s">
        <v>570</v>
      </c>
      <c r="H205" s="26" t="s">
        <v>7</v>
      </c>
      <c r="I205" s="26" t="s">
        <v>2</v>
      </c>
      <c r="J205" s="75"/>
      <c r="K205" s="30">
        <v>29220</v>
      </c>
      <c r="L205" s="26">
        <v>1979</v>
      </c>
      <c r="M205" s="26">
        <f t="shared" si="4"/>
        <v>40</v>
      </c>
      <c r="N205" s="26" t="s">
        <v>3</v>
      </c>
      <c r="O205" s="26"/>
      <c r="P205" s="75" t="s">
        <v>4</v>
      </c>
      <c r="Q205" s="26"/>
      <c r="R205" s="75"/>
    </row>
    <row r="206" spans="2:18" x14ac:dyDescent="0.25">
      <c r="B206" s="130"/>
      <c r="C206" s="130"/>
      <c r="D206" s="26">
        <v>199</v>
      </c>
      <c r="E206" s="75" t="s">
        <v>571</v>
      </c>
      <c r="F206" s="26" t="s">
        <v>11</v>
      </c>
      <c r="G206" s="26" t="s">
        <v>572</v>
      </c>
      <c r="H206" s="26" t="s">
        <v>7</v>
      </c>
      <c r="I206" s="26" t="s">
        <v>10</v>
      </c>
      <c r="J206" s="75"/>
      <c r="K206" s="30">
        <v>36109</v>
      </c>
      <c r="L206" s="26">
        <v>1998</v>
      </c>
      <c r="M206" s="26">
        <f t="shared" ref="M206:M244" si="5">2019-L206</f>
        <v>21</v>
      </c>
      <c r="N206" s="26" t="s">
        <v>3</v>
      </c>
      <c r="O206" s="26"/>
      <c r="P206" s="75" t="s">
        <v>8</v>
      </c>
      <c r="Q206" s="26"/>
      <c r="R206" s="75"/>
    </row>
    <row r="207" spans="2:18" x14ac:dyDescent="0.25">
      <c r="B207" s="130"/>
      <c r="C207" s="130"/>
      <c r="D207" s="26">
        <v>200</v>
      </c>
      <c r="E207" s="75" t="s">
        <v>573</v>
      </c>
      <c r="F207" s="26" t="s">
        <v>11</v>
      </c>
      <c r="G207" s="26" t="s">
        <v>574</v>
      </c>
      <c r="H207" s="26" t="s">
        <v>1</v>
      </c>
      <c r="I207" s="26" t="s">
        <v>10</v>
      </c>
      <c r="J207" s="75"/>
      <c r="K207" s="30">
        <v>37116</v>
      </c>
      <c r="L207" s="26">
        <v>2001</v>
      </c>
      <c r="M207" s="26">
        <f t="shared" si="5"/>
        <v>18</v>
      </c>
      <c r="N207" s="26" t="s">
        <v>3</v>
      </c>
      <c r="O207" s="26"/>
      <c r="P207" s="75" t="s">
        <v>13</v>
      </c>
      <c r="Q207" s="26"/>
      <c r="R207" s="75"/>
    </row>
    <row r="208" spans="2:18" x14ac:dyDescent="0.25">
      <c r="B208" s="26">
        <v>59</v>
      </c>
      <c r="C208" s="26"/>
      <c r="D208" s="26">
        <v>201</v>
      </c>
      <c r="E208" s="75" t="s">
        <v>575</v>
      </c>
      <c r="F208" s="26" t="s">
        <v>5</v>
      </c>
      <c r="G208" s="26"/>
      <c r="H208" s="26" t="s">
        <v>1</v>
      </c>
      <c r="I208" s="26" t="s">
        <v>421</v>
      </c>
      <c r="J208" s="75"/>
      <c r="K208" s="30">
        <v>29345</v>
      </c>
      <c r="L208" s="26">
        <v>1980</v>
      </c>
      <c r="M208" s="26">
        <f t="shared" si="5"/>
        <v>39</v>
      </c>
      <c r="N208" s="26" t="s">
        <v>3</v>
      </c>
      <c r="O208" s="26"/>
      <c r="P208" s="75" t="s">
        <v>4</v>
      </c>
      <c r="Q208" s="26"/>
      <c r="R208" s="75"/>
    </row>
    <row r="209" spans="2:18" x14ac:dyDescent="0.25">
      <c r="B209" s="130">
        <v>60</v>
      </c>
      <c r="C209" s="130"/>
      <c r="D209" s="26">
        <v>202</v>
      </c>
      <c r="E209" s="75" t="s">
        <v>576</v>
      </c>
      <c r="F209" s="26" t="s">
        <v>5</v>
      </c>
      <c r="G209" s="26"/>
      <c r="H209" s="26" t="s">
        <v>7</v>
      </c>
      <c r="I209" s="26" t="s">
        <v>39</v>
      </c>
      <c r="J209" s="75"/>
      <c r="K209" s="30">
        <v>19207</v>
      </c>
      <c r="L209" s="26">
        <v>1952</v>
      </c>
      <c r="M209" s="26">
        <f t="shared" si="5"/>
        <v>67</v>
      </c>
      <c r="N209" s="26" t="s">
        <v>3</v>
      </c>
      <c r="O209" s="26"/>
      <c r="P209" s="75" t="s">
        <v>4</v>
      </c>
      <c r="Q209" s="26"/>
      <c r="R209" s="75"/>
    </row>
    <row r="210" spans="2:18" x14ac:dyDescent="0.25">
      <c r="B210" s="130"/>
      <c r="C210" s="130"/>
      <c r="D210" s="26">
        <v>203</v>
      </c>
      <c r="E210" s="75" t="s">
        <v>577</v>
      </c>
      <c r="F210" s="26" t="s">
        <v>11</v>
      </c>
      <c r="G210" s="26"/>
      <c r="H210" s="26" t="s">
        <v>7</v>
      </c>
      <c r="I210" s="26" t="s">
        <v>10</v>
      </c>
      <c r="J210" s="75"/>
      <c r="K210" s="30">
        <v>38972</v>
      </c>
      <c r="L210" s="26">
        <v>2006</v>
      </c>
      <c r="M210" s="26">
        <f t="shared" si="5"/>
        <v>13</v>
      </c>
      <c r="N210" s="26" t="s">
        <v>3</v>
      </c>
      <c r="O210" s="26"/>
      <c r="P210" s="75" t="s">
        <v>4</v>
      </c>
      <c r="Q210" s="26"/>
      <c r="R210" s="75"/>
    </row>
    <row r="211" spans="2:18" x14ac:dyDescent="0.25">
      <c r="B211" s="26">
        <v>61</v>
      </c>
      <c r="C211" s="26"/>
      <c r="D211" s="26">
        <v>204</v>
      </c>
      <c r="E211" s="75" t="s">
        <v>578</v>
      </c>
      <c r="F211" s="26" t="s">
        <v>5</v>
      </c>
      <c r="G211" s="26" t="s">
        <v>579</v>
      </c>
      <c r="H211" s="26" t="s">
        <v>1</v>
      </c>
      <c r="I211" s="26" t="s">
        <v>421</v>
      </c>
      <c r="J211" s="75"/>
      <c r="K211" s="30">
        <v>30681</v>
      </c>
      <c r="L211" s="26">
        <v>1983</v>
      </c>
      <c r="M211" s="26">
        <f t="shared" si="5"/>
        <v>36</v>
      </c>
      <c r="N211" s="26" t="s">
        <v>3</v>
      </c>
      <c r="O211" s="26"/>
      <c r="P211" s="75" t="s">
        <v>4</v>
      </c>
      <c r="Q211" s="26"/>
      <c r="R211" s="75"/>
    </row>
    <row r="212" spans="2:18" x14ac:dyDescent="0.25">
      <c r="B212" s="130">
        <v>62</v>
      </c>
      <c r="C212" s="130"/>
      <c r="D212" s="26">
        <v>205</v>
      </c>
      <c r="E212" s="75" t="s">
        <v>580</v>
      </c>
      <c r="F212" s="26" t="s">
        <v>5</v>
      </c>
      <c r="G212" s="26"/>
      <c r="H212" s="26" t="s">
        <v>1</v>
      </c>
      <c r="I212" s="26" t="s">
        <v>39</v>
      </c>
      <c r="J212" s="75"/>
      <c r="K212" s="30">
        <v>19176</v>
      </c>
      <c r="L212" s="26">
        <v>1952</v>
      </c>
      <c r="M212" s="26">
        <f t="shared" si="5"/>
        <v>67</v>
      </c>
      <c r="N212" s="26" t="s">
        <v>3</v>
      </c>
      <c r="O212" s="26"/>
      <c r="P212" s="75" t="s">
        <v>4</v>
      </c>
      <c r="Q212" s="26"/>
      <c r="R212" s="75"/>
    </row>
    <row r="213" spans="2:18" ht="25.5" x14ac:dyDescent="0.25">
      <c r="B213" s="130"/>
      <c r="C213" s="130"/>
      <c r="D213" s="26">
        <v>206</v>
      </c>
      <c r="E213" s="75" t="s">
        <v>581</v>
      </c>
      <c r="F213" s="26" t="s">
        <v>83</v>
      </c>
      <c r="G213" s="26"/>
      <c r="H213" s="26" t="s">
        <v>1</v>
      </c>
      <c r="I213" s="26" t="s">
        <v>2</v>
      </c>
      <c r="J213" s="75"/>
      <c r="K213" s="30">
        <v>35113</v>
      </c>
      <c r="L213" s="26">
        <v>1996</v>
      </c>
      <c r="M213" s="26">
        <f t="shared" si="5"/>
        <v>23</v>
      </c>
      <c r="N213" s="26" t="s">
        <v>3</v>
      </c>
      <c r="O213" s="26"/>
      <c r="P213" s="75" t="s">
        <v>13</v>
      </c>
      <c r="Q213" s="26"/>
      <c r="R213" s="75"/>
    </row>
    <row r="214" spans="2:18" x14ac:dyDescent="0.25">
      <c r="B214" s="130"/>
      <c r="C214" s="130"/>
      <c r="D214" s="26">
        <v>207</v>
      </c>
      <c r="E214" s="75" t="s">
        <v>582</v>
      </c>
      <c r="F214" s="26" t="s">
        <v>83</v>
      </c>
      <c r="G214" s="26"/>
      <c r="H214" s="26" t="s">
        <v>7</v>
      </c>
      <c r="I214" s="26" t="s">
        <v>2</v>
      </c>
      <c r="J214" s="75"/>
      <c r="K214" s="30">
        <v>35125</v>
      </c>
      <c r="L214" s="26">
        <v>1996</v>
      </c>
      <c r="M214" s="26">
        <f t="shared" si="5"/>
        <v>23</v>
      </c>
      <c r="N214" s="26" t="s">
        <v>3</v>
      </c>
      <c r="O214" s="26"/>
      <c r="P214" s="75" t="s">
        <v>13</v>
      </c>
      <c r="Q214" s="26"/>
      <c r="R214" s="75"/>
    </row>
    <row r="215" spans="2:18" x14ac:dyDescent="0.25">
      <c r="B215" s="132">
        <v>63</v>
      </c>
      <c r="C215" s="132"/>
      <c r="D215" s="26">
        <v>208</v>
      </c>
      <c r="E215" s="75" t="s">
        <v>583</v>
      </c>
      <c r="F215" s="26" t="s">
        <v>5</v>
      </c>
      <c r="G215" s="26"/>
      <c r="H215" s="26" t="s">
        <v>7</v>
      </c>
      <c r="I215" s="26" t="s">
        <v>39</v>
      </c>
      <c r="J215" s="75"/>
      <c r="K215" s="30">
        <v>18480</v>
      </c>
      <c r="L215" s="26">
        <v>1950</v>
      </c>
      <c r="M215" s="26">
        <f t="shared" si="5"/>
        <v>69</v>
      </c>
      <c r="N215" s="26" t="s">
        <v>3</v>
      </c>
      <c r="O215" s="26"/>
      <c r="P215" s="75" t="s">
        <v>4</v>
      </c>
      <c r="Q215" s="26"/>
      <c r="R215" s="75"/>
    </row>
    <row r="216" spans="2:18" x14ac:dyDescent="0.25">
      <c r="B216" s="133"/>
      <c r="C216" s="133"/>
      <c r="D216" s="26">
        <v>209</v>
      </c>
      <c r="E216" s="75" t="s">
        <v>584</v>
      </c>
      <c r="F216" s="26" t="s">
        <v>83</v>
      </c>
      <c r="G216" s="26"/>
      <c r="H216" s="26" t="s">
        <v>1</v>
      </c>
      <c r="I216" s="26" t="s">
        <v>10</v>
      </c>
      <c r="J216" s="75"/>
      <c r="K216" s="30">
        <v>36107</v>
      </c>
      <c r="L216" s="26">
        <v>1998</v>
      </c>
      <c r="M216" s="26">
        <f t="shared" si="5"/>
        <v>21</v>
      </c>
      <c r="N216" s="26" t="s">
        <v>3</v>
      </c>
      <c r="O216" s="26"/>
      <c r="P216" s="75" t="s">
        <v>8</v>
      </c>
      <c r="Q216" s="26"/>
      <c r="R216" s="75"/>
    </row>
    <row r="217" spans="2:18" ht="25.5" x14ac:dyDescent="0.25">
      <c r="B217" s="134"/>
      <c r="C217" s="134"/>
      <c r="D217" s="26">
        <v>210</v>
      </c>
      <c r="E217" s="75" t="s">
        <v>585</v>
      </c>
      <c r="F217" s="26" t="s">
        <v>83</v>
      </c>
      <c r="G217" s="26"/>
      <c r="H217" s="26" t="s">
        <v>1</v>
      </c>
      <c r="I217" s="26" t="s">
        <v>10</v>
      </c>
      <c r="J217" s="75"/>
      <c r="K217" s="30">
        <v>36814</v>
      </c>
      <c r="L217" s="26">
        <v>2000</v>
      </c>
      <c r="M217" s="26">
        <f t="shared" si="5"/>
        <v>19</v>
      </c>
      <c r="N217" s="26" t="s">
        <v>3</v>
      </c>
      <c r="O217" s="26"/>
      <c r="P217" s="75" t="s">
        <v>4</v>
      </c>
      <c r="Q217" s="26"/>
      <c r="R217" s="75"/>
    </row>
    <row r="218" spans="2:18" ht="25.5" x14ac:dyDescent="0.25">
      <c r="B218" s="130">
        <v>64</v>
      </c>
      <c r="C218" s="130" t="s">
        <v>832</v>
      </c>
      <c r="D218" s="26">
        <v>211</v>
      </c>
      <c r="E218" s="75" t="s">
        <v>586</v>
      </c>
      <c r="F218" s="26" t="s">
        <v>5</v>
      </c>
      <c r="G218" s="26" t="s">
        <v>837</v>
      </c>
      <c r="H218" s="26" t="s">
        <v>1</v>
      </c>
      <c r="I218" s="26" t="s">
        <v>587</v>
      </c>
      <c r="J218" s="75" t="s">
        <v>820</v>
      </c>
      <c r="K218" s="30">
        <v>31334</v>
      </c>
      <c r="L218" s="26">
        <v>1985</v>
      </c>
      <c r="M218" s="26">
        <f t="shared" si="5"/>
        <v>34</v>
      </c>
      <c r="N218" s="26" t="s">
        <v>3</v>
      </c>
      <c r="O218" s="26" t="s">
        <v>821</v>
      </c>
      <c r="P218" s="75" t="s">
        <v>824</v>
      </c>
      <c r="Q218" s="26"/>
      <c r="R218" s="75" t="s">
        <v>826</v>
      </c>
    </row>
    <row r="219" spans="2:18" ht="25.5" x14ac:dyDescent="0.25">
      <c r="B219" s="130"/>
      <c r="C219" s="130"/>
      <c r="D219" s="26">
        <v>212</v>
      </c>
      <c r="E219" s="75" t="s">
        <v>651</v>
      </c>
      <c r="F219" s="26" t="s">
        <v>9</v>
      </c>
      <c r="G219" s="26" t="s">
        <v>836</v>
      </c>
      <c r="H219" s="26" t="s">
        <v>7</v>
      </c>
      <c r="I219" s="26" t="s">
        <v>587</v>
      </c>
      <c r="J219" s="75" t="s">
        <v>820</v>
      </c>
      <c r="K219" s="30">
        <v>31777</v>
      </c>
      <c r="L219" s="26">
        <v>1986</v>
      </c>
      <c r="M219" s="26">
        <f t="shared" si="5"/>
        <v>33</v>
      </c>
      <c r="N219" s="26" t="s">
        <v>588</v>
      </c>
      <c r="O219" s="26" t="s">
        <v>821</v>
      </c>
      <c r="P219" s="75" t="s">
        <v>823</v>
      </c>
      <c r="Q219" s="26"/>
      <c r="R219" s="75" t="s">
        <v>840</v>
      </c>
    </row>
    <row r="220" spans="2:18" ht="25.5" x14ac:dyDescent="0.25">
      <c r="B220" s="130"/>
      <c r="C220" s="130"/>
      <c r="D220" s="26">
        <v>213</v>
      </c>
      <c r="E220" s="75" t="s">
        <v>590</v>
      </c>
      <c r="F220" s="26" t="s">
        <v>482</v>
      </c>
      <c r="G220" s="26" t="s">
        <v>835</v>
      </c>
      <c r="H220" s="26" t="s">
        <v>1</v>
      </c>
      <c r="I220" s="26" t="s">
        <v>589</v>
      </c>
      <c r="J220" s="75" t="s">
        <v>839</v>
      </c>
      <c r="K220" s="30">
        <v>38087</v>
      </c>
      <c r="L220" s="26">
        <v>2004</v>
      </c>
      <c r="M220" s="26">
        <f t="shared" si="5"/>
        <v>15</v>
      </c>
      <c r="N220" s="26" t="s">
        <v>3</v>
      </c>
      <c r="O220" s="26" t="s">
        <v>821</v>
      </c>
      <c r="P220" s="75" t="s">
        <v>822</v>
      </c>
      <c r="Q220" s="26"/>
      <c r="R220" s="75" t="s">
        <v>828</v>
      </c>
    </row>
    <row r="221" spans="2:18" ht="25.5" x14ac:dyDescent="0.25">
      <c r="B221" s="130"/>
      <c r="C221" s="130"/>
      <c r="D221" s="26">
        <v>214</v>
      </c>
      <c r="E221" s="75" t="s">
        <v>833</v>
      </c>
      <c r="F221" s="26" t="s">
        <v>482</v>
      </c>
      <c r="G221" s="26" t="s">
        <v>834</v>
      </c>
      <c r="H221" s="26" t="s">
        <v>7</v>
      </c>
      <c r="I221" s="26" t="s">
        <v>589</v>
      </c>
      <c r="J221" s="75" t="s">
        <v>838</v>
      </c>
      <c r="K221" s="30">
        <v>40453</v>
      </c>
      <c r="L221" s="26">
        <v>2010</v>
      </c>
      <c r="M221" s="26">
        <f t="shared" si="5"/>
        <v>9</v>
      </c>
      <c r="N221" s="26" t="s">
        <v>588</v>
      </c>
      <c r="O221" s="26" t="s">
        <v>821</v>
      </c>
      <c r="P221" s="75" t="s">
        <v>822</v>
      </c>
      <c r="Q221" s="26"/>
      <c r="R221" s="75" t="s">
        <v>828</v>
      </c>
    </row>
    <row r="222" spans="2:18" ht="25.5" x14ac:dyDescent="0.25">
      <c r="B222" s="130">
        <v>65</v>
      </c>
      <c r="C222" s="130" t="s">
        <v>841</v>
      </c>
      <c r="D222" s="26">
        <v>215</v>
      </c>
      <c r="E222" s="75" t="s">
        <v>842</v>
      </c>
      <c r="F222" s="26" t="s">
        <v>5</v>
      </c>
      <c r="G222" s="26" t="s">
        <v>846</v>
      </c>
      <c r="H222" s="26" t="s">
        <v>1</v>
      </c>
      <c r="I222" s="26" t="s">
        <v>587</v>
      </c>
      <c r="J222" s="75" t="s">
        <v>830</v>
      </c>
      <c r="K222" s="30">
        <v>31334</v>
      </c>
      <c r="L222" s="26">
        <v>1985</v>
      </c>
      <c r="M222" s="26">
        <f t="shared" si="5"/>
        <v>34</v>
      </c>
      <c r="N222" s="26" t="s">
        <v>3</v>
      </c>
      <c r="O222" s="26" t="s">
        <v>821</v>
      </c>
      <c r="P222" s="75" t="s">
        <v>824</v>
      </c>
      <c r="Q222" s="26"/>
      <c r="R222" s="75" t="s">
        <v>826</v>
      </c>
    </row>
    <row r="223" spans="2:18" ht="25.5" x14ac:dyDescent="0.25">
      <c r="B223" s="130"/>
      <c r="C223" s="130"/>
      <c r="D223" s="26">
        <v>216</v>
      </c>
      <c r="E223" s="75" t="s">
        <v>843</v>
      </c>
      <c r="F223" s="26" t="s">
        <v>9</v>
      </c>
      <c r="G223" s="26" t="s">
        <v>847</v>
      </c>
      <c r="H223" s="26" t="s">
        <v>7</v>
      </c>
      <c r="I223" s="26" t="s">
        <v>587</v>
      </c>
      <c r="J223" s="75" t="s">
        <v>850</v>
      </c>
      <c r="K223" s="30">
        <v>31777</v>
      </c>
      <c r="L223" s="26">
        <v>1986</v>
      </c>
      <c r="M223" s="26">
        <f t="shared" si="5"/>
        <v>33</v>
      </c>
      <c r="N223" s="26" t="s">
        <v>588</v>
      </c>
      <c r="O223" s="26" t="s">
        <v>821</v>
      </c>
      <c r="P223" s="75" t="s">
        <v>823</v>
      </c>
      <c r="Q223" s="26"/>
      <c r="R223" s="75" t="s">
        <v>840</v>
      </c>
    </row>
    <row r="224" spans="2:18" ht="25.5" x14ac:dyDescent="0.25">
      <c r="B224" s="130"/>
      <c r="C224" s="130"/>
      <c r="D224" s="26">
        <v>217</v>
      </c>
      <c r="E224" s="75" t="s">
        <v>844</v>
      </c>
      <c r="F224" s="26" t="s">
        <v>482</v>
      </c>
      <c r="G224" s="26" t="s">
        <v>848</v>
      </c>
      <c r="H224" s="26" t="s">
        <v>7</v>
      </c>
      <c r="I224" s="26" t="s">
        <v>589</v>
      </c>
      <c r="J224" s="75" t="s">
        <v>820</v>
      </c>
      <c r="K224" s="30">
        <v>38087</v>
      </c>
      <c r="L224" s="26">
        <v>2004</v>
      </c>
      <c r="M224" s="26">
        <f t="shared" si="5"/>
        <v>15</v>
      </c>
      <c r="N224" s="26" t="s">
        <v>3</v>
      </c>
      <c r="O224" s="26" t="s">
        <v>821</v>
      </c>
      <c r="P224" s="75" t="s">
        <v>822</v>
      </c>
      <c r="Q224" s="26"/>
      <c r="R224" s="75" t="s">
        <v>828</v>
      </c>
    </row>
    <row r="225" spans="2:18" ht="25.5" x14ac:dyDescent="0.25">
      <c r="B225" s="130"/>
      <c r="C225" s="130"/>
      <c r="D225" s="26">
        <v>218</v>
      </c>
      <c r="E225" s="75" t="s">
        <v>845</v>
      </c>
      <c r="F225" s="26" t="s">
        <v>482</v>
      </c>
      <c r="G225" s="26" t="s">
        <v>849</v>
      </c>
      <c r="H225" s="26" t="s">
        <v>1</v>
      </c>
      <c r="I225" s="26" t="s">
        <v>589</v>
      </c>
      <c r="J225" s="75" t="s">
        <v>851</v>
      </c>
      <c r="K225" s="30">
        <v>40453</v>
      </c>
      <c r="L225" s="26">
        <v>2010</v>
      </c>
      <c r="M225" s="26">
        <f t="shared" si="5"/>
        <v>9</v>
      </c>
      <c r="N225" s="26" t="s">
        <v>588</v>
      </c>
      <c r="O225" s="26" t="s">
        <v>821</v>
      </c>
      <c r="P225" s="75" t="s">
        <v>822</v>
      </c>
      <c r="Q225" s="26"/>
      <c r="R225" s="75" t="s">
        <v>828</v>
      </c>
    </row>
    <row r="226" spans="2:18" ht="25.5" x14ac:dyDescent="0.25">
      <c r="B226" s="130">
        <v>66</v>
      </c>
      <c r="C226" s="130" t="s">
        <v>1330</v>
      </c>
      <c r="D226" s="26">
        <v>219</v>
      </c>
      <c r="E226" s="75" t="s">
        <v>1331</v>
      </c>
      <c r="F226" s="26" t="s">
        <v>5</v>
      </c>
      <c r="G226" s="26" t="s">
        <v>1332</v>
      </c>
      <c r="H226" s="26" t="s">
        <v>1</v>
      </c>
      <c r="I226" s="26" t="s">
        <v>587</v>
      </c>
      <c r="J226" s="75" t="s">
        <v>820</v>
      </c>
      <c r="K226" s="30">
        <v>28125</v>
      </c>
      <c r="L226" s="26">
        <v>1976</v>
      </c>
      <c r="M226" s="26">
        <f t="shared" si="5"/>
        <v>43</v>
      </c>
      <c r="N226" s="26" t="s">
        <v>3</v>
      </c>
      <c r="O226" s="26" t="s">
        <v>821</v>
      </c>
      <c r="P226" s="75" t="s">
        <v>823</v>
      </c>
      <c r="Q226" s="26"/>
      <c r="R226" s="75" t="s">
        <v>826</v>
      </c>
    </row>
    <row r="227" spans="2:18" ht="25.5" x14ac:dyDescent="0.25">
      <c r="B227" s="130"/>
      <c r="C227" s="130"/>
      <c r="D227" s="26">
        <v>220</v>
      </c>
      <c r="E227" s="75" t="s">
        <v>1333</v>
      </c>
      <c r="F227" s="26" t="s">
        <v>9</v>
      </c>
      <c r="G227" s="26" t="s">
        <v>1334</v>
      </c>
      <c r="H227" s="26" t="s">
        <v>7</v>
      </c>
      <c r="I227" s="26" t="s">
        <v>587</v>
      </c>
      <c r="J227" s="75" t="s">
        <v>1287</v>
      </c>
      <c r="K227" s="30">
        <v>29586</v>
      </c>
      <c r="L227" s="26">
        <v>1980</v>
      </c>
      <c r="M227" s="26">
        <f t="shared" si="5"/>
        <v>39</v>
      </c>
      <c r="N227" s="26" t="s">
        <v>588</v>
      </c>
      <c r="O227" s="26" t="s">
        <v>821</v>
      </c>
      <c r="P227" s="75" t="s">
        <v>823</v>
      </c>
      <c r="Q227" s="26"/>
      <c r="R227" s="75" t="s">
        <v>826</v>
      </c>
    </row>
    <row r="228" spans="2:18" ht="25.5" x14ac:dyDescent="0.25">
      <c r="B228" s="130">
        <v>67</v>
      </c>
      <c r="C228" s="130" t="s">
        <v>1335</v>
      </c>
      <c r="D228" s="26">
        <v>221</v>
      </c>
      <c r="E228" s="75" t="s">
        <v>1336</v>
      </c>
      <c r="F228" s="26" t="s">
        <v>5</v>
      </c>
      <c r="G228" s="26" t="s">
        <v>1337</v>
      </c>
      <c r="H228" s="26" t="s">
        <v>1</v>
      </c>
      <c r="I228" s="26" t="s">
        <v>883</v>
      </c>
      <c r="J228" s="75" t="s">
        <v>839</v>
      </c>
      <c r="K228" s="30">
        <v>22463</v>
      </c>
      <c r="L228" s="26">
        <v>1976</v>
      </c>
      <c r="M228" s="26">
        <f t="shared" si="5"/>
        <v>43</v>
      </c>
      <c r="N228" s="26" t="s">
        <v>3</v>
      </c>
      <c r="O228" s="26" t="s">
        <v>821</v>
      </c>
      <c r="P228" s="75" t="s">
        <v>824</v>
      </c>
      <c r="Q228" s="26"/>
      <c r="R228" s="75" t="s">
        <v>877</v>
      </c>
    </row>
    <row r="229" spans="2:18" ht="25.5" x14ac:dyDescent="0.25">
      <c r="B229" s="130"/>
      <c r="C229" s="130"/>
      <c r="D229" s="26">
        <v>222</v>
      </c>
      <c r="E229" s="75" t="s">
        <v>1338</v>
      </c>
      <c r="F229" s="26" t="s">
        <v>11</v>
      </c>
      <c r="G229" s="26" t="s">
        <v>1339</v>
      </c>
      <c r="H229" s="26" t="s">
        <v>7</v>
      </c>
      <c r="I229" s="26" t="s">
        <v>881</v>
      </c>
      <c r="J229" s="75" t="s">
        <v>839</v>
      </c>
      <c r="K229" s="30">
        <v>30133</v>
      </c>
      <c r="L229" s="26">
        <v>1982</v>
      </c>
      <c r="M229" s="26">
        <f t="shared" si="5"/>
        <v>37</v>
      </c>
      <c r="N229" s="26" t="s">
        <v>3</v>
      </c>
      <c r="O229" s="26" t="s">
        <v>821</v>
      </c>
      <c r="P229" s="75" t="s">
        <v>824</v>
      </c>
      <c r="Q229" s="26"/>
      <c r="R229" s="75" t="s">
        <v>877</v>
      </c>
    </row>
    <row r="230" spans="2:18" ht="25.5" x14ac:dyDescent="0.25">
      <c r="B230" s="130"/>
      <c r="C230" s="130"/>
      <c r="D230" s="26">
        <v>223</v>
      </c>
      <c r="E230" s="75" t="s">
        <v>1340</v>
      </c>
      <c r="F230" s="26" t="s">
        <v>1030</v>
      </c>
      <c r="G230" s="26" t="s">
        <v>1341</v>
      </c>
      <c r="H230" s="26" t="s">
        <v>7</v>
      </c>
      <c r="I230" s="26" t="s">
        <v>129</v>
      </c>
      <c r="J230" s="75" t="s">
        <v>839</v>
      </c>
      <c r="K230" s="30">
        <v>39010</v>
      </c>
      <c r="L230" s="26">
        <v>2006</v>
      </c>
      <c r="M230" s="26">
        <f t="shared" si="5"/>
        <v>13</v>
      </c>
      <c r="N230" s="26" t="s">
        <v>588</v>
      </c>
      <c r="O230" s="26" t="s">
        <v>821</v>
      </c>
      <c r="P230" s="75" t="s">
        <v>824</v>
      </c>
      <c r="Q230" s="26"/>
      <c r="R230" s="75" t="s">
        <v>825</v>
      </c>
    </row>
    <row r="231" spans="2:18" ht="25.5" x14ac:dyDescent="0.25">
      <c r="B231" s="130">
        <v>68</v>
      </c>
      <c r="C231" s="130" t="s">
        <v>1342</v>
      </c>
      <c r="D231" s="26">
        <v>224</v>
      </c>
      <c r="E231" s="75" t="s">
        <v>1343</v>
      </c>
      <c r="F231" s="26" t="s">
        <v>5</v>
      </c>
      <c r="G231" s="26" t="s">
        <v>1344</v>
      </c>
      <c r="H231" s="26" t="s">
        <v>1</v>
      </c>
      <c r="I231" s="26" t="s">
        <v>2</v>
      </c>
      <c r="J231" s="75" t="s">
        <v>820</v>
      </c>
      <c r="K231" s="30">
        <v>30133</v>
      </c>
      <c r="L231" s="26">
        <v>1982</v>
      </c>
      <c r="M231" s="26">
        <f t="shared" si="5"/>
        <v>37</v>
      </c>
      <c r="N231" s="26" t="s">
        <v>3</v>
      </c>
      <c r="O231" s="26" t="s">
        <v>821</v>
      </c>
      <c r="P231" s="75" t="s">
        <v>823</v>
      </c>
      <c r="Q231" s="26"/>
      <c r="R231" s="75" t="s">
        <v>877</v>
      </c>
    </row>
    <row r="232" spans="2:18" ht="25.5" x14ac:dyDescent="0.25">
      <c r="B232" s="130"/>
      <c r="C232" s="130"/>
      <c r="D232" s="26">
        <v>225</v>
      </c>
      <c r="E232" s="75" t="s">
        <v>520</v>
      </c>
      <c r="F232" s="26" t="s">
        <v>9</v>
      </c>
      <c r="G232" s="26" t="s">
        <v>1345</v>
      </c>
      <c r="H232" s="26" t="s">
        <v>7</v>
      </c>
      <c r="I232" s="26" t="s">
        <v>2</v>
      </c>
      <c r="J232" s="75" t="s">
        <v>820</v>
      </c>
      <c r="K232" s="30">
        <v>29403</v>
      </c>
      <c r="L232" s="26">
        <v>1980</v>
      </c>
      <c r="M232" s="26">
        <f t="shared" si="5"/>
        <v>39</v>
      </c>
      <c r="N232" s="26" t="s">
        <v>3</v>
      </c>
      <c r="O232" s="26" t="s">
        <v>821</v>
      </c>
      <c r="P232" s="75" t="s">
        <v>823</v>
      </c>
      <c r="Q232" s="26"/>
      <c r="R232" s="75" t="s">
        <v>877</v>
      </c>
    </row>
    <row r="233" spans="2:18" ht="25.5" x14ac:dyDescent="0.25">
      <c r="B233" s="130"/>
      <c r="C233" s="130"/>
      <c r="D233" s="26">
        <v>226</v>
      </c>
      <c r="E233" s="75" t="s">
        <v>1346</v>
      </c>
      <c r="F233" s="26" t="s">
        <v>11</v>
      </c>
      <c r="G233" s="26" t="s">
        <v>1347</v>
      </c>
      <c r="H233" s="26" t="s">
        <v>7</v>
      </c>
      <c r="I233" s="26" t="s">
        <v>129</v>
      </c>
      <c r="J233" s="75" t="s">
        <v>820</v>
      </c>
      <c r="K233" s="30">
        <v>38534</v>
      </c>
      <c r="L233" s="26">
        <v>2005</v>
      </c>
      <c r="M233" s="26">
        <f t="shared" si="5"/>
        <v>14</v>
      </c>
      <c r="N233" s="26" t="s">
        <v>588</v>
      </c>
      <c r="O233" s="26" t="s">
        <v>821</v>
      </c>
      <c r="P233" s="75" t="s">
        <v>822</v>
      </c>
      <c r="Q233" s="26"/>
      <c r="R233" s="75" t="s">
        <v>828</v>
      </c>
    </row>
    <row r="234" spans="2:18" ht="25.5" x14ac:dyDescent="0.25">
      <c r="B234" s="132">
        <v>69</v>
      </c>
      <c r="C234" s="132" t="s">
        <v>956</v>
      </c>
      <c r="D234" s="26">
        <v>227</v>
      </c>
      <c r="E234" s="75" t="s">
        <v>37</v>
      </c>
      <c r="F234" s="26" t="s">
        <v>5</v>
      </c>
      <c r="G234" s="26" t="s">
        <v>768</v>
      </c>
      <c r="H234" s="26" t="s">
        <v>1</v>
      </c>
      <c r="I234" s="26" t="s">
        <v>587</v>
      </c>
      <c r="J234" s="75" t="s">
        <v>1480</v>
      </c>
      <c r="K234" s="30">
        <v>31418</v>
      </c>
      <c r="L234" s="26">
        <v>1986</v>
      </c>
      <c r="M234" s="26">
        <f t="shared" si="5"/>
        <v>33</v>
      </c>
      <c r="N234" s="26" t="s">
        <v>3</v>
      </c>
      <c r="O234" s="26" t="s">
        <v>821</v>
      </c>
      <c r="P234" s="75" t="s">
        <v>860</v>
      </c>
      <c r="Q234" s="26"/>
      <c r="R234" s="75" t="s">
        <v>1665</v>
      </c>
    </row>
    <row r="235" spans="2:18" ht="25.5" x14ac:dyDescent="0.25">
      <c r="B235" s="133"/>
      <c r="C235" s="133"/>
      <c r="D235" s="26">
        <v>228</v>
      </c>
      <c r="E235" s="75" t="s">
        <v>1619</v>
      </c>
      <c r="F235" s="26" t="s">
        <v>9</v>
      </c>
      <c r="G235" s="26" t="s">
        <v>769</v>
      </c>
      <c r="H235" s="26" t="s">
        <v>7</v>
      </c>
      <c r="I235" s="26" t="s">
        <v>2</v>
      </c>
      <c r="J235" s="75" t="s">
        <v>1620</v>
      </c>
      <c r="K235" s="30">
        <v>33209</v>
      </c>
      <c r="L235" s="26">
        <v>1990</v>
      </c>
      <c r="M235" s="26">
        <f t="shared" si="5"/>
        <v>29</v>
      </c>
      <c r="N235" s="26" t="s">
        <v>3</v>
      </c>
      <c r="O235" s="26" t="s">
        <v>821</v>
      </c>
      <c r="P235" s="75" t="s">
        <v>823</v>
      </c>
      <c r="Q235" s="26"/>
      <c r="R235" s="75" t="s">
        <v>899</v>
      </c>
    </row>
    <row r="236" spans="2:18" ht="25.5" x14ac:dyDescent="0.25">
      <c r="B236" s="134"/>
      <c r="C236" s="134"/>
      <c r="D236" s="26">
        <v>229</v>
      </c>
      <c r="E236" s="75" t="s">
        <v>1621</v>
      </c>
      <c r="F236" s="26" t="s">
        <v>11</v>
      </c>
      <c r="G236" s="26" t="s">
        <v>766</v>
      </c>
      <c r="H236" s="26" t="s">
        <v>7</v>
      </c>
      <c r="I236" s="26" t="s">
        <v>129</v>
      </c>
      <c r="J236" s="75" t="s">
        <v>1465</v>
      </c>
      <c r="K236" s="30">
        <v>40356</v>
      </c>
      <c r="L236" s="26">
        <v>2010</v>
      </c>
      <c r="M236" s="26">
        <f t="shared" si="5"/>
        <v>9</v>
      </c>
      <c r="N236" s="26" t="s">
        <v>3</v>
      </c>
      <c r="O236" s="26" t="s">
        <v>821</v>
      </c>
      <c r="P236" s="75" t="s">
        <v>824</v>
      </c>
      <c r="Q236" s="26"/>
      <c r="R236" s="75" t="s">
        <v>825</v>
      </c>
    </row>
    <row r="237" spans="2:18" ht="25.5" x14ac:dyDescent="0.25">
      <c r="B237" s="132">
        <v>70</v>
      </c>
      <c r="C237" s="132" t="s">
        <v>1085</v>
      </c>
      <c r="D237" s="26">
        <v>230</v>
      </c>
      <c r="E237" s="75" t="s">
        <v>180</v>
      </c>
      <c r="F237" s="26" t="s">
        <v>5</v>
      </c>
      <c r="G237" s="26" t="s">
        <v>293</v>
      </c>
      <c r="H237" s="26" t="s">
        <v>7</v>
      </c>
      <c r="I237" s="26" t="s">
        <v>881</v>
      </c>
      <c r="J237" s="75" t="s">
        <v>1465</v>
      </c>
      <c r="K237" s="30">
        <v>27576</v>
      </c>
      <c r="L237" s="26">
        <v>1975</v>
      </c>
      <c r="M237" s="26">
        <f t="shared" si="5"/>
        <v>44</v>
      </c>
      <c r="N237" s="26" t="s">
        <v>3</v>
      </c>
      <c r="O237" s="26" t="s">
        <v>821</v>
      </c>
      <c r="P237" s="75" t="s">
        <v>824</v>
      </c>
      <c r="Q237" s="26"/>
      <c r="R237" s="75" t="s">
        <v>54</v>
      </c>
    </row>
    <row r="238" spans="2:18" x14ac:dyDescent="0.25">
      <c r="B238" s="133"/>
      <c r="C238" s="133"/>
      <c r="D238" s="26">
        <v>231</v>
      </c>
      <c r="E238" s="75" t="s">
        <v>1692</v>
      </c>
      <c r="F238" s="26" t="s">
        <v>11</v>
      </c>
      <c r="G238" s="26" t="s">
        <v>1086</v>
      </c>
      <c r="H238" s="26" t="s">
        <v>1</v>
      </c>
      <c r="I238" s="26" t="s">
        <v>129</v>
      </c>
      <c r="J238" s="75" t="s">
        <v>1472</v>
      </c>
      <c r="K238" s="30">
        <v>32527</v>
      </c>
      <c r="L238" s="26">
        <v>1989</v>
      </c>
      <c r="M238" s="26">
        <f t="shared" si="5"/>
        <v>30</v>
      </c>
      <c r="N238" s="26" t="s">
        <v>3</v>
      </c>
      <c r="O238" s="26" t="s">
        <v>821</v>
      </c>
      <c r="P238" s="75" t="s">
        <v>860</v>
      </c>
      <c r="Q238" s="26"/>
      <c r="R238" s="75" t="s">
        <v>899</v>
      </c>
    </row>
    <row r="239" spans="2:18" ht="25.5" x14ac:dyDescent="0.25">
      <c r="B239" s="134"/>
      <c r="C239" s="134"/>
      <c r="D239" s="26">
        <v>232</v>
      </c>
      <c r="E239" s="75" t="s">
        <v>181</v>
      </c>
      <c r="F239" s="26" t="s">
        <v>11</v>
      </c>
      <c r="G239" s="26" t="s">
        <v>294</v>
      </c>
      <c r="H239" s="26" t="s">
        <v>7</v>
      </c>
      <c r="I239" s="26" t="s">
        <v>883</v>
      </c>
      <c r="J239" s="75" t="s">
        <v>1472</v>
      </c>
      <c r="K239" s="30">
        <v>18810</v>
      </c>
      <c r="L239" s="26">
        <v>1951</v>
      </c>
      <c r="M239" s="26">
        <f t="shared" si="5"/>
        <v>68</v>
      </c>
      <c r="N239" s="26" t="s">
        <v>3</v>
      </c>
      <c r="O239" s="26" t="s">
        <v>821</v>
      </c>
      <c r="P239" s="75" t="s">
        <v>824</v>
      </c>
      <c r="Q239" s="26"/>
      <c r="R239" s="75" t="s">
        <v>54</v>
      </c>
    </row>
    <row r="240" spans="2:18" ht="25.5" x14ac:dyDescent="0.25">
      <c r="B240" s="132">
        <v>71</v>
      </c>
      <c r="C240" s="132" t="s">
        <v>1195</v>
      </c>
      <c r="D240" s="26">
        <v>233</v>
      </c>
      <c r="E240" s="75" t="s">
        <v>25</v>
      </c>
      <c r="F240" s="26" t="s">
        <v>5</v>
      </c>
      <c r="G240" s="26" t="s">
        <v>1197</v>
      </c>
      <c r="H240" s="26" t="s">
        <v>1</v>
      </c>
      <c r="I240" s="26" t="s">
        <v>2</v>
      </c>
      <c r="J240" s="75" t="s">
        <v>1472</v>
      </c>
      <c r="K240" s="30">
        <v>26115</v>
      </c>
      <c r="L240" s="26">
        <v>1971</v>
      </c>
      <c r="M240" s="26">
        <f t="shared" si="5"/>
        <v>48</v>
      </c>
      <c r="N240" s="26" t="s">
        <v>3</v>
      </c>
      <c r="O240" s="26" t="s">
        <v>821</v>
      </c>
      <c r="P240" s="75" t="s">
        <v>823</v>
      </c>
      <c r="Q240" s="26"/>
      <c r="R240" s="75" t="s">
        <v>54</v>
      </c>
    </row>
    <row r="241" spans="2:18" ht="25.5" x14ac:dyDescent="0.25">
      <c r="B241" s="133"/>
      <c r="C241" s="133"/>
      <c r="D241" s="26">
        <v>234</v>
      </c>
      <c r="E241" s="75" t="s">
        <v>215</v>
      </c>
      <c r="F241" s="26" t="s">
        <v>9</v>
      </c>
      <c r="G241" s="26" t="s">
        <v>314</v>
      </c>
      <c r="H241" s="26" t="s">
        <v>7</v>
      </c>
      <c r="I241" s="26" t="s">
        <v>2</v>
      </c>
      <c r="J241" s="75" t="s">
        <v>1552</v>
      </c>
      <c r="K241" s="30">
        <v>27029</v>
      </c>
      <c r="L241" s="26">
        <v>1973</v>
      </c>
      <c r="M241" s="26">
        <f t="shared" si="5"/>
        <v>46</v>
      </c>
      <c r="N241" s="26" t="s">
        <v>3</v>
      </c>
      <c r="O241" s="26" t="s">
        <v>821</v>
      </c>
      <c r="P241" s="75" t="s">
        <v>823</v>
      </c>
      <c r="Q241" s="26"/>
      <c r="R241" s="75" t="s">
        <v>827</v>
      </c>
    </row>
    <row r="242" spans="2:18" ht="25.5" x14ac:dyDescent="0.25">
      <c r="B242" s="133"/>
      <c r="C242" s="133"/>
      <c r="D242" s="26">
        <v>235</v>
      </c>
      <c r="E242" s="75" t="s">
        <v>81</v>
      </c>
      <c r="F242" s="26" t="s">
        <v>11</v>
      </c>
      <c r="G242" s="26" t="s">
        <v>1693</v>
      </c>
      <c r="H242" s="26" t="s">
        <v>1</v>
      </c>
      <c r="I242" s="26" t="s">
        <v>129</v>
      </c>
      <c r="J242" s="75" t="s">
        <v>1472</v>
      </c>
      <c r="K242" s="30">
        <v>33724</v>
      </c>
      <c r="L242" s="26">
        <v>1992</v>
      </c>
      <c r="M242" s="26">
        <f t="shared" si="5"/>
        <v>27</v>
      </c>
      <c r="N242" s="26" t="s">
        <v>3</v>
      </c>
      <c r="O242" s="26" t="s">
        <v>821</v>
      </c>
      <c r="P242" s="75" t="s">
        <v>831</v>
      </c>
      <c r="Q242" s="26"/>
      <c r="R242" s="75" t="s">
        <v>825</v>
      </c>
    </row>
    <row r="243" spans="2:18" ht="25.5" x14ac:dyDescent="0.25">
      <c r="B243" s="133"/>
      <c r="C243" s="133"/>
      <c r="D243" s="26">
        <v>236</v>
      </c>
      <c r="E243" s="75" t="s">
        <v>216</v>
      </c>
      <c r="F243" s="26" t="s">
        <v>11</v>
      </c>
      <c r="G243" s="26" t="s">
        <v>1199</v>
      </c>
      <c r="H243" s="26" t="s">
        <v>1</v>
      </c>
      <c r="I243" s="26" t="s">
        <v>129</v>
      </c>
      <c r="J243" s="75" t="s">
        <v>1465</v>
      </c>
      <c r="K243" s="30">
        <v>34699</v>
      </c>
      <c r="L243" s="26">
        <v>1994</v>
      </c>
      <c r="M243" s="26">
        <f t="shared" si="5"/>
        <v>25</v>
      </c>
      <c r="N243" s="26" t="s">
        <v>3</v>
      </c>
      <c r="O243" s="26" t="s">
        <v>821</v>
      </c>
      <c r="P243" s="75" t="s">
        <v>831</v>
      </c>
      <c r="Q243" s="26"/>
      <c r="R243" s="75" t="s">
        <v>825</v>
      </c>
    </row>
    <row r="244" spans="2:18" ht="25.5" x14ac:dyDescent="0.25">
      <c r="B244" s="134"/>
      <c r="C244" s="134"/>
      <c r="D244" s="26">
        <v>237</v>
      </c>
      <c r="E244" s="75" t="s">
        <v>1196</v>
      </c>
      <c r="F244" s="26" t="s">
        <v>11</v>
      </c>
      <c r="G244" s="26" t="s">
        <v>316</v>
      </c>
      <c r="H244" s="26" t="s">
        <v>1</v>
      </c>
      <c r="I244" s="26" t="s">
        <v>129</v>
      </c>
      <c r="J244" s="75" t="s">
        <v>1465</v>
      </c>
      <c r="K244" s="30">
        <v>41036</v>
      </c>
      <c r="L244" s="26">
        <v>2012</v>
      </c>
      <c r="M244" s="26">
        <f t="shared" si="5"/>
        <v>7</v>
      </c>
      <c r="N244" s="26" t="s">
        <v>3</v>
      </c>
      <c r="O244" s="26" t="s">
        <v>821</v>
      </c>
      <c r="P244" s="75" t="s">
        <v>824</v>
      </c>
      <c r="Q244" s="26"/>
      <c r="R244" s="75" t="s">
        <v>825</v>
      </c>
    </row>
    <row r="245" spans="2:18" x14ac:dyDescent="0.25">
      <c r="O245" s="82"/>
    </row>
    <row r="248" spans="2:18" s="107" customFormat="1" x14ac:dyDescent="0.25">
      <c r="D248" s="128" t="s">
        <v>1845</v>
      </c>
      <c r="E248" s="128"/>
      <c r="F248" s="128"/>
      <c r="L248" s="82"/>
      <c r="P248" s="108"/>
      <c r="R248" s="108"/>
    </row>
    <row r="249" spans="2:18" s="107" customFormat="1" x14ac:dyDescent="0.25">
      <c r="D249" s="128" t="s">
        <v>1846</v>
      </c>
      <c r="E249" s="128"/>
      <c r="F249" s="128"/>
      <c r="L249" s="82"/>
      <c r="P249" s="118" t="s">
        <v>1847</v>
      </c>
      <c r="Q249" s="118"/>
      <c r="R249" s="108"/>
    </row>
    <row r="250" spans="2:18" s="107" customFormat="1" x14ac:dyDescent="0.25">
      <c r="D250" s="109"/>
      <c r="E250" s="110"/>
      <c r="F250" s="109"/>
      <c r="L250" s="82"/>
      <c r="P250" s="36"/>
      <c r="Q250" s="40"/>
      <c r="R250" s="108"/>
    </row>
    <row r="251" spans="2:18" s="107" customFormat="1" x14ac:dyDescent="0.25">
      <c r="D251" s="109"/>
      <c r="E251" s="110"/>
      <c r="F251" s="109"/>
      <c r="L251" s="82"/>
      <c r="P251" s="36"/>
      <c r="Q251" s="40"/>
      <c r="R251" s="108"/>
    </row>
    <row r="252" spans="2:18" s="107" customFormat="1" x14ac:dyDescent="0.25">
      <c r="D252" s="109"/>
      <c r="E252" s="110"/>
      <c r="F252" s="109"/>
      <c r="L252" s="82"/>
      <c r="P252" s="36"/>
      <c r="Q252" s="40"/>
      <c r="R252" s="108"/>
    </row>
    <row r="253" spans="2:18" s="107" customFormat="1" ht="14.25" x14ac:dyDescent="0.2">
      <c r="D253" s="129" t="s">
        <v>1848</v>
      </c>
      <c r="E253" s="129"/>
      <c r="F253" s="129"/>
      <c r="L253" s="82"/>
      <c r="P253" s="111" t="s">
        <v>1852</v>
      </c>
      <c r="Q253" s="111"/>
      <c r="R253" s="108"/>
    </row>
    <row r="254" spans="2:18" s="107" customFormat="1" ht="14.25" x14ac:dyDescent="0.2">
      <c r="D254" s="129" t="s">
        <v>1849</v>
      </c>
      <c r="E254" s="129"/>
      <c r="F254" s="129"/>
      <c r="L254" s="82"/>
      <c r="P254" s="108"/>
      <c r="R254" s="108"/>
    </row>
  </sheetData>
  <autoFilter ref="B7:R244"/>
  <mergeCells count="149">
    <mergeCell ref="C136:C139"/>
    <mergeCell ref="C140:C143"/>
    <mergeCell ref="B130:B131"/>
    <mergeCell ref="B132:B135"/>
    <mergeCell ref="C123:C124"/>
    <mergeCell ref="B234:B236"/>
    <mergeCell ref="B47:B50"/>
    <mergeCell ref="C47:C50"/>
    <mergeCell ref="B51:B54"/>
    <mergeCell ref="B55:B57"/>
    <mergeCell ref="C59:C61"/>
    <mergeCell ref="B59:B61"/>
    <mergeCell ref="B62:B63"/>
    <mergeCell ref="B101:B104"/>
    <mergeCell ref="B105:B108"/>
    <mergeCell ref="B109:B112"/>
    <mergeCell ref="B117:B118"/>
    <mergeCell ref="B64:B68"/>
    <mergeCell ref="C64:C68"/>
    <mergeCell ref="B70:B73"/>
    <mergeCell ref="C70:C73"/>
    <mergeCell ref="B180:B186"/>
    <mergeCell ref="B187:B189"/>
    <mergeCell ref="C153:C156"/>
    <mergeCell ref="B157:B159"/>
    <mergeCell ref="C157:C159"/>
    <mergeCell ref="B160:B163"/>
    <mergeCell ref="C130:C131"/>
    <mergeCell ref="B74:B78"/>
    <mergeCell ref="R5:R6"/>
    <mergeCell ref="Q5:Q6"/>
    <mergeCell ref="B171:B174"/>
    <mergeCell ref="H5:H6"/>
    <mergeCell ref="C24:C28"/>
    <mergeCell ref="C43:C46"/>
    <mergeCell ref="M5:M6"/>
    <mergeCell ref="O5:O6"/>
    <mergeCell ref="N5:N6"/>
    <mergeCell ref="P5:P6"/>
    <mergeCell ref="C5:C6"/>
    <mergeCell ref="D5:D6"/>
    <mergeCell ref="J5:L5"/>
    <mergeCell ref="F5:F6"/>
    <mergeCell ref="G5:G6"/>
    <mergeCell ref="I5:I6"/>
    <mergeCell ref="B81:B83"/>
    <mergeCell ref="B84:B87"/>
    <mergeCell ref="B88:B91"/>
    <mergeCell ref="B123:B124"/>
    <mergeCell ref="C125:C129"/>
    <mergeCell ref="B125:B129"/>
    <mergeCell ref="C74:C78"/>
    <mergeCell ref="B99:B100"/>
    <mergeCell ref="B175:B179"/>
    <mergeCell ref="C175:C179"/>
    <mergeCell ref="B147:B150"/>
    <mergeCell ref="B151:B152"/>
    <mergeCell ref="C171:C174"/>
    <mergeCell ref="C160:C163"/>
    <mergeCell ref="B153:B156"/>
    <mergeCell ref="B5:B6"/>
    <mergeCell ref="E5:E6"/>
    <mergeCell ref="C97:C98"/>
    <mergeCell ref="B136:B139"/>
    <mergeCell ref="B140:B143"/>
    <mergeCell ref="B144:B146"/>
    <mergeCell ref="B12:B14"/>
    <mergeCell ref="B15:B20"/>
    <mergeCell ref="B21:B23"/>
    <mergeCell ref="B24:B28"/>
    <mergeCell ref="C12:C14"/>
    <mergeCell ref="C15:C20"/>
    <mergeCell ref="C21:C23"/>
    <mergeCell ref="C113:C116"/>
    <mergeCell ref="C117:C118"/>
    <mergeCell ref="B119:B122"/>
    <mergeCell ref="C119:C122"/>
    <mergeCell ref="B193:B198"/>
    <mergeCell ref="C193:C198"/>
    <mergeCell ref="B200:B203"/>
    <mergeCell ref="C200:C203"/>
    <mergeCell ref="B204:B207"/>
    <mergeCell ref="C105:C108"/>
    <mergeCell ref="C132:C135"/>
    <mergeCell ref="B237:B239"/>
    <mergeCell ref="C237:C239"/>
    <mergeCell ref="C144:C146"/>
    <mergeCell ref="C147:C150"/>
    <mergeCell ref="C151:C152"/>
    <mergeCell ref="C180:C186"/>
    <mergeCell ref="C187:C189"/>
    <mergeCell ref="C204:C207"/>
    <mergeCell ref="C209:C210"/>
    <mergeCell ref="C212:C214"/>
    <mergeCell ref="C215:C217"/>
    <mergeCell ref="B190:B192"/>
    <mergeCell ref="C190:C192"/>
    <mergeCell ref="B164:B166"/>
    <mergeCell ref="C164:C166"/>
    <mergeCell ref="B167:B170"/>
    <mergeCell ref="C167:C170"/>
    <mergeCell ref="C8:C11"/>
    <mergeCell ref="B32:B37"/>
    <mergeCell ref="B38:B40"/>
    <mergeCell ref="B43:B46"/>
    <mergeCell ref="B41:B42"/>
    <mergeCell ref="B29:B31"/>
    <mergeCell ref="C234:C236"/>
    <mergeCell ref="B240:B244"/>
    <mergeCell ref="C240:C244"/>
    <mergeCell ref="B231:B233"/>
    <mergeCell ref="C231:C233"/>
    <mergeCell ref="B93:B96"/>
    <mergeCell ref="B113:B116"/>
    <mergeCell ref="B215:B217"/>
    <mergeCell ref="B222:B225"/>
    <mergeCell ref="C222:C225"/>
    <mergeCell ref="B226:B227"/>
    <mergeCell ref="C226:C227"/>
    <mergeCell ref="B228:B230"/>
    <mergeCell ref="C228:C230"/>
    <mergeCell ref="B209:B210"/>
    <mergeCell ref="B212:B214"/>
    <mergeCell ref="B218:B221"/>
    <mergeCell ref="C218:C221"/>
    <mergeCell ref="D248:F248"/>
    <mergeCell ref="D249:F249"/>
    <mergeCell ref="P249:Q249"/>
    <mergeCell ref="D253:F253"/>
    <mergeCell ref="P253:Q253"/>
    <mergeCell ref="D254:F254"/>
    <mergeCell ref="B8:B11"/>
    <mergeCell ref="C109:C112"/>
    <mergeCell ref="B1:R1"/>
    <mergeCell ref="B2:R2"/>
    <mergeCell ref="C55:C57"/>
    <mergeCell ref="C81:C83"/>
    <mergeCell ref="C84:C87"/>
    <mergeCell ref="C88:C91"/>
    <mergeCell ref="C93:C96"/>
    <mergeCell ref="C99:C100"/>
    <mergeCell ref="C101:C104"/>
    <mergeCell ref="B97:B98"/>
    <mergeCell ref="C29:C31"/>
    <mergeCell ref="C41:C42"/>
    <mergeCell ref="C38:C40"/>
    <mergeCell ref="C32:C37"/>
    <mergeCell ref="C51:C54"/>
    <mergeCell ref="C62:C63"/>
  </mergeCells>
  <pageMargins left="1.37795275590551" right="0.196850393700787" top="0.39370078740157499" bottom="0.643700787" header="0.31496062992126" footer="0.31496062992126"/>
  <pageSetup paperSize="10000" scale="82" orientation="landscape" horizontalDpi="360" verticalDpi="360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94"/>
  <sheetViews>
    <sheetView zoomScaleNormal="100" workbookViewId="0">
      <pane ySplit="6" topLeftCell="A7" activePane="bottomLeft" state="frozen"/>
      <selection pane="bottomLeft" activeCell="H26" sqref="H26"/>
    </sheetView>
  </sheetViews>
  <sheetFormatPr defaultRowHeight="12.75" x14ac:dyDescent="0.2"/>
  <cols>
    <col min="1" max="1" width="9.140625" style="83"/>
    <col min="2" max="2" width="3.140625" style="84" customWidth="1"/>
    <col min="3" max="3" width="15.28515625" style="84" customWidth="1"/>
    <col min="4" max="4" width="8.7109375" style="84" customWidth="1"/>
    <col min="5" max="5" width="12.7109375" style="85" customWidth="1"/>
    <col min="6" max="6" width="9.7109375" style="84" customWidth="1"/>
    <col min="7" max="7" width="15.28515625" style="84" customWidth="1"/>
    <col min="8" max="8" width="7.7109375" style="84" customWidth="1"/>
    <col min="9" max="9" width="10.7109375" style="84" customWidth="1"/>
    <col min="10" max="10" width="13.7109375" style="85" customWidth="1"/>
    <col min="11" max="11" width="16.28515625" style="81" bestFit="1" customWidth="1"/>
    <col min="12" max="12" width="6" style="79" customWidth="1"/>
    <col min="13" max="13" width="4.42578125" style="79" customWidth="1"/>
    <col min="14" max="14" width="6.42578125" style="84" customWidth="1"/>
    <col min="15" max="15" width="5.42578125" style="84" customWidth="1"/>
    <col min="16" max="16" width="16.7109375" style="85" customWidth="1"/>
    <col min="17" max="17" width="7.5703125" style="84" customWidth="1"/>
    <col min="18" max="18" width="15.7109375" style="85" customWidth="1"/>
    <col min="19" max="16384" width="9.140625" style="83"/>
  </cols>
  <sheetData>
    <row r="1" spans="2:18" s="35" customFormat="1" ht="15.75" x14ac:dyDescent="0.25">
      <c r="B1" s="131" t="s">
        <v>1694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</row>
    <row r="2" spans="2:18" s="35" customFormat="1" ht="15.75" x14ac:dyDescent="0.25">
      <c r="B2" s="131" t="s">
        <v>1695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2:18" s="35" customFormat="1" ht="15.75" x14ac:dyDescent="0.25">
      <c r="B3" s="106" t="s">
        <v>1698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2:18" ht="15.75" x14ac:dyDescent="0.2">
      <c r="B4" s="106" t="s">
        <v>1843</v>
      </c>
    </row>
    <row r="5" spans="2:18" ht="20.100000000000001" customHeight="1" x14ac:dyDescent="0.2">
      <c r="B5" s="144" t="s">
        <v>108</v>
      </c>
      <c r="C5" s="144" t="s">
        <v>803</v>
      </c>
      <c r="D5" s="143" t="s">
        <v>804</v>
      </c>
      <c r="E5" s="143" t="s">
        <v>1696</v>
      </c>
      <c r="F5" s="143" t="s">
        <v>115</v>
      </c>
      <c r="G5" s="145" t="s">
        <v>116</v>
      </c>
      <c r="H5" s="143" t="s">
        <v>110</v>
      </c>
      <c r="I5" s="143" t="s">
        <v>111</v>
      </c>
      <c r="J5" s="144" t="s">
        <v>805</v>
      </c>
      <c r="K5" s="144"/>
      <c r="L5" s="144"/>
      <c r="M5" s="135" t="s">
        <v>809</v>
      </c>
      <c r="N5" s="144" t="s">
        <v>112</v>
      </c>
      <c r="O5" s="144" t="s">
        <v>810</v>
      </c>
      <c r="P5" s="143" t="s">
        <v>113</v>
      </c>
      <c r="Q5" s="144" t="s">
        <v>811</v>
      </c>
      <c r="R5" s="143" t="s">
        <v>114</v>
      </c>
    </row>
    <row r="6" spans="2:18" ht="20.100000000000001" customHeight="1" x14ac:dyDescent="0.2">
      <c r="B6" s="144"/>
      <c r="C6" s="144"/>
      <c r="D6" s="143"/>
      <c r="E6" s="143"/>
      <c r="F6" s="143"/>
      <c r="G6" s="145"/>
      <c r="H6" s="143"/>
      <c r="I6" s="143"/>
      <c r="J6" s="89" t="s">
        <v>806</v>
      </c>
      <c r="K6" s="87" t="s">
        <v>807</v>
      </c>
      <c r="L6" s="88" t="s">
        <v>808</v>
      </c>
      <c r="M6" s="135"/>
      <c r="N6" s="144"/>
      <c r="O6" s="144"/>
      <c r="P6" s="143"/>
      <c r="Q6" s="144"/>
      <c r="R6" s="143"/>
    </row>
    <row r="7" spans="2:18" x14ac:dyDescent="0.2">
      <c r="B7" s="90"/>
      <c r="C7" s="90"/>
      <c r="D7" s="90"/>
      <c r="E7" s="89"/>
      <c r="F7" s="90"/>
      <c r="G7" s="91"/>
      <c r="H7" s="90"/>
      <c r="I7" s="90"/>
      <c r="J7" s="89"/>
      <c r="K7" s="87"/>
      <c r="L7" s="88"/>
      <c r="M7" s="88"/>
      <c r="N7" s="90"/>
      <c r="O7" s="90"/>
      <c r="P7" s="89"/>
      <c r="Q7" s="90"/>
      <c r="R7" s="89"/>
    </row>
    <row r="8" spans="2:18" x14ac:dyDescent="0.2">
      <c r="B8" s="142">
        <v>1</v>
      </c>
      <c r="C8" s="142" t="s">
        <v>1447</v>
      </c>
      <c r="D8" s="3">
        <v>1</v>
      </c>
      <c r="E8" s="39" t="s">
        <v>1448</v>
      </c>
      <c r="F8" s="3" t="s">
        <v>5</v>
      </c>
      <c r="G8" s="3" t="s">
        <v>1449</v>
      </c>
      <c r="H8" s="3" t="s">
        <v>1</v>
      </c>
      <c r="I8" s="3" t="s">
        <v>2</v>
      </c>
      <c r="J8" s="39" t="s">
        <v>820</v>
      </c>
      <c r="K8" s="30">
        <v>25020</v>
      </c>
      <c r="L8" s="26">
        <v>1968</v>
      </c>
      <c r="M8" s="26">
        <f>2019-L8</f>
        <v>51</v>
      </c>
      <c r="N8" s="3" t="s">
        <v>3</v>
      </c>
      <c r="O8" s="3" t="s">
        <v>821</v>
      </c>
      <c r="P8" s="39" t="s">
        <v>831</v>
      </c>
      <c r="Q8" s="3"/>
      <c r="R8" s="39" t="s">
        <v>840</v>
      </c>
    </row>
    <row r="9" spans="2:18" ht="25.5" x14ac:dyDescent="0.2">
      <c r="B9" s="142"/>
      <c r="C9" s="142"/>
      <c r="D9" s="3">
        <v>2</v>
      </c>
      <c r="E9" s="39" t="s">
        <v>28</v>
      </c>
      <c r="F9" s="3" t="s">
        <v>9</v>
      </c>
      <c r="G9" s="3" t="s">
        <v>1450</v>
      </c>
      <c r="H9" s="3" t="s">
        <v>7</v>
      </c>
      <c r="I9" s="3" t="s">
        <v>2</v>
      </c>
      <c r="J9" s="39" t="s">
        <v>820</v>
      </c>
      <c r="K9" s="30">
        <v>25750</v>
      </c>
      <c r="L9" s="26">
        <v>1970</v>
      </c>
      <c r="M9" s="26">
        <f t="shared" ref="M9:M71" si="0">2019-L9</f>
        <v>49</v>
      </c>
      <c r="N9" s="3" t="s">
        <v>3</v>
      </c>
      <c r="O9" s="3" t="s">
        <v>821</v>
      </c>
      <c r="P9" s="39" t="s">
        <v>1357</v>
      </c>
      <c r="Q9" s="3"/>
      <c r="R9" s="39" t="s">
        <v>827</v>
      </c>
    </row>
    <row r="10" spans="2:18" ht="25.5" x14ac:dyDescent="0.2">
      <c r="B10" s="142"/>
      <c r="C10" s="142"/>
      <c r="D10" s="3">
        <v>3</v>
      </c>
      <c r="E10" s="39" t="s">
        <v>591</v>
      </c>
      <c r="F10" s="3" t="s">
        <v>11</v>
      </c>
      <c r="G10" s="3" t="s">
        <v>1451</v>
      </c>
      <c r="H10" s="3" t="s">
        <v>1</v>
      </c>
      <c r="I10" s="3" t="s">
        <v>10</v>
      </c>
      <c r="J10" s="39" t="s">
        <v>820</v>
      </c>
      <c r="K10" s="30">
        <v>35838</v>
      </c>
      <c r="L10" s="26">
        <v>1998</v>
      </c>
      <c r="M10" s="26">
        <f t="shared" si="0"/>
        <v>21</v>
      </c>
      <c r="N10" s="3" t="s">
        <v>3</v>
      </c>
      <c r="O10" s="3" t="s">
        <v>821</v>
      </c>
      <c r="P10" s="39" t="s">
        <v>860</v>
      </c>
      <c r="Q10" s="3"/>
      <c r="R10" s="39" t="s">
        <v>828</v>
      </c>
    </row>
    <row r="11" spans="2:18" ht="25.5" x14ac:dyDescent="0.2">
      <c r="B11" s="142">
        <v>2</v>
      </c>
      <c r="C11" s="142" t="s">
        <v>1353</v>
      </c>
      <c r="D11" s="3">
        <v>4</v>
      </c>
      <c r="E11" s="39" t="s">
        <v>592</v>
      </c>
      <c r="F11" s="3" t="s">
        <v>5</v>
      </c>
      <c r="G11" s="3" t="s">
        <v>593</v>
      </c>
      <c r="H11" s="3" t="s">
        <v>1</v>
      </c>
      <c r="I11" s="3" t="s">
        <v>2</v>
      </c>
      <c r="J11" s="39" t="s">
        <v>830</v>
      </c>
      <c r="K11" s="30">
        <v>22828</v>
      </c>
      <c r="L11" s="26">
        <v>1962</v>
      </c>
      <c r="M11" s="26">
        <f t="shared" si="0"/>
        <v>57</v>
      </c>
      <c r="N11" s="3" t="s">
        <v>3</v>
      </c>
      <c r="O11" s="3" t="s">
        <v>821</v>
      </c>
      <c r="P11" s="39" t="s">
        <v>823</v>
      </c>
      <c r="Q11" s="3"/>
      <c r="R11" s="39" t="s">
        <v>826</v>
      </c>
    </row>
    <row r="12" spans="2:18" ht="25.5" x14ac:dyDescent="0.2">
      <c r="B12" s="142"/>
      <c r="C12" s="142"/>
      <c r="D12" s="3">
        <v>5</v>
      </c>
      <c r="E12" s="39" t="s">
        <v>1354</v>
      </c>
      <c r="F12" s="3" t="s">
        <v>9</v>
      </c>
      <c r="G12" s="3" t="s">
        <v>594</v>
      </c>
      <c r="H12" s="3" t="s">
        <v>1</v>
      </c>
      <c r="I12" s="3" t="s">
        <v>2</v>
      </c>
      <c r="J12" s="39" t="s">
        <v>830</v>
      </c>
      <c r="K12" s="30">
        <v>28672</v>
      </c>
      <c r="L12" s="26">
        <v>1978</v>
      </c>
      <c r="M12" s="26">
        <f t="shared" si="0"/>
        <v>41</v>
      </c>
      <c r="N12" s="3" t="s">
        <v>3</v>
      </c>
      <c r="O12" s="3" t="s">
        <v>821</v>
      </c>
      <c r="P12" s="39" t="s">
        <v>822</v>
      </c>
      <c r="Q12" s="3"/>
      <c r="R12" s="39" t="s">
        <v>827</v>
      </c>
    </row>
    <row r="13" spans="2:18" ht="25.5" x14ac:dyDescent="0.2">
      <c r="B13" s="142"/>
      <c r="C13" s="142"/>
      <c r="D13" s="3">
        <v>6</v>
      </c>
      <c r="E13" s="39" t="s">
        <v>595</v>
      </c>
      <c r="F13" s="3" t="s">
        <v>11</v>
      </c>
      <c r="G13" s="3" t="s">
        <v>596</v>
      </c>
      <c r="H13" s="3" t="s">
        <v>7</v>
      </c>
      <c r="I13" s="3" t="s">
        <v>10</v>
      </c>
      <c r="J13" s="39" t="s">
        <v>830</v>
      </c>
      <c r="K13" s="30">
        <v>35977</v>
      </c>
      <c r="L13" s="26">
        <v>1998</v>
      </c>
      <c r="M13" s="26">
        <f t="shared" si="0"/>
        <v>21</v>
      </c>
      <c r="N13" s="3" t="s">
        <v>3</v>
      </c>
      <c r="O13" s="3" t="s">
        <v>821</v>
      </c>
      <c r="P13" s="39" t="s">
        <v>831</v>
      </c>
      <c r="Q13" s="3"/>
      <c r="R13" s="39" t="s">
        <v>828</v>
      </c>
    </row>
    <row r="14" spans="2:18" ht="25.5" x14ac:dyDescent="0.2">
      <c r="B14" s="142"/>
      <c r="C14" s="142"/>
      <c r="D14" s="3">
        <v>7</v>
      </c>
      <c r="E14" s="39" t="s">
        <v>1355</v>
      </c>
      <c r="F14" s="3" t="s">
        <v>11</v>
      </c>
      <c r="G14" s="3" t="s">
        <v>597</v>
      </c>
      <c r="H14" s="3" t="s">
        <v>1</v>
      </c>
      <c r="I14" s="3" t="s">
        <v>10</v>
      </c>
      <c r="J14" s="39" t="s">
        <v>830</v>
      </c>
      <c r="K14" s="30">
        <v>37854</v>
      </c>
      <c r="L14" s="26">
        <v>2003</v>
      </c>
      <c r="M14" s="26">
        <f t="shared" si="0"/>
        <v>16</v>
      </c>
      <c r="N14" s="3" t="s">
        <v>3</v>
      </c>
      <c r="O14" s="3" t="s">
        <v>821</v>
      </c>
      <c r="P14" s="39" t="s">
        <v>822</v>
      </c>
      <c r="Q14" s="3"/>
      <c r="R14" s="39" t="s">
        <v>828</v>
      </c>
    </row>
    <row r="15" spans="2:18" ht="25.5" x14ac:dyDescent="0.2">
      <c r="B15" s="142"/>
      <c r="C15" s="142"/>
      <c r="D15" s="3">
        <v>8</v>
      </c>
      <c r="E15" s="39" t="s">
        <v>1356</v>
      </c>
      <c r="F15" s="3" t="s">
        <v>11</v>
      </c>
      <c r="G15" s="3" t="s">
        <v>598</v>
      </c>
      <c r="H15" s="3" t="s">
        <v>7</v>
      </c>
      <c r="I15" s="3" t="s">
        <v>10</v>
      </c>
      <c r="J15" s="39" t="s">
        <v>830</v>
      </c>
      <c r="K15" s="30">
        <v>38936</v>
      </c>
      <c r="L15" s="26">
        <v>2006</v>
      </c>
      <c r="M15" s="26">
        <f t="shared" si="0"/>
        <v>13</v>
      </c>
      <c r="N15" s="3" t="s">
        <v>3</v>
      </c>
      <c r="O15" s="3" t="s">
        <v>821</v>
      </c>
      <c r="P15" s="39" t="s">
        <v>1357</v>
      </c>
      <c r="Q15" s="3"/>
      <c r="R15" s="39" t="s">
        <v>825</v>
      </c>
    </row>
    <row r="16" spans="2:18" x14ac:dyDescent="0.2">
      <c r="B16" s="142">
        <v>3</v>
      </c>
      <c r="C16" s="142" t="s">
        <v>1458</v>
      </c>
      <c r="D16" s="3">
        <v>9</v>
      </c>
      <c r="E16" s="39" t="s">
        <v>599</v>
      </c>
      <c r="F16" s="3" t="s">
        <v>5</v>
      </c>
      <c r="G16" s="3" t="s">
        <v>600</v>
      </c>
      <c r="H16" s="3" t="s">
        <v>1</v>
      </c>
      <c r="I16" s="3" t="s">
        <v>2</v>
      </c>
      <c r="J16" s="39" t="s">
        <v>820</v>
      </c>
      <c r="K16" s="30">
        <v>32228</v>
      </c>
      <c r="L16" s="26">
        <v>1988</v>
      </c>
      <c r="M16" s="26">
        <f t="shared" si="0"/>
        <v>31</v>
      </c>
      <c r="N16" s="3" t="s">
        <v>3</v>
      </c>
      <c r="O16" s="3" t="s">
        <v>821</v>
      </c>
      <c r="P16" s="39" t="s">
        <v>860</v>
      </c>
      <c r="Q16" s="3"/>
      <c r="R16" s="39" t="s">
        <v>54</v>
      </c>
    </row>
    <row r="17" spans="2:18" ht="25.5" x14ac:dyDescent="0.2">
      <c r="B17" s="142"/>
      <c r="C17" s="142"/>
      <c r="D17" s="3">
        <v>10</v>
      </c>
      <c r="E17" s="39" t="s">
        <v>601</v>
      </c>
      <c r="F17" s="3" t="s">
        <v>11</v>
      </c>
      <c r="G17" s="3" t="s">
        <v>602</v>
      </c>
      <c r="H17" s="3" t="s">
        <v>7</v>
      </c>
      <c r="I17" s="3" t="s">
        <v>2</v>
      </c>
      <c r="J17" s="39" t="s">
        <v>1461</v>
      </c>
      <c r="K17" s="30">
        <v>33146</v>
      </c>
      <c r="L17" s="26">
        <v>1990</v>
      </c>
      <c r="M17" s="26">
        <f t="shared" si="0"/>
        <v>29</v>
      </c>
      <c r="N17" s="3" t="s">
        <v>3</v>
      </c>
      <c r="O17" s="3" t="s">
        <v>821</v>
      </c>
      <c r="P17" s="39" t="s">
        <v>860</v>
      </c>
      <c r="Q17" s="3"/>
      <c r="R17" s="39" t="s">
        <v>827</v>
      </c>
    </row>
    <row r="18" spans="2:18" ht="25.5" x14ac:dyDescent="0.2">
      <c r="B18" s="142"/>
      <c r="C18" s="142"/>
      <c r="D18" s="3">
        <v>11</v>
      </c>
      <c r="E18" s="39" t="s">
        <v>603</v>
      </c>
      <c r="F18" s="3" t="s">
        <v>11</v>
      </c>
      <c r="G18" s="3" t="s">
        <v>604</v>
      </c>
      <c r="H18" s="3" t="s">
        <v>7</v>
      </c>
      <c r="I18" s="3" t="s">
        <v>10</v>
      </c>
      <c r="J18" s="39" t="s">
        <v>820</v>
      </c>
      <c r="K18" s="30">
        <v>41990</v>
      </c>
      <c r="L18" s="26">
        <v>2014</v>
      </c>
      <c r="M18" s="26">
        <f t="shared" ref="M18" si="1">2019-L18</f>
        <v>5</v>
      </c>
      <c r="N18" s="3" t="s">
        <v>3</v>
      </c>
      <c r="O18" s="3" t="s">
        <v>821</v>
      </c>
      <c r="P18" s="39" t="s">
        <v>1357</v>
      </c>
      <c r="Q18" s="3"/>
      <c r="R18" s="39" t="s">
        <v>825</v>
      </c>
    </row>
    <row r="19" spans="2:18" ht="25.5" x14ac:dyDescent="0.2">
      <c r="B19" s="142"/>
      <c r="C19" s="142"/>
      <c r="D19" s="3">
        <v>12</v>
      </c>
      <c r="E19" s="39" t="s">
        <v>1459</v>
      </c>
      <c r="F19" s="3" t="s">
        <v>11</v>
      </c>
      <c r="G19" s="3" t="s">
        <v>1460</v>
      </c>
      <c r="H19" s="3" t="s">
        <v>1</v>
      </c>
      <c r="I19" s="3" t="s">
        <v>10</v>
      </c>
      <c r="J19" s="39" t="s">
        <v>820</v>
      </c>
      <c r="K19" s="30">
        <v>42571</v>
      </c>
      <c r="L19" s="26">
        <v>2016</v>
      </c>
      <c r="M19" s="26">
        <f t="shared" si="0"/>
        <v>3</v>
      </c>
      <c r="N19" s="3" t="s">
        <v>3</v>
      </c>
      <c r="O19" s="3" t="s">
        <v>821</v>
      </c>
      <c r="P19" s="39" t="s">
        <v>1357</v>
      </c>
      <c r="Q19" s="3"/>
      <c r="R19" s="39" t="s">
        <v>825</v>
      </c>
    </row>
    <row r="20" spans="2:18" ht="25.5" x14ac:dyDescent="0.2">
      <c r="B20" s="142">
        <v>4</v>
      </c>
      <c r="C20" s="142" t="s">
        <v>1729</v>
      </c>
      <c r="D20" s="3">
        <v>13</v>
      </c>
      <c r="E20" s="39" t="s">
        <v>605</v>
      </c>
      <c r="F20" s="3" t="s">
        <v>5</v>
      </c>
      <c r="G20" s="3" t="s">
        <v>606</v>
      </c>
      <c r="H20" s="3" t="s">
        <v>1</v>
      </c>
      <c r="I20" s="3" t="s">
        <v>2</v>
      </c>
      <c r="J20" s="39" t="s">
        <v>830</v>
      </c>
      <c r="K20" s="30">
        <v>27269</v>
      </c>
      <c r="L20" s="26">
        <v>1974</v>
      </c>
      <c r="M20" s="26">
        <f t="shared" si="0"/>
        <v>45</v>
      </c>
      <c r="N20" s="3" t="s">
        <v>3</v>
      </c>
      <c r="O20" s="3" t="s">
        <v>821</v>
      </c>
      <c r="P20" s="39" t="s">
        <v>831</v>
      </c>
      <c r="Q20" s="3"/>
      <c r="R20" s="39" t="s">
        <v>1377</v>
      </c>
    </row>
    <row r="21" spans="2:18" ht="25.5" x14ac:dyDescent="0.2">
      <c r="B21" s="142"/>
      <c r="C21" s="142"/>
      <c r="D21" s="3">
        <v>14</v>
      </c>
      <c r="E21" s="39" t="s">
        <v>1730</v>
      </c>
      <c r="F21" s="3" t="s">
        <v>9</v>
      </c>
      <c r="G21" s="3" t="s">
        <v>607</v>
      </c>
      <c r="H21" s="3" t="s">
        <v>7</v>
      </c>
      <c r="I21" s="3" t="s">
        <v>2</v>
      </c>
      <c r="J21" s="39" t="s">
        <v>1734</v>
      </c>
      <c r="K21" s="30">
        <v>28512</v>
      </c>
      <c r="L21" s="26">
        <v>1978</v>
      </c>
      <c r="M21" s="26">
        <f t="shared" si="0"/>
        <v>41</v>
      </c>
      <c r="N21" s="3" t="s">
        <v>3</v>
      </c>
      <c r="O21" s="3" t="s">
        <v>821</v>
      </c>
      <c r="P21" s="39" t="s">
        <v>831</v>
      </c>
      <c r="Q21" s="3"/>
      <c r="R21" s="39" t="s">
        <v>827</v>
      </c>
    </row>
    <row r="22" spans="2:18" ht="25.5" x14ac:dyDescent="0.2">
      <c r="B22" s="142"/>
      <c r="C22" s="142"/>
      <c r="D22" s="3">
        <v>15</v>
      </c>
      <c r="E22" s="39" t="s">
        <v>608</v>
      </c>
      <c r="F22" s="3" t="s">
        <v>11</v>
      </c>
      <c r="G22" s="3" t="s">
        <v>1733</v>
      </c>
      <c r="H22" s="3" t="s">
        <v>1</v>
      </c>
      <c r="I22" s="3" t="s">
        <v>10</v>
      </c>
      <c r="J22" s="39" t="s">
        <v>830</v>
      </c>
      <c r="K22" s="30">
        <v>37092</v>
      </c>
      <c r="L22" s="26">
        <v>2001</v>
      </c>
      <c r="M22" s="26">
        <f t="shared" si="0"/>
        <v>18</v>
      </c>
      <c r="N22" s="3" t="s">
        <v>3</v>
      </c>
      <c r="O22" s="3" t="s">
        <v>821</v>
      </c>
      <c r="P22" s="39" t="s">
        <v>822</v>
      </c>
      <c r="Q22" s="3"/>
      <c r="R22" s="39" t="s">
        <v>828</v>
      </c>
    </row>
    <row r="23" spans="2:18" ht="25.5" x14ac:dyDescent="0.2">
      <c r="B23" s="142"/>
      <c r="C23" s="142"/>
      <c r="D23" s="3">
        <v>16</v>
      </c>
      <c r="E23" s="39" t="s">
        <v>1731</v>
      </c>
      <c r="F23" s="3" t="s">
        <v>11</v>
      </c>
      <c r="G23" s="3" t="s">
        <v>1732</v>
      </c>
      <c r="H23" s="3" t="s">
        <v>7</v>
      </c>
      <c r="I23" s="3" t="s">
        <v>10</v>
      </c>
      <c r="J23" s="39" t="s">
        <v>820</v>
      </c>
      <c r="K23" s="30">
        <v>40508</v>
      </c>
      <c r="L23" s="26">
        <v>2010</v>
      </c>
      <c r="M23" s="26">
        <f t="shared" si="0"/>
        <v>9</v>
      </c>
      <c r="N23" s="3" t="s">
        <v>3</v>
      </c>
      <c r="O23" s="3" t="s">
        <v>821</v>
      </c>
      <c r="P23" s="39" t="s">
        <v>1357</v>
      </c>
      <c r="Q23" s="3"/>
      <c r="R23" s="39" t="s">
        <v>825</v>
      </c>
    </row>
    <row r="24" spans="2:18" x14ac:dyDescent="0.2">
      <c r="B24" s="142">
        <v>5</v>
      </c>
      <c r="C24" s="142"/>
      <c r="D24" s="3">
        <v>17</v>
      </c>
      <c r="E24" s="39" t="s">
        <v>609</v>
      </c>
      <c r="F24" s="3" t="s">
        <v>5</v>
      </c>
      <c r="G24" s="3"/>
      <c r="H24" s="3" t="s">
        <v>7</v>
      </c>
      <c r="I24" s="3" t="s">
        <v>10</v>
      </c>
      <c r="J24" s="39"/>
      <c r="K24" s="30">
        <v>27260</v>
      </c>
      <c r="L24" s="26">
        <v>1974</v>
      </c>
      <c r="M24" s="26">
        <f t="shared" si="0"/>
        <v>45</v>
      </c>
      <c r="N24" s="3" t="s">
        <v>3</v>
      </c>
      <c r="O24" s="3"/>
      <c r="P24" s="39"/>
      <c r="Q24" s="3"/>
      <c r="R24" s="39"/>
    </row>
    <row r="25" spans="2:18" x14ac:dyDescent="0.2">
      <c r="B25" s="142"/>
      <c r="C25" s="142"/>
      <c r="D25" s="3">
        <v>18</v>
      </c>
      <c r="E25" s="39" t="s">
        <v>610</v>
      </c>
      <c r="F25" s="3" t="s">
        <v>159</v>
      </c>
      <c r="G25" s="3"/>
      <c r="H25" s="3" t="s">
        <v>7</v>
      </c>
      <c r="I25" s="3" t="s">
        <v>10</v>
      </c>
      <c r="J25" s="39"/>
      <c r="K25" s="30">
        <v>27164</v>
      </c>
      <c r="L25" s="26">
        <v>1974</v>
      </c>
      <c r="M25" s="26">
        <f t="shared" si="0"/>
        <v>45</v>
      </c>
      <c r="N25" s="3" t="s">
        <v>3</v>
      </c>
      <c r="O25" s="3"/>
      <c r="P25" s="39"/>
      <c r="Q25" s="3"/>
      <c r="R25" s="39"/>
    </row>
    <row r="26" spans="2:18" x14ac:dyDescent="0.2">
      <c r="B26" s="142"/>
      <c r="C26" s="142"/>
      <c r="D26" s="3">
        <v>19</v>
      </c>
      <c r="E26" s="39" t="s">
        <v>611</v>
      </c>
      <c r="F26" s="3" t="s">
        <v>159</v>
      </c>
      <c r="G26" s="3"/>
      <c r="H26" s="3" t="s">
        <v>1</v>
      </c>
      <c r="I26" s="3" t="s">
        <v>2</v>
      </c>
      <c r="J26" s="39"/>
      <c r="K26" s="30">
        <v>15706</v>
      </c>
      <c r="L26" s="26">
        <v>1942</v>
      </c>
      <c r="M26" s="26">
        <f t="shared" si="0"/>
        <v>77</v>
      </c>
      <c r="N26" s="3" t="s">
        <v>3</v>
      </c>
      <c r="O26" s="3"/>
      <c r="P26" s="39"/>
      <c r="Q26" s="3"/>
      <c r="R26" s="39"/>
    </row>
    <row r="27" spans="2:18" ht="25.5" x14ac:dyDescent="0.2">
      <c r="B27" s="142">
        <v>6</v>
      </c>
      <c r="C27" s="142" t="s">
        <v>1779</v>
      </c>
      <c r="D27" s="3">
        <v>20</v>
      </c>
      <c r="E27" s="39" t="s">
        <v>488</v>
      </c>
      <c r="F27" s="3" t="s">
        <v>11</v>
      </c>
      <c r="G27" s="3" t="s">
        <v>1780</v>
      </c>
      <c r="H27" s="3" t="s">
        <v>1</v>
      </c>
      <c r="I27" s="3" t="s">
        <v>10</v>
      </c>
      <c r="J27" s="39" t="s">
        <v>820</v>
      </c>
      <c r="K27" s="30">
        <v>33439</v>
      </c>
      <c r="L27" s="26">
        <v>1991</v>
      </c>
      <c r="M27" s="26">
        <f t="shared" si="0"/>
        <v>28</v>
      </c>
      <c r="N27" s="3" t="s">
        <v>3</v>
      </c>
      <c r="O27" s="3" t="s">
        <v>821</v>
      </c>
      <c r="P27" s="39" t="s">
        <v>860</v>
      </c>
      <c r="Q27" s="3"/>
      <c r="R27" s="39" t="s">
        <v>825</v>
      </c>
    </row>
    <row r="28" spans="2:18" ht="25.5" x14ac:dyDescent="0.2">
      <c r="B28" s="142"/>
      <c r="C28" s="142"/>
      <c r="D28" s="3">
        <v>21</v>
      </c>
      <c r="E28" s="39" t="s">
        <v>614</v>
      </c>
      <c r="F28" s="3" t="s">
        <v>11</v>
      </c>
      <c r="G28" s="3" t="s">
        <v>1781</v>
      </c>
      <c r="H28" s="3" t="s">
        <v>7</v>
      </c>
      <c r="I28" s="3" t="s">
        <v>10</v>
      </c>
      <c r="J28" s="39" t="s">
        <v>820</v>
      </c>
      <c r="K28" s="30">
        <v>37438</v>
      </c>
      <c r="L28" s="26">
        <v>2002</v>
      </c>
      <c r="M28" s="26">
        <f t="shared" si="0"/>
        <v>17</v>
      </c>
      <c r="N28" s="3" t="s">
        <v>3</v>
      </c>
      <c r="O28" s="3" t="s">
        <v>821</v>
      </c>
      <c r="P28" s="39" t="s">
        <v>822</v>
      </c>
      <c r="Q28" s="3"/>
      <c r="R28" s="39" t="s">
        <v>828</v>
      </c>
    </row>
    <row r="29" spans="2:18" ht="25.5" x14ac:dyDescent="0.2">
      <c r="B29" s="142">
        <v>7</v>
      </c>
      <c r="C29" s="142" t="s">
        <v>1723</v>
      </c>
      <c r="D29" s="3">
        <v>22</v>
      </c>
      <c r="E29" s="39" t="s">
        <v>223</v>
      </c>
      <c r="F29" s="3" t="s">
        <v>5</v>
      </c>
      <c r="G29" s="3" t="s">
        <v>615</v>
      </c>
      <c r="H29" s="3" t="s">
        <v>7</v>
      </c>
      <c r="I29" s="3" t="s">
        <v>883</v>
      </c>
      <c r="J29" s="39" t="s">
        <v>839</v>
      </c>
      <c r="K29" s="30">
        <v>25385</v>
      </c>
      <c r="L29" s="26">
        <v>1969</v>
      </c>
      <c r="M29" s="26">
        <f t="shared" si="0"/>
        <v>50</v>
      </c>
      <c r="N29" s="3" t="s">
        <v>3</v>
      </c>
      <c r="O29" s="3" t="s">
        <v>821</v>
      </c>
      <c r="P29" s="39" t="s">
        <v>1357</v>
      </c>
      <c r="Q29" s="3"/>
      <c r="R29" s="39" t="s">
        <v>840</v>
      </c>
    </row>
    <row r="30" spans="2:18" ht="25.5" x14ac:dyDescent="0.2">
      <c r="B30" s="142"/>
      <c r="C30" s="142"/>
      <c r="D30" s="3">
        <v>23</v>
      </c>
      <c r="E30" s="39" t="s">
        <v>1724</v>
      </c>
      <c r="F30" s="3" t="s">
        <v>11</v>
      </c>
      <c r="G30" s="3" t="s">
        <v>616</v>
      </c>
      <c r="H30" s="3" t="s">
        <v>1</v>
      </c>
      <c r="I30" s="3" t="s">
        <v>10</v>
      </c>
      <c r="J30" s="39" t="s">
        <v>830</v>
      </c>
      <c r="K30" s="30">
        <v>33670</v>
      </c>
      <c r="L30" s="26">
        <v>1992</v>
      </c>
      <c r="M30" s="26">
        <f t="shared" si="0"/>
        <v>27</v>
      </c>
      <c r="N30" s="3" t="s">
        <v>3</v>
      </c>
      <c r="O30" s="3" t="s">
        <v>821</v>
      </c>
      <c r="P30" s="39" t="s">
        <v>823</v>
      </c>
      <c r="Q30" s="3"/>
      <c r="R30" s="39" t="s">
        <v>54</v>
      </c>
    </row>
    <row r="31" spans="2:18" ht="25.5" x14ac:dyDescent="0.2">
      <c r="B31" s="142"/>
      <c r="C31" s="142"/>
      <c r="D31" s="3">
        <v>24</v>
      </c>
      <c r="E31" s="39" t="s">
        <v>1725</v>
      </c>
      <c r="F31" s="3" t="s">
        <v>11</v>
      </c>
      <c r="G31" s="3" t="s">
        <v>1727</v>
      </c>
      <c r="H31" s="3" t="s">
        <v>1</v>
      </c>
      <c r="I31" s="3" t="s">
        <v>10</v>
      </c>
      <c r="J31" s="39" t="s">
        <v>839</v>
      </c>
      <c r="K31" s="30">
        <v>35795</v>
      </c>
      <c r="L31" s="26">
        <v>1997</v>
      </c>
      <c r="M31" s="26">
        <f t="shared" si="0"/>
        <v>22</v>
      </c>
      <c r="N31" s="3" t="s">
        <v>3</v>
      </c>
      <c r="O31" s="3" t="s">
        <v>821</v>
      </c>
      <c r="P31" s="39" t="s">
        <v>831</v>
      </c>
      <c r="Q31" s="3"/>
      <c r="R31" s="39" t="s">
        <v>826</v>
      </c>
    </row>
    <row r="32" spans="2:18" ht="25.5" x14ac:dyDescent="0.2">
      <c r="B32" s="142"/>
      <c r="C32" s="142"/>
      <c r="D32" s="3">
        <v>25</v>
      </c>
      <c r="E32" s="39" t="s">
        <v>1726</v>
      </c>
      <c r="F32" s="3" t="s">
        <v>11</v>
      </c>
      <c r="G32" s="3" t="s">
        <v>617</v>
      </c>
      <c r="H32" s="3" t="s">
        <v>7</v>
      </c>
      <c r="I32" s="3" t="s">
        <v>10</v>
      </c>
      <c r="J32" s="39" t="s">
        <v>839</v>
      </c>
      <c r="K32" s="30">
        <v>38587</v>
      </c>
      <c r="L32" s="26">
        <v>2005</v>
      </c>
      <c r="M32" s="26">
        <f t="shared" si="0"/>
        <v>14</v>
      </c>
      <c r="N32" s="3" t="s">
        <v>3</v>
      </c>
      <c r="O32" s="3" t="s">
        <v>821</v>
      </c>
      <c r="P32" s="39" t="s">
        <v>823</v>
      </c>
      <c r="Q32" s="3"/>
      <c r="R32" s="39" t="s">
        <v>828</v>
      </c>
    </row>
    <row r="33" spans="2:18" ht="25.5" x14ac:dyDescent="0.2">
      <c r="B33" s="142"/>
      <c r="C33" s="142"/>
      <c r="D33" s="3">
        <v>26</v>
      </c>
      <c r="E33" s="39" t="s">
        <v>618</v>
      </c>
      <c r="F33" s="3" t="s">
        <v>11</v>
      </c>
      <c r="G33" s="3" t="s">
        <v>1728</v>
      </c>
      <c r="H33" s="3" t="s">
        <v>7</v>
      </c>
      <c r="I33" s="3" t="s">
        <v>10</v>
      </c>
      <c r="J33" s="39" t="s">
        <v>839</v>
      </c>
      <c r="K33" s="30">
        <v>41061</v>
      </c>
      <c r="L33" s="26">
        <v>2012</v>
      </c>
      <c r="M33" s="26">
        <f t="shared" si="0"/>
        <v>7</v>
      </c>
      <c r="N33" s="3" t="s">
        <v>3</v>
      </c>
      <c r="O33" s="3" t="s">
        <v>821</v>
      </c>
      <c r="P33" s="39" t="s">
        <v>1357</v>
      </c>
      <c r="Q33" s="3"/>
      <c r="R33" s="39" t="s">
        <v>825</v>
      </c>
    </row>
    <row r="34" spans="2:18" x14ac:dyDescent="0.2">
      <c r="B34" s="139">
        <v>8</v>
      </c>
      <c r="C34" s="139" t="s">
        <v>957</v>
      </c>
      <c r="D34" s="3">
        <v>27</v>
      </c>
      <c r="E34" s="39" t="s">
        <v>78</v>
      </c>
      <c r="F34" s="3" t="s">
        <v>5</v>
      </c>
      <c r="G34" s="3" t="s">
        <v>1762</v>
      </c>
      <c r="H34" s="3" t="s">
        <v>1</v>
      </c>
      <c r="I34" s="3" t="s">
        <v>2</v>
      </c>
      <c r="J34" s="39" t="s">
        <v>820</v>
      </c>
      <c r="K34" s="30">
        <v>28825</v>
      </c>
      <c r="L34" s="26">
        <v>1978</v>
      </c>
      <c r="M34" s="26">
        <f t="shared" si="0"/>
        <v>41</v>
      </c>
      <c r="N34" s="3" t="s">
        <v>3</v>
      </c>
      <c r="O34" s="3" t="s">
        <v>821</v>
      </c>
      <c r="P34" s="39" t="s">
        <v>860</v>
      </c>
      <c r="Q34" s="3"/>
      <c r="R34" s="39" t="s">
        <v>54</v>
      </c>
    </row>
    <row r="35" spans="2:18" ht="25.5" x14ac:dyDescent="0.2">
      <c r="B35" s="140"/>
      <c r="C35" s="140"/>
      <c r="D35" s="3">
        <v>28</v>
      </c>
      <c r="E35" s="39" t="s">
        <v>79</v>
      </c>
      <c r="F35" s="3" t="s">
        <v>9</v>
      </c>
      <c r="G35" s="3" t="s">
        <v>960</v>
      </c>
      <c r="H35" s="3" t="s">
        <v>7</v>
      </c>
      <c r="I35" s="3" t="s">
        <v>2</v>
      </c>
      <c r="J35" s="39" t="s">
        <v>1763</v>
      </c>
      <c r="K35" s="30">
        <v>32928</v>
      </c>
      <c r="L35" s="26">
        <v>1990</v>
      </c>
      <c r="M35" s="26">
        <f t="shared" si="0"/>
        <v>29</v>
      </c>
      <c r="N35" s="3" t="s">
        <v>3</v>
      </c>
      <c r="O35" s="3" t="s">
        <v>821</v>
      </c>
      <c r="P35" s="39" t="s">
        <v>831</v>
      </c>
      <c r="Q35" s="3"/>
      <c r="R35" s="39" t="s">
        <v>827</v>
      </c>
    </row>
    <row r="36" spans="2:18" ht="25.5" x14ac:dyDescent="0.2">
      <c r="B36" s="140"/>
      <c r="C36" s="140"/>
      <c r="D36" s="3">
        <v>29</v>
      </c>
      <c r="E36" s="39" t="s">
        <v>959</v>
      </c>
      <c r="F36" s="3" t="s">
        <v>11</v>
      </c>
      <c r="G36" s="3" t="s">
        <v>961</v>
      </c>
      <c r="H36" s="3" t="s">
        <v>1</v>
      </c>
      <c r="I36" s="3" t="s">
        <v>10</v>
      </c>
      <c r="J36" s="39" t="s">
        <v>820</v>
      </c>
      <c r="K36" s="30">
        <v>40047</v>
      </c>
      <c r="L36" s="26">
        <v>2009</v>
      </c>
      <c r="M36" s="26">
        <f t="shared" si="0"/>
        <v>10</v>
      </c>
      <c r="N36" s="3" t="s">
        <v>3</v>
      </c>
      <c r="O36" s="3" t="s">
        <v>821</v>
      </c>
      <c r="P36" s="39" t="s">
        <v>822</v>
      </c>
      <c r="Q36" s="3"/>
      <c r="R36" s="39" t="s">
        <v>1764</v>
      </c>
    </row>
    <row r="37" spans="2:18" ht="25.5" x14ac:dyDescent="0.2">
      <c r="B37" s="141"/>
      <c r="C37" s="141"/>
      <c r="D37" s="3">
        <v>30</v>
      </c>
      <c r="E37" s="39" t="s">
        <v>958</v>
      </c>
      <c r="F37" s="3" t="s">
        <v>11</v>
      </c>
      <c r="G37" s="3" t="s">
        <v>962</v>
      </c>
      <c r="H37" s="3" t="s">
        <v>7</v>
      </c>
      <c r="I37" s="3" t="s">
        <v>10</v>
      </c>
      <c r="J37" s="39" t="s">
        <v>820</v>
      </c>
      <c r="K37" s="30">
        <v>42676</v>
      </c>
      <c r="L37" s="26">
        <v>2016</v>
      </c>
      <c r="M37" s="26">
        <f t="shared" si="0"/>
        <v>3</v>
      </c>
      <c r="N37" s="3" t="s">
        <v>3</v>
      </c>
      <c r="O37" s="3" t="s">
        <v>821</v>
      </c>
      <c r="P37" s="39" t="s">
        <v>1357</v>
      </c>
      <c r="Q37" s="3"/>
      <c r="R37" s="39" t="s">
        <v>825</v>
      </c>
    </row>
    <row r="38" spans="2:18" x14ac:dyDescent="0.2">
      <c r="B38" s="142">
        <v>9</v>
      </c>
      <c r="C38" s="142"/>
      <c r="D38" s="3">
        <v>31</v>
      </c>
      <c r="E38" s="39" t="s">
        <v>621</v>
      </c>
      <c r="F38" s="3" t="s">
        <v>5</v>
      </c>
      <c r="G38" s="3" t="s">
        <v>622</v>
      </c>
      <c r="H38" s="3" t="s">
        <v>1</v>
      </c>
      <c r="I38" s="3" t="s">
        <v>2</v>
      </c>
      <c r="J38" s="39"/>
      <c r="K38" s="30">
        <v>31047</v>
      </c>
      <c r="L38" s="26">
        <v>1984</v>
      </c>
      <c r="M38" s="26">
        <f t="shared" si="0"/>
        <v>35</v>
      </c>
      <c r="N38" s="3" t="s">
        <v>3</v>
      </c>
      <c r="O38" s="3"/>
      <c r="P38" s="39"/>
      <c r="Q38" s="3"/>
      <c r="R38" s="39"/>
    </row>
    <row r="39" spans="2:18" x14ac:dyDescent="0.2">
      <c r="B39" s="142"/>
      <c r="C39" s="142"/>
      <c r="D39" s="3">
        <v>32</v>
      </c>
      <c r="E39" s="39" t="s">
        <v>623</v>
      </c>
      <c r="F39" s="3" t="s">
        <v>9</v>
      </c>
      <c r="G39" s="3" t="s">
        <v>624</v>
      </c>
      <c r="H39" s="3" t="s">
        <v>7</v>
      </c>
      <c r="I39" s="3" t="s">
        <v>2</v>
      </c>
      <c r="J39" s="39"/>
      <c r="K39" s="30">
        <v>28855</v>
      </c>
      <c r="L39" s="26">
        <v>1978</v>
      </c>
      <c r="M39" s="26">
        <f t="shared" si="0"/>
        <v>41</v>
      </c>
      <c r="N39" s="3" t="s">
        <v>3</v>
      </c>
      <c r="O39" s="3"/>
      <c r="P39" s="39"/>
      <c r="Q39" s="3"/>
      <c r="R39" s="39"/>
    </row>
    <row r="40" spans="2:18" ht="25.5" x14ac:dyDescent="0.2">
      <c r="B40" s="142"/>
      <c r="C40" s="142"/>
      <c r="D40" s="3">
        <v>33</v>
      </c>
      <c r="E40" s="39" t="s">
        <v>625</v>
      </c>
      <c r="F40" s="3" t="s">
        <v>11</v>
      </c>
      <c r="G40" s="3" t="s">
        <v>626</v>
      </c>
      <c r="H40" s="3" t="s">
        <v>1</v>
      </c>
      <c r="I40" s="3" t="s">
        <v>10</v>
      </c>
      <c r="J40" s="39"/>
      <c r="K40" s="30">
        <v>41200</v>
      </c>
      <c r="L40" s="26">
        <v>2012</v>
      </c>
      <c r="M40" s="26">
        <f t="shared" si="0"/>
        <v>7</v>
      </c>
      <c r="N40" s="3" t="s">
        <v>3</v>
      </c>
      <c r="O40" s="3"/>
      <c r="P40" s="39"/>
      <c r="Q40" s="3"/>
      <c r="R40" s="39"/>
    </row>
    <row r="41" spans="2:18" ht="25.5" x14ac:dyDescent="0.2">
      <c r="B41" s="142">
        <v>10</v>
      </c>
      <c r="C41" s="142" t="s">
        <v>1358</v>
      </c>
      <c r="D41" s="3">
        <v>34</v>
      </c>
      <c r="E41" s="39" t="s">
        <v>106</v>
      </c>
      <c r="F41" s="3" t="s">
        <v>5</v>
      </c>
      <c r="G41" s="3" t="s">
        <v>1362</v>
      </c>
      <c r="H41" s="3" t="s">
        <v>7</v>
      </c>
      <c r="I41" s="3" t="s">
        <v>883</v>
      </c>
      <c r="J41" s="39" t="s">
        <v>830</v>
      </c>
      <c r="K41" s="30">
        <v>16802</v>
      </c>
      <c r="L41" s="26">
        <v>1945</v>
      </c>
      <c r="M41" s="26">
        <f t="shared" si="0"/>
        <v>74</v>
      </c>
      <c r="N41" s="3" t="s">
        <v>3</v>
      </c>
      <c r="O41" s="3" t="s">
        <v>821</v>
      </c>
      <c r="P41" s="39" t="s">
        <v>1357</v>
      </c>
      <c r="Q41" s="3"/>
      <c r="R41" s="39" t="s">
        <v>825</v>
      </c>
    </row>
    <row r="42" spans="2:18" ht="25.5" x14ac:dyDescent="0.2">
      <c r="B42" s="142"/>
      <c r="C42" s="142"/>
      <c r="D42" s="3">
        <v>35</v>
      </c>
      <c r="E42" s="39" t="s">
        <v>627</v>
      </c>
      <c r="F42" s="3" t="s">
        <v>11</v>
      </c>
      <c r="G42" s="3" t="s">
        <v>1361</v>
      </c>
      <c r="H42" s="3" t="s">
        <v>7</v>
      </c>
      <c r="I42" s="3" t="s">
        <v>10</v>
      </c>
      <c r="J42" s="39" t="s">
        <v>830</v>
      </c>
      <c r="K42" s="30">
        <v>27099</v>
      </c>
      <c r="L42" s="26">
        <v>1974</v>
      </c>
      <c r="M42" s="26">
        <f t="shared" si="0"/>
        <v>45</v>
      </c>
      <c r="N42" s="3" t="s">
        <v>3</v>
      </c>
      <c r="O42" s="3" t="s">
        <v>821</v>
      </c>
      <c r="P42" s="39" t="s">
        <v>831</v>
      </c>
      <c r="Q42" s="3"/>
      <c r="R42" s="39" t="s">
        <v>877</v>
      </c>
    </row>
    <row r="43" spans="2:18" ht="25.5" x14ac:dyDescent="0.2">
      <c r="B43" s="142"/>
      <c r="C43" s="142"/>
      <c r="D43" s="3">
        <v>36</v>
      </c>
      <c r="E43" s="39" t="s">
        <v>1359</v>
      </c>
      <c r="F43" s="3" t="s">
        <v>11</v>
      </c>
      <c r="G43" s="3" t="s">
        <v>1360</v>
      </c>
      <c r="H43" s="3" t="s">
        <v>7</v>
      </c>
      <c r="I43" s="3" t="s">
        <v>10</v>
      </c>
      <c r="J43" s="39" t="s">
        <v>830</v>
      </c>
      <c r="K43" s="30">
        <v>29958</v>
      </c>
      <c r="L43" s="26">
        <v>1982</v>
      </c>
      <c r="M43" s="26">
        <f t="shared" si="0"/>
        <v>37</v>
      </c>
      <c r="N43" s="3" t="s">
        <v>3</v>
      </c>
      <c r="O43" s="3" t="s">
        <v>821</v>
      </c>
      <c r="P43" s="39" t="s">
        <v>822</v>
      </c>
      <c r="Q43" s="3"/>
      <c r="R43" s="39" t="s">
        <v>877</v>
      </c>
    </row>
    <row r="44" spans="2:18" x14ac:dyDescent="0.2">
      <c r="B44" s="142">
        <v>11</v>
      </c>
      <c r="C44" s="142" t="s">
        <v>1374</v>
      </c>
      <c r="D44" s="3">
        <v>37</v>
      </c>
      <c r="E44" s="39" t="s">
        <v>628</v>
      </c>
      <c r="F44" s="3" t="s">
        <v>5</v>
      </c>
      <c r="G44" s="3" t="s">
        <v>629</v>
      </c>
      <c r="H44" s="3" t="s">
        <v>1</v>
      </c>
      <c r="I44" s="3" t="s">
        <v>2</v>
      </c>
      <c r="J44" s="39" t="s">
        <v>820</v>
      </c>
      <c r="K44" s="30">
        <v>25750</v>
      </c>
      <c r="L44" s="26">
        <v>1970</v>
      </c>
      <c r="M44" s="26">
        <f t="shared" si="0"/>
        <v>49</v>
      </c>
      <c r="N44" s="3" t="s">
        <v>3</v>
      </c>
      <c r="O44" s="3" t="s">
        <v>821</v>
      </c>
      <c r="P44" s="39" t="s">
        <v>831</v>
      </c>
      <c r="Q44" s="3"/>
      <c r="R44" s="39" t="s">
        <v>868</v>
      </c>
    </row>
    <row r="45" spans="2:18" ht="25.5" x14ac:dyDescent="0.2">
      <c r="B45" s="142"/>
      <c r="C45" s="142"/>
      <c r="D45" s="3">
        <v>38</v>
      </c>
      <c r="E45" s="39" t="s">
        <v>630</v>
      </c>
      <c r="F45" s="3" t="s">
        <v>9</v>
      </c>
      <c r="G45" s="3" t="s">
        <v>631</v>
      </c>
      <c r="H45" s="3" t="s">
        <v>7</v>
      </c>
      <c r="I45" s="3" t="s">
        <v>2</v>
      </c>
      <c r="J45" s="39" t="s">
        <v>820</v>
      </c>
      <c r="K45" s="30">
        <v>26846</v>
      </c>
      <c r="L45" s="26">
        <v>1973</v>
      </c>
      <c r="M45" s="26">
        <f t="shared" si="0"/>
        <v>46</v>
      </c>
      <c r="N45" s="3" t="s">
        <v>3</v>
      </c>
      <c r="O45" s="3" t="s">
        <v>821</v>
      </c>
      <c r="P45" s="39" t="s">
        <v>823</v>
      </c>
      <c r="Q45" s="3"/>
      <c r="R45" s="39" t="s">
        <v>840</v>
      </c>
    </row>
    <row r="46" spans="2:18" ht="25.5" x14ac:dyDescent="0.2">
      <c r="B46" s="142"/>
      <c r="C46" s="142"/>
      <c r="D46" s="3">
        <v>39</v>
      </c>
      <c r="E46" s="39" t="s">
        <v>632</v>
      </c>
      <c r="F46" s="3" t="s">
        <v>11</v>
      </c>
      <c r="G46" s="3" t="s">
        <v>633</v>
      </c>
      <c r="H46" s="3" t="s">
        <v>7</v>
      </c>
      <c r="I46" s="3" t="s">
        <v>10</v>
      </c>
      <c r="J46" s="39" t="s">
        <v>820</v>
      </c>
      <c r="K46" s="30">
        <v>35022</v>
      </c>
      <c r="L46" s="26">
        <v>1995</v>
      </c>
      <c r="M46" s="26">
        <f t="shared" si="0"/>
        <v>24</v>
      </c>
      <c r="N46" s="3" t="s">
        <v>3</v>
      </c>
      <c r="O46" s="3" t="s">
        <v>821</v>
      </c>
      <c r="P46" s="39" t="s">
        <v>831</v>
      </c>
      <c r="Q46" s="3"/>
      <c r="R46" s="39" t="s">
        <v>828</v>
      </c>
    </row>
    <row r="47" spans="2:18" ht="25.5" x14ac:dyDescent="0.2">
      <c r="B47" s="142"/>
      <c r="C47" s="142"/>
      <c r="D47" s="3">
        <v>40</v>
      </c>
      <c r="E47" s="39" t="s">
        <v>634</v>
      </c>
      <c r="F47" s="3" t="s">
        <v>11</v>
      </c>
      <c r="G47" s="3" t="s">
        <v>635</v>
      </c>
      <c r="H47" s="3" t="s">
        <v>7</v>
      </c>
      <c r="I47" s="3" t="s">
        <v>10</v>
      </c>
      <c r="J47" s="39" t="s">
        <v>820</v>
      </c>
      <c r="K47" s="30">
        <v>35977</v>
      </c>
      <c r="L47" s="26">
        <v>1998</v>
      </c>
      <c r="M47" s="26">
        <f t="shared" si="0"/>
        <v>21</v>
      </c>
      <c r="N47" s="3" t="s">
        <v>3</v>
      </c>
      <c r="O47" s="3" t="s">
        <v>821</v>
      </c>
      <c r="P47" s="39" t="s">
        <v>822</v>
      </c>
      <c r="Q47" s="3"/>
      <c r="R47" s="39" t="s">
        <v>828</v>
      </c>
    </row>
    <row r="48" spans="2:18" ht="25.5" x14ac:dyDescent="0.2">
      <c r="B48" s="142"/>
      <c r="C48" s="142"/>
      <c r="D48" s="3">
        <v>41</v>
      </c>
      <c r="E48" s="39" t="s">
        <v>636</v>
      </c>
      <c r="F48" s="3" t="s">
        <v>11</v>
      </c>
      <c r="G48" s="3" t="s">
        <v>637</v>
      </c>
      <c r="H48" s="3" t="s">
        <v>1</v>
      </c>
      <c r="I48" s="3" t="s">
        <v>10</v>
      </c>
      <c r="J48" s="39" t="s">
        <v>820</v>
      </c>
      <c r="K48" s="30">
        <v>37073</v>
      </c>
      <c r="L48" s="26">
        <v>2001</v>
      </c>
      <c r="M48" s="26">
        <f t="shared" si="0"/>
        <v>18</v>
      </c>
      <c r="N48" s="3" t="s">
        <v>3</v>
      </c>
      <c r="O48" s="3" t="s">
        <v>821</v>
      </c>
      <c r="P48" s="39" t="s">
        <v>822</v>
      </c>
      <c r="Q48" s="3"/>
      <c r="R48" s="39" t="s">
        <v>828</v>
      </c>
    </row>
    <row r="49" spans="2:18" ht="25.5" x14ac:dyDescent="0.2">
      <c r="B49" s="142"/>
      <c r="C49" s="142"/>
      <c r="D49" s="3">
        <v>42</v>
      </c>
      <c r="E49" s="39" t="s">
        <v>638</v>
      </c>
      <c r="F49" s="3" t="s">
        <v>11</v>
      </c>
      <c r="G49" s="3" t="s">
        <v>639</v>
      </c>
      <c r="H49" s="3" t="s">
        <v>1</v>
      </c>
      <c r="I49" s="3" t="s">
        <v>10</v>
      </c>
      <c r="J49" s="39" t="s">
        <v>820</v>
      </c>
      <c r="K49" s="30">
        <v>37408</v>
      </c>
      <c r="L49" s="26">
        <v>2002</v>
      </c>
      <c r="M49" s="26">
        <f t="shared" si="0"/>
        <v>17</v>
      </c>
      <c r="N49" s="3" t="s">
        <v>3</v>
      </c>
      <c r="O49" s="3" t="s">
        <v>821</v>
      </c>
      <c r="P49" s="39" t="s">
        <v>822</v>
      </c>
      <c r="Q49" s="3"/>
      <c r="R49" s="39" t="s">
        <v>828</v>
      </c>
    </row>
    <row r="50" spans="2:18" ht="25.5" x14ac:dyDescent="0.2">
      <c r="B50" s="3">
        <v>12</v>
      </c>
      <c r="C50" s="3" t="s">
        <v>1455</v>
      </c>
      <c r="D50" s="3">
        <v>43</v>
      </c>
      <c r="E50" s="39" t="s">
        <v>1456</v>
      </c>
      <c r="F50" s="3" t="s">
        <v>5</v>
      </c>
      <c r="G50" s="3" t="s">
        <v>1457</v>
      </c>
      <c r="H50" s="3" t="s">
        <v>7</v>
      </c>
      <c r="I50" s="3" t="s">
        <v>883</v>
      </c>
      <c r="J50" s="39" t="s">
        <v>820</v>
      </c>
      <c r="K50" s="30">
        <v>18263</v>
      </c>
      <c r="L50" s="26">
        <v>1949</v>
      </c>
      <c r="M50" s="26">
        <f t="shared" si="0"/>
        <v>70</v>
      </c>
      <c r="N50" s="3" t="s">
        <v>3</v>
      </c>
      <c r="O50" s="3" t="s">
        <v>821</v>
      </c>
      <c r="P50" s="39" t="s">
        <v>823</v>
      </c>
      <c r="Q50" s="3"/>
      <c r="R50" s="39" t="s">
        <v>54</v>
      </c>
    </row>
    <row r="51" spans="2:18" ht="25.5" x14ac:dyDescent="0.2">
      <c r="B51" s="142">
        <v>13</v>
      </c>
      <c r="C51" s="142" t="s">
        <v>1394</v>
      </c>
      <c r="D51" s="3">
        <v>44</v>
      </c>
      <c r="E51" s="39" t="s">
        <v>640</v>
      </c>
      <c r="F51" s="3" t="s">
        <v>5</v>
      </c>
      <c r="G51" s="3" t="s">
        <v>641</v>
      </c>
      <c r="H51" s="3" t="s">
        <v>1</v>
      </c>
      <c r="I51" s="3" t="s">
        <v>2</v>
      </c>
      <c r="J51" s="39" t="s">
        <v>820</v>
      </c>
      <c r="K51" s="30">
        <v>30498</v>
      </c>
      <c r="L51" s="26">
        <v>1983</v>
      </c>
      <c r="M51" s="26">
        <f t="shared" si="0"/>
        <v>36</v>
      </c>
      <c r="N51" s="3" t="s">
        <v>3</v>
      </c>
      <c r="O51" s="3" t="s">
        <v>821</v>
      </c>
      <c r="P51" s="39" t="s">
        <v>823</v>
      </c>
      <c r="Q51" s="3"/>
      <c r="R51" s="39" t="s">
        <v>826</v>
      </c>
    </row>
    <row r="52" spans="2:18" ht="25.5" x14ac:dyDescent="0.2">
      <c r="B52" s="142"/>
      <c r="C52" s="142"/>
      <c r="D52" s="3">
        <v>45</v>
      </c>
      <c r="E52" s="39" t="s">
        <v>642</v>
      </c>
      <c r="F52" s="3" t="s">
        <v>9</v>
      </c>
      <c r="G52" s="3" t="s">
        <v>643</v>
      </c>
      <c r="H52" s="3" t="s">
        <v>7</v>
      </c>
      <c r="I52" s="3" t="s">
        <v>2</v>
      </c>
      <c r="J52" s="39" t="s">
        <v>820</v>
      </c>
      <c r="K52" s="30">
        <v>31229</v>
      </c>
      <c r="L52" s="26">
        <v>1985</v>
      </c>
      <c r="M52" s="26">
        <f t="shared" si="0"/>
        <v>34</v>
      </c>
      <c r="N52" s="3" t="s">
        <v>3</v>
      </c>
      <c r="O52" s="3" t="s">
        <v>821</v>
      </c>
      <c r="P52" s="39" t="s">
        <v>823</v>
      </c>
      <c r="Q52" s="3"/>
      <c r="R52" s="39" t="s">
        <v>826</v>
      </c>
    </row>
    <row r="53" spans="2:18" ht="25.5" x14ac:dyDescent="0.2">
      <c r="B53" s="142"/>
      <c r="C53" s="142"/>
      <c r="D53" s="3">
        <v>46</v>
      </c>
      <c r="E53" s="39" t="s">
        <v>644</v>
      </c>
      <c r="F53" s="3" t="s">
        <v>9</v>
      </c>
      <c r="G53" s="3" t="s">
        <v>645</v>
      </c>
      <c r="H53" s="3" t="s">
        <v>7</v>
      </c>
      <c r="I53" s="3" t="s">
        <v>10</v>
      </c>
      <c r="J53" s="39" t="s">
        <v>820</v>
      </c>
      <c r="K53" s="30">
        <v>37038</v>
      </c>
      <c r="L53" s="26">
        <v>2001</v>
      </c>
      <c r="M53" s="26">
        <f t="shared" si="0"/>
        <v>18</v>
      </c>
      <c r="N53" s="3" t="s">
        <v>3</v>
      </c>
      <c r="O53" s="3" t="s">
        <v>821</v>
      </c>
      <c r="P53" s="39" t="s">
        <v>823</v>
      </c>
      <c r="Q53" s="3"/>
      <c r="R53" s="39" t="s">
        <v>828</v>
      </c>
    </row>
    <row r="54" spans="2:18" ht="25.5" x14ac:dyDescent="0.2">
      <c r="B54" s="142"/>
      <c r="C54" s="142"/>
      <c r="D54" s="3">
        <v>47</v>
      </c>
      <c r="E54" s="39" t="s">
        <v>646</v>
      </c>
      <c r="F54" s="3" t="s">
        <v>11</v>
      </c>
      <c r="G54" s="3" t="s">
        <v>647</v>
      </c>
      <c r="H54" s="3" t="s">
        <v>7</v>
      </c>
      <c r="I54" s="3" t="s">
        <v>10</v>
      </c>
      <c r="J54" s="39" t="s">
        <v>820</v>
      </c>
      <c r="K54" s="30">
        <v>38731</v>
      </c>
      <c r="L54" s="26">
        <v>2006</v>
      </c>
      <c r="M54" s="26">
        <f t="shared" si="0"/>
        <v>13</v>
      </c>
      <c r="N54" s="3" t="s">
        <v>3</v>
      </c>
      <c r="O54" s="3" t="s">
        <v>821</v>
      </c>
      <c r="P54" s="39" t="s">
        <v>1357</v>
      </c>
      <c r="Q54" s="3"/>
      <c r="R54" s="39" t="s">
        <v>825</v>
      </c>
    </row>
    <row r="55" spans="2:18" ht="25.5" x14ac:dyDescent="0.2">
      <c r="B55" s="142"/>
      <c r="C55" s="142"/>
      <c r="D55" s="3">
        <v>48</v>
      </c>
      <c r="E55" s="39" t="s">
        <v>648</v>
      </c>
      <c r="F55" s="3" t="s">
        <v>11</v>
      </c>
      <c r="G55" s="3" t="s">
        <v>649</v>
      </c>
      <c r="H55" s="3" t="s">
        <v>1</v>
      </c>
      <c r="I55" s="3" t="s">
        <v>10</v>
      </c>
      <c r="J55" s="39" t="s">
        <v>820</v>
      </c>
      <c r="K55" s="30">
        <v>40551</v>
      </c>
      <c r="L55" s="26">
        <v>2011</v>
      </c>
      <c r="M55" s="26">
        <f t="shared" si="0"/>
        <v>8</v>
      </c>
      <c r="N55" s="3" t="s">
        <v>3</v>
      </c>
      <c r="O55" s="3" t="s">
        <v>821</v>
      </c>
      <c r="P55" s="39" t="s">
        <v>1357</v>
      </c>
      <c r="Q55" s="3"/>
      <c r="R55" s="39" t="s">
        <v>825</v>
      </c>
    </row>
    <row r="56" spans="2:18" x14ac:dyDescent="0.2">
      <c r="B56" s="142">
        <v>14</v>
      </c>
      <c r="C56" s="142" t="s">
        <v>1389</v>
      </c>
      <c r="D56" s="3">
        <v>49</v>
      </c>
      <c r="E56" s="39" t="s">
        <v>650</v>
      </c>
      <c r="F56" s="3" t="s">
        <v>5</v>
      </c>
      <c r="G56" s="3" t="s">
        <v>1393</v>
      </c>
      <c r="H56" s="3" t="s">
        <v>1</v>
      </c>
      <c r="I56" s="3" t="s">
        <v>2</v>
      </c>
      <c r="J56" s="39" t="s">
        <v>905</v>
      </c>
      <c r="K56" s="30">
        <v>30864</v>
      </c>
      <c r="L56" s="26">
        <v>1984</v>
      </c>
      <c r="M56" s="26">
        <f t="shared" si="0"/>
        <v>35</v>
      </c>
      <c r="N56" s="3" t="s">
        <v>3</v>
      </c>
      <c r="O56" s="3" t="s">
        <v>821</v>
      </c>
      <c r="P56" s="39" t="s">
        <v>831</v>
      </c>
      <c r="Q56" s="3"/>
      <c r="R56" s="39" t="s">
        <v>54</v>
      </c>
    </row>
    <row r="57" spans="2:18" ht="25.5" x14ac:dyDescent="0.2">
      <c r="B57" s="142"/>
      <c r="C57" s="142"/>
      <c r="D57" s="3">
        <v>50</v>
      </c>
      <c r="E57" s="39" t="s">
        <v>651</v>
      </c>
      <c r="F57" s="3" t="s">
        <v>9</v>
      </c>
      <c r="G57" s="3" t="s">
        <v>1392</v>
      </c>
      <c r="H57" s="3" t="s">
        <v>7</v>
      </c>
      <c r="I57" s="3" t="s">
        <v>2</v>
      </c>
      <c r="J57" s="39" t="s">
        <v>830</v>
      </c>
      <c r="K57" s="30">
        <v>31594</v>
      </c>
      <c r="L57" s="26">
        <v>1986</v>
      </c>
      <c r="M57" s="26">
        <f t="shared" si="0"/>
        <v>33</v>
      </c>
      <c r="N57" s="3" t="s">
        <v>3</v>
      </c>
      <c r="O57" s="3" t="s">
        <v>821</v>
      </c>
      <c r="P57" s="39" t="s">
        <v>831</v>
      </c>
      <c r="Q57" s="3"/>
      <c r="R57" s="39" t="s">
        <v>827</v>
      </c>
    </row>
    <row r="58" spans="2:18" ht="25.5" x14ac:dyDescent="0.2">
      <c r="B58" s="142"/>
      <c r="C58" s="142"/>
      <c r="D58" s="3">
        <v>51</v>
      </c>
      <c r="E58" s="39" t="s">
        <v>1388</v>
      </c>
      <c r="F58" s="3" t="s">
        <v>11</v>
      </c>
      <c r="G58" s="3" t="s">
        <v>652</v>
      </c>
      <c r="H58" s="3" t="s">
        <v>7</v>
      </c>
      <c r="I58" s="3" t="s">
        <v>10</v>
      </c>
      <c r="J58" s="39" t="s">
        <v>830</v>
      </c>
      <c r="K58" s="30">
        <v>39434</v>
      </c>
      <c r="L58" s="26">
        <v>2007</v>
      </c>
      <c r="M58" s="26">
        <f t="shared" ref="M58" si="2">2019-L58</f>
        <v>12</v>
      </c>
      <c r="N58" s="3" t="s">
        <v>3</v>
      </c>
      <c r="O58" s="3" t="s">
        <v>821</v>
      </c>
      <c r="P58" s="39" t="s">
        <v>1357</v>
      </c>
      <c r="Q58" s="3"/>
      <c r="R58" s="39" t="s">
        <v>825</v>
      </c>
    </row>
    <row r="59" spans="2:18" ht="25.5" x14ac:dyDescent="0.2">
      <c r="B59" s="142"/>
      <c r="C59" s="142"/>
      <c r="D59" s="3">
        <v>52</v>
      </c>
      <c r="E59" s="39" t="s">
        <v>1390</v>
      </c>
      <c r="F59" s="3" t="s">
        <v>11</v>
      </c>
      <c r="G59" s="3" t="s">
        <v>1391</v>
      </c>
      <c r="H59" s="3" t="s">
        <v>7</v>
      </c>
      <c r="I59" s="3" t="s">
        <v>10</v>
      </c>
      <c r="J59" s="39" t="s">
        <v>830</v>
      </c>
      <c r="K59" s="30">
        <v>42707</v>
      </c>
      <c r="L59" s="26">
        <v>2016</v>
      </c>
      <c r="M59" s="26">
        <f t="shared" si="0"/>
        <v>3</v>
      </c>
      <c r="N59" s="3" t="s">
        <v>3</v>
      </c>
      <c r="O59" s="3" t="s">
        <v>821</v>
      </c>
      <c r="P59" s="39" t="s">
        <v>1357</v>
      </c>
      <c r="Q59" s="3"/>
      <c r="R59" s="39" t="s">
        <v>825</v>
      </c>
    </row>
    <row r="60" spans="2:18" ht="25.5" x14ac:dyDescent="0.2">
      <c r="B60" s="142">
        <v>15</v>
      </c>
      <c r="C60" s="142" t="s">
        <v>1397</v>
      </c>
      <c r="D60" s="3">
        <v>53</v>
      </c>
      <c r="E60" s="39" t="s">
        <v>653</v>
      </c>
      <c r="F60" s="3" t="s">
        <v>5</v>
      </c>
      <c r="G60" s="3" t="s">
        <v>1398</v>
      </c>
      <c r="H60" s="3" t="s">
        <v>1</v>
      </c>
      <c r="I60" s="3" t="s">
        <v>2</v>
      </c>
      <c r="J60" s="39" t="s">
        <v>820</v>
      </c>
      <c r="K60" s="30">
        <v>18080</v>
      </c>
      <c r="L60" s="26">
        <v>1949</v>
      </c>
      <c r="M60" s="26">
        <f t="shared" si="0"/>
        <v>70</v>
      </c>
      <c r="N60" s="3" t="s">
        <v>3</v>
      </c>
      <c r="O60" s="3" t="s">
        <v>821</v>
      </c>
      <c r="P60" s="39" t="s">
        <v>823</v>
      </c>
      <c r="Q60" s="3"/>
      <c r="R60" s="39" t="s">
        <v>826</v>
      </c>
    </row>
    <row r="61" spans="2:18" ht="25.5" x14ac:dyDescent="0.2">
      <c r="B61" s="142"/>
      <c r="C61" s="142"/>
      <c r="D61" s="3">
        <v>54</v>
      </c>
      <c r="E61" s="39" t="s">
        <v>530</v>
      </c>
      <c r="F61" s="3" t="s">
        <v>9</v>
      </c>
      <c r="G61" s="3" t="s">
        <v>1399</v>
      </c>
      <c r="H61" s="3" t="s">
        <v>7</v>
      </c>
      <c r="I61" s="3" t="s">
        <v>2</v>
      </c>
      <c r="J61" s="39" t="s">
        <v>820</v>
      </c>
      <c r="K61" s="30">
        <v>20271</v>
      </c>
      <c r="L61" s="26">
        <v>1955</v>
      </c>
      <c r="M61" s="26">
        <f t="shared" si="0"/>
        <v>64</v>
      </c>
      <c r="N61" s="3" t="s">
        <v>3</v>
      </c>
      <c r="O61" s="3" t="s">
        <v>821</v>
      </c>
      <c r="P61" s="39" t="s">
        <v>1357</v>
      </c>
      <c r="Q61" s="3"/>
      <c r="R61" s="39" t="s">
        <v>825</v>
      </c>
    </row>
    <row r="62" spans="2:18" x14ac:dyDescent="0.2">
      <c r="B62" s="142"/>
      <c r="C62" s="142"/>
      <c r="D62" s="3">
        <v>55</v>
      </c>
      <c r="E62" s="39" t="s">
        <v>1395</v>
      </c>
      <c r="F62" s="3" t="s">
        <v>11</v>
      </c>
      <c r="G62" s="3" t="s">
        <v>1400</v>
      </c>
      <c r="H62" s="3" t="s">
        <v>1</v>
      </c>
      <c r="I62" s="3" t="s">
        <v>10</v>
      </c>
      <c r="J62" s="39" t="s">
        <v>820</v>
      </c>
      <c r="K62" s="30">
        <v>33420</v>
      </c>
      <c r="L62" s="26">
        <v>1991</v>
      </c>
      <c r="M62" s="26">
        <f t="shared" si="0"/>
        <v>28</v>
      </c>
      <c r="N62" s="3" t="s">
        <v>3</v>
      </c>
      <c r="O62" s="3" t="s">
        <v>821</v>
      </c>
      <c r="P62" s="39" t="s">
        <v>860</v>
      </c>
      <c r="Q62" s="3"/>
      <c r="R62" s="39" t="s">
        <v>54</v>
      </c>
    </row>
    <row r="63" spans="2:18" ht="25.5" x14ac:dyDescent="0.2">
      <c r="B63" s="142"/>
      <c r="C63" s="142"/>
      <c r="D63" s="3">
        <v>56</v>
      </c>
      <c r="E63" s="39" t="s">
        <v>1396</v>
      </c>
      <c r="F63" s="3" t="s">
        <v>11</v>
      </c>
      <c r="G63" s="3" t="s">
        <v>1401</v>
      </c>
      <c r="H63" s="3" t="s">
        <v>1</v>
      </c>
      <c r="I63" s="3" t="s">
        <v>10</v>
      </c>
      <c r="J63" s="39" t="s">
        <v>820</v>
      </c>
      <c r="K63" s="30">
        <v>38534</v>
      </c>
      <c r="L63" s="26">
        <v>2005</v>
      </c>
      <c r="M63" s="26">
        <f t="shared" si="0"/>
        <v>14</v>
      </c>
      <c r="N63" s="3" t="s">
        <v>3</v>
      </c>
      <c r="O63" s="3" t="s">
        <v>821</v>
      </c>
      <c r="P63" s="39" t="s">
        <v>1357</v>
      </c>
      <c r="Q63" s="3"/>
      <c r="R63" s="39" t="s">
        <v>825</v>
      </c>
    </row>
    <row r="64" spans="2:18" ht="25.5" x14ac:dyDescent="0.2">
      <c r="B64" s="142">
        <v>16</v>
      </c>
      <c r="C64" s="142" t="s">
        <v>1787</v>
      </c>
      <c r="D64" s="3">
        <v>57</v>
      </c>
      <c r="E64" s="39" t="s">
        <v>654</v>
      </c>
      <c r="F64" s="3" t="s">
        <v>5</v>
      </c>
      <c r="G64" s="3" t="s">
        <v>655</v>
      </c>
      <c r="H64" s="3" t="s">
        <v>1</v>
      </c>
      <c r="I64" s="3" t="s">
        <v>2</v>
      </c>
      <c r="J64" s="39" t="s">
        <v>820</v>
      </c>
      <c r="K64" s="30">
        <v>21002</v>
      </c>
      <c r="L64" s="26">
        <v>1957</v>
      </c>
      <c r="M64" s="26">
        <f t="shared" si="0"/>
        <v>62</v>
      </c>
      <c r="N64" s="3" t="s">
        <v>3</v>
      </c>
      <c r="O64" s="3" t="s">
        <v>821</v>
      </c>
      <c r="P64" s="39" t="s">
        <v>823</v>
      </c>
      <c r="Q64" s="3"/>
      <c r="R64" s="39" t="s">
        <v>840</v>
      </c>
    </row>
    <row r="65" spans="2:18" ht="25.5" x14ac:dyDescent="0.2">
      <c r="B65" s="142"/>
      <c r="C65" s="142"/>
      <c r="D65" s="3">
        <v>58</v>
      </c>
      <c r="E65" s="39" t="s">
        <v>656</v>
      </c>
      <c r="F65" s="3" t="s">
        <v>9</v>
      </c>
      <c r="G65" s="3" t="s">
        <v>657</v>
      </c>
      <c r="H65" s="3" t="s">
        <v>7</v>
      </c>
      <c r="I65" s="3" t="s">
        <v>2</v>
      </c>
      <c r="J65" s="39" t="s">
        <v>820</v>
      </c>
      <c r="K65" s="30">
        <v>21732</v>
      </c>
      <c r="L65" s="26">
        <v>1959</v>
      </c>
      <c r="M65" s="26">
        <f t="shared" si="0"/>
        <v>60</v>
      </c>
      <c r="N65" s="3" t="s">
        <v>3</v>
      </c>
      <c r="O65" s="3" t="s">
        <v>821</v>
      </c>
      <c r="P65" s="39" t="s">
        <v>823</v>
      </c>
      <c r="Q65" s="3"/>
      <c r="R65" s="39" t="s">
        <v>827</v>
      </c>
    </row>
    <row r="66" spans="2:18" ht="25.5" x14ac:dyDescent="0.2">
      <c r="B66" s="142">
        <v>17</v>
      </c>
      <c r="C66" s="142" t="s">
        <v>1439</v>
      </c>
      <c r="D66" s="3">
        <v>59</v>
      </c>
      <c r="E66" s="39" t="s">
        <v>1440</v>
      </c>
      <c r="F66" s="3" t="s">
        <v>5</v>
      </c>
      <c r="G66" s="3" t="s">
        <v>660</v>
      </c>
      <c r="H66" s="3" t="s">
        <v>1</v>
      </c>
      <c r="I66" s="3" t="s">
        <v>2</v>
      </c>
      <c r="J66" s="39" t="s">
        <v>820</v>
      </c>
      <c r="K66" s="30">
        <v>31641</v>
      </c>
      <c r="L66" s="26">
        <v>1986</v>
      </c>
      <c r="M66" s="26">
        <f t="shared" si="0"/>
        <v>33</v>
      </c>
      <c r="N66" s="3" t="s">
        <v>3</v>
      </c>
      <c r="O66" s="3" t="s">
        <v>821</v>
      </c>
      <c r="P66" s="39" t="s">
        <v>823</v>
      </c>
      <c r="Q66" s="3"/>
      <c r="R66" s="39" t="s">
        <v>826</v>
      </c>
    </row>
    <row r="67" spans="2:18" ht="25.5" x14ac:dyDescent="0.2">
      <c r="B67" s="142"/>
      <c r="C67" s="142"/>
      <c r="D67" s="3">
        <v>60</v>
      </c>
      <c r="E67" s="39" t="s">
        <v>661</v>
      </c>
      <c r="F67" s="3" t="s">
        <v>9</v>
      </c>
      <c r="G67" s="3" t="s">
        <v>662</v>
      </c>
      <c r="H67" s="3" t="s">
        <v>7</v>
      </c>
      <c r="I67" s="3" t="s">
        <v>2</v>
      </c>
      <c r="J67" s="39" t="s">
        <v>1443</v>
      </c>
      <c r="K67" s="30">
        <v>30333</v>
      </c>
      <c r="L67" s="26">
        <v>1983</v>
      </c>
      <c r="M67" s="26">
        <f t="shared" si="0"/>
        <v>36</v>
      </c>
      <c r="N67" s="3" t="s">
        <v>3</v>
      </c>
      <c r="O67" s="3" t="s">
        <v>821</v>
      </c>
      <c r="P67" s="39" t="s">
        <v>860</v>
      </c>
      <c r="Q67" s="3"/>
      <c r="R67" s="39" t="s">
        <v>826</v>
      </c>
    </row>
    <row r="68" spans="2:18" ht="25.5" x14ac:dyDescent="0.2">
      <c r="B68" s="142"/>
      <c r="C68" s="142"/>
      <c r="D68" s="3">
        <v>61</v>
      </c>
      <c r="E68" s="39" t="s">
        <v>663</v>
      </c>
      <c r="F68" s="3" t="s">
        <v>11</v>
      </c>
      <c r="G68" s="3" t="s">
        <v>664</v>
      </c>
      <c r="H68" s="3" t="s">
        <v>1</v>
      </c>
      <c r="I68" s="3" t="s">
        <v>10</v>
      </c>
      <c r="J68" s="39" t="s">
        <v>839</v>
      </c>
      <c r="K68" s="30">
        <v>35964</v>
      </c>
      <c r="L68" s="26">
        <v>1998</v>
      </c>
      <c r="M68" s="26">
        <f t="shared" si="0"/>
        <v>21</v>
      </c>
      <c r="N68" s="3" t="s">
        <v>3</v>
      </c>
      <c r="O68" s="3" t="s">
        <v>821</v>
      </c>
      <c r="P68" s="39" t="s">
        <v>823</v>
      </c>
      <c r="Q68" s="3"/>
      <c r="R68" s="39" t="s">
        <v>828</v>
      </c>
    </row>
    <row r="69" spans="2:18" ht="25.5" x14ac:dyDescent="0.2">
      <c r="B69" s="142"/>
      <c r="C69" s="142"/>
      <c r="D69" s="3">
        <v>62</v>
      </c>
      <c r="E69" s="39" t="s">
        <v>1441</v>
      </c>
      <c r="F69" s="3" t="s">
        <v>11</v>
      </c>
      <c r="G69" s="3" t="s">
        <v>1442</v>
      </c>
      <c r="H69" s="3" t="s">
        <v>7</v>
      </c>
      <c r="I69" s="3" t="s">
        <v>10</v>
      </c>
      <c r="J69" s="39" t="s">
        <v>839</v>
      </c>
      <c r="K69" s="30">
        <v>39379</v>
      </c>
      <c r="L69" s="26">
        <v>2007</v>
      </c>
      <c r="M69" s="26">
        <f t="shared" si="0"/>
        <v>12</v>
      </c>
      <c r="N69" s="3" t="s">
        <v>3</v>
      </c>
      <c r="O69" s="3" t="s">
        <v>821</v>
      </c>
      <c r="P69" s="39" t="s">
        <v>1357</v>
      </c>
      <c r="Q69" s="3"/>
      <c r="R69" s="39" t="s">
        <v>825</v>
      </c>
    </row>
    <row r="70" spans="2:18" ht="25.5" x14ac:dyDescent="0.2">
      <c r="B70" s="142">
        <v>18</v>
      </c>
      <c r="C70" s="142" t="s">
        <v>1797</v>
      </c>
      <c r="D70" s="3">
        <v>63</v>
      </c>
      <c r="E70" s="39" t="s">
        <v>1798</v>
      </c>
      <c r="F70" s="3" t="s">
        <v>5</v>
      </c>
      <c r="G70" s="3" t="s">
        <v>1802</v>
      </c>
      <c r="H70" s="3" t="s">
        <v>1</v>
      </c>
      <c r="I70" s="3" t="s">
        <v>2</v>
      </c>
      <c r="J70" s="39" t="s">
        <v>820</v>
      </c>
      <c r="K70" s="30">
        <v>31047</v>
      </c>
      <c r="L70" s="26">
        <v>1984</v>
      </c>
      <c r="M70" s="26">
        <f t="shared" si="0"/>
        <v>35</v>
      </c>
      <c r="N70" s="3" t="s">
        <v>3</v>
      </c>
      <c r="O70" s="3" t="s">
        <v>821</v>
      </c>
      <c r="P70" s="39" t="s">
        <v>831</v>
      </c>
      <c r="Q70" s="3"/>
      <c r="R70" s="39" t="s">
        <v>826</v>
      </c>
    </row>
    <row r="71" spans="2:18" ht="25.5" x14ac:dyDescent="0.2">
      <c r="B71" s="142"/>
      <c r="C71" s="142"/>
      <c r="D71" s="3">
        <v>64</v>
      </c>
      <c r="E71" s="39" t="s">
        <v>665</v>
      </c>
      <c r="F71" s="3" t="s">
        <v>9</v>
      </c>
      <c r="G71" s="3" t="s">
        <v>1801</v>
      </c>
      <c r="H71" s="3" t="s">
        <v>7</v>
      </c>
      <c r="I71" s="3" t="s">
        <v>2</v>
      </c>
      <c r="J71" s="39" t="s">
        <v>1668</v>
      </c>
      <c r="K71" s="30">
        <v>31777</v>
      </c>
      <c r="L71" s="26">
        <v>1986</v>
      </c>
      <c r="M71" s="26">
        <f t="shared" si="0"/>
        <v>33</v>
      </c>
      <c r="N71" s="3" t="s">
        <v>3</v>
      </c>
      <c r="O71" s="3" t="s">
        <v>821</v>
      </c>
      <c r="P71" s="39" t="s">
        <v>831</v>
      </c>
      <c r="Q71" s="3"/>
      <c r="R71" s="39" t="s">
        <v>827</v>
      </c>
    </row>
    <row r="72" spans="2:18" ht="25.5" x14ac:dyDescent="0.2">
      <c r="B72" s="142"/>
      <c r="C72" s="142"/>
      <c r="D72" s="3">
        <v>65</v>
      </c>
      <c r="E72" s="39" t="s">
        <v>1799</v>
      </c>
      <c r="F72" s="3" t="s">
        <v>11</v>
      </c>
      <c r="G72" s="3" t="s">
        <v>666</v>
      </c>
      <c r="H72" s="3" t="s">
        <v>1</v>
      </c>
      <c r="I72" s="3" t="s">
        <v>10</v>
      </c>
      <c r="J72" s="39" t="s">
        <v>830</v>
      </c>
      <c r="K72" s="30">
        <v>38270</v>
      </c>
      <c r="L72" s="26">
        <v>2004</v>
      </c>
      <c r="M72" s="26">
        <f t="shared" ref="M72:M138" si="3">2019-L72</f>
        <v>15</v>
      </c>
      <c r="N72" s="3" t="s">
        <v>3</v>
      </c>
      <c r="O72" s="3" t="s">
        <v>821</v>
      </c>
      <c r="P72" s="39" t="s">
        <v>822</v>
      </c>
      <c r="Q72" s="3"/>
      <c r="R72" s="39" t="s">
        <v>828</v>
      </c>
    </row>
    <row r="73" spans="2:18" ht="25.5" x14ac:dyDescent="0.2">
      <c r="B73" s="142"/>
      <c r="C73" s="142"/>
      <c r="D73" s="3">
        <v>66</v>
      </c>
      <c r="E73" s="39" t="s">
        <v>1800</v>
      </c>
      <c r="F73" s="3" t="s">
        <v>11</v>
      </c>
      <c r="G73" s="3" t="s">
        <v>667</v>
      </c>
      <c r="H73" s="3" t="s">
        <v>1</v>
      </c>
      <c r="I73" s="3" t="s">
        <v>10</v>
      </c>
      <c r="J73" s="39" t="s">
        <v>830</v>
      </c>
      <c r="K73" s="30">
        <v>41093</v>
      </c>
      <c r="L73" s="26">
        <v>2012</v>
      </c>
      <c r="M73" s="26">
        <f t="shared" si="3"/>
        <v>7</v>
      </c>
      <c r="N73" s="3" t="s">
        <v>3</v>
      </c>
      <c r="O73" s="3" t="s">
        <v>821</v>
      </c>
      <c r="P73" s="39" t="s">
        <v>1357</v>
      </c>
      <c r="Q73" s="3"/>
      <c r="R73" s="39" t="s">
        <v>825</v>
      </c>
    </row>
    <row r="74" spans="2:18" ht="25.5" x14ac:dyDescent="0.2">
      <c r="B74" s="139">
        <v>19</v>
      </c>
      <c r="C74" s="139" t="s">
        <v>1821</v>
      </c>
      <c r="D74" s="3">
        <v>67</v>
      </c>
      <c r="E74" s="39" t="s">
        <v>1822</v>
      </c>
      <c r="F74" s="3" t="s">
        <v>5</v>
      </c>
      <c r="G74" s="3" t="s">
        <v>1829</v>
      </c>
      <c r="H74" s="3" t="s">
        <v>1</v>
      </c>
      <c r="I74" s="3" t="s">
        <v>2</v>
      </c>
      <c r="J74" s="39" t="s">
        <v>830</v>
      </c>
      <c r="K74" s="30">
        <v>30236</v>
      </c>
      <c r="L74" s="26">
        <v>1982</v>
      </c>
      <c r="M74" s="26">
        <f t="shared" si="3"/>
        <v>37</v>
      </c>
      <c r="N74" s="3" t="s">
        <v>3</v>
      </c>
      <c r="O74" s="3" t="s">
        <v>821</v>
      </c>
      <c r="P74" s="39" t="s">
        <v>860</v>
      </c>
      <c r="Q74" s="3"/>
      <c r="R74" s="39" t="s">
        <v>1648</v>
      </c>
    </row>
    <row r="75" spans="2:18" ht="25.5" x14ac:dyDescent="0.2">
      <c r="B75" s="140"/>
      <c r="C75" s="140"/>
      <c r="D75" s="3">
        <v>68</v>
      </c>
      <c r="E75" s="39" t="s">
        <v>668</v>
      </c>
      <c r="F75" s="3" t="s">
        <v>9</v>
      </c>
      <c r="G75" s="3" t="s">
        <v>1828</v>
      </c>
      <c r="H75" s="3" t="s">
        <v>7</v>
      </c>
      <c r="I75" s="3" t="s">
        <v>2</v>
      </c>
      <c r="J75" s="39" t="s">
        <v>1820</v>
      </c>
      <c r="K75" s="30">
        <v>30797</v>
      </c>
      <c r="L75" s="26">
        <v>1984</v>
      </c>
      <c r="M75" s="26">
        <f t="shared" si="3"/>
        <v>35</v>
      </c>
      <c r="N75" s="3" t="s">
        <v>3</v>
      </c>
      <c r="O75" s="3" t="s">
        <v>821</v>
      </c>
      <c r="P75" s="39" t="s">
        <v>860</v>
      </c>
      <c r="Q75" s="3"/>
      <c r="R75" s="39" t="s">
        <v>899</v>
      </c>
    </row>
    <row r="76" spans="2:18" ht="25.5" x14ac:dyDescent="0.2">
      <c r="B76" s="140"/>
      <c r="C76" s="140"/>
      <c r="D76" s="3">
        <v>69</v>
      </c>
      <c r="E76" s="39" t="s">
        <v>1823</v>
      </c>
      <c r="F76" s="3" t="s">
        <v>11</v>
      </c>
      <c r="G76" s="3" t="s">
        <v>1827</v>
      </c>
      <c r="H76" s="3" t="s">
        <v>7</v>
      </c>
      <c r="I76" s="3" t="s">
        <v>10</v>
      </c>
      <c r="J76" s="39" t="s">
        <v>820</v>
      </c>
      <c r="K76" s="30">
        <v>38549</v>
      </c>
      <c r="L76" s="26">
        <v>2005</v>
      </c>
      <c r="M76" s="26">
        <f t="shared" si="3"/>
        <v>14</v>
      </c>
      <c r="N76" s="3" t="s">
        <v>3</v>
      </c>
      <c r="O76" s="3" t="s">
        <v>821</v>
      </c>
      <c r="P76" s="39" t="s">
        <v>1357</v>
      </c>
      <c r="Q76" s="3"/>
      <c r="R76" s="39" t="s">
        <v>825</v>
      </c>
    </row>
    <row r="77" spans="2:18" ht="25.5" x14ac:dyDescent="0.2">
      <c r="B77" s="140"/>
      <c r="C77" s="140"/>
      <c r="D77" s="3">
        <v>70</v>
      </c>
      <c r="E77" s="39" t="s">
        <v>1824</v>
      </c>
      <c r="F77" s="3" t="s">
        <v>43</v>
      </c>
      <c r="G77" s="3" t="s">
        <v>669</v>
      </c>
      <c r="H77" s="3" t="s">
        <v>7</v>
      </c>
      <c r="I77" s="3" t="s">
        <v>10</v>
      </c>
      <c r="J77" s="39" t="s">
        <v>830</v>
      </c>
      <c r="K77" s="30">
        <v>40426</v>
      </c>
      <c r="L77" s="26">
        <v>2010</v>
      </c>
      <c r="M77" s="26">
        <f t="shared" ref="M77" si="4">2019-L77</f>
        <v>9</v>
      </c>
      <c r="N77" s="3" t="s">
        <v>3</v>
      </c>
      <c r="O77" s="3" t="s">
        <v>821</v>
      </c>
      <c r="P77" s="39" t="s">
        <v>1357</v>
      </c>
      <c r="Q77" s="3"/>
      <c r="R77" s="39" t="s">
        <v>825</v>
      </c>
    </row>
    <row r="78" spans="2:18" ht="25.5" x14ac:dyDescent="0.2">
      <c r="B78" s="141"/>
      <c r="C78" s="141"/>
      <c r="D78" s="3">
        <v>71</v>
      </c>
      <c r="E78" s="39" t="s">
        <v>1825</v>
      </c>
      <c r="F78" s="3" t="s">
        <v>43</v>
      </c>
      <c r="G78" s="3" t="s">
        <v>1826</v>
      </c>
      <c r="H78" s="3" t="s">
        <v>7</v>
      </c>
      <c r="I78" s="3" t="s">
        <v>10</v>
      </c>
      <c r="J78" s="39" t="s">
        <v>820</v>
      </c>
      <c r="K78" s="30">
        <v>43115</v>
      </c>
      <c r="L78" s="26">
        <v>2018</v>
      </c>
      <c r="M78" s="26">
        <f t="shared" si="3"/>
        <v>1</v>
      </c>
      <c r="N78" s="3" t="s">
        <v>3</v>
      </c>
      <c r="O78" s="3" t="s">
        <v>821</v>
      </c>
      <c r="P78" s="39" t="s">
        <v>1357</v>
      </c>
      <c r="Q78" s="3"/>
      <c r="R78" s="39" t="s">
        <v>825</v>
      </c>
    </row>
    <row r="79" spans="2:18" ht="25.5" x14ac:dyDescent="0.2">
      <c r="B79" s="142">
        <v>20</v>
      </c>
      <c r="C79" s="142" t="s">
        <v>1803</v>
      </c>
      <c r="D79" s="3">
        <v>72</v>
      </c>
      <c r="E79" s="39" t="s">
        <v>147</v>
      </c>
      <c r="F79" s="3" t="s">
        <v>5</v>
      </c>
      <c r="G79" s="3" t="s">
        <v>672</v>
      </c>
      <c r="H79" s="3" t="s">
        <v>7</v>
      </c>
      <c r="I79" s="3" t="s">
        <v>883</v>
      </c>
      <c r="J79" s="39" t="s">
        <v>820</v>
      </c>
      <c r="K79" s="30">
        <v>25149</v>
      </c>
      <c r="L79" s="26">
        <v>1968</v>
      </c>
      <c r="M79" s="26">
        <f t="shared" si="3"/>
        <v>51</v>
      </c>
      <c r="N79" s="3" t="s">
        <v>3</v>
      </c>
      <c r="O79" s="3" t="s">
        <v>821</v>
      </c>
      <c r="P79" s="39" t="s">
        <v>823</v>
      </c>
      <c r="Q79" s="3"/>
      <c r="R79" s="39" t="s">
        <v>827</v>
      </c>
    </row>
    <row r="80" spans="2:18" ht="25.5" x14ac:dyDescent="0.2">
      <c r="B80" s="142"/>
      <c r="C80" s="142"/>
      <c r="D80" s="3">
        <v>73</v>
      </c>
      <c r="E80" s="39" t="s">
        <v>673</v>
      </c>
      <c r="F80" s="3" t="s">
        <v>11</v>
      </c>
      <c r="G80" s="3" t="s">
        <v>1805</v>
      </c>
      <c r="H80" s="3" t="s">
        <v>1</v>
      </c>
      <c r="I80" s="3" t="s">
        <v>881</v>
      </c>
      <c r="J80" s="39" t="s">
        <v>820</v>
      </c>
      <c r="K80" s="30">
        <v>33487</v>
      </c>
      <c r="L80" s="26">
        <v>1991</v>
      </c>
      <c r="M80" s="26">
        <f t="shared" si="3"/>
        <v>28</v>
      </c>
      <c r="N80" s="3" t="s">
        <v>3</v>
      </c>
      <c r="O80" s="3" t="s">
        <v>821</v>
      </c>
      <c r="P80" s="39" t="s">
        <v>860</v>
      </c>
      <c r="Q80" s="3"/>
      <c r="R80" s="39" t="s">
        <v>826</v>
      </c>
    </row>
    <row r="81" spans="2:18" ht="25.5" x14ac:dyDescent="0.2">
      <c r="B81" s="142"/>
      <c r="C81" s="142"/>
      <c r="D81" s="3">
        <v>74</v>
      </c>
      <c r="E81" s="39" t="s">
        <v>1804</v>
      </c>
      <c r="F81" s="3" t="s">
        <v>1030</v>
      </c>
      <c r="G81" s="3" t="s">
        <v>674</v>
      </c>
      <c r="H81" s="3" t="s">
        <v>1</v>
      </c>
      <c r="I81" s="3" t="s">
        <v>10</v>
      </c>
      <c r="J81" s="39" t="s">
        <v>820</v>
      </c>
      <c r="K81" s="30">
        <v>40584</v>
      </c>
      <c r="L81" s="26">
        <v>2011</v>
      </c>
      <c r="M81" s="26">
        <f t="shared" si="3"/>
        <v>8</v>
      </c>
      <c r="N81" s="3" t="s">
        <v>3</v>
      </c>
      <c r="O81" s="3" t="s">
        <v>821</v>
      </c>
      <c r="P81" s="39" t="s">
        <v>1357</v>
      </c>
      <c r="Q81" s="3"/>
      <c r="R81" s="39" t="s">
        <v>825</v>
      </c>
    </row>
    <row r="82" spans="2:18" ht="25.5" x14ac:dyDescent="0.2">
      <c r="B82" s="142">
        <v>21</v>
      </c>
      <c r="C82" s="142" t="s">
        <v>1462</v>
      </c>
      <c r="D82" s="3">
        <v>75</v>
      </c>
      <c r="E82" s="39" t="s">
        <v>675</v>
      </c>
      <c r="F82" s="3" t="s">
        <v>5</v>
      </c>
      <c r="G82" s="3" t="s">
        <v>676</v>
      </c>
      <c r="H82" s="3" t="s">
        <v>1</v>
      </c>
      <c r="I82" s="3" t="s">
        <v>2</v>
      </c>
      <c r="J82" s="39" t="s">
        <v>830</v>
      </c>
      <c r="K82" s="30">
        <v>25750</v>
      </c>
      <c r="L82" s="26">
        <v>1970</v>
      </c>
      <c r="M82" s="26">
        <f t="shared" si="3"/>
        <v>49</v>
      </c>
      <c r="N82" s="3" t="s">
        <v>3</v>
      </c>
      <c r="O82" s="3" t="s">
        <v>821</v>
      </c>
      <c r="P82" s="39" t="s">
        <v>823</v>
      </c>
      <c r="Q82" s="3"/>
      <c r="R82" s="39" t="s">
        <v>826</v>
      </c>
    </row>
    <row r="83" spans="2:18" ht="25.5" x14ac:dyDescent="0.2">
      <c r="B83" s="142"/>
      <c r="C83" s="142"/>
      <c r="D83" s="3">
        <v>76</v>
      </c>
      <c r="E83" s="39" t="s">
        <v>677</v>
      </c>
      <c r="F83" s="3" t="s">
        <v>9</v>
      </c>
      <c r="G83" s="3" t="s">
        <v>678</v>
      </c>
      <c r="H83" s="3" t="s">
        <v>7</v>
      </c>
      <c r="I83" s="3" t="s">
        <v>2</v>
      </c>
      <c r="J83" s="39" t="s">
        <v>830</v>
      </c>
      <c r="K83" s="30">
        <v>27576</v>
      </c>
      <c r="L83" s="26">
        <v>1975</v>
      </c>
      <c r="M83" s="26">
        <f t="shared" si="3"/>
        <v>44</v>
      </c>
      <c r="N83" s="3" t="s">
        <v>3</v>
      </c>
      <c r="O83" s="3" t="s">
        <v>821</v>
      </c>
      <c r="P83" s="39" t="s">
        <v>823</v>
      </c>
      <c r="Q83" s="3"/>
      <c r="R83" s="39" t="s">
        <v>877</v>
      </c>
    </row>
    <row r="84" spans="2:18" ht="25.5" x14ac:dyDescent="0.2">
      <c r="B84" s="142"/>
      <c r="C84" s="142"/>
      <c r="D84" s="3">
        <v>77</v>
      </c>
      <c r="E84" s="39" t="s">
        <v>679</v>
      </c>
      <c r="F84" s="3" t="s">
        <v>11</v>
      </c>
      <c r="G84" s="3" t="s">
        <v>680</v>
      </c>
      <c r="H84" s="3" t="s">
        <v>1</v>
      </c>
      <c r="I84" s="3" t="s">
        <v>10</v>
      </c>
      <c r="J84" s="39" t="s">
        <v>839</v>
      </c>
      <c r="K84" s="30">
        <v>31149</v>
      </c>
      <c r="L84" s="26">
        <v>1985</v>
      </c>
      <c r="M84" s="26">
        <f t="shared" si="3"/>
        <v>34</v>
      </c>
      <c r="N84" s="3" t="s">
        <v>3</v>
      </c>
      <c r="O84" s="3" t="s">
        <v>821</v>
      </c>
      <c r="P84" s="39" t="s">
        <v>831</v>
      </c>
      <c r="Q84" s="3"/>
      <c r="R84" s="39" t="s">
        <v>825</v>
      </c>
    </row>
    <row r="85" spans="2:18" ht="25.5" x14ac:dyDescent="0.2">
      <c r="B85" s="142"/>
      <c r="C85" s="142"/>
      <c r="D85" s="3">
        <v>78</v>
      </c>
      <c r="E85" s="39" t="s">
        <v>1463</v>
      </c>
      <c r="F85" s="3" t="s">
        <v>11</v>
      </c>
      <c r="G85" s="3" t="s">
        <v>681</v>
      </c>
      <c r="H85" s="3" t="s">
        <v>7</v>
      </c>
      <c r="I85" s="3" t="s">
        <v>10</v>
      </c>
      <c r="J85" s="39" t="s">
        <v>839</v>
      </c>
      <c r="K85" s="30">
        <v>36516</v>
      </c>
      <c r="L85" s="26">
        <v>1999</v>
      </c>
      <c r="M85" s="26">
        <f t="shared" si="3"/>
        <v>20</v>
      </c>
      <c r="N85" s="3" t="s">
        <v>3</v>
      </c>
      <c r="O85" s="3" t="s">
        <v>821</v>
      </c>
      <c r="P85" s="39" t="s">
        <v>831</v>
      </c>
      <c r="Q85" s="3"/>
      <c r="R85" s="39" t="s">
        <v>828</v>
      </c>
    </row>
    <row r="86" spans="2:18" ht="25.5" x14ac:dyDescent="0.2">
      <c r="B86" s="142">
        <v>22</v>
      </c>
      <c r="C86" s="142" t="s">
        <v>1806</v>
      </c>
      <c r="D86" s="3">
        <v>79</v>
      </c>
      <c r="E86" s="39" t="s">
        <v>682</v>
      </c>
      <c r="F86" s="3" t="s">
        <v>5</v>
      </c>
      <c r="G86" s="3" t="s">
        <v>683</v>
      </c>
      <c r="H86" s="3" t="s">
        <v>1</v>
      </c>
      <c r="I86" s="3" t="s">
        <v>2</v>
      </c>
      <c r="J86" s="39" t="s">
        <v>820</v>
      </c>
      <c r="K86" s="30">
        <v>26056</v>
      </c>
      <c r="L86" s="26">
        <v>1971</v>
      </c>
      <c r="M86" s="26">
        <f t="shared" si="3"/>
        <v>48</v>
      </c>
      <c r="N86" s="3" t="s">
        <v>3</v>
      </c>
      <c r="O86" s="3" t="s">
        <v>821</v>
      </c>
      <c r="P86" s="39" t="s">
        <v>823</v>
      </c>
      <c r="Q86" s="3"/>
      <c r="R86" s="39" t="s">
        <v>826</v>
      </c>
    </row>
    <row r="87" spans="2:18" ht="25.5" x14ac:dyDescent="0.2">
      <c r="B87" s="142"/>
      <c r="C87" s="142"/>
      <c r="D87" s="3">
        <v>80</v>
      </c>
      <c r="E87" s="39" t="s">
        <v>684</v>
      </c>
      <c r="F87" s="3" t="s">
        <v>9</v>
      </c>
      <c r="G87" s="3" t="s">
        <v>685</v>
      </c>
      <c r="H87" s="3" t="s">
        <v>7</v>
      </c>
      <c r="I87" s="3" t="s">
        <v>2</v>
      </c>
      <c r="J87" s="39" t="s">
        <v>820</v>
      </c>
      <c r="K87" s="30">
        <v>26358</v>
      </c>
      <c r="L87" s="26">
        <v>1972</v>
      </c>
      <c r="M87" s="26">
        <f t="shared" si="3"/>
        <v>47</v>
      </c>
      <c r="N87" s="3" t="s">
        <v>3</v>
      </c>
      <c r="O87" s="3" t="s">
        <v>821</v>
      </c>
      <c r="P87" s="39" t="s">
        <v>823</v>
      </c>
      <c r="Q87" s="3"/>
      <c r="R87" s="39" t="s">
        <v>826</v>
      </c>
    </row>
    <row r="88" spans="2:18" ht="25.5" x14ac:dyDescent="0.2">
      <c r="B88" s="142"/>
      <c r="C88" s="142"/>
      <c r="D88" s="3">
        <v>81</v>
      </c>
      <c r="E88" s="39" t="s">
        <v>1807</v>
      </c>
      <c r="F88" s="3" t="s">
        <v>11</v>
      </c>
      <c r="G88" s="3" t="s">
        <v>686</v>
      </c>
      <c r="H88" s="3" t="s">
        <v>1</v>
      </c>
      <c r="I88" s="3" t="s">
        <v>10</v>
      </c>
      <c r="J88" s="39" t="s">
        <v>820</v>
      </c>
      <c r="K88" s="30">
        <v>33743</v>
      </c>
      <c r="L88" s="26">
        <v>1992</v>
      </c>
      <c r="M88" s="26">
        <f t="shared" si="3"/>
        <v>27</v>
      </c>
      <c r="N88" s="3" t="s">
        <v>3</v>
      </c>
      <c r="O88" s="3" t="s">
        <v>821</v>
      </c>
      <c r="P88" s="39" t="s">
        <v>860</v>
      </c>
      <c r="Q88" s="3"/>
      <c r="R88" s="39" t="s">
        <v>828</v>
      </c>
    </row>
    <row r="89" spans="2:18" ht="25.5" x14ac:dyDescent="0.2">
      <c r="B89" s="142"/>
      <c r="C89" s="142"/>
      <c r="D89" s="3">
        <v>82</v>
      </c>
      <c r="E89" s="39" t="s">
        <v>687</v>
      </c>
      <c r="F89" s="3" t="s">
        <v>11</v>
      </c>
      <c r="G89" s="3" t="s">
        <v>688</v>
      </c>
      <c r="H89" s="3" t="s">
        <v>7</v>
      </c>
      <c r="I89" s="3" t="s">
        <v>10</v>
      </c>
      <c r="J89" s="39" t="s">
        <v>820</v>
      </c>
      <c r="K89" s="30">
        <v>36408</v>
      </c>
      <c r="L89" s="26">
        <v>1999</v>
      </c>
      <c r="M89" s="26">
        <f t="shared" si="3"/>
        <v>20</v>
      </c>
      <c r="N89" s="3" t="s">
        <v>3</v>
      </c>
      <c r="O89" s="3" t="s">
        <v>821</v>
      </c>
      <c r="P89" s="39" t="s">
        <v>1357</v>
      </c>
      <c r="Q89" s="3"/>
      <c r="R89" s="39" t="s">
        <v>828</v>
      </c>
    </row>
    <row r="90" spans="2:18" ht="25.5" x14ac:dyDescent="0.2">
      <c r="B90" s="142"/>
      <c r="C90" s="142"/>
      <c r="D90" s="3">
        <v>83</v>
      </c>
      <c r="E90" s="39" t="s">
        <v>689</v>
      </c>
      <c r="F90" s="3" t="s">
        <v>11</v>
      </c>
      <c r="G90" s="3" t="s">
        <v>690</v>
      </c>
      <c r="H90" s="3" t="s">
        <v>7</v>
      </c>
      <c r="I90" s="3" t="s">
        <v>10</v>
      </c>
      <c r="J90" s="39" t="s">
        <v>820</v>
      </c>
      <c r="K90" s="30">
        <v>39539</v>
      </c>
      <c r="L90" s="26">
        <v>2008</v>
      </c>
      <c r="M90" s="26">
        <f t="shared" si="3"/>
        <v>11</v>
      </c>
      <c r="N90" s="3" t="s">
        <v>3</v>
      </c>
      <c r="O90" s="3" t="s">
        <v>821</v>
      </c>
      <c r="P90" s="39" t="s">
        <v>1357</v>
      </c>
      <c r="Q90" s="3"/>
      <c r="R90" s="39" t="s">
        <v>825</v>
      </c>
    </row>
    <row r="91" spans="2:18" x14ac:dyDescent="0.2">
      <c r="B91" s="142">
        <v>23</v>
      </c>
      <c r="C91" s="142" t="s">
        <v>1402</v>
      </c>
      <c r="D91" s="3">
        <v>84</v>
      </c>
      <c r="E91" s="39" t="s">
        <v>528</v>
      </c>
      <c r="F91" s="3" t="s">
        <v>5</v>
      </c>
      <c r="G91" s="3" t="s">
        <v>691</v>
      </c>
      <c r="H91" s="3" t="s">
        <v>1</v>
      </c>
      <c r="I91" s="3" t="s">
        <v>2</v>
      </c>
      <c r="J91" s="39" t="s">
        <v>820</v>
      </c>
      <c r="K91" s="30">
        <v>30787</v>
      </c>
      <c r="L91" s="26">
        <v>1984</v>
      </c>
      <c r="M91" s="26">
        <f t="shared" si="3"/>
        <v>35</v>
      </c>
      <c r="N91" s="3" t="s">
        <v>3</v>
      </c>
      <c r="O91" s="3" t="s">
        <v>821</v>
      </c>
      <c r="P91" s="39" t="s">
        <v>860</v>
      </c>
      <c r="Q91" s="3"/>
      <c r="R91" s="39"/>
    </row>
    <row r="92" spans="2:18" x14ac:dyDescent="0.2">
      <c r="B92" s="142"/>
      <c r="C92" s="142"/>
      <c r="D92" s="3">
        <v>85</v>
      </c>
      <c r="E92" s="39" t="s">
        <v>692</v>
      </c>
      <c r="F92" s="3" t="s">
        <v>9</v>
      </c>
      <c r="G92" s="3" t="s">
        <v>693</v>
      </c>
      <c r="H92" s="3" t="s">
        <v>7</v>
      </c>
      <c r="I92" s="3" t="s">
        <v>2</v>
      </c>
      <c r="J92" s="39" t="s">
        <v>1403</v>
      </c>
      <c r="K92" s="30">
        <v>33238</v>
      </c>
      <c r="L92" s="26">
        <v>1990</v>
      </c>
      <c r="M92" s="26">
        <f t="shared" si="3"/>
        <v>29</v>
      </c>
      <c r="N92" s="3" t="s">
        <v>3</v>
      </c>
      <c r="O92" s="3" t="s">
        <v>821</v>
      </c>
      <c r="P92" s="39" t="s">
        <v>831</v>
      </c>
      <c r="Q92" s="3"/>
      <c r="R92" s="39"/>
    </row>
    <row r="93" spans="2:18" ht="25.5" x14ac:dyDescent="0.2">
      <c r="B93" s="142"/>
      <c r="C93" s="142"/>
      <c r="D93" s="3">
        <v>86</v>
      </c>
      <c r="E93" s="39" t="s">
        <v>694</v>
      </c>
      <c r="F93" s="3" t="s">
        <v>11</v>
      </c>
      <c r="G93" s="3" t="s">
        <v>695</v>
      </c>
      <c r="H93" s="3" t="s">
        <v>7</v>
      </c>
      <c r="I93" s="3" t="s">
        <v>10</v>
      </c>
      <c r="J93" s="39" t="s">
        <v>820</v>
      </c>
      <c r="K93" s="30">
        <v>40579</v>
      </c>
      <c r="L93" s="26">
        <v>2011</v>
      </c>
      <c r="M93" s="26">
        <f t="shared" si="3"/>
        <v>8</v>
      </c>
      <c r="N93" s="3" t="s">
        <v>3</v>
      </c>
      <c r="O93" s="3" t="s">
        <v>821</v>
      </c>
      <c r="P93" s="39" t="s">
        <v>1357</v>
      </c>
      <c r="Q93" s="3"/>
      <c r="R93" s="39" t="s">
        <v>825</v>
      </c>
    </row>
    <row r="94" spans="2:18" ht="25.5" x14ac:dyDescent="0.2">
      <c r="B94" s="142">
        <v>24</v>
      </c>
      <c r="C94" s="142" t="s">
        <v>1721</v>
      </c>
      <c r="D94" s="3">
        <v>87</v>
      </c>
      <c r="E94" s="39" t="s">
        <v>1707</v>
      </c>
      <c r="F94" s="3" t="s">
        <v>5</v>
      </c>
      <c r="G94" s="3" t="s">
        <v>696</v>
      </c>
      <c r="H94" s="3" t="s">
        <v>1</v>
      </c>
      <c r="I94" s="3" t="s">
        <v>2</v>
      </c>
      <c r="J94" s="39" t="s">
        <v>820</v>
      </c>
      <c r="K94" s="30">
        <v>22098</v>
      </c>
      <c r="L94" s="26">
        <v>1960</v>
      </c>
      <c r="M94" s="26">
        <f t="shared" si="3"/>
        <v>59</v>
      </c>
      <c r="N94" s="3" t="s">
        <v>3</v>
      </c>
      <c r="O94" s="3" t="s">
        <v>821</v>
      </c>
      <c r="P94" s="39" t="s">
        <v>1357</v>
      </c>
      <c r="Q94" s="3"/>
      <c r="R94" s="39" t="s">
        <v>840</v>
      </c>
    </row>
    <row r="95" spans="2:18" ht="25.5" x14ac:dyDescent="0.2">
      <c r="B95" s="142"/>
      <c r="C95" s="142"/>
      <c r="D95" s="3">
        <v>88</v>
      </c>
      <c r="E95" s="39" t="s">
        <v>1708</v>
      </c>
      <c r="F95" s="3" t="s">
        <v>9</v>
      </c>
      <c r="G95" s="3" t="s">
        <v>697</v>
      </c>
      <c r="H95" s="3" t="s">
        <v>7</v>
      </c>
      <c r="I95" s="3" t="s">
        <v>2</v>
      </c>
      <c r="J95" s="39" t="s">
        <v>820</v>
      </c>
      <c r="K95" s="30">
        <v>24837</v>
      </c>
      <c r="L95" s="26">
        <v>1967</v>
      </c>
      <c r="M95" s="26">
        <f t="shared" si="3"/>
        <v>52</v>
      </c>
      <c r="N95" s="3" t="s">
        <v>3</v>
      </c>
      <c r="O95" s="3" t="s">
        <v>821</v>
      </c>
      <c r="P95" s="39" t="s">
        <v>1357</v>
      </c>
      <c r="Q95" s="3"/>
      <c r="R95" s="39" t="s">
        <v>877</v>
      </c>
    </row>
    <row r="96" spans="2:18" ht="25.5" x14ac:dyDescent="0.2">
      <c r="B96" s="142"/>
      <c r="C96" s="142"/>
      <c r="D96" s="3">
        <v>89</v>
      </c>
      <c r="E96" s="39" t="s">
        <v>1709</v>
      </c>
      <c r="F96" s="3" t="s">
        <v>11</v>
      </c>
      <c r="G96" s="3" t="s">
        <v>1715</v>
      </c>
      <c r="H96" s="3" t="s">
        <v>7</v>
      </c>
      <c r="I96" s="3" t="s">
        <v>10</v>
      </c>
      <c r="J96" s="39" t="s">
        <v>839</v>
      </c>
      <c r="K96" s="30">
        <v>32296</v>
      </c>
      <c r="L96" s="26">
        <v>1988</v>
      </c>
      <c r="M96" s="26">
        <f t="shared" si="3"/>
        <v>31</v>
      </c>
      <c r="N96" s="3" t="s">
        <v>3</v>
      </c>
      <c r="O96" s="3" t="s">
        <v>821</v>
      </c>
      <c r="P96" s="39" t="s">
        <v>1357</v>
      </c>
      <c r="Q96" s="3"/>
      <c r="R96" s="39" t="s">
        <v>825</v>
      </c>
    </row>
    <row r="97" spans="2:18" ht="25.5" x14ac:dyDescent="0.2">
      <c r="B97" s="142"/>
      <c r="C97" s="142"/>
      <c r="D97" s="3">
        <v>90</v>
      </c>
      <c r="E97" s="39" t="s">
        <v>1710</v>
      </c>
      <c r="F97" s="3" t="s">
        <v>11</v>
      </c>
      <c r="G97" s="3" t="s">
        <v>1716</v>
      </c>
      <c r="H97" s="3" t="s">
        <v>7</v>
      </c>
      <c r="I97" s="3" t="s">
        <v>10</v>
      </c>
      <c r="J97" s="39" t="s">
        <v>820</v>
      </c>
      <c r="K97" s="30">
        <v>34339</v>
      </c>
      <c r="L97" s="26">
        <v>1994</v>
      </c>
      <c r="M97" s="26">
        <f t="shared" si="3"/>
        <v>25</v>
      </c>
      <c r="N97" s="3" t="s">
        <v>3</v>
      </c>
      <c r="O97" s="3" t="s">
        <v>821</v>
      </c>
      <c r="P97" s="39" t="s">
        <v>1357</v>
      </c>
      <c r="Q97" s="3"/>
      <c r="R97" s="39" t="s">
        <v>828</v>
      </c>
    </row>
    <row r="98" spans="2:18" ht="25.5" x14ac:dyDescent="0.2">
      <c r="B98" s="142"/>
      <c r="C98" s="142"/>
      <c r="D98" s="3">
        <v>91</v>
      </c>
      <c r="E98" s="39" t="s">
        <v>1711</v>
      </c>
      <c r="F98" s="3" t="s">
        <v>11</v>
      </c>
      <c r="G98" s="3" t="s">
        <v>1717</v>
      </c>
      <c r="H98" s="3" t="s">
        <v>7</v>
      </c>
      <c r="I98" s="3" t="s">
        <v>2</v>
      </c>
      <c r="J98" s="39" t="s">
        <v>820</v>
      </c>
      <c r="K98" s="30">
        <v>34680</v>
      </c>
      <c r="L98" s="26">
        <v>1994</v>
      </c>
      <c r="M98" s="26">
        <f t="shared" ref="M98:M99" si="5">2019-L98</f>
        <v>25</v>
      </c>
      <c r="N98" s="3" t="s">
        <v>3</v>
      </c>
      <c r="O98" s="3" t="s">
        <v>821</v>
      </c>
      <c r="P98" s="39" t="s">
        <v>1357</v>
      </c>
      <c r="Q98" s="3"/>
      <c r="R98" s="39" t="s">
        <v>825</v>
      </c>
    </row>
    <row r="99" spans="2:18" ht="25.5" x14ac:dyDescent="0.2">
      <c r="B99" s="142"/>
      <c r="C99" s="142"/>
      <c r="D99" s="3">
        <v>92</v>
      </c>
      <c r="E99" s="39" t="s">
        <v>1712</v>
      </c>
      <c r="F99" s="3" t="s">
        <v>11</v>
      </c>
      <c r="G99" s="3" t="s">
        <v>1718</v>
      </c>
      <c r="H99" s="3" t="s">
        <v>1</v>
      </c>
      <c r="I99" s="3" t="s">
        <v>10</v>
      </c>
      <c r="J99" s="39" t="s">
        <v>820</v>
      </c>
      <c r="K99" s="30">
        <v>36192</v>
      </c>
      <c r="L99" s="26">
        <v>1999</v>
      </c>
      <c r="M99" s="26">
        <f t="shared" si="5"/>
        <v>20</v>
      </c>
      <c r="N99" s="3" t="s">
        <v>3</v>
      </c>
      <c r="O99" s="3" t="s">
        <v>821</v>
      </c>
      <c r="P99" s="39" t="s">
        <v>1357</v>
      </c>
      <c r="Q99" s="3"/>
      <c r="R99" s="39" t="s">
        <v>825</v>
      </c>
    </row>
    <row r="100" spans="2:18" ht="25.5" x14ac:dyDescent="0.2">
      <c r="B100" s="142"/>
      <c r="C100" s="142"/>
      <c r="D100" s="3">
        <v>93</v>
      </c>
      <c r="E100" s="39" t="s">
        <v>1713</v>
      </c>
      <c r="F100" s="3" t="s">
        <v>11</v>
      </c>
      <c r="G100" s="3" t="s">
        <v>1719</v>
      </c>
      <c r="H100" s="3" t="s">
        <v>1</v>
      </c>
      <c r="I100" s="3" t="s">
        <v>10</v>
      </c>
      <c r="J100" s="39" t="s">
        <v>820</v>
      </c>
      <c r="K100" s="30">
        <v>36951</v>
      </c>
      <c r="L100" s="26">
        <v>2001</v>
      </c>
      <c r="M100" s="26">
        <f t="shared" si="3"/>
        <v>18</v>
      </c>
      <c r="N100" s="3" t="s">
        <v>3</v>
      </c>
      <c r="O100" s="3" t="s">
        <v>821</v>
      </c>
      <c r="P100" s="39" t="s">
        <v>1357</v>
      </c>
      <c r="Q100" s="3"/>
      <c r="R100" s="39" t="s">
        <v>825</v>
      </c>
    </row>
    <row r="101" spans="2:18" ht="25.5" x14ac:dyDescent="0.2">
      <c r="B101" s="142"/>
      <c r="C101" s="142"/>
      <c r="D101" s="3">
        <v>94</v>
      </c>
      <c r="E101" s="39" t="s">
        <v>1714</v>
      </c>
      <c r="F101" s="3" t="s">
        <v>11</v>
      </c>
      <c r="G101" s="3" t="s">
        <v>1720</v>
      </c>
      <c r="H101" s="3" t="s">
        <v>1</v>
      </c>
      <c r="I101" s="3" t="s">
        <v>10</v>
      </c>
      <c r="J101" s="39" t="s">
        <v>820</v>
      </c>
      <c r="K101" s="30">
        <v>37713</v>
      </c>
      <c r="L101" s="26">
        <v>2003</v>
      </c>
      <c r="M101" s="26">
        <f t="shared" si="3"/>
        <v>16</v>
      </c>
      <c r="N101" s="3" t="s">
        <v>3</v>
      </c>
      <c r="O101" s="3" t="s">
        <v>821</v>
      </c>
      <c r="P101" s="39" t="s">
        <v>1357</v>
      </c>
      <c r="Q101" s="3"/>
      <c r="R101" s="39" t="s">
        <v>825</v>
      </c>
    </row>
    <row r="102" spans="2:18" ht="38.25" x14ac:dyDescent="0.2">
      <c r="B102" s="146">
        <v>25</v>
      </c>
      <c r="C102" s="139" t="s">
        <v>1378</v>
      </c>
      <c r="D102" s="3">
        <v>95</v>
      </c>
      <c r="E102" s="39" t="s">
        <v>698</v>
      </c>
      <c r="F102" s="3" t="s">
        <v>5</v>
      </c>
      <c r="G102" s="3" t="s">
        <v>1380</v>
      </c>
      <c r="H102" s="3" t="s">
        <v>1</v>
      </c>
      <c r="I102" s="3" t="s">
        <v>2</v>
      </c>
      <c r="J102" s="39" t="s">
        <v>1382</v>
      </c>
      <c r="K102" s="30">
        <v>30681</v>
      </c>
      <c r="L102" s="26">
        <v>1983</v>
      </c>
      <c r="M102" s="26">
        <f t="shared" si="3"/>
        <v>36</v>
      </c>
      <c r="N102" s="3" t="s">
        <v>3</v>
      </c>
      <c r="O102" s="3" t="s">
        <v>821</v>
      </c>
      <c r="P102" s="39" t="s">
        <v>823</v>
      </c>
      <c r="Q102" s="3"/>
      <c r="R102" s="39" t="s">
        <v>826</v>
      </c>
    </row>
    <row r="103" spans="2:18" ht="25.5" x14ac:dyDescent="0.2">
      <c r="B103" s="147"/>
      <c r="C103" s="140"/>
      <c r="D103" s="3">
        <v>96</v>
      </c>
      <c r="E103" s="39" t="s">
        <v>1379</v>
      </c>
      <c r="F103" s="3" t="s">
        <v>9</v>
      </c>
      <c r="G103" s="3" t="s">
        <v>1381</v>
      </c>
      <c r="H103" s="3" t="s">
        <v>7</v>
      </c>
      <c r="I103" s="3" t="s">
        <v>2</v>
      </c>
      <c r="J103" s="39" t="s">
        <v>1677</v>
      </c>
      <c r="K103" s="30">
        <v>31412</v>
      </c>
      <c r="L103" s="26">
        <v>1984</v>
      </c>
      <c r="M103" s="26">
        <f t="shared" si="3"/>
        <v>35</v>
      </c>
      <c r="N103" s="3" t="s">
        <v>3</v>
      </c>
      <c r="O103" s="3" t="s">
        <v>821</v>
      </c>
      <c r="P103" s="39" t="s">
        <v>831</v>
      </c>
      <c r="Q103" s="3"/>
      <c r="R103" s="39" t="s">
        <v>827</v>
      </c>
    </row>
    <row r="104" spans="2:18" ht="38.25" x14ac:dyDescent="0.2">
      <c r="B104" s="147"/>
      <c r="C104" s="140"/>
      <c r="D104" s="3">
        <v>97</v>
      </c>
      <c r="E104" s="39" t="s">
        <v>1673</v>
      </c>
      <c r="F104" s="3" t="s">
        <v>11</v>
      </c>
      <c r="G104" s="3" t="s">
        <v>1675</v>
      </c>
      <c r="H104" s="3" t="s">
        <v>1</v>
      </c>
      <c r="I104" s="3" t="s">
        <v>10</v>
      </c>
      <c r="J104" s="39" t="s">
        <v>1382</v>
      </c>
      <c r="K104" s="30">
        <v>38649</v>
      </c>
      <c r="L104" s="26">
        <v>2005</v>
      </c>
      <c r="M104" s="26">
        <f t="shared" si="3"/>
        <v>14</v>
      </c>
      <c r="N104" s="3" t="s">
        <v>3</v>
      </c>
      <c r="O104" s="3" t="s">
        <v>821</v>
      </c>
      <c r="P104" s="39" t="s">
        <v>1357</v>
      </c>
      <c r="Q104" s="3"/>
      <c r="R104" s="39" t="s">
        <v>825</v>
      </c>
    </row>
    <row r="105" spans="2:18" ht="38.25" x14ac:dyDescent="0.2">
      <c r="B105" s="148"/>
      <c r="C105" s="141"/>
      <c r="D105" s="3">
        <v>98</v>
      </c>
      <c r="E105" s="39" t="s">
        <v>1674</v>
      </c>
      <c r="F105" s="3" t="s">
        <v>11</v>
      </c>
      <c r="G105" s="3" t="s">
        <v>1676</v>
      </c>
      <c r="H105" s="3" t="s">
        <v>1</v>
      </c>
      <c r="I105" s="3" t="s">
        <v>10</v>
      </c>
      <c r="J105" s="39" t="s">
        <v>1382</v>
      </c>
      <c r="K105" s="30">
        <v>40660</v>
      </c>
      <c r="L105" s="26">
        <v>2011</v>
      </c>
      <c r="M105" s="26">
        <f t="shared" si="3"/>
        <v>8</v>
      </c>
      <c r="N105" s="3" t="s">
        <v>3</v>
      </c>
      <c r="O105" s="3" t="s">
        <v>821</v>
      </c>
      <c r="P105" s="39" t="s">
        <v>1357</v>
      </c>
      <c r="Q105" s="3"/>
      <c r="R105" s="39" t="s">
        <v>825</v>
      </c>
    </row>
    <row r="106" spans="2:18" ht="25.5" x14ac:dyDescent="0.2">
      <c r="B106" s="142">
        <v>26</v>
      </c>
      <c r="C106" s="142" t="s">
        <v>1405</v>
      </c>
      <c r="D106" s="3">
        <v>99</v>
      </c>
      <c r="E106" s="39" t="s">
        <v>699</v>
      </c>
      <c r="F106" s="3" t="s">
        <v>5</v>
      </c>
      <c r="G106" s="3" t="s">
        <v>700</v>
      </c>
      <c r="H106" s="3" t="s">
        <v>1</v>
      </c>
      <c r="I106" s="3" t="s">
        <v>2</v>
      </c>
      <c r="J106" s="39" t="s">
        <v>820</v>
      </c>
      <c r="K106" s="30">
        <v>29403</v>
      </c>
      <c r="L106" s="26">
        <v>1980</v>
      </c>
      <c r="M106" s="26">
        <f t="shared" si="3"/>
        <v>39</v>
      </c>
      <c r="N106" s="3" t="s">
        <v>3</v>
      </c>
      <c r="O106" s="3" t="s">
        <v>821</v>
      </c>
      <c r="P106" s="39" t="s">
        <v>823</v>
      </c>
      <c r="Q106" s="3"/>
      <c r="R106" s="39" t="s">
        <v>54</v>
      </c>
    </row>
    <row r="107" spans="2:18" ht="25.5" x14ac:dyDescent="0.2">
      <c r="B107" s="142"/>
      <c r="C107" s="142"/>
      <c r="D107" s="3">
        <v>100</v>
      </c>
      <c r="E107" s="39" t="s">
        <v>330</v>
      </c>
      <c r="F107" s="3" t="s">
        <v>9</v>
      </c>
      <c r="G107" s="3" t="s">
        <v>1406</v>
      </c>
      <c r="H107" s="3" t="s">
        <v>7</v>
      </c>
      <c r="I107" s="3" t="s">
        <v>2</v>
      </c>
      <c r="J107" s="39" t="s">
        <v>1408</v>
      </c>
      <c r="K107" s="30">
        <v>31959</v>
      </c>
      <c r="L107" s="26">
        <v>1987</v>
      </c>
      <c r="M107" s="26">
        <f t="shared" si="3"/>
        <v>32</v>
      </c>
      <c r="N107" s="3" t="s">
        <v>3</v>
      </c>
      <c r="O107" s="3" t="s">
        <v>821</v>
      </c>
      <c r="P107" s="39" t="s">
        <v>823</v>
      </c>
      <c r="Q107" s="3"/>
      <c r="R107" s="39" t="s">
        <v>827</v>
      </c>
    </row>
    <row r="108" spans="2:18" ht="25.5" x14ac:dyDescent="0.2">
      <c r="B108" s="142"/>
      <c r="C108" s="142"/>
      <c r="D108" s="3">
        <v>101</v>
      </c>
      <c r="E108" s="39" t="s">
        <v>701</v>
      </c>
      <c r="F108" s="3" t="s">
        <v>11</v>
      </c>
      <c r="G108" s="3" t="s">
        <v>1409</v>
      </c>
      <c r="H108" s="3" t="s">
        <v>7</v>
      </c>
      <c r="I108" s="3" t="s">
        <v>10</v>
      </c>
      <c r="J108" s="39" t="s">
        <v>820</v>
      </c>
      <c r="K108" s="30">
        <v>39056</v>
      </c>
      <c r="L108" s="26">
        <v>2006</v>
      </c>
      <c r="M108" s="26">
        <f t="shared" ref="M108" si="6">2019-L108</f>
        <v>13</v>
      </c>
      <c r="N108" s="3" t="s">
        <v>3</v>
      </c>
      <c r="O108" s="3" t="s">
        <v>821</v>
      </c>
      <c r="P108" s="39" t="s">
        <v>822</v>
      </c>
      <c r="Q108" s="3"/>
      <c r="R108" s="39" t="s">
        <v>828</v>
      </c>
    </row>
    <row r="109" spans="2:18" ht="25.5" x14ac:dyDescent="0.2">
      <c r="B109" s="142"/>
      <c r="C109" s="142"/>
      <c r="D109" s="3">
        <v>102</v>
      </c>
      <c r="E109" s="39" t="s">
        <v>1404</v>
      </c>
      <c r="F109" s="3" t="s">
        <v>11</v>
      </c>
      <c r="G109" s="3" t="s">
        <v>1407</v>
      </c>
      <c r="H109" s="3" t="s">
        <v>7</v>
      </c>
      <c r="I109" s="3" t="s">
        <v>10</v>
      </c>
      <c r="J109" s="39" t="s">
        <v>820</v>
      </c>
      <c r="K109" s="30">
        <v>42180</v>
      </c>
      <c r="L109" s="26">
        <v>2015</v>
      </c>
      <c r="M109" s="26">
        <f t="shared" si="3"/>
        <v>4</v>
      </c>
      <c r="N109" s="3" t="s">
        <v>3</v>
      </c>
      <c r="O109" s="3" t="s">
        <v>821</v>
      </c>
      <c r="P109" s="39" t="s">
        <v>1357</v>
      </c>
      <c r="Q109" s="3"/>
      <c r="R109" s="39" t="s">
        <v>825</v>
      </c>
    </row>
    <row r="110" spans="2:18" ht="25.5" x14ac:dyDescent="0.2">
      <c r="B110" s="142">
        <v>27</v>
      </c>
      <c r="C110" s="142" t="s">
        <v>1811</v>
      </c>
      <c r="D110" s="3">
        <v>103</v>
      </c>
      <c r="E110" s="39" t="s">
        <v>702</v>
      </c>
      <c r="F110" s="3" t="s">
        <v>5</v>
      </c>
      <c r="G110" s="3" t="s">
        <v>1815</v>
      </c>
      <c r="H110" s="3" t="s">
        <v>1</v>
      </c>
      <c r="I110" s="3" t="s">
        <v>2</v>
      </c>
      <c r="J110" s="39" t="s">
        <v>820</v>
      </c>
      <c r="K110" s="30">
        <v>24654</v>
      </c>
      <c r="L110" s="26">
        <v>1967</v>
      </c>
      <c r="M110" s="26">
        <f t="shared" si="3"/>
        <v>52</v>
      </c>
      <c r="N110" s="3" t="s">
        <v>3</v>
      </c>
      <c r="O110" s="3" t="s">
        <v>821</v>
      </c>
      <c r="P110" s="39" t="s">
        <v>831</v>
      </c>
      <c r="Q110" s="3"/>
      <c r="R110" s="39" t="s">
        <v>826</v>
      </c>
    </row>
    <row r="111" spans="2:18" ht="25.5" x14ac:dyDescent="0.2">
      <c r="B111" s="142"/>
      <c r="C111" s="142"/>
      <c r="D111" s="3">
        <v>104</v>
      </c>
      <c r="E111" s="39" t="s">
        <v>703</v>
      </c>
      <c r="F111" s="3" t="s">
        <v>9</v>
      </c>
      <c r="G111" s="3" t="s">
        <v>1814</v>
      </c>
      <c r="H111" s="3" t="s">
        <v>7</v>
      </c>
      <c r="I111" s="3" t="s">
        <v>2</v>
      </c>
      <c r="J111" s="39" t="s">
        <v>1816</v>
      </c>
      <c r="K111" s="30">
        <v>25385</v>
      </c>
      <c r="L111" s="26">
        <v>1969</v>
      </c>
      <c r="M111" s="26">
        <f t="shared" si="3"/>
        <v>50</v>
      </c>
      <c r="N111" s="3" t="s">
        <v>3</v>
      </c>
      <c r="O111" s="3" t="s">
        <v>821</v>
      </c>
      <c r="P111" s="39" t="s">
        <v>823</v>
      </c>
      <c r="Q111" s="3"/>
      <c r="R111" s="39" t="s">
        <v>827</v>
      </c>
    </row>
    <row r="112" spans="2:18" ht="25.5" x14ac:dyDescent="0.2">
      <c r="B112" s="142"/>
      <c r="C112" s="142"/>
      <c r="D112" s="3">
        <v>105</v>
      </c>
      <c r="E112" s="39" t="s">
        <v>530</v>
      </c>
      <c r="F112" s="3" t="s">
        <v>11</v>
      </c>
      <c r="G112" s="3" t="s">
        <v>1813</v>
      </c>
      <c r="H112" s="3" t="s">
        <v>7</v>
      </c>
      <c r="I112" s="3" t="s">
        <v>10</v>
      </c>
      <c r="J112" s="39" t="s">
        <v>839</v>
      </c>
      <c r="K112" s="30">
        <v>35588</v>
      </c>
      <c r="L112" s="26">
        <v>1997</v>
      </c>
      <c r="M112" s="26">
        <f t="shared" si="3"/>
        <v>22</v>
      </c>
      <c r="N112" s="3" t="s">
        <v>3</v>
      </c>
      <c r="O112" s="3" t="s">
        <v>821</v>
      </c>
      <c r="P112" s="39" t="s">
        <v>860</v>
      </c>
      <c r="Q112" s="3"/>
      <c r="R112" s="39" t="s">
        <v>828</v>
      </c>
    </row>
    <row r="113" spans="2:18" ht="25.5" x14ac:dyDescent="0.2">
      <c r="B113" s="142"/>
      <c r="C113" s="142"/>
      <c r="D113" s="3">
        <v>106</v>
      </c>
      <c r="E113" s="39" t="s">
        <v>1810</v>
      </c>
      <c r="F113" s="3" t="s">
        <v>11</v>
      </c>
      <c r="G113" s="3" t="s">
        <v>1812</v>
      </c>
      <c r="H113" s="3" t="s">
        <v>1</v>
      </c>
      <c r="I113" s="3" t="s">
        <v>10</v>
      </c>
      <c r="J113" s="39" t="s">
        <v>820</v>
      </c>
      <c r="K113" s="30">
        <v>37742</v>
      </c>
      <c r="L113" s="26">
        <v>2003</v>
      </c>
      <c r="M113" s="26">
        <f t="shared" si="3"/>
        <v>16</v>
      </c>
      <c r="N113" s="3" t="s">
        <v>3</v>
      </c>
      <c r="O113" s="3" t="s">
        <v>821</v>
      </c>
      <c r="P113" s="39" t="s">
        <v>822</v>
      </c>
      <c r="Q113" s="3"/>
      <c r="R113" s="39" t="s">
        <v>828</v>
      </c>
    </row>
    <row r="114" spans="2:18" ht="25.5" x14ac:dyDescent="0.2">
      <c r="B114" s="142"/>
      <c r="C114" s="142"/>
      <c r="D114" s="3">
        <v>107</v>
      </c>
      <c r="E114" s="39" t="s">
        <v>705</v>
      </c>
      <c r="F114" s="3" t="s">
        <v>11</v>
      </c>
      <c r="G114" s="3" t="s">
        <v>704</v>
      </c>
      <c r="H114" s="3" t="s">
        <v>7</v>
      </c>
      <c r="I114" s="3" t="s">
        <v>10</v>
      </c>
      <c r="J114" s="39" t="s">
        <v>820</v>
      </c>
      <c r="K114" s="30">
        <v>41101</v>
      </c>
      <c r="L114" s="26">
        <v>2012</v>
      </c>
      <c r="M114" s="26">
        <f t="shared" si="3"/>
        <v>7</v>
      </c>
      <c r="N114" s="3" t="s">
        <v>3</v>
      </c>
      <c r="O114" s="3" t="s">
        <v>821</v>
      </c>
      <c r="P114" s="39" t="s">
        <v>1357</v>
      </c>
      <c r="Q114" s="3"/>
      <c r="R114" s="39" t="s">
        <v>825</v>
      </c>
    </row>
    <row r="115" spans="2:18" ht="25.5" x14ac:dyDescent="0.2">
      <c r="B115" s="142">
        <v>28</v>
      </c>
      <c r="C115" s="142" t="s">
        <v>1419</v>
      </c>
      <c r="D115" s="3">
        <v>108</v>
      </c>
      <c r="E115" s="39" t="s">
        <v>1417</v>
      </c>
      <c r="F115" s="3" t="s">
        <v>5</v>
      </c>
      <c r="G115" s="3" t="s">
        <v>1420</v>
      </c>
      <c r="H115" s="3" t="s">
        <v>1</v>
      </c>
      <c r="I115" s="3" t="s">
        <v>421</v>
      </c>
      <c r="J115" s="39" t="s">
        <v>839</v>
      </c>
      <c r="K115" s="30">
        <v>23924</v>
      </c>
      <c r="L115" s="26">
        <v>1965</v>
      </c>
      <c r="M115" s="26">
        <f t="shared" si="3"/>
        <v>54</v>
      </c>
      <c r="N115" s="3" t="s">
        <v>3</v>
      </c>
      <c r="O115" s="3" t="s">
        <v>821</v>
      </c>
      <c r="P115" s="39" t="s">
        <v>823</v>
      </c>
      <c r="Q115" s="3"/>
      <c r="R115" s="39" t="s">
        <v>54</v>
      </c>
    </row>
    <row r="116" spans="2:18" ht="25.5" x14ac:dyDescent="0.2">
      <c r="B116" s="142"/>
      <c r="C116" s="142"/>
      <c r="D116" s="3">
        <v>109</v>
      </c>
      <c r="E116" s="39" t="s">
        <v>503</v>
      </c>
      <c r="F116" s="3" t="s">
        <v>11</v>
      </c>
      <c r="G116" s="3" t="s">
        <v>1421</v>
      </c>
      <c r="H116" s="3" t="s">
        <v>7</v>
      </c>
      <c r="I116" s="3" t="s">
        <v>2</v>
      </c>
      <c r="J116" s="39" t="s">
        <v>839</v>
      </c>
      <c r="K116" s="30">
        <v>36659</v>
      </c>
      <c r="L116" s="26">
        <v>2000</v>
      </c>
      <c r="M116" s="26">
        <f t="shared" si="3"/>
        <v>19</v>
      </c>
      <c r="N116" s="3" t="s">
        <v>3</v>
      </c>
      <c r="O116" s="3" t="s">
        <v>821</v>
      </c>
      <c r="P116" s="39" t="s">
        <v>860</v>
      </c>
      <c r="Q116" s="3"/>
      <c r="R116" s="39" t="s">
        <v>828</v>
      </c>
    </row>
    <row r="117" spans="2:18" ht="25.5" x14ac:dyDescent="0.2">
      <c r="B117" s="142"/>
      <c r="C117" s="142"/>
      <c r="D117" s="3">
        <v>110</v>
      </c>
      <c r="E117" s="39" t="s">
        <v>1418</v>
      </c>
      <c r="F117" s="3" t="s">
        <v>11</v>
      </c>
      <c r="G117" s="3" t="s">
        <v>1422</v>
      </c>
      <c r="H117" s="3" t="s">
        <v>1</v>
      </c>
      <c r="I117" s="3" t="s">
        <v>2</v>
      </c>
      <c r="J117" s="39" t="s">
        <v>839</v>
      </c>
      <c r="K117" s="30">
        <v>38961</v>
      </c>
      <c r="L117" s="26">
        <v>2006</v>
      </c>
      <c r="M117" s="26">
        <f t="shared" si="3"/>
        <v>13</v>
      </c>
      <c r="N117" s="3" t="s">
        <v>3</v>
      </c>
      <c r="O117" s="3" t="s">
        <v>821</v>
      </c>
      <c r="P117" s="39" t="s">
        <v>822</v>
      </c>
      <c r="Q117" s="3"/>
      <c r="R117" s="39" t="s">
        <v>828</v>
      </c>
    </row>
    <row r="118" spans="2:18" ht="25.5" x14ac:dyDescent="0.2">
      <c r="B118" s="142">
        <v>29</v>
      </c>
      <c r="C118" s="142" t="s">
        <v>1410</v>
      </c>
      <c r="D118" s="3">
        <v>111</v>
      </c>
      <c r="E118" s="39" t="s">
        <v>412</v>
      </c>
      <c r="F118" s="3" t="s">
        <v>5</v>
      </c>
      <c r="G118" s="3" t="s">
        <v>1415</v>
      </c>
      <c r="H118" s="3" t="s">
        <v>1</v>
      </c>
      <c r="I118" s="3" t="s">
        <v>2</v>
      </c>
      <c r="J118" s="39" t="s">
        <v>839</v>
      </c>
      <c r="K118" s="30">
        <v>29403</v>
      </c>
      <c r="L118" s="26">
        <v>1980</v>
      </c>
      <c r="M118" s="26">
        <f t="shared" si="3"/>
        <v>39</v>
      </c>
      <c r="N118" s="3" t="s">
        <v>3</v>
      </c>
      <c r="O118" s="3" t="s">
        <v>821</v>
      </c>
      <c r="P118" s="39" t="s">
        <v>831</v>
      </c>
      <c r="Q118" s="3"/>
      <c r="R118" s="39" t="s">
        <v>868</v>
      </c>
    </row>
    <row r="119" spans="2:18" ht="25.5" x14ac:dyDescent="0.2">
      <c r="B119" s="142"/>
      <c r="C119" s="142"/>
      <c r="D119" s="3">
        <v>112</v>
      </c>
      <c r="E119" s="39" t="s">
        <v>177</v>
      </c>
      <c r="F119" s="3" t="s">
        <v>9</v>
      </c>
      <c r="G119" s="3" t="s">
        <v>1414</v>
      </c>
      <c r="H119" s="3" t="s">
        <v>7</v>
      </c>
      <c r="I119" s="3" t="s">
        <v>2</v>
      </c>
      <c r="J119" s="39" t="s">
        <v>1416</v>
      </c>
      <c r="K119" s="30">
        <v>32179</v>
      </c>
      <c r="L119" s="26">
        <v>1988</v>
      </c>
      <c r="M119" s="26">
        <f t="shared" si="3"/>
        <v>31</v>
      </c>
      <c r="N119" s="3" t="s">
        <v>3</v>
      </c>
      <c r="O119" s="3" t="s">
        <v>821</v>
      </c>
      <c r="P119" s="39" t="s">
        <v>831</v>
      </c>
      <c r="Q119" s="3"/>
      <c r="R119" s="39" t="s">
        <v>827</v>
      </c>
    </row>
    <row r="120" spans="2:18" ht="25.5" x14ac:dyDescent="0.2">
      <c r="B120" s="142"/>
      <c r="C120" s="142"/>
      <c r="D120" s="3">
        <v>113</v>
      </c>
      <c r="E120" s="39" t="s">
        <v>1411</v>
      </c>
      <c r="F120" s="3" t="s">
        <v>11</v>
      </c>
      <c r="G120" s="3" t="s">
        <v>1413</v>
      </c>
      <c r="H120" s="3" t="s">
        <v>7</v>
      </c>
      <c r="I120" s="3" t="s">
        <v>10</v>
      </c>
      <c r="J120" s="39" t="s">
        <v>820</v>
      </c>
      <c r="K120" s="30">
        <v>39670</v>
      </c>
      <c r="L120" s="26">
        <v>2008</v>
      </c>
      <c r="M120" s="26">
        <f t="shared" si="3"/>
        <v>11</v>
      </c>
      <c r="N120" s="3" t="s">
        <v>3</v>
      </c>
      <c r="O120" s="3" t="s">
        <v>821</v>
      </c>
      <c r="P120" s="39" t="s">
        <v>1357</v>
      </c>
      <c r="Q120" s="3"/>
      <c r="R120" s="39" t="s">
        <v>825</v>
      </c>
    </row>
    <row r="121" spans="2:18" ht="25.5" x14ac:dyDescent="0.2">
      <c r="B121" s="142"/>
      <c r="C121" s="142"/>
      <c r="D121" s="3">
        <v>114</v>
      </c>
      <c r="E121" s="39" t="s">
        <v>706</v>
      </c>
      <c r="F121" s="3" t="s">
        <v>11</v>
      </c>
      <c r="G121" s="3" t="s">
        <v>1412</v>
      </c>
      <c r="H121" s="3" t="s">
        <v>1</v>
      </c>
      <c r="I121" s="3" t="s">
        <v>10</v>
      </c>
      <c r="J121" s="39" t="s">
        <v>820</v>
      </c>
      <c r="K121" s="30">
        <v>41557</v>
      </c>
      <c r="L121" s="26">
        <v>2013</v>
      </c>
      <c r="M121" s="26">
        <f t="shared" si="3"/>
        <v>6</v>
      </c>
      <c r="N121" s="3" t="s">
        <v>3</v>
      </c>
      <c r="O121" s="3" t="s">
        <v>821</v>
      </c>
      <c r="P121" s="39" t="s">
        <v>1357</v>
      </c>
      <c r="Q121" s="3"/>
      <c r="R121" s="39" t="s">
        <v>825</v>
      </c>
    </row>
    <row r="122" spans="2:18" x14ac:dyDescent="0.2">
      <c r="B122" s="142">
        <v>30</v>
      </c>
      <c r="C122" s="142"/>
      <c r="D122" s="3">
        <v>115</v>
      </c>
      <c r="E122" s="39" t="s">
        <v>707</v>
      </c>
      <c r="F122" s="3" t="s">
        <v>5</v>
      </c>
      <c r="G122" s="3"/>
      <c r="H122" s="3" t="s">
        <v>7</v>
      </c>
      <c r="I122" s="3" t="s">
        <v>39</v>
      </c>
      <c r="J122" s="39"/>
      <c r="K122" s="30">
        <v>16483</v>
      </c>
      <c r="L122" s="26">
        <v>1945</v>
      </c>
      <c r="M122" s="26">
        <f t="shared" si="3"/>
        <v>74</v>
      </c>
      <c r="N122" s="3" t="s">
        <v>3</v>
      </c>
      <c r="O122" s="3"/>
      <c r="P122" s="39"/>
      <c r="Q122" s="3"/>
      <c r="R122" s="39"/>
    </row>
    <row r="123" spans="2:18" x14ac:dyDescent="0.2">
      <c r="B123" s="142"/>
      <c r="C123" s="142"/>
      <c r="D123" s="3">
        <v>116</v>
      </c>
      <c r="E123" s="39" t="s">
        <v>708</v>
      </c>
      <c r="F123" s="3" t="s">
        <v>83</v>
      </c>
      <c r="G123" s="3"/>
      <c r="H123" s="3" t="s">
        <v>7</v>
      </c>
      <c r="I123" s="3" t="s">
        <v>10</v>
      </c>
      <c r="J123" s="39"/>
      <c r="K123" s="30">
        <v>37290</v>
      </c>
      <c r="L123" s="26">
        <v>2002</v>
      </c>
      <c r="M123" s="26">
        <f t="shared" si="3"/>
        <v>17</v>
      </c>
      <c r="N123" s="3" t="s">
        <v>3</v>
      </c>
      <c r="O123" s="3"/>
      <c r="P123" s="39"/>
      <c r="Q123" s="3"/>
      <c r="R123" s="39"/>
    </row>
    <row r="124" spans="2:18" ht="25.5" x14ac:dyDescent="0.2">
      <c r="B124" s="142">
        <v>31</v>
      </c>
      <c r="C124" s="142" t="s">
        <v>1383</v>
      </c>
      <c r="D124" s="3">
        <v>117</v>
      </c>
      <c r="E124" s="39" t="s">
        <v>709</v>
      </c>
      <c r="F124" s="3" t="s">
        <v>5</v>
      </c>
      <c r="G124" s="3" t="s">
        <v>1387</v>
      </c>
      <c r="H124" s="3" t="s">
        <v>1</v>
      </c>
      <c r="I124" s="3" t="s">
        <v>883</v>
      </c>
      <c r="J124" s="39" t="s">
        <v>820</v>
      </c>
      <c r="K124" s="30">
        <v>25933</v>
      </c>
      <c r="L124" s="26">
        <v>1970</v>
      </c>
      <c r="M124" s="26">
        <f t="shared" si="3"/>
        <v>49</v>
      </c>
      <c r="N124" s="3" t="s">
        <v>3</v>
      </c>
      <c r="O124" s="3" t="s">
        <v>821</v>
      </c>
      <c r="P124" s="39" t="s">
        <v>823</v>
      </c>
      <c r="Q124" s="3"/>
      <c r="R124" s="39" t="s">
        <v>877</v>
      </c>
    </row>
    <row r="125" spans="2:18" ht="25.5" x14ac:dyDescent="0.2">
      <c r="B125" s="142"/>
      <c r="C125" s="142"/>
      <c r="D125" s="3">
        <v>118</v>
      </c>
      <c r="E125" s="39" t="s">
        <v>710</v>
      </c>
      <c r="F125" s="3" t="s">
        <v>11</v>
      </c>
      <c r="G125" s="3" t="s">
        <v>1386</v>
      </c>
      <c r="H125" s="3" t="s">
        <v>1</v>
      </c>
      <c r="I125" s="3" t="s">
        <v>10</v>
      </c>
      <c r="J125" s="39" t="s">
        <v>905</v>
      </c>
      <c r="K125" s="30">
        <v>36526</v>
      </c>
      <c r="L125" s="26">
        <v>2000</v>
      </c>
      <c r="M125" s="26">
        <f t="shared" si="3"/>
        <v>19</v>
      </c>
      <c r="N125" s="3" t="s">
        <v>3</v>
      </c>
      <c r="O125" s="3" t="s">
        <v>821</v>
      </c>
      <c r="P125" s="39" t="s">
        <v>860</v>
      </c>
      <c r="Q125" s="3"/>
      <c r="R125" s="39" t="s">
        <v>828</v>
      </c>
    </row>
    <row r="126" spans="2:18" ht="25.5" x14ac:dyDescent="0.2">
      <c r="B126" s="142"/>
      <c r="C126" s="142"/>
      <c r="D126" s="3">
        <v>119</v>
      </c>
      <c r="E126" s="39" t="s">
        <v>1384</v>
      </c>
      <c r="F126" s="3" t="s">
        <v>1084</v>
      </c>
      <c r="G126" s="3" t="s">
        <v>1385</v>
      </c>
      <c r="H126" s="3" t="s">
        <v>1</v>
      </c>
      <c r="I126" s="3" t="s">
        <v>883</v>
      </c>
      <c r="J126" s="39" t="s">
        <v>830</v>
      </c>
      <c r="K126" s="30">
        <v>14976</v>
      </c>
      <c r="L126" s="26">
        <v>1940</v>
      </c>
      <c r="M126" s="26">
        <f t="shared" si="3"/>
        <v>79</v>
      </c>
      <c r="N126" s="3" t="s">
        <v>3</v>
      </c>
      <c r="O126" s="3" t="s">
        <v>821</v>
      </c>
      <c r="P126" s="39" t="s">
        <v>1357</v>
      </c>
      <c r="Q126" s="3"/>
      <c r="R126" s="39" t="s">
        <v>825</v>
      </c>
    </row>
    <row r="127" spans="2:18" x14ac:dyDescent="0.2">
      <c r="B127" s="3">
        <v>32</v>
      </c>
      <c r="C127" s="3"/>
      <c r="D127" s="3">
        <v>120</v>
      </c>
      <c r="E127" s="39" t="s">
        <v>711</v>
      </c>
      <c r="F127" s="3" t="s">
        <v>5</v>
      </c>
      <c r="G127" s="3"/>
      <c r="H127" s="3" t="s">
        <v>7</v>
      </c>
      <c r="I127" s="3" t="s">
        <v>10</v>
      </c>
      <c r="J127" s="39"/>
      <c r="K127" s="30">
        <v>16558</v>
      </c>
      <c r="L127" s="26">
        <v>1945</v>
      </c>
      <c r="M127" s="26">
        <f t="shared" si="3"/>
        <v>74</v>
      </c>
      <c r="N127" s="3" t="s">
        <v>3</v>
      </c>
      <c r="O127" s="3"/>
      <c r="P127" s="39"/>
      <c r="Q127" s="3"/>
      <c r="R127" s="39"/>
    </row>
    <row r="128" spans="2:18" ht="25.5" x14ac:dyDescent="0.2">
      <c r="B128" s="142">
        <v>33</v>
      </c>
      <c r="C128" s="142" t="s">
        <v>1808</v>
      </c>
      <c r="D128" s="3">
        <v>121</v>
      </c>
      <c r="E128" s="39" t="s">
        <v>712</v>
      </c>
      <c r="F128" s="3" t="s">
        <v>5</v>
      </c>
      <c r="G128" s="3" t="s">
        <v>713</v>
      </c>
      <c r="H128" s="3" t="s">
        <v>1</v>
      </c>
      <c r="I128" s="3" t="s">
        <v>2</v>
      </c>
      <c r="J128" s="39" t="s">
        <v>820</v>
      </c>
      <c r="K128" s="30">
        <v>27576</v>
      </c>
      <c r="L128" s="26">
        <v>1975</v>
      </c>
      <c r="M128" s="26">
        <f t="shared" si="3"/>
        <v>44</v>
      </c>
      <c r="N128" s="3" t="s">
        <v>3</v>
      </c>
      <c r="O128" s="3" t="s">
        <v>821</v>
      </c>
      <c r="P128" s="39" t="s">
        <v>860</v>
      </c>
      <c r="Q128" s="3"/>
      <c r="R128" s="39" t="s">
        <v>840</v>
      </c>
    </row>
    <row r="129" spans="2:18" ht="25.5" x14ac:dyDescent="0.2">
      <c r="B129" s="142"/>
      <c r="C129" s="142"/>
      <c r="D129" s="3">
        <v>122</v>
      </c>
      <c r="E129" s="39" t="s">
        <v>714</v>
      </c>
      <c r="F129" s="3" t="s">
        <v>9</v>
      </c>
      <c r="G129" s="3" t="s">
        <v>715</v>
      </c>
      <c r="H129" s="3" t="s">
        <v>7</v>
      </c>
      <c r="I129" s="3" t="s">
        <v>2</v>
      </c>
      <c r="J129" s="39" t="s">
        <v>820</v>
      </c>
      <c r="K129" s="30">
        <v>29037</v>
      </c>
      <c r="L129" s="26">
        <v>1979</v>
      </c>
      <c r="M129" s="26">
        <f t="shared" si="3"/>
        <v>40</v>
      </c>
      <c r="N129" s="3" t="s">
        <v>3</v>
      </c>
      <c r="O129" s="3" t="s">
        <v>821</v>
      </c>
      <c r="P129" s="39" t="s">
        <v>823</v>
      </c>
      <c r="Q129" s="3"/>
      <c r="R129" s="39" t="s">
        <v>840</v>
      </c>
    </row>
    <row r="130" spans="2:18" ht="25.5" x14ac:dyDescent="0.2">
      <c r="B130" s="142"/>
      <c r="C130" s="142"/>
      <c r="D130" s="3">
        <v>123</v>
      </c>
      <c r="E130" s="39" t="s">
        <v>716</v>
      </c>
      <c r="F130" s="3" t="s">
        <v>11</v>
      </c>
      <c r="G130" s="3" t="s">
        <v>717</v>
      </c>
      <c r="H130" s="3" t="s">
        <v>7</v>
      </c>
      <c r="I130" s="3" t="s">
        <v>10</v>
      </c>
      <c r="J130" s="39" t="s">
        <v>820</v>
      </c>
      <c r="K130" s="30">
        <v>37077</v>
      </c>
      <c r="L130" s="26">
        <v>2001</v>
      </c>
      <c r="M130" s="26">
        <f t="shared" si="3"/>
        <v>18</v>
      </c>
      <c r="N130" s="3" t="s">
        <v>3</v>
      </c>
      <c r="O130" s="3" t="s">
        <v>821</v>
      </c>
      <c r="P130" s="39" t="s">
        <v>822</v>
      </c>
      <c r="Q130" s="3"/>
      <c r="R130" s="39" t="s">
        <v>828</v>
      </c>
    </row>
    <row r="131" spans="2:18" ht="38.25" x14ac:dyDescent="0.2">
      <c r="B131" s="142"/>
      <c r="C131" s="142"/>
      <c r="D131" s="3">
        <v>124</v>
      </c>
      <c r="E131" s="39" t="s">
        <v>1809</v>
      </c>
      <c r="F131" s="3" t="s">
        <v>11</v>
      </c>
      <c r="G131" s="3" t="s">
        <v>718</v>
      </c>
      <c r="H131" s="3" t="s">
        <v>1</v>
      </c>
      <c r="I131" s="3" t="s">
        <v>10</v>
      </c>
      <c r="J131" s="39" t="s">
        <v>820</v>
      </c>
      <c r="K131" s="30">
        <v>39652</v>
      </c>
      <c r="L131" s="26">
        <v>2008</v>
      </c>
      <c r="M131" s="26">
        <f t="shared" si="3"/>
        <v>11</v>
      </c>
      <c r="N131" s="3" t="s">
        <v>3</v>
      </c>
      <c r="O131" s="3" t="s">
        <v>821</v>
      </c>
      <c r="P131" s="39" t="s">
        <v>1357</v>
      </c>
      <c r="Q131" s="3"/>
      <c r="R131" s="39" t="s">
        <v>825</v>
      </c>
    </row>
    <row r="132" spans="2:18" ht="25.5" x14ac:dyDescent="0.2">
      <c r="B132" s="142"/>
      <c r="C132" s="142"/>
      <c r="D132" s="3">
        <v>125</v>
      </c>
      <c r="E132" s="39" t="s">
        <v>719</v>
      </c>
      <c r="F132" s="3" t="s">
        <v>11</v>
      </c>
      <c r="G132" s="3" t="s">
        <v>720</v>
      </c>
      <c r="H132" s="3" t="s">
        <v>1</v>
      </c>
      <c r="I132" s="3" t="s">
        <v>10</v>
      </c>
      <c r="J132" s="39" t="s">
        <v>820</v>
      </c>
      <c r="K132" s="30">
        <v>41946</v>
      </c>
      <c r="L132" s="26">
        <v>2014</v>
      </c>
      <c r="M132" s="26">
        <f t="shared" si="3"/>
        <v>5</v>
      </c>
      <c r="N132" s="3" t="s">
        <v>3</v>
      </c>
      <c r="O132" s="3" t="s">
        <v>821</v>
      </c>
      <c r="P132" s="39" t="s">
        <v>1357</v>
      </c>
      <c r="Q132" s="3"/>
      <c r="R132" s="39" t="s">
        <v>825</v>
      </c>
    </row>
    <row r="133" spans="2:18" x14ac:dyDescent="0.2">
      <c r="B133" s="142">
        <v>34</v>
      </c>
      <c r="C133" s="142" t="s">
        <v>1375</v>
      </c>
      <c r="D133" s="3">
        <v>126</v>
      </c>
      <c r="E133" s="39" t="s">
        <v>552</v>
      </c>
      <c r="F133" s="3" t="s">
        <v>5</v>
      </c>
      <c r="G133" s="3" t="s">
        <v>721</v>
      </c>
      <c r="H133" s="3" t="s">
        <v>1</v>
      </c>
      <c r="I133" s="3" t="s">
        <v>2</v>
      </c>
      <c r="J133" s="39" t="s">
        <v>820</v>
      </c>
      <c r="K133" s="30">
        <v>32398</v>
      </c>
      <c r="L133" s="26">
        <v>1988</v>
      </c>
      <c r="M133" s="26">
        <f t="shared" si="3"/>
        <v>31</v>
      </c>
      <c r="N133" s="3" t="s">
        <v>3</v>
      </c>
      <c r="O133" s="3" t="s">
        <v>821</v>
      </c>
      <c r="P133" s="39" t="s">
        <v>860</v>
      </c>
      <c r="Q133" s="3"/>
      <c r="R133" s="39" t="s">
        <v>54</v>
      </c>
    </row>
    <row r="134" spans="2:18" x14ac:dyDescent="0.2">
      <c r="B134" s="142"/>
      <c r="C134" s="142"/>
      <c r="D134" s="3">
        <v>127</v>
      </c>
      <c r="E134" s="39" t="s">
        <v>722</v>
      </c>
      <c r="F134" s="3" t="s">
        <v>9</v>
      </c>
      <c r="G134" s="3" t="s">
        <v>723</v>
      </c>
      <c r="H134" s="3" t="s">
        <v>7</v>
      </c>
      <c r="I134" s="3" t="s">
        <v>2</v>
      </c>
      <c r="J134" s="39" t="s">
        <v>1376</v>
      </c>
      <c r="K134" s="30">
        <v>32743</v>
      </c>
      <c r="L134" s="26">
        <v>1989</v>
      </c>
      <c r="M134" s="26">
        <f t="shared" si="3"/>
        <v>30</v>
      </c>
      <c r="N134" s="3" t="s">
        <v>3</v>
      </c>
      <c r="O134" s="3" t="s">
        <v>821</v>
      </c>
      <c r="P134" s="39" t="s">
        <v>860</v>
      </c>
      <c r="Q134" s="3"/>
      <c r="R134" s="39" t="s">
        <v>1377</v>
      </c>
    </row>
    <row r="135" spans="2:18" ht="25.5" x14ac:dyDescent="0.2">
      <c r="B135" s="142"/>
      <c r="C135" s="142"/>
      <c r="D135" s="3">
        <v>128</v>
      </c>
      <c r="E135" s="39" t="s">
        <v>724</v>
      </c>
      <c r="F135" s="3" t="s">
        <v>11</v>
      </c>
      <c r="G135" s="3" t="s">
        <v>725</v>
      </c>
      <c r="H135" s="3" t="s">
        <v>7</v>
      </c>
      <c r="I135" s="3" t="s">
        <v>10</v>
      </c>
      <c r="J135" s="39" t="s">
        <v>820</v>
      </c>
      <c r="K135" s="30">
        <v>40808</v>
      </c>
      <c r="L135" s="26">
        <v>2011</v>
      </c>
      <c r="M135" s="26">
        <f t="shared" si="3"/>
        <v>8</v>
      </c>
      <c r="N135" s="3" t="s">
        <v>3</v>
      </c>
      <c r="O135" s="3" t="s">
        <v>821</v>
      </c>
      <c r="P135" s="39" t="s">
        <v>1357</v>
      </c>
      <c r="Q135" s="3"/>
      <c r="R135" s="39" t="s">
        <v>825</v>
      </c>
    </row>
    <row r="136" spans="2:18" x14ac:dyDescent="0.2">
      <c r="B136" s="142">
        <v>35</v>
      </c>
      <c r="C136" s="142"/>
      <c r="D136" s="3">
        <v>129</v>
      </c>
      <c r="E136" s="39" t="s">
        <v>726</v>
      </c>
      <c r="F136" s="3" t="s">
        <v>5</v>
      </c>
      <c r="G136" s="3"/>
      <c r="H136" s="3" t="s">
        <v>7</v>
      </c>
      <c r="I136" s="3" t="s">
        <v>10</v>
      </c>
      <c r="J136" s="39"/>
      <c r="K136" s="30">
        <v>29348</v>
      </c>
      <c r="L136" s="26">
        <v>1980</v>
      </c>
      <c r="M136" s="26">
        <f t="shared" si="3"/>
        <v>39</v>
      </c>
      <c r="N136" s="3" t="s">
        <v>3</v>
      </c>
      <c r="O136" s="3"/>
      <c r="P136" s="39"/>
      <c r="Q136" s="3"/>
      <c r="R136" s="39"/>
    </row>
    <row r="137" spans="2:18" x14ac:dyDescent="0.2">
      <c r="B137" s="142"/>
      <c r="C137" s="142"/>
      <c r="D137" s="3">
        <v>130</v>
      </c>
      <c r="E137" s="39" t="s">
        <v>727</v>
      </c>
      <c r="F137" s="3" t="s">
        <v>83</v>
      </c>
      <c r="G137" s="3"/>
      <c r="H137" s="3" t="s">
        <v>148</v>
      </c>
      <c r="I137" s="3" t="s">
        <v>39</v>
      </c>
      <c r="J137" s="39"/>
      <c r="K137" s="30">
        <v>31047</v>
      </c>
      <c r="L137" s="26">
        <v>1984</v>
      </c>
      <c r="M137" s="26">
        <f t="shared" si="3"/>
        <v>35</v>
      </c>
      <c r="N137" s="3" t="s">
        <v>3</v>
      </c>
      <c r="O137" s="3"/>
      <c r="P137" s="39"/>
      <c r="Q137" s="3"/>
      <c r="R137" s="39"/>
    </row>
    <row r="138" spans="2:18" ht="25.5" x14ac:dyDescent="0.2">
      <c r="B138" s="142"/>
      <c r="C138" s="142"/>
      <c r="D138" s="3">
        <v>131</v>
      </c>
      <c r="E138" s="39" t="s">
        <v>728</v>
      </c>
      <c r="F138" s="3" t="s">
        <v>83</v>
      </c>
      <c r="G138" s="3"/>
      <c r="H138" s="3" t="s">
        <v>7</v>
      </c>
      <c r="I138" s="3" t="s">
        <v>10</v>
      </c>
      <c r="J138" s="39"/>
      <c r="K138" s="30">
        <v>40775</v>
      </c>
      <c r="L138" s="26">
        <v>2011</v>
      </c>
      <c r="M138" s="26">
        <f t="shared" si="3"/>
        <v>8</v>
      </c>
      <c r="N138" s="3" t="s">
        <v>3</v>
      </c>
      <c r="O138" s="3"/>
      <c r="P138" s="39"/>
      <c r="Q138" s="3"/>
      <c r="R138" s="39"/>
    </row>
    <row r="139" spans="2:18" ht="25.5" x14ac:dyDescent="0.2">
      <c r="B139" s="3">
        <v>36</v>
      </c>
      <c r="C139" s="3" t="s">
        <v>1652</v>
      </c>
      <c r="D139" s="3">
        <v>132</v>
      </c>
      <c r="E139" s="39" t="s">
        <v>38</v>
      </c>
      <c r="F139" s="3" t="s">
        <v>5</v>
      </c>
      <c r="G139" s="3" t="s">
        <v>1653</v>
      </c>
      <c r="H139" s="3" t="s">
        <v>7</v>
      </c>
      <c r="I139" s="3" t="s">
        <v>883</v>
      </c>
      <c r="J139" s="39" t="s">
        <v>820</v>
      </c>
      <c r="K139" s="30">
        <v>17898</v>
      </c>
      <c r="L139" s="26">
        <v>1948</v>
      </c>
      <c r="M139" s="26">
        <f t="shared" ref="M139:M160" si="7">2019-L139</f>
        <v>71</v>
      </c>
      <c r="N139" s="3" t="s">
        <v>3</v>
      </c>
      <c r="O139" s="3" t="s">
        <v>821</v>
      </c>
      <c r="P139" s="39" t="s">
        <v>1357</v>
      </c>
      <c r="Q139" s="3"/>
      <c r="R139" s="39" t="s">
        <v>840</v>
      </c>
    </row>
    <row r="140" spans="2:18" ht="25.5" x14ac:dyDescent="0.2">
      <c r="B140" s="3">
        <v>37</v>
      </c>
      <c r="C140" s="3" t="s">
        <v>1445</v>
      </c>
      <c r="D140" s="3">
        <v>133</v>
      </c>
      <c r="E140" s="39" t="s">
        <v>51</v>
      </c>
      <c r="F140" s="3" t="s">
        <v>5</v>
      </c>
      <c r="G140" s="3" t="s">
        <v>1446</v>
      </c>
      <c r="H140" s="3" t="s">
        <v>7</v>
      </c>
      <c r="I140" s="3" t="s">
        <v>883</v>
      </c>
      <c r="J140" s="39" t="s">
        <v>820</v>
      </c>
      <c r="K140" s="30">
        <v>17513</v>
      </c>
      <c r="L140" s="26">
        <v>1947</v>
      </c>
      <c r="M140" s="26">
        <f t="shared" si="7"/>
        <v>72</v>
      </c>
      <c r="N140" s="3" t="s">
        <v>3</v>
      </c>
      <c r="O140" s="3" t="s">
        <v>821</v>
      </c>
      <c r="P140" s="39" t="s">
        <v>822</v>
      </c>
      <c r="Q140" s="3"/>
      <c r="R140" s="39" t="s">
        <v>840</v>
      </c>
    </row>
    <row r="141" spans="2:18" x14ac:dyDescent="0.2">
      <c r="B141" s="142">
        <v>38</v>
      </c>
      <c r="C141" s="142"/>
      <c r="D141" s="3">
        <v>134</v>
      </c>
      <c r="E141" s="39" t="s">
        <v>731</v>
      </c>
      <c r="F141" s="3" t="s">
        <v>5</v>
      </c>
      <c r="G141" s="3" t="s">
        <v>732</v>
      </c>
      <c r="H141" s="3" t="s">
        <v>1</v>
      </c>
      <c r="I141" s="3" t="s">
        <v>421</v>
      </c>
      <c r="J141" s="39"/>
      <c r="K141" s="30">
        <v>14793</v>
      </c>
      <c r="L141" s="26">
        <v>1940</v>
      </c>
      <c r="M141" s="26">
        <f t="shared" si="7"/>
        <v>79</v>
      </c>
      <c r="N141" s="3" t="s">
        <v>3</v>
      </c>
      <c r="O141" s="3"/>
      <c r="P141" s="39"/>
      <c r="Q141" s="3"/>
      <c r="R141" s="39"/>
    </row>
    <row r="142" spans="2:18" x14ac:dyDescent="0.2">
      <c r="B142" s="142"/>
      <c r="C142" s="142"/>
      <c r="D142" s="3">
        <v>135</v>
      </c>
      <c r="E142" s="39" t="s">
        <v>733</v>
      </c>
      <c r="F142" s="3" t="s">
        <v>11</v>
      </c>
      <c r="G142" s="3" t="s">
        <v>734</v>
      </c>
      <c r="H142" s="3" t="s">
        <v>7</v>
      </c>
      <c r="I142" s="3" t="s">
        <v>39</v>
      </c>
      <c r="J142" s="39"/>
      <c r="K142" s="30">
        <v>24654</v>
      </c>
      <c r="L142" s="26">
        <v>1967</v>
      </c>
      <c r="M142" s="26">
        <f t="shared" si="7"/>
        <v>52</v>
      </c>
      <c r="N142" s="3" t="s">
        <v>3</v>
      </c>
      <c r="O142" s="3"/>
      <c r="P142" s="39"/>
      <c r="Q142" s="3"/>
      <c r="R142" s="39"/>
    </row>
    <row r="143" spans="2:18" x14ac:dyDescent="0.2">
      <c r="B143" s="142"/>
      <c r="C143" s="142"/>
      <c r="D143" s="3">
        <v>136</v>
      </c>
      <c r="E143" s="39" t="s">
        <v>735</v>
      </c>
      <c r="F143" s="3" t="s">
        <v>11</v>
      </c>
      <c r="G143" s="3" t="s">
        <v>1855</v>
      </c>
      <c r="H143" s="3" t="s">
        <v>7</v>
      </c>
      <c r="I143" s="3" t="s">
        <v>10</v>
      </c>
      <c r="J143" s="39"/>
      <c r="K143" s="30">
        <v>29428</v>
      </c>
      <c r="L143" s="26">
        <v>1980</v>
      </c>
      <c r="M143" s="26">
        <f t="shared" si="7"/>
        <v>39</v>
      </c>
      <c r="N143" s="3" t="s">
        <v>3</v>
      </c>
      <c r="O143" s="3"/>
      <c r="P143" s="39"/>
      <c r="Q143" s="3"/>
      <c r="R143" s="39"/>
    </row>
    <row r="144" spans="2:18" x14ac:dyDescent="0.2">
      <c r="B144" s="142"/>
      <c r="C144" s="142"/>
      <c r="D144" s="3">
        <v>137</v>
      </c>
      <c r="E144" s="39" t="s">
        <v>736</v>
      </c>
      <c r="F144" s="3" t="s">
        <v>83</v>
      </c>
      <c r="G144" s="3" t="s">
        <v>737</v>
      </c>
      <c r="H144" s="3" t="s">
        <v>1</v>
      </c>
      <c r="I144" s="3" t="s">
        <v>10</v>
      </c>
      <c r="J144" s="39"/>
      <c r="K144" s="30">
        <v>32994</v>
      </c>
      <c r="L144" s="26">
        <v>1990</v>
      </c>
      <c r="M144" s="26">
        <f t="shared" si="7"/>
        <v>29</v>
      </c>
      <c r="N144" s="3" t="s">
        <v>3</v>
      </c>
      <c r="O144" s="3"/>
      <c r="P144" s="39"/>
      <c r="Q144" s="3"/>
      <c r="R144" s="39"/>
    </row>
    <row r="145" spans="2:18" x14ac:dyDescent="0.2">
      <c r="B145" s="142">
        <v>39</v>
      </c>
      <c r="C145" s="142"/>
      <c r="D145" s="3">
        <v>138</v>
      </c>
      <c r="E145" s="39" t="s">
        <v>738</v>
      </c>
      <c r="F145" s="3" t="s">
        <v>5</v>
      </c>
      <c r="G145" s="3" t="s">
        <v>739</v>
      </c>
      <c r="H145" s="3" t="s">
        <v>1</v>
      </c>
      <c r="I145" s="3" t="s">
        <v>2</v>
      </c>
      <c r="J145" s="39"/>
      <c r="K145" s="30">
        <v>29141</v>
      </c>
      <c r="L145" s="26">
        <v>1979</v>
      </c>
      <c r="M145" s="26">
        <f t="shared" si="7"/>
        <v>40</v>
      </c>
      <c r="N145" s="3" t="s">
        <v>3</v>
      </c>
      <c r="O145" s="3"/>
      <c r="P145" s="39"/>
      <c r="Q145" s="3"/>
      <c r="R145" s="39"/>
    </row>
    <row r="146" spans="2:18" x14ac:dyDescent="0.2">
      <c r="B146" s="142"/>
      <c r="C146" s="142"/>
      <c r="D146" s="3">
        <v>139</v>
      </c>
      <c r="E146" s="39" t="s">
        <v>740</v>
      </c>
      <c r="F146" s="3" t="s">
        <v>9</v>
      </c>
      <c r="G146" s="3" t="s">
        <v>741</v>
      </c>
      <c r="H146" s="3" t="s">
        <v>7</v>
      </c>
      <c r="I146" s="3" t="s">
        <v>2</v>
      </c>
      <c r="J146" s="39"/>
      <c r="K146" s="30">
        <v>32873</v>
      </c>
      <c r="L146" s="26">
        <v>1989</v>
      </c>
      <c r="M146" s="26">
        <f t="shared" si="7"/>
        <v>30</v>
      </c>
      <c r="N146" s="3" t="s">
        <v>3</v>
      </c>
      <c r="O146" s="3"/>
      <c r="P146" s="39"/>
      <c r="Q146" s="3"/>
      <c r="R146" s="39"/>
    </row>
    <row r="147" spans="2:18" x14ac:dyDescent="0.2">
      <c r="B147" s="142"/>
      <c r="C147" s="142"/>
      <c r="D147" s="3">
        <v>140</v>
      </c>
      <c r="E147" s="39" t="s">
        <v>742</v>
      </c>
      <c r="F147" s="3" t="s">
        <v>11</v>
      </c>
      <c r="G147" s="3" t="s">
        <v>743</v>
      </c>
      <c r="H147" s="3" t="s">
        <v>1</v>
      </c>
      <c r="I147" s="3" t="s">
        <v>10</v>
      </c>
      <c r="J147" s="39"/>
      <c r="K147" s="30">
        <v>40731</v>
      </c>
      <c r="L147" s="26">
        <v>2011</v>
      </c>
      <c r="M147" s="26">
        <f t="shared" si="7"/>
        <v>8</v>
      </c>
      <c r="N147" s="3" t="s">
        <v>3</v>
      </c>
      <c r="O147" s="3"/>
      <c r="P147" s="39"/>
      <c r="Q147" s="3"/>
      <c r="R147" s="39"/>
    </row>
    <row r="148" spans="2:18" x14ac:dyDescent="0.2">
      <c r="B148" s="142"/>
      <c r="C148" s="142"/>
      <c r="D148" s="3">
        <v>141</v>
      </c>
      <c r="E148" s="39" t="s">
        <v>744</v>
      </c>
      <c r="F148" s="3" t="s">
        <v>11</v>
      </c>
      <c r="G148" s="3" t="s">
        <v>745</v>
      </c>
      <c r="H148" s="3" t="s">
        <v>1</v>
      </c>
      <c r="I148" s="3" t="s">
        <v>10</v>
      </c>
      <c r="J148" s="39"/>
      <c r="K148" s="30">
        <v>40731</v>
      </c>
      <c r="L148" s="26">
        <v>2011</v>
      </c>
      <c r="M148" s="26">
        <f t="shared" si="7"/>
        <v>8</v>
      </c>
      <c r="N148" s="3" t="s">
        <v>3</v>
      </c>
      <c r="O148" s="3"/>
      <c r="P148" s="39"/>
      <c r="Q148" s="3"/>
      <c r="R148" s="39"/>
    </row>
    <row r="149" spans="2:18" ht="25.5" x14ac:dyDescent="0.2">
      <c r="B149" s="142">
        <v>40</v>
      </c>
      <c r="C149" s="142" t="s">
        <v>1348</v>
      </c>
      <c r="D149" s="3">
        <v>142</v>
      </c>
      <c r="E149" s="39" t="s">
        <v>1349</v>
      </c>
      <c r="F149" s="3" t="s">
        <v>5</v>
      </c>
      <c r="G149" s="3" t="s">
        <v>1352</v>
      </c>
      <c r="H149" s="3" t="s">
        <v>1</v>
      </c>
      <c r="I149" s="3" t="s">
        <v>2</v>
      </c>
      <c r="J149" s="39" t="s">
        <v>830</v>
      </c>
      <c r="K149" s="30">
        <v>25203</v>
      </c>
      <c r="L149" s="26">
        <v>1968</v>
      </c>
      <c r="M149" s="26">
        <f t="shared" si="7"/>
        <v>51</v>
      </c>
      <c r="N149" s="3" t="s">
        <v>3</v>
      </c>
      <c r="O149" s="3" t="s">
        <v>821</v>
      </c>
      <c r="P149" s="39" t="s">
        <v>860</v>
      </c>
      <c r="Q149" s="3"/>
      <c r="R149" s="39" t="s">
        <v>54</v>
      </c>
    </row>
    <row r="150" spans="2:18" ht="25.5" x14ac:dyDescent="0.2">
      <c r="B150" s="142"/>
      <c r="C150" s="142"/>
      <c r="D150" s="3">
        <v>143</v>
      </c>
      <c r="E150" s="39" t="s">
        <v>1350</v>
      </c>
      <c r="F150" s="3" t="s">
        <v>9</v>
      </c>
      <c r="G150" s="3" t="s">
        <v>1351</v>
      </c>
      <c r="H150" s="3" t="s">
        <v>7</v>
      </c>
      <c r="I150" s="3" t="s">
        <v>2</v>
      </c>
      <c r="J150" s="39" t="s">
        <v>830</v>
      </c>
      <c r="K150" s="30">
        <v>25267</v>
      </c>
      <c r="L150" s="26">
        <v>1969</v>
      </c>
      <c r="M150" s="26">
        <f t="shared" si="7"/>
        <v>50</v>
      </c>
      <c r="N150" s="3" t="s">
        <v>3</v>
      </c>
      <c r="O150" s="3" t="s">
        <v>821</v>
      </c>
      <c r="P150" s="39" t="s">
        <v>823</v>
      </c>
      <c r="Q150" s="3"/>
      <c r="R150" s="39" t="s">
        <v>840</v>
      </c>
    </row>
    <row r="151" spans="2:18" ht="25.5" x14ac:dyDescent="0.2">
      <c r="B151" s="142">
        <v>41</v>
      </c>
      <c r="C151" s="142" t="s">
        <v>1429</v>
      </c>
      <c r="D151" s="3">
        <v>144</v>
      </c>
      <c r="E151" s="39" t="s">
        <v>377</v>
      </c>
      <c r="F151" s="3" t="s">
        <v>5</v>
      </c>
      <c r="G151" s="3" t="s">
        <v>1433</v>
      </c>
      <c r="H151" s="3" t="s">
        <v>1</v>
      </c>
      <c r="I151" s="3" t="s">
        <v>2</v>
      </c>
      <c r="J151" s="39" t="s">
        <v>839</v>
      </c>
      <c r="K151" s="30">
        <v>25705</v>
      </c>
      <c r="L151" s="26">
        <v>1970</v>
      </c>
      <c r="M151" s="26">
        <f t="shared" si="7"/>
        <v>49</v>
      </c>
      <c r="N151" s="3" t="s">
        <v>3</v>
      </c>
      <c r="O151" s="3" t="s">
        <v>821</v>
      </c>
      <c r="P151" s="39" t="s">
        <v>823</v>
      </c>
      <c r="Q151" s="3"/>
      <c r="R151" s="39" t="s">
        <v>826</v>
      </c>
    </row>
    <row r="152" spans="2:18" ht="25.5" x14ac:dyDescent="0.2">
      <c r="B152" s="142"/>
      <c r="C152" s="142"/>
      <c r="D152" s="3">
        <v>145</v>
      </c>
      <c r="E152" s="39" t="s">
        <v>1430</v>
      </c>
      <c r="F152" s="3" t="s">
        <v>9</v>
      </c>
      <c r="G152" s="3" t="s">
        <v>1434</v>
      </c>
      <c r="H152" s="3" t="s">
        <v>7</v>
      </c>
      <c r="I152" s="3" t="s">
        <v>2</v>
      </c>
      <c r="J152" s="39" t="s">
        <v>905</v>
      </c>
      <c r="K152" s="30">
        <v>27576</v>
      </c>
      <c r="L152" s="26">
        <v>1975</v>
      </c>
      <c r="M152" s="26">
        <f t="shared" si="7"/>
        <v>44</v>
      </c>
      <c r="N152" s="3" t="s">
        <v>3</v>
      </c>
      <c r="O152" s="3" t="s">
        <v>821</v>
      </c>
      <c r="P152" s="39" t="s">
        <v>823</v>
      </c>
      <c r="Q152" s="3"/>
      <c r="R152" s="39" t="s">
        <v>899</v>
      </c>
    </row>
    <row r="153" spans="2:18" ht="25.5" x14ac:dyDescent="0.2">
      <c r="B153" s="142"/>
      <c r="C153" s="142"/>
      <c r="D153" s="3">
        <v>146</v>
      </c>
      <c r="E153" s="39" t="s">
        <v>746</v>
      </c>
      <c r="F153" s="3" t="s">
        <v>11</v>
      </c>
      <c r="G153" s="3" t="s">
        <v>1435</v>
      </c>
      <c r="H153" s="3" t="s">
        <v>1</v>
      </c>
      <c r="I153" s="3" t="s">
        <v>10</v>
      </c>
      <c r="J153" s="39" t="s">
        <v>905</v>
      </c>
      <c r="K153" s="30">
        <v>34689</v>
      </c>
      <c r="L153" s="26">
        <v>1994</v>
      </c>
      <c r="M153" s="26">
        <f t="shared" si="7"/>
        <v>25</v>
      </c>
      <c r="N153" s="3" t="s">
        <v>3</v>
      </c>
      <c r="O153" s="3" t="s">
        <v>821</v>
      </c>
      <c r="P153" s="39" t="s">
        <v>860</v>
      </c>
      <c r="Q153" s="3"/>
      <c r="R153" s="39" t="s">
        <v>828</v>
      </c>
    </row>
    <row r="154" spans="2:18" ht="25.5" x14ac:dyDescent="0.2">
      <c r="B154" s="142"/>
      <c r="C154" s="142"/>
      <c r="D154" s="3">
        <v>147</v>
      </c>
      <c r="E154" s="39" t="s">
        <v>747</v>
      </c>
      <c r="F154" s="3" t="s">
        <v>11</v>
      </c>
      <c r="G154" s="3" t="s">
        <v>1436</v>
      </c>
      <c r="H154" s="3" t="s">
        <v>7</v>
      </c>
      <c r="I154" s="3" t="s">
        <v>10</v>
      </c>
      <c r="J154" s="39" t="s">
        <v>905</v>
      </c>
      <c r="K154" s="30">
        <v>36797</v>
      </c>
      <c r="L154" s="26">
        <v>2000</v>
      </c>
      <c r="M154" s="26">
        <f t="shared" si="7"/>
        <v>19</v>
      </c>
      <c r="N154" s="3" t="s">
        <v>3</v>
      </c>
      <c r="O154" s="3" t="s">
        <v>821</v>
      </c>
      <c r="P154" s="39" t="s">
        <v>831</v>
      </c>
      <c r="Q154" s="3"/>
      <c r="R154" s="39" t="s">
        <v>828</v>
      </c>
    </row>
    <row r="155" spans="2:18" ht="25.5" x14ac:dyDescent="0.2">
      <c r="B155" s="142"/>
      <c r="C155" s="142"/>
      <c r="D155" s="3">
        <v>148</v>
      </c>
      <c r="E155" s="39" t="s">
        <v>1431</v>
      </c>
      <c r="F155" s="3" t="s">
        <v>11</v>
      </c>
      <c r="G155" s="3" t="s">
        <v>1437</v>
      </c>
      <c r="H155" s="3" t="s">
        <v>7</v>
      </c>
      <c r="I155" s="3" t="s">
        <v>10</v>
      </c>
      <c r="J155" s="39" t="s">
        <v>905</v>
      </c>
      <c r="K155" s="30">
        <v>39238</v>
      </c>
      <c r="L155" s="26">
        <v>2007</v>
      </c>
      <c r="M155" s="26">
        <f t="shared" ref="M155" si="8">2019-L155</f>
        <v>12</v>
      </c>
      <c r="N155" s="3" t="s">
        <v>3</v>
      </c>
      <c r="O155" s="3" t="s">
        <v>821</v>
      </c>
      <c r="P155" s="39" t="s">
        <v>822</v>
      </c>
      <c r="Q155" s="3"/>
      <c r="R155" s="39" t="s">
        <v>828</v>
      </c>
    </row>
    <row r="156" spans="2:18" ht="25.5" x14ac:dyDescent="0.2">
      <c r="B156" s="142"/>
      <c r="C156" s="142"/>
      <c r="D156" s="3">
        <v>149</v>
      </c>
      <c r="E156" s="39" t="s">
        <v>1432</v>
      </c>
      <c r="F156" s="3" t="s">
        <v>11</v>
      </c>
      <c r="G156" s="3" t="s">
        <v>1438</v>
      </c>
      <c r="H156" s="3" t="s">
        <v>7</v>
      </c>
      <c r="I156" s="3" t="s">
        <v>10</v>
      </c>
      <c r="J156" s="39" t="s">
        <v>905</v>
      </c>
      <c r="K156" s="30">
        <v>42780</v>
      </c>
      <c r="L156" s="26">
        <v>2017</v>
      </c>
      <c r="M156" s="26">
        <f t="shared" si="7"/>
        <v>2</v>
      </c>
      <c r="N156" s="3" t="s">
        <v>3</v>
      </c>
      <c r="O156" s="3" t="s">
        <v>821</v>
      </c>
      <c r="P156" s="39" t="s">
        <v>1357</v>
      </c>
      <c r="Q156" s="3"/>
      <c r="R156" s="39" t="s">
        <v>825</v>
      </c>
    </row>
    <row r="157" spans="2:18" ht="25.5" x14ac:dyDescent="0.2">
      <c r="B157" s="142">
        <v>42</v>
      </c>
      <c r="C157" s="142" t="s">
        <v>1426</v>
      </c>
      <c r="D157" s="3">
        <v>150</v>
      </c>
      <c r="E157" s="39" t="s">
        <v>748</v>
      </c>
      <c r="F157" s="3" t="s">
        <v>5</v>
      </c>
      <c r="G157" s="3" t="s">
        <v>749</v>
      </c>
      <c r="H157" s="3" t="s">
        <v>1</v>
      </c>
      <c r="I157" s="3" t="s">
        <v>2</v>
      </c>
      <c r="J157" s="39" t="s">
        <v>820</v>
      </c>
      <c r="K157" s="30">
        <v>26481</v>
      </c>
      <c r="L157" s="26">
        <v>1972</v>
      </c>
      <c r="M157" s="26">
        <f t="shared" si="7"/>
        <v>47</v>
      </c>
      <c r="N157" s="3" t="s">
        <v>3</v>
      </c>
      <c r="O157" s="3" t="s">
        <v>821</v>
      </c>
      <c r="P157" s="39" t="s">
        <v>823</v>
      </c>
      <c r="Q157" s="3"/>
      <c r="R157" s="39" t="s">
        <v>840</v>
      </c>
    </row>
    <row r="158" spans="2:18" ht="25.5" x14ac:dyDescent="0.2">
      <c r="B158" s="142"/>
      <c r="C158" s="142"/>
      <c r="D158" s="3">
        <v>151</v>
      </c>
      <c r="E158" s="39" t="s">
        <v>1423</v>
      </c>
      <c r="F158" s="3" t="s">
        <v>9</v>
      </c>
      <c r="G158" s="3" t="s">
        <v>1427</v>
      </c>
      <c r="H158" s="3" t="s">
        <v>7</v>
      </c>
      <c r="I158" s="3" t="s">
        <v>2</v>
      </c>
      <c r="J158" s="39" t="s">
        <v>820</v>
      </c>
      <c r="K158" s="30">
        <v>26846</v>
      </c>
      <c r="L158" s="26">
        <v>1973</v>
      </c>
      <c r="M158" s="26">
        <f t="shared" si="7"/>
        <v>46</v>
      </c>
      <c r="N158" s="3" t="s">
        <v>3</v>
      </c>
      <c r="O158" s="3" t="s">
        <v>821</v>
      </c>
      <c r="P158" s="39" t="s">
        <v>823</v>
      </c>
      <c r="Q158" s="3"/>
      <c r="R158" s="39" t="s">
        <v>840</v>
      </c>
    </row>
    <row r="159" spans="2:18" ht="25.5" x14ac:dyDescent="0.2">
      <c r="B159" s="142"/>
      <c r="C159" s="142"/>
      <c r="D159" s="3">
        <v>152</v>
      </c>
      <c r="E159" s="39" t="s">
        <v>1424</v>
      </c>
      <c r="F159" s="3" t="s">
        <v>11</v>
      </c>
      <c r="G159" s="3" t="s">
        <v>1428</v>
      </c>
      <c r="H159" s="3" t="s">
        <v>1</v>
      </c>
      <c r="I159" s="3" t="s">
        <v>10</v>
      </c>
      <c r="J159" s="39" t="s">
        <v>820</v>
      </c>
      <c r="K159" s="30">
        <v>38954</v>
      </c>
      <c r="L159" s="26">
        <v>2006</v>
      </c>
      <c r="M159" s="26">
        <f t="shared" si="7"/>
        <v>13</v>
      </c>
      <c r="N159" s="3" t="s">
        <v>3</v>
      </c>
      <c r="O159" s="3" t="s">
        <v>821</v>
      </c>
      <c r="P159" s="39" t="s">
        <v>822</v>
      </c>
      <c r="Q159" s="3"/>
      <c r="R159" s="39" t="s">
        <v>828</v>
      </c>
    </row>
    <row r="160" spans="2:18" ht="25.5" x14ac:dyDescent="0.2">
      <c r="B160" s="142"/>
      <c r="C160" s="142"/>
      <c r="D160" s="3">
        <v>153</v>
      </c>
      <c r="E160" s="39" t="s">
        <v>1425</v>
      </c>
      <c r="F160" s="3" t="s">
        <v>11</v>
      </c>
      <c r="G160" s="3" t="s">
        <v>750</v>
      </c>
      <c r="H160" s="3" t="s">
        <v>7</v>
      </c>
      <c r="I160" s="3" t="s">
        <v>10</v>
      </c>
      <c r="J160" s="39" t="s">
        <v>820</v>
      </c>
      <c r="K160" s="30">
        <v>41513</v>
      </c>
      <c r="L160" s="26">
        <v>2013</v>
      </c>
      <c r="M160" s="26">
        <f t="shared" si="7"/>
        <v>6</v>
      </c>
      <c r="N160" s="3" t="s">
        <v>3</v>
      </c>
      <c r="O160" s="3" t="s">
        <v>821</v>
      </c>
      <c r="P160" s="39" t="s">
        <v>1357</v>
      </c>
      <c r="Q160" s="3"/>
      <c r="R160" s="39" t="s">
        <v>825</v>
      </c>
    </row>
    <row r="161" spans="2:18" ht="25.5" x14ac:dyDescent="0.2">
      <c r="B161" s="142">
        <v>43</v>
      </c>
      <c r="C161" s="142" t="s">
        <v>1363</v>
      </c>
      <c r="D161" s="3">
        <v>154</v>
      </c>
      <c r="E161" s="39" t="s">
        <v>1364</v>
      </c>
      <c r="F161" s="3" t="s">
        <v>5</v>
      </c>
      <c r="G161" s="3" t="s">
        <v>1371</v>
      </c>
      <c r="H161" s="3" t="s">
        <v>1</v>
      </c>
      <c r="I161" s="3" t="s">
        <v>2</v>
      </c>
      <c r="J161" s="39" t="s">
        <v>839</v>
      </c>
      <c r="K161" s="30">
        <v>28229</v>
      </c>
      <c r="L161" s="26">
        <v>1977</v>
      </c>
      <c r="M161" s="26">
        <f t="shared" ref="M161:M164" si="9">2019-L161</f>
        <v>42</v>
      </c>
      <c r="N161" s="3" t="s">
        <v>3</v>
      </c>
      <c r="O161" s="3" t="s">
        <v>821</v>
      </c>
      <c r="P161" s="39" t="s">
        <v>1059</v>
      </c>
      <c r="Q161" s="3"/>
      <c r="R161" s="39" t="s">
        <v>1372</v>
      </c>
    </row>
    <row r="162" spans="2:18" ht="25.5" x14ac:dyDescent="0.2">
      <c r="B162" s="142"/>
      <c r="C162" s="142"/>
      <c r="D162" s="3">
        <v>155</v>
      </c>
      <c r="E162" s="39" t="s">
        <v>1365</v>
      </c>
      <c r="F162" s="3" t="s">
        <v>9</v>
      </c>
      <c r="G162" s="3" t="s">
        <v>1370</v>
      </c>
      <c r="H162" s="3" t="s">
        <v>7</v>
      </c>
      <c r="I162" s="3" t="s">
        <v>2</v>
      </c>
      <c r="J162" s="39" t="s">
        <v>895</v>
      </c>
      <c r="K162" s="30">
        <v>30927</v>
      </c>
      <c r="L162" s="26">
        <v>1984</v>
      </c>
      <c r="M162" s="26">
        <f t="shared" si="9"/>
        <v>35</v>
      </c>
      <c r="N162" s="3" t="s">
        <v>3</v>
      </c>
      <c r="O162" s="3" t="s">
        <v>821</v>
      </c>
      <c r="P162" s="39" t="s">
        <v>1059</v>
      </c>
      <c r="Q162" s="3"/>
      <c r="R162" s="39" t="s">
        <v>1373</v>
      </c>
    </row>
    <row r="163" spans="2:18" ht="25.5" x14ac:dyDescent="0.2">
      <c r="B163" s="142"/>
      <c r="C163" s="142"/>
      <c r="D163" s="3">
        <v>156</v>
      </c>
      <c r="E163" s="39" t="s">
        <v>1366</v>
      </c>
      <c r="F163" s="3" t="s">
        <v>11</v>
      </c>
      <c r="G163" s="3" t="s">
        <v>1369</v>
      </c>
      <c r="H163" s="3" t="s">
        <v>7</v>
      </c>
      <c r="I163" s="3" t="s">
        <v>10</v>
      </c>
      <c r="J163" s="39" t="s">
        <v>851</v>
      </c>
      <c r="K163" s="30">
        <v>39458</v>
      </c>
      <c r="L163" s="26">
        <v>2008</v>
      </c>
      <c r="M163" s="26">
        <f t="shared" si="9"/>
        <v>11</v>
      </c>
      <c r="N163" s="3" t="s">
        <v>3</v>
      </c>
      <c r="O163" s="3" t="s">
        <v>821</v>
      </c>
      <c r="P163" s="39" t="s">
        <v>822</v>
      </c>
      <c r="Q163" s="3"/>
      <c r="R163" s="39" t="s">
        <v>828</v>
      </c>
    </row>
    <row r="164" spans="2:18" ht="25.5" x14ac:dyDescent="0.2">
      <c r="B164" s="142"/>
      <c r="C164" s="142"/>
      <c r="D164" s="3">
        <v>157</v>
      </c>
      <c r="E164" s="39" t="s">
        <v>1367</v>
      </c>
      <c r="F164" s="3" t="s">
        <v>11</v>
      </c>
      <c r="G164" s="3" t="s">
        <v>1368</v>
      </c>
      <c r="H164" s="3" t="s">
        <v>1</v>
      </c>
      <c r="I164" s="3" t="s">
        <v>10</v>
      </c>
      <c r="J164" s="39" t="s">
        <v>851</v>
      </c>
      <c r="K164" s="30">
        <v>42854</v>
      </c>
      <c r="L164" s="26">
        <v>2017</v>
      </c>
      <c r="M164" s="26">
        <f t="shared" si="9"/>
        <v>2</v>
      </c>
      <c r="N164" s="3" t="s">
        <v>3</v>
      </c>
      <c r="O164" s="3" t="s">
        <v>821</v>
      </c>
      <c r="P164" s="39" t="s">
        <v>1357</v>
      </c>
      <c r="Q164" s="3"/>
      <c r="R164" s="39" t="s">
        <v>825</v>
      </c>
    </row>
    <row r="165" spans="2:18" ht="25.5" x14ac:dyDescent="0.2">
      <c r="B165" s="3">
        <v>44</v>
      </c>
      <c r="C165" s="3" t="s">
        <v>1452</v>
      </c>
      <c r="D165" s="3">
        <v>158</v>
      </c>
      <c r="E165" s="39" t="s">
        <v>1453</v>
      </c>
      <c r="F165" s="3" t="s">
        <v>5</v>
      </c>
      <c r="G165" s="3" t="s">
        <v>1454</v>
      </c>
      <c r="H165" s="3" t="s">
        <v>7</v>
      </c>
      <c r="I165" s="3" t="s">
        <v>883</v>
      </c>
      <c r="J165" s="39" t="s">
        <v>820</v>
      </c>
      <c r="K165" s="30">
        <v>19176</v>
      </c>
      <c r="L165" s="26">
        <v>1952</v>
      </c>
      <c r="M165" s="26">
        <f t="shared" ref="M165:M184" si="10">2019-L165</f>
        <v>67</v>
      </c>
      <c r="N165" s="3" t="s">
        <v>3</v>
      </c>
      <c r="O165" s="3" t="s">
        <v>821</v>
      </c>
      <c r="P165" s="39" t="s">
        <v>1357</v>
      </c>
      <c r="Q165" s="3"/>
      <c r="R165" s="39" t="s">
        <v>827</v>
      </c>
    </row>
    <row r="166" spans="2:18" ht="25.5" x14ac:dyDescent="0.2">
      <c r="B166" s="139">
        <v>45</v>
      </c>
      <c r="C166" s="139" t="s">
        <v>1169</v>
      </c>
      <c r="D166" s="3">
        <v>159</v>
      </c>
      <c r="E166" s="39" t="s">
        <v>238</v>
      </c>
      <c r="F166" s="3" t="s">
        <v>5</v>
      </c>
      <c r="G166" s="3" t="s">
        <v>1166</v>
      </c>
      <c r="H166" s="3" t="s">
        <v>1</v>
      </c>
      <c r="I166" s="3" t="s">
        <v>2</v>
      </c>
      <c r="J166" s="39" t="s">
        <v>1472</v>
      </c>
      <c r="K166" s="30">
        <v>31512</v>
      </c>
      <c r="L166" s="26">
        <v>1986</v>
      </c>
      <c r="M166" s="26">
        <f t="shared" si="10"/>
        <v>33</v>
      </c>
      <c r="N166" s="3" t="s">
        <v>3</v>
      </c>
      <c r="O166" s="3" t="s">
        <v>821</v>
      </c>
      <c r="P166" s="39" t="s">
        <v>1357</v>
      </c>
      <c r="Q166" s="3"/>
      <c r="R166" s="39" t="s">
        <v>826</v>
      </c>
    </row>
    <row r="167" spans="2:18" ht="25.5" x14ac:dyDescent="0.2">
      <c r="B167" s="140"/>
      <c r="C167" s="140"/>
      <c r="D167" s="3">
        <v>160</v>
      </c>
      <c r="E167" s="39" t="s">
        <v>1165</v>
      </c>
      <c r="F167" s="3" t="s">
        <v>9</v>
      </c>
      <c r="G167" s="3" t="s">
        <v>1667</v>
      </c>
      <c r="H167" s="3" t="s">
        <v>7</v>
      </c>
      <c r="I167" s="3" t="s">
        <v>2</v>
      </c>
      <c r="J167" s="39" t="s">
        <v>1668</v>
      </c>
      <c r="K167" s="30">
        <v>34516</v>
      </c>
      <c r="L167" s="26">
        <v>1994</v>
      </c>
      <c r="M167" s="26">
        <f t="shared" si="10"/>
        <v>25</v>
      </c>
      <c r="N167" s="3" t="s">
        <v>3</v>
      </c>
      <c r="O167" s="3" t="s">
        <v>821</v>
      </c>
      <c r="P167" s="39" t="s">
        <v>1357</v>
      </c>
      <c r="Q167" s="3"/>
      <c r="R167" s="39" t="s">
        <v>827</v>
      </c>
    </row>
    <row r="168" spans="2:18" ht="25.5" x14ac:dyDescent="0.2">
      <c r="B168" s="141"/>
      <c r="C168" s="141"/>
      <c r="D168" s="3">
        <v>161</v>
      </c>
      <c r="E168" s="39" t="s">
        <v>1666</v>
      </c>
      <c r="F168" s="3" t="s">
        <v>11</v>
      </c>
      <c r="G168" s="3" t="s">
        <v>1168</v>
      </c>
      <c r="H168" s="3" t="s">
        <v>1</v>
      </c>
      <c r="I168" s="3" t="s">
        <v>10</v>
      </c>
      <c r="J168" s="39" t="s">
        <v>1472</v>
      </c>
      <c r="K168" s="30">
        <v>42093</v>
      </c>
      <c r="L168" s="26">
        <v>2015</v>
      </c>
      <c r="M168" s="26">
        <f t="shared" si="10"/>
        <v>4</v>
      </c>
      <c r="N168" s="3" t="s">
        <v>3</v>
      </c>
      <c r="O168" s="3" t="s">
        <v>821</v>
      </c>
      <c r="P168" s="39" t="s">
        <v>1357</v>
      </c>
      <c r="Q168" s="3"/>
      <c r="R168" s="39" t="s">
        <v>825</v>
      </c>
    </row>
    <row r="169" spans="2:18" ht="25.5" x14ac:dyDescent="0.2">
      <c r="B169" s="139">
        <v>46</v>
      </c>
      <c r="C169" s="139" t="s">
        <v>1669</v>
      </c>
      <c r="D169" s="3">
        <v>162</v>
      </c>
      <c r="E169" s="39" t="s">
        <v>67</v>
      </c>
      <c r="F169" s="3" t="s">
        <v>5</v>
      </c>
      <c r="G169" s="3" t="s">
        <v>1098</v>
      </c>
      <c r="H169" s="3" t="s">
        <v>1</v>
      </c>
      <c r="I169" s="3" t="s">
        <v>2</v>
      </c>
      <c r="J169" s="39" t="s">
        <v>1465</v>
      </c>
      <c r="K169" s="30">
        <v>33277</v>
      </c>
      <c r="L169" s="26">
        <v>1991</v>
      </c>
      <c r="M169" s="26">
        <f t="shared" si="10"/>
        <v>28</v>
      </c>
      <c r="N169" s="3" t="s">
        <v>3</v>
      </c>
      <c r="O169" s="3" t="s">
        <v>821</v>
      </c>
      <c r="P169" s="39" t="s">
        <v>860</v>
      </c>
      <c r="Q169" s="3"/>
      <c r="R169" s="39" t="s">
        <v>54</v>
      </c>
    </row>
    <row r="170" spans="2:18" ht="25.5" x14ac:dyDescent="0.2">
      <c r="B170" s="141"/>
      <c r="C170" s="141"/>
      <c r="D170" s="3">
        <v>163</v>
      </c>
      <c r="E170" s="39" t="s">
        <v>1589</v>
      </c>
      <c r="F170" s="3" t="s">
        <v>9</v>
      </c>
      <c r="G170" s="3" t="s">
        <v>1590</v>
      </c>
      <c r="H170" s="3" t="s">
        <v>7</v>
      </c>
      <c r="I170" s="3" t="s">
        <v>2</v>
      </c>
      <c r="J170" s="39" t="s">
        <v>1591</v>
      </c>
      <c r="K170" s="30">
        <v>35795</v>
      </c>
      <c r="L170" s="26">
        <v>1997</v>
      </c>
      <c r="M170" s="26">
        <f t="shared" si="10"/>
        <v>22</v>
      </c>
      <c r="N170" s="3" t="s">
        <v>3</v>
      </c>
      <c r="O170" s="3" t="s">
        <v>821</v>
      </c>
      <c r="P170" s="39" t="s">
        <v>860</v>
      </c>
      <c r="Q170" s="3"/>
      <c r="R170" s="39" t="s">
        <v>827</v>
      </c>
    </row>
    <row r="171" spans="2:18" ht="15" customHeight="1" x14ac:dyDescent="0.2">
      <c r="B171" s="139">
        <v>47</v>
      </c>
      <c r="C171" s="139" t="s">
        <v>1678</v>
      </c>
      <c r="D171" s="3">
        <v>164</v>
      </c>
      <c r="E171" s="39" t="s">
        <v>53</v>
      </c>
      <c r="F171" s="3" t="s">
        <v>5</v>
      </c>
      <c r="G171" s="3" t="s">
        <v>1681</v>
      </c>
      <c r="H171" s="3" t="s">
        <v>1</v>
      </c>
      <c r="I171" s="3" t="s">
        <v>2</v>
      </c>
      <c r="J171" s="39" t="s">
        <v>1465</v>
      </c>
      <c r="K171" s="30">
        <v>21185</v>
      </c>
      <c r="L171" s="26">
        <v>1957</v>
      </c>
      <c r="M171" s="26">
        <f t="shared" si="10"/>
        <v>62</v>
      </c>
      <c r="N171" s="3" t="s">
        <v>3</v>
      </c>
      <c r="O171" s="3" t="s">
        <v>821</v>
      </c>
      <c r="P171" s="39" t="s">
        <v>860</v>
      </c>
      <c r="Q171" s="3"/>
      <c r="R171" s="39" t="s">
        <v>1685</v>
      </c>
    </row>
    <row r="172" spans="2:18" ht="25.5" x14ac:dyDescent="0.2">
      <c r="B172" s="140"/>
      <c r="C172" s="140"/>
      <c r="D172" s="3">
        <v>165</v>
      </c>
      <c r="E172" s="39" t="s">
        <v>55</v>
      </c>
      <c r="F172" s="3" t="s">
        <v>9</v>
      </c>
      <c r="G172" s="3" t="s">
        <v>1682</v>
      </c>
      <c r="H172" s="3" t="s">
        <v>7</v>
      </c>
      <c r="I172" s="3" t="s">
        <v>2</v>
      </c>
      <c r="J172" s="39" t="s">
        <v>1465</v>
      </c>
      <c r="K172" s="30">
        <v>21550</v>
      </c>
      <c r="L172" s="26">
        <v>1958</v>
      </c>
      <c r="M172" s="26">
        <f t="shared" si="10"/>
        <v>61</v>
      </c>
      <c r="N172" s="3" t="s">
        <v>3</v>
      </c>
      <c r="O172" s="3" t="s">
        <v>821</v>
      </c>
      <c r="P172" s="39" t="s">
        <v>860</v>
      </c>
      <c r="Q172" s="3"/>
      <c r="R172" s="39" t="s">
        <v>840</v>
      </c>
    </row>
    <row r="173" spans="2:18" ht="25.5" x14ac:dyDescent="0.2">
      <c r="B173" s="140"/>
      <c r="C173" s="140"/>
      <c r="D173" s="3">
        <v>166</v>
      </c>
      <c r="E173" s="39" t="s">
        <v>1679</v>
      </c>
      <c r="F173" s="3" t="s">
        <v>11</v>
      </c>
      <c r="G173" s="3" t="s">
        <v>1683</v>
      </c>
      <c r="H173" s="3" t="s">
        <v>7</v>
      </c>
      <c r="I173" s="3" t="s">
        <v>10</v>
      </c>
      <c r="J173" s="39" t="s">
        <v>1465</v>
      </c>
      <c r="K173" s="30">
        <v>32019</v>
      </c>
      <c r="L173" s="26">
        <v>1987</v>
      </c>
      <c r="M173" s="26">
        <f t="shared" si="10"/>
        <v>32</v>
      </c>
      <c r="N173" s="3" t="s">
        <v>3</v>
      </c>
      <c r="O173" s="3" t="s">
        <v>821</v>
      </c>
      <c r="P173" s="39" t="s">
        <v>860</v>
      </c>
      <c r="Q173" s="3"/>
      <c r="R173" s="39" t="s">
        <v>825</v>
      </c>
    </row>
    <row r="174" spans="2:18" ht="25.5" x14ac:dyDescent="0.2">
      <c r="B174" s="141"/>
      <c r="C174" s="141"/>
      <c r="D174" s="3">
        <v>167</v>
      </c>
      <c r="E174" s="39" t="s">
        <v>1680</v>
      </c>
      <c r="F174" s="3" t="s">
        <v>11</v>
      </c>
      <c r="G174" s="3" t="s">
        <v>1684</v>
      </c>
      <c r="H174" s="3" t="s">
        <v>7</v>
      </c>
      <c r="I174" s="3" t="s">
        <v>10</v>
      </c>
      <c r="J174" s="39" t="s">
        <v>1642</v>
      </c>
      <c r="K174" s="30">
        <v>34511</v>
      </c>
      <c r="L174" s="26">
        <v>1994</v>
      </c>
      <c r="M174" s="26">
        <f t="shared" si="10"/>
        <v>25</v>
      </c>
      <c r="N174" s="3" t="s">
        <v>3</v>
      </c>
      <c r="O174" s="3" t="s">
        <v>821</v>
      </c>
      <c r="P174" s="39" t="s">
        <v>860</v>
      </c>
      <c r="Q174" s="3"/>
      <c r="R174" s="39" t="s">
        <v>825</v>
      </c>
    </row>
    <row r="175" spans="2:18" x14ac:dyDescent="0.2">
      <c r="B175" s="139">
        <v>48</v>
      </c>
      <c r="C175" s="139" t="s">
        <v>1686</v>
      </c>
      <c r="D175" s="3">
        <v>168</v>
      </c>
      <c r="E175" s="39" t="s">
        <v>175</v>
      </c>
      <c r="F175" s="3" t="s">
        <v>5</v>
      </c>
      <c r="G175" s="3" t="s">
        <v>1143</v>
      </c>
      <c r="H175" s="3" t="s">
        <v>1</v>
      </c>
      <c r="I175" s="3" t="s">
        <v>2</v>
      </c>
      <c r="J175" s="39" t="s">
        <v>1472</v>
      </c>
      <c r="K175" s="30">
        <v>24558</v>
      </c>
      <c r="L175" s="26">
        <v>1967</v>
      </c>
      <c r="M175" s="26">
        <f t="shared" si="10"/>
        <v>52</v>
      </c>
      <c r="N175" s="3" t="s">
        <v>3</v>
      </c>
      <c r="O175" s="3" t="s">
        <v>821</v>
      </c>
      <c r="P175" s="39" t="s">
        <v>831</v>
      </c>
      <c r="Q175" s="3"/>
      <c r="R175" s="39" t="s">
        <v>54</v>
      </c>
    </row>
    <row r="176" spans="2:18" ht="25.5" x14ac:dyDescent="0.2">
      <c r="B176" s="140"/>
      <c r="C176" s="140"/>
      <c r="D176" s="3">
        <v>169</v>
      </c>
      <c r="E176" s="39" t="s">
        <v>176</v>
      </c>
      <c r="F176" s="3" t="s">
        <v>9</v>
      </c>
      <c r="G176" s="3" t="s">
        <v>290</v>
      </c>
      <c r="H176" s="3" t="s">
        <v>7</v>
      </c>
      <c r="I176" s="3" t="s">
        <v>2</v>
      </c>
      <c r="J176" s="39" t="s">
        <v>1465</v>
      </c>
      <c r="K176" s="30">
        <v>26584</v>
      </c>
      <c r="L176" s="26">
        <v>1972</v>
      </c>
      <c r="M176" s="26">
        <f t="shared" si="10"/>
        <v>47</v>
      </c>
      <c r="N176" s="3" t="s">
        <v>3</v>
      </c>
      <c r="O176" s="3" t="s">
        <v>821</v>
      </c>
      <c r="P176" s="39" t="s">
        <v>831</v>
      </c>
      <c r="Q176" s="3"/>
      <c r="R176" s="39" t="s">
        <v>827</v>
      </c>
    </row>
    <row r="177" spans="2:18" ht="25.5" x14ac:dyDescent="0.2">
      <c r="B177" s="140"/>
      <c r="C177" s="140"/>
      <c r="D177" s="3">
        <v>170</v>
      </c>
      <c r="E177" s="39" t="s">
        <v>177</v>
      </c>
      <c r="F177" s="3" t="s">
        <v>11</v>
      </c>
      <c r="G177" s="3" t="s">
        <v>1688</v>
      </c>
      <c r="H177" s="3" t="s">
        <v>7</v>
      </c>
      <c r="I177" s="3" t="s">
        <v>10</v>
      </c>
      <c r="J177" s="39" t="s">
        <v>1465</v>
      </c>
      <c r="K177" s="30">
        <v>32894</v>
      </c>
      <c r="L177" s="26">
        <v>1990</v>
      </c>
      <c r="M177" s="26">
        <f t="shared" si="10"/>
        <v>29</v>
      </c>
      <c r="N177" s="3" t="s">
        <v>3</v>
      </c>
      <c r="O177" s="3" t="s">
        <v>821</v>
      </c>
      <c r="P177" s="39" t="s">
        <v>860</v>
      </c>
      <c r="Q177" s="3"/>
      <c r="R177" s="39" t="s">
        <v>54</v>
      </c>
    </row>
    <row r="178" spans="2:18" ht="25.5" x14ac:dyDescent="0.2">
      <c r="B178" s="140"/>
      <c r="C178" s="140"/>
      <c r="D178" s="3">
        <v>171</v>
      </c>
      <c r="E178" s="39" t="s">
        <v>1687</v>
      </c>
      <c r="F178" s="3" t="s">
        <v>11</v>
      </c>
      <c r="G178" s="3" t="s">
        <v>1689</v>
      </c>
      <c r="H178" s="3" t="s">
        <v>1</v>
      </c>
      <c r="I178" s="3" t="s">
        <v>10</v>
      </c>
      <c r="J178" s="39" t="s">
        <v>1465</v>
      </c>
      <c r="K178" s="30">
        <v>33532</v>
      </c>
      <c r="L178" s="26">
        <v>1991</v>
      </c>
      <c r="M178" s="26">
        <f t="shared" si="10"/>
        <v>28</v>
      </c>
      <c r="N178" s="3" t="s">
        <v>3</v>
      </c>
      <c r="O178" s="3" t="s">
        <v>821</v>
      </c>
      <c r="P178" s="39" t="s">
        <v>860</v>
      </c>
      <c r="Q178" s="3"/>
      <c r="R178" s="39" t="s">
        <v>828</v>
      </c>
    </row>
    <row r="179" spans="2:18" ht="25.5" x14ac:dyDescent="0.2">
      <c r="B179" s="140"/>
      <c r="C179" s="140"/>
      <c r="D179" s="3">
        <v>172</v>
      </c>
      <c r="E179" s="39" t="s">
        <v>179</v>
      </c>
      <c r="F179" s="3" t="s">
        <v>11</v>
      </c>
      <c r="G179" s="3" t="s">
        <v>1690</v>
      </c>
      <c r="H179" s="3" t="s">
        <v>1</v>
      </c>
      <c r="I179" s="3" t="s">
        <v>10</v>
      </c>
      <c r="J179" s="39" t="s">
        <v>1465</v>
      </c>
      <c r="K179" s="30">
        <v>35761</v>
      </c>
      <c r="L179" s="26">
        <v>1997</v>
      </c>
      <c r="M179" s="26">
        <f t="shared" si="10"/>
        <v>22</v>
      </c>
      <c r="N179" s="3" t="s">
        <v>3</v>
      </c>
      <c r="O179" s="3" t="s">
        <v>821</v>
      </c>
      <c r="P179" s="39" t="s">
        <v>831</v>
      </c>
      <c r="Q179" s="3"/>
      <c r="R179" s="39" t="s">
        <v>828</v>
      </c>
    </row>
    <row r="180" spans="2:18" ht="25.5" x14ac:dyDescent="0.2">
      <c r="B180" s="141"/>
      <c r="C180" s="141"/>
      <c r="D180" s="3">
        <v>173</v>
      </c>
      <c r="E180" s="39" t="s">
        <v>1142</v>
      </c>
      <c r="F180" s="3" t="s">
        <v>11</v>
      </c>
      <c r="G180" s="3" t="s">
        <v>292</v>
      </c>
      <c r="H180" s="3" t="s">
        <v>1</v>
      </c>
      <c r="I180" s="3" t="s">
        <v>10</v>
      </c>
      <c r="J180" s="39" t="s">
        <v>1465</v>
      </c>
      <c r="K180" s="30">
        <v>39892</v>
      </c>
      <c r="L180" s="26">
        <v>2009</v>
      </c>
      <c r="M180" s="26">
        <f t="shared" si="10"/>
        <v>10</v>
      </c>
      <c r="N180" s="3" t="s">
        <v>3</v>
      </c>
      <c r="O180" s="3" t="s">
        <v>821</v>
      </c>
      <c r="P180" s="39" t="s">
        <v>822</v>
      </c>
      <c r="Q180" s="3"/>
      <c r="R180" s="39" t="s">
        <v>825</v>
      </c>
    </row>
    <row r="181" spans="2:18" ht="25.5" x14ac:dyDescent="0.2">
      <c r="B181" s="139">
        <v>49</v>
      </c>
      <c r="C181" s="139" t="s">
        <v>1170</v>
      </c>
      <c r="D181" s="3">
        <v>174</v>
      </c>
      <c r="E181" s="39" t="s">
        <v>190</v>
      </c>
      <c r="F181" s="3" t="s">
        <v>5</v>
      </c>
      <c r="G181" s="3" t="s">
        <v>300</v>
      </c>
      <c r="H181" s="3" t="s">
        <v>1</v>
      </c>
      <c r="I181" s="3" t="s">
        <v>2</v>
      </c>
      <c r="J181" s="39" t="s">
        <v>1472</v>
      </c>
      <c r="K181" s="30">
        <v>27522</v>
      </c>
      <c r="L181" s="26">
        <v>1975</v>
      </c>
      <c r="M181" s="26">
        <f t="shared" si="10"/>
        <v>44</v>
      </c>
      <c r="N181" s="3" t="s">
        <v>3</v>
      </c>
      <c r="O181" s="3" t="s">
        <v>821</v>
      </c>
      <c r="P181" s="39" t="s">
        <v>823</v>
      </c>
      <c r="Q181" s="3"/>
      <c r="R181" s="39" t="s">
        <v>840</v>
      </c>
    </row>
    <row r="182" spans="2:18" x14ac:dyDescent="0.2">
      <c r="B182" s="140"/>
      <c r="C182" s="140"/>
      <c r="D182" s="3">
        <v>175</v>
      </c>
      <c r="E182" s="39" t="s">
        <v>191</v>
      </c>
      <c r="F182" s="3" t="s">
        <v>9</v>
      </c>
      <c r="G182" s="3" t="s">
        <v>1171</v>
      </c>
      <c r="H182" s="3" t="s">
        <v>7</v>
      </c>
      <c r="I182" s="3" t="s">
        <v>2</v>
      </c>
      <c r="J182" s="39" t="s">
        <v>1472</v>
      </c>
      <c r="K182" s="30">
        <v>29171</v>
      </c>
      <c r="L182" s="26">
        <v>1979</v>
      </c>
      <c r="M182" s="26">
        <f t="shared" si="10"/>
        <v>40</v>
      </c>
      <c r="N182" s="3" t="s">
        <v>3</v>
      </c>
      <c r="O182" s="3" t="s">
        <v>821</v>
      </c>
      <c r="P182" s="39" t="s">
        <v>831</v>
      </c>
      <c r="Q182" s="3"/>
      <c r="R182" s="39" t="s">
        <v>840</v>
      </c>
    </row>
    <row r="183" spans="2:18" ht="25.5" x14ac:dyDescent="0.2">
      <c r="B183" s="140"/>
      <c r="C183" s="140"/>
      <c r="D183" s="3">
        <v>176</v>
      </c>
      <c r="E183" s="39" t="s">
        <v>192</v>
      </c>
      <c r="F183" s="3" t="s">
        <v>11</v>
      </c>
      <c r="G183" s="3" t="s">
        <v>1172</v>
      </c>
      <c r="H183" s="3" t="s">
        <v>1</v>
      </c>
      <c r="I183" s="3" t="s">
        <v>10</v>
      </c>
      <c r="J183" s="39" t="s">
        <v>1472</v>
      </c>
      <c r="K183" s="30">
        <v>36086</v>
      </c>
      <c r="L183" s="26">
        <v>1998</v>
      </c>
      <c r="M183" s="26">
        <f t="shared" si="10"/>
        <v>21</v>
      </c>
      <c r="N183" s="3" t="s">
        <v>3</v>
      </c>
      <c r="O183" s="3" t="s">
        <v>821</v>
      </c>
      <c r="P183" s="39" t="s">
        <v>831</v>
      </c>
      <c r="Q183" s="3"/>
      <c r="R183" s="39" t="s">
        <v>828</v>
      </c>
    </row>
    <row r="184" spans="2:18" ht="25.5" x14ac:dyDescent="0.2">
      <c r="B184" s="141"/>
      <c r="C184" s="141"/>
      <c r="D184" s="3">
        <v>177</v>
      </c>
      <c r="E184" s="39" t="s">
        <v>193</v>
      </c>
      <c r="F184" s="3" t="s">
        <v>11</v>
      </c>
      <c r="G184" s="3" t="s">
        <v>1691</v>
      </c>
      <c r="H184" s="3" t="s">
        <v>7</v>
      </c>
      <c r="I184" s="3" t="s">
        <v>10</v>
      </c>
      <c r="J184" s="39" t="s">
        <v>1472</v>
      </c>
      <c r="K184" s="30">
        <v>38698</v>
      </c>
      <c r="L184" s="26">
        <v>2005</v>
      </c>
      <c r="M184" s="26">
        <f t="shared" si="10"/>
        <v>14</v>
      </c>
      <c r="N184" s="3" t="s">
        <v>3</v>
      </c>
      <c r="O184" s="3" t="s">
        <v>821</v>
      </c>
      <c r="P184" s="39" t="s">
        <v>822</v>
      </c>
      <c r="Q184" s="3"/>
      <c r="R184" s="39" t="s">
        <v>828</v>
      </c>
    </row>
    <row r="188" spans="2:18" s="107" customFormat="1" ht="15" x14ac:dyDescent="0.25">
      <c r="D188" s="128" t="s">
        <v>1845</v>
      </c>
      <c r="E188" s="128"/>
      <c r="F188" s="128"/>
      <c r="L188" s="82"/>
      <c r="P188" s="108"/>
      <c r="R188" s="108"/>
    </row>
    <row r="189" spans="2:18" s="107" customFormat="1" ht="15" x14ac:dyDescent="0.25">
      <c r="D189" s="128" t="s">
        <v>1846</v>
      </c>
      <c r="E189" s="128"/>
      <c r="F189" s="128"/>
      <c r="L189" s="82"/>
      <c r="P189" s="118" t="s">
        <v>1847</v>
      </c>
      <c r="Q189" s="118"/>
      <c r="R189" s="108"/>
    </row>
    <row r="190" spans="2:18" s="107" customFormat="1" ht="15" x14ac:dyDescent="0.25">
      <c r="D190" s="109"/>
      <c r="E190" s="110"/>
      <c r="F190" s="109"/>
      <c r="L190" s="82"/>
      <c r="P190" s="36"/>
      <c r="Q190" s="40"/>
      <c r="R190" s="108"/>
    </row>
    <row r="191" spans="2:18" s="107" customFormat="1" ht="15" x14ac:dyDescent="0.25">
      <c r="D191" s="109"/>
      <c r="E191" s="110"/>
      <c r="F191" s="109"/>
      <c r="L191" s="82"/>
      <c r="P191" s="36"/>
      <c r="Q191" s="40"/>
      <c r="R191" s="108"/>
    </row>
    <row r="192" spans="2:18" s="107" customFormat="1" ht="15" x14ac:dyDescent="0.25">
      <c r="D192" s="109"/>
      <c r="E192" s="110"/>
      <c r="F192" s="109"/>
      <c r="L192" s="82"/>
      <c r="P192" s="36"/>
      <c r="Q192" s="40"/>
      <c r="R192" s="108"/>
    </row>
    <row r="193" spans="4:18" s="107" customFormat="1" ht="14.25" x14ac:dyDescent="0.2">
      <c r="D193" s="129" t="s">
        <v>1848</v>
      </c>
      <c r="E193" s="129"/>
      <c r="F193" s="129"/>
      <c r="L193" s="82"/>
      <c r="P193" s="111" t="s">
        <v>1852</v>
      </c>
      <c r="Q193" s="111"/>
      <c r="R193" s="108"/>
    </row>
    <row r="194" spans="4:18" s="107" customFormat="1" ht="14.25" x14ac:dyDescent="0.2">
      <c r="D194" s="129" t="s">
        <v>1849</v>
      </c>
      <c r="E194" s="129"/>
      <c r="F194" s="129"/>
      <c r="L194" s="82"/>
      <c r="P194" s="108"/>
      <c r="R194" s="108"/>
    </row>
  </sheetData>
  <autoFilter ref="B7:R184"/>
  <mergeCells count="111">
    <mergeCell ref="B20:B23"/>
    <mergeCell ref="B102:B105"/>
    <mergeCell ref="C102:C105"/>
    <mergeCell ref="B133:B135"/>
    <mergeCell ref="C145:C148"/>
    <mergeCell ref="C149:C150"/>
    <mergeCell ref="B141:B144"/>
    <mergeCell ref="B110:B114"/>
    <mergeCell ref="B115:B117"/>
    <mergeCell ref="B118:B121"/>
    <mergeCell ref="B106:B109"/>
    <mergeCell ref="C122:C123"/>
    <mergeCell ref="C128:C132"/>
    <mergeCell ref="C136:C138"/>
    <mergeCell ref="C141:C144"/>
    <mergeCell ref="B181:B184"/>
    <mergeCell ref="C181:C184"/>
    <mergeCell ref="B1:R1"/>
    <mergeCell ref="B2:R2"/>
    <mergeCell ref="C20:C23"/>
    <mergeCell ref="C24:C26"/>
    <mergeCell ref="C27:C28"/>
    <mergeCell ref="C29:C33"/>
    <mergeCell ref="C34:C37"/>
    <mergeCell ref="C38:C40"/>
    <mergeCell ref="C64:C65"/>
    <mergeCell ref="C70:C73"/>
    <mergeCell ref="C74:C78"/>
    <mergeCell ref="C79:C81"/>
    <mergeCell ref="I5:I6"/>
    <mergeCell ref="H5:H6"/>
    <mergeCell ref="B171:B174"/>
    <mergeCell ref="B60:B63"/>
    <mergeCell ref="B24:B26"/>
    <mergeCell ref="Q5:Q6"/>
    <mergeCell ref="C5:C6"/>
    <mergeCell ref="B56:B59"/>
    <mergeCell ref="B122:B123"/>
    <mergeCell ref="B124:B126"/>
    <mergeCell ref="C171:C174"/>
    <mergeCell ref="C86:C90"/>
    <mergeCell ref="C94:C101"/>
    <mergeCell ref="C110:C114"/>
    <mergeCell ref="B64:B65"/>
    <mergeCell ref="B66:B69"/>
    <mergeCell ref="B70:B73"/>
    <mergeCell ref="B79:B81"/>
    <mergeCell ref="R5:R6"/>
    <mergeCell ref="B5:B6"/>
    <mergeCell ref="E5:E6"/>
    <mergeCell ref="B145:B148"/>
    <mergeCell ref="B149:B150"/>
    <mergeCell ref="C8:C10"/>
    <mergeCell ref="C16:C19"/>
    <mergeCell ref="C82:C85"/>
    <mergeCell ref="C11:C15"/>
    <mergeCell ref="B29:B33"/>
    <mergeCell ref="B38:B40"/>
    <mergeCell ref="B74:B78"/>
    <mergeCell ref="B41:B43"/>
    <mergeCell ref="B44:B49"/>
    <mergeCell ref="B51:B55"/>
    <mergeCell ref="C41:C43"/>
    <mergeCell ref="B151:B156"/>
    <mergeCell ref="B169:B170"/>
    <mergeCell ref="C169:C170"/>
    <mergeCell ref="B161:B164"/>
    <mergeCell ref="C161:C164"/>
    <mergeCell ref="B136:B138"/>
    <mergeCell ref="P5:P6"/>
    <mergeCell ref="B27:B28"/>
    <mergeCell ref="B34:B37"/>
    <mergeCell ref="C44:C49"/>
    <mergeCell ref="C56:C59"/>
    <mergeCell ref="C51:C55"/>
    <mergeCell ref="C66:C69"/>
    <mergeCell ref="M5:M6"/>
    <mergeCell ref="O5:O6"/>
    <mergeCell ref="F5:F6"/>
    <mergeCell ref="G5:G6"/>
    <mergeCell ref="N5:N6"/>
    <mergeCell ref="D5:D6"/>
    <mergeCell ref="J5:L5"/>
    <mergeCell ref="C60:C63"/>
    <mergeCell ref="B8:B10"/>
    <mergeCell ref="B11:B15"/>
    <mergeCell ref="B16:B19"/>
    <mergeCell ref="D188:F188"/>
    <mergeCell ref="D189:F189"/>
    <mergeCell ref="P189:Q189"/>
    <mergeCell ref="D193:F193"/>
    <mergeCell ref="P193:Q193"/>
    <mergeCell ref="D194:F194"/>
    <mergeCell ref="B175:B180"/>
    <mergeCell ref="C175:C180"/>
    <mergeCell ref="B82:B85"/>
    <mergeCell ref="B86:B90"/>
    <mergeCell ref="B91:B93"/>
    <mergeCell ref="C91:C93"/>
    <mergeCell ref="C106:C109"/>
    <mergeCell ref="C118:C121"/>
    <mergeCell ref="C115:C117"/>
    <mergeCell ref="C166:C168"/>
    <mergeCell ref="B166:B168"/>
    <mergeCell ref="B157:B160"/>
    <mergeCell ref="C133:C135"/>
    <mergeCell ref="C124:C126"/>
    <mergeCell ref="C157:C160"/>
    <mergeCell ref="C151:C156"/>
    <mergeCell ref="B94:B101"/>
    <mergeCell ref="B128:B132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1"/>
  <sheetViews>
    <sheetView zoomScaleNormal="100" workbookViewId="0">
      <pane ySplit="6" topLeftCell="A7" activePane="bottomLeft" state="frozen"/>
      <selection pane="bottomLeft" activeCell="H23" sqref="H23"/>
    </sheetView>
  </sheetViews>
  <sheetFormatPr defaultRowHeight="15" x14ac:dyDescent="0.25"/>
  <cols>
    <col min="1" max="1" width="9.140625" style="31"/>
    <col min="2" max="2" width="3.140625" style="84" customWidth="1"/>
    <col min="3" max="3" width="15.5703125" style="84" customWidth="1"/>
    <col min="4" max="4" width="8.7109375" style="84" customWidth="1"/>
    <col min="5" max="5" width="12.7109375" style="85" customWidth="1"/>
    <col min="6" max="6" width="9.7109375" style="84" customWidth="1"/>
    <col min="7" max="7" width="15.7109375" style="101" customWidth="1"/>
    <col min="8" max="8" width="7.7109375" style="84" customWidth="1"/>
    <col min="9" max="9" width="10.7109375" style="85" customWidth="1"/>
    <col min="10" max="10" width="13.7109375" style="85" customWidth="1"/>
    <col min="11" max="11" width="14.7109375" style="81" customWidth="1"/>
    <col min="12" max="12" width="6" style="79" customWidth="1"/>
    <col min="13" max="13" width="4.42578125" style="79" customWidth="1"/>
    <col min="14" max="14" width="6.42578125" style="84" customWidth="1"/>
    <col min="15" max="15" width="5" style="84" customWidth="1"/>
    <col min="16" max="16" width="16.7109375" style="85" customWidth="1"/>
    <col min="17" max="17" width="7.5703125" style="84" customWidth="1"/>
    <col min="18" max="18" width="15.7109375" style="85" customWidth="1"/>
    <col min="19" max="16384" width="9.140625" style="31"/>
  </cols>
  <sheetData>
    <row r="1" spans="1:18" s="35" customFormat="1" ht="15.75" x14ac:dyDescent="0.25">
      <c r="B1" s="131" t="s">
        <v>1694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</row>
    <row r="2" spans="1:18" s="35" customFormat="1" ht="15.75" x14ac:dyDescent="0.25">
      <c r="B2" s="131" t="s">
        <v>1695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1:18" s="35" customFormat="1" ht="15.75" x14ac:dyDescent="0.25">
      <c r="B3" s="106" t="s">
        <v>1698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18" ht="15.75" x14ac:dyDescent="0.25">
      <c r="B4" s="106" t="s">
        <v>1844</v>
      </c>
    </row>
    <row r="5" spans="1:18" ht="20.100000000000001" customHeight="1" x14ac:dyDescent="0.25">
      <c r="B5" s="144" t="s">
        <v>108</v>
      </c>
      <c r="C5" s="144" t="s">
        <v>803</v>
      </c>
      <c r="D5" s="143" t="s">
        <v>804</v>
      </c>
      <c r="E5" s="152" t="s">
        <v>1696</v>
      </c>
      <c r="F5" s="143" t="s">
        <v>115</v>
      </c>
      <c r="G5" s="145" t="s">
        <v>116</v>
      </c>
      <c r="H5" s="143" t="s">
        <v>110</v>
      </c>
      <c r="I5" s="143" t="s">
        <v>111</v>
      </c>
      <c r="J5" s="144" t="s">
        <v>805</v>
      </c>
      <c r="K5" s="144"/>
      <c r="L5" s="144"/>
      <c r="M5" s="135" t="s">
        <v>809</v>
      </c>
      <c r="N5" s="144" t="s">
        <v>112</v>
      </c>
      <c r="O5" s="144" t="s">
        <v>810</v>
      </c>
      <c r="P5" s="143" t="s">
        <v>113</v>
      </c>
      <c r="Q5" s="144" t="s">
        <v>811</v>
      </c>
      <c r="R5" s="143" t="s">
        <v>114</v>
      </c>
    </row>
    <row r="6" spans="1:18" ht="20.100000000000001" customHeight="1" x14ac:dyDescent="0.25">
      <c r="B6" s="144"/>
      <c r="C6" s="144"/>
      <c r="D6" s="143"/>
      <c r="E6" s="153"/>
      <c r="F6" s="143"/>
      <c r="G6" s="145"/>
      <c r="H6" s="143"/>
      <c r="I6" s="143"/>
      <c r="J6" s="89" t="s">
        <v>806</v>
      </c>
      <c r="K6" s="87" t="s">
        <v>807</v>
      </c>
      <c r="L6" s="88" t="s">
        <v>808</v>
      </c>
      <c r="M6" s="135"/>
      <c r="N6" s="144"/>
      <c r="O6" s="144"/>
      <c r="P6" s="143"/>
      <c r="Q6" s="144"/>
      <c r="R6" s="143"/>
    </row>
    <row r="7" spans="1:18" x14ac:dyDescent="0.25">
      <c r="B7" s="90"/>
      <c r="C7" s="90"/>
      <c r="D7" s="90"/>
      <c r="E7" s="89"/>
      <c r="F7" s="90"/>
      <c r="G7" s="91"/>
      <c r="H7" s="90"/>
      <c r="I7" s="89"/>
      <c r="J7" s="89"/>
      <c r="K7" s="87"/>
      <c r="L7" s="88"/>
      <c r="M7" s="88"/>
      <c r="N7" s="90"/>
      <c r="O7" s="90"/>
      <c r="P7" s="89"/>
      <c r="Q7" s="90"/>
      <c r="R7" s="89"/>
    </row>
    <row r="8" spans="1:18" ht="25.5" x14ac:dyDescent="0.25">
      <c r="B8" s="142">
        <v>1</v>
      </c>
      <c r="C8" s="139" t="s">
        <v>1006</v>
      </c>
      <c r="D8" s="3">
        <v>1</v>
      </c>
      <c r="E8" s="39" t="s">
        <v>0</v>
      </c>
      <c r="F8" s="3" t="s">
        <v>5</v>
      </c>
      <c r="G8" s="3" t="s">
        <v>751</v>
      </c>
      <c r="H8" s="3" t="s">
        <v>1</v>
      </c>
      <c r="I8" s="39" t="s">
        <v>2</v>
      </c>
      <c r="J8" s="39" t="s">
        <v>1472</v>
      </c>
      <c r="K8" s="30">
        <v>27576</v>
      </c>
      <c r="L8" s="26">
        <v>1975</v>
      </c>
      <c r="M8" s="26">
        <f>2019-L8</f>
        <v>44</v>
      </c>
      <c r="N8" s="3" t="s">
        <v>3</v>
      </c>
      <c r="O8" s="3" t="s">
        <v>821</v>
      </c>
      <c r="P8" s="39" t="s">
        <v>936</v>
      </c>
      <c r="Q8" s="3"/>
      <c r="R8" s="39" t="s">
        <v>1612</v>
      </c>
    </row>
    <row r="9" spans="1:18" ht="25.5" x14ac:dyDescent="0.25">
      <c r="A9" s="92"/>
      <c r="B9" s="142"/>
      <c r="C9" s="140"/>
      <c r="D9" s="3">
        <v>2</v>
      </c>
      <c r="E9" s="39" t="s">
        <v>6</v>
      </c>
      <c r="F9" s="3" t="s">
        <v>9</v>
      </c>
      <c r="G9" s="3" t="s">
        <v>1002</v>
      </c>
      <c r="H9" s="3" t="s">
        <v>7</v>
      </c>
      <c r="I9" s="39" t="s">
        <v>2</v>
      </c>
      <c r="J9" s="39" t="s">
        <v>1613</v>
      </c>
      <c r="K9" s="30">
        <v>28736</v>
      </c>
      <c r="L9" s="26">
        <v>1978</v>
      </c>
      <c r="M9" s="26">
        <f>2019-L9</f>
        <v>41</v>
      </c>
      <c r="N9" s="3" t="s">
        <v>3</v>
      </c>
      <c r="O9" s="3" t="s">
        <v>821</v>
      </c>
      <c r="P9" s="39" t="s">
        <v>936</v>
      </c>
      <c r="Q9" s="3"/>
      <c r="R9" s="39" t="s">
        <v>827</v>
      </c>
    </row>
    <row r="10" spans="1:18" x14ac:dyDescent="0.25">
      <c r="A10" s="93"/>
      <c r="B10" s="142"/>
      <c r="C10" s="140"/>
      <c r="D10" s="3">
        <v>3</v>
      </c>
      <c r="E10" s="39" t="s">
        <v>1001</v>
      </c>
      <c r="F10" s="3" t="s">
        <v>11</v>
      </c>
      <c r="G10" s="3" t="s">
        <v>1003</v>
      </c>
      <c r="H10" s="3" t="s">
        <v>7</v>
      </c>
      <c r="I10" s="39" t="s">
        <v>10</v>
      </c>
      <c r="J10" s="39" t="s">
        <v>1472</v>
      </c>
      <c r="K10" s="30">
        <v>36118</v>
      </c>
      <c r="L10" s="26">
        <v>1998</v>
      </c>
      <c r="M10" s="26">
        <v>21</v>
      </c>
      <c r="N10" s="3" t="s">
        <v>3</v>
      </c>
      <c r="O10" s="3" t="s">
        <v>821</v>
      </c>
      <c r="P10" s="39" t="s">
        <v>933</v>
      </c>
      <c r="Q10" s="3"/>
      <c r="R10" s="39" t="s">
        <v>1475</v>
      </c>
    </row>
    <row r="11" spans="1:18" ht="25.5" x14ac:dyDescent="0.25">
      <c r="B11" s="142"/>
      <c r="C11" s="141"/>
      <c r="D11" s="3">
        <v>4</v>
      </c>
      <c r="E11" s="39" t="s">
        <v>1614</v>
      </c>
      <c r="F11" s="3" t="s">
        <v>11</v>
      </c>
      <c r="G11" s="3" t="s">
        <v>1615</v>
      </c>
      <c r="H11" s="3" t="s">
        <v>7</v>
      </c>
      <c r="I11" s="39" t="s">
        <v>10</v>
      </c>
      <c r="J11" s="39" t="s">
        <v>1472</v>
      </c>
      <c r="K11" s="30">
        <v>40078</v>
      </c>
      <c r="L11" s="26">
        <v>2009</v>
      </c>
      <c r="M11" s="26">
        <f>2019-L11</f>
        <v>10</v>
      </c>
      <c r="N11" s="3" t="s">
        <v>3</v>
      </c>
      <c r="O11" s="3" t="s">
        <v>821</v>
      </c>
      <c r="P11" s="39" t="s">
        <v>937</v>
      </c>
      <c r="Q11" s="3"/>
      <c r="R11" s="39" t="s">
        <v>1491</v>
      </c>
    </row>
    <row r="12" spans="1:18" x14ac:dyDescent="0.25">
      <c r="B12" s="139">
        <v>2</v>
      </c>
      <c r="C12" s="139" t="s">
        <v>935</v>
      </c>
      <c r="D12" s="3">
        <v>5</v>
      </c>
      <c r="E12" s="39" t="s">
        <v>12</v>
      </c>
      <c r="F12" s="3" t="s">
        <v>5</v>
      </c>
      <c r="G12" s="3" t="s">
        <v>752</v>
      </c>
      <c r="H12" s="3" t="s">
        <v>1</v>
      </c>
      <c r="I12" s="39" t="s">
        <v>2</v>
      </c>
      <c r="J12" s="39" t="s">
        <v>1472</v>
      </c>
      <c r="K12" s="30">
        <v>29920</v>
      </c>
      <c r="L12" s="26">
        <v>1981</v>
      </c>
      <c r="M12" s="26">
        <f>2019-L12</f>
        <v>38</v>
      </c>
      <c r="N12" s="3" t="s">
        <v>3</v>
      </c>
      <c r="O12" s="3" t="s">
        <v>821</v>
      </c>
      <c r="P12" s="39" t="s">
        <v>936</v>
      </c>
      <c r="Q12" s="3"/>
      <c r="R12" s="39" t="s">
        <v>54</v>
      </c>
    </row>
    <row r="13" spans="1:18" x14ac:dyDescent="0.25">
      <c r="B13" s="140"/>
      <c r="C13" s="140"/>
      <c r="D13" s="3">
        <v>6</v>
      </c>
      <c r="E13" s="39" t="s">
        <v>14</v>
      </c>
      <c r="F13" s="3" t="s">
        <v>9</v>
      </c>
      <c r="G13" s="3" t="s">
        <v>753</v>
      </c>
      <c r="H13" s="3" t="s">
        <v>7</v>
      </c>
      <c r="I13" s="39" t="s">
        <v>2</v>
      </c>
      <c r="J13" s="39" t="s">
        <v>1519</v>
      </c>
      <c r="K13" s="30">
        <v>31047</v>
      </c>
      <c r="L13" s="26">
        <v>1984</v>
      </c>
      <c r="M13" s="26">
        <f>2019-L13</f>
        <v>35</v>
      </c>
      <c r="N13" s="3" t="s">
        <v>3</v>
      </c>
      <c r="O13" s="3" t="s">
        <v>821</v>
      </c>
      <c r="P13" s="39" t="s">
        <v>936</v>
      </c>
      <c r="Q13" s="3"/>
      <c r="R13" s="39" t="s">
        <v>54</v>
      </c>
    </row>
    <row r="14" spans="1:18" ht="38.25" x14ac:dyDescent="0.25">
      <c r="B14" s="140"/>
      <c r="C14" s="140"/>
      <c r="D14" s="3">
        <v>7</v>
      </c>
      <c r="E14" s="39" t="s">
        <v>15</v>
      </c>
      <c r="F14" s="3" t="s">
        <v>11</v>
      </c>
      <c r="G14" s="3" t="s">
        <v>754</v>
      </c>
      <c r="H14" s="3" t="s">
        <v>1</v>
      </c>
      <c r="I14" s="39" t="s">
        <v>10</v>
      </c>
      <c r="J14" s="39" t="s">
        <v>1472</v>
      </c>
      <c r="K14" s="30">
        <v>40394</v>
      </c>
      <c r="L14" s="26">
        <v>2010</v>
      </c>
      <c r="M14" s="26">
        <f>2019-L14</f>
        <v>9</v>
      </c>
      <c r="N14" s="3" t="s">
        <v>3</v>
      </c>
      <c r="O14" s="3" t="s">
        <v>821</v>
      </c>
      <c r="P14" s="39" t="s">
        <v>937</v>
      </c>
      <c r="Q14" s="3"/>
      <c r="R14" s="39" t="s">
        <v>1491</v>
      </c>
    </row>
    <row r="15" spans="1:18" ht="25.5" x14ac:dyDescent="0.25">
      <c r="B15" s="141"/>
      <c r="C15" s="141"/>
      <c r="D15" s="3">
        <v>8</v>
      </c>
      <c r="E15" s="39" t="s">
        <v>934</v>
      </c>
      <c r="F15" s="3" t="s">
        <v>11</v>
      </c>
      <c r="G15" s="3"/>
      <c r="H15" s="3" t="s">
        <v>7</v>
      </c>
      <c r="I15" s="39"/>
      <c r="J15" s="39"/>
      <c r="K15" s="30"/>
      <c r="L15" s="26"/>
      <c r="M15" s="26"/>
      <c r="N15" s="3"/>
      <c r="O15" s="3"/>
      <c r="P15" s="39"/>
      <c r="Q15" s="3"/>
      <c r="R15" s="39"/>
    </row>
    <row r="16" spans="1:18" ht="25.5" x14ac:dyDescent="0.25">
      <c r="B16" s="142">
        <v>3</v>
      </c>
      <c r="C16" s="139" t="s">
        <v>929</v>
      </c>
      <c r="D16" s="3">
        <v>9</v>
      </c>
      <c r="E16" s="39" t="s">
        <v>16</v>
      </c>
      <c r="F16" s="3" t="s">
        <v>5</v>
      </c>
      <c r="G16" s="3" t="s">
        <v>755</v>
      </c>
      <c r="H16" s="3" t="s">
        <v>1</v>
      </c>
      <c r="I16" s="39" t="s">
        <v>2</v>
      </c>
      <c r="J16" s="39" t="s">
        <v>1465</v>
      </c>
      <c r="K16" s="30">
        <v>25933</v>
      </c>
      <c r="L16" s="26">
        <v>1970</v>
      </c>
      <c r="M16" s="26">
        <f t="shared" ref="M16:M24" si="0">2019-L16</f>
        <v>49</v>
      </c>
      <c r="N16" s="3" t="s">
        <v>3</v>
      </c>
      <c r="O16" s="3" t="s">
        <v>821</v>
      </c>
      <c r="P16" s="39" t="s">
        <v>933</v>
      </c>
      <c r="Q16" s="3"/>
      <c r="R16" s="39" t="s">
        <v>1496</v>
      </c>
    </row>
    <row r="17" spans="2:18" ht="25.5" x14ac:dyDescent="0.25">
      <c r="B17" s="142"/>
      <c r="C17" s="140"/>
      <c r="D17" s="3">
        <v>10</v>
      </c>
      <c r="E17" s="39" t="s">
        <v>930</v>
      </c>
      <c r="F17" s="3" t="s">
        <v>9</v>
      </c>
      <c r="G17" s="3" t="s">
        <v>756</v>
      </c>
      <c r="H17" s="3" t="s">
        <v>7</v>
      </c>
      <c r="I17" s="39" t="s">
        <v>2</v>
      </c>
      <c r="J17" s="39" t="s">
        <v>1465</v>
      </c>
      <c r="K17" s="30">
        <v>26664</v>
      </c>
      <c r="L17" s="26">
        <v>1972</v>
      </c>
      <c r="M17" s="26">
        <f t="shared" si="0"/>
        <v>47</v>
      </c>
      <c r="N17" s="3" t="s">
        <v>3</v>
      </c>
      <c r="O17" s="3" t="s">
        <v>821</v>
      </c>
      <c r="P17" s="39" t="s">
        <v>932</v>
      </c>
      <c r="Q17" s="3"/>
      <c r="R17" s="39" t="s">
        <v>1496</v>
      </c>
    </row>
    <row r="18" spans="2:18" ht="25.5" x14ac:dyDescent="0.25">
      <c r="B18" s="142"/>
      <c r="C18" s="140"/>
      <c r="D18" s="3">
        <v>11</v>
      </c>
      <c r="E18" s="39" t="s">
        <v>17</v>
      </c>
      <c r="F18" s="3" t="s">
        <v>11</v>
      </c>
      <c r="G18" s="3" t="s">
        <v>757</v>
      </c>
      <c r="H18" s="3" t="s">
        <v>7</v>
      </c>
      <c r="I18" s="39" t="s">
        <v>10</v>
      </c>
      <c r="J18" s="39" t="s">
        <v>1465</v>
      </c>
      <c r="K18" s="30">
        <v>36535</v>
      </c>
      <c r="L18" s="26">
        <v>2000</v>
      </c>
      <c r="M18" s="26">
        <f t="shared" si="0"/>
        <v>19</v>
      </c>
      <c r="N18" s="3" t="s">
        <v>3</v>
      </c>
      <c r="O18" s="3" t="s">
        <v>821</v>
      </c>
      <c r="P18" s="39" t="s">
        <v>931</v>
      </c>
      <c r="Q18" s="3"/>
      <c r="R18" s="39" t="s">
        <v>1475</v>
      </c>
    </row>
    <row r="19" spans="2:18" ht="25.5" x14ac:dyDescent="0.25">
      <c r="B19" s="142"/>
      <c r="C19" s="141"/>
      <c r="D19" s="3">
        <v>12</v>
      </c>
      <c r="E19" s="39" t="s">
        <v>18</v>
      </c>
      <c r="F19" s="3" t="s">
        <v>11</v>
      </c>
      <c r="G19" s="3" t="s">
        <v>758</v>
      </c>
      <c r="H19" s="3" t="s">
        <v>1</v>
      </c>
      <c r="I19" s="39" t="s">
        <v>10</v>
      </c>
      <c r="J19" s="39" t="s">
        <v>1465</v>
      </c>
      <c r="K19" s="30">
        <v>38191</v>
      </c>
      <c r="L19" s="26">
        <v>2004</v>
      </c>
      <c r="M19" s="26">
        <f t="shared" si="0"/>
        <v>15</v>
      </c>
      <c r="N19" s="3" t="s">
        <v>3</v>
      </c>
      <c r="O19" s="3" t="s">
        <v>821</v>
      </c>
      <c r="P19" s="39" t="s">
        <v>931</v>
      </c>
      <c r="Q19" s="3"/>
      <c r="R19" s="39" t="s">
        <v>1475</v>
      </c>
    </row>
    <row r="20" spans="2:18" x14ac:dyDescent="0.25">
      <c r="B20" s="142">
        <v>4</v>
      </c>
      <c r="C20" s="142"/>
      <c r="D20" s="3">
        <v>13</v>
      </c>
      <c r="E20" s="39" t="s">
        <v>19</v>
      </c>
      <c r="F20" s="3" t="s">
        <v>5</v>
      </c>
      <c r="G20" s="3" t="s">
        <v>759</v>
      </c>
      <c r="H20" s="3" t="s">
        <v>1</v>
      </c>
      <c r="I20" s="39" t="s">
        <v>2</v>
      </c>
      <c r="J20" s="39"/>
      <c r="K20" s="30">
        <v>31969</v>
      </c>
      <c r="L20" s="26">
        <v>1987</v>
      </c>
      <c r="M20" s="26">
        <f t="shared" si="0"/>
        <v>32</v>
      </c>
      <c r="N20" s="3" t="s">
        <v>3</v>
      </c>
      <c r="O20" s="3"/>
      <c r="P20" s="39" t="s">
        <v>8</v>
      </c>
      <c r="Q20" s="3"/>
      <c r="R20" s="39"/>
    </row>
    <row r="21" spans="2:18" x14ac:dyDescent="0.25">
      <c r="B21" s="142"/>
      <c r="C21" s="142"/>
      <c r="D21" s="3">
        <v>14</v>
      </c>
      <c r="E21" s="39" t="s">
        <v>20</v>
      </c>
      <c r="F21" s="3" t="s">
        <v>9</v>
      </c>
      <c r="G21" s="3" t="s">
        <v>760</v>
      </c>
      <c r="H21" s="3" t="s">
        <v>7</v>
      </c>
      <c r="I21" s="39" t="s">
        <v>2</v>
      </c>
      <c r="J21" s="39"/>
      <c r="K21" s="30">
        <v>33826</v>
      </c>
      <c r="L21" s="26">
        <v>1992</v>
      </c>
      <c r="M21" s="26">
        <f t="shared" si="0"/>
        <v>27</v>
      </c>
      <c r="N21" s="3" t="s">
        <v>3</v>
      </c>
      <c r="O21" s="3"/>
      <c r="P21" s="39" t="s">
        <v>21</v>
      </c>
      <c r="Q21" s="3"/>
      <c r="R21" s="39"/>
    </row>
    <row r="22" spans="2:18" x14ac:dyDescent="0.25">
      <c r="B22" s="142"/>
      <c r="C22" s="142"/>
      <c r="D22" s="3">
        <v>15</v>
      </c>
      <c r="E22" s="39" t="s">
        <v>22</v>
      </c>
      <c r="F22" s="3" t="s">
        <v>11</v>
      </c>
      <c r="G22" s="3" t="s">
        <v>760</v>
      </c>
      <c r="H22" s="3" t="s">
        <v>1</v>
      </c>
      <c r="I22" s="39" t="s">
        <v>10</v>
      </c>
      <c r="J22" s="39"/>
      <c r="K22" s="30">
        <v>40999</v>
      </c>
      <c r="L22" s="26">
        <v>2012</v>
      </c>
      <c r="M22" s="26">
        <f t="shared" si="0"/>
        <v>7</v>
      </c>
      <c r="N22" s="3" t="s">
        <v>3</v>
      </c>
      <c r="O22" s="3"/>
      <c r="P22" s="39" t="s">
        <v>4</v>
      </c>
      <c r="Q22" s="3"/>
      <c r="R22" s="39"/>
    </row>
    <row r="23" spans="2:18" ht="25.5" x14ac:dyDescent="0.25">
      <c r="B23" s="142">
        <v>5</v>
      </c>
      <c r="C23" s="139" t="s">
        <v>1007</v>
      </c>
      <c r="D23" s="3">
        <v>16</v>
      </c>
      <c r="E23" s="39" t="s">
        <v>23</v>
      </c>
      <c r="F23" s="3" t="s">
        <v>5</v>
      </c>
      <c r="G23" s="3" t="s">
        <v>1008</v>
      </c>
      <c r="H23" s="3" t="s">
        <v>1</v>
      </c>
      <c r="I23" s="39" t="s">
        <v>2</v>
      </c>
      <c r="J23" s="39" t="s">
        <v>1472</v>
      </c>
      <c r="K23" s="30">
        <v>20271</v>
      </c>
      <c r="L23" s="26">
        <v>1955</v>
      </c>
      <c r="M23" s="26">
        <f t="shared" si="0"/>
        <v>64</v>
      </c>
      <c r="N23" s="3" t="s">
        <v>3</v>
      </c>
      <c r="O23" s="3" t="s">
        <v>821</v>
      </c>
      <c r="P23" s="39" t="s">
        <v>948</v>
      </c>
      <c r="Q23" s="3"/>
      <c r="R23" s="39" t="s">
        <v>1616</v>
      </c>
    </row>
    <row r="24" spans="2:18" ht="25.5" x14ac:dyDescent="0.25">
      <c r="B24" s="142"/>
      <c r="C24" s="140"/>
      <c r="D24" s="3">
        <v>17</v>
      </c>
      <c r="E24" s="39" t="s">
        <v>1005</v>
      </c>
      <c r="F24" s="3" t="s">
        <v>9</v>
      </c>
      <c r="G24" s="3" t="s">
        <v>1009</v>
      </c>
      <c r="H24" s="3" t="s">
        <v>7</v>
      </c>
      <c r="I24" s="39" t="s">
        <v>2</v>
      </c>
      <c r="J24" s="39" t="s">
        <v>1472</v>
      </c>
      <c r="K24" s="30">
        <v>18445</v>
      </c>
      <c r="L24" s="26">
        <v>1950</v>
      </c>
      <c r="M24" s="26">
        <f t="shared" si="0"/>
        <v>69</v>
      </c>
      <c r="N24" s="3" t="s">
        <v>3</v>
      </c>
      <c r="O24" s="3" t="s">
        <v>821</v>
      </c>
      <c r="P24" s="39" t="s">
        <v>948</v>
      </c>
      <c r="Q24" s="3"/>
      <c r="R24" s="39" t="s">
        <v>1616</v>
      </c>
    </row>
    <row r="25" spans="2:18" ht="25.5" x14ac:dyDescent="0.25">
      <c r="B25" s="142"/>
      <c r="C25" s="140"/>
      <c r="D25" s="3">
        <v>18</v>
      </c>
      <c r="E25" s="39" t="s">
        <v>1004</v>
      </c>
      <c r="F25" s="3" t="s">
        <v>11</v>
      </c>
      <c r="G25" s="3" t="s">
        <v>1010</v>
      </c>
      <c r="H25" s="3" t="s">
        <v>7</v>
      </c>
      <c r="I25" s="39" t="s">
        <v>10</v>
      </c>
      <c r="J25" s="39" t="s">
        <v>1472</v>
      </c>
      <c r="K25" s="30">
        <v>31594</v>
      </c>
      <c r="L25" s="26">
        <v>1986</v>
      </c>
      <c r="M25" s="26">
        <v>33</v>
      </c>
      <c r="N25" s="3" t="s">
        <v>3</v>
      </c>
      <c r="O25" s="3" t="s">
        <v>821</v>
      </c>
      <c r="P25" s="39" t="s">
        <v>933</v>
      </c>
      <c r="Q25" s="3"/>
      <c r="R25" s="39" t="s">
        <v>1491</v>
      </c>
    </row>
    <row r="26" spans="2:18" x14ac:dyDescent="0.25">
      <c r="B26" s="142"/>
      <c r="C26" s="141"/>
      <c r="D26" s="3">
        <v>19</v>
      </c>
      <c r="E26" s="39" t="s">
        <v>24</v>
      </c>
      <c r="F26" s="3" t="s">
        <v>11</v>
      </c>
      <c r="G26" s="3" t="s">
        <v>1617</v>
      </c>
      <c r="H26" s="3" t="s">
        <v>1</v>
      </c>
      <c r="I26" s="39" t="s">
        <v>10</v>
      </c>
      <c r="J26" s="39" t="s">
        <v>1472</v>
      </c>
      <c r="K26" s="30">
        <v>31815</v>
      </c>
      <c r="L26" s="26">
        <v>1987</v>
      </c>
      <c r="M26" s="26">
        <f t="shared" ref="M26:M86" si="1">2019-L26</f>
        <v>32</v>
      </c>
      <c r="N26" s="3" t="s">
        <v>3</v>
      </c>
      <c r="O26" s="3" t="s">
        <v>821</v>
      </c>
      <c r="P26" s="39" t="s">
        <v>933</v>
      </c>
      <c r="Q26" s="3"/>
      <c r="R26" s="39" t="s">
        <v>54</v>
      </c>
    </row>
    <row r="27" spans="2:18" ht="25.5" x14ac:dyDescent="0.25">
      <c r="B27" s="142">
        <v>6</v>
      </c>
      <c r="C27" s="142" t="s">
        <v>1060</v>
      </c>
      <c r="D27" s="3">
        <v>20</v>
      </c>
      <c r="E27" s="39" t="s">
        <v>25</v>
      </c>
      <c r="F27" s="3" t="s">
        <v>5</v>
      </c>
      <c r="G27" s="3" t="s">
        <v>761</v>
      </c>
      <c r="H27" s="3" t="s">
        <v>1</v>
      </c>
      <c r="I27" s="39" t="s">
        <v>2</v>
      </c>
      <c r="J27" s="39" t="s">
        <v>1465</v>
      </c>
      <c r="K27" s="30">
        <v>20089</v>
      </c>
      <c r="L27" s="26">
        <v>1954</v>
      </c>
      <c r="M27" s="26">
        <f t="shared" si="1"/>
        <v>65</v>
      </c>
      <c r="N27" s="3" t="s">
        <v>3</v>
      </c>
      <c r="O27" s="3" t="s">
        <v>821</v>
      </c>
      <c r="P27" s="39" t="s">
        <v>936</v>
      </c>
      <c r="Q27" s="3"/>
      <c r="R27" s="39" t="s">
        <v>840</v>
      </c>
    </row>
    <row r="28" spans="2:18" ht="25.5" x14ac:dyDescent="0.25">
      <c r="B28" s="142"/>
      <c r="C28" s="142"/>
      <c r="D28" s="3">
        <v>21</v>
      </c>
      <c r="E28" s="39" t="s">
        <v>26</v>
      </c>
      <c r="F28" s="3" t="s">
        <v>9</v>
      </c>
      <c r="G28" s="3" t="s">
        <v>762</v>
      </c>
      <c r="H28" s="3" t="s">
        <v>7</v>
      </c>
      <c r="I28" s="39" t="s">
        <v>2</v>
      </c>
      <c r="J28" s="39" t="s">
        <v>1465</v>
      </c>
      <c r="K28" s="30">
        <v>23742</v>
      </c>
      <c r="L28" s="26">
        <v>1964</v>
      </c>
      <c r="M28" s="26">
        <f t="shared" si="1"/>
        <v>55</v>
      </c>
      <c r="N28" s="3" t="s">
        <v>3</v>
      </c>
      <c r="O28" s="3" t="s">
        <v>821</v>
      </c>
      <c r="P28" s="39" t="s">
        <v>936</v>
      </c>
      <c r="Q28" s="3"/>
      <c r="R28" s="39" t="s">
        <v>840</v>
      </c>
    </row>
    <row r="29" spans="2:18" x14ac:dyDescent="0.25">
      <c r="B29" s="142">
        <v>7</v>
      </c>
      <c r="C29" s="142"/>
      <c r="D29" s="3">
        <v>22</v>
      </c>
      <c r="E29" s="39" t="s">
        <v>27</v>
      </c>
      <c r="F29" s="3" t="s">
        <v>5</v>
      </c>
      <c r="G29" s="3" t="s">
        <v>1853</v>
      </c>
      <c r="H29" s="3" t="s">
        <v>1</v>
      </c>
      <c r="I29" s="39" t="s">
        <v>2</v>
      </c>
      <c r="J29" s="39"/>
      <c r="K29" s="30">
        <v>29701</v>
      </c>
      <c r="L29" s="26">
        <v>1981</v>
      </c>
      <c r="M29" s="26">
        <f t="shared" si="1"/>
        <v>38</v>
      </c>
      <c r="N29" s="3" t="s">
        <v>3</v>
      </c>
      <c r="O29" s="3"/>
      <c r="P29" s="39" t="s">
        <v>4</v>
      </c>
      <c r="Q29" s="3"/>
      <c r="R29" s="39"/>
    </row>
    <row r="30" spans="2:18" x14ac:dyDescent="0.25">
      <c r="B30" s="142"/>
      <c r="C30" s="142"/>
      <c r="D30" s="3">
        <v>23</v>
      </c>
      <c r="E30" s="39" t="s">
        <v>28</v>
      </c>
      <c r="F30" s="3" t="s">
        <v>9</v>
      </c>
      <c r="G30" s="3" t="s">
        <v>1854</v>
      </c>
      <c r="H30" s="3" t="s">
        <v>7</v>
      </c>
      <c r="I30" s="39" t="s">
        <v>2</v>
      </c>
      <c r="J30" s="39"/>
      <c r="K30" s="30">
        <v>32142</v>
      </c>
      <c r="L30" s="26">
        <v>1987</v>
      </c>
      <c r="M30" s="26">
        <f t="shared" si="1"/>
        <v>32</v>
      </c>
      <c r="N30" s="3" t="s">
        <v>3</v>
      </c>
      <c r="O30" s="3"/>
      <c r="P30" s="39" t="s">
        <v>4</v>
      </c>
      <c r="Q30" s="3"/>
      <c r="R30" s="39"/>
    </row>
    <row r="31" spans="2:18" ht="25.5" x14ac:dyDescent="0.25">
      <c r="B31" s="142"/>
      <c r="C31" s="142"/>
      <c r="D31" s="3">
        <v>24</v>
      </c>
      <c r="E31" s="39" t="s">
        <v>29</v>
      </c>
      <c r="F31" s="3" t="s">
        <v>11</v>
      </c>
      <c r="G31" s="3"/>
      <c r="H31" s="3" t="s">
        <v>7</v>
      </c>
      <c r="I31" s="39" t="s">
        <v>10</v>
      </c>
      <c r="J31" s="39"/>
      <c r="K31" s="30">
        <v>40689</v>
      </c>
      <c r="L31" s="26">
        <v>2011</v>
      </c>
      <c r="M31" s="26">
        <f t="shared" si="1"/>
        <v>8</v>
      </c>
      <c r="N31" s="3" t="s">
        <v>3</v>
      </c>
      <c r="O31" s="3"/>
      <c r="P31" s="39" t="s">
        <v>4</v>
      </c>
      <c r="Q31" s="3"/>
      <c r="R31" s="39"/>
    </row>
    <row r="32" spans="2:18" ht="25.5" x14ac:dyDescent="0.25">
      <c r="B32" s="142">
        <v>8</v>
      </c>
      <c r="C32" s="142" t="s">
        <v>1788</v>
      </c>
      <c r="D32" s="3">
        <v>25</v>
      </c>
      <c r="E32" s="39" t="s">
        <v>1789</v>
      </c>
      <c r="F32" s="3" t="s">
        <v>5</v>
      </c>
      <c r="G32" s="3" t="s">
        <v>1790</v>
      </c>
      <c r="H32" s="3" t="s">
        <v>1</v>
      </c>
      <c r="I32" s="39" t="s">
        <v>2</v>
      </c>
      <c r="J32" s="39" t="s">
        <v>1480</v>
      </c>
      <c r="K32" s="30">
        <v>25385</v>
      </c>
      <c r="L32" s="26">
        <v>1969</v>
      </c>
      <c r="M32" s="26">
        <f t="shared" si="1"/>
        <v>50</v>
      </c>
      <c r="N32" s="3" t="s">
        <v>3</v>
      </c>
      <c r="O32" s="3" t="s">
        <v>821</v>
      </c>
      <c r="P32" s="39" t="s">
        <v>936</v>
      </c>
      <c r="Q32" s="3"/>
      <c r="R32" s="39" t="s">
        <v>54</v>
      </c>
    </row>
    <row r="33" spans="2:18" x14ac:dyDescent="0.25">
      <c r="B33" s="142"/>
      <c r="C33" s="142"/>
      <c r="D33" s="3">
        <v>26</v>
      </c>
      <c r="E33" s="39" t="s">
        <v>30</v>
      </c>
      <c r="F33" s="3" t="s">
        <v>9</v>
      </c>
      <c r="G33" s="3" t="s">
        <v>1791</v>
      </c>
      <c r="H33" s="3" t="s">
        <v>7</v>
      </c>
      <c r="I33" s="39" t="s">
        <v>2</v>
      </c>
      <c r="J33" s="39" t="s">
        <v>820</v>
      </c>
      <c r="K33" s="30">
        <v>29037</v>
      </c>
      <c r="L33" s="26">
        <v>1979</v>
      </c>
      <c r="M33" s="26">
        <f t="shared" si="1"/>
        <v>40</v>
      </c>
      <c r="N33" s="3" t="s">
        <v>3</v>
      </c>
      <c r="O33" s="3" t="s">
        <v>821</v>
      </c>
      <c r="P33" s="39" t="s">
        <v>936</v>
      </c>
      <c r="Q33" s="3"/>
      <c r="R33" s="39" t="s">
        <v>840</v>
      </c>
    </row>
    <row r="34" spans="2:18" ht="25.5" x14ac:dyDescent="0.25">
      <c r="B34" s="142"/>
      <c r="C34" s="142"/>
      <c r="D34" s="3">
        <v>27</v>
      </c>
      <c r="E34" s="39" t="s">
        <v>31</v>
      </c>
      <c r="F34" s="3" t="s">
        <v>11</v>
      </c>
      <c r="G34" s="3" t="s">
        <v>1792</v>
      </c>
      <c r="H34" s="3" t="s">
        <v>1</v>
      </c>
      <c r="I34" s="39" t="s">
        <v>10</v>
      </c>
      <c r="J34" s="39" t="s">
        <v>820</v>
      </c>
      <c r="K34" s="30">
        <v>34678</v>
      </c>
      <c r="L34" s="26">
        <v>1994</v>
      </c>
      <c r="M34" s="26">
        <f t="shared" si="1"/>
        <v>25</v>
      </c>
      <c r="N34" s="3" t="s">
        <v>3</v>
      </c>
      <c r="O34" s="3" t="s">
        <v>821</v>
      </c>
      <c r="P34" s="39" t="s">
        <v>933</v>
      </c>
      <c r="Q34" s="3"/>
      <c r="R34" s="39" t="s">
        <v>828</v>
      </c>
    </row>
    <row r="35" spans="2:18" ht="25.5" x14ac:dyDescent="0.25">
      <c r="B35" s="142"/>
      <c r="C35" s="142"/>
      <c r="D35" s="3">
        <v>28</v>
      </c>
      <c r="E35" s="39" t="s">
        <v>32</v>
      </c>
      <c r="F35" s="3" t="s">
        <v>11</v>
      </c>
      <c r="G35" s="3" t="s">
        <v>1793</v>
      </c>
      <c r="H35" s="3" t="s">
        <v>7</v>
      </c>
      <c r="I35" s="39" t="s">
        <v>10</v>
      </c>
      <c r="J35" s="39" t="s">
        <v>1480</v>
      </c>
      <c r="K35" s="30">
        <v>38169</v>
      </c>
      <c r="L35" s="26">
        <v>2004</v>
      </c>
      <c r="M35" s="26">
        <f t="shared" si="1"/>
        <v>15</v>
      </c>
      <c r="N35" s="3" t="s">
        <v>3</v>
      </c>
      <c r="O35" s="3" t="s">
        <v>821</v>
      </c>
      <c r="P35" s="39" t="s">
        <v>948</v>
      </c>
      <c r="Q35" s="3"/>
      <c r="R35" s="39" t="s">
        <v>1491</v>
      </c>
    </row>
    <row r="36" spans="2:18" ht="25.5" x14ac:dyDescent="0.25">
      <c r="B36" s="142">
        <v>9</v>
      </c>
      <c r="C36" s="139" t="s">
        <v>1023</v>
      </c>
      <c r="D36" s="3">
        <v>29</v>
      </c>
      <c r="E36" s="39" t="s">
        <v>33</v>
      </c>
      <c r="F36" s="3" t="s">
        <v>5</v>
      </c>
      <c r="G36" s="3" t="s">
        <v>763</v>
      </c>
      <c r="H36" s="3" t="s">
        <v>1</v>
      </c>
      <c r="I36" s="39" t="s">
        <v>2</v>
      </c>
      <c r="J36" s="39" t="s">
        <v>1465</v>
      </c>
      <c r="K36" s="30">
        <v>27890</v>
      </c>
      <c r="L36" s="26">
        <v>1976</v>
      </c>
      <c r="M36" s="26">
        <f t="shared" si="1"/>
        <v>43</v>
      </c>
      <c r="N36" s="3" t="s">
        <v>3</v>
      </c>
      <c r="O36" s="3" t="s">
        <v>821</v>
      </c>
      <c r="P36" s="39" t="s">
        <v>936</v>
      </c>
      <c r="Q36" s="3"/>
      <c r="R36" s="39" t="s">
        <v>54</v>
      </c>
    </row>
    <row r="37" spans="2:18" ht="25.5" x14ac:dyDescent="0.25">
      <c r="B37" s="142"/>
      <c r="C37" s="140"/>
      <c r="D37" s="3">
        <v>30</v>
      </c>
      <c r="E37" s="39" t="s">
        <v>34</v>
      </c>
      <c r="F37" s="3" t="s">
        <v>35</v>
      </c>
      <c r="G37" s="3" t="s">
        <v>764</v>
      </c>
      <c r="H37" s="3" t="s">
        <v>7</v>
      </c>
      <c r="I37" s="39" t="s">
        <v>2</v>
      </c>
      <c r="J37" s="39" t="s">
        <v>1618</v>
      </c>
      <c r="K37" s="30">
        <v>31412</v>
      </c>
      <c r="L37" s="26">
        <v>1985</v>
      </c>
      <c r="M37" s="26">
        <f t="shared" si="1"/>
        <v>34</v>
      </c>
      <c r="N37" s="3" t="s">
        <v>3</v>
      </c>
      <c r="O37" s="3" t="s">
        <v>821</v>
      </c>
      <c r="P37" s="39" t="s">
        <v>936</v>
      </c>
      <c r="Q37" s="3"/>
      <c r="R37" s="39" t="s">
        <v>827</v>
      </c>
    </row>
    <row r="38" spans="2:18" ht="25.5" x14ac:dyDescent="0.25">
      <c r="B38" s="142"/>
      <c r="C38" s="140"/>
      <c r="D38" s="3">
        <v>31</v>
      </c>
      <c r="E38" s="39" t="s">
        <v>36</v>
      </c>
      <c r="F38" s="3" t="s">
        <v>11</v>
      </c>
      <c r="G38" s="3" t="s">
        <v>765</v>
      </c>
      <c r="H38" s="3" t="s">
        <v>1</v>
      </c>
      <c r="I38" s="39" t="s">
        <v>10</v>
      </c>
      <c r="J38" s="39" t="s">
        <v>1465</v>
      </c>
      <c r="K38" s="30">
        <v>35247</v>
      </c>
      <c r="L38" s="26">
        <v>1996</v>
      </c>
      <c r="M38" s="26">
        <f t="shared" si="1"/>
        <v>23</v>
      </c>
      <c r="N38" s="3" t="s">
        <v>3</v>
      </c>
      <c r="O38" s="3" t="s">
        <v>821</v>
      </c>
      <c r="P38" s="39" t="s">
        <v>978</v>
      </c>
      <c r="Q38" s="3"/>
      <c r="R38" s="39" t="s">
        <v>1475</v>
      </c>
    </row>
    <row r="39" spans="2:18" ht="25.5" x14ac:dyDescent="0.25">
      <c r="B39" s="142"/>
      <c r="C39" s="140"/>
      <c r="D39" s="3">
        <v>32</v>
      </c>
      <c r="E39" s="39" t="s">
        <v>1024</v>
      </c>
      <c r="F39" s="3" t="s">
        <v>11</v>
      </c>
      <c r="G39" s="3" t="s">
        <v>1027</v>
      </c>
      <c r="H39" s="3" t="s">
        <v>1</v>
      </c>
      <c r="I39" s="39" t="s">
        <v>10</v>
      </c>
      <c r="J39" s="39" t="s">
        <v>1465</v>
      </c>
      <c r="K39" s="30">
        <v>38265</v>
      </c>
      <c r="L39" s="26">
        <v>2004</v>
      </c>
      <c r="M39" s="26">
        <f t="shared" si="1"/>
        <v>15</v>
      </c>
      <c r="N39" s="3" t="s">
        <v>3</v>
      </c>
      <c r="O39" s="3" t="s">
        <v>821</v>
      </c>
      <c r="P39" s="39" t="s">
        <v>931</v>
      </c>
      <c r="Q39" s="3"/>
      <c r="R39" s="39" t="s">
        <v>1475</v>
      </c>
    </row>
    <row r="40" spans="2:18" ht="25.5" x14ac:dyDescent="0.25">
      <c r="B40" s="142"/>
      <c r="C40" s="140"/>
      <c r="D40" s="3">
        <v>33</v>
      </c>
      <c r="E40" s="39" t="s">
        <v>1025</v>
      </c>
      <c r="F40" s="3" t="s">
        <v>11</v>
      </c>
      <c r="G40" s="3" t="s">
        <v>766</v>
      </c>
      <c r="H40" s="3" t="s">
        <v>7</v>
      </c>
      <c r="I40" s="39" t="s">
        <v>10</v>
      </c>
      <c r="J40" s="39" t="s">
        <v>1465</v>
      </c>
      <c r="K40" s="30">
        <v>40356</v>
      </c>
      <c r="L40" s="26">
        <v>2010</v>
      </c>
      <c r="M40" s="26">
        <v>9</v>
      </c>
      <c r="N40" s="3" t="s">
        <v>3</v>
      </c>
      <c r="O40" s="3" t="s">
        <v>821</v>
      </c>
      <c r="P40" s="39" t="s">
        <v>948</v>
      </c>
      <c r="Q40" s="3"/>
      <c r="R40" s="39" t="s">
        <v>1491</v>
      </c>
    </row>
    <row r="41" spans="2:18" ht="25.5" x14ac:dyDescent="0.25">
      <c r="B41" s="142"/>
      <c r="C41" s="141"/>
      <c r="D41" s="3">
        <v>34</v>
      </c>
      <c r="E41" s="39" t="s">
        <v>1026</v>
      </c>
      <c r="F41" s="3" t="s">
        <v>11</v>
      </c>
      <c r="G41" s="3" t="s">
        <v>767</v>
      </c>
      <c r="H41" s="3" t="s">
        <v>1</v>
      </c>
      <c r="I41" s="39" t="s">
        <v>10</v>
      </c>
      <c r="J41" s="39" t="s">
        <v>1541</v>
      </c>
      <c r="K41" s="30">
        <v>41044</v>
      </c>
      <c r="L41" s="26">
        <v>2012</v>
      </c>
      <c r="M41" s="26">
        <f t="shared" si="1"/>
        <v>7</v>
      </c>
      <c r="N41" s="3" t="s">
        <v>3</v>
      </c>
      <c r="O41" s="3" t="s">
        <v>821</v>
      </c>
      <c r="P41" s="39" t="s">
        <v>4</v>
      </c>
      <c r="Q41" s="3"/>
      <c r="R41" s="39" t="s">
        <v>1491</v>
      </c>
    </row>
    <row r="42" spans="2:18" ht="25.5" x14ac:dyDescent="0.25">
      <c r="B42" s="142">
        <v>10</v>
      </c>
      <c r="C42" s="139" t="s">
        <v>956</v>
      </c>
      <c r="D42" s="3">
        <v>35</v>
      </c>
      <c r="E42" s="39" t="s">
        <v>37</v>
      </c>
      <c r="F42" s="3" t="s">
        <v>5</v>
      </c>
      <c r="G42" s="3" t="s">
        <v>768</v>
      </c>
      <c r="H42" s="3" t="s">
        <v>1</v>
      </c>
      <c r="I42" s="39" t="s">
        <v>2</v>
      </c>
      <c r="J42" s="39" t="s">
        <v>1480</v>
      </c>
      <c r="K42" s="30">
        <v>31418</v>
      </c>
      <c r="L42" s="26">
        <v>1986</v>
      </c>
      <c r="M42" s="26">
        <f t="shared" si="1"/>
        <v>33</v>
      </c>
      <c r="N42" s="3" t="s">
        <v>3</v>
      </c>
      <c r="O42" s="3" t="s">
        <v>821</v>
      </c>
      <c r="P42" s="39" t="s">
        <v>933</v>
      </c>
      <c r="Q42" s="3"/>
      <c r="R42" s="39" t="s">
        <v>1377</v>
      </c>
    </row>
    <row r="43" spans="2:18" x14ac:dyDescent="0.25">
      <c r="B43" s="142"/>
      <c r="C43" s="140"/>
      <c r="D43" s="3">
        <v>36</v>
      </c>
      <c r="E43" s="39" t="s">
        <v>1619</v>
      </c>
      <c r="F43" s="3" t="s">
        <v>9</v>
      </c>
      <c r="G43" s="3" t="s">
        <v>769</v>
      </c>
      <c r="H43" s="3" t="s">
        <v>7</v>
      </c>
      <c r="I43" s="39" t="s">
        <v>2</v>
      </c>
      <c r="J43" s="39" t="s">
        <v>1620</v>
      </c>
      <c r="K43" s="30">
        <v>33209</v>
      </c>
      <c r="L43" s="26">
        <v>1990</v>
      </c>
      <c r="M43" s="26">
        <f t="shared" si="1"/>
        <v>29</v>
      </c>
      <c r="N43" s="3" t="s">
        <v>3</v>
      </c>
      <c r="O43" s="3" t="s">
        <v>821</v>
      </c>
      <c r="P43" s="39" t="s">
        <v>936</v>
      </c>
      <c r="Q43" s="3"/>
      <c r="R43" s="39" t="s">
        <v>899</v>
      </c>
    </row>
    <row r="44" spans="2:18" ht="25.5" x14ac:dyDescent="0.25">
      <c r="B44" s="142"/>
      <c r="C44" s="141"/>
      <c r="D44" s="3">
        <v>37</v>
      </c>
      <c r="E44" s="39" t="s">
        <v>1621</v>
      </c>
      <c r="F44" s="3" t="s">
        <v>11</v>
      </c>
      <c r="G44" s="3" t="s">
        <v>766</v>
      </c>
      <c r="H44" s="3" t="s">
        <v>7</v>
      </c>
      <c r="I44" s="39" t="s">
        <v>10</v>
      </c>
      <c r="J44" s="39" t="s">
        <v>1465</v>
      </c>
      <c r="K44" s="30">
        <v>40356</v>
      </c>
      <c r="L44" s="26">
        <v>2010</v>
      </c>
      <c r="M44" s="26">
        <f t="shared" si="1"/>
        <v>9</v>
      </c>
      <c r="N44" s="3" t="s">
        <v>3</v>
      </c>
      <c r="O44" s="3" t="s">
        <v>821</v>
      </c>
      <c r="P44" s="39" t="s">
        <v>948</v>
      </c>
      <c r="Q44" s="3"/>
      <c r="R44" s="39" t="s">
        <v>1491</v>
      </c>
    </row>
    <row r="45" spans="2:18" ht="25.5" x14ac:dyDescent="0.25">
      <c r="B45" s="142">
        <v>11</v>
      </c>
      <c r="C45" s="139" t="s">
        <v>1016</v>
      </c>
      <c r="D45" s="3">
        <v>38</v>
      </c>
      <c r="E45" s="39" t="s">
        <v>1017</v>
      </c>
      <c r="F45" s="3" t="s">
        <v>5</v>
      </c>
      <c r="G45" s="3" t="s">
        <v>1019</v>
      </c>
      <c r="H45" s="3" t="s">
        <v>1</v>
      </c>
      <c r="I45" s="39" t="s">
        <v>2</v>
      </c>
      <c r="J45" s="39" t="s">
        <v>1541</v>
      </c>
      <c r="K45" s="30">
        <v>11140</v>
      </c>
      <c r="L45" s="26">
        <v>1930</v>
      </c>
      <c r="M45" s="26">
        <f t="shared" si="1"/>
        <v>89</v>
      </c>
      <c r="N45" s="3" t="s">
        <v>3</v>
      </c>
      <c r="O45" s="3" t="s">
        <v>821</v>
      </c>
      <c r="P45" s="39" t="s">
        <v>948</v>
      </c>
      <c r="Q45" s="3"/>
      <c r="R45" s="39" t="s">
        <v>1491</v>
      </c>
    </row>
    <row r="46" spans="2:18" ht="25.5" x14ac:dyDescent="0.25">
      <c r="B46" s="142"/>
      <c r="C46" s="140"/>
      <c r="D46" s="3">
        <v>39</v>
      </c>
      <c r="E46" s="39" t="s">
        <v>38</v>
      </c>
      <c r="F46" s="3" t="s">
        <v>9</v>
      </c>
      <c r="G46" s="3" t="s">
        <v>1020</v>
      </c>
      <c r="H46" s="3" t="s">
        <v>7</v>
      </c>
      <c r="I46" s="39" t="s">
        <v>2</v>
      </c>
      <c r="J46" s="39" t="s">
        <v>1541</v>
      </c>
      <c r="K46" s="30">
        <v>15523</v>
      </c>
      <c r="L46" s="26">
        <v>1942</v>
      </c>
      <c r="M46" s="26">
        <f t="shared" si="1"/>
        <v>77</v>
      </c>
      <c r="N46" s="3" t="s">
        <v>3</v>
      </c>
      <c r="O46" s="3" t="s">
        <v>821</v>
      </c>
      <c r="P46" s="39" t="s">
        <v>948</v>
      </c>
      <c r="Q46" s="3"/>
      <c r="R46" s="39" t="s">
        <v>827</v>
      </c>
    </row>
    <row r="47" spans="2:18" ht="25.5" x14ac:dyDescent="0.25">
      <c r="B47" s="142"/>
      <c r="C47" s="140"/>
      <c r="D47" s="3">
        <v>40</v>
      </c>
      <c r="E47" s="39" t="s">
        <v>1018</v>
      </c>
      <c r="F47" s="3" t="s">
        <v>11</v>
      </c>
      <c r="G47" s="3" t="s">
        <v>1021</v>
      </c>
      <c r="H47" s="3" t="s">
        <v>7</v>
      </c>
      <c r="I47" s="39" t="s">
        <v>881</v>
      </c>
      <c r="J47" s="39" t="s">
        <v>1541</v>
      </c>
      <c r="K47" s="30">
        <v>26664</v>
      </c>
      <c r="L47" s="26">
        <v>1972</v>
      </c>
      <c r="M47" s="26">
        <f t="shared" si="1"/>
        <v>47</v>
      </c>
      <c r="N47" s="3" t="s">
        <v>3</v>
      </c>
      <c r="O47" s="3" t="s">
        <v>821</v>
      </c>
      <c r="P47" s="39" t="s">
        <v>936</v>
      </c>
      <c r="Q47" s="3"/>
      <c r="R47" s="39" t="s">
        <v>826</v>
      </c>
    </row>
    <row r="48" spans="2:18" ht="25.5" x14ac:dyDescent="0.25">
      <c r="B48" s="142"/>
      <c r="C48" s="141"/>
      <c r="D48" s="3">
        <v>41</v>
      </c>
      <c r="E48" s="39" t="s">
        <v>40</v>
      </c>
      <c r="F48" s="3" t="s">
        <v>11</v>
      </c>
      <c r="G48" s="3" t="s">
        <v>1022</v>
      </c>
      <c r="H48" s="3" t="s">
        <v>7</v>
      </c>
      <c r="I48" s="39" t="s">
        <v>10</v>
      </c>
      <c r="J48" s="39" t="s">
        <v>1541</v>
      </c>
      <c r="K48" s="30">
        <v>29403</v>
      </c>
      <c r="L48" s="26">
        <v>1980</v>
      </c>
      <c r="M48" s="26">
        <f t="shared" si="1"/>
        <v>39</v>
      </c>
      <c r="N48" s="3" t="s">
        <v>3</v>
      </c>
      <c r="O48" s="3" t="s">
        <v>821</v>
      </c>
      <c r="P48" s="39" t="s">
        <v>936</v>
      </c>
      <c r="Q48" s="3"/>
      <c r="R48" s="39" t="s">
        <v>826</v>
      </c>
    </row>
    <row r="49" spans="2:18" ht="25.5" x14ac:dyDescent="0.25">
      <c r="B49" s="142">
        <v>12</v>
      </c>
      <c r="C49" s="139" t="s">
        <v>950</v>
      </c>
      <c r="D49" s="3">
        <v>42</v>
      </c>
      <c r="E49" s="39" t="s">
        <v>41</v>
      </c>
      <c r="F49" s="3" t="s">
        <v>5</v>
      </c>
      <c r="G49" s="3" t="s">
        <v>951</v>
      </c>
      <c r="H49" s="3" t="s">
        <v>1</v>
      </c>
      <c r="I49" s="39" t="s">
        <v>2</v>
      </c>
      <c r="J49" s="39" t="s">
        <v>1465</v>
      </c>
      <c r="K49" s="30">
        <v>22263</v>
      </c>
      <c r="L49" s="26">
        <v>1960</v>
      </c>
      <c r="M49" s="26">
        <f t="shared" si="1"/>
        <v>59</v>
      </c>
      <c r="N49" s="3" t="s">
        <v>3</v>
      </c>
      <c r="O49" s="3" t="s">
        <v>821</v>
      </c>
      <c r="P49" s="39" t="s">
        <v>936</v>
      </c>
      <c r="Q49" s="3"/>
      <c r="R49" s="39"/>
    </row>
    <row r="50" spans="2:18" ht="25.5" x14ac:dyDescent="0.25">
      <c r="B50" s="142"/>
      <c r="C50" s="140"/>
      <c r="D50" s="3">
        <v>43</v>
      </c>
      <c r="E50" s="39" t="s">
        <v>1622</v>
      </c>
      <c r="F50" s="3" t="s">
        <v>9</v>
      </c>
      <c r="G50" s="3" t="s">
        <v>770</v>
      </c>
      <c r="H50" s="3" t="s">
        <v>7</v>
      </c>
      <c r="I50" s="39" t="s">
        <v>2</v>
      </c>
      <c r="J50" s="39" t="s">
        <v>1623</v>
      </c>
      <c r="K50" s="30">
        <v>23408</v>
      </c>
      <c r="L50" s="26">
        <v>1964</v>
      </c>
      <c r="M50" s="26">
        <f t="shared" si="1"/>
        <v>55</v>
      </c>
      <c r="N50" s="3" t="s">
        <v>3</v>
      </c>
      <c r="O50" s="3" t="s">
        <v>821</v>
      </c>
      <c r="P50" s="39" t="s">
        <v>936</v>
      </c>
      <c r="Q50" s="3"/>
      <c r="R50" s="39"/>
    </row>
    <row r="51" spans="2:18" x14ac:dyDescent="0.25">
      <c r="B51" s="142"/>
      <c r="C51" s="140"/>
      <c r="D51" s="3">
        <v>44</v>
      </c>
      <c r="E51" s="39" t="s">
        <v>42</v>
      </c>
      <c r="F51" s="3" t="s">
        <v>11</v>
      </c>
      <c r="G51" s="3" t="s">
        <v>771</v>
      </c>
      <c r="H51" s="3" t="s">
        <v>1</v>
      </c>
      <c r="I51" s="39" t="s">
        <v>10</v>
      </c>
      <c r="J51" s="39" t="s">
        <v>1472</v>
      </c>
      <c r="K51" s="30">
        <v>34699</v>
      </c>
      <c r="L51" s="26">
        <v>1994</v>
      </c>
      <c r="M51" s="26">
        <f t="shared" si="1"/>
        <v>25</v>
      </c>
      <c r="N51" s="3" t="s">
        <v>3</v>
      </c>
      <c r="O51" s="3" t="s">
        <v>821</v>
      </c>
      <c r="P51" s="39" t="s">
        <v>933</v>
      </c>
      <c r="Q51" s="3"/>
      <c r="R51" s="39"/>
    </row>
    <row r="52" spans="2:18" ht="25.5" x14ac:dyDescent="0.25">
      <c r="B52" s="142"/>
      <c r="C52" s="141"/>
      <c r="D52" s="3">
        <v>45</v>
      </c>
      <c r="E52" s="39" t="s">
        <v>949</v>
      </c>
      <c r="F52" s="3" t="s">
        <v>43</v>
      </c>
      <c r="G52" s="3" t="s">
        <v>772</v>
      </c>
      <c r="H52" s="3" t="s">
        <v>1</v>
      </c>
      <c r="I52" s="39" t="s">
        <v>10</v>
      </c>
      <c r="J52" s="39" t="s">
        <v>1472</v>
      </c>
      <c r="K52" s="30">
        <v>37251</v>
      </c>
      <c r="L52" s="26">
        <v>2001</v>
      </c>
      <c r="M52" s="26">
        <f t="shared" si="1"/>
        <v>18</v>
      </c>
      <c r="N52" s="3" t="s">
        <v>3</v>
      </c>
      <c r="O52" s="3" t="s">
        <v>821</v>
      </c>
      <c r="P52" s="39" t="s">
        <v>931</v>
      </c>
      <c r="Q52" s="3"/>
      <c r="R52" s="39"/>
    </row>
    <row r="53" spans="2:18" ht="25.5" x14ac:dyDescent="0.25">
      <c r="B53" s="142">
        <v>13</v>
      </c>
      <c r="C53" s="139" t="s">
        <v>952</v>
      </c>
      <c r="D53" s="3">
        <v>46</v>
      </c>
      <c r="E53" s="39" t="s">
        <v>44</v>
      </c>
      <c r="F53" s="3" t="s">
        <v>5</v>
      </c>
      <c r="G53" s="3" t="s">
        <v>773</v>
      </c>
      <c r="H53" s="3" t="s">
        <v>1</v>
      </c>
      <c r="I53" s="39" t="s">
        <v>2</v>
      </c>
      <c r="J53" s="39" t="s">
        <v>1465</v>
      </c>
      <c r="K53" s="30">
        <v>32143</v>
      </c>
      <c r="L53" s="26">
        <v>1988</v>
      </c>
      <c r="M53" s="26">
        <f t="shared" si="1"/>
        <v>31</v>
      </c>
      <c r="N53" s="3" t="s">
        <v>3</v>
      </c>
      <c r="O53" s="3" t="s">
        <v>821</v>
      </c>
      <c r="P53" s="39" t="s">
        <v>933</v>
      </c>
      <c r="Q53" s="3"/>
      <c r="R53" s="39" t="s">
        <v>54</v>
      </c>
    </row>
    <row r="54" spans="2:18" ht="25.5" x14ac:dyDescent="0.25">
      <c r="B54" s="142"/>
      <c r="C54" s="140"/>
      <c r="D54" s="3">
        <v>47</v>
      </c>
      <c r="E54" s="39" t="s">
        <v>45</v>
      </c>
      <c r="F54" s="3" t="s">
        <v>9</v>
      </c>
      <c r="G54" s="3" t="s">
        <v>774</v>
      </c>
      <c r="H54" s="3" t="s">
        <v>7</v>
      </c>
      <c r="I54" s="39" t="s">
        <v>2</v>
      </c>
      <c r="J54" s="39" t="s">
        <v>1482</v>
      </c>
      <c r="K54" s="30">
        <v>33370</v>
      </c>
      <c r="L54" s="26">
        <v>1991</v>
      </c>
      <c r="M54" s="26">
        <f t="shared" si="1"/>
        <v>28</v>
      </c>
      <c r="N54" s="3" t="s">
        <v>3</v>
      </c>
      <c r="O54" s="3" t="s">
        <v>821</v>
      </c>
      <c r="P54" s="39" t="s">
        <v>933</v>
      </c>
      <c r="Q54" s="3"/>
      <c r="R54" s="39" t="s">
        <v>1491</v>
      </c>
    </row>
    <row r="55" spans="2:18" ht="25.5" x14ac:dyDescent="0.25">
      <c r="B55" s="142"/>
      <c r="C55" s="141"/>
      <c r="D55" s="3">
        <v>48</v>
      </c>
      <c r="E55" s="39" t="s">
        <v>46</v>
      </c>
      <c r="F55" s="3" t="s">
        <v>11</v>
      </c>
      <c r="G55" s="3" t="s">
        <v>775</v>
      </c>
      <c r="H55" s="3" t="s">
        <v>1</v>
      </c>
      <c r="I55" s="39" t="s">
        <v>10</v>
      </c>
      <c r="J55" s="39" t="s">
        <v>1465</v>
      </c>
      <c r="K55" s="30">
        <v>41325</v>
      </c>
      <c r="L55" s="26">
        <v>2013</v>
      </c>
      <c r="M55" s="26">
        <f t="shared" si="1"/>
        <v>6</v>
      </c>
      <c r="N55" s="3" t="s">
        <v>3</v>
      </c>
      <c r="O55" s="3" t="s">
        <v>821</v>
      </c>
      <c r="P55" s="39" t="s">
        <v>948</v>
      </c>
      <c r="Q55" s="3"/>
      <c r="R55" s="39" t="s">
        <v>1491</v>
      </c>
    </row>
    <row r="56" spans="2:18" x14ac:dyDescent="0.25">
      <c r="B56" s="142">
        <v>14</v>
      </c>
      <c r="C56" s="139" t="s">
        <v>1697</v>
      </c>
      <c r="D56" s="3">
        <v>49</v>
      </c>
      <c r="E56" s="39" t="s">
        <v>47</v>
      </c>
      <c r="F56" s="3" t="s">
        <v>5</v>
      </c>
      <c r="G56" s="3" t="s">
        <v>776</v>
      </c>
      <c r="H56" s="3" t="s">
        <v>1</v>
      </c>
      <c r="I56" s="39" t="s">
        <v>2</v>
      </c>
      <c r="J56" s="39" t="s">
        <v>1472</v>
      </c>
      <c r="K56" s="30">
        <v>26846</v>
      </c>
      <c r="L56" s="26">
        <v>1973</v>
      </c>
      <c r="M56" s="26">
        <f t="shared" si="1"/>
        <v>46</v>
      </c>
      <c r="N56" s="3" t="s">
        <v>3</v>
      </c>
      <c r="O56" s="3" t="s">
        <v>821</v>
      </c>
      <c r="P56" s="39" t="s">
        <v>936</v>
      </c>
      <c r="Q56" s="3"/>
      <c r="R56" s="39" t="s">
        <v>1496</v>
      </c>
    </row>
    <row r="57" spans="2:18" ht="25.5" x14ac:dyDescent="0.25">
      <c r="B57" s="142"/>
      <c r="C57" s="140"/>
      <c r="D57" s="3">
        <v>50</v>
      </c>
      <c r="E57" s="39" t="s">
        <v>48</v>
      </c>
      <c r="F57" s="3" t="s">
        <v>9</v>
      </c>
      <c r="G57" s="3" t="s">
        <v>777</v>
      </c>
      <c r="H57" s="3" t="s">
        <v>7</v>
      </c>
      <c r="I57" s="39" t="s">
        <v>2</v>
      </c>
      <c r="J57" s="39" t="s">
        <v>1472</v>
      </c>
      <c r="K57" s="30">
        <v>26846</v>
      </c>
      <c r="L57" s="26">
        <v>1973</v>
      </c>
      <c r="M57" s="26">
        <f t="shared" si="1"/>
        <v>46</v>
      </c>
      <c r="N57" s="3" t="s">
        <v>3</v>
      </c>
      <c r="O57" s="3" t="s">
        <v>821</v>
      </c>
      <c r="P57" s="39" t="s">
        <v>948</v>
      </c>
      <c r="Q57" s="3"/>
      <c r="R57" s="39" t="s">
        <v>827</v>
      </c>
    </row>
    <row r="58" spans="2:18" x14ac:dyDescent="0.25">
      <c r="B58" s="142"/>
      <c r="C58" s="140"/>
      <c r="D58" s="3">
        <v>51</v>
      </c>
      <c r="E58" s="39" t="s">
        <v>953</v>
      </c>
      <c r="F58" s="3" t="s">
        <v>11</v>
      </c>
      <c r="G58" s="3" t="s">
        <v>954</v>
      </c>
      <c r="H58" s="3" t="s">
        <v>1</v>
      </c>
      <c r="I58" s="39" t="s">
        <v>10</v>
      </c>
      <c r="J58" s="39" t="s">
        <v>1472</v>
      </c>
      <c r="K58" s="30">
        <v>33606</v>
      </c>
      <c r="L58" s="26">
        <v>1992</v>
      </c>
      <c r="M58" s="26">
        <f t="shared" si="1"/>
        <v>27</v>
      </c>
      <c r="N58" s="3" t="s">
        <v>3</v>
      </c>
      <c r="O58" s="3" t="s">
        <v>821</v>
      </c>
      <c r="P58" s="39" t="s">
        <v>933</v>
      </c>
      <c r="Q58" s="3"/>
      <c r="R58" s="39" t="s">
        <v>54</v>
      </c>
    </row>
    <row r="59" spans="2:18" x14ac:dyDescent="0.25">
      <c r="B59" s="142"/>
      <c r="C59" s="140"/>
      <c r="D59" s="3">
        <v>52</v>
      </c>
      <c r="E59" s="39" t="s">
        <v>49</v>
      </c>
      <c r="F59" s="3" t="s">
        <v>11</v>
      </c>
      <c r="G59" s="3" t="s">
        <v>955</v>
      </c>
      <c r="H59" s="3" t="s">
        <v>7</v>
      </c>
      <c r="I59" s="39" t="s">
        <v>10</v>
      </c>
      <c r="J59" s="39" t="s">
        <v>1472</v>
      </c>
      <c r="K59" s="30">
        <v>35805</v>
      </c>
      <c r="L59" s="26">
        <v>1998</v>
      </c>
      <c r="M59" s="26">
        <f t="shared" si="1"/>
        <v>21</v>
      </c>
      <c r="N59" s="3" t="s">
        <v>3</v>
      </c>
      <c r="O59" s="3" t="s">
        <v>821</v>
      </c>
      <c r="P59" s="39" t="s">
        <v>933</v>
      </c>
      <c r="Q59" s="3"/>
      <c r="R59" s="39" t="s">
        <v>1475</v>
      </c>
    </row>
    <row r="60" spans="2:18" ht="25.5" x14ac:dyDescent="0.25">
      <c r="B60" s="142"/>
      <c r="C60" s="141"/>
      <c r="D60" s="3">
        <v>53</v>
      </c>
      <c r="E60" s="39" t="s">
        <v>1624</v>
      </c>
      <c r="F60" s="3" t="s">
        <v>11</v>
      </c>
      <c r="G60" s="3" t="s">
        <v>778</v>
      </c>
      <c r="H60" s="3" t="s">
        <v>1</v>
      </c>
      <c r="I60" s="39" t="s">
        <v>10</v>
      </c>
      <c r="J60" s="39" t="s">
        <v>1625</v>
      </c>
      <c r="K60" s="30">
        <v>38874</v>
      </c>
      <c r="L60" s="26">
        <v>2006</v>
      </c>
      <c r="M60" s="26">
        <f t="shared" si="1"/>
        <v>13</v>
      </c>
      <c r="N60" s="3" t="s">
        <v>3</v>
      </c>
      <c r="O60" s="3" t="s">
        <v>821</v>
      </c>
      <c r="P60" s="39" t="s">
        <v>948</v>
      </c>
      <c r="Q60" s="3"/>
      <c r="R60" s="39" t="s">
        <v>1491</v>
      </c>
    </row>
    <row r="61" spans="2:18" ht="25.5" x14ac:dyDescent="0.25">
      <c r="B61" s="142">
        <v>15</v>
      </c>
      <c r="C61" s="142"/>
      <c r="D61" s="3">
        <v>54</v>
      </c>
      <c r="E61" s="39" t="s">
        <v>50</v>
      </c>
      <c r="F61" s="3" t="s">
        <v>5</v>
      </c>
      <c r="G61" s="3" t="s">
        <v>779</v>
      </c>
      <c r="H61" s="3" t="s">
        <v>7</v>
      </c>
      <c r="I61" s="39" t="s">
        <v>881</v>
      </c>
      <c r="J61" s="39" t="s">
        <v>1541</v>
      </c>
      <c r="K61" s="30">
        <v>21732</v>
      </c>
      <c r="L61" s="26">
        <v>1959</v>
      </c>
      <c r="M61" s="26">
        <f t="shared" si="1"/>
        <v>60</v>
      </c>
      <c r="N61" s="3" t="s">
        <v>3</v>
      </c>
      <c r="O61" s="3" t="s">
        <v>821</v>
      </c>
      <c r="P61" s="39" t="s">
        <v>948</v>
      </c>
      <c r="Q61" s="3"/>
      <c r="R61" s="39" t="s">
        <v>1488</v>
      </c>
    </row>
    <row r="62" spans="2:18" x14ac:dyDescent="0.25">
      <c r="B62" s="142"/>
      <c r="C62" s="142"/>
      <c r="D62" s="3">
        <v>55</v>
      </c>
      <c r="E62" s="39" t="s">
        <v>51</v>
      </c>
      <c r="F62" s="3" t="s">
        <v>11</v>
      </c>
      <c r="G62" s="3" t="s">
        <v>780</v>
      </c>
      <c r="H62" s="3" t="s">
        <v>7</v>
      </c>
      <c r="I62" s="39" t="s">
        <v>10</v>
      </c>
      <c r="J62" s="39" t="s">
        <v>1472</v>
      </c>
      <c r="K62" s="30">
        <v>33238</v>
      </c>
      <c r="L62" s="26">
        <v>1990</v>
      </c>
      <c r="M62" s="26">
        <f t="shared" si="1"/>
        <v>29</v>
      </c>
      <c r="N62" s="3" t="s">
        <v>3</v>
      </c>
      <c r="O62" s="3" t="s">
        <v>821</v>
      </c>
      <c r="P62" s="39" t="s">
        <v>978</v>
      </c>
      <c r="Q62" s="3"/>
      <c r="R62" s="39" t="s">
        <v>54</v>
      </c>
    </row>
    <row r="63" spans="2:18" ht="25.5" x14ac:dyDescent="0.25">
      <c r="B63" s="142"/>
      <c r="C63" s="142"/>
      <c r="D63" s="3">
        <v>56</v>
      </c>
      <c r="E63" s="39" t="s">
        <v>52</v>
      </c>
      <c r="F63" s="3" t="s">
        <v>11</v>
      </c>
      <c r="G63" s="3" t="s">
        <v>1626</v>
      </c>
      <c r="H63" s="3" t="s">
        <v>1</v>
      </c>
      <c r="I63" s="39" t="s">
        <v>10</v>
      </c>
      <c r="J63" s="39" t="s">
        <v>1472</v>
      </c>
      <c r="K63" s="30">
        <v>34160</v>
      </c>
      <c r="L63" s="26">
        <v>1993</v>
      </c>
      <c r="M63" s="26">
        <f t="shared" si="1"/>
        <v>26</v>
      </c>
      <c r="N63" s="3" t="s">
        <v>3</v>
      </c>
      <c r="O63" s="3" t="s">
        <v>821</v>
      </c>
      <c r="P63" s="39" t="s">
        <v>933</v>
      </c>
      <c r="Q63" s="3"/>
      <c r="R63" s="39" t="s">
        <v>1491</v>
      </c>
    </row>
    <row r="64" spans="2:18" x14ac:dyDescent="0.25">
      <c r="B64" s="142">
        <v>16</v>
      </c>
      <c r="C64" s="142" t="s">
        <v>1771</v>
      </c>
      <c r="D64" s="3">
        <v>57</v>
      </c>
      <c r="E64" s="39" t="s">
        <v>1772</v>
      </c>
      <c r="F64" s="3" t="s">
        <v>5</v>
      </c>
      <c r="G64" s="3" t="s">
        <v>1777</v>
      </c>
      <c r="H64" s="3" t="s">
        <v>1</v>
      </c>
      <c r="I64" s="39" t="s">
        <v>2</v>
      </c>
      <c r="J64" s="39" t="s">
        <v>1778</v>
      </c>
      <c r="K64" s="30">
        <v>29701</v>
      </c>
      <c r="L64" s="26">
        <v>1981</v>
      </c>
      <c r="M64" s="26">
        <f t="shared" si="1"/>
        <v>38</v>
      </c>
      <c r="N64" s="3" t="s">
        <v>3</v>
      </c>
      <c r="O64" s="3" t="s">
        <v>821</v>
      </c>
      <c r="P64" s="39" t="s">
        <v>978</v>
      </c>
      <c r="Q64" s="3"/>
      <c r="R64" s="39" t="s">
        <v>54</v>
      </c>
    </row>
    <row r="65" spans="2:18" ht="25.5" x14ac:dyDescent="0.25">
      <c r="B65" s="142"/>
      <c r="C65" s="142"/>
      <c r="D65" s="3">
        <v>58</v>
      </c>
      <c r="E65" s="39" t="s">
        <v>1773</v>
      </c>
      <c r="F65" s="3" t="s">
        <v>9</v>
      </c>
      <c r="G65" s="3" t="s">
        <v>1776</v>
      </c>
      <c r="H65" s="3" t="s">
        <v>7</v>
      </c>
      <c r="I65" s="39" t="s">
        <v>2</v>
      </c>
      <c r="J65" s="39" t="s">
        <v>820</v>
      </c>
      <c r="K65" s="30">
        <v>31229</v>
      </c>
      <c r="L65" s="26">
        <v>1985</v>
      </c>
      <c r="M65" s="26">
        <f t="shared" si="1"/>
        <v>34</v>
      </c>
      <c r="N65" s="3" t="s">
        <v>3</v>
      </c>
      <c r="O65" s="3" t="s">
        <v>821</v>
      </c>
      <c r="P65" s="39" t="s">
        <v>933</v>
      </c>
      <c r="Q65" s="3"/>
      <c r="R65" s="39" t="s">
        <v>827</v>
      </c>
    </row>
    <row r="66" spans="2:18" ht="25.5" x14ac:dyDescent="0.25">
      <c r="B66" s="142"/>
      <c r="C66" s="142"/>
      <c r="D66" s="3">
        <v>59</v>
      </c>
      <c r="E66" s="39" t="s">
        <v>1774</v>
      </c>
      <c r="F66" s="3" t="s">
        <v>11</v>
      </c>
      <c r="G66" s="3" t="s">
        <v>1775</v>
      </c>
      <c r="H66" s="3" t="s">
        <v>7</v>
      </c>
      <c r="I66" s="39" t="s">
        <v>10</v>
      </c>
      <c r="J66" s="39" t="s">
        <v>820</v>
      </c>
      <c r="K66" s="30">
        <v>40842</v>
      </c>
      <c r="L66" s="26">
        <v>2011</v>
      </c>
      <c r="M66" s="26">
        <f t="shared" si="1"/>
        <v>8</v>
      </c>
      <c r="N66" s="3" t="s">
        <v>3</v>
      </c>
      <c r="O66" s="3" t="s">
        <v>821</v>
      </c>
      <c r="P66" s="39" t="s">
        <v>948</v>
      </c>
      <c r="Q66" s="3"/>
      <c r="R66" s="39" t="s">
        <v>1491</v>
      </c>
    </row>
    <row r="67" spans="2:18" x14ac:dyDescent="0.25">
      <c r="B67" s="142">
        <v>17</v>
      </c>
      <c r="C67" s="142"/>
      <c r="D67" s="3">
        <v>60</v>
      </c>
      <c r="E67" s="39" t="s">
        <v>56</v>
      </c>
      <c r="F67" s="3" t="s">
        <v>5</v>
      </c>
      <c r="G67" s="3"/>
      <c r="H67" s="3" t="s">
        <v>1</v>
      </c>
      <c r="I67" s="39" t="s">
        <v>2</v>
      </c>
      <c r="J67" s="39"/>
      <c r="K67" s="30">
        <v>31424</v>
      </c>
      <c r="L67" s="26">
        <v>1986</v>
      </c>
      <c r="M67" s="26">
        <f t="shared" si="1"/>
        <v>33</v>
      </c>
      <c r="N67" s="3" t="s">
        <v>3</v>
      </c>
      <c r="O67" s="3"/>
      <c r="P67" s="39" t="s">
        <v>8</v>
      </c>
      <c r="Q67" s="3"/>
      <c r="R67" s="39"/>
    </row>
    <row r="68" spans="2:18" x14ac:dyDescent="0.25">
      <c r="B68" s="142"/>
      <c r="C68" s="142"/>
      <c r="D68" s="3">
        <v>61</v>
      </c>
      <c r="E68" s="39" t="s">
        <v>57</v>
      </c>
      <c r="F68" s="3" t="s">
        <v>9</v>
      </c>
      <c r="G68" s="3"/>
      <c r="H68" s="3" t="s">
        <v>7</v>
      </c>
      <c r="I68" s="39" t="s">
        <v>2</v>
      </c>
      <c r="J68" s="39"/>
      <c r="K68" s="30">
        <v>32690</v>
      </c>
      <c r="L68" s="26">
        <v>1989</v>
      </c>
      <c r="M68" s="26">
        <f t="shared" si="1"/>
        <v>30</v>
      </c>
      <c r="N68" s="3" t="s">
        <v>3</v>
      </c>
      <c r="O68" s="3"/>
      <c r="P68" s="39" t="s">
        <v>8</v>
      </c>
      <c r="Q68" s="3"/>
      <c r="R68" s="39"/>
    </row>
    <row r="69" spans="2:18" x14ac:dyDescent="0.25">
      <c r="B69" s="142"/>
      <c r="C69" s="142"/>
      <c r="D69" s="3">
        <v>62</v>
      </c>
      <c r="E69" s="39" t="s">
        <v>58</v>
      </c>
      <c r="F69" s="3" t="s">
        <v>11</v>
      </c>
      <c r="G69" s="3"/>
      <c r="H69" s="3" t="s">
        <v>7</v>
      </c>
      <c r="I69" s="39" t="s">
        <v>10</v>
      </c>
      <c r="J69" s="39"/>
      <c r="K69" s="30">
        <v>40969</v>
      </c>
      <c r="L69" s="26">
        <v>2012</v>
      </c>
      <c r="M69" s="26">
        <f t="shared" si="1"/>
        <v>7</v>
      </c>
      <c r="N69" s="3" t="s">
        <v>3</v>
      </c>
      <c r="O69" s="3"/>
      <c r="P69" s="39" t="s">
        <v>4</v>
      </c>
      <c r="Q69" s="3"/>
      <c r="R69" s="39"/>
    </row>
    <row r="70" spans="2:18" ht="25.5" x14ac:dyDescent="0.25">
      <c r="B70" s="142">
        <v>18</v>
      </c>
      <c r="C70" s="139" t="s">
        <v>1068</v>
      </c>
      <c r="D70" s="3">
        <v>63</v>
      </c>
      <c r="E70" s="39" t="s">
        <v>59</v>
      </c>
      <c r="F70" s="3" t="s">
        <v>5</v>
      </c>
      <c r="G70" s="3" t="s">
        <v>781</v>
      </c>
      <c r="H70" s="3" t="s">
        <v>1</v>
      </c>
      <c r="I70" s="39" t="s">
        <v>2</v>
      </c>
      <c r="J70" s="39" t="s">
        <v>1480</v>
      </c>
      <c r="K70" s="30">
        <v>32489</v>
      </c>
      <c r="L70" s="26">
        <v>1988</v>
      </c>
      <c r="M70" s="26">
        <f t="shared" si="1"/>
        <v>31</v>
      </c>
      <c r="N70" s="3" t="s">
        <v>3</v>
      </c>
      <c r="O70" s="3" t="s">
        <v>821</v>
      </c>
      <c r="P70" s="39" t="s">
        <v>933</v>
      </c>
      <c r="Q70" s="3"/>
      <c r="R70" s="39" t="s">
        <v>1627</v>
      </c>
    </row>
    <row r="71" spans="2:18" ht="25.5" x14ac:dyDescent="0.25">
      <c r="B71" s="142"/>
      <c r="C71" s="141"/>
      <c r="D71" s="3">
        <v>64</v>
      </c>
      <c r="E71" s="39" t="s">
        <v>60</v>
      </c>
      <c r="F71" s="3" t="s">
        <v>9</v>
      </c>
      <c r="G71" s="3" t="s">
        <v>782</v>
      </c>
      <c r="H71" s="3" t="s">
        <v>7</v>
      </c>
      <c r="I71" s="39" t="s">
        <v>2</v>
      </c>
      <c r="J71" s="39" t="s">
        <v>1628</v>
      </c>
      <c r="K71" s="30">
        <v>31703</v>
      </c>
      <c r="L71" s="26">
        <v>1986</v>
      </c>
      <c r="M71" s="26">
        <f t="shared" si="1"/>
        <v>33</v>
      </c>
      <c r="N71" s="3" t="s">
        <v>3</v>
      </c>
      <c r="O71" s="3" t="s">
        <v>821</v>
      </c>
      <c r="P71" s="39" t="s">
        <v>933</v>
      </c>
      <c r="Q71" s="3"/>
      <c r="R71" s="39" t="s">
        <v>827</v>
      </c>
    </row>
    <row r="72" spans="2:18" ht="25.5" x14ac:dyDescent="0.25">
      <c r="B72" s="142">
        <v>19</v>
      </c>
      <c r="C72" s="142" t="s">
        <v>1783</v>
      </c>
      <c r="D72" s="3">
        <v>65</v>
      </c>
      <c r="E72" s="39" t="s">
        <v>61</v>
      </c>
      <c r="F72" s="3" t="s">
        <v>5</v>
      </c>
      <c r="G72" s="3" t="s">
        <v>1786</v>
      </c>
      <c r="H72" s="3" t="s">
        <v>1</v>
      </c>
      <c r="I72" s="39" t="s">
        <v>2</v>
      </c>
      <c r="J72" s="39" t="s">
        <v>820</v>
      </c>
      <c r="K72" s="30">
        <v>21002</v>
      </c>
      <c r="L72" s="26">
        <v>1957</v>
      </c>
      <c r="M72" s="26">
        <f t="shared" si="1"/>
        <v>62</v>
      </c>
      <c r="N72" s="3" t="s">
        <v>3</v>
      </c>
      <c r="O72" s="3" t="s">
        <v>821</v>
      </c>
      <c r="P72" s="39" t="s">
        <v>931</v>
      </c>
      <c r="Q72" s="3"/>
      <c r="R72" s="39" t="s">
        <v>1496</v>
      </c>
    </row>
    <row r="73" spans="2:18" ht="25.5" x14ac:dyDescent="0.25">
      <c r="B73" s="142"/>
      <c r="C73" s="142"/>
      <c r="D73" s="3">
        <v>66</v>
      </c>
      <c r="E73" s="39" t="s">
        <v>1784</v>
      </c>
      <c r="F73" s="3" t="s">
        <v>9</v>
      </c>
      <c r="G73" s="3" t="s">
        <v>1785</v>
      </c>
      <c r="H73" s="3" t="s">
        <v>7</v>
      </c>
      <c r="I73" s="39" t="s">
        <v>2</v>
      </c>
      <c r="J73" s="39" t="s">
        <v>1628</v>
      </c>
      <c r="K73" s="30">
        <v>22098</v>
      </c>
      <c r="L73" s="26">
        <v>1960</v>
      </c>
      <c r="M73" s="26">
        <f t="shared" si="1"/>
        <v>59</v>
      </c>
      <c r="N73" s="3" t="s">
        <v>3</v>
      </c>
      <c r="O73" s="3" t="s">
        <v>821</v>
      </c>
      <c r="P73" s="39" t="s">
        <v>936</v>
      </c>
      <c r="Q73" s="3"/>
      <c r="R73" s="39" t="s">
        <v>827</v>
      </c>
    </row>
    <row r="74" spans="2:18" x14ac:dyDescent="0.25">
      <c r="B74" s="142">
        <v>20</v>
      </c>
      <c r="C74" s="139" t="s">
        <v>983</v>
      </c>
      <c r="D74" s="3">
        <v>67</v>
      </c>
      <c r="E74" s="39" t="s">
        <v>65</v>
      </c>
      <c r="F74" s="3" t="s">
        <v>5</v>
      </c>
      <c r="G74" s="3" t="s">
        <v>984</v>
      </c>
      <c r="H74" s="3" t="s">
        <v>1</v>
      </c>
      <c r="I74" s="39" t="s">
        <v>2</v>
      </c>
      <c r="J74" s="39" t="s">
        <v>1472</v>
      </c>
      <c r="K74" s="30">
        <v>24654</v>
      </c>
      <c r="L74" s="26">
        <v>1967</v>
      </c>
      <c r="M74" s="26">
        <f t="shared" si="1"/>
        <v>52</v>
      </c>
      <c r="N74" s="3" t="s">
        <v>3</v>
      </c>
      <c r="O74" s="3" t="s">
        <v>821</v>
      </c>
      <c r="P74" s="39" t="s">
        <v>978</v>
      </c>
      <c r="Q74" s="3"/>
      <c r="R74" s="39" t="s">
        <v>1496</v>
      </c>
    </row>
    <row r="75" spans="2:18" ht="25.5" x14ac:dyDescent="0.25">
      <c r="B75" s="142"/>
      <c r="C75" s="140"/>
      <c r="D75" s="3">
        <v>68</v>
      </c>
      <c r="E75" s="39" t="s">
        <v>66</v>
      </c>
      <c r="F75" s="3" t="s">
        <v>9</v>
      </c>
      <c r="G75" s="3" t="s">
        <v>985</v>
      </c>
      <c r="H75" s="3" t="s">
        <v>7</v>
      </c>
      <c r="I75" s="39" t="s">
        <v>2</v>
      </c>
      <c r="J75" s="39" t="s">
        <v>1472</v>
      </c>
      <c r="K75" s="30">
        <v>31229</v>
      </c>
      <c r="L75" s="26">
        <v>1985</v>
      </c>
      <c r="M75" s="26">
        <f t="shared" si="1"/>
        <v>34</v>
      </c>
      <c r="N75" s="3" t="s">
        <v>3</v>
      </c>
      <c r="O75" s="3" t="s">
        <v>821</v>
      </c>
      <c r="P75" s="39" t="s">
        <v>978</v>
      </c>
      <c r="Q75" s="3"/>
      <c r="R75" s="39" t="s">
        <v>827</v>
      </c>
    </row>
    <row r="76" spans="2:18" ht="25.5" x14ac:dyDescent="0.25">
      <c r="B76" s="142"/>
      <c r="C76" s="140"/>
      <c r="D76" s="3">
        <v>69</v>
      </c>
      <c r="E76" s="39" t="s">
        <v>67</v>
      </c>
      <c r="F76" s="3" t="s">
        <v>11</v>
      </c>
      <c r="G76" s="3" t="s">
        <v>986</v>
      </c>
      <c r="H76" s="3" t="s">
        <v>1</v>
      </c>
      <c r="I76" s="39" t="s">
        <v>10</v>
      </c>
      <c r="J76" s="39" t="s">
        <v>1465</v>
      </c>
      <c r="K76" s="30">
        <v>35195</v>
      </c>
      <c r="L76" s="26">
        <v>1996</v>
      </c>
      <c r="M76" s="26">
        <f t="shared" si="1"/>
        <v>23</v>
      </c>
      <c r="N76" s="3" t="s">
        <v>3</v>
      </c>
      <c r="O76" s="3" t="s">
        <v>821</v>
      </c>
      <c r="P76" s="39" t="s">
        <v>978</v>
      </c>
      <c r="Q76" s="3"/>
      <c r="R76" s="39" t="s">
        <v>1475</v>
      </c>
    </row>
    <row r="77" spans="2:18" ht="25.5" x14ac:dyDescent="0.25">
      <c r="B77" s="142"/>
      <c r="C77" s="140"/>
      <c r="D77" s="3">
        <v>70</v>
      </c>
      <c r="E77" s="39" t="s">
        <v>68</v>
      </c>
      <c r="F77" s="3" t="s">
        <v>11</v>
      </c>
      <c r="G77" s="3" t="s">
        <v>987</v>
      </c>
      <c r="H77" s="3" t="s">
        <v>1</v>
      </c>
      <c r="I77" s="39" t="s">
        <v>10</v>
      </c>
      <c r="J77" s="39" t="s">
        <v>1465</v>
      </c>
      <c r="K77" s="30">
        <v>36808</v>
      </c>
      <c r="L77" s="26">
        <v>2000</v>
      </c>
      <c r="M77" s="26">
        <f t="shared" si="1"/>
        <v>19</v>
      </c>
      <c r="N77" s="3" t="s">
        <v>3</v>
      </c>
      <c r="O77" s="3" t="s">
        <v>821</v>
      </c>
      <c r="P77" s="39" t="s">
        <v>936</v>
      </c>
      <c r="Q77" s="3"/>
      <c r="R77" s="39" t="s">
        <v>1475</v>
      </c>
    </row>
    <row r="78" spans="2:18" ht="25.5" x14ac:dyDescent="0.25">
      <c r="B78" s="142"/>
      <c r="C78" s="141"/>
      <c r="D78" s="3">
        <v>71</v>
      </c>
      <c r="E78" s="39" t="s">
        <v>69</v>
      </c>
      <c r="F78" s="3" t="s">
        <v>11</v>
      </c>
      <c r="G78" s="3" t="s">
        <v>988</v>
      </c>
      <c r="H78" s="3" t="s">
        <v>7</v>
      </c>
      <c r="I78" s="39" t="s">
        <v>10</v>
      </c>
      <c r="J78" s="39" t="s">
        <v>1465</v>
      </c>
      <c r="K78" s="30">
        <v>40204</v>
      </c>
      <c r="L78" s="26">
        <v>2010</v>
      </c>
      <c r="M78" s="26">
        <f t="shared" si="1"/>
        <v>9</v>
      </c>
      <c r="N78" s="3" t="s">
        <v>3</v>
      </c>
      <c r="O78" s="3" t="s">
        <v>821</v>
      </c>
      <c r="P78" s="39" t="s">
        <v>948</v>
      </c>
      <c r="Q78" s="3"/>
      <c r="R78" s="39"/>
    </row>
    <row r="79" spans="2:18" x14ac:dyDescent="0.25">
      <c r="B79" s="139">
        <v>21</v>
      </c>
      <c r="C79" s="139" t="s">
        <v>1629</v>
      </c>
      <c r="D79" s="3">
        <v>72</v>
      </c>
      <c r="E79" s="39" t="s">
        <v>70</v>
      </c>
      <c r="F79" s="3" t="s">
        <v>5</v>
      </c>
      <c r="G79" s="3" t="s">
        <v>1630</v>
      </c>
      <c r="H79" s="3" t="s">
        <v>7</v>
      </c>
      <c r="I79" s="39" t="s">
        <v>2</v>
      </c>
      <c r="J79" s="39" t="s">
        <v>1472</v>
      </c>
      <c r="K79" s="30">
        <v>27029</v>
      </c>
      <c r="L79" s="26">
        <v>1973</v>
      </c>
      <c r="M79" s="26">
        <f t="shared" si="1"/>
        <v>46</v>
      </c>
      <c r="N79" s="3" t="s">
        <v>3</v>
      </c>
      <c r="O79" s="3" t="s">
        <v>821</v>
      </c>
      <c r="P79" s="39" t="s">
        <v>978</v>
      </c>
      <c r="Q79" s="3"/>
      <c r="R79" s="39" t="s">
        <v>54</v>
      </c>
    </row>
    <row r="80" spans="2:18" ht="25.5" x14ac:dyDescent="0.25">
      <c r="B80" s="140"/>
      <c r="C80" s="140"/>
      <c r="D80" s="3">
        <v>73</v>
      </c>
      <c r="E80" s="39" t="s">
        <v>71</v>
      </c>
      <c r="F80" s="3" t="s">
        <v>9</v>
      </c>
      <c r="G80" s="3" t="s">
        <v>1631</v>
      </c>
      <c r="H80" s="3" t="s">
        <v>7</v>
      </c>
      <c r="I80" s="39" t="s">
        <v>2</v>
      </c>
      <c r="J80" s="39" t="s">
        <v>1632</v>
      </c>
      <c r="K80" s="30">
        <v>29776</v>
      </c>
      <c r="L80" s="26">
        <v>1981</v>
      </c>
      <c r="M80" s="26">
        <f t="shared" si="1"/>
        <v>38</v>
      </c>
      <c r="N80" s="3" t="s">
        <v>3</v>
      </c>
      <c r="O80" s="3" t="s">
        <v>821</v>
      </c>
      <c r="P80" s="39" t="s">
        <v>936</v>
      </c>
      <c r="Q80" s="3"/>
      <c r="R80" s="39" t="s">
        <v>827</v>
      </c>
    </row>
    <row r="81" spans="1:18" ht="25.5" x14ac:dyDescent="0.25">
      <c r="B81" s="140"/>
      <c r="C81" s="140"/>
      <c r="D81" s="3">
        <v>74</v>
      </c>
      <c r="E81" s="39" t="s">
        <v>1633</v>
      </c>
      <c r="F81" s="3" t="s">
        <v>11</v>
      </c>
      <c r="G81" s="3" t="s">
        <v>1634</v>
      </c>
      <c r="H81" s="3" t="s">
        <v>1</v>
      </c>
      <c r="I81" s="39" t="s">
        <v>10</v>
      </c>
      <c r="J81" s="39" t="s">
        <v>1472</v>
      </c>
      <c r="K81" s="30">
        <v>36646</v>
      </c>
      <c r="L81" s="26">
        <v>2000</v>
      </c>
      <c r="M81" s="26">
        <f t="shared" si="1"/>
        <v>19</v>
      </c>
      <c r="N81" s="3" t="s">
        <v>3</v>
      </c>
      <c r="O81" s="3" t="s">
        <v>821</v>
      </c>
      <c r="P81" s="39" t="s">
        <v>936</v>
      </c>
      <c r="Q81" s="3"/>
      <c r="R81" s="39" t="s">
        <v>1475</v>
      </c>
    </row>
    <row r="82" spans="1:18" ht="25.5" x14ac:dyDescent="0.25">
      <c r="B82" s="140"/>
      <c r="C82" s="140"/>
      <c r="D82" s="3">
        <v>75</v>
      </c>
      <c r="E82" s="94" t="s">
        <v>72</v>
      </c>
      <c r="F82" s="95" t="s">
        <v>11</v>
      </c>
      <c r="G82" s="95" t="s">
        <v>1635</v>
      </c>
      <c r="H82" s="95" t="s">
        <v>1</v>
      </c>
      <c r="I82" s="94" t="s">
        <v>10</v>
      </c>
      <c r="J82" s="39" t="s">
        <v>1472</v>
      </c>
      <c r="K82" s="78">
        <v>37640</v>
      </c>
      <c r="L82" s="77">
        <v>2003</v>
      </c>
      <c r="M82" s="77">
        <f t="shared" si="1"/>
        <v>16</v>
      </c>
      <c r="N82" s="95" t="s">
        <v>3</v>
      </c>
      <c r="O82" s="95" t="s">
        <v>821</v>
      </c>
      <c r="P82" s="94" t="s">
        <v>948</v>
      </c>
      <c r="Q82" s="95"/>
      <c r="R82" s="94" t="s">
        <v>1491</v>
      </c>
    </row>
    <row r="83" spans="1:18" s="96" customFormat="1" ht="25.5" x14ac:dyDescent="0.25">
      <c r="A83" s="31"/>
      <c r="B83" s="141"/>
      <c r="C83" s="141"/>
      <c r="D83" s="3">
        <v>76</v>
      </c>
      <c r="E83" s="39" t="s">
        <v>1636</v>
      </c>
      <c r="F83" s="3" t="s">
        <v>11</v>
      </c>
      <c r="G83" s="3" t="s">
        <v>1637</v>
      </c>
      <c r="H83" s="3" t="s">
        <v>7</v>
      </c>
      <c r="I83" s="39" t="s">
        <v>10</v>
      </c>
      <c r="J83" s="39" t="s">
        <v>1472</v>
      </c>
      <c r="K83" s="30">
        <v>42423</v>
      </c>
      <c r="L83" s="26">
        <v>2016</v>
      </c>
      <c r="M83" s="26">
        <f t="shared" si="1"/>
        <v>3</v>
      </c>
      <c r="N83" s="3" t="s">
        <v>3</v>
      </c>
      <c r="O83" s="3" t="s">
        <v>821</v>
      </c>
      <c r="P83" s="39" t="s">
        <v>948</v>
      </c>
      <c r="Q83" s="3"/>
      <c r="R83" s="39" t="s">
        <v>1491</v>
      </c>
    </row>
    <row r="84" spans="1:18" ht="25.5" x14ac:dyDescent="0.25">
      <c r="B84" s="139">
        <v>22</v>
      </c>
      <c r="C84" s="139" t="s">
        <v>1699</v>
      </c>
      <c r="D84" s="3">
        <v>77</v>
      </c>
      <c r="E84" s="97" t="s">
        <v>73</v>
      </c>
      <c r="F84" s="32" t="s">
        <v>5</v>
      </c>
      <c r="G84" s="32" t="s">
        <v>785</v>
      </c>
      <c r="H84" s="32" t="s">
        <v>1</v>
      </c>
      <c r="I84" s="97" t="s">
        <v>2</v>
      </c>
      <c r="J84" s="97" t="s">
        <v>1472</v>
      </c>
      <c r="K84" s="98">
        <v>29441</v>
      </c>
      <c r="L84" s="99">
        <v>1980</v>
      </c>
      <c r="M84" s="99">
        <f t="shared" si="1"/>
        <v>39</v>
      </c>
      <c r="N84" s="32" t="s">
        <v>3</v>
      </c>
      <c r="O84" s="32" t="s">
        <v>821</v>
      </c>
      <c r="P84" s="97" t="s">
        <v>933</v>
      </c>
      <c r="Q84" s="32"/>
      <c r="R84" s="97" t="s">
        <v>877</v>
      </c>
    </row>
    <row r="85" spans="1:18" ht="25.5" x14ac:dyDescent="0.25">
      <c r="B85" s="140"/>
      <c r="C85" s="140"/>
      <c r="D85" s="3">
        <v>78</v>
      </c>
      <c r="E85" s="39" t="s">
        <v>1700</v>
      </c>
      <c r="F85" s="3" t="s">
        <v>9</v>
      </c>
      <c r="G85" s="3" t="s">
        <v>1701</v>
      </c>
      <c r="H85" s="3" t="s">
        <v>7</v>
      </c>
      <c r="I85" s="39" t="s">
        <v>2</v>
      </c>
      <c r="J85" s="97" t="s">
        <v>1472</v>
      </c>
      <c r="K85" s="30">
        <v>32508</v>
      </c>
      <c r="L85" s="26">
        <v>1988</v>
      </c>
      <c r="M85" s="26">
        <f t="shared" ref="M85" si="2">2019-L85</f>
        <v>31</v>
      </c>
      <c r="N85" s="3" t="s">
        <v>3</v>
      </c>
      <c r="O85" s="3" t="s">
        <v>821</v>
      </c>
      <c r="P85" s="39" t="s">
        <v>933</v>
      </c>
      <c r="Q85" s="3"/>
      <c r="R85" s="39" t="s">
        <v>827</v>
      </c>
    </row>
    <row r="86" spans="1:18" x14ac:dyDescent="0.25">
      <c r="B86" s="140"/>
      <c r="C86" s="140"/>
      <c r="D86" s="3">
        <v>79</v>
      </c>
      <c r="E86" s="39" t="s">
        <v>74</v>
      </c>
      <c r="F86" s="3" t="s">
        <v>11</v>
      </c>
      <c r="G86" s="3" t="s">
        <v>786</v>
      </c>
      <c r="H86" s="3" t="s">
        <v>7</v>
      </c>
      <c r="I86" s="39" t="s">
        <v>10</v>
      </c>
      <c r="J86" s="97" t="s">
        <v>1472</v>
      </c>
      <c r="K86" s="30">
        <v>35627</v>
      </c>
      <c r="L86" s="26">
        <v>1997</v>
      </c>
      <c r="M86" s="26">
        <f t="shared" si="1"/>
        <v>22</v>
      </c>
      <c r="N86" s="3" t="s">
        <v>3</v>
      </c>
      <c r="O86" s="3" t="s">
        <v>821</v>
      </c>
      <c r="P86" s="39" t="s">
        <v>933</v>
      </c>
      <c r="Q86" s="3"/>
      <c r="R86" s="39" t="s">
        <v>1475</v>
      </c>
    </row>
    <row r="87" spans="1:18" ht="25.5" x14ac:dyDescent="0.25">
      <c r="B87" s="140"/>
      <c r="C87" s="140"/>
      <c r="D87" s="3">
        <v>80</v>
      </c>
      <c r="E87" s="39" t="s">
        <v>75</v>
      </c>
      <c r="F87" s="3" t="s">
        <v>11</v>
      </c>
      <c r="G87" s="3" t="s">
        <v>787</v>
      </c>
      <c r="H87" s="3" t="s">
        <v>1</v>
      </c>
      <c r="I87" s="39" t="s">
        <v>10</v>
      </c>
      <c r="J87" s="97" t="s">
        <v>1465</v>
      </c>
      <c r="K87" s="30">
        <v>37592</v>
      </c>
      <c r="L87" s="26">
        <v>2002</v>
      </c>
      <c r="M87" s="26">
        <f t="shared" ref="M87:M137" si="3">2019-L87</f>
        <v>17</v>
      </c>
      <c r="N87" s="3" t="s">
        <v>3</v>
      </c>
      <c r="O87" s="3" t="s">
        <v>821</v>
      </c>
      <c r="P87" s="39" t="s">
        <v>936</v>
      </c>
      <c r="Q87" s="3"/>
      <c r="R87" s="39" t="s">
        <v>1475</v>
      </c>
    </row>
    <row r="88" spans="1:18" ht="25.5" x14ac:dyDescent="0.25">
      <c r="B88" s="141"/>
      <c r="C88" s="141"/>
      <c r="D88" s="3">
        <v>81</v>
      </c>
      <c r="E88" s="39" t="s">
        <v>76</v>
      </c>
      <c r="F88" s="3" t="s">
        <v>11</v>
      </c>
      <c r="G88" s="3" t="s">
        <v>788</v>
      </c>
      <c r="H88" s="3" t="s">
        <v>7</v>
      </c>
      <c r="I88" s="39" t="s">
        <v>10</v>
      </c>
      <c r="J88" s="39" t="s">
        <v>1511</v>
      </c>
      <c r="K88" s="30">
        <v>40471</v>
      </c>
      <c r="L88" s="26">
        <v>2010</v>
      </c>
      <c r="M88" s="26">
        <f t="shared" si="3"/>
        <v>9</v>
      </c>
      <c r="N88" s="3" t="s">
        <v>3</v>
      </c>
      <c r="O88" s="3" t="s">
        <v>821</v>
      </c>
      <c r="P88" s="39" t="s">
        <v>948</v>
      </c>
      <c r="Q88" s="3"/>
      <c r="R88" s="39" t="s">
        <v>1491</v>
      </c>
    </row>
    <row r="89" spans="1:18" ht="25.5" x14ac:dyDescent="0.25">
      <c r="B89" s="139">
        <v>23</v>
      </c>
      <c r="C89" s="139" t="s">
        <v>927</v>
      </c>
      <c r="D89" s="3">
        <v>82</v>
      </c>
      <c r="E89" s="39" t="s">
        <v>180</v>
      </c>
      <c r="F89" s="3" t="s">
        <v>5</v>
      </c>
      <c r="G89" s="3" t="s">
        <v>928</v>
      </c>
      <c r="H89" s="3" t="s">
        <v>1</v>
      </c>
      <c r="I89" s="39" t="s">
        <v>883</v>
      </c>
      <c r="J89" s="39" t="s">
        <v>1465</v>
      </c>
      <c r="K89" s="30">
        <v>14427</v>
      </c>
      <c r="L89" s="26">
        <v>1939</v>
      </c>
      <c r="M89" s="26">
        <f t="shared" si="3"/>
        <v>80</v>
      </c>
      <c r="N89" s="3" t="s">
        <v>3</v>
      </c>
      <c r="O89" s="3" t="s">
        <v>821</v>
      </c>
      <c r="P89" s="39" t="s">
        <v>948</v>
      </c>
      <c r="Q89" s="3"/>
      <c r="R89" s="39" t="s">
        <v>1496</v>
      </c>
    </row>
    <row r="90" spans="1:18" ht="25.5" x14ac:dyDescent="0.25">
      <c r="B90" s="140"/>
      <c r="C90" s="140"/>
      <c r="D90" s="3">
        <v>83</v>
      </c>
      <c r="E90" s="39" t="s">
        <v>77</v>
      </c>
      <c r="F90" s="3" t="s">
        <v>11</v>
      </c>
      <c r="G90" s="3" t="s">
        <v>1638</v>
      </c>
      <c r="H90" s="3" t="s">
        <v>7</v>
      </c>
      <c r="I90" s="39" t="s">
        <v>10</v>
      </c>
      <c r="J90" s="39" t="s">
        <v>1465</v>
      </c>
      <c r="K90" s="30">
        <v>26298</v>
      </c>
      <c r="L90" s="26">
        <v>1971</v>
      </c>
      <c r="M90" s="26">
        <f t="shared" si="3"/>
        <v>48</v>
      </c>
      <c r="N90" s="3" t="s">
        <v>3</v>
      </c>
      <c r="O90" s="3" t="s">
        <v>821</v>
      </c>
      <c r="P90" s="39" t="s">
        <v>948</v>
      </c>
      <c r="Q90" s="3"/>
      <c r="R90" s="39" t="s">
        <v>54</v>
      </c>
    </row>
    <row r="91" spans="1:18" ht="25.5" x14ac:dyDescent="0.25">
      <c r="B91" s="140"/>
      <c r="C91" s="140"/>
      <c r="D91" s="3">
        <v>84</v>
      </c>
      <c r="E91" s="39" t="s">
        <v>38</v>
      </c>
      <c r="F91" s="3" t="s">
        <v>11</v>
      </c>
      <c r="G91" s="3" t="s">
        <v>1639</v>
      </c>
      <c r="H91" s="3" t="s">
        <v>7</v>
      </c>
      <c r="I91" s="39" t="s">
        <v>10</v>
      </c>
      <c r="J91" s="39" t="s">
        <v>1465</v>
      </c>
      <c r="K91" s="30">
        <v>28125</v>
      </c>
      <c r="L91" s="26">
        <v>1976</v>
      </c>
      <c r="M91" s="26">
        <f t="shared" si="3"/>
        <v>43</v>
      </c>
      <c r="N91" s="3" t="s">
        <v>3</v>
      </c>
      <c r="O91" s="3" t="s">
        <v>821</v>
      </c>
      <c r="P91" s="39" t="s">
        <v>936</v>
      </c>
      <c r="Q91" s="3"/>
      <c r="R91" s="39" t="s">
        <v>54</v>
      </c>
    </row>
    <row r="92" spans="1:18" ht="25.5" x14ac:dyDescent="0.25">
      <c r="B92" s="141"/>
      <c r="C92" s="141"/>
      <c r="D92" s="3">
        <v>85</v>
      </c>
      <c r="E92" s="39" t="s">
        <v>1045</v>
      </c>
      <c r="F92" s="3" t="s">
        <v>11</v>
      </c>
      <c r="G92" s="3" t="s">
        <v>1640</v>
      </c>
      <c r="H92" s="3" t="s">
        <v>7</v>
      </c>
      <c r="I92" s="39" t="s">
        <v>10</v>
      </c>
      <c r="J92" s="39" t="s">
        <v>1465</v>
      </c>
      <c r="K92" s="30">
        <v>29586</v>
      </c>
      <c r="L92" s="26">
        <v>1980</v>
      </c>
      <c r="M92" s="26">
        <f t="shared" si="3"/>
        <v>39</v>
      </c>
      <c r="N92" s="3" t="s">
        <v>3</v>
      </c>
      <c r="O92" s="3" t="s">
        <v>821</v>
      </c>
      <c r="P92" s="39" t="s">
        <v>978</v>
      </c>
      <c r="Q92" s="3"/>
      <c r="R92" s="39" t="s">
        <v>54</v>
      </c>
    </row>
    <row r="93" spans="1:18" ht="25.5" x14ac:dyDescent="0.25">
      <c r="B93" s="139">
        <v>24</v>
      </c>
      <c r="C93" s="139" t="s">
        <v>957</v>
      </c>
      <c r="D93" s="3">
        <v>86</v>
      </c>
      <c r="E93" s="39" t="s">
        <v>79</v>
      </c>
      <c r="F93" s="3" t="s">
        <v>9</v>
      </c>
      <c r="G93" s="3" t="s">
        <v>960</v>
      </c>
      <c r="H93" s="3" t="s">
        <v>7</v>
      </c>
      <c r="I93" s="39" t="s">
        <v>80</v>
      </c>
      <c r="J93" s="39" t="s">
        <v>1641</v>
      </c>
      <c r="K93" s="30">
        <v>32928</v>
      </c>
      <c r="L93" s="26">
        <v>1990</v>
      </c>
      <c r="M93" s="26">
        <f t="shared" si="3"/>
        <v>29</v>
      </c>
      <c r="N93" s="3" t="s">
        <v>3</v>
      </c>
      <c r="O93" s="3" t="s">
        <v>821</v>
      </c>
      <c r="P93" s="39" t="s">
        <v>933</v>
      </c>
      <c r="Q93" s="3"/>
      <c r="R93" s="39" t="s">
        <v>827</v>
      </c>
    </row>
    <row r="94" spans="1:18" ht="25.5" x14ac:dyDescent="0.25">
      <c r="B94" s="140"/>
      <c r="C94" s="140"/>
      <c r="D94" s="3">
        <v>87</v>
      </c>
      <c r="E94" s="39" t="s">
        <v>959</v>
      </c>
      <c r="F94" s="3" t="s">
        <v>11</v>
      </c>
      <c r="G94" s="3" t="s">
        <v>961</v>
      </c>
      <c r="H94" s="3" t="s">
        <v>7</v>
      </c>
      <c r="I94" s="39" t="s">
        <v>10</v>
      </c>
      <c r="J94" s="39" t="s">
        <v>1472</v>
      </c>
      <c r="K94" s="30">
        <v>40047</v>
      </c>
      <c r="L94" s="26">
        <v>2009</v>
      </c>
      <c r="M94" s="26">
        <f t="shared" si="3"/>
        <v>10</v>
      </c>
      <c r="N94" s="3" t="s">
        <v>3</v>
      </c>
      <c r="O94" s="3" t="s">
        <v>821</v>
      </c>
      <c r="P94" s="39" t="s">
        <v>931</v>
      </c>
      <c r="Q94" s="3"/>
      <c r="R94" s="39" t="s">
        <v>1475</v>
      </c>
    </row>
    <row r="95" spans="1:18" ht="25.5" x14ac:dyDescent="0.25">
      <c r="B95" s="141"/>
      <c r="C95" s="141"/>
      <c r="D95" s="3">
        <v>88</v>
      </c>
      <c r="E95" s="39" t="s">
        <v>958</v>
      </c>
      <c r="F95" s="3" t="s">
        <v>11</v>
      </c>
      <c r="G95" s="3" t="s">
        <v>962</v>
      </c>
      <c r="H95" s="3" t="s">
        <v>1</v>
      </c>
      <c r="I95" s="39" t="s">
        <v>10</v>
      </c>
      <c r="J95" s="39" t="s">
        <v>1472</v>
      </c>
      <c r="K95" s="30">
        <v>42676</v>
      </c>
      <c r="L95" s="26">
        <v>2016</v>
      </c>
      <c r="M95" s="26">
        <f t="shared" si="3"/>
        <v>3</v>
      </c>
      <c r="N95" s="3" t="s">
        <v>3</v>
      </c>
      <c r="O95" s="3" t="s">
        <v>821</v>
      </c>
      <c r="P95" s="39" t="s">
        <v>948</v>
      </c>
      <c r="Q95" s="3"/>
      <c r="R95" s="39" t="s">
        <v>1491</v>
      </c>
    </row>
    <row r="96" spans="1:18" ht="25.5" x14ac:dyDescent="0.25">
      <c r="B96" s="142">
        <v>25</v>
      </c>
      <c r="C96" s="139" t="s">
        <v>993</v>
      </c>
      <c r="D96" s="3">
        <v>89</v>
      </c>
      <c r="E96" s="39" t="s">
        <v>81</v>
      </c>
      <c r="F96" s="3" t="s">
        <v>5</v>
      </c>
      <c r="G96" s="3" t="s">
        <v>789</v>
      </c>
      <c r="H96" s="3" t="s">
        <v>1</v>
      </c>
      <c r="I96" s="39" t="s">
        <v>2</v>
      </c>
      <c r="J96" s="39" t="s">
        <v>1472</v>
      </c>
      <c r="K96" s="30">
        <v>27942</v>
      </c>
      <c r="L96" s="26">
        <v>1976</v>
      </c>
      <c r="M96" s="26">
        <f t="shared" si="3"/>
        <v>43</v>
      </c>
      <c r="N96" s="3" t="s">
        <v>3</v>
      </c>
      <c r="O96" s="3" t="s">
        <v>821</v>
      </c>
      <c r="P96" s="39" t="s">
        <v>936</v>
      </c>
      <c r="Q96" s="3"/>
      <c r="R96" s="39" t="s">
        <v>826</v>
      </c>
    </row>
    <row r="97" spans="2:18" ht="25.5" x14ac:dyDescent="0.25">
      <c r="B97" s="142"/>
      <c r="C97" s="140"/>
      <c r="D97" s="3">
        <v>90</v>
      </c>
      <c r="E97" s="39" t="s">
        <v>82</v>
      </c>
      <c r="F97" s="3" t="s">
        <v>9</v>
      </c>
      <c r="G97" s="3" t="s">
        <v>790</v>
      </c>
      <c r="H97" s="3" t="s">
        <v>7</v>
      </c>
      <c r="I97" s="39" t="s">
        <v>2</v>
      </c>
      <c r="J97" s="39" t="s">
        <v>1523</v>
      </c>
      <c r="K97" s="30">
        <v>28672</v>
      </c>
      <c r="L97" s="26">
        <v>1978</v>
      </c>
      <c r="M97" s="26">
        <f t="shared" si="3"/>
        <v>41</v>
      </c>
      <c r="N97" s="3" t="s">
        <v>3</v>
      </c>
      <c r="O97" s="3" t="s">
        <v>821</v>
      </c>
      <c r="P97" s="39" t="s">
        <v>933</v>
      </c>
      <c r="Q97" s="3"/>
      <c r="R97" s="39" t="s">
        <v>827</v>
      </c>
    </row>
    <row r="98" spans="2:18" ht="25.5" x14ac:dyDescent="0.25">
      <c r="B98" s="142"/>
      <c r="C98" s="140"/>
      <c r="D98" s="3">
        <v>91</v>
      </c>
      <c r="E98" s="39" t="s">
        <v>84</v>
      </c>
      <c r="F98" s="3" t="s">
        <v>11</v>
      </c>
      <c r="G98" s="3" t="s">
        <v>994</v>
      </c>
      <c r="H98" s="3" t="s">
        <v>1</v>
      </c>
      <c r="I98" s="39" t="s">
        <v>10</v>
      </c>
      <c r="J98" s="39" t="s">
        <v>1465</v>
      </c>
      <c r="K98" s="30">
        <v>37109</v>
      </c>
      <c r="L98" s="26">
        <v>2001</v>
      </c>
      <c r="M98" s="26">
        <f t="shared" si="3"/>
        <v>18</v>
      </c>
      <c r="N98" s="3" t="s">
        <v>3</v>
      </c>
      <c r="O98" s="3" t="s">
        <v>821</v>
      </c>
      <c r="P98" s="39" t="s">
        <v>931</v>
      </c>
      <c r="Q98" s="3"/>
      <c r="R98" s="39" t="s">
        <v>1475</v>
      </c>
    </row>
    <row r="99" spans="2:18" ht="25.5" x14ac:dyDescent="0.25">
      <c r="B99" s="142"/>
      <c r="C99" s="140"/>
      <c r="D99" s="3">
        <v>92</v>
      </c>
      <c r="E99" s="39" t="s">
        <v>85</v>
      </c>
      <c r="F99" s="3" t="s">
        <v>11</v>
      </c>
      <c r="G99" s="3" t="s">
        <v>995</v>
      </c>
      <c r="H99" s="3" t="s">
        <v>7</v>
      </c>
      <c r="I99" s="39" t="s">
        <v>10</v>
      </c>
      <c r="J99" s="39" t="s">
        <v>1642</v>
      </c>
      <c r="K99" s="30">
        <v>39083</v>
      </c>
      <c r="L99" s="26">
        <v>2007</v>
      </c>
      <c r="M99" s="26">
        <f t="shared" si="3"/>
        <v>12</v>
      </c>
      <c r="N99" s="3" t="s">
        <v>3</v>
      </c>
      <c r="O99" s="3" t="s">
        <v>821</v>
      </c>
      <c r="P99" s="39" t="s">
        <v>931</v>
      </c>
      <c r="Q99" s="3"/>
      <c r="R99" s="39" t="s">
        <v>1475</v>
      </c>
    </row>
    <row r="100" spans="2:18" ht="25.5" x14ac:dyDescent="0.25">
      <c r="B100" s="142"/>
      <c r="C100" s="141"/>
      <c r="D100" s="3">
        <v>93</v>
      </c>
      <c r="E100" s="39" t="s">
        <v>86</v>
      </c>
      <c r="F100" s="3" t="s">
        <v>11</v>
      </c>
      <c r="G100" s="3" t="s">
        <v>996</v>
      </c>
      <c r="H100" s="3" t="s">
        <v>7</v>
      </c>
      <c r="I100" s="39" t="s">
        <v>10</v>
      </c>
      <c r="J100" s="39" t="s">
        <v>1642</v>
      </c>
      <c r="K100" s="30">
        <v>39083</v>
      </c>
      <c r="L100" s="26">
        <v>2007</v>
      </c>
      <c r="M100" s="26">
        <f t="shared" si="3"/>
        <v>12</v>
      </c>
      <c r="N100" s="3" t="s">
        <v>3</v>
      </c>
      <c r="O100" s="3" t="s">
        <v>821</v>
      </c>
      <c r="P100" s="39" t="s">
        <v>931</v>
      </c>
      <c r="Q100" s="3"/>
      <c r="R100" s="39" t="s">
        <v>1475</v>
      </c>
    </row>
    <row r="101" spans="2:18" x14ac:dyDescent="0.25">
      <c r="B101" s="142">
        <v>26</v>
      </c>
      <c r="C101" s="142"/>
      <c r="D101" s="3">
        <v>94</v>
      </c>
      <c r="E101" s="39" t="s">
        <v>87</v>
      </c>
      <c r="F101" s="3" t="s">
        <v>5</v>
      </c>
      <c r="G101" s="3"/>
      <c r="H101" s="3" t="s">
        <v>7</v>
      </c>
      <c r="I101" s="39" t="s">
        <v>39</v>
      </c>
      <c r="J101" s="39"/>
      <c r="K101" s="30">
        <v>25750</v>
      </c>
      <c r="L101" s="26">
        <v>1970</v>
      </c>
      <c r="M101" s="26">
        <f t="shared" si="3"/>
        <v>49</v>
      </c>
      <c r="N101" s="3" t="s">
        <v>3</v>
      </c>
      <c r="O101" s="3"/>
      <c r="P101" s="39" t="s">
        <v>4</v>
      </c>
      <c r="Q101" s="3"/>
      <c r="R101" s="39"/>
    </row>
    <row r="102" spans="2:18" x14ac:dyDescent="0.25">
      <c r="B102" s="142"/>
      <c r="C102" s="142"/>
      <c r="D102" s="3">
        <v>95</v>
      </c>
      <c r="E102" s="39" t="s">
        <v>88</v>
      </c>
      <c r="F102" s="3" t="s">
        <v>11</v>
      </c>
      <c r="G102" s="3"/>
      <c r="H102" s="3" t="s">
        <v>7</v>
      </c>
      <c r="I102" s="39" t="s">
        <v>10</v>
      </c>
      <c r="J102" s="39"/>
      <c r="K102" s="30">
        <v>31240</v>
      </c>
      <c r="L102" s="26">
        <v>1985</v>
      </c>
      <c r="M102" s="26">
        <f t="shared" si="3"/>
        <v>34</v>
      </c>
      <c r="N102" s="3" t="s">
        <v>3</v>
      </c>
      <c r="O102" s="3"/>
      <c r="P102" s="39" t="s">
        <v>8</v>
      </c>
      <c r="Q102" s="3"/>
      <c r="R102" s="39"/>
    </row>
    <row r="103" spans="2:18" x14ac:dyDescent="0.25">
      <c r="B103" s="142"/>
      <c r="C103" s="142"/>
      <c r="D103" s="3">
        <v>96</v>
      </c>
      <c r="E103" s="39" t="s">
        <v>89</v>
      </c>
      <c r="F103" s="3" t="s">
        <v>11</v>
      </c>
      <c r="G103" s="3"/>
      <c r="H103" s="3" t="s">
        <v>1</v>
      </c>
      <c r="I103" s="39" t="s">
        <v>10</v>
      </c>
      <c r="J103" s="39"/>
      <c r="K103" s="30">
        <v>34375</v>
      </c>
      <c r="L103" s="26">
        <v>1994</v>
      </c>
      <c r="M103" s="26">
        <f t="shared" si="3"/>
        <v>25</v>
      </c>
      <c r="N103" s="3" t="s">
        <v>3</v>
      </c>
      <c r="O103" s="3"/>
      <c r="P103" s="39" t="s">
        <v>21</v>
      </c>
      <c r="Q103" s="3"/>
      <c r="R103" s="39"/>
    </row>
    <row r="104" spans="2:18" x14ac:dyDescent="0.25">
      <c r="B104" s="142"/>
      <c r="C104" s="142"/>
      <c r="D104" s="3">
        <v>97</v>
      </c>
      <c r="E104" s="39" t="s">
        <v>90</v>
      </c>
      <c r="F104" s="3" t="s">
        <v>11</v>
      </c>
      <c r="G104" s="3"/>
      <c r="H104" s="3" t="s">
        <v>7</v>
      </c>
      <c r="I104" s="39" t="s">
        <v>10</v>
      </c>
      <c r="J104" s="39"/>
      <c r="K104" s="30">
        <v>36525</v>
      </c>
      <c r="L104" s="26">
        <v>1999</v>
      </c>
      <c r="M104" s="26">
        <f t="shared" si="3"/>
        <v>20</v>
      </c>
      <c r="N104" s="3" t="s">
        <v>3</v>
      </c>
      <c r="O104" s="3"/>
      <c r="P104" s="39" t="s">
        <v>8</v>
      </c>
      <c r="Q104" s="3"/>
      <c r="R104" s="39"/>
    </row>
    <row r="105" spans="2:18" x14ac:dyDescent="0.25">
      <c r="B105" s="3">
        <v>27</v>
      </c>
      <c r="C105" s="3"/>
      <c r="D105" s="3">
        <v>98</v>
      </c>
      <c r="E105" s="39" t="s">
        <v>91</v>
      </c>
      <c r="F105" s="3" t="s">
        <v>5</v>
      </c>
      <c r="G105" s="3"/>
      <c r="H105" s="3" t="s">
        <v>7</v>
      </c>
      <c r="I105" s="39" t="s">
        <v>39</v>
      </c>
      <c r="J105" s="39"/>
      <c r="K105" s="30">
        <v>23559</v>
      </c>
      <c r="L105" s="26">
        <v>1964</v>
      </c>
      <c r="M105" s="26">
        <f t="shared" si="3"/>
        <v>55</v>
      </c>
      <c r="N105" s="3" t="s">
        <v>3</v>
      </c>
      <c r="O105" s="3"/>
      <c r="P105" s="39" t="s">
        <v>4</v>
      </c>
      <c r="Q105" s="3"/>
      <c r="R105" s="39"/>
    </row>
    <row r="106" spans="2:18" ht="25.5" x14ac:dyDescent="0.25">
      <c r="B106" s="142">
        <v>28</v>
      </c>
      <c r="C106" s="139" t="s">
        <v>1000</v>
      </c>
      <c r="D106" s="3">
        <v>99</v>
      </c>
      <c r="E106" s="39" t="s">
        <v>92</v>
      </c>
      <c r="F106" s="3" t="s">
        <v>5</v>
      </c>
      <c r="G106" s="3" t="s">
        <v>791</v>
      </c>
      <c r="H106" s="3" t="s">
        <v>1</v>
      </c>
      <c r="I106" s="39" t="s">
        <v>2</v>
      </c>
      <c r="J106" s="39" t="s">
        <v>1465</v>
      </c>
      <c r="K106" s="30">
        <v>28957</v>
      </c>
      <c r="L106" s="26">
        <v>1979</v>
      </c>
      <c r="M106" s="26">
        <f t="shared" si="3"/>
        <v>40</v>
      </c>
      <c r="N106" s="3" t="s">
        <v>3</v>
      </c>
      <c r="O106" s="3" t="s">
        <v>821</v>
      </c>
      <c r="P106" s="39" t="s">
        <v>936</v>
      </c>
      <c r="Q106" s="3"/>
      <c r="R106" s="39" t="s">
        <v>54</v>
      </c>
    </row>
    <row r="107" spans="2:18" ht="25.5" x14ac:dyDescent="0.25">
      <c r="B107" s="142"/>
      <c r="C107" s="140"/>
      <c r="D107" s="3">
        <v>100</v>
      </c>
      <c r="E107" s="39" t="s">
        <v>93</v>
      </c>
      <c r="F107" s="3" t="s">
        <v>9</v>
      </c>
      <c r="G107" s="3" t="s">
        <v>999</v>
      </c>
      <c r="H107" s="3" t="s">
        <v>7</v>
      </c>
      <c r="I107" s="39" t="s">
        <v>2</v>
      </c>
      <c r="J107" s="39" t="s">
        <v>1643</v>
      </c>
      <c r="K107" s="30">
        <v>30117</v>
      </c>
      <c r="L107" s="26">
        <v>1982</v>
      </c>
      <c r="M107" s="26">
        <f t="shared" si="3"/>
        <v>37</v>
      </c>
      <c r="N107" s="3" t="s">
        <v>3</v>
      </c>
      <c r="O107" s="3" t="s">
        <v>821</v>
      </c>
      <c r="P107" s="39" t="s">
        <v>936</v>
      </c>
      <c r="Q107" s="3"/>
      <c r="R107" s="39" t="s">
        <v>827</v>
      </c>
    </row>
    <row r="108" spans="2:18" ht="25.5" x14ac:dyDescent="0.25">
      <c r="B108" s="142"/>
      <c r="C108" s="140"/>
      <c r="D108" s="3">
        <v>101</v>
      </c>
      <c r="E108" s="39" t="s">
        <v>94</v>
      </c>
      <c r="F108" s="3" t="s">
        <v>11</v>
      </c>
      <c r="G108" s="3" t="s">
        <v>792</v>
      </c>
      <c r="H108" s="3" t="s">
        <v>7</v>
      </c>
      <c r="I108" s="39" t="s">
        <v>10</v>
      </c>
      <c r="J108" s="39" t="s">
        <v>1642</v>
      </c>
      <c r="K108" s="30">
        <v>38108</v>
      </c>
      <c r="L108" s="26">
        <v>2004</v>
      </c>
      <c r="M108" s="26">
        <f t="shared" si="3"/>
        <v>15</v>
      </c>
      <c r="N108" s="3" t="s">
        <v>3</v>
      </c>
      <c r="O108" s="3" t="s">
        <v>821</v>
      </c>
      <c r="P108" s="39" t="s">
        <v>936</v>
      </c>
      <c r="Q108" s="3"/>
      <c r="R108" s="39" t="s">
        <v>1475</v>
      </c>
    </row>
    <row r="109" spans="2:18" ht="25.5" x14ac:dyDescent="0.25">
      <c r="B109" s="142"/>
      <c r="C109" s="141"/>
      <c r="D109" s="3">
        <v>102</v>
      </c>
      <c r="E109" s="39" t="s">
        <v>95</v>
      </c>
      <c r="F109" s="3" t="s">
        <v>11</v>
      </c>
      <c r="G109" s="3" t="s">
        <v>793</v>
      </c>
      <c r="H109" s="3" t="s">
        <v>1</v>
      </c>
      <c r="I109" s="39" t="s">
        <v>10</v>
      </c>
      <c r="J109" s="39" t="s">
        <v>1465</v>
      </c>
      <c r="K109" s="30">
        <v>40072</v>
      </c>
      <c r="L109" s="26">
        <v>2009</v>
      </c>
      <c r="M109" s="26">
        <f t="shared" si="3"/>
        <v>10</v>
      </c>
      <c r="N109" s="3" t="s">
        <v>3</v>
      </c>
      <c r="O109" s="3" t="s">
        <v>821</v>
      </c>
      <c r="P109" s="39" t="s">
        <v>948</v>
      </c>
      <c r="Q109" s="3"/>
      <c r="R109" s="39" t="s">
        <v>1491</v>
      </c>
    </row>
    <row r="110" spans="2:18" ht="25.5" x14ac:dyDescent="0.25">
      <c r="B110" s="142">
        <v>29</v>
      </c>
      <c r="C110" s="142" t="s">
        <v>1817</v>
      </c>
      <c r="D110" s="3">
        <v>103</v>
      </c>
      <c r="E110" s="39" t="s">
        <v>96</v>
      </c>
      <c r="F110" s="3" t="s">
        <v>5</v>
      </c>
      <c r="G110" s="3" t="s">
        <v>794</v>
      </c>
      <c r="H110" s="3" t="s">
        <v>1</v>
      </c>
      <c r="I110" s="39" t="s">
        <v>2</v>
      </c>
      <c r="J110" s="39" t="s">
        <v>1480</v>
      </c>
      <c r="K110" s="30">
        <v>31594</v>
      </c>
      <c r="L110" s="26">
        <v>1986</v>
      </c>
      <c r="M110" s="26">
        <f t="shared" si="3"/>
        <v>33</v>
      </c>
      <c r="N110" s="3" t="s">
        <v>3</v>
      </c>
      <c r="O110" s="3" t="s">
        <v>821</v>
      </c>
      <c r="P110" s="39" t="s">
        <v>978</v>
      </c>
      <c r="Q110" s="3"/>
      <c r="R110" s="39" t="s">
        <v>826</v>
      </c>
    </row>
    <row r="111" spans="2:18" ht="25.5" x14ac:dyDescent="0.25">
      <c r="B111" s="142"/>
      <c r="C111" s="142"/>
      <c r="D111" s="3">
        <v>104</v>
      </c>
      <c r="E111" s="39" t="s">
        <v>1818</v>
      </c>
      <c r="F111" s="3" t="s">
        <v>9</v>
      </c>
      <c r="G111" s="3" t="s">
        <v>1819</v>
      </c>
      <c r="H111" s="3" t="s">
        <v>7</v>
      </c>
      <c r="I111" s="39" t="s">
        <v>2</v>
      </c>
      <c r="J111" s="39" t="s">
        <v>1820</v>
      </c>
      <c r="K111" s="30">
        <v>32319</v>
      </c>
      <c r="L111" s="26">
        <v>1988</v>
      </c>
      <c r="M111" s="26">
        <f t="shared" si="3"/>
        <v>31</v>
      </c>
      <c r="N111" s="3" t="s">
        <v>3</v>
      </c>
      <c r="O111" s="3" t="s">
        <v>821</v>
      </c>
      <c r="P111" s="39" t="s">
        <v>1059</v>
      </c>
      <c r="Q111" s="3"/>
      <c r="R111" s="39" t="s">
        <v>54</v>
      </c>
    </row>
    <row r="112" spans="2:18" ht="25.5" x14ac:dyDescent="0.25">
      <c r="B112" s="139">
        <v>30</v>
      </c>
      <c r="C112" s="139" t="s">
        <v>1035</v>
      </c>
      <c r="D112" s="3">
        <v>105</v>
      </c>
      <c r="E112" s="39" t="s">
        <v>98</v>
      </c>
      <c r="F112" s="3" t="s">
        <v>5</v>
      </c>
      <c r="G112" s="3" t="s">
        <v>795</v>
      </c>
      <c r="H112" s="3" t="s">
        <v>7</v>
      </c>
      <c r="I112" s="39" t="s">
        <v>881</v>
      </c>
      <c r="J112" s="39" t="s">
        <v>1480</v>
      </c>
      <c r="K112" s="30">
        <v>22098</v>
      </c>
      <c r="L112" s="26">
        <v>1960</v>
      </c>
      <c r="M112" s="26">
        <f t="shared" si="3"/>
        <v>59</v>
      </c>
      <c r="N112" s="3" t="s">
        <v>3</v>
      </c>
      <c r="O112" s="3" t="s">
        <v>821</v>
      </c>
      <c r="P112" s="39" t="s">
        <v>936</v>
      </c>
      <c r="Q112" s="3"/>
      <c r="R112" s="39" t="s">
        <v>1612</v>
      </c>
    </row>
    <row r="113" spans="1:18" ht="25.5" x14ac:dyDescent="0.25">
      <c r="B113" s="141"/>
      <c r="C113" s="141"/>
      <c r="D113" s="3">
        <v>106</v>
      </c>
      <c r="E113" s="39" t="s">
        <v>100</v>
      </c>
      <c r="F113" s="3" t="s">
        <v>1030</v>
      </c>
      <c r="G113" s="3" t="s">
        <v>1036</v>
      </c>
      <c r="H113" s="3" t="s">
        <v>7</v>
      </c>
      <c r="I113" s="39" t="s">
        <v>10</v>
      </c>
      <c r="J113" s="39" t="s">
        <v>1511</v>
      </c>
      <c r="K113" s="30">
        <v>40960</v>
      </c>
      <c r="L113" s="26">
        <v>2012</v>
      </c>
      <c r="M113" s="26">
        <f t="shared" si="3"/>
        <v>7</v>
      </c>
      <c r="N113" s="3" t="s">
        <v>3</v>
      </c>
      <c r="O113" s="3" t="s">
        <v>821</v>
      </c>
      <c r="P113" s="39" t="s">
        <v>931</v>
      </c>
      <c r="Q113" s="3"/>
      <c r="R113" s="39" t="s">
        <v>1475</v>
      </c>
    </row>
    <row r="114" spans="1:18" ht="25.5" x14ac:dyDescent="0.25">
      <c r="B114" s="139">
        <v>31</v>
      </c>
      <c r="C114" s="139" t="s">
        <v>997</v>
      </c>
      <c r="D114" s="3">
        <v>107</v>
      </c>
      <c r="E114" s="39" t="s">
        <v>101</v>
      </c>
      <c r="F114" s="3" t="s">
        <v>5</v>
      </c>
      <c r="G114" s="3" t="s">
        <v>796</v>
      </c>
      <c r="H114" s="3" t="s">
        <v>1</v>
      </c>
      <c r="I114" s="39" t="s">
        <v>2</v>
      </c>
      <c r="J114" s="39" t="s">
        <v>1465</v>
      </c>
      <c r="K114" s="30">
        <v>24654</v>
      </c>
      <c r="L114" s="26">
        <v>1967</v>
      </c>
      <c r="M114" s="26">
        <f t="shared" si="3"/>
        <v>52</v>
      </c>
      <c r="N114" s="3" t="s">
        <v>3</v>
      </c>
      <c r="O114" s="3" t="s">
        <v>821</v>
      </c>
      <c r="P114" s="39" t="s">
        <v>936</v>
      </c>
      <c r="Q114" s="3"/>
      <c r="R114" s="39" t="s">
        <v>868</v>
      </c>
    </row>
    <row r="115" spans="1:18" ht="25.5" x14ac:dyDescent="0.25">
      <c r="B115" s="140"/>
      <c r="C115" s="140"/>
      <c r="D115" s="3">
        <v>108</v>
      </c>
      <c r="E115" s="39" t="s">
        <v>74</v>
      </c>
      <c r="F115" s="3" t="s">
        <v>9</v>
      </c>
      <c r="G115" s="3" t="s">
        <v>998</v>
      </c>
      <c r="H115" s="3" t="s">
        <v>7</v>
      </c>
      <c r="I115" s="39" t="s">
        <v>2</v>
      </c>
      <c r="J115" s="39" t="s">
        <v>1465</v>
      </c>
      <c r="K115" s="30">
        <v>25750</v>
      </c>
      <c r="L115" s="26">
        <v>1970</v>
      </c>
      <c r="M115" s="26">
        <f t="shared" si="3"/>
        <v>49</v>
      </c>
      <c r="N115" s="3" t="s">
        <v>3</v>
      </c>
      <c r="O115" s="3" t="s">
        <v>821</v>
      </c>
      <c r="P115" s="39" t="s">
        <v>936</v>
      </c>
      <c r="Q115" s="3"/>
      <c r="R115" s="39" t="s">
        <v>1496</v>
      </c>
    </row>
    <row r="116" spans="1:18" ht="25.5" x14ac:dyDescent="0.25">
      <c r="B116" s="140"/>
      <c r="C116" s="140"/>
      <c r="D116" s="3">
        <v>109</v>
      </c>
      <c r="E116" s="94" t="s">
        <v>102</v>
      </c>
      <c r="F116" s="95" t="s">
        <v>11</v>
      </c>
      <c r="G116" s="95" t="s">
        <v>797</v>
      </c>
      <c r="H116" s="95" t="s">
        <v>7</v>
      </c>
      <c r="I116" s="94" t="s">
        <v>881</v>
      </c>
      <c r="J116" s="94" t="s">
        <v>1472</v>
      </c>
      <c r="K116" s="78">
        <v>32266</v>
      </c>
      <c r="L116" s="77">
        <v>1988</v>
      </c>
      <c r="M116" s="77">
        <f t="shared" si="3"/>
        <v>31</v>
      </c>
      <c r="N116" s="95" t="s">
        <v>3</v>
      </c>
      <c r="O116" s="95" t="s">
        <v>821</v>
      </c>
      <c r="P116" s="94" t="s">
        <v>933</v>
      </c>
      <c r="Q116" s="95"/>
      <c r="R116" s="94" t="s">
        <v>1496</v>
      </c>
    </row>
    <row r="117" spans="1:18" ht="25.5" x14ac:dyDescent="0.25">
      <c r="B117" s="140"/>
      <c r="C117" s="140"/>
      <c r="D117" s="3">
        <v>110</v>
      </c>
      <c r="E117" s="39" t="s">
        <v>103</v>
      </c>
      <c r="F117" s="3" t="s">
        <v>11</v>
      </c>
      <c r="G117" s="3" t="s">
        <v>798</v>
      </c>
      <c r="H117" s="3" t="s">
        <v>1</v>
      </c>
      <c r="I117" s="39" t="s">
        <v>10</v>
      </c>
      <c r="J117" s="39" t="s">
        <v>1465</v>
      </c>
      <c r="K117" s="30">
        <v>32844</v>
      </c>
      <c r="L117" s="26">
        <v>1989</v>
      </c>
      <c r="M117" s="26">
        <f t="shared" si="3"/>
        <v>30</v>
      </c>
      <c r="N117" s="3" t="s">
        <v>3</v>
      </c>
      <c r="O117" s="3" t="s">
        <v>821</v>
      </c>
      <c r="P117" s="39" t="s">
        <v>933</v>
      </c>
      <c r="Q117" s="3"/>
      <c r="R117" s="39" t="s">
        <v>1491</v>
      </c>
    </row>
    <row r="118" spans="1:18" ht="25.5" x14ac:dyDescent="0.25">
      <c r="B118" s="140"/>
      <c r="C118" s="140"/>
      <c r="D118" s="3">
        <v>111</v>
      </c>
      <c r="E118" s="97" t="s">
        <v>104</v>
      </c>
      <c r="F118" s="32" t="s">
        <v>11</v>
      </c>
      <c r="G118" s="32" t="s">
        <v>799</v>
      </c>
      <c r="H118" s="32" t="s">
        <v>1</v>
      </c>
      <c r="I118" s="97" t="s">
        <v>10</v>
      </c>
      <c r="J118" s="97" t="s">
        <v>1465</v>
      </c>
      <c r="K118" s="98">
        <v>35699</v>
      </c>
      <c r="L118" s="99">
        <v>1997</v>
      </c>
      <c r="M118" s="99">
        <f t="shared" si="3"/>
        <v>22</v>
      </c>
      <c r="N118" s="32" t="s">
        <v>3</v>
      </c>
      <c r="O118" s="32" t="s">
        <v>821</v>
      </c>
      <c r="P118" s="97" t="s">
        <v>933</v>
      </c>
      <c r="Q118" s="32"/>
      <c r="R118" s="97" t="s">
        <v>1491</v>
      </c>
    </row>
    <row r="119" spans="1:18" ht="25.5" x14ac:dyDescent="0.25">
      <c r="B119" s="141"/>
      <c r="C119" s="141"/>
      <c r="D119" s="3">
        <v>112</v>
      </c>
      <c r="E119" s="97" t="s">
        <v>1644</v>
      </c>
      <c r="F119" s="32" t="s">
        <v>11</v>
      </c>
      <c r="G119" s="32" t="s">
        <v>800</v>
      </c>
      <c r="H119" s="32" t="s">
        <v>7</v>
      </c>
      <c r="I119" s="97" t="s">
        <v>10</v>
      </c>
      <c r="J119" s="97" t="s">
        <v>1472</v>
      </c>
      <c r="K119" s="98">
        <v>38622</v>
      </c>
      <c r="L119" s="99">
        <v>2005</v>
      </c>
      <c r="M119" s="99">
        <f t="shared" si="3"/>
        <v>14</v>
      </c>
      <c r="N119" s="32" t="s">
        <v>3</v>
      </c>
      <c r="O119" s="32" t="s">
        <v>821</v>
      </c>
      <c r="P119" s="97" t="s">
        <v>948</v>
      </c>
      <c r="Q119" s="32"/>
      <c r="R119" s="97" t="s">
        <v>1491</v>
      </c>
    </row>
    <row r="120" spans="1:18" ht="38.25" x14ac:dyDescent="0.25">
      <c r="B120" s="139">
        <v>32</v>
      </c>
      <c r="C120" s="139" t="s">
        <v>1011</v>
      </c>
      <c r="D120" s="3">
        <v>113</v>
      </c>
      <c r="E120" s="39" t="s">
        <v>105</v>
      </c>
      <c r="F120" s="3" t="s">
        <v>5</v>
      </c>
      <c r="G120" s="3" t="s">
        <v>801</v>
      </c>
      <c r="H120" s="3" t="s">
        <v>1</v>
      </c>
      <c r="I120" s="39" t="s">
        <v>1014</v>
      </c>
      <c r="J120" s="39" t="s">
        <v>1480</v>
      </c>
      <c r="K120" s="30">
        <v>21002</v>
      </c>
      <c r="L120" s="26">
        <v>1957</v>
      </c>
      <c r="M120" s="26">
        <f t="shared" si="3"/>
        <v>62</v>
      </c>
      <c r="N120" s="3" t="s">
        <v>3</v>
      </c>
      <c r="O120" s="3" t="s">
        <v>821</v>
      </c>
      <c r="P120" s="39" t="s">
        <v>948</v>
      </c>
      <c r="Q120" s="3"/>
      <c r="R120" s="39" t="s">
        <v>868</v>
      </c>
    </row>
    <row r="121" spans="1:18" ht="38.25" x14ac:dyDescent="0.25">
      <c r="B121" s="140"/>
      <c r="C121" s="140"/>
      <c r="D121" s="3">
        <v>114</v>
      </c>
      <c r="E121" s="39" t="s">
        <v>106</v>
      </c>
      <c r="F121" s="3" t="s">
        <v>9</v>
      </c>
      <c r="G121" s="3" t="s">
        <v>1012</v>
      </c>
      <c r="H121" s="3" t="s">
        <v>7</v>
      </c>
      <c r="I121" s="39" t="s">
        <v>1014</v>
      </c>
      <c r="J121" s="39" t="s">
        <v>1645</v>
      </c>
      <c r="K121" s="30">
        <v>21732</v>
      </c>
      <c r="L121" s="26">
        <v>1959</v>
      </c>
      <c r="M121" s="26">
        <f t="shared" si="3"/>
        <v>60</v>
      </c>
      <c r="N121" s="3" t="s">
        <v>3</v>
      </c>
      <c r="O121" s="3" t="s">
        <v>821</v>
      </c>
      <c r="P121" s="39" t="s">
        <v>931</v>
      </c>
      <c r="Q121" s="3"/>
      <c r="R121" s="39" t="s">
        <v>899</v>
      </c>
    </row>
    <row r="122" spans="1:18" ht="25.5" x14ac:dyDescent="0.25">
      <c r="B122" s="140"/>
      <c r="C122" s="141"/>
      <c r="D122" s="3">
        <v>115</v>
      </c>
      <c r="E122" s="39" t="s">
        <v>1646</v>
      </c>
      <c r="F122" s="3" t="s">
        <v>11</v>
      </c>
      <c r="G122" s="3" t="s">
        <v>1013</v>
      </c>
      <c r="H122" s="3" t="s">
        <v>1</v>
      </c>
      <c r="I122" s="39" t="s">
        <v>10</v>
      </c>
      <c r="J122" s="39" t="s">
        <v>1465</v>
      </c>
      <c r="K122" s="30">
        <v>36238</v>
      </c>
      <c r="L122" s="26">
        <v>1999</v>
      </c>
      <c r="M122" s="26">
        <f t="shared" si="3"/>
        <v>20</v>
      </c>
      <c r="N122" s="3" t="s">
        <v>3</v>
      </c>
      <c r="O122" s="3" t="s">
        <v>821</v>
      </c>
      <c r="P122" s="39" t="s">
        <v>978</v>
      </c>
      <c r="Q122" s="3"/>
      <c r="R122" s="39" t="s">
        <v>1491</v>
      </c>
    </row>
    <row r="123" spans="1:18" s="96" customFormat="1" ht="25.5" x14ac:dyDescent="0.25">
      <c r="A123" s="31"/>
      <c r="B123" s="139">
        <v>33</v>
      </c>
      <c r="C123" s="139" t="s">
        <v>945</v>
      </c>
      <c r="D123" s="3">
        <v>116</v>
      </c>
      <c r="E123" s="97" t="s">
        <v>938</v>
      </c>
      <c r="F123" s="32" t="s">
        <v>5</v>
      </c>
      <c r="G123" s="32" t="s">
        <v>941</v>
      </c>
      <c r="H123" s="32" t="s">
        <v>1</v>
      </c>
      <c r="I123" s="97" t="s">
        <v>2</v>
      </c>
      <c r="J123" s="97" t="s">
        <v>1465</v>
      </c>
      <c r="K123" s="98">
        <v>31777</v>
      </c>
      <c r="L123" s="99">
        <v>1986</v>
      </c>
      <c r="M123" s="99">
        <f t="shared" si="3"/>
        <v>33</v>
      </c>
      <c r="N123" s="32" t="s">
        <v>3</v>
      </c>
      <c r="O123" s="32" t="s">
        <v>821</v>
      </c>
      <c r="P123" s="97" t="s">
        <v>936</v>
      </c>
      <c r="Q123" s="32"/>
      <c r="R123" s="97" t="s">
        <v>826</v>
      </c>
    </row>
    <row r="124" spans="1:18" ht="25.5" x14ac:dyDescent="0.25">
      <c r="B124" s="140"/>
      <c r="C124" s="140"/>
      <c r="D124" s="3">
        <v>117</v>
      </c>
      <c r="E124" s="39" t="s">
        <v>939</v>
      </c>
      <c r="F124" s="3" t="s">
        <v>9</v>
      </c>
      <c r="G124" s="3" t="s">
        <v>942</v>
      </c>
      <c r="H124" s="3" t="s">
        <v>7</v>
      </c>
      <c r="I124" s="39" t="s">
        <v>2</v>
      </c>
      <c r="J124" s="39" t="s">
        <v>1647</v>
      </c>
      <c r="K124" s="30">
        <v>29037</v>
      </c>
      <c r="L124" s="26">
        <v>1979</v>
      </c>
      <c r="M124" s="26">
        <f t="shared" si="3"/>
        <v>40</v>
      </c>
      <c r="N124" s="3" t="s">
        <v>3</v>
      </c>
      <c r="O124" s="3" t="s">
        <v>821</v>
      </c>
      <c r="P124" s="39" t="s">
        <v>936</v>
      </c>
      <c r="Q124" s="3"/>
      <c r="R124" s="39" t="s">
        <v>826</v>
      </c>
    </row>
    <row r="125" spans="1:18" ht="25.5" x14ac:dyDescent="0.25">
      <c r="B125" s="141"/>
      <c r="C125" s="141"/>
      <c r="D125" s="3">
        <v>118</v>
      </c>
      <c r="E125" s="39" t="s">
        <v>940</v>
      </c>
      <c r="F125" s="3" t="s">
        <v>11</v>
      </c>
      <c r="G125" s="3" t="s">
        <v>943</v>
      </c>
      <c r="H125" s="3" t="s">
        <v>7</v>
      </c>
      <c r="I125" s="39" t="s">
        <v>10</v>
      </c>
      <c r="J125" s="39" t="s">
        <v>1472</v>
      </c>
      <c r="K125" s="30">
        <v>40301</v>
      </c>
      <c r="L125" s="26">
        <v>2010</v>
      </c>
      <c r="M125" s="26">
        <f t="shared" si="3"/>
        <v>9</v>
      </c>
      <c r="N125" s="3" t="s">
        <v>3</v>
      </c>
      <c r="O125" s="3" t="s">
        <v>821</v>
      </c>
      <c r="P125" s="39" t="s">
        <v>931</v>
      </c>
      <c r="Q125" s="3"/>
      <c r="R125" s="39" t="s">
        <v>1475</v>
      </c>
    </row>
    <row r="126" spans="1:18" ht="25.5" x14ac:dyDescent="0.25">
      <c r="B126" s="139">
        <v>34</v>
      </c>
      <c r="C126" s="139" t="s">
        <v>946</v>
      </c>
      <c r="D126" s="3">
        <v>119</v>
      </c>
      <c r="E126" s="39" t="s">
        <v>103</v>
      </c>
      <c r="F126" s="3" t="s">
        <v>5</v>
      </c>
      <c r="G126" s="3" t="s">
        <v>798</v>
      </c>
      <c r="H126" s="3" t="s">
        <v>1</v>
      </c>
      <c r="I126" s="39" t="s">
        <v>2</v>
      </c>
      <c r="J126" s="39" t="s">
        <v>1465</v>
      </c>
      <c r="K126" s="30">
        <v>32844</v>
      </c>
      <c r="L126" s="26">
        <v>1989</v>
      </c>
      <c r="M126" s="26">
        <f t="shared" si="3"/>
        <v>30</v>
      </c>
      <c r="N126" s="3" t="s">
        <v>3</v>
      </c>
      <c r="O126" s="3" t="s">
        <v>821</v>
      </c>
      <c r="P126" s="39" t="s">
        <v>933</v>
      </c>
      <c r="Q126" s="3"/>
      <c r="R126" s="39" t="s">
        <v>1491</v>
      </c>
    </row>
    <row r="127" spans="1:18" ht="25.5" x14ac:dyDescent="0.25">
      <c r="B127" s="140"/>
      <c r="C127" s="140"/>
      <c r="D127" s="3">
        <v>120</v>
      </c>
      <c r="E127" s="39" t="s">
        <v>397</v>
      </c>
      <c r="F127" s="3" t="s">
        <v>9</v>
      </c>
      <c r="G127" s="3" t="s">
        <v>398</v>
      </c>
      <c r="H127" s="3" t="s">
        <v>7</v>
      </c>
      <c r="I127" s="39" t="s">
        <v>2</v>
      </c>
      <c r="J127" s="39" t="s">
        <v>1480</v>
      </c>
      <c r="K127" s="30">
        <v>34539</v>
      </c>
      <c r="L127" s="26">
        <v>1994</v>
      </c>
      <c r="M127" s="26">
        <f t="shared" si="3"/>
        <v>25</v>
      </c>
      <c r="N127" s="3" t="s">
        <v>3</v>
      </c>
      <c r="O127" s="3" t="s">
        <v>821</v>
      </c>
      <c r="P127" s="39" t="s">
        <v>933</v>
      </c>
      <c r="Q127" s="3"/>
      <c r="R127" s="39" t="s">
        <v>827</v>
      </c>
    </row>
    <row r="128" spans="1:18" ht="25.5" x14ac:dyDescent="0.25">
      <c r="B128" s="141"/>
      <c r="C128" s="141"/>
      <c r="D128" s="3">
        <v>121</v>
      </c>
      <c r="E128" s="39" t="s">
        <v>944</v>
      </c>
      <c r="F128" s="3" t="s">
        <v>11</v>
      </c>
      <c r="G128" s="3" t="s">
        <v>947</v>
      </c>
      <c r="H128" s="3" t="s">
        <v>1</v>
      </c>
      <c r="I128" s="39" t="s">
        <v>10</v>
      </c>
      <c r="J128" s="39" t="s">
        <v>1511</v>
      </c>
      <c r="K128" s="30">
        <v>43231</v>
      </c>
      <c r="L128" s="26">
        <v>2018</v>
      </c>
      <c r="M128" s="26">
        <f t="shared" si="3"/>
        <v>1</v>
      </c>
      <c r="N128" s="3" t="s">
        <v>3</v>
      </c>
      <c r="O128" s="3" t="s">
        <v>821</v>
      </c>
      <c r="P128" s="39" t="s">
        <v>948</v>
      </c>
      <c r="Q128" s="3"/>
      <c r="R128" s="39" t="s">
        <v>1491</v>
      </c>
    </row>
    <row r="129" spans="2:18" ht="25.5" x14ac:dyDescent="0.25">
      <c r="B129" s="149">
        <v>35</v>
      </c>
      <c r="C129" s="139" t="s">
        <v>963</v>
      </c>
      <c r="D129" s="3">
        <v>122</v>
      </c>
      <c r="E129" s="39" t="s">
        <v>964</v>
      </c>
      <c r="F129" s="3" t="s">
        <v>5</v>
      </c>
      <c r="G129" s="3" t="s">
        <v>967</v>
      </c>
      <c r="H129" s="3" t="s">
        <v>1</v>
      </c>
      <c r="I129" s="39" t="s">
        <v>587</v>
      </c>
      <c r="J129" s="39" t="s">
        <v>1480</v>
      </c>
      <c r="K129" s="30">
        <v>30446</v>
      </c>
      <c r="L129" s="26">
        <v>1983</v>
      </c>
      <c r="M129" s="26">
        <f t="shared" si="3"/>
        <v>36</v>
      </c>
      <c r="N129" s="3" t="s">
        <v>3</v>
      </c>
      <c r="O129" s="3" t="s">
        <v>821</v>
      </c>
      <c r="P129" s="39" t="s">
        <v>971</v>
      </c>
      <c r="Q129" s="3"/>
      <c r="R129" s="39" t="s">
        <v>1648</v>
      </c>
    </row>
    <row r="130" spans="2:18" ht="25.5" x14ac:dyDescent="0.25">
      <c r="B130" s="150"/>
      <c r="C130" s="140"/>
      <c r="D130" s="3">
        <v>123</v>
      </c>
      <c r="E130" s="39" t="s">
        <v>965</v>
      </c>
      <c r="F130" s="3" t="s">
        <v>9</v>
      </c>
      <c r="G130" s="3" t="s">
        <v>968</v>
      </c>
      <c r="H130" s="3" t="s">
        <v>7</v>
      </c>
      <c r="I130" s="39" t="s">
        <v>2</v>
      </c>
      <c r="J130" s="39" t="s">
        <v>1649</v>
      </c>
      <c r="K130" s="30">
        <v>31410</v>
      </c>
      <c r="L130" s="26">
        <v>1985</v>
      </c>
      <c r="M130" s="26">
        <f t="shared" si="3"/>
        <v>34</v>
      </c>
      <c r="N130" s="3" t="s">
        <v>3</v>
      </c>
      <c r="O130" s="3" t="s">
        <v>821</v>
      </c>
      <c r="P130" s="39" t="s">
        <v>1015</v>
      </c>
      <c r="Q130" s="3"/>
      <c r="R130" s="39" t="s">
        <v>1373</v>
      </c>
    </row>
    <row r="131" spans="2:18" ht="25.5" x14ac:dyDescent="0.25">
      <c r="B131" s="150"/>
      <c r="C131" s="140"/>
      <c r="D131" s="3">
        <v>124</v>
      </c>
      <c r="E131" s="39" t="s">
        <v>120</v>
      </c>
      <c r="F131" s="3" t="s">
        <v>11</v>
      </c>
      <c r="G131" s="3" t="s">
        <v>969</v>
      </c>
      <c r="H131" s="3" t="s">
        <v>1</v>
      </c>
      <c r="I131" s="39" t="s">
        <v>10</v>
      </c>
      <c r="J131" s="39" t="s">
        <v>1642</v>
      </c>
      <c r="K131" s="30">
        <v>40597</v>
      </c>
      <c r="L131" s="26">
        <v>2011</v>
      </c>
      <c r="M131" s="26">
        <f t="shared" si="3"/>
        <v>8</v>
      </c>
      <c r="N131" s="3" t="s">
        <v>3</v>
      </c>
      <c r="O131" s="3" t="s">
        <v>821</v>
      </c>
      <c r="P131" s="39" t="s">
        <v>948</v>
      </c>
      <c r="Q131" s="3"/>
      <c r="R131" s="39" t="s">
        <v>1491</v>
      </c>
    </row>
    <row r="132" spans="2:18" ht="25.5" x14ac:dyDescent="0.25">
      <c r="B132" s="151"/>
      <c r="C132" s="141"/>
      <c r="D132" s="3">
        <v>125</v>
      </c>
      <c r="E132" s="39" t="s">
        <v>966</v>
      </c>
      <c r="F132" s="3" t="s">
        <v>11</v>
      </c>
      <c r="G132" s="3" t="s">
        <v>970</v>
      </c>
      <c r="H132" s="3" t="s">
        <v>7</v>
      </c>
      <c r="I132" s="39" t="s">
        <v>10</v>
      </c>
      <c r="J132" s="39" t="s">
        <v>1472</v>
      </c>
      <c r="K132" s="30">
        <v>42418</v>
      </c>
      <c r="L132" s="26">
        <v>2016</v>
      </c>
      <c r="M132" s="26">
        <f t="shared" si="3"/>
        <v>3</v>
      </c>
      <c r="N132" s="3" t="s">
        <v>3</v>
      </c>
      <c r="O132" s="3" t="s">
        <v>821</v>
      </c>
      <c r="P132" s="39" t="s">
        <v>948</v>
      </c>
      <c r="Q132" s="3"/>
      <c r="R132" s="39" t="s">
        <v>1491</v>
      </c>
    </row>
    <row r="133" spans="2:18" x14ac:dyDescent="0.25">
      <c r="B133" s="139">
        <v>36</v>
      </c>
      <c r="C133" s="139" t="s">
        <v>972</v>
      </c>
      <c r="D133" s="3">
        <v>126</v>
      </c>
      <c r="E133" s="39" t="s">
        <v>973</v>
      </c>
      <c r="F133" s="3" t="s">
        <v>5</v>
      </c>
      <c r="G133" s="3" t="s">
        <v>975</v>
      </c>
      <c r="H133" s="3" t="s">
        <v>1</v>
      </c>
      <c r="I133" s="39" t="s">
        <v>2</v>
      </c>
      <c r="J133" s="39" t="s">
        <v>1472</v>
      </c>
      <c r="K133" s="30">
        <v>27759</v>
      </c>
      <c r="L133" s="26">
        <v>1975</v>
      </c>
      <c r="M133" s="26">
        <f t="shared" si="3"/>
        <v>44</v>
      </c>
      <c r="N133" s="3" t="s">
        <v>3</v>
      </c>
      <c r="O133" s="3" t="s">
        <v>821</v>
      </c>
      <c r="P133" s="39" t="s">
        <v>936</v>
      </c>
      <c r="Q133" s="3"/>
      <c r="R133" s="39" t="s">
        <v>54</v>
      </c>
    </row>
    <row r="134" spans="2:18" ht="25.5" x14ac:dyDescent="0.25">
      <c r="B134" s="140"/>
      <c r="C134" s="140"/>
      <c r="D134" s="3">
        <v>127</v>
      </c>
      <c r="E134" s="39" t="s">
        <v>974</v>
      </c>
      <c r="F134" s="3" t="s">
        <v>9</v>
      </c>
      <c r="G134" s="3" t="s">
        <v>976</v>
      </c>
      <c r="H134" s="3" t="s">
        <v>7</v>
      </c>
      <c r="I134" s="39" t="s">
        <v>2</v>
      </c>
      <c r="J134" s="39" t="s">
        <v>1472</v>
      </c>
      <c r="K134" s="30">
        <v>29220</v>
      </c>
      <c r="L134" s="26">
        <v>1979</v>
      </c>
      <c r="M134" s="26">
        <f t="shared" si="3"/>
        <v>40</v>
      </c>
      <c r="N134" s="3" t="s">
        <v>3</v>
      </c>
      <c r="O134" s="3" t="s">
        <v>821</v>
      </c>
      <c r="P134" s="39" t="s">
        <v>936</v>
      </c>
      <c r="Q134" s="3"/>
      <c r="R134" s="39" t="s">
        <v>827</v>
      </c>
    </row>
    <row r="135" spans="2:18" x14ac:dyDescent="0.25">
      <c r="B135" s="141"/>
      <c r="C135" s="141"/>
      <c r="D135" s="3">
        <v>128</v>
      </c>
      <c r="E135" s="39" t="s">
        <v>203</v>
      </c>
      <c r="F135" s="3" t="s">
        <v>11</v>
      </c>
      <c r="G135" s="3" t="s">
        <v>977</v>
      </c>
      <c r="H135" s="3" t="s">
        <v>1</v>
      </c>
      <c r="I135" s="39" t="s">
        <v>10</v>
      </c>
      <c r="J135" s="39" t="s">
        <v>1472</v>
      </c>
      <c r="K135" s="30">
        <v>36327</v>
      </c>
      <c r="L135" s="26">
        <v>1999</v>
      </c>
      <c r="M135" s="26">
        <f t="shared" si="3"/>
        <v>20</v>
      </c>
      <c r="N135" s="3" t="s">
        <v>3</v>
      </c>
      <c r="O135" s="3" t="s">
        <v>821</v>
      </c>
      <c r="P135" s="39" t="s">
        <v>978</v>
      </c>
      <c r="Q135" s="3"/>
      <c r="R135" s="39" t="s">
        <v>1475</v>
      </c>
    </row>
    <row r="136" spans="2:18" ht="25.5" x14ac:dyDescent="0.25">
      <c r="B136" s="139">
        <v>37</v>
      </c>
      <c r="C136" s="139" t="s">
        <v>979</v>
      </c>
      <c r="D136" s="3">
        <v>129</v>
      </c>
      <c r="E136" s="39" t="s">
        <v>980</v>
      </c>
      <c r="F136" s="3" t="s">
        <v>5</v>
      </c>
      <c r="G136" s="3" t="s">
        <v>981</v>
      </c>
      <c r="H136" s="3" t="s">
        <v>1</v>
      </c>
      <c r="I136" s="39" t="s">
        <v>2</v>
      </c>
      <c r="J136" s="39" t="s">
        <v>1650</v>
      </c>
      <c r="K136" s="30">
        <v>35173</v>
      </c>
      <c r="L136" s="26">
        <v>1996</v>
      </c>
      <c r="M136" s="26">
        <f t="shared" si="3"/>
        <v>23</v>
      </c>
      <c r="N136" s="3" t="s">
        <v>3</v>
      </c>
      <c r="O136" s="3" t="s">
        <v>821</v>
      </c>
      <c r="P136" s="39" t="s">
        <v>933</v>
      </c>
      <c r="Q136" s="3"/>
      <c r="R136" s="39" t="s">
        <v>1491</v>
      </c>
    </row>
    <row r="137" spans="2:18" ht="25.5" x14ac:dyDescent="0.25">
      <c r="B137" s="141"/>
      <c r="C137" s="141"/>
      <c r="D137" s="3">
        <v>130</v>
      </c>
      <c r="E137" s="39" t="s">
        <v>64</v>
      </c>
      <c r="F137" s="3" t="s">
        <v>9</v>
      </c>
      <c r="G137" s="3" t="s">
        <v>982</v>
      </c>
      <c r="H137" s="3" t="s">
        <v>7</v>
      </c>
      <c r="I137" s="39" t="s">
        <v>2</v>
      </c>
      <c r="J137" s="39" t="s">
        <v>1465</v>
      </c>
      <c r="K137" s="30">
        <v>36735</v>
      </c>
      <c r="L137" s="26">
        <v>2000</v>
      </c>
      <c r="M137" s="26">
        <f t="shared" si="3"/>
        <v>19</v>
      </c>
      <c r="N137" s="3" t="s">
        <v>3</v>
      </c>
      <c r="O137" s="3" t="s">
        <v>821</v>
      </c>
      <c r="P137" s="39" t="s">
        <v>933</v>
      </c>
      <c r="Q137" s="3"/>
      <c r="R137" s="39" t="s">
        <v>827</v>
      </c>
    </row>
    <row r="138" spans="2:18" ht="25.5" x14ac:dyDescent="0.25">
      <c r="B138" s="139">
        <v>38</v>
      </c>
      <c r="C138" s="139" t="s">
        <v>989</v>
      </c>
      <c r="D138" s="3">
        <v>131</v>
      </c>
      <c r="E138" s="39" t="s">
        <v>104</v>
      </c>
      <c r="F138" s="3" t="s">
        <v>5</v>
      </c>
      <c r="G138" s="3" t="s">
        <v>799</v>
      </c>
      <c r="H138" s="3" t="s">
        <v>1</v>
      </c>
      <c r="I138" s="39" t="s">
        <v>2</v>
      </c>
      <c r="J138" s="39" t="s">
        <v>1465</v>
      </c>
      <c r="K138" s="30">
        <v>35699</v>
      </c>
      <c r="L138" s="26">
        <v>1997</v>
      </c>
      <c r="M138" s="26">
        <f>2019-L138</f>
        <v>22</v>
      </c>
      <c r="N138" s="3" t="s">
        <v>3</v>
      </c>
      <c r="O138" s="3" t="s">
        <v>821</v>
      </c>
      <c r="P138" s="39" t="s">
        <v>978</v>
      </c>
      <c r="Q138" s="3"/>
      <c r="R138" s="39" t="s">
        <v>54</v>
      </c>
    </row>
    <row r="139" spans="2:18" ht="25.5" x14ac:dyDescent="0.25">
      <c r="B139" s="141"/>
      <c r="C139" s="141"/>
      <c r="D139" s="3">
        <v>132</v>
      </c>
      <c r="E139" s="39" t="s">
        <v>990</v>
      </c>
      <c r="F139" s="3" t="s">
        <v>9</v>
      </c>
      <c r="G139" s="100" t="s">
        <v>991</v>
      </c>
      <c r="H139" s="3" t="s">
        <v>7</v>
      </c>
      <c r="I139" s="39" t="s">
        <v>2</v>
      </c>
      <c r="J139" s="39" t="s">
        <v>1552</v>
      </c>
      <c r="K139" s="30">
        <v>35190</v>
      </c>
      <c r="L139" s="26">
        <v>1996</v>
      </c>
      <c r="M139" s="26">
        <f>2019-L139</f>
        <v>23</v>
      </c>
      <c r="N139" s="3" t="s">
        <v>3</v>
      </c>
      <c r="O139" s="3" t="s">
        <v>821</v>
      </c>
      <c r="P139" s="39" t="s">
        <v>992</v>
      </c>
      <c r="Q139" s="3"/>
      <c r="R139" s="39" t="s">
        <v>827</v>
      </c>
    </row>
    <row r="140" spans="2:18" ht="25.5" x14ac:dyDescent="0.25">
      <c r="B140" s="139">
        <v>39</v>
      </c>
      <c r="C140" s="139" t="s">
        <v>1028</v>
      </c>
      <c r="D140" s="3">
        <v>133</v>
      </c>
      <c r="E140" s="39" t="s">
        <v>188</v>
      </c>
      <c r="F140" s="3" t="s">
        <v>5</v>
      </c>
      <c r="G140" s="3" t="s">
        <v>1031</v>
      </c>
      <c r="H140" s="3" t="s">
        <v>7</v>
      </c>
      <c r="I140" s="39" t="s">
        <v>881</v>
      </c>
      <c r="J140" s="39" t="s">
        <v>1480</v>
      </c>
      <c r="K140" s="30">
        <v>23924</v>
      </c>
      <c r="L140" s="26">
        <v>1965</v>
      </c>
      <c r="M140" s="26">
        <f t="shared" ref="M140:M141" si="4">2019-L140</f>
        <v>54</v>
      </c>
      <c r="N140" s="3" t="s">
        <v>3</v>
      </c>
      <c r="O140" s="3" t="s">
        <v>821</v>
      </c>
      <c r="P140" s="39" t="s">
        <v>948</v>
      </c>
      <c r="Q140" s="3"/>
      <c r="R140" s="39" t="s">
        <v>1616</v>
      </c>
    </row>
    <row r="141" spans="2:18" ht="25.5" x14ac:dyDescent="0.25">
      <c r="B141" s="140"/>
      <c r="C141" s="140"/>
      <c r="D141" s="3">
        <v>134</v>
      </c>
      <c r="E141" s="39" t="s">
        <v>89</v>
      </c>
      <c r="F141" s="3" t="s">
        <v>11</v>
      </c>
      <c r="G141" s="3" t="s">
        <v>1032</v>
      </c>
      <c r="H141" s="3" t="s">
        <v>1</v>
      </c>
      <c r="I141" s="39" t="s">
        <v>10</v>
      </c>
      <c r="J141" s="39" t="s">
        <v>1472</v>
      </c>
      <c r="K141" s="30">
        <v>34375</v>
      </c>
      <c r="L141" s="26">
        <v>1994</v>
      </c>
      <c r="M141" s="26">
        <f t="shared" si="4"/>
        <v>25</v>
      </c>
      <c r="N141" s="3" t="s">
        <v>3</v>
      </c>
      <c r="O141" s="3" t="s">
        <v>821</v>
      </c>
      <c r="P141" s="39" t="s">
        <v>978</v>
      </c>
      <c r="Q141" s="3"/>
      <c r="R141" s="39" t="s">
        <v>1491</v>
      </c>
    </row>
    <row r="142" spans="2:18" ht="25.5" x14ac:dyDescent="0.25">
      <c r="B142" s="140"/>
      <c r="C142" s="140"/>
      <c r="D142" s="3">
        <v>135</v>
      </c>
      <c r="E142" s="39" t="s">
        <v>1651</v>
      </c>
      <c r="F142" s="3" t="s">
        <v>11</v>
      </c>
      <c r="G142" s="3" t="s">
        <v>1033</v>
      </c>
      <c r="H142" s="3" t="s">
        <v>7</v>
      </c>
      <c r="I142" s="39" t="s">
        <v>10</v>
      </c>
      <c r="J142" s="39" t="s">
        <v>1465</v>
      </c>
      <c r="K142" s="30">
        <v>35872</v>
      </c>
      <c r="L142" s="26">
        <v>1998</v>
      </c>
      <c r="M142" s="26">
        <f>2019-L142</f>
        <v>21</v>
      </c>
      <c r="N142" s="3" t="s">
        <v>3</v>
      </c>
      <c r="O142" s="3" t="s">
        <v>821</v>
      </c>
      <c r="P142" s="39" t="s">
        <v>933</v>
      </c>
      <c r="Q142" s="3"/>
      <c r="R142" s="39" t="s">
        <v>1475</v>
      </c>
    </row>
    <row r="143" spans="2:18" ht="25.5" x14ac:dyDescent="0.25">
      <c r="B143" s="141"/>
      <c r="C143" s="141"/>
      <c r="D143" s="3">
        <v>136</v>
      </c>
      <c r="E143" s="39" t="s">
        <v>1029</v>
      </c>
      <c r="F143" s="3" t="s">
        <v>1030</v>
      </c>
      <c r="G143" s="100" t="s">
        <v>1034</v>
      </c>
      <c r="H143" s="3" t="s">
        <v>7</v>
      </c>
      <c r="I143" s="39" t="s">
        <v>10</v>
      </c>
      <c r="J143" s="39" t="s">
        <v>1465</v>
      </c>
      <c r="K143" s="30">
        <v>40178</v>
      </c>
      <c r="L143" s="26">
        <v>2009</v>
      </c>
      <c r="M143" s="26">
        <f>2019-L143</f>
        <v>10</v>
      </c>
      <c r="N143" s="3" t="s">
        <v>3</v>
      </c>
      <c r="O143" s="3" t="s">
        <v>821</v>
      </c>
      <c r="P143" s="39" t="s">
        <v>931</v>
      </c>
      <c r="Q143" s="3"/>
      <c r="R143" s="39" t="s">
        <v>1475</v>
      </c>
    </row>
    <row r="144" spans="2:18" x14ac:dyDescent="0.25">
      <c r="B144" s="139">
        <v>40</v>
      </c>
      <c r="C144" s="139" t="s">
        <v>1037</v>
      </c>
      <c r="D144" s="3">
        <v>137</v>
      </c>
      <c r="E144" s="39" t="s">
        <v>1038</v>
      </c>
      <c r="F144" s="3" t="s">
        <v>5</v>
      </c>
      <c r="G144" s="3" t="s">
        <v>1041</v>
      </c>
      <c r="H144" s="3" t="s">
        <v>1</v>
      </c>
      <c r="I144" s="39" t="s">
        <v>2</v>
      </c>
      <c r="J144" s="39" t="s">
        <v>1472</v>
      </c>
      <c r="K144" s="30">
        <v>28768</v>
      </c>
      <c r="L144" s="26">
        <v>1978</v>
      </c>
      <c r="M144" s="26">
        <f t="shared" ref="M144:M145" si="5">2019-L144</f>
        <v>41</v>
      </c>
      <c r="N144" s="3" t="s">
        <v>3</v>
      </c>
      <c r="O144" s="3" t="s">
        <v>821</v>
      </c>
      <c r="P144" s="39" t="s">
        <v>936</v>
      </c>
      <c r="Q144" s="3"/>
      <c r="R144" s="39" t="s">
        <v>54</v>
      </c>
    </row>
    <row r="145" spans="2:18" ht="25.5" x14ac:dyDescent="0.25">
      <c r="B145" s="140"/>
      <c r="C145" s="140"/>
      <c r="D145" s="3">
        <v>138</v>
      </c>
      <c r="E145" s="39" t="s">
        <v>620</v>
      </c>
      <c r="F145" s="3" t="s">
        <v>9</v>
      </c>
      <c r="G145" s="3" t="s">
        <v>1042</v>
      </c>
      <c r="H145" s="3" t="s">
        <v>7</v>
      </c>
      <c r="I145" s="39" t="s">
        <v>2</v>
      </c>
      <c r="J145" s="39" t="s">
        <v>1472</v>
      </c>
      <c r="K145" s="30">
        <v>27576</v>
      </c>
      <c r="L145" s="26">
        <v>1975</v>
      </c>
      <c r="M145" s="26">
        <f t="shared" si="5"/>
        <v>44</v>
      </c>
      <c r="N145" s="3" t="s">
        <v>3</v>
      </c>
      <c r="O145" s="3" t="s">
        <v>821</v>
      </c>
      <c r="P145" s="39" t="s">
        <v>936</v>
      </c>
      <c r="Q145" s="3"/>
      <c r="R145" s="39" t="s">
        <v>827</v>
      </c>
    </row>
    <row r="146" spans="2:18" ht="25.5" x14ac:dyDescent="0.25">
      <c r="B146" s="140"/>
      <c r="C146" s="140"/>
      <c r="D146" s="3">
        <v>139</v>
      </c>
      <c r="E146" s="39" t="s">
        <v>1039</v>
      </c>
      <c r="F146" s="3" t="s">
        <v>11</v>
      </c>
      <c r="G146" s="3" t="s">
        <v>1043</v>
      </c>
      <c r="H146" s="3" t="s">
        <v>7</v>
      </c>
      <c r="I146" s="39" t="s">
        <v>10</v>
      </c>
      <c r="J146" s="39" t="s">
        <v>1472</v>
      </c>
      <c r="K146" s="30">
        <v>37618</v>
      </c>
      <c r="L146" s="26">
        <v>2002</v>
      </c>
      <c r="M146" s="26">
        <f>2019-L146</f>
        <v>17</v>
      </c>
      <c r="N146" s="3" t="s">
        <v>3</v>
      </c>
      <c r="O146" s="3" t="s">
        <v>821</v>
      </c>
      <c r="P146" s="39" t="s">
        <v>931</v>
      </c>
      <c r="Q146" s="3"/>
      <c r="R146" s="39" t="s">
        <v>1475</v>
      </c>
    </row>
    <row r="147" spans="2:18" ht="25.5" x14ac:dyDescent="0.25">
      <c r="B147" s="141"/>
      <c r="C147" s="141"/>
      <c r="D147" s="3">
        <v>140</v>
      </c>
      <c r="E147" s="39" t="s">
        <v>1040</v>
      </c>
      <c r="F147" s="3" t="s">
        <v>11</v>
      </c>
      <c r="G147" s="100" t="s">
        <v>1044</v>
      </c>
      <c r="H147" s="3" t="s">
        <v>1</v>
      </c>
      <c r="I147" s="39" t="s">
        <v>10</v>
      </c>
      <c r="J147" s="39" t="s">
        <v>1472</v>
      </c>
      <c r="K147" s="30">
        <v>42077</v>
      </c>
      <c r="L147" s="26">
        <v>2015</v>
      </c>
      <c r="M147" s="26">
        <f>2019-L147</f>
        <v>4</v>
      </c>
      <c r="N147" s="3" t="s">
        <v>3</v>
      </c>
      <c r="O147" s="3" t="s">
        <v>821</v>
      </c>
      <c r="P147" s="39" t="s">
        <v>948</v>
      </c>
      <c r="Q147" s="3"/>
      <c r="R147" s="39" t="s">
        <v>1491</v>
      </c>
    </row>
    <row r="148" spans="2:18" ht="25.5" x14ac:dyDescent="0.25">
      <c r="B148" s="139">
        <v>41</v>
      </c>
      <c r="C148" s="139" t="s">
        <v>1047</v>
      </c>
      <c r="D148" s="3">
        <v>141</v>
      </c>
      <c r="E148" s="39" t="s">
        <v>1048</v>
      </c>
      <c r="F148" s="3" t="s">
        <v>5</v>
      </c>
      <c r="G148" s="100" t="s">
        <v>1053</v>
      </c>
      <c r="H148" s="3" t="s">
        <v>1</v>
      </c>
      <c r="I148" s="39" t="s">
        <v>2</v>
      </c>
      <c r="J148" s="39"/>
      <c r="K148" s="30">
        <v>25203</v>
      </c>
      <c r="L148" s="26">
        <v>1968</v>
      </c>
      <c r="M148" s="26">
        <f>2019-L148</f>
        <v>51</v>
      </c>
      <c r="N148" s="3" t="s">
        <v>3</v>
      </c>
      <c r="O148" s="3" t="s">
        <v>821</v>
      </c>
      <c r="P148" s="39" t="s">
        <v>1058</v>
      </c>
      <c r="Q148" s="3"/>
      <c r="R148" s="39"/>
    </row>
    <row r="149" spans="2:18" ht="38.25" x14ac:dyDescent="0.25">
      <c r="B149" s="140"/>
      <c r="C149" s="140"/>
      <c r="D149" s="3">
        <v>142</v>
      </c>
      <c r="E149" s="39" t="s">
        <v>1049</v>
      </c>
      <c r="F149" s="3" t="s">
        <v>9</v>
      </c>
      <c r="G149" s="3" t="s">
        <v>1054</v>
      </c>
      <c r="H149" s="3" t="s">
        <v>7</v>
      </c>
      <c r="I149" s="39" t="s">
        <v>2</v>
      </c>
      <c r="J149" s="39"/>
      <c r="K149" s="30">
        <v>26279</v>
      </c>
      <c r="L149" s="26">
        <v>1971</v>
      </c>
      <c r="M149" s="26">
        <f t="shared" ref="M149:M150" si="6">2019-L149</f>
        <v>48</v>
      </c>
      <c r="N149" s="3" t="s">
        <v>3</v>
      </c>
      <c r="O149" s="3" t="s">
        <v>821</v>
      </c>
      <c r="P149" s="39" t="s">
        <v>1059</v>
      </c>
      <c r="Q149" s="3"/>
      <c r="R149" s="39"/>
    </row>
    <row r="150" spans="2:18" ht="38.25" x14ac:dyDescent="0.25">
      <c r="B150" s="140"/>
      <c r="C150" s="140"/>
      <c r="D150" s="3">
        <v>143</v>
      </c>
      <c r="E150" s="39" t="s">
        <v>1050</v>
      </c>
      <c r="F150" s="3" t="s">
        <v>11</v>
      </c>
      <c r="G150" s="3" t="s">
        <v>1055</v>
      </c>
      <c r="H150" s="3" t="s">
        <v>1</v>
      </c>
      <c r="I150" s="39" t="s">
        <v>10</v>
      </c>
      <c r="J150" s="39"/>
      <c r="K150" s="30">
        <v>36057</v>
      </c>
      <c r="L150" s="26">
        <v>1998</v>
      </c>
      <c r="M150" s="26">
        <f t="shared" si="6"/>
        <v>21</v>
      </c>
      <c r="N150" s="3" t="s">
        <v>3</v>
      </c>
      <c r="O150" s="3" t="s">
        <v>821</v>
      </c>
      <c r="P150" s="39" t="s">
        <v>1059</v>
      </c>
      <c r="Q150" s="3"/>
      <c r="R150" s="39"/>
    </row>
    <row r="151" spans="2:18" ht="25.5" x14ac:dyDescent="0.25">
      <c r="B151" s="140"/>
      <c r="C151" s="140"/>
      <c r="D151" s="3">
        <v>144</v>
      </c>
      <c r="E151" s="39" t="s">
        <v>1051</v>
      </c>
      <c r="F151" s="3" t="s">
        <v>11</v>
      </c>
      <c r="G151" s="3" t="s">
        <v>1056</v>
      </c>
      <c r="H151" s="3" t="s">
        <v>1</v>
      </c>
      <c r="I151" s="39" t="s">
        <v>10</v>
      </c>
      <c r="J151" s="39"/>
      <c r="K151" s="30">
        <v>37836</v>
      </c>
      <c r="L151" s="26">
        <v>2003</v>
      </c>
      <c r="M151" s="26">
        <f>2019-L151</f>
        <v>16</v>
      </c>
      <c r="N151" s="3" t="s">
        <v>3</v>
      </c>
      <c r="O151" s="3" t="s">
        <v>821</v>
      </c>
      <c r="P151" s="39" t="s">
        <v>933</v>
      </c>
      <c r="Q151" s="3"/>
      <c r="R151" s="39"/>
    </row>
    <row r="152" spans="2:18" ht="38.25" x14ac:dyDescent="0.25">
      <c r="B152" s="141"/>
      <c r="C152" s="141"/>
      <c r="D152" s="3">
        <v>145</v>
      </c>
      <c r="E152" s="39" t="s">
        <v>1052</v>
      </c>
      <c r="F152" s="3" t="s">
        <v>11</v>
      </c>
      <c r="G152" s="100" t="s">
        <v>1057</v>
      </c>
      <c r="H152" s="3" t="s">
        <v>7</v>
      </c>
      <c r="I152" s="39" t="s">
        <v>10</v>
      </c>
      <c r="J152" s="39"/>
      <c r="K152" s="30">
        <v>38221</v>
      </c>
      <c r="L152" s="26">
        <v>2004</v>
      </c>
      <c r="M152" s="26">
        <f>2019-L152</f>
        <v>15</v>
      </c>
      <c r="N152" s="3" t="s">
        <v>3</v>
      </c>
      <c r="O152" s="3" t="s">
        <v>821</v>
      </c>
      <c r="P152" s="39" t="s">
        <v>933</v>
      </c>
      <c r="Q152" s="3"/>
      <c r="R152" s="39"/>
    </row>
    <row r="153" spans="2:18" ht="25.5" x14ac:dyDescent="0.25">
      <c r="B153" s="139">
        <v>42</v>
      </c>
      <c r="C153" s="139" t="s">
        <v>1060</v>
      </c>
      <c r="D153" s="3">
        <v>146</v>
      </c>
      <c r="E153" s="39" t="s">
        <v>1061</v>
      </c>
      <c r="F153" s="3" t="s">
        <v>5</v>
      </c>
      <c r="G153" s="3" t="s">
        <v>1065</v>
      </c>
      <c r="H153" s="3" t="s">
        <v>1</v>
      </c>
      <c r="I153" s="39" t="s">
        <v>2</v>
      </c>
      <c r="J153" s="39"/>
      <c r="K153" s="30">
        <v>20089</v>
      </c>
      <c r="L153" s="26">
        <v>1998</v>
      </c>
      <c r="M153" s="26">
        <f t="shared" ref="M153" si="7">2019-L153</f>
        <v>21</v>
      </c>
      <c r="N153" s="3" t="s">
        <v>3</v>
      </c>
      <c r="O153" s="3" t="s">
        <v>821</v>
      </c>
      <c r="P153" s="39" t="s">
        <v>936</v>
      </c>
      <c r="Q153" s="3"/>
      <c r="R153" s="39"/>
    </row>
    <row r="154" spans="2:18" ht="25.5" x14ac:dyDescent="0.25">
      <c r="B154" s="140"/>
      <c r="C154" s="140"/>
      <c r="D154" s="3">
        <v>147</v>
      </c>
      <c r="E154" s="39" t="s">
        <v>1062</v>
      </c>
      <c r="F154" s="3" t="s">
        <v>9</v>
      </c>
      <c r="G154" s="3" t="s">
        <v>1066</v>
      </c>
      <c r="H154" s="3" t="s">
        <v>7</v>
      </c>
      <c r="I154" s="39" t="s">
        <v>2</v>
      </c>
      <c r="J154" s="39"/>
      <c r="K154" s="30">
        <v>21550</v>
      </c>
      <c r="L154" s="26">
        <v>2003</v>
      </c>
      <c r="M154" s="26">
        <f t="shared" ref="M154:M161" si="8">2019-L154</f>
        <v>16</v>
      </c>
      <c r="N154" s="3" t="s">
        <v>3</v>
      </c>
      <c r="O154" s="3" t="s">
        <v>821</v>
      </c>
      <c r="P154" s="39" t="s">
        <v>936</v>
      </c>
      <c r="Q154" s="3"/>
      <c r="R154" s="39"/>
    </row>
    <row r="155" spans="2:18" ht="25.5" x14ac:dyDescent="0.25">
      <c r="B155" s="141"/>
      <c r="C155" s="141"/>
      <c r="D155" s="3">
        <v>148</v>
      </c>
      <c r="E155" s="39" t="s">
        <v>1063</v>
      </c>
      <c r="F155" s="3" t="s">
        <v>1064</v>
      </c>
      <c r="G155" s="100" t="s">
        <v>1067</v>
      </c>
      <c r="H155" s="3" t="s">
        <v>7</v>
      </c>
      <c r="I155" s="39" t="s">
        <v>881</v>
      </c>
      <c r="J155" s="39"/>
      <c r="K155" s="30">
        <v>17898</v>
      </c>
      <c r="L155" s="26">
        <v>2004</v>
      </c>
      <c r="M155" s="26">
        <f t="shared" si="8"/>
        <v>15</v>
      </c>
      <c r="N155" s="3" t="s">
        <v>3</v>
      </c>
      <c r="O155" s="3" t="s">
        <v>821</v>
      </c>
      <c r="P155" s="39"/>
      <c r="Q155" s="3"/>
      <c r="R155" s="39"/>
    </row>
    <row r="156" spans="2:18" ht="25.5" x14ac:dyDescent="0.25">
      <c r="B156" s="3">
        <v>43</v>
      </c>
      <c r="C156" s="3" t="s">
        <v>1652</v>
      </c>
      <c r="D156" s="3">
        <v>149</v>
      </c>
      <c r="E156" s="39" t="s">
        <v>38</v>
      </c>
      <c r="F156" s="3" t="s">
        <v>5</v>
      </c>
      <c r="G156" s="100" t="s">
        <v>1653</v>
      </c>
      <c r="H156" s="3" t="s">
        <v>7</v>
      </c>
      <c r="I156" s="39" t="s">
        <v>883</v>
      </c>
      <c r="J156" s="39" t="s">
        <v>1472</v>
      </c>
      <c r="K156" s="30">
        <v>17880</v>
      </c>
      <c r="L156" s="26">
        <v>1948</v>
      </c>
      <c r="M156" s="26">
        <f t="shared" si="8"/>
        <v>71</v>
      </c>
      <c r="N156" s="3" t="s">
        <v>3</v>
      </c>
      <c r="O156" s="3" t="s">
        <v>821</v>
      </c>
      <c r="P156" s="39" t="s">
        <v>948</v>
      </c>
      <c r="Q156" s="3"/>
      <c r="R156" s="39" t="s">
        <v>1496</v>
      </c>
    </row>
    <row r="157" spans="2:18" ht="25.5" x14ac:dyDescent="0.25">
      <c r="B157" s="139">
        <v>44</v>
      </c>
      <c r="C157" s="139" t="s">
        <v>993</v>
      </c>
      <c r="D157" s="3">
        <v>150</v>
      </c>
      <c r="E157" s="39" t="s">
        <v>81</v>
      </c>
      <c r="F157" s="3" t="s">
        <v>5</v>
      </c>
      <c r="G157" s="100" t="s">
        <v>789</v>
      </c>
      <c r="H157" s="3" t="s">
        <v>1</v>
      </c>
      <c r="I157" s="39" t="s">
        <v>2</v>
      </c>
      <c r="J157" s="39" t="s">
        <v>1472</v>
      </c>
      <c r="K157" s="30">
        <v>27942</v>
      </c>
      <c r="L157" s="26">
        <v>1976</v>
      </c>
      <c r="M157" s="26">
        <f t="shared" si="8"/>
        <v>43</v>
      </c>
      <c r="N157" s="3" t="s">
        <v>3</v>
      </c>
      <c r="O157" s="3" t="s">
        <v>821</v>
      </c>
      <c r="P157" s="39" t="s">
        <v>936</v>
      </c>
      <c r="Q157" s="3"/>
      <c r="R157" s="39" t="s">
        <v>826</v>
      </c>
    </row>
    <row r="158" spans="2:18" ht="25.5" x14ac:dyDescent="0.25">
      <c r="B158" s="140"/>
      <c r="C158" s="140"/>
      <c r="D158" s="3">
        <v>151</v>
      </c>
      <c r="E158" s="39" t="s">
        <v>82</v>
      </c>
      <c r="F158" s="3" t="s">
        <v>9</v>
      </c>
      <c r="G158" s="100" t="s">
        <v>790</v>
      </c>
      <c r="H158" s="3" t="s">
        <v>7</v>
      </c>
      <c r="I158" s="39" t="s">
        <v>2</v>
      </c>
      <c r="J158" s="39" t="s">
        <v>1523</v>
      </c>
      <c r="K158" s="30">
        <v>28672</v>
      </c>
      <c r="L158" s="26">
        <v>1978</v>
      </c>
      <c r="M158" s="26">
        <f t="shared" si="8"/>
        <v>41</v>
      </c>
      <c r="N158" s="3" t="s">
        <v>3</v>
      </c>
      <c r="O158" s="3" t="s">
        <v>821</v>
      </c>
      <c r="P158" s="39" t="s">
        <v>933</v>
      </c>
      <c r="Q158" s="3"/>
      <c r="R158" s="39" t="s">
        <v>827</v>
      </c>
    </row>
    <row r="159" spans="2:18" ht="25.5" x14ac:dyDescent="0.25">
      <c r="B159" s="140"/>
      <c r="C159" s="140"/>
      <c r="D159" s="3">
        <v>152</v>
      </c>
      <c r="E159" s="39" t="s">
        <v>1664</v>
      </c>
      <c r="F159" s="3" t="s">
        <v>11</v>
      </c>
      <c r="G159" s="100" t="s">
        <v>994</v>
      </c>
      <c r="H159" s="3" t="s">
        <v>1</v>
      </c>
      <c r="I159" s="39" t="s">
        <v>10</v>
      </c>
      <c r="J159" s="39" t="s">
        <v>1465</v>
      </c>
      <c r="K159" s="30">
        <v>37109</v>
      </c>
      <c r="L159" s="26">
        <v>2001</v>
      </c>
      <c r="M159" s="26">
        <f t="shared" si="8"/>
        <v>18</v>
      </c>
      <c r="N159" s="3" t="s">
        <v>3</v>
      </c>
      <c r="O159" s="3" t="s">
        <v>821</v>
      </c>
      <c r="P159" s="39" t="s">
        <v>931</v>
      </c>
      <c r="Q159" s="3"/>
      <c r="R159" s="39" t="s">
        <v>1475</v>
      </c>
    </row>
    <row r="160" spans="2:18" ht="25.5" x14ac:dyDescent="0.25">
      <c r="B160" s="140"/>
      <c r="C160" s="140"/>
      <c r="D160" s="3">
        <v>153</v>
      </c>
      <c r="E160" s="39" t="s">
        <v>85</v>
      </c>
      <c r="F160" s="3" t="s">
        <v>11</v>
      </c>
      <c r="G160" s="100" t="s">
        <v>995</v>
      </c>
      <c r="H160" s="3" t="s">
        <v>7</v>
      </c>
      <c r="I160" s="39" t="s">
        <v>10</v>
      </c>
      <c r="J160" s="39" t="s">
        <v>1642</v>
      </c>
      <c r="K160" s="30">
        <v>39083</v>
      </c>
      <c r="L160" s="26">
        <v>2007</v>
      </c>
      <c r="M160" s="26">
        <f t="shared" si="8"/>
        <v>12</v>
      </c>
      <c r="N160" s="3" t="s">
        <v>3</v>
      </c>
      <c r="O160" s="3" t="s">
        <v>821</v>
      </c>
      <c r="P160" s="39" t="s">
        <v>931</v>
      </c>
      <c r="Q160" s="3"/>
      <c r="R160" s="39" t="s">
        <v>1475</v>
      </c>
    </row>
    <row r="161" spans="2:18" ht="25.5" x14ac:dyDescent="0.25">
      <c r="B161" s="141"/>
      <c r="C161" s="141"/>
      <c r="D161" s="3">
        <v>154</v>
      </c>
      <c r="E161" s="39" t="s">
        <v>86</v>
      </c>
      <c r="F161" s="3" t="s">
        <v>11</v>
      </c>
      <c r="G161" s="100" t="s">
        <v>995</v>
      </c>
      <c r="H161" s="3" t="s">
        <v>7</v>
      </c>
      <c r="I161" s="39" t="s">
        <v>10</v>
      </c>
      <c r="J161" s="39" t="s">
        <v>1642</v>
      </c>
      <c r="K161" s="30">
        <v>39083</v>
      </c>
      <c r="L161" s="26">
        <v>2007</v>
      </c>
      <c r="M161" s="26">
        <f t="shared" si="8"/>
        <v>12</v>
      </c>
      <c r="N161" s="3" t="s">
        <v>3</v>
      </c>
      <c r="O161" s="3" t="s">
        <v>821</v>
      </c>
      <c r="P161" s="39" t="s">
        <v>931</v>
      </c>
      <c r="Q161" s="3"/>
      <c r="R161" s="39" t="s">
        <v>1475</v>
      </c>
    </row>
    <row r="165" spans="2:18" s="107" customFormat="1" x14ac:dyDescent="0.25">
      <c r="D165" s="128" t="s">
        <v>1845</v>
      </c>
      <c r="E165" s="128"/>
      <c r="F165" s="128"/>
      <c r="L165" s="82"/>
      <c r="P165" s="108"/>
      <c r="R165" s="108"/>
    </row>
    <row r="166" spans="2:18" s="107" customFormat="1" x14ac:dyDescent="0.25">
      <c r="D166" s="128" t="s">
        <v>1846</v>
      </c>
      <c r="E166" s="128"/>
      <c r="F166" s="128"/>
      <c r="L166" s="82"/>
      <c r="P166" s="118" t="s">
        <v>1847</v>
      </c>
      <c r="Q166" s="118"/>
      <c r="R166" s="108"/>
    </row>
    <row r="167" spans="2:18" s="107" customFormat="1" x14ac:dyDescent="0.25">
      <c r="D167" s="109"/>
      <c r="E167" s="110"/>
      <c r="F167" s="109"/>
      <c r="L167" s="82"/>
      <c r="P167" s="36"/>
      <c r="Q167" s="40"/>
      <c r="R167" s="108"/>
    </row>
    <row r="168" spans="2:18" s="107" customFormat="1" x14ac:dyDescent="0.25">
      <c r="D168" s="109"/>
      <c r="E168" s="110"/>
      <c r="F168" s="109"/>
      <c r="L168" s="82"/>
      <c r="P168" s="36"/>
      <c r="Q168" s="40"/>
      <c r="R168" s="108"/>
    </row>
    <row r="169" spans="2:18" s="107" customFormat="1" x14ac:dyDescent="0.25">
      <c r="D169" s="109"/>
      <c r="E169" s="110"/>
      <c r="F169" s="109"/>
      <c r="L169" s="82"/>
      <c r="P169" s="36"/>
      <c r="Q169" s="40"/>
      <c r="R169" s="108"/>
    </row>
    <row r="170" spans="2:18" s="107" customFormat="1" ht="14.25" x14ac:dyDescent="0.2">
      <c r="D170" s="129" t="s">
        <v>1848</v>
      </c>
      <c r="E170" s="129"/>
      <c r="F170" s="129"/>
      <c r="L170" s="82"/>
      <c r="P170" s="111" t="s">
        <v>1852</v>
      </c>
      <c r="Q170" s="111"/>
      <c r="R170" s="108"/>
    </row>
    <row r="171" spans="2:18" s="107" customFormat="1" ht="14.25" x14ac:dyDescent="0.2">
      <c r="D171" s="129" t="s">
        <v>1849</v>
      </c>
      <c r="E171" s="129"/>
      <c r="F171" s="129"/>
      <c r="L171" s="82"/>
      <c r="P171" s="108"/>
      <c r="R171" s="108"/>
    </row>
  </sheetData>
  <autoFilter ref="A7:HM161"/>
  <mergeCells count="107">
    <mergeCell ref="P5:P6"/>
    <mergeCell ref="E5:E6"/>
    <mergeCell ref="B5:B6"/>
    <mergeCell ref="B74:B78"/>
    <mergeCell ref="C12:C15"/>
    <mergeCell ref="B12:B15"/>
    <mergeCell ref="C42:C44"/>
    <mergeCell ref="C45:C48"/>
    <mergeCell ref="C36:C41"/>
    <mergeCell ref="C70:C71"/>
    <mergeCell ref="B42:B44"/>
    <mergeCell ref="B45:B48"/>
    <mergeCell ref="B70:B71"/>
    <mergeCell ref="B23:B26"/>
    <mergeCell ref="B27:B28"/>
    <mergeCell ref="C53:C55"/>
    <mergeCell ref="C93:C95"/>
    <mergeCell ref="C112:C113"/>
    <mergeCell ref="B157:B161"/>
    <mergeCell ref="C157:C161"/>
    <mergeCell ref="C148:C152"/>
    <mergeCell ref="B148:B152"/>
    <mergeCell ref="C153:C155"/>
    <mergeCell ref="B153:B155"/>
    <mergeCell ref="B144:B147"/>
    <mergeCell ref="C144:C147"/>
    <mergeCell ref="B136:B137"/>
    <mergeCell ref="B120:B122"/>
    <mergeCell ref="C140:C143"/>
    <mergeCell ref="B140:B143"/>
    <mergeCell ref="R5:R6"/>
    <mergeCell ref="F5:F6"/>
    <mergeCell ref="C5:C6"/>
    <mergeCell ref="D5:D6"/>
    <mergeCell ref="J5:L5"/>
    <mergeCell ref="M5:M6"/>
    <mergeCell ref="G5:G6"/>
    <mergeCell ref="O5:O6"/>
    <mergeCell ref="Q5:Q6"/>
    <mergeCell ref="H5:H6"/>
    <mergeCell ref="I5:I6"/>
    <mergeCell ref="N5:N6"/>
    <mergeCell ref="C23:C26"/>
    <mergeCell ref="C8:C11"/>
    <mergeCell ref="C16:C19"/>
    <mergeCell ref="B49:B52"/>
    <mergeCell ref="C32:C35"/>
    <mergeCell ref="C136:C137"/>
    <mergeCell ref="B112:B113"/>
    <mergeCell ref="B93:B95"/>
    <mergeCell ref="C133:C135"/>
    <mergeCell ref="B129:B132"/>
    <mergeCell ref="C129:C132"/>
    <mergeCell ref="B123:B125"/>
    <mergeCell ref="C123:C125"/>
    <mergeCell ref="B126:B128"/>
    <mergeCell ref="C126:C128"/>
    <mergeCell ref="B114:B119"/>
    <mergeCell ref="C120:C122"/>
    <mergeCell ref="B1:R1"/>
    <mergeCell ref="B2:R2"/>
    <mergeCell ref="C20:C22"/>
    <mergeCell ref="C27:C28"/>
    <mergeCell ref="C29:C31"/>
    <mergeCell ref="B72:B73"/>
    <mergeCell ref="C74:C78"/>
    <mergeCell ref="C56:C60"/>
    <mergeCell ref="B89:B92"/>
    <mergeCell ref="C89:C92"/>
    <mergeCell ref="B79:B83"/>
    <mergeCell ref="C79:C83"/>
    <mergeCell ref="B84:B88"/>
    <mergeCell ref="B56:B60"/>
    <mergeCell ref="B61:B63"/>
    <mergeCell ref="B64:B66"/>
    <mergeCell ref="B67:B69"/>
    <mergeCell ref="B20:B22"/>
    <mergeCell ref="B29:B31"/>
    <mergeCell ref="C72:C73"/>
    <mergeCell ref="C84:C88"/>
    <mergeCell ref="B53:B55"/>
    <mergeCell ref="C61:C63"/>
    <mergeCell ref="C64:C66"/>
    <mergeCell ref="D171:F171"/>
    <mergeCell ref="B32:B35"/>
    <mergeCell ref="B36:B41"/>
    <mergeCell ref="C49:C52"/>
    <mergeCell ref="B8:B11"/>
    <mergeCell ref="B16:B19"/>
    <mergeCell ref="D165:F165"/>
    <mergeCell ref="D166:F166"/>
    <mergeCell ref="P166:Q166"/>
    <mergeCell ref="D170:F170"/>
    <mergeCell ref="P170:Q170"/>
    <mergeCell ref="B96:B100"/>
    <mergeCell ref="C101:C104"/>
    <mergeCell ref="C110:C111"/>
    <mergeCell ref="B101:B104"/>
    <mergeCell ref="B106:B109"/>
    <mergeCell ref="B110:B111"/>
    <mergeCell ref="C67:C69"/>
    <mergeCell ref="B138:B139"/>
    <mergeCell ref="C138:C139"/>
    <mergeCell ref="C96:C100"/>
    <mergeCell ref="C114:C119"/>
    <mergeCell ref="C106:C109"/>
    <mergeCell ref="B133:B135"/>
  </mergeCells>
  <pageMargins left="1.37795275590551" right="0.196850393700787" top="0.39370078740157499" bottom="0.643700787" header="0.31496062992126" footer="0.31496062992126"/>
  <pageSetup paperSize="10000" scale="82" orientation="landscape" horizontalDpi="360" verticalDpi="36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6"/>
  <sheetViews>
    <sheetView zoomScaleNormal="100" workbookViewId="0">
      <pane ySplit="6" topLeftCell="A7" activePane="bottomLeft" state="frozen"/>
      <selection pane="bottomLeft" activeCell="H7" sqref="H7"/>
    </sheetView>
  </sheetViews>
  <sheetFormatPr defaultRowHeight="15" x14ac:dyDescent="0.25"/>
  <cols>
    <col min="1" max="1" width="9.140625" style="31"/>
    <col min="2" max="2" width="3.140625" style="84" customWidth="1"/>
    <col min="3" max="3" width="15.7109375" style="84" customWidth="1"/>
    <col min="4" max="4" width="8.7109375" style="84" customWidth="1"/>
    <col min="5" max="5" width="12.7109375" style="85" customWidth="1"/>
    <col min="6" max="6" width="9.7109375" style="84" customWidth="1"/>
    <col min="7" max="7" width="15.7109375" style="101" customWidth="1"/>
    <col min="8" max="8" width="7.7109375" style="84" customWidth="1"/>
    <col min="9" max="9" width="11.7109375" style="85" customWidth="1"/>
    <col min="10" max="10" width="13.7109375" style="85" customWidth="1"/>
    <col min="11" max="11" width="14.7109375" style="81" customWidth="1"/>
    <col min="12" max="12" width="6" style="79" customWidth="1"/>
    <col min="13" max="13" width="4.42578125" style="79" customWidth="1"/>
    <col min="14" max="14" width="6.42578125" style="84" customWidth="1"/>
    <col min="15" max="15" width="5" style="84" customWidth="1"/>
    <col min="16" max="16" width="16.7109375" style="85" customWidth="1"/>
    <col min="17" max="17" width="7.5703125" style="84" customWidth="1"/>
    <col min="18" max="18" width="15.7109375" style="85" customWidth="1"/>
    <col min="19" max="16384" width="9.140625" style="31"/>
  </cols>
  <sheetData>
    <row r="1" spans="2:18" s="35" customFormat="1" ht="15.75" x14ac:dyDescent="0.25">
      <c r="B1" s="131" t="s">
        <v>1694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</row>
    <row r="2" spans="2:18" s="35" customFormat="1" ht="15.75" x14ac:dyDescent="0.25">
      <c r="B2" s="131" t="s">
        <v>1695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2:18" s="35" customFormat="1" ht="15.75" x14ac:dyDescent="0.25">
      <c r="B3" s="106" t="s">
        <v>1698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2:18" ht="15.75" x14ac:dyDescent="0.25">
      <c r="B4" s="106" t="s">
        <v>1841</v>
      </c>
    </row>
    <row r="5" spans="2:18" ht="20.100000000000001" customHeight="1" x14ac:dyDescent="0.25">
      <c r="B5" s="144" t="s">
        <v>108</v>
      </c>
      <c r="C5" s="144" t="s">
        <v>803</v>
      </c>
      <c r="D5" s="143" t="s">
        <v>804</v>
      </c>
      <c r="E5" s="143" t="s">
        <v>1696</v>
      </c>
      <c r="F5" s="143" t="s">
        <v>115</v>
      </c>
      <c r="G5" s="145" t="s">
        <v>116</v>
      </c>
      <c r="H5" s="143" t="s">
        <v>110</v>
      </c>
      <c r="I5" s="143" t="s">
        <v>111</v>
      </c>
      <c r="J5" s="144" t="s">
        <v>805</v>
      </c>
      <c r="K5" s="144"/>
      <c r="L5" s="144"/>
      <c r="M5" s="135" t="s">
        <v>809</v>
      </c>
      <c r="N5" s="144" t="s">
        <v>112</v>
      </c>
      <c r="O5" s="144" t="s">
        <v>810</v>
      </c>
      <c r="P5" s="143" t="s">
        <v>113</v>
      </c>
      <c r="Q5" s="144" t="s">
        <v>811</v>
      </c>
      <c r="R5" s="143" t="s">
        <v>114</v>
      </c>
    </row>
    <row r="6" spans="2:18" ht="20.100000000000001" customHeight="1" x14ac:dyDescent="0.25">
      <c r="B6" s="144"/>
      <c r="C6" s="144"/>
      <c r="D6" s="143"/>
      <c r="E6" s="143"/>
      <c r="F6" s="143"/>
      <c r="G6" s="145"/>
      <c r="H6" s="143"/>
      <c r="I6" s="143"/>
      <c r="J6" s="89" t="s">
        <v>806</v>
      </c>
      <c r="K6" s="87" t="s">
        <v>807</v>
      </c>
      <c r="L6" s="88" t="s">
        <v>808</v>
      </c>
      <c r="M6" s="135"/>
      <c r="N6" s="144"/>
      <c r="O6" s="144"/>
      <c r="P6" s="143"/>
      <c r="Q6" s="144"/>
      <c r="R6" s="143"/>
    </row>
    <row r="7" spans="2:18" x14ac:dyDescent="0.25">
      <c r="B7" s="90"/>
      <c r="C7" s="90"/>
      <c r="D7" s="90"/>
      <c r="E7" s="89"/>
      <c r="F7" s="90"/>
      <c r="G7" s="91"/>
      <c r="H7" s="90"/>
      <c r="I7" s="89"/>
      <c r="J7" s="89"/>
      <c r="K7" s="87"/>
      <c r="L7" s="88"/>
      <c r="M7" s="88"/>
      <c r="N7" s="90"/>
      <c r="O7" s="90"/>
      <c r="P7" s="89"/>
      <c r="Q7" s="90"/>
      <c r="R7" s="89"/>
    </row>
    <row r="8" spans="2:18" x14ac:dyDescent="0.25">
      <c r="B8" s="142">
        <v>1</v>
      </c>
      <c r="C8" s="142"/>
      <c r="D8" s="3">
        <v>1</v>
      </c>
      <c r="E8" s="39" t="s">
        <v>117</v>
      </c>
      <c r="F8" s="3" t="s">
        <v>5</v>
      </c>
      <c r="G8" s="3" t="s">
        <v>247</v>
      </c>
      <c r="H8" s="3" t="s">
        <v>1</v>
      </c>
      <c r="I8" s="39" t="s">
        <v>2</v>
      </c>
      <c r="J8" s="39"/>
      <c r="K8" s="30">
        <v>30446</v>
      </c>
      <c r="L8" s="26">
        <v>1983</v>
      </c>
      <c r="M8" s="26">
        <f t="shared" ref="M8:M54" si="0">2019-L8</f>
        <v>36</v>
      </c>
      <c r="N8" s="3" t="s">
        <v>3</v>
      </c>
      <c r="O8" s="3"/>
      <c r="P8" s="39" t="s">
        <v>118</v>
      </c>
      <c r="Q8" s="3"/>
      <c r="R8" s="39"/>
    </row>
    <row r="9" spans="2:18" x14ac:dyDescent="0.25">
      <c r="B9" s="142"/>
      <c r="C9" s="142"/>
      <c r="D9" s="3">
        <v>2</v>
      </c>
      <c r="E9" s="39" t="s">
        <v>97</v>
      </c>
      <c r="F9" s="3" t="s">
        <v>9</v>
      </c>
      <c r="G9" s="3" t="s">
        <v>248</v>
      </c>
      <c r="H9" s="3" t="s">
        <v>7</v>
      </c>
      <c r="I9" s="39" t="s">
        <v>2</v>
      </c>
      <c r="J9" s="39"/>
      <c r="K9" s="30">
        <v>31404</v>
      </c>
      <c r="L9" s="26">
        <v>1985</v>
      </c>
      <c r="M9" s="26">
        <f t="shared" si="0"/>
        <v>34</v>
      </c>
      <c r="N9" s="3" t="s">
        <v>3</v>
      </c>
      <c r="O9" s="3"/>
      <c r="P9" s="39" t="s">
        <v>119</v>
      </c>
      <c r="Q9" s="3"/>
      <c r="R9" s="39"/>
    </row>
    <row r="10" spans="2:18" ht="25.5" x14ac:dyDescent="0.25">
      <c r="B10" s="142"/>
      <c r="C10" s="142"/>
      <c r="D10" s="3">
        <v>3</v>
      </c>
      <c r="E10" s="39" t="s">
        <v>120</v>
      </c>
      <c r="F10" s="3" t="s">
        <v>11</v>
      </c>
      <c r="G10" s="3" t="s">
        <v>249</v>
      </c>
      <c r="H10" s="3" t="s">
        <v>1</v>
      </c>
      <c r="I10" s="39" t="s">
        <v>10</v>
      </c>
      <c r="J10" s="39"/>
      <c r="K10" s="30">
        <v>40597</v>
      </c>
      <c r="L10" s="26">
        <v>2011</v>
      </c>
      <c r="M10" s="26">
        <f t="shared" si="0"/>
        <v>8</v>
      </c>
      <c r="N10" s="3" t="s">
        <v>3</v>
      </c>
      <c r="O10" s="3"/>
      <c r="P10" s="39" t="s">
        <v>4</v>
      </c>
      <c r="Q10" s="3"/>
      <c r="R10" s="39"/>
    </row>
    <row r="11" spans="2:18" ht="25.5" x14ac:dyDescent="0.25">
      <c r="B11" s="139">
        <v>2</v>
      </c>
      <c r="C11" s="139" t="s">
        <v>1464</v>
      </c>
      <c r="D11" s="3">
        <v>4</v>
      </c>
      <c r="E11" s="39" t="s">
        <v>121</v>
      </c>
      <c r="F11" s="3" t="s">
        <v>5</v>
      </c>
      <c r="G11" s="3" t="s">
        <v>250</v>
      </c>
      <c r="H11" s="3" t="s">
        <v>1</v>
      </c>
      <c r="I11" s="39" t="s">
        <v>2</v>
      </c>
      <c r="J11" s="39" t="s">
        <v>1465</v>
      </c>
      <c r="K11" s="30">
        <v>30433</v>
      </c>
      <c r="L11" s="26">
        <v>1983</v>
      </c>
      <c r="M11" s="26">
        <f t="shared" si="0"/>
        <v>36</v>
      </c>
      <c r="N11" s="3" t="s">
        <v>3</v>
      </c>
      <c r="O11" s="3" t="s">
        <v>821</v>
      </c>
      <c r="P11" s="39" t="s">
        <v>978</v>
      </c>
      <c r="Q11" s="3"/>
      <c r="R11" s="39" t="s">
        <v>54</v>
      </c>
    </row>
    <row r="12" spans="2:18" ht="25.5" x14ac:dyDescent="0.25">
      <c r="B12" s="140"/>
      <c r="C12" s="140"/>
      <c r="D12" s="3">
        <v>5</v>
      </c>
      <c r="E12" s="39" t="s">
        <v>122</v>
      </c>
      <c r="F12" s="3" t="s">
        <v>9</v>
      </c>
      <c r="G12" s="3" t="s">
        <v>1466</v>
      </c>
      <c r="H12" s="3" t="s">
        <v>7</v>
      </c>
      <c r="I12" s="39" t="s">
        <v>2</v>
      </c>
      <c r="J12" s="39" t="s">
        <v>1465</v>
      </c>
      <c r="K12" s="30">
        <v>32571</v>
      </c>
      <c r="L12" s="26">
        <v>1989</v>
      </c>
      <c r="M12" s="26">
        <f t="shared" si="0"/>
        <v>30</v>
      </c>
      <c r="N12" s="3" t="s">
        <v>3</v>
      </c>
      <c r="O12" s="3" t="s">
        <v>821</v>
      </c>
      <c r="P12" s="39" t="s">
        <v>978</v>
      </c>
      <c r="Q12" s="3"/>
      <c r="R12" s="39" t="s">
        <v>54</v>
      </c>
    </row>
    <row r="13" spans="2:18" ht="25.5" x14ac:dyDescent="0.25">
      <c r="B13" s="140"/>
      <c r="C13" s="140"/>
      <c r="D13" s="3">
        <v>6</v>
      </c>
      <c r="E13" s="39" t="s">
        <v>1467</v>
      </c>
      <c r="F13" s="3" t="s">
        <v>11</v>
      </c>
      <c r="G13" s="3" t="s">
        <v>1468</v>
      </c>
      <c r="H13" s="3" t="s">
        <v>148</v>
      </c>
      <c r="I13" s="39" t="s">
        <v>10</v>
      </c>
      <c r="J13" s="39" t="s">
        <v>1465</v>
      </c>
      <c r="K13" s="30">
        <v>39974</v>
      </c>
      <c r="L13" s="26">
        <v>2009</v>
      </c>
      <c r="M13" s="26">
        <f t="shared" si="0"/>
        <v>10</v>
      </c>
      <c r="N13" s="3" t="s">
        <v>3</v>
      </c>
      <c r="O13" s="3" t="s">
        <v>821</v>
      </c>
      <c r="P13" s="39" t="s">
        <v>1076</v>
      </c>
      <c r="Q13" s="3"/>
      <c r="R13" s="39" t="s">
        <v>1469</v>
      </c>
    </row>
    <row r="14" spans="2:18" ht="25.5" x14ac:dyDescent="0.25">
      <c r="B14" s="140"/>
      <c r="C14" s="141"/>
      <c r="D14" s="3">
        <v>7</v>
      </c>
      <c r="E14" s="39" t="s">
        <v>1470</v>
      </c>
      <c r="F14" s="3" t="s">
        <v>11</v>
      </c>
      <c r="G14" s="3" t="s">
        <v>1471</v>
      </c>
      <c r="H14" s="3" t="s">
        <v>148</v>
      </c>
      <c r="I14" s="39" t="s">
        <v>129</v>
      </c>
      <c r="J14" s="39" t="s">
        <v>1472</v>
      </c>
      <c r="K14" s="30">
        <v>42419</v>
      </c>
      <c r="L14" s="26">
        <v>2016</v>
      </c>
      <c r="M14" s="26">
        <f t="shared" si="0"/>
        <v>3</v>
      </c>
      <c r="N14" s="3" t="s">
        <v>3</v>
      </c>
      <c r="O14" s="3" t="s">
        <v>821</v>
      </c>
      <c r="P14" s="39" t="s">
        <v>1076</v>
      </c>
      <c r="Q14" s="3"/>
      <c r="R14" s="39" t="s">
        <v>1469</v>
      </c>
    </row>
    <row r="15" spans="2:18" x14ac:dyDescent="0.25">
      <c r="B15" s="140">
        <v>3</v>
      </c>
      <c r="C15" s="139" t="s">
        <v>1253</v>
      </c>
      <c r="D15" s="3">
        <v>8</v>
      </c>
      <c r="E15" s="39" t="s">
        <v>123</v>
      </c>
      <c r="F15" s="3" t="s">
        <v>5</v>
      </c>
      <c r="G15" s="3" t="s">
        <v>1473</v>
      </c>
      <c r="H15" s="3" t="s">
        <v>1</v>
      </c>
      <c r="I15" s="39" t="s">
        <v>2</v>
      </c>
      <c r="J15" s="39" t="s">
        <v>1472</v>
      </c>
      <c r="K15" s="30">
        <v>29361</v>
      </c>
      <c r="L15" s="26">
        <v>1980</v>
      </c>
      <c r="M15" s="26">
        <f t="shared" si="0"/>
        <v>39</v>
      </c>
      <c r="N15" s="3" t="s">
        <v>3</v>
      </c>
      <c r="O15" s="3" t="s">
        <v>821</v>
      </c>
      <c r="P15" s="39" t="s">
        <v>978</v>
      </c>
      <c r="Q15" s="3"/>
      <c r="R15" s="39" t="s">
        <v>54</v>
      </c>
    </row>
    <row r="16" spans="2:18" ht="25.5" x14ac:dyDescent="0.25">
      <c r="B16" s="140"/>
      <c r="C16" s="140"/>
      <c r="D16" s="3">
        <v>9</v>
      </c>
      <c r="E16" s="39" t="s">
        <v>124</v>
      </c>
      <c r="F16" s="3" t="s">
        <v>9</v>
      </c>
      <c r="G16" s="3" t="s">
        <v>1256</v>
      </c>
      <c r="H16" s="3" t="s">
        <v>7</v>
      </c>
      <c r="I16" s="39" t="s">
        <v>2</v>
      </c>
      <c r="J16" s="39" t="s">
        <v>1474</v>
      </c>
      <c r="K16" s="30">
        <v>31148</v>
      </c>
      <c r="L16" s="26">
        <v>1985</v>
      </c>
      <c r="M16" s="26">
        <f t="shared" si="0"/>
        <v>34</v>
      </c>
      <c r="N16" s="3" t="s">
        <v>3</v>
      </c>
      <c r="O16" s="3" t="s">
        <v>821</v>
      </c>
      <c r="P16" s="39" t="s">
        <v>936</v>
      </c>
      <c r="Q16" s="3"/>
      <c r="R16" s="39" t="s">
        <v>827</v>
      </c>
    </row>
    <row r="17" spans="2:18" ht="25.5" x14ac:dyDescent="0.25">
      <c r="B17" s="140"/>
      <c r="C17" s="140"/>
      <c r="D17" s="3">
        <v>10</v>
      </c>
      <c r="E17" s="39" t="s">
        <v>1254</v>
      </c>
      <c r="F17" s="3" t="s">
        <v>11</v>
      </c>
      <c r="G17" s="3" t="s">
        <v>1257</v>
      </c>
      <c r="H17" s="3" t="s">
        <v>7</v>
      </c>
      <c r="I17" s="39" t="s">
        <v>10</v>
      </c>
      <c r="J17" s="39" t="s">
        <v>1472</v>
      </c>
      <c r="K17" s="30">
        <v>39365</v>
      </c>
      <c r="L17" s="26">
        <v>2007</v>
      </c>
      <c r="M17" s="26">
        <f t="shared" si="0"/>
        <v>12</v>
      </c>
      <c r="N17" s="3" t="s">
        <v>3</v>
      </c>
      <c r="O17" s="3" t="s">
        <v>821</v>
      </c>
      <c r="P17" s="39" t="s">
        <v>1078</v>
      </c>
      <c r="Q17" s="3"/>
      <c r="R17" s="39" t="s">
        <v>1475</v>
      </c>
    </row>
    <row r="18" spans="2:18" ht="25.5" x14ac:dyDescent="0.25">
      <c r="B18" s="141"/>
      <c r="C18" s="141"/>
      <c r="D18" s="3">
        <v>11</v>
      </c>
      <c r="E18" s="39" t="s">
        <v>1255</v>
      </c>
      <c r="F18" s="3" t="s">
        <v>11</v>
      </c>
      <c r="G18" s="3" t="s">
        <v>1476</v>
      </c>
      <c r="H18" s="3" t="s">
        <v>1</v>
      </c>
      <c r="I18" s="39" t="s">
        <v>10</v>
      </c>
      <c r="J18" s="39" t="s">
        <v>1472</v>
      </c>
      <c r="K18" s="30">
        <v>41133</v>
      </c>
      <c r="L18" s="26">
        <v>2012</v>
      </c>
      <c r="M18" s="26">
        <f t="shared" si="0"/>
        <v>7</v>
      </c>
      <c r="N18" s="3" t="s">
        <v>3</v>
      </c>
      <c r="O18" s="3" t="s">
        <v>821</v>
      </c>
      <c r="P18" s="39" t="s">
        <v>1076</v>
      </c>
      <c r="Q18" s="3"/>
      <c r="R18" s="39" t="s">
        <v>1469</v>
      </c>
    </row>
    <row r="19" spans="2:18" ht="25.5" x14ac:dyDescent="0.25">
      <c r="B19" s="139">
        <v>4</v>
      </c>
      <c r="C19" s="139" t="s">
        <v>1477</v>
      </c>
      <c r="D19" s="3">
        <v>12</v>
      </c>
      <c r="E19" s="39" t="s">
        <v>125</v>
      </c>
      <c r="F19" s="3" t="s">
        <v>5</v>
      </c>
      <c r="G19" s="3" t="s">
        <v>251</v>
      </c>
      <c r="H19" s="3" t="s">
        <v>1</v>
      </c>
      <c r="I19" s="39" t="s">
        <v>2</v>
      </c>
      <c r="J19" s="39" t="s">
        <v>1465</v>
      </c>
      <c r="K19" s="30">
        <v>31594</v>
      </c>
      <c r="L19" s="26">
        <v>1986</v>
      </c>
      <c r="M19" s="26">
        <f t="shared" si="0"/>
        <v>33</v>
      </c>
      <c r="N19" s="3" t="s">
        <v>3</v>
      </c>
      <c r="O19" s="3" t="s">
        <v>821</v>
      </c>
      <c r="P19" s="39" t="s">
        <v>978</v>
      </c>
      <c r="Q19" s="3"/>
      <c r="R19" s="39" t="s">
        <v>54</v>
      </c>
    </row>
    <row r="20" spans="2:18" ht="25.5" x14ac:dyDescent="0.25">
      <c r="B20" s="141"/>
      <c r="C20" s="141"/>
      <c r="D20" s="3">
        <v>13</v>
      </c>
      <c r="E20" s="39" t="s">
        <v>126</v>
      </c>
      <c r="F20" s="3" t="s">
        <v>9</v>
      </c>
      <c r="G20" s="3" t="s">
        <v>1478</v>
      </c>
      <c r="H20" s="3" t="s">
        <v>7</v>
      </c>
      <c r="I20" s="39" t="s">
        <v>2</v>
      </c>
      <c r="J20" s="39" t="s">
        <v>1479</v>
      </c>
      <c r="K20" s="30">
        <v>31777</v>
      </c>
      <c r="L20" s="26">
        <v>1986</v>
      </c>
      <c r="M20" s="26">
        <f t="shared" si="0"/>
        <v>33</v>
      </c>
      <c r="N20" s="3" t="s">
        <v>3</v>
      </c>
      <c r="O20" s="3" t="s">
        <v>821</v>
      </c>
      <c r="P20" s="39" t="s">
        <v>978</v>
      </c>
      <c r="Q20" s="3"/>
      <c r="R20" s="39" t="s">
        <v>827</v>
      </c>
    </row>
    <row r="21" spans="2:18" ht="25.5" x14ac:dyDescent="0.25">
      <c r="B21" s="139">
        <v>5</v>
      </c>
      <c r="C21" s="139" t="s">
        <v>1158</v>
      </c>
      <c r="D21" s="3">
        <v>14</v>
      </c>
      <c r="E21" s="39" t="s">
        <v>127</v>
      </c>
      <c r="F21" s="3" t="s">
        <v>5</v>
      </c>
      <c r="G21" s="3" t="s">
        <v>252</v>
      </c>
      <c r="H21" s="3" t="s">
        <v>1</v>
      </c>
      <c r="I21" s="39" t="s">
        <v>2</v>
      </c>
      <c r="J21" s="39" t="s">
        <v>1480</v>
      </c>
      <c r="K21" s="30">
        <v>27576</v>
      </c>
      <c r="L21" s="26">
        <v>1975</v>
      </c>
      <c r="M21" s="26">
        <f t="shared" si="0"/>
        <v>44</v>
      </c>
      <c r="N21" s="3" t="s">
        <v>3</v>
      </c>
      <c r="O21" s="3" t="s">
        <v>821</v>
      </c>
      <c r="P21" s="39" t="s">
        <v>978</v>
      </c>
      <c r="Q21" s="3"/>
      <c r="R21" s="39" t="s">
        <v>54</v>
      </c>
    </row>
    <row r="22" spans="2:18" ht="25.5" x14ac:dyDescent="0.25">
      <c r="B22" s="140"/>
      <c r="C22" s="140"/>
      <c r="D22" s="3">
        <v>15</v>
      </c>
      <c r="E22" s="39" t="s">
        <v>128</v>
      </c>
      <c r="F22" s="3" t="s">
        <v>9</v>
      </c>
      <c r="G22" s="3" t="s">
        <v>253</v>
      </c>
      <c r="H22" s="3" t="s">
        <v>7</v>
      </c>
      <c r="I22" s="39" t="s">
        <v>2</v>
      </c>
      <c r="J22" s="39" t="s">
        <v>1480</v>
      </c>
      <c r="K22" s="30">
        <v>29768</v>
      </c>
      <c r="L22" s="26">
        <v>1981</v>
      </c>
      <c r="M22" s="26">
        <f t="shared" si="0"/>
        <v>38</v>
      </c>
      <c r="N22" s="3" t="s">
        <v>3</v>
      </c>
      <c r="O22" s="3" t="s">
        <v>821</v>
      </c>
      <c r="P22" s="39" t="s">
        <v>936</v>
      </c>
      <c r="Q22" s="3"/>
      <c r="R22" s="39" t="s">
        <v>899</v>
      </c>
    </row>
    <row r="23" spans="2:18" ht="25.5" x14ac:dyDescent="0.25">
      <c r="B23" s="140"/>
      <c r="C23" s="140"/>
      <c r="D23" s="3">
        <v>16</v>
      </c>
      <c r="E23" s="39" t="s">
        <v>1159</v>
      </c>
      <c r="F23" s="3" t="s">
        <v>11</v>
      </c>
      <c r="G23" s="3" t="s">
        <v>254</v>
      </c>
      <c r="H23" s="3" t="s">
        <v>7</v>
      </c>
      <c r="I23" s="39" t="s">
        <v>129</v>
      </c>
      <c r="J23" s="39" t="s">
        <v>1480</v>
      </c>
      <c r="K23" s="30">
        <v>36087</v>
      </c>
      <c r="L23" s="26">
        <v>1998</v>
      </c>
      <c r="M23" s="26">
        <f t="shared" si="0"/>
        <v>21</v>
      </c>
      <c r="N23" s="3" t="s">
        <v>3</v>
      </c>
      <c r="O23" s="3" t="s">
        <v>821</v>
      </c>
      <c r="P23" s="39" t="s">
        <v>933</v>
      </c>
      <c r="Q23" s="3"/>
      <c r="R23" s="39" t="s">
        <v>1475</v>
      </c>
    </row>
    <row r="24" spans="2:18" ht="25.5" x14ac:dyDescent="0.25">
      <c r="B24" s="140"/>
      <c r="C24" s="140"/>
      <c r="D24" s="3">
        <v>17</v>
      </c>
      <c r="E24" s="39" t="s">
        <v>1160</v>
      </c>
      <c r="F24" s="3" t="s">
        <v>11</v>
      </c>
      <c r="G24" s="3" t="s">
        <v>255</v>
      </c>
      <c r="H24" s="3" t="s">
        <v>7</v>
      </c>
      <c r="I24" s="39" t="s">
        <v>10</v>
      </c>
      <c r="J24" s="39" t="s">
        <v>1480</v>
      </c>
      <c r="K24" s="30">
        <v>38011</v>
      </c>
      <c r="L24" s="26">
        <v>2004</v>
      </c>
      <c r="M24" s="26">
        <f t="shared" si="0"/>
        <v>15</v>
      </c>
      <c r="N24" s="3" t="s">
        <v>3</v>
      </c>
      <c r="O24" s="3" t="s">
        <v>821</v>
      </c>
      <c r="P24" s="39" t="s">
        <v>1078</v>
      </c>
      <c r="Q24" s="3"/>
      <c r="R24" s="39" t="s">
        <v>1475</v>
      </c>
    </row>
    <row r="25" spans="2:18" ht="25.5" x14ac:dyDescent="0.25">
      <c r="B25" s="141"/>
      <c r="C25" s="141"/>
      <c r="D25" s="3">
        <v>18</v>
      </c>
      <c r="E25" s="39" t="s">
        <v>1161</v>
      </c>
      <c r="F25" s="3" t="s">
        <v>11</v>
      </c>
      <c r="G25" s="3" t="s">
        <v>256</v>
      </c>
      <c r="H25" s="3" t="s">
        <v>7</v>
      </c>
      <c r="I25" s="39" t="s">
        <v>10</v>
      </c>
      <c r="J25" s="39" t="s">
        <v>1480</v>
      </c>
      <c r="K25" s="30">
        <v>40247</v>
      </c>
      <c r="L25" s="26">
        <v>2010</v>
      </c>
      <c r="M25" s="26">
        <f t="shared" si="0"/>
        <v>9</v>
      </c>
      <c r="N25" s="3" t="s">
        <v>3</v>
      </c>
      <c r="O25" s="3" t="s">
        <v>821</v>
      </c>
      <c r="P25" s="39" t="s">
        <v>1076</v>
      </c>
      <c r="Q25" s="3"/>
      <c r="R25" s="39" t="s">
        <v>1469</v>
      </c>
    </row>
    <row r="26" spans="2:18" x14ac:dyDescent="0.25">
      <c r="B26" s="142">
        <v>6</v>
      </c>
      <c r="C26" s="142"/>
      <c r="D26" s="3">
        <v>19</v>
      </c>
      <c r="E26" s="39" t="s">
        <v>130</v>
      </c>
      <c r="F26" s="3" t="s">
        <v>5</v>
      </c>
      <c r="G26" s="3"/>
      <c r="H26" s="3" t="s">
        <v>1</v>
      </c>
      <c r="I26" s="39" t="s">
        <v>2</v>
      </c>
      <c r="J26" s="39"/>
      <c r="K26" s="30">
        <v>16500</v>
      </c>
      <c r="L26" s="26">
        <v>1945</v>
      </c>
      <c r="M26" s="26">
        <f t="shared" si="0"/>
        <v>74</v>
      </c>
      <c r="N26" s="3" t="s">
        <v>3</v>
      </c>
      <c r="O26" s="3"/>
      <c r="P26" s="39" t="s">
        <v>4</v>
      </c>
      <c r="Q26" s="3"/>
      <c r="R26" s="39"/>
    </row>
    <row r="27" spans="2:18" x14ac:dyDescent="0.25">
      <c r="B27" s="142"/>
      <c r="C27" s="142"/>
      <c r="D27" s="3">
        <v>20</v>
      </c>
      <c r="E27" s="39" t="s">
        <v>131</v>
      </c>
      <c r="F27" s="3" t="s">
        <v>9</v>
      </c>
      <c r="G27" s="3"/>
      <c r="H27" s="3" t="s">
        <v>7</v>
      </c>
      <c r="I27" s="39" t="s">
        <v>2</v>
      </c>
      <c r="J27" s="39"/>
      <c r="K27" s="30">
        <v>18272</v>
      </c>
      <c r="L27" s="26">
        <v>1950</v>
      </c>
      <c r="M27" s="26">
        <f t="shared" si="0"/>
        <v>69</v>
      </c>
      <c r="N27" s="3" t="s">
        <v>3</v>
      </c>
      <c r="O27" s="3"/>
      <c r="P27" s="39" t="s">
        <v>4</v>
      </c>
      <c r="Q27" s="3"/>
      <c r="R27" s="39"/>
    </row>
    <row r="28" spans="2:18" x14ac:dyDescent="0.25">
      <c r="B28" s="142">
        <v>7</v>
      </c>
      <c r="C28" s="142"/>
      <c r="D28" s="3">
        <v>21</v>
      </c>
      <c r="E28" s="39" t="s">
        <v>132</v>
      </c>
      <c r="F28" s="3" t="s">
        <v>5</v>
      </c>
      <c r="G28" s="3" t="s">
        <v>257</v>
      </c>
      <c r="H28" s="3" t="s">
        <v>1</v>
      </c>
      <c r="I28" s="39" t="s">
        <v>133</v>
      </c>
      <c r="J28" s="39"/>
      <c r="K28" s="30">
        <v>33487</v>
      </c>
      <c r="L28" s="26">
        <v>1991</v>
      </c>
      <c r="M28" s="26">
        <f t="shared" si="0"/>
        <v>28</v>
      </c>
      <c r="N28" s="3" t="s">
        <v>3</v>
      </c>
      <c r="O28" s="3"/>
      <c r="P28" s="39" t="s">
        <v>21</v>
      </c>
      <c r="Q28" s="3"/>
      <c r="R28" s="39"/>
    </row>
    <row r="29" spans="2:18" x14ac:dyDescent="0.25">
      <c r="B29" s="142"/>
      <c r="C29" s="142"/>
      <c r="D29" s="3">
        <v>22</v>
      </c>
      <c r="E29" s="39" t="s">
        <v>134</v>
      </c>
      <c r="F29" s="3" t="s">
        <v>9</v>
      </c>
      <c r="G29" s="3" t="s">
        <v>258</v>
      </c>
      <c r="H29" s="3" t="s">
        <v>7</v>
      </c>
      <c r="I29" s="39" t="s">
        <v>2</v>
      </c>
      <c r="J29" s="39"/>
      <c r="K29" s="30">
        <v>33000</v>
      </c>
      <c r="L29" s="26">
        <v>1990</v>
      </c>
      <c r="M29" s="26">
        <f t="shared" si="0"/>
        <v>29</v>
      </c>
      <c r="N29" s="3" t="s">
        <v>3</v>
      </c>
      <c r="O29" s="3"/>
      <c r="P29" s="39" t="s">
        <v>21</v>
      </c>
      <c r="Q29" s="3"/>
      <c r="R29" s="39"/>
    </row>
    <row r="30" spans="2:18" ht="25.5" x14ac:dyDescent="0.25">
      <c r="B30" s="142"/>
      <c r="C30" s="142"/>
      <c r="D30" s="3">
        <v>23</v>
      </c>
      <c r="E30" s="39" t="s">
        <v>135</v>
      </c>
      <c r="F30" s="3" t="s">
        <v>11</v>
      </c>
      <c r="G30" s="3" t="s">
        <v>258</v>
      </c>
      <c r="H30" s="3" t="s">
        <v>1</v>
      </c>
      <c r="I30" s="39" t="s">
        <v>10</v>
      </c>
      <c r="J30" s="39"/>
      <c r="K30" s="30">
        <v>41913</v>
      </c>
      <c r="L30" s="26">
        <v>2014</v>
      </c>
      <c r="M30" s="26">
        <f t="shared" si="0"/>
        <v>5</v>
      </c>
      <c r="N30" s="3" t="s">
        <v>3</v>
      </c>
      <c r="O30" s="3"/>
      <c r="P30" s="39" t="s">
        <v>4</v>
      </c>
      <c r="Q30" s="3"/>
      <c r="R30" s="39"/>
    </row>
    <row r="31" spans="2:18" ht="25.5" x14ac:dyDescent="0.25">
      <c r="B31" s="142">
        <v>8</v>
      </c>
      <c r="C31" s="139" t="s">
        <v>1146</v>
      </c>
      <c r="D31" s="3">
        <v>24</v>
      </c>
      <c r="E31" s="39" t="s">
        <v>136</v>
      </c>
      <c r="F31" s="3" t="s">
        <v>5</v>
      </c>
      <c r="G31" s="3" t="s">
        <v>1149</v>
      </c>
      <c r="H31" s="3" t="s">
        <v>1</v>
      </c>
      <c r="I31" s="39" t="s">
        <v>2</v>
      </c>
      <c r="J31" s="39" t="s">
        <v>1481</v>
      </c>
      <c r="K31" s="30">
        <v>25385</v>
      </c>
      <c r="L31" s="26">
        <v>1969</v>
      </c>
      <c r="M31" s="26">
        <f t="shared" si="0"/>
        <v>50</v>
      </c>
      <c r="N31" s="3" t="s">
        <v>3</v>
      </c>
      <c r="O31" s="3" t="s">
        <v>821</v>
      </c>
      <c r="P31" s="39" t="s">
        <v>936</v>
      </c>
      <c r="Q31" s="3"/>
      <c r="R31" s="39" t="s">
        <v>54</v>
      </c>
    </row>
    <row r="32" spans="2:18" x14ac:dyDescent="0.25">
      <c r="B32" s="142"/>
      <c r="C32" s="140"/>
      <c r="D32" s="3">
        <v>25</v>
      </c>
      <c r="E32" s="39" t="s">
        <v>137</v>
      </c>
      <c r="F32" s="3" t="s">
        <v>9</v>
      </c>
      <c r="G32" s="3" t="s">
        <v>1150</v>
      </c>
      <c r="H32" s="3" t="s">
        <v>7</v>
      </c>
      <c r="I32" s="39" t="s">
        <v>2</v>
      </c>
      <c r="J32" s="39" t="s">
        <v>1482</v>
      </c>
      <c r="K32" s="30">
        <v>25750</v>
      </c>
      <c r="L32" s="26">
        <v>1970</v>
      </c>
      <c r="M32" s="26">
        <f t="shared" si="0"/>
        <v>49</v>
      </c>
      <c r="N32" s="3" t="s">
        <v>3</v>
      </c>
      <c r="O32" s="3" t="s">
        <v>821</v>
      </c>
      <c r="P32" s="39" t="s">
        <v>978</v>
      </c>
      <c r="Q32" s="3"/>
      <c r="R32" s="39" t="s">
        <v>1483</v>
      </c>
    </row>
    <row r="33" spans="2:18" ht="25.5" x14ac:dyDescent="0.25">
      <c r="B33" s="142"/>
      <c r="C33" s="140"/>
      <c r="D33" s="3">
        <v>26</v>
      </c>
      <c r="E33" s="39" t="s">
        <v>1147</v>
      </c>
      <c r="F33" s="3" t="s">
        <v>11</v>
      </c>
      <c r="G33" s="3" t="s">
        <v>1151</v>
      </c>
      <c r="H33" s="3" t="s">
        <v>1</v>
      </c>
      <c r="I33" s="39" t="s">
        <v>10</v>
      </c>
      <c r="J33" s="39" t="s">
        <v>1480</v>
      </c>
      <c r="K33" s="30">
        <v>34824</v>
      </c>
      <c r="L33" s="26">
        <v>1995</v>
      </c>
      <c r="M33" s="26">
        <f t="shared" si="0"/>
        <v>24</v>
      </c>
      <c r="N33" s="3" t="s">
        <v>3</v>
      </c>
      <c r="O33" s="3" t="s">
        <v>821</v>
      </c>
      <c r="P33" s="39" t="s">
        <v>978</v>
      </c>
      <c r="Q33" s="3"/>
      <c r="R33" s="39" t="s">
        <v>54</v>
      </c>
    </row>
    <row r="34" spans="2:18" ht="25.5" x14ac:dyDescent="0.25">
      <c r="B34" s="142"/>
      <c r="C34" s="140"/>
      <c r="D34" s="3">
        <v>27</v>
      </c>
      <c r="E34" s="39" t="s">
        <v>138</v>
      </c>
      <c r="F34" s="3" t="s">
        <v>11</v>
      </c>
      <c r="G34" s="3" t="s">
        <v>1152</v>
      </c>
      <c r="H34" s="3" t="s">
        <v>1</v>
      </c>
      <c r="I34" s="39" t="s">
        <v>10</v>
      </c>
      <c r="J34" s="39" t="s">
        <v>1480</v>
      </c>
      <c r="K34" s="30">
        <v>36750</v>
      </c>
      <c r="L34" s="26">
        <v>2000</v>
      </c>
      <c r="M34" s="26">
        <f t="shared" si="0"/>
        <v>19</v>
      </c>
      <c r="N34" s="3" t="s">
        <v>3</v>
      </c>
      <c r="O34" s="3" t="s">
        <v>821</v>
      </c>
      <c r="P34" s="39" t="s">
        <v>978</v>
      </c>
      <c r="Q34" s="3"/>
      <c r="R34" s="39" t="s">
        <v>1475</v>
      </c>
    </row>
    <row r="35" spans="2:18" ht="25.5" x14ac:dyDescent="0.25">
      <c r="B35" s="142"/>
      <c r="C35" s="141"/>
      <c r="D35" s="3">
        <v>28</v>
      </c>
      <c r="E35" s="39" t="s">
        <v>1148</v>
      </c>
      <c r="F35" s="3" t="s">
        <v>11</v>
      </c>
      <c r="G35" s="3" t="s">
        <v>259</v>
      </c>
      <c r="H35" s="3" t="s">
        <v>1</v>
      </c>
      <c r="I35" s="39" t="s">
        <v>10</v>
      </c>
      <c r="J35" s="39" t="s">
        <v>1472</v>
      </c>
      <c r="K35" s="30">
        <v>38589</v>
      </c>
      <c r="L35" s="26">
        <v>2005</v>
      </c>
      <c r="M35" s="26">
        <f t="shared" si="0"/>
        <v>14</v>
      </c>
      <c r="N35" s="3" t="s">
        <v>3</v>
      </c>
      <c r="O35" s="3" t="s">
        <v>821</v>
      </c>
      <c r="P35" s="39" t="s">
        <v>1078</v>
      </c>
      <c r="Q35" s="3"/>
      <c r="R35" s="39" t="s">
        <v>1475</v>
      </c>
    </row>
    <row r="36" spans="2:18" ht="25.5" x14ac:dyDescent="0.25">
      <c r="B36" s="139">
        <v>9</v>
      </c>
      <c r="C36" s="139" t="s">
        <v>1484</v>
      </c>
      <c r="D36" s="3">
        <v>29</v>
      </c>
      <c r="E36" s="39" t="s">
        <v>139</v>
      </c>
      <c r="F36" s="3" t="s">
        <v>5</v>
      </c>
      <c r="G36" s="3" t="s">
        <v>1485</v>
      </c>
      <c r="H36" s="3" t="s">
        <v>1</v>
      </c>
      <c r="I36" s="39" t="s">
        <v>2</v>
      </c>
      <c r="J36" s="39" t="s">
        <v>1472</v>
      </c>
      <c r="K36" s="30">
        <v>21367</v>
      </c>
      <c r="L36" s="26">
        <v>1958</v>
      </c>
      <c r="M36" s="26">
        <f t="shared" si="0"/>
        <v>61</v>
      </c>
      <c r="N36" s="3" t="s">
        <v>3</v>
      </c>
      <c r="O36" s="3" t="s">
        <v>821</v>
      </c>
      <c r="P36" s="39" t="s">
        <v>1076</v>
      </c>
      <c r="Q36" s="3"/>
      <c r="R36" s="39" t="s">
        <v>826</v>
      </c>
    </row>
    <row r="37" spans="2:18" ht="25.5" x14ac:dyDescent="0.25">
      <c r="B37" s="141"/>
      <c r="C37" s="141"/>
      <c r="D37" s="3">
        <v>30</v>
      </c>
      <c r="E37" s="39" t="s">
        <v>1486</v>
      </c>
      <c r="F37" s="3" t="s">
        <v>9</v>
      </c>
      <c r="G37" s="3" t="s">
        <v>1487</v>
      </c>
      <c r="H37" s="3" t="s">
        <v>7</v>
      </c>
      <c r="I37" s="39" t="s">
        <v>2</v>
      </c>
      <c r="J37" s="39" t="s">
        <v>1472</v>
      </c>
      <c r="K37" s="30">
        <v>25385</v>
      </c>
      <c r="L37" s="26">
        <v>1969</v>
      </c>
      <c r="M37" s="26">
        <f t="shared" si="0"/>
        <v>50</v>
      </c>
      <c r="N37" s="3" t="s">
        <v>3</v>
      </c>
      <c r="O37" s="3" t="s">
        <v>821</v>
      </c>
      <c r="P37" s="39" t="s">
        <v>1076</v>
      </c>
      <c r="Q37" s="3"/>
      <c r="R37" s="39" t="s">
        <v>827</v>
      </c>
    </row>
    <row r="38" spans="2:18" x14ac:dyDescent="0.25">
      <c r="B38" s="142">
        <v>10</v>
      </c>
      <c r="C38" s="142"/>
      <c r="D38" s="3">
        <v>31</v>
      </c>
      <c r="E38" s="39" t="s">
        <v>140</v>
      </c>
      <c r="F38" s="3" t="s">
        <v>5</v>
      </c>
      <c r="G38" s="3" t="s">
        <v>260</v>
      </c>
      <c r="H38" s="3" t="s">
        <v>1</v>
      </c>
      <c r="I38" s="39" t="s">
        <v>133</v>
      </c>
      <c r="J38" s="39"/>
      <c r="K38" s="30">
        <v>30823</v>
      </c>
      <c r="L38" s="26">
        <v>1984</v>
      </c>
      <c r="M38" s="26">
        <f t="shared" si="0"/>
        <v>35</v>
      </c>
      <c r="N38" s="3" t="s">
        <v>3</v>
      </c>
      <c r="O38" s="3"/>
      <c r="P38" s="39" t="s">
        <v>21</v>
      </c>
      <c r="Q38" s="3"/>
      <c r="R38" s="39"/>
    </row>
    <row r="39" spans="2:18" x14ac:dyDescent="0.25">
      <c r="B39" s="142"/>
      <c r="C39" s="142"/>
      <c r="D39" s="3">
        <v>32</v>
      </c>
      <c r="E39" s="39" t="s">
        <v>141</v>
      </c>
      <c r="F39" s="3" t="s">
        <v>9</v>
      </c>
      <c r="G39" s="3" t="s">
        <v>261</v>
      </c>
      <c r="H39" s="3" t="s">
        <v>7</v>
      </c>
      <c r="I39" s="39" t="s">
        <v>2</v>
      </c>
      <c r="J39" s="39"/>
      <c r="K39" s="30">
        <v>33280</v>
      </c>
      <c r="L39" s="26">
        <v>1991</v>
      </c>
      <c r="M39" s="26">
        <f t="shared" si="0"/>
        <v>28</v>
      </c>
      <c r="N39" s="3" t="s">
        <v>3</v>
      </c>
      <c r="O39" s="3"/>
      <c r="P39" s="39" t="s">
        <v>21</v>
      </c>
      <c r="Q39" s="3"/>
      <c r="R39" s="39"/>
    </row>
    <row r="40" spans="2:18" x14ac:dyDescent="0.25">
      <c r="B40" s="142"/>
      <c r="C40" s="142"/>
      <c r="D40" s="3">
        <v>33</v>
      </c>
      <c r="E40" s="39" t="s">
        <v>142</v>
      </c>
      <c r="F40" s="3" t="s">
        <v>11</v>
      </c>
      <c r="G40" s="3" t="s">
        <v>262</v>
      </c>
      <c r="H40" s="3" t="s">
        <v>1</v>
      </c>
      <c r="I40" s="39" t="s">
        <v>129</v>
      </c>
      <c r="J40" s="39"/>
      <c r="K40" s="30">
        <v>41405</v>
      </c>
      <c r="L40" s="26">
        <v>2013</v>
      </c>
      <c r="M40" s="26">
        <f t="shared" si="0"/>
        <v>6</v>
      </c>
      <c r="N40" s="3" t="s">
        <v>3</v>
      </c>
      <c r="O40" s="3"/>
      <c r="P40" s="39" t="s">
        <v>4</v>
      </c>
      <c r="Q40" s="3"/>
      <c r="R40" s="39"/>
    </row>
    <row r="41" spans="2:18" ht="25.5" x14ac:dyDescent="0.25">
      <c r="B41" s="142">
        <v>11</v>
      </c>
      <c r="C41" s="139" t="s">
        <v>1245</v>
      </c>
      <c r="D41" s="3">
        <v>34</v>
      </c>
      <c r="E41" s="39" t="s">
        <v>1238</v>
      </c>
      <c r="F41" s="3" t="s">
        <v>5</v>
      </c>
      <c r="G41" s="3" t="s">
        <v>1241</v>
      </c>
      <c r="H41" s="3" t="s">
        <v>1</v>
      </c>
      <c r="I41" s="39" t="s">
        <v>1014</v>
      </c>
      <c r="J41" s="39" t="s">
        <v>1472</v>
      </c>
      <c r="K41" s="30">
        <v>28439</v>
      </c>
      <c r="L41" s="26">
        <v>1977</v>
      </c>
      <c r="M41" s="26">
        <f t="shared" si="0"/>
        <v>42</v>
      </c>
      <c r="N41" s="3" t="s">
        <v>3</v>
      </c>
      <c r="O41" s="3" t="s">
        <v>821</v>
      </c>
      <c r="P41" s="39" t="s">
        <v>936</v>
      </c>
      <c r="Q41" s="3"/>
      <c r="R41" s="39" t="s">
        <v>1488</v>
      </c>
    </row>
    <row r="42" spans="2:18" ht="25.5" x14ac:dyDescent="0.25">
      <c r="B42" s="142"/>
      <c r="C42" s="140"/>
      <c r="D42" s="3">
        <v>35</v>
      </c>
      <c r="E42" s="39" t="s">
        <v>1239</v>
      </c>
      <c r="F42" s="3" t="s">
        <v>9</v>
      </c>
      <c r="G42" s="3" t="s">
        <v>1242</v>
      </c>
      <c r="H42" s="3" t="s">
        <v>7</v>
      </c>
      <c r="I42" s="39" t="s">
        <v>1014</v>
      </c>
      <c r="J42" s="39" t="s">
        <v>1472</v>
      </c>
      <c r="K42" s="30">
        <v>29037</v>
      </c>
      <c r="L42" s="26">
        <v>1979</v>
      </c>
      <c r="M42" s="26">
        <f t="shared" si="0"/>
        <v>40</v>
      </c>
      <c r="N42" s="3" t="s">
        <v>3</v>
      </c>
      <c r="O42" s="3" t="s">
        <v>821</v>
      </c>
      <c r="P42" s="39" t="s">
        <v>936</v>
      </c>
      <c r="Q42" s="3"/>
      <c r="R42" s="39" t="s">
        <v>1488</v>
      </c>
    </row>
    <row r="43" spans="2:18" ht="25.5" x14ac:dyDescent="0.25">
      <c r="B43" s="142"/>
      <c r="C43" s="140"/>
      <c r="D43" s="3">
        <v>36</v>
      </c>
      <c r="E43" s="39" t="s">
        <v>1489</v>
      </c>
      <c r="F43" s="3" t="s">
        <v>11</v>
      </c>
      <c r="G43" s="3" t="s">
        <v>1490</v>
      </c>
      <c r="H43" s="3" t="s">
        <v>7</v>
      </c>
      <c r="I43" s="39" t="s">
        <v>10</v>
      </c>
      <c r="J43" s="39" t="s">
        <v>1472</v>
      </c>
      <c r="K43" s="30">
        <v>38797</v>
      </c>
      <c r="L43" s="26">
        <v>2006</v>
      </c>
      <c r="M43" s="26">
        <f t="shared" si="0"/>
        <v>13</v>
      </c>
      <c r="N43" s="3" t="s">
        <v>3</v>
      </c>
      <c r="O43" s="3" t="s">
        <v>821</v>
      </c>
      <c r="P43" s="39" t="s">
        <v>1076</v>
      </c>
      <c r="Q43" s="3"/>
      <c r="R43" s="39" t="s">
        <v>1491</v>
      </c>
    </row>
    <row r="44" spans="2:18" ht="25.5" x14ac:dyDescent="0.25">
      <c r="B44" s="142"/>
      <c r="C44" s="141"/>
      <c r="D44" s="3">
        <v>37</v>
      </c>
      <c r="E44" s="39" t="s">
        <v>1492</v>
      </c>
      <c r="F44" s="3" t="s">
        <v>11</v>
      </c>
      <c r="G44" s="3" t="s">
        <v>1244</v>
      </c>
      <c r="H44" s="3" t="s">
        <v>1</v>
      </c>
      <c r="I44" s="39" t="s">
        <v>144</v>
      </c>
      <c r="J44" s="39" t="s">
        <v>1493</v>
      </c>
      <c r="K44" s="30">
        <v>41174</v>
      </c>
      <c r="L44" s="26">
        <v>2012</v>
      </c>
      <c r="M44" s="26">
        <f t="shared" si="0"/>
        <v>7</v>
      </c>
      <c r="N44" s="3" t="s">
        <v>3</v>
      </c>
      <c r="O44" s="3" t="s">
        <v>821</v>
      </c>
      <c r="P44" s="39" t="s">
        <v>1076</v>
      </c>
      <c r="Q44" s="3"/>
      <c r="R44" s="39" t="s">
        <v>1491</v>
      </c>
    </row>
    <row r="45" spans="2:18" ht="25.5" x14ac:dyDescent="0.25">
      <c r="B45" s="139">
        <v>12</v>
      </c>
      <c r="C45" s="139" t="s">
        <v>1494</v>
      </c>
      <c r="D45" s="3">
        <v>38</v>
      </c>
      <c r="E45" s="39" t="s">
        <v>145</v>
      </c>
      <c r="F45" s="3" t="s">
        <v>5</v>
      </c>
      <c r="G45" s="3" t="s">
        <v>1495</v>
      </c>
      <c r="H45" s="3" t="s">
        <v>1</v>
      </c>
      <c r="I45" s="39" t="s">
        <v>1014</v>
      </c>
      <c r="J45" s="39" t="s">
        <v>1480</v>
      </c>
      <c r="K45" s="30">
        <v>23924</v>
      </c>
      <c r="L45" s="26">
        <v>1965</v>
      </c>
      <c r="M45" s="26">
        <f t="shared" si="0"/>
        <v>54</v>
      </c>
      <c r="N45" s="3" t="s">
        <v>3</v>
      </c>
      <c r="O45" s="3" t="s">
        <v>821</v>
      </c>
      <c r="P45" s="39" t="s">
        <v>936</v>
      </c>
      <c r="Q45" s="3"/>
      <c r="R45" s="39" t="s">
        <v>1496</v>
      </c>
    </row>
    <row r="46" spans="2:18" ht="25.5" x14ac:dyDescent="0.25">
      <c r="B46" s="140"/>
      <c r="C46" s="140"/>
      <c r="D46" s="3">
        <v>39</v>
      </c>
      <c r="E46" s="39" t="s">
        <v>1497</v>
      </c>
      <c r="F46" s="3" t="s">
        <v>9</v>
      </c>
      <c r="G46" s="3" t="s">
        <v>1498</v>
      </c>
      <c r="H46" s="3" t="s">
        <v>7</v>
      </c>
      <c r="I46" s="39" t="s">
        <v>1014</v>
      </c>
      <c r="J46" s="39" t="s">
        <v>1480</v>
      </c>
      <c r="K46" s="30">
        <v>22828</v>
      </c>
      <c r="L46" s="26">
        <v>1962</v>
      </c>
      <c r="M46" s="26">
        <f t="shared" si="0"/>
        <v>57</v>
      </c>
      <c r="N46" s="3" t="s">
        <v>3</v>
      </c>
      <c r="O46" s="3" t="s">
        <v>821</v>
      </c>
      <c r="P46" s="39" t="s">
        <v>1078</v>
      </c>
      <c r="Q46" s="3"/>
      <c r="R46" s="39" t="s">
        <v>827</v>
      </c>
    </row>
    <row r="47" spans="2:18" x14ac:dyDescent="0.25">
      <c r="B47" s="140"/>
      <c r="C47" s="140"/>
      <c r="D47" s="3">
        <v>40</v>
      </c>
      <c r="E47" s="39" t="s">
        <v>146</v>
      </c>
      <c r="F47" s="3" t="s">
        <v>11</v>
      </c>
      <c r="G47" s="3" t="s">
        <v>1499</v>
      </c>
      <c r="H47" s="3" t="s">
        <v>1</v>
      </c>
      <c r="I47" s="39" t="s">
        <v>10</v>
      </c>
      <c r="J47" s="39" t="s">
        <v>1472</v>
      </c>
      <c r="K47" s="30">
        <v>31777</v>
      </c>
      <c r="L47" s="26">
        <v>1986</v>
      </c>
      <c r="M47" s="26">
        <f t="shared" si="0"/>
        <v>33</v>
      </c>
      <c r="N47" s="3" t="s">
        <v>3</v>
      </c>
      <c r="O47" s="3" t="s">
        <v>821</v>
      </c>
      <c r="P47" s="39" t="s">
        <v>933</v>
      </c>
      <c r="Q47" s="3"/>
      <c r="R47" s="39" t="s">
        <v>54</v>
      </c>
    </row>
    <row r="48" spans="2:18" ht="25.5" x14ac:dyDescent="0.25">
      <c r="B48" s="140"/>
      <c r="C48" s="141"/>
      <c r="D48" s="3">
        <v>41</v>
      </c>
      <c r="E48" s="39" t="s">
        <v>147</v>
      </c>
      <c r="F48" s="3" t="s">
        <v>11</v>
      </c>
      <c r="G48" s="3" t="s">
        <v>1500</v>
      </c>
      <c r="H48" s="3" t="s">
        <v>148</v>
      </c>
      <c r="I48" s="39" t="s">
        <v>10</v>
      </c>
      <c r="J48" s="39" t="s">
        <v>1465</v>
      </c>
      <c r="K48" s="30">
        <v>34881</v>
      </c>
      <c r="L48" s="26">
        <v>1995</v>
      </c>
      <c r="M48" s="26">
        <f t="shared" si="0"/>
        <v>24</v>
      </c>
      <c r="N48" s="3" t="s">
        <v>3</v>
      </c>
      <c r="O48" s="3" t="s">
        <v>821</v>
      </c>
      <c r="P48" s="39" t="s">
        <v>936</v>
      </c>
      <c r="Q48" s="3"/>
      <c r="R48" s="39" t="s">
        <v>1475</v>
      </c>
    </row>
    <row r="49" spans="2:18" x14ac:dyDescent="0.25">
      <c r="B49" s="139">
        <v>13</v>
      </c>
      <c r="C49" s="139"/>
      <c r="D49" s="3">
        <v>42</v>
      </c>
      <c r="E49" s="39" t="s">
        <v>149</v>
      </c>
      <c r="F49" s="3" t="s">
        <v>5</v>
      </c>
      <c r="G49" s="3" t="s">
        <v>263</v>
      </c>
      <c r="H49" s="3" t="s">
        <v>1</v>
      </c>
      <c r="I49" s="39" t="s">
        <v>2</v>
      </c>
      <c r="J49" s="39"/>
      <c r="K49" s="30">
        <v>30577</v>
      </c>
      <c r="L49" s="26">
        <v>1983</v>
      </c>
      <c r="M49" s="26">
        <f t="shared" si="0"/>
        <v>36</v>
      </c>
      <c r="N49" s="3" t="s">
        <v>3</v>
      </c>
      <c r="O49" s="3"/>
      <c r="P49" s="39" t="s">
        <v>8</v>
      </c>
      <c r="Q49" s="3"/>
      <c r="R49" s="39"/>
    </row>
    <row r="50" spans="2:18" x14ac:dyDescent="0.25">
      <c r="B50" s="141"/>
      <c r="C50" s="141"/>
      <c r="D50" s="3">
        <v>43</v>
      </c>
      <c r="E50" s="39" t="s">
        <v>150</v>
      </c>
      <c r="F50" s="3" t="s">
        <v>9</v>
      </c>
      <c r="G50" s="3" t="s">
        <v>264</v>
      </c>
      <c r="H50" s="3" t="s">
        <v>7</v>
      </c>
      <c r="I50" s="39" t="s">
        <v>2</v>
      </c>
      <c r="J50" s="39"/>
      <c r="K50" s="30">
        <v>33089</v>
      </c>
      <c r="L50" s="26">
        <v>1990</v>
      </c>
      <c r="M50" s="26">
        <f t="shared" si="0"/>
        <v>29</v>
      </c>
      <c r="N50" s="3" t="s">
        <v>3</v>
      </c>
      <c r="O50" s="3"/>
      <c r="P50" s="39" t="s">
        <v>8</v>
      </c>
      <c r="Q50" s="3"/>
      <c r="R50" s="39"/>
    </row>
    <row r="51" spans="2:18" ht="25.5" x14ac:dyDescent="0.25">
      <c r="B51" s="139">
        <v>14</v>
      </c>
      <c r="C51" s="139" t="s">
        <v>1095</v>
      </c>
      <c r="D51" s="3">
        <v>44</v>
      </c>
      <c r="E51" s="39" t="s">
        <v>675</v>
      </c>
      <c r="F51" s="3" t="s">
        <v>5</v>
      </c>
      <c r="G51" s="3" t="s">
        <v>265</v>
      </c>
      <c r="H51" s="3" t="s">
        <v>1</v>
      </c>
      <c r="I51" s="39" t="s">
        <v>2</v>
      </c>
      <c r="J51" s="39" t="s">
        <v>1465</v>
      </c>
      <c r="K51" s="30">
        <v>27759</v>
      </c>
      <c r="L51" s="26">
        <v>1975</v>
      </c>
      <c r="M51" s="26">
        <f t="shared" si="0"/>
        <v>44</v>
      </c>
      <c r="N51" s="3" t="s">
        <v>3</v>
      </c>
      <c r="O51" s="3" t="s">
        <v>821</v>
      </c>
      <c r="P51" s="39" t="s">
        <v>936</v>
      </c>
      <c r="Q51" s="3"/>
      <c r="R51" s="39" t="s">
        <v>1496</v>
      </c>
    </row>
    <row r="52" spans="2:18" ht="25.5" x14ac:dyDescent="0.25">
      <c r="B52" s="140"/>
      <c r="C52" s="140"/>
      <c r="D52" s="3">
        <v>45</v>
      </c>
      <c r="E52" s="39" t="s">
        <v>151</v>
      </c>
      <c r="F52" s="3" t="s">
        <v>9</v>
      </c>
      <c r="G52" s="3" t="s">
        <v>1099</v>
      </c>
      <c r="H52" s="3" t="s">
        <v>7</v>
      </c>
      <c r="I52" s="39" t="s">
        <v>2</v>
      </c>
      <c r="J52" s="39" t="s">
        <v>1465</v>
      </c>
      <c r="K52" s="30">
        <v>28855</v>
      </c>
      <c r="L52" s="26">
        <v>1978</v>
      </c>
      <c r="M52" s="26">
        <f t="shared" si="0"/>
        <v>41</v>
      </c>
      <c r="N52" s="3" t="s">
        <v>3</v>
      </c>
      <c r="O52" s="3" t="s">
        <v>821</v>
      </c>
      <c r="P52" s="39" t="s">
        <v>936</v>
      </c>
      <c r="Q52" s="3"/>
      <c r="R52" s="39" t="s">
        <v>1496</v>
      </c>
    </row>
    <row r="53" spans="2:18" ht="25.5" x14ac:dyDescent="0.25">
      <c r="B53" s="140"/>
      <c r="C53" s="140"/>
      <c r="D53" s="3">
        <v>46</v>
      </c>
      <c r="E53" s="39" t="s">
        <v>1093</v>
      </c>
      <c r="F53" s="3" t="s">
        <v>11</v>
      </c>
      <c r="G53" s="3" t="s">
        <v>1096</v>
      </c>
      <c r="H53" s="3" t="s">
        <v>7</v>
      </c>
      <c r="I53" s="39" t="s">
        <v>129</v>
      </c>
      <c r="J53" s="39" t="s">
        <v>1465</v>
      </c>
      <c r="K53" s="30">
        <v>32873</v>
      </c>
      <c r="L53" s="26">
        <v>1989</v>
      </c>
      <c r="M53" s="26">
        <f t="shared" si="0"/>
        <v>30</v>
      </c>
      <c r="N53" s="3" t="s">
        <v>3</v>
      </c>
      <c r="O53" s="3" t="s">
        <v>821</v>
      </c>
      <c r="P53" s="39" t="s">
        <v>933</v>
      </c>
      <c r="Q53" s="3"/>
      <c r="R53" s="39" t="s">
        <v>1491</v>
      </c>
    </row>
    <row r="54" spans="2:18" ht="25.5" x14ac:dyDescent="0.25">
      <c r="B54" s="140"/>
      <c r="C54" s="140"/>
      <c r="D54" s="3">
        <v>47</v>
      </c>
      <c r="E54" s="39" t="s">
        <v>1094</v>
      </c>
      <c r="F54" s="3" t="s">
        <v>11</v>
      </c>
      <c r="G54" s="3" t="s">
        <v>1097</v>
      </c>
      <c r="H54" s="3" t="s">
        <v>1</v>
      </c>
      <c r="I54" s="39" t="s">
        <v>10</v>
      </c>
      <c r="J54" s="39" t="s">
        <v>1465</v>
      </c>
      <c r="K54" s="30">
        <v>33238</v>
      </c>
      <c r="L54" s="26">
        <v>1990</v>
      </c>
      <c r="M54" s="26">
        <f t="shared" si="0"/>
        <v>29</v>
      </c>
      <c r="N54" s="3" t="s">
        <v>3</v>
      </c>
      <c r="O54" s="3" t="s">
        <v>821</v>
      </c>
      <c r="P54" s="39" t="s">
        <v>933</v>
      </c>
      <c r="Q54" s="3"/>
      <c r="R54" s="39" t="s">
        <v>1491</v>
      </c>
    </row>
    <row r="55" spans="2:18" ht="25.5" x14ac:dyDescent="0.25">
      <c r="B55" s="140"/>
      <c r="C55" s="140"/>
      <c r="D55" s="3">
        <v>48</v>
      </c>
      <c r="E55" s="39" t="s">
        <v>67</v>
      </c>
      <c r="F55" s="3" t="s">
        <v>11</v>
      </c>
      <c r="G55" s="3" t="s">
        <v>1098</v>
      </c>
      <c r="H55" s="3" t="s">
        <v>1</v>
      </c>
      <c r="I55" s="39" t="s">
        <v>129</v>
      </c>
      <c r="J55" s="39" t="s">
        <v>1465</v>
      </c>
      <c r="K55" s="30">
        <v>33277</v>
      </c>
      <c r="L55" s="26">
        <v>1991</v>
      </c>
      <c r="M55" s="26">
        <v>28</v>
      </c>
      <c r="N55" s="3" t="s">
        <v>3</v>
      </c>
      <c r="O55" s="3" t="s">
        <v>821</v>
      </c>
      <c r="P55" s="39" t="s">
        <v>933</v>
      </c>
      <c r="Q55" s="3"/>
      <c r="R55" s="39" t="s">
        <v>1491</v>
      </c>
    </row>
    <row r="56" spans="2:18" ht="25.5" x14ac:dyDescent="0.25">
      <c r="B56" s="141"/>
      <c r="C56" s="141"/>
      <c r="D56" s="3">
        <v>49</v>
      </c>
      <c r="E56" s="39" t="s">
        <v>152</v>
      </c>
      <c r="F56" s="3" t="s">
        <v>11</v>
      </c>
      <c r="G56" s="3" t="s">
        <v>266</v>
      </c>
      <c r="H56" s="3" t="s">
        <v>7</v>
      </c>
      <c r="I56" s="39" t="s">
        <v>10</v>
      </c>
      <c r="J56" s="39" t="s">
        <v>1465</v>
      </c>
      <c r="K56" s="30">
        <v>34334</v>
      </c>
      <c r="L56" s="26">
        <v>1993</v>
      </c>
      <c r="M56" s="26">
        <f t="shared" ref="M56:M111" si="1">2019-L56</f>
        <v>26</v>
      </c>
      <c r="N56" s="3" t="s">
        <v>3</v>
      </c>
      <c r="O56" s="3" t="s">
        <v>821</v>
      </c>
      <c r="P56" s="39" t="s">
        <v>933</v>
      </c>
      <c r="Q56" s="3"/>
      <c r="R56" s="39" t="s">
        <v>1491</v>
      </c>
    </row>
    <row r="57" spans="2:18" ht="25.5" x14ac:dyDescent="0.25">
      <c r="B57" s="3">
        <v>15</v>
      </c>
      <c r="C57" s="3" t="s">
        <v>1501</v>
      </c>
      <c r="D57" s="3">
        <v>50</v>
      </c>
      <c r="E57" s="39" t="s">
        <v>153</v>
      </c>
      <c r="F57" s="3" t="s">
        <v>9</v>
      </c>
      <c r="G57" s="3" t="s">
        <v>1502</v>
      </c>
      <c r="H57" s="3" t="s">
        <v>7</v>
      </c>
      <c r="I57" s="39" t="s">
        <v>2</v>
      </c>
      <c r="J57" s="39" t="s">
        <v>1472</v>
      </c>
      <c r="K57" s="30">
        <v>18080</v>
      </c>
      <c r="L57" s="26">
        <v>1949</v>
      </c>
      <c r="M57" s="26">
        <f t="shared" si="1"/>
        <v>70</v>
      </c>
      <c r="N57" s="3" t="s">
        <v>3</v>
      </c>
      <c r="O57" s="3" t="s">
        <v>821</v>
      </c>
      <c r="P57" s="39" t="s">
        <v>1078</v>
      </c>
      <c r="Q57" s="3"/>
      <c r="R57" s="39" t="s">
        <v>827</v>
      </c>
    </row>
    <row r="58" spans="2:18" x14ac:dyDescent="0.25">
      <c r="B58" s="142">
        <v>16</v>
      </c>
      <c r="C58" s="142"/>
      <c r="D58" s="3">
        <v>51</v>
      </c>
      <c r="E58" s="39" t="s">
        <v>154</v>
      </c>
      <c r="F58" s="3" t="s">
        <v>5</v>
      </c>
      <c r="G58" s="3" t="s">
        <v>267</v>
      </c>
      <c r="H58" s="3" t="s">
        <v>1</v>
      </c>
      <c r="I58" s="39" t="s">
        <v>2</v>
      </c>
      <c r="J58" s="39"/>
      <c r="K58" s="30">
        <v>30316</v>
      </c>
      <c r="L58" s="26">
        <v>1982</v>
      </c>
      <c r="M58" s="26">
        <f t="shared" si="1"/>
        <v>37</v>
      </c>
      <c r="N58" s="3" t="s">
        <v>3</v>
      </c>
      <c r="O58" s="3" t="s">
        <v>821</v>
      </c>
      <c r="P58" s="39" t="s">
        <v>21</v>
      </c>
      <c r="Q58" s="3"/>
      <c r="R58" s="39"/>
    </row>
    <row r="59" spans="2:18" x14ac:dyDescent="0.25">
      <c r="B59" s="142"/>
      <c r="C59" s="142"/>
      <c r="D59" s="3">
        <v>52</v>
      </c>
      <c r="E59" s="39" t="s">
        <v>155</v>
      </c>
      <c r="F59" s="3" t="s">
        <v>9</v>
      </c>
      <c r="G59" s="3" t="s">
        <v>268</v>
      </c>
      <c r="H59" s="3" t="s">
        <v>7</v>
      </c>
      <c r="I59" s="39" t="s">
        <v>2</v>
      </c>
      <c r="J59" s="39"/>
      <c r="K59" s="30">
        <v>30681</v>
      </c>
      <c r="L59" s="26">
        <v>1983</v>
      </c>
      <c r="M59" s="26">
        <f t="shared" si="1"/>
        <v>36</v>
      </c>
      <c r="N59" s="3" t="s">
        <v>3</v>
      </c>
      <c r="O59" s="3" t="s">
        <v>821</v>
      </c>
      <c r="P59" s="39" t="s">
        <v>8</v>
      </c>
      <c r="Q59" s="3"/>
      <c r="R59" s="39"/>
    </row>
    <row r="60" spans="2:18" ht="25.5" x14ac:dyDescent="0.25">
      <c r="B60" s="142"/>
      <c r="C60" s="142"/>
      <c r="D60" s="3">
        <v>53</v>
      </c>
      <c r="E60" s="39" t="s">
        <v>156</v>
      </c>
      <c r="F60" s="3" t="s">
        <v>11</v>
      </c>
      <c r="G60" s="3" t="s">
        <v>269</v>
      </c>
      <c r="H60" s="3" t="s">
        <v>1</v>
      </c>
      <c r="I60" s="39" t="s">
        <v>10</v>
      </c>
      <c r="J60" s="39"/>
      <c r="K60" s="30">
        <v>39412</v>
      </c>
      <c r="L60" s="26">
        <v>2007</v>
      </c>
      <c r="M60" s="26">
        <f t="shared" si="1"/>
        <v>12</v>
      </c>
      <c r="N60" s="3" t="s">
        <v>3</v>
      </c>
      <c r="O60" s="3" t="s">
        <v>821</v>
      </c>
      <c r="P60" s="39" t="s">
        <v>4</v>
      </c>
      <c r="Q60" s="3"/>
      <c r="R60" s="39"/>
    </row>
    <row r="61" spans="2:18" ht="25.5" x14ac:dyDescent="0.25">
      <c r="B61" s="139">
        <v>17</v>
      </c>
      <c r="C61" s="139" t="s">
        <v>1503</v>
      </c>
      <c r="D61" s="3">
        <v>54</v>
      </c>
      <c r="E61" s="39" t="s">
        <v>65</v>
      </c>
      <c r="F61" s="3" t="s">
        <v>5</v>
      </c>
      <c r="G61" s="3" t="s">
        <v>1504</v>
      </c>
      <c r="H61" s="3" t="s">
        <v>1</v>
      </c>
      <c r="I61" s="39" t="s">
        <v>1014</v>
      </c>
      <c r="J61" s="39" t="s">
        <v>1465</v>
      </c>
      <c r="K61" s="30">
        <v>26481</v>
      </c>
      <c r="L61" s="26">
        <v>1972</v>
      </c>
      <c r="M61" s="26">
        <f t="shared" si="1"/>
        <v>47</v>
      </c>
      <c r="N61" s="3" t="s">
        <v>3</v>
      </c>
      <c r="O61" s="3" t="s">
        <v>821</v>
      </c>
      <c r="P61" s="39" t="s">
        <v>936</v>
      </c>
      <c r="Q61" s="3"/>
      <c r="R61" s="39" t="s">
        <v>54</v>
      </c>
    </row>
    <row r="62" spans="2:18" ht="25.5" x14ac:dyDescent="0.25">
      <c r="B62" s="140"/>
      <c r="C62" s="140"/>
      <c r="D62" s="3">
        <v>55</v>
      </c>
      <c r="E62" s="39" t="s">
        <v>157</v>
      </c>
      <c r="F62" s="3" t="s">
        <v>9</v>
      </c>
      <c r="G62" s="3" t="s">
        <v>1505</v>
      </c>
      <c r="H62" s="3" t="s">
        <v>7</v>
      </c>
      <c r="I62" s="39" t="s">
        <v>1014</v>
      </c>
      <c r="J62" s="39" t="s">
        <v>1506</v>
      </c>
      <c r="K62" s="30">
        <v>27942</v>
      </c>
      <c r="L62" s="26">
        <v>1976</v>
      </c>
      <c r="M62" s="26">
        <f t="shared" si="1"/>
        <v>43</v>
      </c>
      <c r="N62" s="3" t="s">
        <v>3</v>
      </c>
      <c r="O62" s="3" t="s">
        <v>821</v>
      </c>
      <c r="P62" s="39" t="s">
        <v>1078</v>
      </c>
      <c r="Q62" s="3"/>
      <c r="R62" s="39" t="s">
        <v>1488</v>
      </c>
    </row>
    <row r="63" spans="2:18" ht="25.5" x14ac:dyDescent="0.25">
      <c r="B63" s="140"/>
      <c r="C63" s="140"/>
      <c r="D63" s="3">
        <v>56</v>
      </c>
      <c r="E63" s="39" t="s">
        <v>1507</v>
      </c>
      <c r="F63" s="3" t="s">
        <v>11</v>
      </c>
      <c r="G63" s="3" t="s">
        <v>1508</v>
      </c>
      <c r="H63" s="3" t="s">
        <v>1</v>
      </c>
      <c r="I63" s="39" t="s">
        <v>129</v>
      </c>
      <c r="J63" s="39" t="s">
        <v>1472</v>
      </c>
      <c r="K63" s="30">
        <v>42198</v>
      </c>
      <c r="L63" s="26">
        <v>2015</v>
      </c>
      <c r="M63" s="26">
        <f t="shared" si="1"/>
        <v>4</v>
      </c>
      <c r="N63" s="3" t="s">
        <v>3</v>
      </c>
      <c r="O63" s="3" t="s">
        <v>821</v>
      </c>
      <c r="P63" s="39" t="s">
        <v>1076</v>
      </c>
      <c r="Q63" s="3"/>
      <c r="R63" s="39" t="s">
        <v>1491</v>
      </c>
    </row>
    <row r="64" spans="2:18" ht="25.5" x14ac:dyDescent="0.25">
      <c r="B64" s="141"/>
      <c r="C64" s="141"/>
      <c r="D64" s="3">
        <v>57</v>
      </c>
      <c r="E64" s="39" t="s">
        <v>1509</v>
      </c>
      <c r="F64" s="3" t="s">
        <v>11</v>
      </c>
      <c r="G64" s="3" t="s">
        <v>1510</v>
      </c>
      <c r="H64" s="3" t="s">
        <v>148</v>
      </c>
      <c r="I64" s="39" t="s">
        <v>129</v>
      </c>
      <c r="J64" s="39" t="s">
        <v>1511</v>
      </c>
      <c r="K64" s="30">
        <v>43140</v>
      </c>
      <c r="L64" s="26">
        <v>2018</v>
      </c>
      <c r="M64" s="26">
        <f t="shared" si="1"/>
        <v>1</v>
      </c>
      <c r="N64" s="3" t="s">
        <v>3</v>
      </c>
      <c r="O64" s="3" t="s">
        <v>821</v>
      </c>
      <c r="P64" s="39" t="s">
        <v>1076</v>
      </c>
      <c r="Q64" s="3"/>
      <c r="R64" s="39" t="s">
        <v>1491</v>
      </c>
    </row>
    <row r="65" spans="2:18" ht="25.5" x14ac:dyDescent="0.25">
      <c r="B65" s="142">
        <v>18</v>
      </c>
      <c r="C65" s="139" t="s">
        <v>1216</v>
      </c>
      <c r="D65" s="3">
        <v>58</v>
      </c>
      <c r="E65" s="39" t="s">
        <v>158</v>
      </c>
      <c r="F65" s="3" t="s">
        <v>5</v>
      </c>
      <c r="G65" s="3" t="s">
        <v>270</v>
      </c>
      <c r="H65" s="3" t="s">
        <v>7</v>
      </c>
      <c r="I65" s="39" t="s">
        <v>881</v>
      </c>
      <c r="J65" s="39" t="s">
        <v>1472</v>
      </c>
      <c r="K65" s="30">
        <v>26481</v>
      </c>
      <c r="L65" s="26">
        <v>1972</v>
      </c>
      <c r="M65" s="26">
        <f t="shared" si="1"/>
        <v>47</v>
      </c>
      <c r="N65" s="3" t="s">
        <v>3</v>
      </c>
      <c r="O65" s="3" t="s">
        <v>821</v>
      </c>
      <c r="P65" s="39" t="s">
        <v>936</v>
      </c>
      <c r="Q65" s="3"/>
      <c r="R65" s="39" t="s">
        <v>1488</v>
      </c>
    </row>
    <row r="66" spans="2:18" x14ac:dyDescent="0.25">
      <c r="B66" s="142"/>
      <c r="C66" s="140"/>
      <c r="D66" s="3">
        <v>59</v>
      </c>
      <c r="E66" s="39" t="s">
        <v>1217</v>
      </c>
      <c r="F66" s="3" t="s">
        <v>11</v>
      </c>
      <c r="G66" s="3" t="s">
        <v>271</v>
      </c>
      <c r="H66" s="3" t="s">
        <v>1</v>
      </c>
      <c r="I66" s="39" t="s">
        <v>10</v>
      </c>
      <c r="J66" s="39" t="s">
        <v>1472</v>
      </c>
      <c r="K66" s="30">
        <v>37350</v>
      </c>
      <c r="L66" s="26">
        <v>2002</v>
      </c>
      <c r="M66" s="26">
        <f t="shared" si="1"/>
        <v>17</v>
      </c>
      <c r="N66" s="3" t="s">
        <v>3</v>
      </c>
      <c r="O66" s="3" t="s">
        <v>821</v>
      </c>
      <c r="P66" s="39" t="s">
        <v>936</v>
      </c>
      <c r="Q66" s="3"/>
      <c r="R66" s="39" t="s">
        <v>1475</v>
      </c>
    </row>
    <row r="67" spans="2:18" ht="25.5" x14ac:dyDescent="0.25">
      <c r="B67" s="142"/>
      <c r="C67" s="141"/>
      <c r="D67" s="3">
        <v>60</v>
      </c>
      <c r="E67" s="39" t="s">
        <v>1218</v>
      </c>
      <c r="F67" s="3" t="s">
        <v>159</v>
      </c>
      <c r="G67" s="3" t="s">
        <v>272</v>
      </c>
      <c r="H67" s="3" t="s">
        <v>7</v>
      </c>
      <c r="I67" s="39" t="s">
        <v>883</v>
      </c>
      <c r="J67" s="39" t="s">
        <v>1472</v>
      </c>
      <c r="K67" s="30">
        <v>21002</v>
      </c>
      <c r="L67" s="26">
        <v>1957</v>
      </c>
      <c r="M67" s="26">
        <f t="shared" si="1"/>
        <v>62</v>
      </c>
      <c r="N67" s="3" t="s">
        <v>3</v>
      </c>
      <c r="O67" s="3" t="s">
        <v>821</v>
      </c>
      <c r="P67" s="39" t="s">
        <v>1076</v>
      </c>
      <c r="Q67" s="3"/>
      <c r="R67" s="39" t="s">
        <v>1496</v>
      </c>
    </row>
    <row r="68" spans="2:18" ht="25.5" x14ac:dyDescent="0.25">
      <c r="B68" s="139">
        <v>19</v>
      </c>
      <c r="C68" s="139" t="s">
        <v>1512</v>
      </c>
      <c r="D68" s="3">
        <v>61</v>
      </c>
      <c r="E68" s="39" t="s">
        <v>160</v>
      </c>
      <c r="F68" s="3" t="s">
        <v>5</v>
      </c>
      <c r="G68" s="3" t="s">
        <v>273</v>
      </c>
      <c r="H68" s="3" t="s">
        <v>1</v>
      </c>
      <c r="I68" s="39" t="s">
        <v>2</v>
      </c>
      <c r="J68" s="39" t="s">
        <v>1472</v>
      </c>
      <c r="K68" s="30">
        <v>30316</v>
      </c>
      <c r="L68" s="26">
        <v>1982</v>
      </c>
      <c r="M68" s="26">
        <f t="shared" si="1"/>
        <v>37</v>
      </c>
      <c r="N68" s="3" t="s">
        <v>3</v>
      </c>
      <c r="O68" s="3" t="s">
        <v>821</v>
      </c>
      <c r="P68" s="39" t="s">
        <v>936</v>
      </c>
      <c r="Q68" s="3"/>
      <c r="R68" s="39" t="s">
        <v>826</v>
      </c>
    </row>
    <row r="69" spans="2:18" ht="25.5" x14ac:dyDescent="0.25">
      <c r="B69" s="140"/>
      <c r="C69" s="140"/>
      <c r="D69" s="3">
        <v>62</v>
      </c>
      <c r="E69" s="39" t="s">
        <v>161</v>
      </c>
      <c r="F69" s="3" t="s">
        <v>9</v>
      </c>
      <c r="G69" s="3" t="s">
        <v>274</v>
      </c>
      <c r="H69" s="3" t="s">
        <v>7</v>
      </c>
      <c r="I69" s="39" t="s">
        <v>2</v>
      </c>
      <c r="J69" s="39" t="s">
        <v>1513</v>
      </c>
      <c r="K69" s="30">
        <v>32980</v>
      </c>
      <c r="L69" s="26">
        <v>1990</v>
      </c>
      <c r="M69" s="26">
        <f t="shared" si="1"/>
        <v>29</v>
      </c>
      <c r="N69" s="3" t="s">
        <v>3</v>
      </c>
      <c r="O69" s="3" t="s">
        <v>821</v>
      </c>
      <c r="P69" s="39" t="s">
        <v>936</v>
      </c>
      <c r="Q69" s="3"/>
      <c r="R69" s="39" t="s">
        <v>827</v>
      </c>
    </row>
    <row r="70" spans="2:18" ht="25.5" x14ac:dyDescent="0.25">
      <c r="B70" s="140"/>
      <c r="C70" s="140"/>
      <c r="D70" s="3">
        <v>63</v>
      </c>
      <c r="E70" s="39" t="s">
        <v>1514</v>
      </c>
      <c r="F70" s="3" t="s">
        <v>11</v>
      </c>
      <c r="G70" s="3" t="s">
        <v>275</v>
      </c>
      <c r="H70" s="3" t="s">
        <v>7</v>
      </c>
      <c r="I70" s="39" t="s">
        <v>10</v>
      </c>
      <c r="J70" s="39" t="s">
        <v>1472</v>
      </c>
      <c r="K70" s="30">
        <v>40602</v>
      </c>
      <c r="L70" s="26">
        <v>2011</v>
      </c>
      <c r="M70" s="26">
        <f t="shared" si="1"/>
        <v>8</v>
      </c>
      <c r="N70" s="3" t="s">
        <v>3</v>
      </c>
      <c r="O70" s="3" t="s">
        <v>821</v>
      </c>
      <c r="P70" s="39" t="s">
        <v>1076</v>
      </c>
      <c r="Q70" s="3"/>
      <c r="R70" s="39" t="s">
        <v>1491</v>
      </c>
    </row>
    <row r="71" spans="2:18" ht="25.5" x14ac:dyDescent="0.25">
      <c r="B71" s="141"/>
      <c r="C71" s="141"/>
      <c r="D71" s="3">
        <v>64</v>
      </c>
      <c r="E71" s="39" t="s">
        <v>1515</v>
      </c>
      <c r="F71" s="3" t="s">
        <v>11</v>
      </c>
      <c r="G71" s="3" t="s">
        <v>1516</v>
      </c>
      <c r="H71" s="3" t="s">
        <v>1</v>
      </c>
      <c r="I71" s="39" t="s">
        <v>10</v>
      </c>
      <c r="J71" s="39" t="s">
        <v>1511</v>
      </c>
      <c r="K71" s="30">
        <v>43160</v>
      </c>
      <c r="L71" s="26">
        <v>2018</v>
      </c>
      <c r="M71" s="26">
        <f t="shared" si="1"/>
        <v>1</v>
      </c>
      <c r="N71" s="3" t="s">
        <v>3</v>
      </c>
      <c r="O71" s="3" t="s">
        <v>821</v>
      </c>
      <c r="P71" s="39" t="s">
        <v>1076</v>
      </c>
      <c r="Q71" s="3"/>
      <c r="R71" s="39" t="s">
        <v>1491</v>
      </c>
    </row>
    <row r="72" spans="2:18" x14ac:dyDescent="0.25">
      <c r="B72" s="3">
        <v>20</v>
      </c>
      <c r="C72" s="3"/>
      <c r="D72" s="3">
        <v>65</v>
      </c>
      <c r="E72" s="39" t="s">
        <v>162</v>
      </c>
      <c r="F72" s="3" t="s">
        <v>5</v>
      </c>
      <c r="G72" s="3"/>
      <c r="H72" s="3" t="s">
        <v>7</v>
      </c>
      <c r="I72" s="39" t="s">
        <v>39</v>
      </c>
      <c r="J72" s="39"/>
      <c r="K72" s="30">
        <v>19496</v>
      </c>
      <c r="L72" s="26">
        <v>1953</v>
      </c>
      <c r="M72" s="26">
        <f t="shared" si="1"/>
        <v>66</v>
      </c>
      <c r="N72" s="3" t="s">
        <v>3</v>
      </c>
      <c r="O72" s="3"/>
      <c r="P72" s="39" t="s">
        <v>4</v>
      </c>
      <c r="Q72" s="3"/>
      <c r="R72" s="39"/>
    </row>
    <row r="73" spans="2:18" ht="25.5" x14ac:dyDescent="0.25">
      <c r="B73" s="139">
        <v>21</v>
      </c>
      <c r="C73" s="139" t="s">
        <v>1108</v>
      </c>
      <c r="D73" s="3">
        <v>66</v>
      </c>
      <c r="E73" s="39" t="s">
        <v>1104</v>
      </c>
      <c r="F73" s="3" t="s">
        <v>5</v>
      </c>
      <c r="G73" s="3" t="s">
        <v>1106</v>
      </c>
      <c r="H73" s="3" t="s">
        <v>1</v>
      </c>
      <c r="I73" s="39" t="s">
        <v>2</v>
      </c>
      <c r="J73" s="39" t="s">
        <v>1465</v>
      </c>
      <c r="K73" s="30">
        <v>26521</v>
      </c>
      <c r="L73" s="26">
        <v>1972</v>
      </c>
      <c r="M73" s="26">
        <f t="shared" si="1"/>
        <v>47</v>
      </c>
      <c r="N73" s="3" t="s">
        <v>3</v>
      </c>
      <c r="O73" s="3" t="s">
        <v>821</v>
      </c>
      <c r="P73" s="39" t="s">
        <v>933</v>
      </c>
      <c r="Q73" s="3"/>
      <c r="R73" s="39" t="s">
        <v>54</v>
      </c>
    </row>
    <row r="74" spans="2:18" ht="25.5" x14ac:dyDescent="0.25">
      <c r="B74" s="140"/>
      <c r="C74" s="140"/>
      <c r="D74" s="3">
        <v>67</v>
      </c>
      <c r="E74" s="39" t="s">
        <v>163</v>
      </c>
      <c r="F74" s="3" t="s">
        <v>9</v>
      </c>
      <c r="G74" s="3" t="s">
        <v>1107</v>
      </c>
      <c r="H74" s="3" t="s">
        <v>7</v>
      </c>
      <c r="I74" s="39" t="s">
        <v>2</v>
      </c>
      <c r="J74" s="39" t="s">
        <v>1465</v>
      </c>
      <c r="K74" s="30">
        <v>32341</v>
      </c>
      <c r="L74" s="26">
        <v>1988</v>
      </c>
      <c r="M74" s="26">
        <f t="shared" si="1"/>
        <v>31</v>
      </c>
      <c r="N74" s="3" t="s">
        <v>3</v>
      </c>
      <c r="O74" s="3" t="s">
        <v>821</v>
      </c>
      <c r="P74" s="39" t="s">
        <v>933</v>
      </c>
      <c r="Q74" s="3"/>
      <c r="R74" s="39" t="s">
        <v>899</v>
      </c>
    </row>
    <row r="75" spans="2:18" ht="25.5" x14ac:dyDescent="0.25">
      <c r="B75" s="141"/>
      <c r="C75" s="141"/>
      <c r="D75" s="3">
        <v>68</v>
      </c>
      <c r="E75" s="39" t="s">
        <v>1105</v>
      </c>
      <c r="F75" s="3" t="s">
        <v>11</v>
      </c>
      <c r="G75" s="3" t="s">
        <v>276</v>
      </c>
      <c r="H75" s="3" t="s">
        <v>7</v>
      </c>
      <c r="I75" s="39" t="s">
        <v>10</v>
      </c>
      <c r="J75" s="39" t="s">
        <v>1511</v>
      </c>
      <c r="K75" s="30">
        <v>40065</v>
      </c>
      <c r="L75" s="26">
        <v>2009</v>
      </c>
      <c r="M75" s="26">
        <f t="shared" si="1"/>
        <v>10</v>
      </c>
      <c r="N75" s="3" t="s">
        <v>3</v>
      </c>
      <c r="O75" s="3" t="s">
        <v>821</v>
      </c>
      <c r="P75" s="39" t="s">
        <v>1076</v>
      </c>
      <c r="Q75" s="3"/>
      <c r="R75" s="39" t="s">
        <v>1491</v>
      </c>
    </row>
    <row r="76" spans="2:18" ht="25.5" x14ac:dyDescent="0.25">
      <c r="B76" s="140">
        <v>22</v>
      </c>
      <c r="C76" s="139" t="s">
        <v>1517</v>
      </c>
      <c r="D76" s="3">
        <v>69</v>
      </c>
      <c r="E76" s="39" t="s">
        <v>1518</v>
      </c>
      <c r="F76" s="3" t="s">
        <v>5</v>
      </c>
      <c r="G76" s="3" t="s">
        <v>277</v>
      </c>
      <c r="H76" s="3" t="s">
        <v>7</v>
      </c>
      <c r="I76" s="39" t="s">
        <v>883</v>
      </c>
      <c r="J76" s="39" t="s">
        <v>1519</v>
      </c>
      <c r="K76" s="30">
        <v>30774</v>
      </c>
      <c r="L76" s="26">
        <v>1984</v>
      </c>
      <c r="M76" s="26">
        <f t="shared" si="1"/>
        <v>35</v>
      </c>
      <c r="N76" s="3" t="s">
        <v>3</v>
      </c>
      <c r="O76" s="3" t="s">
        <v>821</v>
      </c>
      <c r="P76" s="39" t="s">
        <v>936</v>
      </c>
      <c r="Q76" s="3"/>
      <c r="R76" s="39" t="s">
        <v>1488</v>
      </c>
    </row>
    <row r="77" spans="2:18" ht="25.5" x14ac:dyDescent="0.25">
      <c r="B77" s="140"/>
      <c r="C77" s="140"/>
      <c r="D77" s="3">
        <v>70</v>
      </c>
      <c r="E77" s="39" t="s">
        <v>1520</v>
      </c>
      <c r="F77" s="3" t="s">
        <v>11</v>
      </c>
      <c r="G77" s="3" t="s">
        <v>278</v>
      </c>
      <c r="H77" s="3" t="s">
        <v>1</v>
      </c>
      <c r="I77" s="39" t="s">
        <v>10</v>
      </c>
      <c r="J77" s="39" t="s">
        <v>1472</v>
      </c>
      <c r="K77" s="30">
        <v>39352</v>
      </c>
      <c r="L77" s="26">
        <v>2007</v>
      </c>
      <c r="M77" s="26">
        <f t="shared" si="1"/>
        <v>12</v>
      </c>
      <c r="N77" s="3" t="s">
        <v>3</v>
      </c>
      <c r="O77" s="3" t="s">
        <v>821</v>
      </c>
      <c r="P77" s="39" t="s">
        <v>1078</v>
      </c>
      <c r="Q77" s="3"/>
      <c r="R77" s="39" t="s">
        <v>1475</v>
      </c>
    </row>
    <row r="78" spans="2:18" ht="25.5" x14ac:dyDescent="0.25">
      <c r="B78" s="141"/>
      <c r="C78" s="141"/>
      <c r="D78" s="3">
        <v>71</v>
      </c>
      <c r="E78" s="39" t="s">
        <v>164</v>
      </c>
      <c r="F78" s="3" t="s">
        <v>11</v>
      </c>
      <c r="G78" s="3" t="s">
        <v>279</v>
      </c>
      <c r="H78" s="3" t="s">
        <v>7</v>
      </c>
      <c r="I78" s="39" t="s">
        <v>10</v>
      </c>
      <c r="J78" s="39" t="s">
        <v>1472</v>
      </c>
      <c r="K78" s="30">
        <v>40468</v>
      </c>
      <c r="L78" s="26">
        <v>2010</v>
      </c>
      <c r="M78" s="26">
        <f t="shared" si="1"/>
        <v>9</v>
      </c>
      <c r="N78" s="3" t="s">
        <v>3</v>
      </c>
      <c r="O78" s="3" t="s">
        <v>821</v>
      </c>
      <c r="P78" s="39" t="s">
        <v>1076</v>
      </c>
      <c r="Q78" s="3"/>
      <c r="R78" s="39" t="s">
        <v>1491</v>
      </c>
    </row>
    <row r="79" spans="2:18" x14ac:dyDescent="0.25">
      <c r="B79" s="139">
        <v>23</v>
      </c>
      <c r="C79" s="139" t="s">
        <v>1263</v>
      </c>
      <c r="D79" s="3">
        <v>72</v>
      </c>
      <c r="E79" s="39" t="s">
        <v>1521</v>
      </c>
      <c r="F79" s="3" t="s">
        <v>5</v>
      </c>
      <c r="G79" s="3" t="s">
        <v>280</v>
      </c>
      <c r="H79" s="3" t="s">
        <v>1</v>
      </c>
      <c r="I79" s="39" t="s">
        <v>2</v>
      </c>
      <c r="J79" s="39" t="s">
        <v>1472</v>
      </c>
      <c r="K79" s="30">
        <v>26115</v>
      </c>
      <c r="L79" s="26">
        <v>1971</v>
      </c>
      <c r="M79" s="26">
        <f t="shared" si="1"/>
        <v>48</v>
      </c>
      <c r="N79" s="3" t="s">
        <v>3</v>
      </c>
      <c r="O79" s="3" t="s">
        <v>821</v>
      </c>
      <c r="P79" s="39" t="s">
        <v>978</v>
      </c>
      <c r="Q79" s="3"/>
      <c r="R79" s="39" t="s">
        <v>1522</v>
      </c>
    </row>
    <row r="80" spans="2:18" ht="25.5" x14ac:dyDescent="0.25">
      <c r="B80" s="140"/>
      <c r="C80" s="140"/>
      <c r="D80" s="3">
        <v>73</v>
      </c>
      <c r="E80" s="39" t="s">
        <v>165</v>
      </c>
      <c r="F80" s="3" t="s">
        <v>9</v>
      </c>
      <c r="G80" s="3" t="s">
        <v>1260</v>
      </c>
      <c r="H80" s="3" t="s">
        <v>7</v>
      </c>
      <c r="I80" s="39" t="s">
        <v>2</v>
      </c>
      <c r="J80" s="39" t="s">
        <v>1523</v>
      </c>
      <c r="K80" s="30">
        <v>26846</v>
      </c>
      <c r="L80" s="26">
        <v>1973</v>
      </c>
      <c r="M80" s="26">
        <f t="shared" si="1"/>
        <v>46</v>
      </c>
      <c r="N80" s="3" t="s">
        <v>3</v>
      </c>
      <c r="O80" s="3" t="s">
        <v>821</v>
      </c>
      <c r="P80" s="39" t="s">
        <v>936</v>
      </c>
      <c r="Q80" s="3"/>
      <c r="R80" s="39" t="s">
        <v>1522</v>
      </c>
    </row>
    <row r="81" spans="2:18" ht="25.5" x14ac:dyDescent="0.25">
      <c r="B81" s="140"/>
      <c r="C81" s="140"/>
      <c r="D81" s="3">
        <v>74</v>
      </c>
      <c r="E81" s="39" t="s">
        <v>1258</v>
      </c>
      <c r="F81" s="3" t="s">
        <v>11</v>
      </c>
      <c r="G81" s="3" t="s">
        <v>1261</v>
      </c>
      <c r="H81" s="3" t="s">
        <v>7</v>
      </c>
      <c r="I81" s="39" t="s">
        <v>10</v>
      </c>
      <c r="J81" s="39" t="s">
        <v>1472</v>
      </c>
      <c r="K81" s="30">
        <v>34380</v>
      </c>
      <c r="L81" s="26">
        <v>1994</v>
      </c>
      <c r="M81" s="26">
        <f t="shared" si="1"/>
        <v>25</v>
      </c>
      <c r="N81" s="3" t="s">
        <v>3</v>
      </c>
      <c r="O81" s="3" t="s">
        <v>821</v>
      </c>
      <c r="P81" s="39" t="s">
        <v>1262</v>
      </c>
      <c r="Q81" s="3"/>
      <c r="R81" s="39" t="s">
        <v>1475</v>
      </c>
    </row>
    <row r="82" spans="2:18" ht="25.5" x14ac:dyDescent="0.25">
      <c r="B82" s="141"/>
      <c r="C82" s="141"/>
      <c r="D82" s="3">
        <v>75</v>
      </c>
      <c r="E82" s="39" t="s">
        <v>1259</v>
      </c>
      <c r="F82" s="3" t="s">
        <v>11</v>
      </c>
      <c r="G82" s="3" t="s">
        <v>281</v>
      </c>
      <c r="H82" s="3" t="s">
        <v>7</v>
      </c>
      <c r="I82" s="39" t="s">
        <v>10</v>
      </c>
      <c r="J82" s="39" t="s">
        <v>1472</v>
      </c>
      <c r="K82" s="30">
        <v>38305</v>
      </c>
      <c r="L82" s="26">
        <v>2004</v>
      </c>
      <c r="M82" s="26">
        <f t="shared" si="1"/>
        <v>15</v>
      </c>
      <c r="N82" s="3" t="s">
        <v>3</v>
      </c>
      <c r="O82" s="3" t="s">
        <v>821</v>
      </c>
      <c r="P82" s="39" t="s">
        <v>936</v>
      </c>
      <c r="Q82" s="3"/>
      <c r="R82" s="39" t="s">
        <v>1475</v>
      </c>
    </row>
    <row r="83" spans="2:18" ht="25.5" x14ac:dyDescent="0.25">
      <c r="B83" s="139">
        <v>24</v>
      </c>
      <c r="C83" s="139" t="s">
        <v>1524</v>
      </c>
      <c r="D83" s="3">
        <v>76</v>
      </c>
      <c r="E83" s="39" t="s">
        <v>166</v>
      </c>
      <c r="F83" s="3" t="s">
        <v>5</v>
      </c>
      <c r="G83" s="3" t="s">
        <v>1273</v>
      </c>
      <c r="H83" s="3" t="s">
        <v>1</v>
      </c>
      <c r="I83" s="39" t="s">
        <v>1525</v>
      </c>
      <c r="J83" s="39" t="s">
        <v>1465</v>
      </c>
      <c r="K83" s="30">
        <v>32043</v>
      </c>
      <c r="L83" s="26">
        <v>1987</v>
      </c>
      <c r="M83" s="26">
        <f t="shared" si="1"/>
        <v>32</v>
      </c>
      <c r="N83" s="3" t="s">
        <v>3</v>
      </c>
      <c r="O83" s="3" t="s">
        <v>821</v>
      </c>
      <c r="P83" s="39" t="s">
        <v>978</v>
      </c>
      <c r="Q83" s="3"/>
      <c r="R83" s="39" t="s">
        <v>54</v>
      </c>
    </row>
    <row r="84" spans="2:18" ht="25.5" x14ac:dyDescent="0.25">
      <c r="B84" s="140"/>
      <c r="C84" s="140"/>
      <c r="D84" s="3">
        <v>77</v>
      </c>
      <c r="E84" s="39" t="s">
        <v>1271</v>
      </c>
      <c r="F84" s="3" t="s">
        <v>9</v>
      </c>
      <c r="G84" s="3" t="s">
        <v>282</v>
      </c>
      <c r="H84" s="3" t="s">
        <v>7</v>
      </c>
      <c r="I84" s="39" t="s">
        <v>1526</v>
      </c>
      <c r="J84" s="39" t="s">
        <v>1527</v>
      </c>
      <c r="K84" s="30">
        <v>32423</v>
      </c>
      <c r="L84" s="26">
        <v>1988</v>
      </c>
      <c r="M84" s="26">
        <f t="shared" si="1"/>
        <v>31</v>
      </c>
      <c r="N84" s="3" t="s">
        <v>3</v>
      </c>
      <c r="O84" s="3" t="s">
        <v>821</v>
      </c>
      <c r="P84" s="39" t="s">
        <v>933</v>
      </c>
      <c r="Q84" s="3"/>
      <c r="R84" s="39" t="s">
        <v>54</v>
      </c>
    </row>
    <row r="85" spans="2:18" ht="25.5" x14ac:dyDescent="0.25">
      <c r="B85" s="140"/>
      <c r="C85" s="140"/>
      <c r="D85" s="3">
        <v>78</v>
      </c>
      <c r="E85" s="39" t="s">
        <v>167</v>
      </c>
      <c r="F85" s="3" t="s">
        <v>11</v>
      </c>
      <c r="G85" s="3" t="s">
        <v>1274</v>
      </c>
      <c r="H85" s="3" t="s">
        <v>7</v>
      </c>
      <c r="I85" s="39" t="s">
        <v>10</v>
      </c>
      <c r="J85" s="39" t="s">
        <v>1528</v>
      </c>
      <c r="K85" s="30">
        <v>40359</v>
      </c>
      <c r="L85" s="26">
        <v>2010</v>
      </c>
      <c r="M85" s="26">
        <f t="shared" si="1"/>
        <v>9</v>
      </c>
      <c r="N85" s="3" t="s">
        <v>3</v>
      </c>
      <c r="O85" s="3" t="s">
        <v>821</v>
      </c>
      <c r="P85" s="39" t="s">
        <v>1078</v>
      </c>
      <c r="Q85" s="3"/>
      <c r="R85" s="39" t="s">
        <v>1475</v>
      </c>
    </row>
    <row r="86" spans="2:18" ht="25.5" x14ac:dyDescent="0.25">
      <c r="B86" s="140">
        <v>25</v>
      </c>
      <c r="C86" s="140"/>
      <c r="D86" s="3">
        <v>79</v>
      </c>
      <c r="E86" s="39" t="s">
        <v>1272</v>
      </c>
      <c r="F86" s="3" t="s">
        <v>5</v>
      </c>
      <c r="G86" s="3" t="s">
        <v>1275</v>
      </c>
      <c r="H86" s="3" t="s">
        <v>1</v>
      </c>
      <c r="I86" s="39" t="s">
        <v>129</v>
      </c>
      <c r="J86" s="39" t="s">
        <v>1472</v>
      </c>
      <c r="K86" s="30">
        <v>43508</v>
      </c>
      <c r="L86" s="26">
        <v>2019</v>
      </c>
      <c r="M86" s="26">
        <f t="shared" si="1"/>
        <v>0</v>
      </c>
      <c r="N86" s="3" t="s">
        <v>3</v>
      </c>
      <c r="O86" s="3" t="s">
        <v>821</v>
      </c>
      <c r="P86" s="39" t="s">
        <v>1076</v>
      </c>
      <c r="Q86" s="3"/>
      <c r="R86" s="39" t="s">
        <v>1491</v>
      </c>
    </row>
    <row r="87" spans="2:18" x14ac:dyDescent="0.25">
      <c r="B87" s="140"/>
      <c r="C87" s="140"/>
      <c r="D87" s="3">
        <v>80</v>
      </c>
      <c r="E87" s="39" t="s">
        <v>168</v>
      </c>
      <c r="F87" s="3" t="s">
        <v>9</v>
      </c>
      <c r="G87" s="3" t="s">
        <v>282</v>
      </c>
      <c r="H87" s="3" t="s">
        <v>1</v>
      </c>
      <c r="I87" s="39" t="s">
        <v>2</v>
      </c>
      <c r="J87" s="39"/>
      <c r="K87" s="30">
        <v>31692</v>
      </c>
      <c r="L87" s="26">
        <v>1986</v>
      </c>
      <c r="M87" s="26">
        <f t="shared" si="1"/>
        <v>33</v>
      </c>
      <c r="N87" s="3" t="s">
        <v>3</v>
      </c>
      <c r="O87" s="3"/>
      <c r="P87" s="39" t="s">
        <v>8</v>
      </c>
      <c r="Q87" s="3"/>
      <c r="R87" s="39"/>
    </row>
    <row r="88" spans="2:18" ht="25.5" x14ac:dyDescent="0.25">
      <c r="B88" s="141"/>
      <c r="C88" s="141"/>
      <c r="D88" s="3">
        <v>81</v>
      </c>
      <c r="E88" s="39" t="s">
        <v>169</v>
      </c>
      <c r="F88" s="3" t="s">
        <v>11</v>
      </c>
      <c r="G88" s="3" t="s">
        <v>283</v>
      </c>
      <c r="H88" s="3" t="s">
        <v>1</v>
      </c>
      <c r="I88" s="39" t="s">
        <v>10</v>
      </c>
      <c r="J88" s="39"/>
      <c r="K88" s="30">
        <v>40359</v>
      </c>
      <c r="L88" s="26">
        <v>2010</v>
      </c>
      <c r="M88" s="26">
        <f t="shared" si="1"/>
        <v>9</v>
      </c>
      <c r="N88" s="3" t="s">
        <v>3</v>
      </c>
      <c r="O88" s="3"/>
      <c r="P88" s="39" t="s">
        <v>4</v>
      </c>
      <c r="Q88" s="3"/>
      <c r="R88" s="39"/>
    </row>
    <row r="89" spans="2:18" ht="25.5" x14ac:dyDescent="0.25">
      <c r="B89" s="3">
        <v>26</v>
      </c>
      <c r="C89" s="3" t="s">
        <v>1836</v>
      </c>
      <c r="D89" s="3">
        <v>82</v>
      </c>
      <c r="E89" s="39" t="s">
        <v>1837</v>
      </c>
      <c r="F89" s="3" t="s">
        <v>5</v>
      </c>
      <c r="G89" s="3" t="s">
        <v>1838</v>
      </c>
      <c r="H89" s="3" t="s">
        <v>7</v>
      </c>
      <c r="I89" s="39" t="s">
        <v>39</v>
      </c>
      <c r="J89" s="39" t="s">
        <v>820</v>
      </c>
      <c r="K89" s="30">
        <v>22646</v>
      </c>
      <c r="L89" s="26">
        <v>1961</v>
      </c>
      <c r="M89" s="26">
        <f t="shared" si="1"/>
        <v>58</v>
      </c>
      <c r="N89" s="3" t="s">
        <v>3</v>
      </c>
      <c r="O89" s="3" t="s">
        <v>821</v>
      </c>
      <c r="P89" s="39" t="s">
        <v>1076</v>
      </c>
      <c r="Q89" s="3"/>
      <c r="R89" s="39" t="s">
        <v>827</v>
      </c>
    </row>
    <row r="90" spans="2:18" ht="25.5" x14ac:dyDescent="0.25">
      <c r="B90" s="142">
        <v>27</v>
      </c>
      <c r="C90" s="139" t="s">
        <v>1529</v>
      </c>
      <c r="D90" s="3">
        <v>83</v>
      </c>
      <c r="E90" s="39" t="s">
        <v>1530</v>
      </c>
      <c r="F90" s="3" t="s">
        <v>5</v>
      </c>
      <c r="G90" s="3" t="s">
        <v>1531</v>
      </c>
      <c r="H90" s="3" t="s">
        <v>1</v>
      </c>
      <c r="I90" s="39" t="s">
        <v>2</v>
      </c>
      <c r="J90" s="39" t="s">
        <v>1480</v>
      </c>
      <c r="K90" s="30">
        <v>25385</v>
      </c>
      <c r="L90" s="26">
        <v>1969</v>
      </c>
      <c r="M90" s="26">
        <f t="shared" si="1"/>
        <v>50</v>
      </c>
      <c r="N90" s="3" t="s">
        <v>3</v>
      </c>
      <c r="O90" s="3" t="s">
        <v>821</v>
      </c>
      <c r="P90" s="39" t="s">
        <v>1078</v>
      </c>
      <c r="Q90" s="3"/>
      <c r="R90" s="39" t="s">
        <v>1488</v>
      </c>
    </row>
    <row r="91" spans="2:18" ht="25.5" x14ac:dyDescent="0.25">
      <c r="B91" s="142"/>
      <c r="C91" s="140"/>
      <c r="D91" s="3">
        <v>84</v>
      </c>
      <c r="E91" s="39" t="s">
        <v>191</v>
      </c>
      <c r="F91" s="3" t="s">
        <v>9</v>
      </c>
      <c r="G91" s="3" t="s">
        <v>1532</v>
      </c>
      <c r="H91" s="3" t="s">
        <v>7</v>
      </c>
      <c r="I91" s="39" t="s">
        <v>2</v>
      </c>
      <c r="J91" s="39" t="s">
        <v>1533</v>
      </c>
      <c r="K91" s="30">
        <v>26115</v>
      </c>
      <c r="L91" s="26">
        <v>1971</v>
      </c>
      <c r="M91" s="26">
        <f t="shared" si="1"/>
        <v>48</v>
      </c>
      <c r="N91" s="3" t="s">
        <v>3</v>
      </c>
      <c r="O91" s="3" t="s">
        <v>821</v>
      </c>
      <c r="P91" s="39" t="s">
        <v>1078</v>
      </c>
      <c r="Q91" s="3"/>
      <c r="R91" s="39" t="s">
        <v>1488</v>
      </c>
    </row>
    <row r="92" spans="2:18" ht="25.5" x14ac:dyDescent="0.25">
      <c r="B92" s="142"/>
      <c r="C92" s="140"/>
      <c r="D92" s="3">
        <v>85</v>
      </c>
      <c r="E92" s="39" t="s">
        <v>170</v>
      </c>
      <c r="F92" s="3" t="s">
        <v>11</v>
      </c>
      <c r="G92" s="3" t="s">
        <v>1534</v>
      </c>
      <c r="H92" s="3" t="s">
        <v>7</v>
      </c>
      <c r="I92" s="39" t="s">
        <v>10</v>
      </c>
      <c r="J92" s="39" t="s">
        <v>1480</v>
      </c>
      <c r="K92" s="30">
        <v>37476</v>
      </c>
      <c r="L92" s="26">
        <v>2002</v>
      </c>
      <c r="M92" s="26">
        <f t="shared" si="1"/>
        <v>17</v>
      </c>
      <c r="N92" s="3" t="s">
        <v>3</v>
      </c>
      <c r="O92" s="3" t="s">
        <v>821</v>
      </c>
      <c r="P92" s="39" t="s">
        <v>933</v>
      </c>
      <c r="Q92" s="3"/>
      <c r="R92" s="39" t="s">
        <v>1475</v>
      </c>
    </row>
    <row r="93" spans="2:18" ht="25.5" x14ac:dyDescent="0.25">
      <c r="B93" s="142"/>
      <c r="C93" s="141"/>
      <c r="D93" s="3">
        <v>86</v>
      </c>
      <c r="E93" s="39" t="s">
        <v>1535</v>
      </c>
      <c r="F93" s="3" t="s">
        <v>11</v>
      </c>
      <c r="G93" s="3" t="s">
        <v>1536</v>
      </c>
      <c r="H93" s="3" t="s">
        <v>7</v>
      </c>
      <c r="I93" s="39" t="s">
        <v>171</v>
      </c>
      <c r="J93" s="39" t="s">
        <v>1480</v>
      </c>
      <c r="K93" s="30">
        <v>39454</v>
      </c>
      <c r="L93" s="26">
        <v>2008</v>
      </c>
      <c r="M93" s="26">
        <f t="shared" si="1"/>
        <v>11</v>
      </c>
      <c r="N93" s="3" t="s">
        <v>3</v>
      </c>
      <c r="O93" s="3" t="s">
        <v>821</v>
      </c>
      <c r="P93" s="39" t="s">
        <v>936</v>
      </c>
      <c r="Q93" s="3"/>
      <c r="R93" s="39" t="s">
        <v>1475</v>
      </c>
    </row>
    <row r="94" spans="2:18" ht="25.5" x14ac:dyDescent="0.25">
      <c r="B94" s="139">
        <v>28</v>
      </c>
      <c r="C94" s="139" t="s">
        <v>1225</v>
      </c>
      <c r="D94" s="3">
        <v>87</v>
      </c>
      <c r="E94" s="39" t="s">
        <v>1080</v>
      </c>
      <c r="F94" s="3" t="s">
        <v>5</v>
      </c>
      <c r="G94" s="3" t="s">
        <v>284</v>
      </c>
      <c r="H94" s="3" t="s">
        <v>1</v>
      </c>
      <c r="I94" s="39" t="s">
        <v>1525</v>
      </c>
      <c r="J94" s="39" t="s">
        <v>1472</v>
      </c>
      <c r="K94" s="30">
        <v>28836</v>
      </c>
      <c r="L94" s="26">
        <v>1978</v>
      </c>
      <c r="M94" s="26">
        <f t="shared" si="1"/>
        <v>41</v>
      </c>
      <c r="N94" s="3" t="s">
        <v>3</v>
      </c>
      <c r="O94" s="3" t="s">
        <v>821</v>
      </c>
      <c r="P94" s="39" t="s">
        <v>936</v>
      </c>
      <c r="Q94" s="3"/>
      <c r="R94" s="39" t="s">
        <v>1496</v>
      </c>
    </row>
    <row r="95" spans="2:18" ht="25.5" x14ac:dyDescent="0.25">
      <c r="B95" s="140"/>
      <c r="C95" s="140"/>
      <c r="D95" s="3">
        <v>88</v>
      </c>
      <c r="E95" s="39" t="s">
        <v>172</v>
      </c>
      <c r="F95" s="3" t="s">
        <v>9</v>
      </c>
      <c r="G95" s="3" t="s">
        <v>285</v>
      </c>
      <c r="H95" s="3" t="s">
        <v>7</v>
      </c>
      <c r="I95" s="39" t="s">
        <v>1525</v>
      </c>
      <c r="J95" s="39" t="s">
        <v>1472</v>
      </c>
      <c r="K95" s="30">
        <v>29586</v>
      </c>
      <c r="L95" s="26">
        <v>1980</v>
      </c>
      <c r="M95" s="26">
        <f t="shared" si="1"/>
        <v>39</v>
      </c>
      <c r="N95" s="3" t="s">
        <v>3</v>
      </c>
      <c r="O95" s="3" t="s">
        <v>821</v>
      </c>
      <c r="P95" s="39" t="s">
        <v>936</v>
      </c>
      <c r="Q95" s="3"/>
      <c r="R95" s="39" t="s">
        <v>827</v>
      </c>
    </row>
    <row r="96" spans="2:18" ht="25.5" x14ac:dyDescent="0.25">
      <c r="B96" s="140"/>
      <c r="C96" s="140"/>
      <c r="D96" s="3">
        <v>89</v>
      </c>
      <c r="E96" s="39" t="s">
        <v>1226</v>
      </c>
      <c r="F96" s="3" t="s">
        <v>11</v>
      </c>
      <c r="G96" s="3" t="s">
        <v>286</v>
      </c>
      <c r="H96" s="3" t="s">
        <v>7</v>
      </c>
      <c r="I96" s="39" t="s">
        <v>10</v>
      </c>
      <c r="J96" s="39" t="s">
        <v>1472</v>
      </c>
      <c r="K96" s="30">
        <v>41467</v>
      </c>
      <c r="L96" s="26">
        <v>2013</v>
      </c>
      <c r="M96" s="26">
        <f t="shared" si="1"/>
        <v>6</v>
      </c>
      <c r="N96" s="3" t="s">
        <v>3</v>
      </c>
      <c r="O96" s="3" t="s">
        <v>821</v>
      </c>
      <c r="P96" s="39" t="s">
        <v>1076</v>
      </c>
      <c r="Q96" s="3"/>
      <c r="R96" s="39" t="s">
        <v>1491</v>
      </c>
    </row>
    <row r="97" spans="2:18" ht="25.5" x14ac:dyDescent="0.25">
      <c r="B97" s="141"/>
      <c r="C97" s="141"/>
      <c r="D97" s="3">
        <v>90</v>
      </c>
      <c r="E97" s="39" t="s">
        <v>1227</v>
      </c>
      <c r="F97" s="3" t="s">
        <v>11</v>
      </c>
      <c r="G97" s="3" t="s">
        <v>1228</v>
      </c>
      <c r="H97" s="3" t="s">
        <v>1</v>
      </c>
      <c r="I97" s="39" t="s">
        <v>129</v>
      </c>
      <c r="J97" s="39" t="s">
        <v>1472</v>
      </c>
      <c r="K97" s="30">
        <v>43502</v>
      </c>
      <c r="L97" s="26">
        <v>2019</v>
      </c>
      <c r="M97" s="26">
        <f t="shared" si="1"/>
        <v>0</v>
      </c>
      <c r="N97" s="3" t="s">
        <v>3</v>
      </c>
      <c r="O97" s="3" t="s">
        <v>821</v>
      </c>
      <c r="P97" s="39" t="s">
        <v>1076</v>
      </c>
      <c r="Q97" s="3"/>
      <c r="R97" s="39" t="s">
        <v>1491</v>
      </c>
    </row>
    <row r="98" spans="2:18" x14ac:dyDescent="0.25">
      <c r="B98" s="3">
        <v>29</v>
      </c>
      <c r="C98" s="3"/>
      <c r="D98" s="3">
        <v>91</v>
      </c>
      <c r="E98" s="39" t="s">
        <v>173</v>
      </c>
      <c r="F98" s="3" t="s">
        <v>5</v>
      </c>
      <c r="G98" s="3" t="s">
        <v>287</v>
      </c>
      <c r="H98" s="3" t="s">
        <v>7</v>
      </c>
      <c r="I98" s="39" t="s">
        <v>39</v>
      </c>
      <c r="J98" s="39"/>
      <c r="K98" s="30">
        <v>22281</v>
      </c>
      <c r="L98" s="26">
        <v>1960</v>
      </c>
      <c r="M98" s="26">
        <f t="shared" si="1"/>
        <v>59</v>
      </c>
      <c r="N98" s="3" t="s">
        <v>3</v>
      </c>
      <c r="O98" s="3"/>
      <c r="P98" s="39" t="s">
        <v>4</v>
      </c>
      <c r="Q98" s="3"/>
      <c r="R98" s="39"/>
    </row>
    <row r="99" spans="2:18" x14ac:dyDescent="0.25">
      <c r="B99" s="142">
        <v>30</v>
      </c>
      <c r="C99" s="139" t="s">
        <v>1141</v>
      </c>
      <c r="D99" s="3">
        <v>92</v>
      </c>
      <c r="E99" s="39" t="s">
        <v>175</v>
      </c>
      <c r="F99" s="3" t="s">
        <v>5</v>
      </c>
      <c r="G99" s="3" t="s">
        <v>1143</v>
      </c>
      <c r="H99" s="3" t="s">
        <v>1</v>
      </c>
      <c r="I99" s="39" t="s">
        <v>2</v>
      </c>
      <c r="J99" s="39" t="s">
        <v>1472</v>
      </c>
      <c r="K99" s="30">
        <v>24558</v>
      </c>
      <c r="L99" s="26">
        <v>1967</v>
      </c>
      <c r="M99" s="26">
        <f t="shared" si="1"/>
        <v>52</v>
      </c>
      <c r="N99" s="3" t="s">
        <v>3</v>
      </c>
      <c r="O99" s="3" t="s">
        <v>821</v>
      </c>
      <c r="P99" s="39" t="s">
        <v>933</v>
      </c>
      <c r="Q99" s="3"/>
      <c r="R99" s="39" t="s">
        <v>54</v>
      </c>
    </row>
    <row r="100" spans="2:18" ht="25.5" x14ac:dyDescent="0.25">
      <c r="B100" s="142"/>
      <c r="C100" s="140"/>
      <c r="D100" s="3">
        <v>93</v>
      </c>
      <c r="E100" s="39" t="s">
        <v>176</v>
      </c>
      <c r="F100" s="3" t="s">
        <v>9</v>
      </c>
      <c r="G100" s="3" t="s">
        <v>290</v>
      </c>
      <c r="H100" s="3" t="s">
        <v>7</v>
      </c>
      <c r="I100" s="39" t="s">
        <v>2</v>
      </c>
      <c r="J100" s="39" t="s">
        <v>1465</v>
      </c>
      <c r="K100" s="30">
        <v>26584</v>
      </c>
      <c r="L100" s="26">
        <v>1972</v>
      </c>
      <c r="M100" s="26">
        <f t="shared" si="1"/>
        <v>47</v>
      </c>
      <c r="N100" s="3" t="s">
        <v>3</v>
      </c>
      <c r="O100" s="3" t="s">
        <v>821</v>
      </c>
      <c r="P100" s="39" t="s">
        <v>933</v>
      </c>
      <c r="Q100" s="3"/>
      <c r="R100" s="39" t="s">
        <v>827</v>
      </c>
    </row>
    <row r="101" spans="2:18" ht="25.5" x14ac:dyDescent="0.25">
      <c r="B101" s="142"/>
      <c r="C101" s="140"/>
      <c r="D101" s="3">
        <v>94</v>
      </c>
      <c r="E101" s="39" t="s">
        <v>177</v>
      </c>
      <c r="F101" s="3" t="s">
        <v>11</v>
      </c>
      <c r="G101" s="3" t="s">
        <v>1144</v>
      </c>
      <c r="H101" s="3" t="s">
        <v>7</v>
      </c>
      <c r="I101" s="39" t="s">
        <v>10</v>
      </c>
      <c r="J101" s="39" t="s">
        <v>1465</v>
      </c>
      <c r="K101" s="30">
        <v>32894</v>
      </c>
      <c r="L101" s="26">
        <v>1990</v>
      </c>
      <c r="M101" s="26">
        <f t="shared" si="1"/>
        <v>29</v>
      </c>
      <c r="N101" s="3" t="s">
        <v>3</v>
      </c>
      <c r="O101" s="3" t="s">
        <v>821</v>
      </c>
      <c r="P101" s="39" t="s">
        <v>978</v>
      </c>
      <c r="Q101" s="3"/>
      <c r="R101" s="39" t="s">
        <v>54</v>
      </c>
    </row>
    <row r="102" spans="2:18" ht="25.5" x14ac:dyDescent="0.25">
      <c r="B102" s="142"/>
      <c r="C102" s="140"/>
      <c r="D102" s="3">
        <v>95</v>
      </c>
      <c r="E102" s="39" t="s">
        <v>178</v>
      </c>
      <c r="F102" s="3" t="s">
        <v>11</v>
      </c>
      <c r="G102" s="3" t="s">
        <v>1145</v>
      </c>
      <c r="H102" s="3" t="s">
        <v>1</v>
      </c>
      <c r="I102" s="39" t="s">
        <v>10</v>
      </c>
      <c r="J102" s="39" t="s">
        <v>1465</v>
      </c>
      <c r="K102" s="30">
        <v>33532</v>
      </c>
      <c r="L102" s="26">
        <v>1991</v>
      </c>
      <c r="M102" s="26">
        <f t="shared" si="1"/>
        <v>28</v>
      </c>
      <c r="N102" s="3" t="s">
        <v>3</v>
      </c>
      <c r="O102" s="3" t="s">
        <v>821</v>
      </c>
      <c r="P102" s="39" t="s">
        <v>978</v>
      </c>
      <c r="Q102" s="3"/>
      <c r="R102" s="39" t="s">
        <v>1475</v>
      </c>
    </row>
    <row r="103" spans="2:18" ht="25.5" x14ac:dyDescent="0.25">
      <c r="B103" s="142"/>
      <c r="C103" s="140"/>
      <c r="D103" s="3">
        <v>96</v>
      </c>
      <c r="E103" s="39" t="s">
        <v>179</v>
      </c>
      <c r="F103" s="3" t="s">
        <v>11</v>
      </c>
      <c r="G103" s="3" t="s">
        <v>291</v>
      </c>
      <c r="H103" s="3" t="s">
        <v>1</v>
      </c>
      <c r="I103" s="39" t="s">
        <v>10</v>
      </c>
      <c r="J103" s="39" t="s">
        <v>1465</v>
      </c>
      <c r="K103" s="30">
        <v>35761</v>
      </c>
      <c r="L103" s="26">
        <v>1997</v>
      </c>
      <c r="M103" s="26">
        <f t="shared" si="1"/>
        <v>22</v>
      </c>
      <c r="N103" s="3" t="s">
        <v>3</v>
      </c>
      <c r="O103" s="3" t="s">
        <v>821</v>
      </c>
      <c r="P103" s="39" t="s">
        <v>933</v>
      </c>
      <c r="Q103" s="3"/>
      <c r="R103" s="39" t="s">
        <v>1475</v>
      </c>
    </row>
    <row r="104" spans="2:18" ht="25.5" x14ac:dyDescent="0.25">
      <c r="B104" s="142"/>
      <c r="C104" s="141"/>
      <c r="D104" s="3">
        <v>97</v>
      </c>
      <c r="E104" s="39" t="s">
        <v>1142</v>
      </c>
      <c r="F104" s="3" t="s">
        <v>11</v>
      </c>
      <c r="G104" s="3" t="s">
        <v>292</v>
      </c>
      <c r="H104" s="3" t="s">
        <v>1</v>
      </c>
      <c r="I104" s="39" t="s">
        <v>10</v>
      </c>
      <c r="J104" s="39" t="s">
        <v>1465</v>
      </c>
      <c r="K104" s="30">
        <v>39892</v>
      </c>
      <c r="L104" s="26">
        <v>2009</v>
      </c>
      <c r="M104" s="26">
        <f t="shared" si="1"/>
        <v>10</v>
      </c>
      <c r="N104" s="3" t="s">
        <v>3</v>
      </c>
      <c r="O104" s="3" t="s">
        <v>821</v>
      </c>
      <c r="P104" s="39" t="s">
        <v>1076</v>
      </c>
      <c r="Q104" s="3"/>
      <c r="R104" s="39" t="s">
        <v>1491</v>
      </c>
    </row>
    <row r="105" spans="2:18" ht="25.5" x14ac:dyDescent="0.25">
      <c r="B105" s="139">
        <v>31</v>
      </c>
      <c r="C105" s="139" t="s">
        <v>1085</v>
      </c>
      <c r="D105" s="3">
        <v>98</v>
      </c>
      <c r="E105" s="39" t="s">
        <v>180</v>
      </c>
      <c r="F105" s="3" t="s">
        <v>5</v>
      </c>
      <c r="G105" s="3" t="s">
        <v>293</v>
      </c>
      <c r="H105" s="3" t="s">
        <v>7</v>
      </c>
      <c r="I105" s="39" t="s">
        <v>881</v>
      </c>
      <c r="J105" s="39" t="s">
        <v>1465</v>
      </c>
      <c r="K105" s="30">
        <v>27576</v>
      </c>
      <c r="L105" s="26">
        <v>1975</v>
      </c>
      <c r="M105" s="26">
        <f t="shared" si="1"/>
        <v>44</v>
      </c>
      <c r="N105" s="3" t="s">
        <v>3</v>
      </c>
      <c r="O105" s="3" t="s">
        <v>821</v>
      </c>
      <c r="P105" s="39" t="s">
        <v>1076</v>
      </c>
      <c r="Q105" s="3"/>
      <c r="R105" s="39" t="s">
        <v>54</v>
      </c>
    </row>
    <row r="106" spans="2:18" ht="25.5" x14ac:dyDescent="0.25">
      <c r="B106" s="141"/>
      <c r="C106" s="141"/>
      <c r="D106" s="3">
        <v>99</v>
      </c>
      <c r="E106" s="39" t="s">
        <v>181</v>
      </c>
      <c r="F106" s="3" t="s">
        <v>1084</v>
      </c>
      <c r="G106" s="3" t="s">
        <v>294</v>
      </c>
      <c r="H106" s="3" t="s">
        <v>7</v>
      </c>
      <c r="I106" s="39" t="s">
        <v>883</v>
      </c>
      <c r="J106" s="39" t="s">
        <v>1472</v>
      </c>
      <c r="K106" s="30">
        <v>22463</v>
      </c>
      <c r="L106" s="26">
        <v>1961</v>
      </c>
      <c r="M106" s="26">
        <f t="shared" si="1"/>
        <v>58</v>
      </c>
      <c r="N106" s="3" t="s">
        <v>3</v>
      </c>
      <c r="O106" s="3" t="s">
        <v>821</v>
      </c>
      <c r="P106" s="39" t="s">
        <v>1076</v>
      </c>
      <c r="Q106" s="3"/>
      <c r="R106" s="39" t="s">
        <v>54</v>
      </c>
    </row>
    <row r="107" spans="2:18" x14ac:dyDescent="0.25">
      <c r="B107" s="142">
        <v>32</v>
      </c>
      <c r="C107" s="139" t="s">
        <v>1077</v>
      </c>
      <c r="D107" s="3">
        <v>100</v>
      </c>
      <c r="E107" s="39" t="s">
        <v>182</v>
      </c>
      <c r="F107" s="3" t="s">
        <v>5</v>
      </c>
      <c r="G107" s="3" t="s">
        <v>295</v>
      </c>
      <c r="H107" s="3" t="s">
        <v>1</v>
      </c>
      <c r="I107" s="39" t="s">
        <v>2</v>
      </c>
      <c r="J107" s="39" t="s">
        <v>1472</v>
      </c>
      <c r="K107" s="30">
        <v>27759</v>
      </c>
      <c r="L107" s="26">
        <v>1975</v>
      </c>
      <c r="M107" s="26">
        <f t="shared" si="1"/>
        <v>44</v>
      </c>
      <c r="N107" s="3" t="s">
        <v>3</v>
      </c>
      <c r="O107" s="3" t="s">
        <v>821</v>
      </c>
      <c r="P107" s="39" t="s">
        <v>936</v>
      </c>
      <c r="Q107" s="3"/>
      <c r="R107" s="39" t="s">
        <v>868</v>
      </c>
    </row>
    <row r="108" spans="2:18" ht="25.5" x14ac:dyDescent="0.25">
      <c r="B108" s="142"/>
      <c r="C108" s="140"/>
      <c r="D108" s="3">
        <v>101</v>
      </c>
      <c r="E108" s="39" t="s">
        <v>595</v>
      </c>
      <c r="F108" s="3" t="s">
        <v>9</v>
      </c>
      <c r="G108" s="3" t="s">
        <v>296</v>
      </c>
      <c r="H108" s="3" t="s">
        <v>7</v>
      </c>
      <c r="I108" s="39" t="s">
        <v>2</v>
      </c>
      <c r="J108" s="39" t="s">
        <v>1472</v>
      </c>
      <c r="K108" s="30">
        <v>28068</v>
      </c>
      <c r="L108" s="26">
        <v>1976</v>
      </c>
      <c r="M108" s="26">
        <f t="shared" si="1"/>
        <v>43</v>
      </c>
      <c r="N108" s="3" t="s">
        <v>3</v>
      </c>
      <c r="O108" s="3" t="s">
        <v>821</v>
      </c>
      <c r="P108" s="39" t="s">
        <v>1078</v>
      </c>
      <c r="Q108" s="3"/>
      <c r="R108" s="39" t="s">
        <v>826</v>
      </c>
    </row>
    <row r="109" spans="2:18" ht="25.5" x14ac:dyDescent="0.25">
      <c r="B109" s="142"/>
      <c r="C109" s="140"/>
      <c r="D109" s="3">
        <v>102</v>
      </c>
      <c r="E109" s="39" t="s">
        <v>183</v>
      </c>
      <c r="F109" s="3" t="s">
        <v>11</v>
      </c>
      <c r="G109" s="3" t="s">
        <v>297</v>
      </c>
      <c r="H109" s="3" t="s">
        <v>1</v>
      </c>
      <c r="I109" s="39" t="s">
        <v>10</v>
      </c>
      <c r="J109" s="39" t="s">
        <v>1472</v>
      </c>
      <c r="K109" s="30">
        <v>36516</v>
      </c>
      <c r="L109" s="26">
        <v>1999</v>
      </c>
      <c r="M109" s="26">
        <f t="shared" si="1"/>
        <v>20</v>
      </c>
      <c r="N109" s="3" t="s">
        <v>3</v>
      </c>
      <c r="O109" s="3" t="s">
        <v>821</v>
      </c>
      <c r="P109" s="39" t="s">
        <v>1078</v>
      </c>
      <c r="Q109" s="3"/>
      <c r="R109" s="39" t="s">
        <v>1475</v>
      </c>
    </row>
    <row r="110" spans="2:18" ht="25.5" x14ac:dyDescent="0.25">
      <c r="B110" s="142"/>
      <c r="C110" s="141"/>
      <c r="D110" s="3">
        <v>103</v>
      </c>
      <c r="E110" s="39" t="s">
        <v>184</v>
      </c>
      <c r="F110" s="3" t="s">
        <v>11</v>
      </c>
      <c r="G110" s="3" t="s">
        <v>1537</v>
      </c>
      <c r="H110" s="3" t="s">
        <v>7</v>
      </c>
      <c r="I110" s="39" t="s">
        <v>10</v>
      </c>
      <c r="J110" s="39" t="s">
        <v>1472</v>
      </c>
      <c r="K110" s="30">
        <v>41286</v>
      </c>
      <c r="L110" s="26">
        <v>2013</v>
      </c>
      <c r="M110" s="26">
        <f t="shared" si="1"/>
        <v>6</v>
      </c>
      <c r="N110" s="3" t="s">
        <v>3</v>
      </c>
      <c r="O110" s="3" t="s">
        <v>821</v>
      </c>
      <c r="P110" s="39" t="s">
        <v>1076</v>
      </c>
      <c r="Q110" s="3"/>
      <c r="R110" s="39" t="s">
        <v>1491</v>
      </c>
    </row>
    <row r="111" spans="2:18" ht="25.5" x14ac:dyDescent="0.25">
      <c r="B111" s="142">
        <v>33</v>
      </c>
      <c r="C111" s="139" t="s">
        <v>1229</v>
      </c>
      <c r="D111" s="3">
        <v>104</v>
      </c>
      <c r="E111" s="39" t="s">
        <v>185</v>
      </c>
      <c r="F111" s="3" t="s">
        <v>5</v>
      </c>
      <c r="G111" s="3" t="s">
        <v>1230</v>
      </c>
      <c r="H111" s="3" t="s">
        <v>1</v>
      </c>
      <c r="I111" s="39" t="s">
        <v>2</v>
      </c>
      <c r="J111" s="39" t="s">
        <v>1472</v>
      </c>
      <c r="K111" s="30">
        <v>21002</v>
      </c>
      <c r="L111" s="26">
        <v>1957</v>
      </c>
      <c r="M111" s="26">
        <f t="shared" si="1"/>
        <v>62</v>
      </c>
      <c r="N111" s="3" t="s">
        <v>3</v>
      </c>
      <c r="O111" s="3" t="s">
        <v>821</v>
      </c>
      <c r="P111" s="39" t="s">
        <v>1076</v>
      </c>
      <c r="Q111" s="3"/>
      <c r="R111" s="39" t="s">
        <v>826</v>
      </c>
    </row>
    <row r="112" spans="2:18" ht="25.5" x14ac:dyDescent="0.25">
      <c r="B112" s="142"/>
      <c r="C112" s="141"/>
      <c r="D112" s="3">
        <v>105</v>
      </c>
      <c r="E112" s="39" t="s">
        <v>186</v>
      </c>
      <c r="F112" s="3" t="s">
        <v>9</v>
      </c>
      <c r="G112" s="3" t="s">
        <v>1231</v>
      </c>
      <c r="H112" s="3" t="s">
        <v>7</v>
      </c>
      <c r="I112" s="39" t="s">
        <v>2</v>
      </c>
      <c r="J112" s="39" t="s">
        <v>1472</v>
      </c>
      <c r="K112" s="30">
        <v>22098</v>
      </c>
      <c r="L112" s="26">
        <v>1960</v>
      </c>
      <c r="M112" s="26">
        <f t="shared" ref="M112:M174" si="2">2019-L112</f>
        <v>59</v>
      </c>
      <c r="N112" s="3" t="s">
        <v>3</v>
      </c>
      <c r="O112" s="3" t="s">
        <v>821</v>
      </c>
      <c r="P112" s="39" t="s">
        <v>1076</v>
      </c>
      <c r="Q112" s="3"/>
      <c r="R112" s="39" t="s">
        <v>826</v>
      </c>
    </row>
    <row r="113" spans="2:18" ht="25.5" x14ac:dyDescent="0.25">
      <c r="B113" s="139">
        <v>34</v>
      </c>
      <c r="C113" s="139" t="s">
        <v>1538</v>
      </c>
      <c r="D113" s="3">
        <v>106</v>
      </c>
      <c r="E113" s="39" t="s">
        <v>187</v>
      </c>
      <c r="F113" s="3" t="s">
        <v>5</v>
      </c>
      <c r="G113" s="3" t="s">
        <v>298</v>
      </c>
      <c r="H113" s="3" t="s">
        <v>1</v>
      </c>
      <c r="I113" s="39" t="s">
        <v>2</v>
      </c>
      <c r="J113" s="39" t="s">
        <v>1480</v>
      </c>
      <c r="K113" s="30">
        <v>30864</v>
      </c>
      <c r="L113" s="26">
        <v>1984</v>
      </c>
      <c r="M113" s="26">
        <f t="shared" si="2"/>
        <v>35</v>
      </c>
      <c r="N113" s="3" t="s">
        <v>3</v>
      </c>
      <c r="O113" s="3" t="s">
        <v>821</v>
      </c>
      <c r="P113" s="39" t="s">
        <v>936</v>
      </c>
      <c r="Q113" s="3"/>
      <c r="R113" s="39" t="s">
        <v>826</v>
      </c>
    </row>
    <row r="114" spans="2:18" ht="25.5" x14ac:dyDescent="0.25">
      <c r="B114" s="140"/>
      <c r="C114" s="140"/>
      <c r="D114" s="3">
        <v>107</v>
      </c>
      <c r="E114" s="39" t="s">
        <v>188</v>
      </c>
      <c r="F114" s="3" t="s">
        <v>9</v>
      </c>
      <c r="G114" s="3" t="s">
        <v>1539</v>
      </c>
      <c r="H114" s="3" t="s">
        <v>7</v>
      </c>
      <c r="I114" s="39" t="s">
        <v>2</v>
      </c>
      <c r="J114" s="39" t="s">
        <v>1479</v>
      </c>
      <c r="K114" s="30">
        <v>32325</v>
      </c>
      <c r="L114" s="26">
        <v>1988</v>
      </c>
      <c r="M114" s="26">
        <f t="shared" si="2"/>
        <v>31</v>
      </c>
      <c r="N114" s="3" t="s">
        <v>3</v>
      </c>
      <c r="O114" s="3" t="s">
        <v>821</v>
      </c>
      <c r="P114" s="39" t="s">
        <v>936</v>
      </c>
      <c r="Q114" s="3"/>
      <c r="R114" s="39" t="s">
        <v>1540</v>
      </c>
    </row>
    <row r="115" spans="2:18" ht="25.5" x14ac:dyDescent="0.25">
      <c r="B115" s="140"/>
      <c r="C115" s="140"/>
      <c r="D115" s="3">
        <v>108</v>
      </c>
      <c r="E115" s="39" t="s">
        <v>189</v>
      </c>
      <c r="F115" s="3" t="s">
        <v>11</v>
      </c>
      <c r="G115" s="3" t="s">
        <v>299</v>
      </c>
      <c r="H115" s="3" t="s">
        <v>1</v>
      </c>
      <c r="I115" s="39" t="s">
        <v>10</v>
      </c>
      <c r="J115" s="39" t="s">
        <v>1541</v>
      </c>
      <c r="K115" s="30">
        <v>41328</v>
      </c>
      <c r="L115" s="26">
        <v>2013</v>
      </c>
      <c r="M115" s="26">
        <f t="shared" si="2"/>
        <v>6</v>
      </c>
      <c r="N115" s="3" t="s">
        <v>3</v>
      </c>
      <c r="O115" s="3" t="s">
        <v>821</v>
      </c>
      <c r="P115" s="39" t="s">
        <v>1076</v>
      </c>
      <c r="Q115" s="3"/>
      <c r="R115" s="39" t="s">
        <v>1491</v>
      </c>
    </row>
    <row r="116" spans="2:18" ht="25.5" x14ac:dyDescent="0.25">
      <c r="B116" s="141"/>
      <c r="C116" s="141"/>
      <c r="D116" s="3">
        <v>109</v>
      </c>
      <c r="E116" s="39" t="s">
        <v>1542</v>
      </c>
      <c r="F116" s="3" t="s">
        <v>11</v>
      </c>
      <c r="G116" s="3" t="s">
        <v>1543</v>
      </c>
      <c r="H116" s="3" t="s">
        <v>7</v>
      </c>
      <c r="I116" s="39" t="s">
        <v>129</v>
      </c>
      <c r="J116" s="39" t="s">
        <v>1493</v>
      </c>
      <c r="K116" s="30">
        <v>42837</v>
      </c>
      <c r="L116" s="26">
        <v>2017</v>
      </c>
      <c r="M116" s="26">
        <f t="shared" si="2"/>
        <v>2</v>
      </c>
      <c r="N116" s="3" t="s">
        <v>3</v>
      </c>
      <c r="O116" s="3" t="s">
        <v>821</v>
      </c>
      <c r="P116" s="39" t="s">
        <v>1076</v>
      </c>
      <c r="Q116" s="3"/>
      <c r="R116" s="39" t="s">
        <v>1491</v>
      </c>
    </row>
    <row r="117" spans="2:18" x14ac:dyDescent="0.25">
      <c r="B117" s="142">
        <v>35</v>
      </c>
      <c r="C117" s="139" t="s">
        <v>1170</v>
      </c>
      <c r="D117" s="3">
        <v>110</v>
      </c>
      <c r="E117" s="39" t="s">
        <v>190</v>
      </c>
      <c r="F117" s="3" t="s">
        <v>5</v>
      </c>
      <c r="G117" s="3" t="s">
        <v>300</v>
      </c>
      <c r="H117" s="3" t="s">
        <v>1</v>
      </c>
      <c r="I117" s="39" t="s">
        <v>2</v>
      </c>
      <c r="J117" s="39" t="s">
        <v>1472</v>
      </c>
      <c r="K117" s="30">
        <v>27522</v>
      </c>
      <c r="L117" s="26">
        <v>1975</v>
      </c>
      <c r="M117" s="26">
        <f t="shared" si="2"/>
        <v>44</v>
      </c>
      <c r="N117" s="3" t="s">
        <v>3</v>
      </c>
      <c r="O117" s="3" t="s">
        <v>821</v>
      </c>
      <c r="P117" s="39" t="s">
        <v>936</v>
      </c>
      <c r="Q117" s="3"/>
      <c r="R117" s="39" t="s">
        <v>1544</v>
      </c>
    </row>
    <row r="118" spans="2:18" x14ac:dyDescent="0.25">
      <c r="B118" s="142"/>
      <c r="C118" s="140"/>
      <c r="D118" s="3">
        <v>111</v>
      </c>
      <c r="E118" s="39" t="s">
        <v>191</v>
      </c>
      <c r="F118" s="3" t="s">
        <v>9</v>
      </c>
      <c r="G118" s="3" t="s">
        <v>1171</v>
      </c>
      <c r="H118" s="3" t="s">
        <v>7</v>
      </c>
      <c r="I118" s="39" t="s">
        <v>2</v>
      </c>
      <c r="J118" s="39" t="s">
        <v>1472</v>
      </c>
      <c r="K118" s="30">
        <v>29171</v>
      </c>
      <c r="L118" s="26">
        <v>1979</v>
      </c>
      <c r="M118" s="26">
        <f t="shared" si="2"/>
        <v>40</v>
      </c>
      <c r="N118" s="3" t="s">
        <v>3</v>
      </c>
      <c r="O118" s="3" t="s">
        <v>821</v>
      </c>
      <c r="P118" s="39" t="s">
        <v>933</v>
      </c>
      <c r="Q118" s="3"/>
      <c r="R118" s="39" t="s">
        <v>1544</v>
      </c>
    </row>
    <row r="119" spans="2:18" x14ac:dyDescent="0.25">
      <c r="B119" s="142"/>
      <c r="C119" s="140"/>
      <c r="D119" s="3">
        <v>112</v>
      </c>
      <c r="E119" s="39" t="s">
        <v>192</v>
      </c>
      <c r="F119" s="3" t="s">
        <v>11</v>
      </c>
      <c r="G119" s="3" t="s">
        <v>1172</v>
      </c>
      <c r="H119" s="3" t="s">
        <v>1</v>
      </c>
      <c r="I119" s="39" t="s">
        <v>10</v>
      </c>
      <c r="J119" s="39" t="s">
        <v>1472</v>
      </c>
      <c r="K119" s="30">
        <v>36086</v>
      </c>
      <c r="L119" s="26">
        <v>1998</v>
      </c>
      <c r="M119" s="26">
        <f t="shared" si="2"/>
        <v>21</v>
      </c>
      <c r="N119" s="3" t="s">
        <v>3</v>
      </c>
      <c r="O119" s="3" t="s">
        <v>821</v>
      </c>
      <c r="P119" s="39" t="s">
        <v>933</v>
      </c>
      <c r="Q119" s="3"/>
      <c r="R119" s="39" t="s">
        <v>1475</v>
      </c>
    </row>
    <row r="120" spans="2:18" ht="25.5" x14ac:dyDescent="0.25">
      <c r="B120" s="142"/>
      <c r="C120" s="141"/>
      <c r="D120" s="3">
        <v>113</v>
      </c>
      <c r="E120" s="39" t="s">
        <v>193</v>
      </c>
      <c r="F120" s="3" t="s">
        <v>11</v>
      </c>
      <c r="G120" s="3" t="s">
        <v>301</v>
      </c>
      <c r="H120" s="3" t="s">
        <v>7</v>
      </c>
      <c r="I120" s="39" t="s">
        <v>10</v>
      </c>
      <c r="J120" s="39" t="s">
        <v>1472</v>
      </c>
      <c r="K120" s="30">
        <v>38698</v>
      </c>
      <c r="L120" s="26">
        <v>2005</v>
      </c>
      <c r="M120" s="26">
        <f t="shared" si="2"/>
        <v>14</v>
      </c>
      <c r="N120" s="3" t="s">
        <v>3</v>
      </c>
      <c r="O120" s="3" t="s">
        <v>821</v>
      </c>
      <c r="P120" s="39" t="s">
        <v>1078</v>
      </c>
      <c r="Q120" s="3"/>
      <c r="R120" s="39" t="s">
        <v>1475</v>
      </c>
    </row>
    <row r="121" spans="2:18" ht="25.5" x14ac:dyDescent="0.25">
      <c r="B121" s="139">
        <v>36</v>
      </c>
      <c r="C121" s="139" t="s">
        <v>1219</v>
      </c>
      <c r="D121" s="3">
        <v>114</v>
      </c>
      <c r="E121" s="39" t="s">
        <v>194</v>
      </c>
      <c r="F121" s="3" t="s">
        <v>5</v>
      </c>
      <c r="G121" s="3" t="s">
        <v>1222</v>
      </c>
      <c r="H121" s="3" t="s">
        <v>1</v>
      </c>
      <c r="I121" s="39" t="s">
        <v>2</v>
      </c>
      <c r="J121" s="39" t="s">
        <v>1465</v>
      </c>
      <c r="K121" s="30">
        <v>28855</v>
      </c>
      <c r="L121" s="26">
        <v>1978</v>
      </c>
      <c r="M121" s="26">
        <f t="shared" si="2"/>
        <v>41</v>
      </c>
      <c r="N121" s="3" t="s">
        <v>3</v>
      </c>
      <c r="O121" s="3" t="s">
        <v>821</v>
      </c>
      <c r="P121" s="39" t="s">
        <v>978</v>
      </c>
      <c r="Q121" s="3"/>
      <c r="R121" s="39" t="s">
        <v>54</v>
      </c>
    </row>
    <row r="122" spans="2:18" ht="25.5" x14ac:dyDescent="0.25">
      <c r="B122" s="140"/>
      <c r="C122" s="140"/>
      <c r="D122" s="3">
        <v>115</v>
      </c>
      <c r="E122" s="39" t="s">
        <v>195</v>
      </c>
      <c r="F122" s="3" t="s">
        <v>9</v>
      </c>
      <c r="G122" s="3" t="s">
        <v>302</v>
      </c>
      <c r="H122" s="3" t="s">
        <v>7</v>
      </c>
      <c r="I122" s="39" t="s">
        <v>2</v>
      </c>
      <c r="J122" s="39" t="s">
        <v>1465</v>
      </c>
      <c r="K122" s="30">
        <v>31267</v>
      </c>
      <c r="L122" s="26">
        <v>1985</v>
      </c>
      <c r="M122" s="26">
        <f t="shared" si="2"/>
        <v>34</v>
      </c>
      <c r="N122" s="3" t="s">
        <v>3</v>
      </c>
      <c r="O122" s="3" t="s">
        <v>821</v>
      </c>
      <c r="P122" s="39" t="s">
        <v>978</v>
      </c>
      <c r="Q122" s="3"/>
      <c r="R122" s="39" t="s">
        <v>54</v>
      </c>
    </row>
    <row r="123" spans="2:18" ht="25.5" x14ac:dyDescent="0.25">
      <c r="B123" s="140"/>
      <c r="C123" s="140"/>
      <c r="D123" s="3">
        <v>116</v>
      </c>
      <c r="E123" s="39" t="s">
        <v>1220</v>
      </c>
      <c r="F123" s="3" t="s">
        <v>11</v>
      </c>
      <c r="G123" s="3" t="s">
        <v>1223</v>
      </c>
      <c r="H123" s="3" t="s">
        <v>1</v>
      </c>
      <c r="I123" s="39" t="s">
        <v>10</v>
      </c>
      <c r="J123" s="39" t="s">
        <v>1480</v>
      </c>
      <c r="K123" s="30">
        <v>39093</v>
      </c>
      <c r="L123" s="26">
        <v>2007</v>
      </c>
      <c r="M123" s="26">
        <f t="shared" si="2"/>
        <v>12</v>
      </c>
      <c r="N123" s="3" t="s">
        <v>3</v>
      </c>
      <c r="O123" s="3" t="s">
        <v>821</v>
      </c>
      <c r="P123" s="39" t="s">
        <v>1076</v>
      </c>
      <c r="Q123" s="3"/>
      <c r="R123" s="39" t="s">
        <v>1491</v>
      </c>
    </row>
    <row r="124" spans="2:18" ht="25.5" x14ac:dyDescent="0.25">
      <c r="B124" s="141"/>
      <c r="C124" s="141"/>
      <c r="D124" s="3">
        <v>117</v>
      </c>
      <c r="E124" s="39" t="s">
        <v>1221</v>
      </c>
      <c r="F124" s="3" t="s">
        <v>11</v>
      </c>
      <c r="G124" s="3" t="s">
        <v>1224</v>
      </c>
      <c r="H124" s="3" t="s">
        <v>1</v>
      </c>
      <c r="I124" s="39" t="s">
        <v>129</v>
      </c>
      <c r="J124" s="39" t="s">
        <v>1472</v>
      </c>
      <c r="K124" s="30">
        <v>42457</v>
      </c>
      <c r="L124" s="26">
        <v>2016</v>
      </c>
      <c r="M124" s="26">
        <f t="shared" si="2"/>
        <v>3</v>
      </c>
      <c r="N124" s="3" t="s">
        <v>3</v>
      </c>
      <c r="O124" s="3" t="s">
        <v>821</v>
      </c>
      <c r="P124" s="39" t="s">
        <v>1076</v>
      </c>
      <c r="Q124" s="3"/>
      <c r="R124" s="39" t="s">
        <v>1491</v>
      </c>
    </row>
    <row r="125" spans="2:18" ht="25.5" x14ac:dyDescent="0.25">
      <c r="B125" s="142">
        <v>37</v>
      </c>
      <c r="C125" s="139" t="s">
        <v>1545</v>
      </c>
      <c r="D125" s="3">
        <v>118</v>
      </c>
      <c r="E125" s="39" t="s">
        <v>1546</v>
      </c>
      <c r="F125" s="3" t="s">
        <v>5</v>
      </c>
      <c r="G125" s="3" t="s">
        <v>303</v>
      </c>
      <c r="H125" s="3" t="s">
        <v>1</v>
      </c>
      <c r="I125" s="39" t="s">
        <v>2</v>
      </c>
      <c r="J125" s="39" t="s">
        <v>1472</v>
      </c>
      <c r="K125" s="30">
        <v>24837</v>
      </c>
      <c r="L125" s="26">
        <v>1967</v>
      </c>
      <c r="M125" s="26">
        <f t="shared" si="2"/>
        <v>52</v>
      </c>
      <c r="N125" s="3" t="s">
        <v>3</v>
      </c>
      <c r="O125" s="3" t="s">
        <v>821</v>
      </c>
      <c r="P125" s="39" t="s">
        <v>936</v>
      </c>
      <c r="Q125" s="3"/>
      <c r="R125" s="39" t="s">
        <v>54</v>
      </c>
    </row>
    <row r="126" spans="2:18" ht="25.5" x14ac:dyDescent="0.25">
      <c r="B126" s="142"/>
      <c r="C126" s="140"/>
      <c r="D126" s="3">
        <v>119</v>
      </c>
      <c r="E126" s="39" t="s">
        <v>462</v>
      </c>
      <c r="F126" s="3" t="s">
        <v>9</v>
      </c>
      <c r="G126" s="3" t="s">
        <v>304</v>
      </c>
      <c r="H126" s="3" t="s">
        <v>7</v>
      </c>
      <c r="I126" s="39" t="s">
        <v>2</v>
      </c>
      <c r="J126" s="39" t="s">
        <v>1472</v>
      </c>
      <c r="K126" s="30">
        <v>25514</v>
      </c>
      <c r="L126" s="26">
        <v>1969</v>
      </c>
      <c r="M126" s="26">
        <f t="shared" si="2"/>
        <v>50</v>
      </c>
      <c r="N126" s="3" t="s">
        <v>3</v>
      </c>
      <c r="O126" s="3" t="s">
        <v>821</v>
      </c>
      <c r="P126" s="39" t="s">
        <v>1076</v>
      </c>
      <c r="Q126" s="3"/>
      <c r="R126" s="39" t="s">
        <v>1496</v>
      </c>
    </row>
    <row r="127" spans="2:18" x14ac:dyDescent="0.25">
      <c r="B127" s="142"/>
      <c r="C127" s="140"/>
      <c r="D127" s="3">
        <v>120</v>
      </c>
      <c r="E127" s="39" t="s">
        <v>196</v>
      </c>
      <c r="F127" s="3" t="s">
        <v>11</v>
      </c>
      <c r="G127" s="3" t="s">
        <v>305</v>
      </c>
      <c r="H127" s="3" t="s">
        <v>1</v>
      </c>
      <c r="I127" s="39" t="s">
        <v>10</v>
      </c>
      <c r="J127" s="39" t="s">
        <v>1472</v>
      </c>
      <c r="K127" s="30">
        <v>31264</v>
      </c>
      <c r="L127" s="26">
        <v>1985</v>
      </c>
      <c r="M127" s="26">
        <f t="shared" si="2"/>
        <v>34</v>
      </c>
      <c r="N127" s="3" t="s">
        <v>3</v>
      </c>
      <c r="O127" s="3" t="s">
        <v>821</v>
      </c>
      <c r="P127" s="39" t="s">
        <v>936</v>
      </c>
      <c r="Q127" s="3"/>
      <c r="R127" s="39" t="s">
        <v>54</v>
      </c>
    </row>
    <row r="128" spans="2:18" x14ac:dyDescent="0.25">
      <c r="B128" s="142"/>
      <c r="C128" s="141"/>
      <c r="D128" s="3">
        <v>121</v>
      </c>
      <c r="E128" s="39" t="s">
        <v>97</v>
      </c>
      <c r="F128" s="3" t="s">
        <v>11</v>
      </c>
      <c r="G128" s="3" t="s">
        <v>305</v>
      </c>
      <c r="H128" s="3" t="s">
        <v>7</v>
      </c>
      <c r="I128" s="39" t="s">
        <v>10</v>
      </c>
      <c r="J128" s="39" t="s">
        <v>1472</v>
      </c>
      <c r="K128" s="30">
        <v>31809</v>
      </c>
      <c r="L128" s="26">
        <v>1987</v>
      </c>
      <c r="M128" s="26">
        <f t="shared" si="2"/>
        <v>32</v>
      </c>
      <c r="N128" s="3" t="s">
        <v>3</v>
      </c>
      <c r="O128" s="3" t="s">
        <v>821</v>
      </c>
      <c r="P128" s="39" t="s">
        <v>978</v>
      </c>
      <c r="Q128" s="3"/>
      <c r="R128" s="39" t="s">
        <v>54</v>
      </c>
    </row>
    <row r="129" spans="2:18" x14ac:dyDescent="0.25">
      <c r="B129" s="142">
        <v>38</v>
      </c>
      <c r="C129" s="139" t="s">
        <v>1100</v>
      </c>
      <c r="D129" s="3">
        <v>122</v>
      </c>
      <c r="E129" s="39" t="s">
        <v>197</v>
      </c>
      <c r="F129" s="3" t="s">
        <v>5</v>
      </c>
      <c r="G129" s="3" t="s">
        <v>306</v>
      </c>
      <c r="H129" s="3" t="s">
        <v>1</v>
      </c>
      <c r="I129" s="39" t="s">
        <v>2</v>
      </c>
      <c r="J129" s="39" t="s">
        <v>1472</v>
      </c>
      <c r="K129" s="30">
        <v>32482</v>
      </c>
      <c r="L129" s="26">
        <v>1988</v>
      </c>
      <c r="M129" s="26">
        <f t="shared" si="2"/>
        <v>31</v>
      </c>
      <c r="N129" s="3" t="s">
        <v>3</v>
      </c>
      <c r="O129" s="3" t="s">
        <v>821</v>
      </c>
      <c r="P129" s="39" t="s">
        <v>978</v>
      </c>
      <c r="Q129" s="3"/>
      <c r="R129" s="39" t="s">
        <v>54</v>
      </c>
    </row>
    <row r="130" spans="2:18" ht="25.5" x14ac:dyDescent="0.25">
      <c r="B130" s="142"/>
      <c r="C130" s="140"/>
      <c r="D130" s="3">
        <v>123</v>
      </c>
      <c r="E130" s="39" t="s">
        <v>198</v>
      </c>
      <c r="F130" s="3" t="s">
        <v>9</v>
      </c>
      <c r="G130" s="3" t="s">
        <v>1102</v>
      </c>
      <c r="H130" s="3" t="s">
        <v>7</v>
      </c>
      <c r="I130" s="39" t="s">
        <v>2</v>
      </c>
      <c r="J130" s="39" t="s">
        <v>1472</v>
      </c>
      <c r="K130" s="30">
        <v>34556</v>
      </c>
      <c r="L130" s="26">
        <v>1994</v>
      </c>
      <c r="M130" s="26">
        <f t="shared" si="2"/>
        <v>25</v>
      </c>
      <c r="N130" s="3" t="s">
        <v>3</v>
      </c>
      <c r="O130" s="3" t="s">
        <v>821</v>
      </c>
      <c r="P130" s="39" t="s">
        <v>978</v>
      </c>
      <c r="Q130" s="3"/>
      <c r="R130" s="39" t="s">
        <v>827</v>
      </c>
    </row>
    <row r="131" spans="2:18" ht="25.5" x14ac:dyDescent="0.25">
      <c r="B131" s="142"/>
      <c r="C131" s="141"/>
      <c r="D131" s="3">
        <v>124</v>
      </c>
      <c r="E131" s="39" t="s">
        <v>1101</v>
      </c>
      <c r="F131" s="3" t="s">
        <v>11</v>
      </c>
      <c r="G131" s="3" t="s">
        <v>1103</v>
      </c>
      <c r="H131" s="3" t="s">
        <v>1</v>
      </c>
      <c r="I131" s="39" t="s">
        <v>10</v>
      </c>
      <c r="J131" s="39" t="s">
        <v>1472</v>
      </c>
      <c r="K131" s="30">
        <v>42029</v>
      </c>
      <c r="L131" s="26">
        <v>2015</v>
      </c>
      <c r="M131" s="26">
        <f t="shared" si="2"/>
        <v>4</v>
      </c>
      <c r="N131" s="3" t="s">
        <v>3</v>
      </c>
      <c r="O131" s="3" t="s">
        <v>821</v>
      </c>
      <c r="P131" s="39" t="s">
        <v>1076</v>
      </c>
      <c r="Q131" s="3"/>
      <c r="R131" s="39" t="s">
        <v>1491</v>
      </c>
    </row>
    <row r="132" spans="2:18" x14ac:dyDescent="0.25">
      <c r="B132" s="142">
        <v>39</v>
      </c>
      <c r="C132" s="139" t="s">
        <v>1130</v>
      </c>
      <c r="D132" s="3">
        <v>125</v>
      </c>
      <c r="E132" s="39" t="s">
        <v>199</v>
      </c>
      <c r="F132" s="3" t="s">
        <v>5</v>
      </c>
      <c r="G132" s="3" t="s">
        <v>1128</v>
      </c>
      <c r="H132" s="3" t="s">
        <v>7</v>
      </c>
      <c r="I132" s="39" t="s">
        <v>883</v>
      </c>
      <c r="J132" s="39" t="s">
        <v>1472</v>
      </c>
      <c r="K132" s="30">
        <v>22281</v>
      </c>
      <c r="L132" s="26">
        <v>1960</v>
      </c>
      <c r="M132" s="26">
        <f t="shared" si="2"/>
        <v>59</v>
      </c>
      <c r="N132" s="3" t="s">
        <v>3</v>
      </c>
      <c r="O132" s="3" t="s">
        <v>821</v>
      </c>
      <c r="P132" s="39" t="s">
        <v>936</v>
      </c>
      <c r="Q132" s="3"/>
      <c r="R132" s="39" t="s">
        <v>1496</v>
      </c>
    </row>
    <row r="133" spans="2:18" ht="25.5" x14ac:dyDescent="0.25">
      <c r="B133" s="142"/>
      <c r="C133" s="140"/>
      <c r="D133" s="3">
        <v>126</v>
      </c>
      <c r="E133" s="39" t="s">
        <v>1124</v>
      </c>
      <c r="F133" s="3" t="s">
        <v>11</v>
      </c>
      <c r="G133" s="3" t="s">
        <v>307</v>
      </c>
      <c r="H133" s="3" t="s">
        <v>1</v>
      </c>
      <c r="I133" s="39" t="s">
        <v>10</v>
      </c>
      <c r="J133" s="39" t="s">
        <v>1465</v>
      </c>
      <c r="K133" s="30">
        <v>32580</v>
      </c>
      <c r="L133" s="26">
        <v>1989</v>
      </c>
      <c r="M133" s="26">
        <f t="shared" si="2"/>
        <v>30</v>
      </c>
      <c r="N133" s="3" t="s">
        <v>3</v>
      </c>
      <c r="O133" s="3" t="s">
        <v>821</v>
      </c>
      <c r="P133" s="39" t="s">
        <v>933</v>
      </c>
      <c r="Q133" s="3"/>
      <c r="R133" s="39" t="s">
        <v>1496</v>
      </c>
    </row>
    <row r="134" spans="2:18" ht="25.5" x14ac:dyDescent="0.25">
      <c r="B134" s="142"/>
      <c r="C134" s="140"/>
      <c r="D134" s="3">
        <v>127</v>
      </c>
      <c r="E134" s="39" t="s">
        <v>1125</v>
      </c>
      <c r="F134" s="3" t="s">
        <v>11</v>
      </c>
      <c r="G134" s="3" t="s">
        <v>1129</v>
      </c>
      <c r="H134" s="3" t="s">
        <v>1</v>
      </c>
      <c r="I134" s="39" t="s">
        <v>10</v>
      </c>
      <c r="J134" s="39" t="s">
        <v>1465</v>
      </c>
      <c r="K134" s="30">
        <v>33398</v>
      </c>
      <c r="L134" s="26">
        <v>1991</v>
      </c>
      <c r="M134" s="26">
        <f t="shared" si="2"/>
        <v>28</v>
      </c>
      <c r="N134" s="3" t="s">
        <v>3</v>
      </c>
      <c r="O134" s="3" t="s">
        <v>821</v>
      </c>
      <c r="P134" s="39" t="s">
        <v>933</v>
      </c>
      <c r="Q134" s="3"/>
      <c r="R134" s="39" t="s">
        <v>1496</v>
      </c>
    </row>
    <row r="135" spans="2:18" ht="25.5" x14ac:dyDescent="0.25">
      <c r="B135" s="142"/>
      <c r="C135" s="140"/>
      <c r="D135" s="3">
        <v>128</v>
      </c>
      <c r="E135" s="39" t="s">
        <v>1126</v>
      </c>
      <c r="F135" s="3" t="s">
        <v>11</v>
      </c>
      <c r="G135" s="3" t="s">
        <v>308</v>
      </c>
      <c r="H135" s="3" t="s">
        <v>7</v>
      </c>
      <c r="I135" s="39" t="s">
        <v>10</v>
      </c>
      <c r="J135" s="39" t="s">
        <v>1480</v>
      </c>
      <c r="K135" s="30">
        <v>36755</v>
      </c>
      <c r="L135" s="26">
        <v>2000</v>
      </c>
      <c r="M135" s="26">
        <f t="shared" si="2"/>
        <v>19</v>
      </c>
      <c r="N135" s="3" t="s">
        <v>3</v>
      </c>
      <c r="O135" s="3" t="s">
        <v>821</v>
      </c>
      <c r="P135" s="39" t="s">
        <v>933</v>
      </c>
      <c r="Q135" s="3"/>
      <c r="R135" s="39" t="s">
        <v>1496</v>
      </c>
    </row>
    <row r="136" spans="2:18" ht="25.5" x14ac:dyDescent="0.25">
      <c r="B136" s="142"/>
      <c r="C136" s="141"/>
      <c r="D136" s="3">
        <v>129</v>
      </c>
      <c r="E136" s="39" t="s">
        <v>1127</v>
      </c>
      <c r="F136" s="3" t="s">
        <v>11</v>
      </c>
      <c r="G136" s="3" t="s">
        <v>309</v>
      </c>
      <c r="H136" s="3" t="s">
        <v>7</v>
      </c>
      <c r="I136" s="39" t="s">
        <v>10</v>
      </c>
      <c r="J136" s="39" t="s">
        <v>1480</v>
      </c>
      <c r="K136" s="30">
        <v>39285</v>
      </c>
      <c r="L136" s="26">
        <v>2007</v>
      </c>
      <c r="M136" s="26">
        <f t="shared" si="2"/>
        <v>12</v>
      </c>
      <c r="N136" s="3" t="s">
        <v>3</v>
      </c>
      <c r="O136" s="3" t="s">
        <v>821</v>
      </c>
      <c r="P136" s="39" t="s">
        <v>1078</v>
      </c>
      <c r="Q136" s="3"/>
      <c r="R136" s="39" t="s">
        <v>1475</v>
      </c>
    </row>
    <row r="137" spans="2:18" x14ac:dyDescent="0.25">
      <c r="B137" s="142">
        <v>40</v>
      </c>
      <c r="C137" s="142"/>
      <c r="D137" s="3">
        <v>130</v>
      </c>
      <c r="E137" s="39" t="s">
        <v>200</v>
      </c>
      <c r="F137" s="3" t="s">
        <v>5</v>
      </c>
      <c r="G137" s="3"/>
      <c r="H137" s="3" t="s">
        <v>1</v>
      </c>
      <c r="I137" s="39" t="s">
        <v>133</v>
      </c>
      <c r="J137" s="39"/>
      <c r="K137" s="30">
        <v>29586</v>
      </c>
      <c r="L137" s="26">
        <v>1980</v>
      </c>
      <c r="M137" s="26">
        <f t="shared" si="2"/>
        <v>39</v>
      </c>
      <c r="N137" s="3" t="s">
        <v>3</v>
      </c>
      <c r="O137" s="3"/>
      <c r="P137" s="39" t="s">
        <v>4</v>
      </c>
      <c r="Q137" s="3"/>
      <c r="R137" s="39"/>
    </row>
    <row r="138" spans="2:18" x14ac:dyDescent="0.25">
      <c r="B138" s="142"/>
      <c r="C138" s="142"/>
      <c r="D138" s="3">
        <v>131</v>
      </c>
      <c r="E138" s="39" t="s">
        <v>201</v>
      </c>
      <c r="F138" s="3" t="s">
        <v>9</v>
      </c>
      <c r="G138" s="3"/>
      <c r="H138" s="3" t="s">
        <v>7</v>
      </c>
      <c r="I138" s="39" t="s">
        <v>2</v>
      </c>
      <c r="J138" s="39"/>
      <c r="K138" s="30">
        <v>33238</v>
      </c>
      <c r="L138" s="26">
        <v>1990</v>
      </c>
      <c r="M138" s="26">
        <f t="shared" si="2"/>
        <v>29</v>
      </c>
      <c r="N138" s="3" t="s">
        <v>3</v>
      </c>
      <c r="O138" s="3"/>
      <c r="P138" s="39" t="s">
        <v>4</v>
      </c>
      <c r="Q138" s="3"/>
      <c r="R138" s="39"/>
    </row>
    <row r="139" spans="2:18" x14ac:dyDescent="0.25">
      <c r="B139" s="142"/>
      <c r="C139" s="142"/>
      <c r="D139" s="3">
        <v>132</v>
      </c>
      <c r="E139" s="39" t="s">
        <v>202</v>
      </c>
      <c r="F139" s="3" t="s">
        <v>159</v>
      </c>
      <c r="G139" s="3"/>
      <c r="H139" s="3" t="s">
        <v>7</v>
      </c>
      <c r="I139" s="39" t="s">
        <v>10</v>
      </c>
      <c r="J139" s="39"/>
      <c r="K139" s="30">
        <v>33786</v>
      </c>
      <c r="L139" s="26">
        <v>1992</v>
      </c>
      <c r="M139" s="26">
        <f t="shared" si="2"/>
        <v>27</v>
      </c>
      <c r="N139" s="3" t="s">
        <v>3</v>
      </c>
      <c r="O139" s="3"/>
      <c r="P139" s="39" t="s">
        <v>13</v>
      </c>
      <c r="Q139" s="3"/>
      <c r="R139" s="39"/>
    </row>
    <row r="140" spans="2:18" x14ac:dyDescent="0.25">
      <c r="B140" s="142"/>
      <c r="C140" s="142"/>
      <c r="D140" s="3">
        <v>133</v>
      </c>
      <c r="E140" s="39" t="s">
        <v>203</v>
      </c>
      <c r="F140" s="3" t="s">
        <v>159</v>
      </c>
      <c r="G140" s="3"/>
      <c r="H140" s="3" t="s">
        <v>1</v>
      </c>
      <c r="I140" s="39" t="s">
        <v>10</v>
      </c>
      <c r="J140" s="39"/>
      <c r="K140" s="30">
        <v>35247</v>
      </c>
      <c r="L140" s="26">
        <v>1996</v>
      </c>
      <c r="M140" s="26">
        <f t="shared" si="2"/>
        <v>23</v>
      </c>
      <c r="N140" s="3" t="s">
        <v>3</v>
      </c>
      <c r="O140" s="3"/>
      <c r="P140" s="39" t="s">
        <v>13</v>
      </c>
      <c r="Q140" s="3"/>
      <c r="R140" s="39"/>
    </row>
    <row r="141" spans="2:18" x14ac:dyDescent="0.25">
      <c r="B141" s="142"/>
      <c r="C141" s="142"/>
      <c r="D141" s="3">
        <v>134</v>
      </c>
      <c r="E141" s="39" t="s">
        <v>204</v>
      </c>
      <c r="F141" s="3" t="s">
        <v>11</v>
      </c>
      <c r="G141" s="3"/>
      <c r="H141" s="3" t="s">
        <v>1</v>
      </c>
      <c r="I141" s="39" t="s">
        <v>129</v>
      </c>
      <c r="J141" s="39"/>
      <c r="K141" s="30">
        <v>41871</v>
      </c>
      <c r="L141" s="26">
        <v>2014</v>
      </c>
      <c r="M141" s="26">
        <f t="shared" si="2"/>
        <v>5</v>
      </c>
      <c r="N141" s="3" t="s">
        <v>3</v>
      </c>
      <c r="O141" s="3"/>
      <c r="P141" s="39" t="s">
        <v>13</v>
      </c>
      <c r="Q141" s="3"/>
      <c r="R141" s="39"/>
    </row>
    <row r="142" spans="2:18" ht="25.5" x14ac:dyDescent="0.25">
      <c r="B142" s="142">
        <v>41</v>
      </c>
      <c r="C142" s="139" t="s">
        <v>1140</v>
      </c>
      <c r="D142" s="3">
        <v>135</v>
      </c>
      <c r="E142" s="39" t="s">
        <v>205</v>
      </c>
      <c r="F142" s="3" t="s">
        <v>5</v>
      </c>
      <c r="G142" s="3" t="s">
        <v>310</v>
      </c>
      <c r="H142" s="3" t="s">
        <v>1</v>
      </c>
      <c r="I142" s="39" t="s">
        <v>2</v>
      </c>
      <c r="J142" s="39" t="s">
        <v>1541</v>
      </c>
      <c r="K142" s="30">
        <v>24654</v>
      </c>
      <c r="L142" s="26">
        <v>1967</v>
      </c>
      <c r="M142" s="26">
        <f t="shared" si="2"/>
        <v>52</v>
      </c>
      <c r="N142" s="3" t="s">
        <v>3</v>
      </c>
      <c r="O142" s="3" t="s">
        <v>821</v>
      </c>
      <c r="P142" s="39" t="s">
        <v>1078</v>
      </c>
      <c r="Q142" s="3"/>
      <c r="R142" s="39" t="s">
        <v>1547</v>
      </c>
    </row>
    <row r="143" spans="2:18" ht="25.5" x14ac:dyDescent="0.25">
      <c r="B143" s="142"/>
      <c r="C143" s="140"/>
      <c r="D143" s="3">
        <v>136</v>
      </c>
      <c r="E143" s="39" t="s">
        <v>206</v>
      </c>
      <c r="F143" s="3" t="s">
        <v>9</v>
      </c>
      <c r="G143" s="3" t="s">
        <v>1137</v>
      </c>
      <c r="H143" s="3" t="s">
        <v>7</v>
      </c>
      <c r="I143" s="39" t="s">
        <v>2</v>
      </c>
      <c r="J143" s="39" t="s">
        <v>1541</v>
      </c>
      <c r="K143" s="30">
        <v>25020</v>
      </c>
      <c r="L143" s="26">
        <v>1968</v>
      </c>
      <c r="M143" s="26">
        <f t="shared" si="2"/>
        <v>51</v>
      </c>
      <c r="N143" s="3" t="s">
        <v>3</v>
      </c>
      <c r="O143" s="3" t="s">
        <v>821</v>
      </c>
      <c r="P143" s="39" t="s">
        <v>1078</v>
      </c>
      <c r="Q143" s="3"/>
      <c r="R143" s="39" t="s">
        <v>826</v>
      </c>
    </row>
    <row r="144" spans="2:18" x14ac:dyDescent="0.25">
      <c r="B144" s="142"/>
      <c r="C144" s="140"/>
      <c r="D144" s="3">
        <v>137</v>
      </c>
      <c r="E144" s="39" t="s">
        <v>207</v>
      </c>
      <c r="F144" s="3" t="s">
        <v>11</v>
      </c>
      <c r="G144" s="3" t="s">
        <v>311</v>
      </c>
      <c r="H144" s="3" t="s">
        <v>1</v>
      </c>
      <c r="I144" s="39" t="s">
        <v>129</v>
      </c>
      <c r="J144" s="39" t="s">
        <v>1541</v>
      </c>
      <c r="K144" s="30">
        <v>33243</v>
      </c>
      <c r="L144" s="26">
        <v>1991</v>
      </c>
      <c r="M144" s="26">
        <f t="shared" si="2"/>
        <v>28</v>
      </c>
      <c r="N144" s="3" t="s">
        <v>3</v>
      </c>
      <c r="O144" s="3" t="s">
        <v>821</v>
      </c>
      <c r="P144" s="39" t="s">
        <v>978</v>
      </c>
      <c r="Q144" s="3"/>
      <c r="R144" s="39" t="s">
        <v>1475</v>
      </c>
    </row>
    <row r="145" spans="2:18" ht="25.5" x14ac:dyDescent="0.25">
      <c r="B145" s="142"/>
      <c r="C145" s="140"/>
      <c r="D145" s="3">
        <v>138</v>
      </c>
      <c r="E145" s="39" t="s">
        <v>1136</v>
      </c>
      <c r="F145" s="3" t="s">
        <v>11</v>
      </c>
      <c r="G145" s="3" t="s">
        <v>1138</v>
      </c>
      <c r="H145" s="3" t="s">
        <v>1</v>
      </c>
      <c r="I145" s="39" t="s">
        <v>129</v>
      </c>
      <c r="J145" s="39" t="s">
        <v>1548</v>
      </c>
      <c r="K145" s="30">
        <v>35419</v>
      </c>
      <c r="L145" s="26">
        <v>1996</v>
      </c>
      <c r="M145" s="26">
        <f t="shared" si="2"/>
        <v>23</v>
      </c>
      <c r="N145" s="3" t="s">
        <v>3</v>
      </c>
      <c r="O145" s="3" t="s">
        <v>821</v>
      </c>
      <c r="P145" s="39" t="s">
        <v>933</v>
      </c>
      <c r="Q145" s="3"/>
      <c r="R145" s="39" t="s">
        <v>1475</v>
      </c>
    </row>
    <row r="146" spans="2:18" ht="25.5" x14ac:dyDescent="0.25">
      <c r="B146" s="142"/>
      <c r="C146" s="141"/>
      <c r="D146" s="3">
        <v>139</v>
      </c>
      <c r="E146" s="39" t="s">
        <v>1549</v>
      </c>
      <c r="F146" s="3" t="s">
        <v>11</v>
      </c>
      <c r="G146" s="3" t="s">
        <v>1139</v>
      </c>
      <c r="H146" s="3" t="s">
        <v>1</v>
      </c>
      <c r="I146" s="39" t="s">
        <v>129</v>
      </c>
      <c r="J146" s="39" t="s">
        <v>1541</v>
      </c>
      <c r="K146" s="30">
        <v>37546</v>
      </c>
      <c r="L146" s="26">
        <v>2002</v>
      </c>
      <c r="M146" s="26">
        <f t="shared" si="2"/>
        <v>17</v>
      </c>
      <c r="N146" s="3" t="s">
        <v>3</v>
      </c>
      <c r="O146" s="3" t="s">
        <v>821</v>
      </c>
      <c r="P146" s="39" t="s">
        <v>1076</v>
      </c>
      <c r="Q146" s="3"/>
      <c r="R146" s="39" t="s">
        <v>1491</v>
      </c>
    </row>
    <row r="147" spans="2:18" ht="25.5" x14ac:dyDescent="0.25">
      <c r="B147" s="142">
        <v>42</v>
      </c>
      <c r="C147" s="139" t="s">
        <v>1207</v>
      </c>
      <c r="D147" s="3">
        <v>140</v>
      </c>
      <c r="E147" s="39" t="s">
        <v>208</v>
      </c>
      <c r="F147" s="3" t="s">
        <v>5</v>
      </c>
      <c r="G147" s="3" t="s">
        <v>1210</v>
      </c>
      <c r="H147" s="3" t="s">
        <v>1</v>
      </c>
      <c r="I147" s="39" t="s">
        <v>2</v>
      </c>
      <c r="J147" s="39" t="s">
        <v>1472</v>
      </c>
      <c r="K147" s="30">
        <v>25750</v>
      </c>
      <c r="L147" s="26">
        <v>1970</v>
      </c>
      <c r="M147" s="26">
        <f t="shared" si="2"/>
        <v>49</v>
      </c>
      <c r="N147" s="3" t="s">
        <v>3</v>
      </c>
      <c r="O147" s="3" t="s">
        <v>821</v>
      </c>
      <c r="P147" s="39" t="s">
        <v>936</v>
      </c>
      <c r="Q147" s="3"/>
      <c r="R147" s="39" t="s">
        <v>826</v>
      </c>
    </row>
    <row r="148" spans="2:18" ht="25.5" x14ac:dyDescent="0.25">
      <c r="B148" s="142"/>
      <c r="C148" s="140"/>
      <c r="D148" s="3">
        <v>141</v>
      </c>
      <c r="E148" s="39" t="s">
        <v>209</v>
      </c>
      <c r="F148" s="3" t="s">
        <v>9</v>
      </c>
      <c r="G148" s="3" t="s">
        <v>1211</v>
      </c>
      <c r="H148" s="3" t="s">
        <v>7</v>
      </c>
      <c r="I148" s="39" t="s">
        <v>2</v>
      </c>
      <c r="J148" s="39" t="s">
        <v>1472</v>
      </c>
      <c r="K148" s="30">
        <v>26115</v>
      </c>
      <c r="L148" s="26">
        <v>1971</v>
      </c>
      <c r="M148" s="26">
        <f t="shared" si="2"/>
        <v>48</v>
      </c>
      <c r="N148" s="3" t="s">
        <v>3</v>
      </c>
      <c r="O148" s="3" t="s">
        <v>821</v>
      </c>
      <c r="P148" s="39" t="s">
        <v>936</v>
      </c>
      <c r="Q148" s="3"/>
      <c r="R148" s="39" t="s">
        <v>827</v>
      </c>
    </row>
    <row r="149" spans="2:18" ht="25.5" x14ac:dyDescent="0.25">
      <c r="B149" s="142"/>
      <c r="C149" s="140"/>
      <c r="D149" s="3">
        <v>142</v>
      </c>
      <c r="E149" s="39" t="s">
        <v>531</v>
      </c>
      <c r="F149" s="3" t="s">
        <v>11</v>
      </c>
      <c r="G149" s="3" t="s">
        <v>1212</v>
      </c>
      <c r="H149" s="3" t="s">
        <v>1</v>
      </c>
      <c r="I149" s="39" t="s">
        <v>129</v>
      </c>
      <c r="J149" s="39" t="s">
        <v>1465</v>
      </c>
      <c r="K149" s="30">
        <v>35247</v>
      </c>
      <c r="L149" s="26">
        <v>1996</v>
      </c>
      <c r="M149" s="26">
        <f t="shared" si="2"/>
        <v>23</v>
      </c>
      <c r="N149" s="3" t="s">
        <v>3</v>
      </c>
      <c r="O149" s="3" t="s">
        <v>821</v>
      </c>
      <c r="P149" s="39" t="s">
        <v>936</v>
      </c>
      <c r="Q149" s="3"/>
      <c r="R149" s="39" t="s">
        <v>1491</v>
      </c>
    </row>
    <row r="150" spans="2:18" ht="25.5" x14ac:dyDescent="0.25">
      <c r="B150" s="142"/>
      <c r="C150" s="140"/>
      <c r="D150" s="3">
        <v>143</v>
      </c>
      <c r="E150" s="39" t="s">
        <v>1208</v>
      </c>
      <c r="F150" s="3" t="s">
        <v>11</v>
      </c>
      <c r="G150" s="3" t="s">
        <v>1213</v>
      </c>
      <c r="H150" s="3" t="s">
        <v>1</v>
      </c>
      <c r="I150" s="39" t="s">
        <v>129</v>
      </c>
      <c r="J150" s="39" t="s">
        <v>1465</v>
      </c>
      <c r="K150" s="30">
        <v>35933</v>
      </c>
      <c r="L150" s="26">
        <v>1998</v>
      </c>
      <c r="M150" s="26">
        <f t="shared" si="2"/>
        <v>21</v>
      </c>
      <c r="N150" s="3" t="s">
        <v>3</v>
      </c>
      <c r="O150" s="3" t="s">
        <v>821</v>
      </c>
      <c r="P150" s="39" t="s">
        <v>936</v>
      </c>
      <c r="Q150" s="3"/>
      <c r="R150" s="39" t="s">
        <v>54</v>
      </c>
    </row>
    <row r="151" spans="2:18" ht="25.5" x14ac:dyDescent="0.25">
      <c r="B151" s="142"/>
      <c r="C151" s="140"/>
      <c r="D151" s="3">
        <v>144</v>
      </c>
      <c r="E151" s="39" t="s">
        <v>1209</v>
      </c>
      <c r="F151" s="3" t="s">
        <v>11</v>
      </c>
      <c r="G151" s="3" t="s">
        <v>1214</v>
      </c>
      <c r="H151" s="3" t="s">
        <v>7</v>
      </c>
      <c r="I151" s="39" t="s">
        <v>129</v>
      </c>
      <c r="J151" s="39" t="s">
        <v>1465</v>
      </c>
      <c r="K151" s="30">
        <v>38541</v>
      </c>
      <c r="L151" s="26">
        <v>2005</v>
      </c>
      <c r="M151" s="26">
        <f t="shared" si="2"/>
        <v>14</v>
      </c>
      <c r="N151" s="3" t="s">
        <v>3</v>
      </c>
      <c r="O151" s="3" t="s">
        <v>821</v>
      </c>
      <c r="P151" s="39" t="s">
        <v>1078</v>
      </c>
      <c r="Q151" s="3"/>
      <c r="R151" s="39" t="s">
        <v>1475</v>
      </c>
    </row>
    <row r="152" spans="2:18" ht="25.5" x14ac:dyDescent="0.25">
      <c r="B152" s="142"/>
      <c r="C152" s="141"/>
      <c r="D152" s="3">
        <v>145</v>
      </c>
      <c r="E152" s="39" t="s">
        <v>210</v>
      </c>
      <c r="F152" s="3" t="s">
        <v>11</v>
      </c>
      <c r="G152" s="3" t="s">
        <v>1215</v>
      </c>
      <c r="H152" s="3" t="s">
        <v>1</v>
      </c>
      <c r="I152" s="39" t="s">
        <v>129</v>
      </c>
      <c r="J152" s="39" t="s">
        <v>1465</v>
      </c>
      <c r="K152" s="30">
        <v>39876</v>
      </c>
      <c r="L152" s="26">
        <v>2009</v>
      </c>
      <c r="M152" s="26">
        <f t="shared" si="2"/>
        <v>10</v>
      </c>
      <c r="N152" s="3" t="s">
        <v>3</v>
      </c>
      <c r="O152" s="3" t="s">
        <v>821</v>
      </c>
      <c r="P152" s="39" t="s">
        <v>1078</v>
      </c>
      <c r="Q152" s="3"/>
      <c r="R152" s="39" t="s">
        <v>1475</v>
      </c>
    </row>
    <row r="153" spans="2:18" x14ac:dyDescent="0.25">
      <c r="B153" s="142">
        <v>43</v>
      </c>
      <c r="C153" s="142"/>
      <c r="D153" s="3">
        <v>146</v>
      </c>
      <c r="E153" s="39" t="s">
        <v>208</v>
      </c>
      <c r="F153" s="3" t="s">
        <v>5</v>
      </c>
      <c r="G153" s="3" t="s">
        <v>312</v>
      </c>
      <c r="H153" s="3" t="s">
        <v>1</v>
      </c>
      <c r="I153" s="39" t="s">
        <v>2</v>
      </c>
      <c r="J153" s="39"/>
      <c r="K153" s="30">
        <v>27606</v>
      </c>
      <c r="L153" s="26">
        <v>1975</v>
      </c>
      <c r="M153" s="26">
        <f t="shared" si="2"/>
        <v>44</v>
      </c>
      <c r="N153" s="3" t="s">
        <v>3</v>
      </c>
      <c r="O153" s="3"/>
      <c r="P153" s="39" t="s">
        <v>4</v>
      </c>
      <c r="Q153" s="3"/>
      <c r="R153" s="39"/>
    </row>
    <row r="154" spans="2:18" x14ac:dyDescent="0.25">
      <c r="B154" s="142"/>
      <c r="C154" s="142"/>
      <c r="D154" s="3">
        <v>147</v>
      </c>
      <c r="E154" s="39" t="s">
        <v>211</v>
      </c>
      <c r="F154" s="3" t="s">
        <v>9</v>
      </c>
      <c r="G154" s="3" t="s">
        <v>313</v>
      </c>
      <c r="H154" s="3" t="s">
        <v>7</v>
      </c>
      <c r="I154" s="39" t="s">
        <v>129</v>
      </c>
      <c r="J154" s="39"/>
      <c r="K154" s="30">
        <v>29612</v>
      </c>
      <c r="L154" s="26">
        <v>1981</v>
      </c>
      <c r="M154" s="26">
        <f t="shared" si="2"/>
        <v>38</v>
      </c>
      <c r="N154" s="3" t="s">
        <v>3</v>
      </c>
      <c r="O154" s="3"/>
      <c r="P154" s="39" t="s">
        <v>4</v>
      </c>
      <c r="Q154" s="3"/>
      <c r="R154" s="39"/>
    </row>
    <row r="155" spans="2:18" x14ac:dyDescent="0.25">
      <c r="B155" s="142"/>
      <c r="C155" s="142"/>
      <c r="D155" s="3">
        <v>148</v>
      </c>
      <c r="E155" s="39" t="s">
        <v>212</v>
      </c>
      <c r="F155" s="3" t="s">
        <v>11</v>
      </c>
      <c r="G155" s="3"/>
      <c r="H155" s="3" t="s">
        <v>7</v>
      </c>
      <c r="I155" s="39" t="s">
        <v>129</v>
      </c>
      <c r="J155" s="39"/>
      <c r="K155" s="30">
        <v>41836</v>
      </c>
      <c r="L155" s="26">
        <v>2014</v>
      </c>
      <c r="M155" s="26">
        <f t="shared" si="2"/>
        <v>5</v>
      </c>
      <c r="N155" s="3" t="s">
        <v>3</v>
      </c>
      <c r="O155" s="3"/>
      <c r="P155" s="39" t="s">
        <v>4</v>
      </c>
      <c r="Q155" s="3"/>
      <c r="R155" s="39"/>
    </row>
    <row r="156" spans="2:18" ht="25.5" x14ac:dyDescent="0.25">
      <c r="B156" s="142">
        <v>44</v>
      </c>
      <c r="C156" s="139" t="s">
        <v>1188</v>
      </c>
      <c r="D156" s="3">
        <v>149</v>
      </c>
      <c r="E156" s="39" t="s">
        <v>213</v>
      </c>
      <c r="F156" s="3" t="s">
        <v>5</v>
      </c>
      <c r="G156" s="3" t="s">
        <v>1189</v>
      </c>
      <c r="H156" s="3" t="s">
        <v>1</v>
      </c>
      <c r="I156" s="39" t="s">
        <v>2</v>
      </c>
      <c r="J156" s="39" t="s">
        <v>1472</v>
      </c>
      <c r="K156" s="30">
        <v>16619</v>
      </c>
      <c r="L156" s="26">
        <v>1945</v>
      </c>
      <c r="M156" s="26">
        <f t="shared" si="2"/>
        <v>74</v>
      </c>
      <c r="N156" s="3" t="s">
        <v>3</v>
      </c>
      <c r="O156" s="3" t="s">
        <v>821</v>
      </c>
      <c r="P156" s="39" t="s">
        <v>1076</v>
      </c>
      <c r="Q156" s="3"/>
      <c r="R156" s="39" t="s">
        <v>1550</v>
      </c>
    </row>
    <row r="157" spans="2:18" ht="25.5" x14ac:dyDescent="0.25">
      <c r="B157" s="142"/>
      <c r="C157" s="140"/>
      <c r="D157" s="3">
        <v>150</v>
      </c>
      <c r="E157" s="39" t="s">
        <v>188</v>
      </c>
      <c r="F157" s="3" t="s">
        <v>9</v>
      </c>
      <c r="G157" s="3" t="s">
        <v>1190</v>
      </c>
      <c r="H157" s="3" t="s">
        <v>7</v>
      </c>
      <c r="I157" s="39" t="s">
        <v>2</v>
      </c>
      <c r="J157" s="39" t="s">
        <v>1472</v>
      </c>
      <c r="K157" s="30">
        <v>27641</v>
      </c>
      <c r="L157" s="26">
        <v>1975</v>
      </c>
      <c r="M157" s="26">
        <f t="shared" si="2"/>
        <v>44</v>
      </c>
      <c r="N157" s="3" t="s">
        <v>3</v>
      </c>
      <c r="O157" s="3" t="s">
        <v>821</v>
      </c>
      <c r="P157" s="39" t="s">
        <v>1076</v>
      </c>
      <c r="Q157" s="3"/>
      <c r="R157" s="39" t="s">
        <v>1550</v>
      </c>
    </row>
    <row r="158" spans="2:18" ht="25.5" x14ac:dyDescent="0.25">
      <c r="B158" s="142"/>
      <c r="C158" s="141"/>
      <c r="D158" s="3">
        <v>151</v>
      </c>
      <c r="E158" s="39" t="s">
        <v>1192</v>
      </c>
      <c r="F158" s="3" t="s">
        <v>11</v>
      </c>
      <c r="G158" s="3" t="s">
        <v>1191</v>
      </c>
      <c r="H158" s="3" t="s">
        <v>1</v>
      </c>
      <c r="I158" s="39" t="s">
        <v>129</v>
      </c>
      <c r="J158" s="39" t="s">
        <v>1472</v>
      </c>
      <c r="K158" s="30">
        <v>32508</v>
      </c>
      <c r="L158" s="26">
        <v>1988</v>
      </c>
      <c r="M158" s="26">
        <f t="shared" si="2"/>
        <v>31</v>
      </c>
      <c r="N158" s="3" t="s">
        <v>3</v>
      </c>
      <c r="O158" s="3" t="s">
        <v>821</v>
      </c>
      <c r="P158" s="39" t="s">
        <v>936</v>
      </c>
      <c r="Q158" s="3"/>
      <c r="R158" s="39" t="s">
        <v>826</v>
      </c>
    </row>
    <row r="159" spans="2:18" x14ac:dyDescent="0.25">
      <c r="B159" s="142">
        <v>45</v>
      </c>
      <c r="C159" s="139" t="s">
        <v>1194</v>
      </c>
      <c r="D159" s="3">
        <v>152</v>
      </c>
      <c r="E159" s="39" t="s">
        <v>214</v>
      </c>
      <c r="F159" s="3" t="s">
        <v>5</v>
      </c>
      <c r="G159" s="3" t="s">
        <v>1185</v>
      </c>
      <c r="H159" s="3" t="s">
        <v>1</v>
      </c>
      <c r="I159" s="39" t="s">
        <v>2</v>
      </c>
      <c r="J159" s="39" t="s">
        <v>1541</v>
      </c>
      <c r="K159" s="30">
        <v>32070</v>
      </c>
      <c r="L159" s="26">
        <v>1987</v>
      </c>
      <c r="M159" s="26">
        <f t="shared" si="2"/>
        <v>32</v>
      </c>
      <c r="N159" s="3" t="s">
        <v>3</v>
      </c>
      <c r="O159" s="3" t="s">
        <v>821</v>
      </c>
      <c r="P159" s="39" t="s">
        <v>936</v>
      </c>
      <c r="Q159" s="3"/>
      <c r="R159" s="39" t="s">
        <v>54</v>
      </c>
    </row>
    <row r="160" spans="2:18" ht="25.5" x14ac:dyDescent="0.25">
      <c r="B160" s="142"/>
      <c r="C160" s="140"/>
      <c r="D160" s="3">
        <v>153</v>
      </c>
      <c r="E160" s="39" t="s">
        <v>1183</v>
      </c>
      <c r="F160" s="3" t="s">
        <v>9</v>
      </c>
      <c r="G160" s="3" t="s">
        <v>1186</v>
      </c>
      <c r="H160" s="3" t="s">
        <v>7</v>
      </c>
      <c r="I160" s="39" t="s">
        <v>2</v>
      </c>
      <c r="J160" s="39" t="s">
        <v>1551</v>
      </c>
      <c r="K160" s="30">
        <v>33786</v>
      </c>
      <c r="L160" s="26">
        <v>1992</v>
      </c>
      <c r="M160" s="26">
        <f t="shared" si="2"/>
        <v>27</v>
      </c>
      <c r="N160" s="3" t="s">
        <v>3</v>
      </c>
      <c r="O160" s="3" t="s">
        <v>821</v>
      </c>
      <c r="P160" s="39" t="s">
        <v>1078</v>
      </c>
      <c r="Q160" s="3"/>
      <c r="R160" s="39" t="s">
        <v>1491</v>
      </c>
    </row>
    <row r="161" spans="2:18" ht="25.5" x14ac:dyDescent="0.25">
      <c r="B161" s="142"/>
      <c r="C161" s="141"/>
      <c r="D161" s="3">
        <v>154</v>
      </c>
      <c r="E161" s="39" t="s">
        <v>1184</v>
      </c>
      <c r="F161" s="3" t="s">
        <v>11</v>
      </c>
      <c r="G161" s="3" t="s">
        <v>1187</v>
      </c>
      <c r="H161" s="3" t="s">
        <v>7</v>
      </c>
      <c r="I161" s="39" t="s">
        <v>129</v>
      </c>
      <c r="J161" s="39" t="s">
        <v>1472</v>
      </c>
      <c r="K161" s="30">
        <v>41611</v>
      </c>
      <c r="L161" s="26">
        <v>2013</v>
      </c>
      <c r="M161" s="26">
        <f t="shared" si="2"/>
        <v>6</v>
      </c>
      <c r="N161" s="3" t="s">
        <v>3</v>
      </c>
      <c r="O161" s="3" t="s">
        <v>821</v>
      </c>
      <c r="P161" s="39" t="s">
        <v>1076</v>
      </c>
      <c r="Q161" s="3"/>
      <c r="R161" s="39" t="s">
        <v>1491</v>
      </c>
    </row>
    <row r="162" spans="2:18" x14ac:dyDescent="0.25">
      <c r="B162" s="142">
        <v>46</v>
      </c>
      <c r="C162" s="139" t="s">
        <v>1195</v>
      </c>
      <c r="D162" s="3">
        <v>155</v>
      </c>
      <c r="E162" s="39" t="s">
        <v>25</v>
      </c>
      <c r="F162" s="3" t="s">
        <v>5</v>
      </c>
      <c r="G162" s="3" t="s">
        <v>1197</v>
      </c>
      <c r="H162" s="3" t="s">
        <v>1</v>
      </c>
      <c r="I162" s="39" t="s">
        <v>2</v>
      </c>
      <c r="J162" s="39" t="s">
        <v>1541</v>
      </c>
      <c r="K162" s="30">
        <v>26115</v>
      </c>
      <c r="L162" s="26">
        <v>1971</v>
      </c>
      <c r="M162" s="26">
        <f t="shared" si="2"/>
        <v>48</v>
      </c>
      <c r="N162" s="3" t="s">
        <v>3</v>
      </c>
      <c r="O162" s="3" t="s">
        <v>821</v>
      </c>
      <c r="P162" s="39" t="s">
        <v>936</v>
      </c>
      <c r="Q162" s="3"/>
      <c r="R162" s="39" t="s">
        <v>54</v>
      </c>
    </row>
    <row r="163" spans="2:18" ht="25.5" x14ac:dyDescent="0.25">
      <c r="B163" s="142"/>
      <c r="C163" s="140"/>
      <c r="D163" s="3">
        <v>156</v>
      </c>
      <c r="E163" s="39" t="s">
        <v>215</v>
      </c>
      <c r="F163" s="3" t="s">
        <v>9</v>
      </c>
      <c r="G163" s="3" t="s">
        <v>314</v>
      </c>
      <c r="H163" s="3" t="s">
        <v>7</v>
      </c>
      <c r="I163" s="39" t="s">
        <v>2</v>
      </c>
      <c r="J163" s="39" t="s">
        <v>1552</v>
      </c>
      <c r="K163" s="30">
        <v>27029</v>
      </c>
      <c r="L163" s="26">
        <v>1973</v>
      </c>
      <c r="M163" s="26">
        <f t="shared" si="2"/>
        <v>46</v>
      </c>
      <c r="N163" s="3" t="s">
        <v>3</v>
      </c>
      <c r="O163" s="3" t="s">
        <v>821</v>
      </c>
      <c r="P163" s="39" t="s">
        <v>936</v>
      </c>
      <c r="Q163" s="3"/>
      <c r="R163" s="39" t="s">
        <v>827</v>
      </c>
    </row>
    <row r="164" spans="2:18" ht="25.5" x14ac:dyDescent="0.25">
      <c r="B164" s="142"/>
      <c r="C164" s="140"/>
      <c r="D164" s="3">
        <v>157</v>
      </c>
      <c r="E164" s="39" t="s">
        <v>81</v>
      </c>
      <c r="F164" s="3" t="s">
        <v>11</v>
      </c>
      <c r="G164" s="3" t="s">
        <v>1198</v>
      </c>
      <c r="H164" s="3" t="s">
        <v>1</v>
      </c>
      <c r="I164" s="39" t="s">
        <v>129</v>
      </c>
      <c r="J164" s="39" t="s">
        <v>1472</v>
      </c>
      <c r="K164" s="30">
        <v>33724</v>
      </c>
      <c r="L164" s="26">
        <v>1992</v>
      </c>
      <c r="M164" s="26">
        <f t="shared" si="2"/>
        <v>27</v>
      </c>
      <c r="N164" s="3" t="s">
        <v>3</v>
      </c>
      <c r="O164" s="3" t="s">
        <v>821</v>
      </c>
      <c r="P164" s="39" t="s">
        <v>933</v>
      </c>
      <c r="Q164" s="3"/>
      <c r="R164" s="39" t="s">
        <v>1491</v>
      </c>
    </row>
    <row r="165" spans="2:18" ht="25.5" x14ac:dyDescent="0.25">
      <c r="B165" s="142"/>
      <c r="C165" s="140"/>
      <c r="D165" s="3">
        <v>158</v>
      </c>
      <c r="E165" s="39" t="s">
        <v>216</v>
      </c>
      <c r="F165" s="3" t="s">
        <v>11</v>
      </c>
      <c r="G165" s="3" t="s">
        <v>1199</v>
      </c>
      <c r="H165" s="3" t="s">
        <v>1</v>
      </c>
      <c r="I165" s="39" t="s">
        <v>129</v>
      </c>
      <c r="J165" s="39" t="s">
        <v>1465</v>
      </c>
      <c r="K165" s="30">
        <v>34699</v>
      </c>
      <c r="L165" s="26">
        <v>1994</v>
      </c>
      <c r="M165" s="26">
        <f t="shared" si="2"/>
        <v>25</v>
      </c>
      <c r="N165" s="3" t="s">
        <v>3</v>
      </c>
      <c r="O165" s="3" t="s">
        <v>821</v>
      </c>
      <c r="P165" s="39" t="s">
        <v>933</v>
      </c>
      <c r="Q165" s="3"/>
      <c r="R165" s="39" t="s">
        <v>1491</v>
      </c>
    </row>
    <row r="166" spans="2:18" ht="25.5" x14ac:dyDescent="0.25">
      <c r="B166" s="142"/>
      <c r="C166" s="141"/>
      <c r="D166" s="3">
        <v>159</v>
      </c>
      <c r="E166" s="39" t="s">
        <v>1196</v>
      </c>
      <c r="F166" s="3" t="s">
        <v>11</v>
      </c>
      <c r="G166" s="3" t="s">
        <v>316</v>
      </c>
      <c r="H166" s="3" t="s">
        <v>1</v>
      </c>
      <c r="I166" s="39" t="s">
        <v>129</v>
      </c>
      <c r="J166" s="39" t="s">
        <v>1465</v>
      </c>
      <c r="K166" s="30">
        <v>41036</v>
      </c>
      <c r="L166" s="26">
        <v>2012</v>
      </c>
      <c r="M166" s="26">
        <f t="shared" si="2"/>
        <v>7</v>
      </c>
      <c r="N166" s="3" t="s">
        <v>3</v>
      </c>
      <c r="O166" s="3" t="s">
        <v>821</v>
      </c>
      <c r="P166" s="39" t="s">
        <v>1076</v>
      </c>
      <c r="Q166" s="3"/>
      <c r="R166" s="39" t="s">
        <v>1491</v>
      </c>
    </row>
    <row r="167" spans="2:18" ht="25.5" x14ac:dyDescent="0.25">
      <c r="B167" s="142">
        <v>47</v>
      </c>
      <c r="C167" s="142" t="s">
        <v>1795</v>
      </c>
      <c r="D167" s="3">
        <v>160</v>
      </c>
      <c r="E167" s="39" t="s">
        <v>218</v>
      </c>
      <c r="F167" s="3" t="s">
        <v>5</v>
      </c>
      <c r="G167" s="3" t="s">
        <v>317</v>
      </c>
      <c r="H167" s="3" t="s">
        <v>1</v>
      </c>
      <c r="I167" s="39" t="s">
        <v>2</v>
      </c>
      <c r="J167" s="39" t="s">
        <v>820</v>
      </c>
      <c r="K167" s="30">
        <v>21550</v>
      </c>
      <c r="L167" s="26">
        <v>1958</v>
      </c>
      <c r="M167" s="26">
        <f t="shared" si="2"/>
        <v>61</v>
      </c>
      <c r="N167" s="3" t="s">
        <v>3</v>
      </c>
      <c r="O167" s="3" t="s">
        <v>821</v>
      </c>
      <c r="P167" s="39" t="s">
        <v>936</v>
      </c>
      <c r="Q167" s="3"/>
      <c r="R167" s="39" t="s">
        <v>877</v>
      </c>
    </row>
    <row r="168" spans="2:18" ht="25.5" x14ac:dyDescent="0.25">
      <c r="B168" s="142"/>
      <c r="C168" s="142"/>
      <c r="D168" s="3">
        <v>161</v>
      </c>
      <c r="E168" s="39" t="s">
        <v>1796</v>
      </c>
      <c r="F168" s="3" t="s">
        <v>9</v>
      </c>
      <c r="G168" s="3" t="s">
        <v>318</v>
      </c>
      <c r="H168" s="3" t="s">
        <v>7</v>
      </c>
      <c r="I168" s="39" t="s">
        <v>2</v>
      </c>
      <c r="J168" s="39" t="s">
        <v>820</v>
      </c>
      <c r="K168" s="30">
        <v>22228</v>
      </c>
      <c r="L168" s="26">
        <v>1960</v>
      </c>
      <c r="M168" s="26">
        <f t="shared" si="2"/>
        <v>59</v>
      </c>
      <c r="N168" s="3" t="s">
        <v>3</v>
      </c>
      <c r="O168" s="3" t="s">
        <v>821</v>
      </c>
      <c r="P168" s="39" t="s">
        <v>936</v>
      </c>
      <c r="Q168" s="3"/>
      <c r="R168" s="39" t="s">
        <v>877</v>
      </c>
    </row>
    <row r="169" spans="2:18" ht="25.5" x14ac:dyDescent="0.25">
      <c r="B169" s="142"/>
      <c r="C169" s="142"/>
      <c r="D169" s="3">
        <v>162</v>
      </c>
      <c r="E169" s="39" t="s">
        <v>174</v>
      </c>
      <c r="F169" s="3" t="s">
        <v>11</v>
      </c>
      <c r="G169" s="3" t="s">
        <v>319</v>
      </c>
      <c r="H169" s="3" t="s">
        <v>7</v>
      </c>
      <c r="I169" s="39" t="s">
        <v>129</v>
      </c>
      <c r="J169" s="39" t="s">
        <v>820</v>
      </c>
      <c r="K169" s="30">
        <v>29753</v>
      </c>
      <c r="L169" s="26">
        <v>1981</v>
      </c>
      <c r="M169" s="26">
        <f t="shared" si="2"/>
        <v>38</v>
      </c>
      <c r="N169" s="3" t="s">
        <v>3</v>
      </c>
      <c r="O169" s="3" t="s">
        <v>821</v>
      </c>
      <c r="P169" s="39" t="s">
        <v>936</v>
      </c>
      <c r="Q169" s="3"/>
      <c r="R169" s="39" t="s">
        <v>877</v>
      </c>
    </row>
    <row r="170" spans="2:18" ht="25.5" x14ac:dyDescent="0.25">
      <c r="B170" s="142"/>
      <c r="C170" s="142"/>
      <c r="D170" s="3">
        <v>163</v>
      </c>
      <c r="E170" s="39" t="s">
        <v>219</v>
      </c>
      <c r="F170" s="3" t="s">
        <v>11</v>
      </c>
      <c r="G170" s="3" t="s">
        <v>320</v>
      </c>
      <c r="H170" s="3" t="s">
        <v>1</v>
      </c>
      <c r="I170" s="39" t="s">
        <v>129</v>
      </c>
      <c r="J170" s="39" t="s">
        <v>820</v>
      </c>
      <c r="K170" s="30">
        <v>30423</v>
      </c>
      <c r="L170" s="26">
        <v>1983</v>
      </c>
      <c r="M170" s="26">
        <f t="shared" si="2"/>
        <v>36</v>
      </c>
      <c r="N170" s="3" t="s">
        <v>3</v>
      </c>
      <c r="O170" s="3" t="s">
        <v>821</v>
      </c>
      <c r="P170" s="39" t="s">
        <v>936</v>
      </c>
      <c r="Q170" s="3"/>
      <c r="R170" s="39" t="s">
        <v>877</v>
      </c>
    </row>
    <row r="171" spans="2:18" ht="25.5" x14ac:dyDescent="0.25">
      <c r="B171" s="142"/>
      <c r="C171" s="142"/>
      <c r="D171" s="3">
        <v>164</v>
      </c>
      <c r="E171" s="39" t="s">
        <v>220</v>
      </c>
      <c r="F171" s="3" t="s">
        <v>11</v>
      </c>
      <c r="G171" s="3">
        <v>0</v>
      </c>
      <c r="H171" s="3" t="s">
        <v>1</v>
      </c>
      <c r="I171" s="39" t="s">
        <v>129</v>
      </c>
      <c r="J171" s="39" t="s">
        <v>820</v>
      </c>
      <c r="K171" s="30">
        <v>31884</v>
      </c>
      <c r="L171" s="26">
        <v>1987</v>
      </c>
      <c r="M171" s="26">
        <f t="shared" si="2"/>
        <v>32</v>
      </c>
      <c r="N171" s="3" t="s">
        <v>3</v>
      </c>
      <c r="O171" s="3" t="s">
        <v>821</v>
      </c>
      <c r="P171" s="39" t="s">
        <v>978</v>
      </c>
      <c r="Q171" s="3"/>
      <c r="R171" s="39" t="s">
        <v>1491</v>
      </c>
    </row>
    <row r="172" spans="2:18" ht="25.5" x14ac:dyDescent="0.25">
      <c r="B172" s="142">
        <v>48</v>
      </c>
      <c r="C172" s="142" t="s">
        <v>1703</v>
      </c>
      <c r="D172" s="3">
        <v>165</v>
      </c>
      <c r="E172" s="39" t="s">
        <v>221</v>
      </c>
      <c r="F172" s="3" t="s">
        <v>5</v>
      </c>
      <c r="G172" s="3" t="s">
        <v>1706</v>
      </c>
      <c r="H172" s="3" t="s">
        <v>1</v>
      </c>
      <c r="I172" s="39" t="s">
        <v>2</v>
      </c>
      <c r="J172" s="39" t="s">
        <v>1472</v>
      </c>
      <c r="K172" s="30">
        <v>22885</v>
      </c>
      <c r="L172" s="26">
        <v>1962</v>
      </c>
      <c r="M172" s="26">
        <f t="shared" si="2"/>
        <v>57</v>
      </c>
      <c r="N172" s="3" t="s">
        <v>3</v>
      </c>
      <c r="O172" s="3" t="s">
        <v>821</v>
      </c>
      <c r="P172" s="39" t="s">
        <v>936</v>
      </c>
      <c r="Q172" s="3"/>
      <c r="R172" s="39" t="s">
        <v>826</v>
      </c>
    </row>
    <row r="173" spans="2:18" ht="25.5" x14ac:dyDescent="0.25">
      <c r="B173" s="142"/>
      <c r="C173" s="142"/>
      <c r="D173" s="3">
        <v>166</v>
      </c>
      <c r="E173" s="39" t="s">
        <v>1704</v>
      </c>
      <c r="F173" s="3" t="s">
        <v>9</v>
      </c>
      <c r="G173" s="3" t="s">
        <v>1705</v>
      </c>
      <c r="H173" s="3" t="s">
        <v>7</v>
      </c>
      <c r="I173" s="39" t="s">
        <v>2</v>
      </c>
      <c r="J173" s="39" t="s">
        <v>1472</v>
      </c>
      <c r="K173" s="30">
        <v>26903</v>
      </c>
      <c r="L173" s="26">
        <v>1973</v>
      </c>
      <c r="M173" s="26">
        <f t="shared" si="2"/>
        <v>46</v>
      </c>
      <c r="N173" s="3" t="s">
        <v>3</v>
      </c>
      <c r="O173" s="3" t="s">
        <v>821</v>
      </c>
      <c r="P173" s="39" t="s">
        <v>1078</v>
      </c>
      <c r="Q173" s="3"/>
      <c r="R173" s="39" t="s">
        <v>827</v>
      </c>
    </row>
    <row r="174" spans="2:18" ht="25.5" x14ac:dyDescent="0.25">
      <c r="B174" s="142"/>
      <c r="C174" s="142"/>
      <c r="D174" s="3">
        <v>167</v>
      </c>
      <c r="E174" s="39" t="s">
        <v>223</v>
      </c>
      <c r="F174" s="3" t="s">
        <v>11</v>
      </c>
      <c r="G174" s="3" t="s">
        <v>1134</v>
      </c>
      <c r="H174" s="3" t="s">
        <v>7</v>
      </c>
      <c r="I174" s="39" t="s">
        <v>881</v>
      </c>
      <c r="J174" s="39" t="s">
        <v>1472</v>
      </c>
      <c r="K174" s="30">
        <v>33478</v>
      </c>
      <c r="L174" s="26">
        <v>1991</v>
      </c>
      <c r="M174" s="26">
        <f t="shared" si="2"/>
        <v>28</v>
      </c>
      <c r="N174" s="3" t="s">
        <v>3</v>
      </c>
      <c r="O174" s="3" t="s">
        <v>821</v>
      </c>
      <c r="P174" s="39" t="s">
        <v>933</v>
      </c>
      <c r="Q174" s="3"/>
      <c r="R174" s="39" t="s">
        <v>1491</v>
      </c>
    </row>
    <row r="175" spans="2:18" ht="25.5" x14ac:dyDescent="0.25">
      <c r="B175" s="142"/>
      <c r="C175" s="142"/>
      <c r="D175" s="3">
        <v>168</v>
      </c>
      <c r="E175" s="39" t="s">
        <v>1133</v>
      </c>
      <c r="F175" s="3" t="s">
        <v>1030</v>
      </c>
      <c r="G175" s="3" t="s">
        <v>1135</v>
      </c>
      <c r="H175" s="3" t="s">
        <v>7</v>
      </c>
      <c r="I175" s="39" t="s">
        <v>10</v>
      </c>
      <c r="J175" s="39" t="s">
        <v>1472</v>
      </c>
      <c r="K175" s="30">
        <v>40909</v>
      </c>
      <c r="L175" s="26">
        <v>2012</v>
      </c>
      <c r="M175" s="26">
        <f t="shared" ref="M175:M237" si="3">2019-L175</f>
        <v>7</v>
      </c>
      <c r="N175" s="3" t="s">
        <v>3</v>
      </c>
      <c r="O175" s="3" t="s">
        <v>821</v>
      </c>
      <c r="P175" s="39" t="s">
        <v>1076</v>
      </c>
      <c r="Q175" s="3"/>
      <c r="R175" s="39" t="s">
        <v>1491</v>
      </c>
    </row>
    <row r="176" spans="2:18" ht="25.5" x14ac:dyDescent="0.25">
      <c r="B176" s="142">
        <v>49</v>
      </c>
      <c r="C176" s="139" t="s">
        <v>1173</v>
      </c>
      <c r="D176" s="3">
        <v>169</v>
      </c>
      <c r="E176" s="39" t="s">
        <v>226</v>
      </c>
      <c r="F176" s="3" t="s">
        <v>5</v>
      </c>
      <c r="G176" s="3" t="s">
        <v>1174</v>
      </c>
      <c r="H176" s="3" t="s">
        <v>1</v>
      </c>
      <c r="I176" s="39" t="s">
        <v>2</v>
      </c>
      <c r="J176" s="39" t="s">
        <v>1465</v>
      </c>
      <c r="K176" s="30">
        <v>30841</v>
      </c>
      <c r="L176" s="26">
        <v>1984</v>
      </c>
      <c r="M176" s="26">
        <f t="shared" si="3"/>
        <v>35</v>
      </c>
      <c r="N176" s="3" t="s">
        <v>3</v>
      </c>
      <c r="O176" s="3" t="s">
        <v>821</v>
      </c>
      <c r="P176" s="39" t="s">
        <v>936</v>
      </c>
      <c r="Q176" s="3"/>
      <c r="R176" s="39" t="s">
        <v>826</v>
      </c>
    </row>
    <row r="177" spans="2:18" ht="25.5" x14ac:dyDescent="0.25">
      <c r="B177" s="142"/>
      <c r="C177" s="140"/>
      <c r="D177" s="3">
        <v>170</v>
      </c>
      <c r="E177" s="39" t="s">
        <v>1178</v>
      </c>
      <c r="F177" s="3" t="s">
        <v>9</v>
      </c>
      <c r="G177" s="3" t="s">
        <v>1175</v>
      </c>
      <c r="H177" s="3" t="s">
        <v>7</v>
      </c>
      <c r="I177" s="39" t="s">
        <v>2</v>
      </c>
      <c r="J177" s="39" t="s">
        <v>1472</v>
      </c>
      <c r="K177" s="30">
        <v>29768</v>
      </c>
      <c r="L177" s="26">
        <v>1981</v>
      </c>
      <c r="M177" s="26">
        <f t="shared" si="3"/>
        <v>38</v>
      </c>
      <c r="N177" s="3" t="s">
        <v>3</v>
      </c>
      <c r="O177" s="3" t="s">
        <v>821</v>
      </c>
      <c r="P177" s="39" t="s">
        <v>936</v>
      </c>
      <c r="Q177" s="3"/>
      <c r="R177" s="39" t="s">
        <v>827</v>
      </c>
    </row>
    <row r="178" spans="2:18" ht="25.5" x14ac:dyDescent="0.25">
      <c r="B178" s="142"/>
      <c r="C178" s="140"/>
      <c r="D178" s="3">
        <v>171</v>
      </c>
      <c r="E178" s="39" t="s">
        <v>227</v>
      </c>
      <c r="F178" s="3" t="s">
        <v>11</v>
      </c>
      <c r="G178" s="3" t="s">
        <v>1176</v>
      </c>
      <c r="H178" s="3" t="s">
        <v>1</v>
      </c>
      <c r="I178" s="39" t="s">
        <v>10</v>
      </c>
      <c r="J178" s="39" t="s">
        <v>1472</v>
      </c>
      <c r="K178" s="30">
        <v>39135</v>
      </c>
      <c r="L178" s="26">
        <v>2007</v>
      </c>
      <c r="M178" s="26">
        <f t="shared" si="3"/>
        <v>12</v>
      </c>
      <c r="N178" s="3" t="s">
        <v>3</v>
      </c>
      <c r="O178" s="3" t="s">
        <v>821</v>
      </c>
      <c r="P178" s="39" t="s">
        <v>1078</v>
      </c>
      <c r="Q178" s="3"/>
      <c r="R178" s="39" t="s">
        <v>1475</v>
      </c>
    </row>
    <row r="179" spans="2:18" ht="25.5" x14ac:dyDescent="0.25">
      <c r="B179" s="142"/>
      <c r="C179" s="141"/>
      <c r="D179" s="3">
        <v>172</v>
      </c>
      <c r="E179" s="39" t="s">
        <v>1179</v>
      </c>
      <c r="F179" s="3" t="s">
        <v>228</v>
      </c>
      <c r="G179" s="3" t="s">
        <v>1177</v>
      </c>
      <c r="H179" s="3" t="s">
        <v>1</v>
      </c>
      <c r="I179" s="39" t="s">
        <v>10</v>
      </c>
      <c r="J179" s="39" t="s">
        <v>1472</v>
      </c>
      <c r="K179" s="30">
        <v>42434</v>
      </c>
      <c r="L179" s="26">
        <v>2016</v>
      </c>
      <c r="M179" s="26">
        <f t="shared" si="3"/>
        <v>3</v>
      </c>
      <c r="N179" s="3" t="s">
        <v>3</v>
      </c>
      <c r="O179" s="3" t="s">
        <v>821</v>
      </c>
      <c r="P179" s="39" t="s">
        <v>1076</v>
      </c>
      <c r="Q179" s="3"/>
      <c r="R179" s="39" t="s">
        <v>1491</v>
      </c>
    </row>
    <row r="180" spans="2:18" ht="25.5" x14ac:dyDescent="0.25">
      <c r="B180" s="142">
        <v>50</v>
      </c>
      <c r="C180" s="139" t="s">
        <v>1200</v>
      </c>
      <c r="D180" s="3">
        <v>173</v>
      </c>
      <c r="E180" s="39" t="s">
        <v>229</v>
      </c>
      <c r="F180" s="3" t="s">
        <v>5</v>
      </c>
      <c r="G180" s="3" t="s">
        <v>1203</v>
      </c>
      <c r="H180" s="3" t="s">
        <v>1</v>
      </c>
      <c r="I180" s="39" t="s">
        <v>2</v>
      </c>
      <c r="J180" s="39" t="s">
        <v>1472</v>
      </c>
      <c r="K180" s="30">
        <v>29586</v>
      </c>
      <c r="L180" s="26">
        <v>1980</v>
      </c>
      <c r="M180" s="26">
        <f t="shared" si="3"/>
        <v>39</v>
      </c>
      <c r="N180" s="3" t="s">
        <v>3</v>
      </c>
      <c r="O180" s="3" t="s">
        <v>821</v>
      </c>
      <c r="P180" s="39" t="s">
        <v>1076</v>
      </c>
      <c r="Q180" s="3"/>
      <c r="R180" s="39" t="s">
        <v>826</v>
      </c>
    </row>
    <row r="181" spans="2:18" ht="25.5" x14ac:dyDescent="0.25">
      <c r="B181" s="142"/>
      <c r="C181" s="140"/>
      <c r="D181" s="3">
        <v>174</v>
      </c>
      <c r="E181" s="39" t="s">
        <v>230</v>
      </c>
      <c r="F181" s="3" t="s">
        <v>9</v>
      </c>
      <c r="G181" s="3" t="s">
        <v>1204</v>
      </c>
      <c r="H181" s="3" t="s">
        <v>7</v>
      </c>
      <c r="I181" s="39" t="s">
        <v>2</v>
      </c>
      <c r="J181" s="39" t="s">
        <v>1472</v>
      </c>
      <c r="K181" s="30">
        <v>29951</v>
      </c>
      <c r="L181" s="26">
        <v>1981</v>
      </c>
      <c r="M181" s="26">
        <f t="shared" si="3"/>
        <v>38</v>
      </c>
      <c r="N181" s="3" t="s">
        <v>3</v>
      </c>
      <c r="O181" s="3" t="s">
        <v>821</v>
      </c>
      <c r="P181" s="39" t="s">
        <v>1076</v>
      </c>
      <c r="Q181" s="3"/>
      <c r="R181" s="39" t="s">
        <v>899</v>
      </c>
    </row>
    <row r="182" spans="2:18" ht="25.5" x14ac:dyDescent="0.25">
      <c r="B182" s="142"/>
      <c r="C182" s="140"/>
      <c r="D182" s="3">
        <v>175</v>
      </c>
      <c r="E182" s="39" t="s">
        <v>1201</v>
      </c>
      <c r="F182" s="3" t="s">
        <v>11</v>
      </c>
      <c r="G182" s="3" t="s">
        <v>1205</v>
      </c>
      <c r="H182" s="3" t="s">
        <v>1</v>
      </c>
      <c r="I182" s="39" t="s">
        <v>129</v>
      </c>
      <c r="J182" s="39" t="s">
        <v>1472</v>
      </c>
      <c r="K182" s="30">
        <v>39082</v>
      </c>
      <c r="L182" s="26">
        <v>2006</v>
      </c>
      <c r="M182" s="26">
        <f t="shared" si="3"/>
        <v>13</v>
      </c>
      <c r="N182" s="3" t="s">
        <v>3</v>
      </c>
      <c r="O182" s="3" t="s">
        <v>821</v>
      </c>
      <c r="P182" s="39" t="s">
        <v>1078</v>
      </c>
      <c r="Q182" s="3"/>
      <c r="R182" s="39" t="s">
        <v>1475</v>
      </c>
    </row>
    <row r="183" spans="2:18" ht="25.5" x14ac:dyDescent="0.25">
      <c r="B183" s="142"/>
      <c r="C183" s="141"/>
      <c r="D183" s="3">
        <v>176</v>
      </c>
      <c r="E183" s="39" t="s">
        <v>1202</v>
      </c>
      <c r="F183" s="3" t="s">
        <v>11</v>
      </c>
      <c r="G183" s="3" t="s">
        <v>1206</v>
      </c>
      <c r="H183" s="3" t="s">
        <v>7</v>
      </c>
      <c r="I183" s="39" t="s">
        <v>10</v>
      </c>
      <c r="J183" s="39" t="s">
        <v>1472</v>
      </c>
      <c r="K183" s="30">
        <v>40479</v>
      </c>
      <c r="L183" s="26">
        <v>2010</v>
      </c>
      <c r="M183" s="26">
        <f t="shared" si="3"/>
        <v>9</v>
      </c>
      <c r="N183" s="3" t="s">
        <v>3</v>
      </c>
      <c r="O183" s="3" t="s">
        <v>821</v>
      </c>
      <c r="P183" s="39" t="s">
        <v>1076</v>
      </c>
      <c r="Q183" s="3"/>
      <c r="R183" s="39" t="s">
        <v>1491</v>
      </c>
    </row>
    <row r="184" spans="2:18" x14ac:dyDescent="0.25">
      <c r="B184" s="3">
        <v>51</v>
      </c>
      <c r="C184" s="3"/>
      <c r="D184" s="3">
        <v>177</v>
      </c>
      <c r="E184" s="39" t="s">
        <v>231</v>
      </c>
      <c r="F184" s="3" t="s">
        <v>5</v>
      </c>
      <c r="G184" s="3"/>
      <c r="H184" s="3" t="s">
        <v>7</v>
      </c>
      <c r="I184" s="39" t="s">
        <v>232</v>
      </c>
      <c r="J184" s="39"/>
      <c r="K184" s="30">
        <v>15446</v>
      </c>
      <c r="L184" s="26">
        <v>1942</v>
      </c>
      <c r="M184" s="26">
        <f t="shared" si="3"/>
        <v>77</v>
      </c>
      <c r="N184" s="3" t="s">
        <v>3</v>
      </c>
      <c r="O184" s="3"/>
      <c r="P184" s="39" t="s">
        <v>4</v>
      </c>
      <c r="Q184" s="3"/>
      <c r="R184" s="39"/>
    </row>
    <row r="185" spans="2:18" ht="25.5" x14ac:dyDescent="0.25">
      <c r="B185" s="142">
        <v>52</v>
      </c>
      <c r="C185" s="139" t="s">
        <v>1162</v>
      </c>
      <c r="D185" s="3">
        <v>178</v>
      </c>
      <c r="E185" s="39" t="s">
        <v>233</v>
      </c>
      <c r="F185" s="3" t="s">
        <v>5</v>
      </c>
      <c r="G185" s="3" t="s">
        <v>1163</v>
      </c>
      <c r="H185" s="3" t="s">
        <v>7</v>
      </c>
      <c r="I185" s="39" t="s">
        <v>883</v>
      </c>
      <c r="J185" s="39" t="s">
        <v>1541</v>
      </c>
      <c r="K185" s="30">
        <v>30061</v>
      </c>
      <c r="L185" s="26">
        <v>1982</v>
      </c>
      <c r="M185" s="26">
        <f t="shared" si="3"/>
        <v>37</v>
      </c>
      <c r="N185" s="3" t="s">
        <v>3</v>
      </c>
      <c r="O185" s="3" t="s">
        <v>821</v>
      </c>
      <c r="P185" s="39" t="s">
        <v>936</v>
      </c>
      <c r="Q185" s="3"/>
      <c r="R185" s="39" t="s">
        <v>827</v>
      </c>
    </row>
    <row r="186" spans="2:18" ht="25.5" x14ac:dyDescent="0.25">
      <c r="B186" s="142"/>
      <c r="C186" s="141"/>
      <c r="D186" s="3">
        <v>179</v>
      </c>
      <c r="E186" s="39" t="s">
        <v>234</v>
      </c>
      <c r="F186" s="3" t="s">
        <v>11</v>
      </c>
      <c r="G186" s="3" t="s">
        <v>1164</v>
      </c>
      <c r="H186" s="3" t="s">
        <v>7</v>
      </c>
      <c r="I186" s="39" t="s">
        <v>10</v>
      </c>
      <c r="J186" s="39" t="s">
        <v>1465</v>
      </c>
      <c r="K186" s="30">
        <v>38353</v>
      </c>
      <c r="L186" s="26">
        <v>2005</v>
      </c>
      <c r="M186" s="26">
        <f t="shared" si="3"/>
        <v>14</v>
      </c>
      <c r="N186" s="3" t="s">
        <v>3</v>
      </c>
      <c r="O186" s="3" t="s">
        <v>821</v>
      </c>
      <c r="P186" s="39" t="s">
        <v>1078</v>
      </c>
      <c r="Q186" s="3"/>
      <c r="R186" s="39" t="s">
        <v>1475</v>
      </c>
    </row>
    <row r="187" spans="2:18" x14ac:dyDescent="0.25">
      <c r="B187" s="139">
        <v>53</v>
      </c>
      <c r="C187" s="139"/>
      <c r="D187" s="3">
        <v>180</v>
      </c>
      <c r="E187" s="39" t="s">
        <v>235</v>
      </c>
      <c r="F187" s="3" t="s">
        <v>5</v>
      </c>
      <c r="G187" s="3"/>
      <c r="H187" s="3" t="s">
        <v>1</v>
      </c>
      <c r="I187" s="39" t="s">
        <v>2</v>
      </c>
      <c r="J187" s="39"/>
      <c r="K187" s="30">
        <v>31151</v>
      </c>
      <c r="L187" s="26">
        <v>1985</v>
      </c>
      <c r="M187" s="26">
        <f t="shared" si="3"/>
        <v>34</v>
      </c>
      <c r="N187" s="3" t="s">
        <v>3</v>
      </c>
      <c r="O187" s="3"/>
      <c r="P187" s="39" t="s">
        <v>21</v>
      </c>
      <c r="Q187" s="3"/>
      <c r="R187" s="39"/>
    </row>
    <row r="188" spans="2:18" x14ac:dyDescent="0.25">
      <c r="B188" s="140"/>
      <c r="C188" s="140"/>
      <c r="D188" s="3">
        <v>181</v>
      </c>
      <c r="E188" s="39" t="s">
        <v>236</v>
      </c>
      <c r="F188" s="3" t="s">
        <v>9</v>
      </c>
      <c r="G188" s="3"/>
      <c r="H188" s="3" t="s">
        <v>7</v>
      </c>
      <c r="I188" s="39" t="s">
        <v>2</v>
      </c>
      <c r="J188" s="39"/>
      <c r="K188" s="30">
        <v>31186</v>
      </c>
      <c r="L188" s="26">
        <v>1985</v>
      </c>
      <c r="M188" s="26">
        <f t="shared" si="3"/>
        <v>34</v>
      </c>
      <c r="N188" s="3" t="s">
        <v>3</v>
      </c>
      <c r="O188" s="3"/>
      <c r="P188" s="39" t="s">
        <v>13</v>
      </c>
      <c r="Q188" s="3"/>
      <c r="R188" s="39"/>
    </row>
    <row r="189" spans="2:18" x14ac:dyDescent="0.25">
      <c r="B189" s="141"/>
      <c r="C189" s="141"/>
      <c r="D189" s="3">
        <v>182</v>
      </c>
      <c r="E189" s="39" t="s">
        <v>237</v>
      </c>
      <c r="F189" s="3" t="s">
        <v>11</v>
      </c>
      <c r="G189" s="3"/>
      <c r="H189" s="3" t="s">
        <v>7</v>
      </c>
      <c r="I189" s="39" t="s">
        <v>10</v>
      </c>
      <c r="J189" s="39"/>
      <c r="K189" s="30">
        <v>40470</v>
      </c>
      <c r="L189" s="26">
        <v>2010</v>
      </c>
      <c r="M189" s="26">
        <f t="shared" si="3"/>
        <v>9</v>
      </c>
      <c r="N189" s="3" t="s">
        <v>3</v>
      </c>
      <c r="O189" s="3"/>
      <c r="P189" s="39" t="s">
        <v>4</v>
      </c>
      <c r="Q189" s="3"/>
      <c r="R189" s="39"/>
    </row>
    <row r="190" spans="2:18" ht="25.5" x14ac:dyDescent="0.25">
      <c r="B190" s="139">
        <v>54</v>
      </c>
      <c r="C190" s="139" t="s">
        <v>1169</v>
      </c>
      <c r="D190" s="3">
        <v>183</v>
      </c>
      <c r="E190" s="39" t="s">
        <v>238</v>
      </c>
      <c r="F190" s="3" t="s">
        <v>5</v>
      </c>
      <c r="G190" s="3" t="s">
        <v>1166</v>
      </c>
      <c r="H190" s="3" t="s">
        <v>1</v>
      </c>
      <c r="I190" s="39" t="s">
        <v>2</v>
      </c>
      <c r="J190" s="39" t="s">
        <v>1472</v>
      </c>
      <c r="K190" s="30">
        <v>31503</v>
      </c>
      <c r="L190" s="26">
        <v>1986</v>
      </c>
      <c r="M190" s="26">
        <f t="shared" si="3"/>
        <v>33</v>
      </c>
      <c r="N190" s="3" t="s">
        <v>3</v>
      </c>
      <c r="O190" s="3" t="s">
        <v>821</v>
      </c>
      <c r="P190" s="39" t="s">
        <v>1076</v>
      </c>
      <c r="Q190" s="3"/>
      <c r="R190" s="39" t="s">
        <v>826</v>
      </c>
    </row>
    <row r="191" spans="2:18" ht="25.5" x14ac:dyDescent="0.25">
      <c r="B191" s="140"/>
      <c r="C191" s="140"/>
      <c r="D191" s="3">
        <v>184</v>
      </c>
      <c r="E191" s="39" t="s">
        <v>1165</v>
      </c>
      <c r="F191" s="3" t="s">
        <v>9</v>
      </c>
      <c r="G191" s="3" t="s">
        <v>1167</v>
      </c>
      <c r="H191" s="3" t="s">
        <v>7</v>
      </c>
      <c r="I191" s="39" t="s">
        <v>2</v>
      </c>
      <c r="J191" s="39" t="s">
        <v>1553</v>
      </c>
      <c r="K191" s="30">
        <v>34516</v>
      </c>
      <c r="L191" s="26">
        <v>1994</v>
      </c>
      <c r="M191" s="26">
        <f t="shared" si="3"/>
        <v>25</v>
      </c>
      <c r="N191" s="3" t="s">
        <v>3</v>
      </c>
      <c r="O191" s="3" t="s">
        <v>821</v>
      </c>
      <c r="P191" s="39" t="s">
        <v>1076</v>
      </c>
      <c r="Q191" s="3"/>
      <c r="R191" s="39" t="s">
        <v>827</v>
      </c>
    </row>
    <row r="192" spans="2:18" ht="25.5" x14ac:dyDescent="0.25">
      <c r="B192" s="141"/>
      <c r="C192" s="141"/>
      <c r="D192" s="3">
        <v>185</v>
      </c>
      <c r="E192" s="39" t="s">
        <v>1554</v>
      </c>
      <c r="F192" s="3" t="s">
        <v>11</v>
      </c>
      <c r="G192" s="3" t="s">
        <v>1168</v>
      </c>
      <c r="H192" s="3" t="s">
        <v>1</v>
      </c>
      <c r="I192" s="39" t="s">
        <v>10</v>
      </c>
      <c r="J192" s="39" t="s">
        <v>1472</v>
      </c>
      <c r="K192" s="30">
        <v>42093</v>
      </c>
      <c r="L192" s="26">
        <v>2015</v>
      </c>
      <c r="M192" s="26">
        <f t="shared" si="3"/>
        <v>4</v>
      </c>
      <c r="N192" s="3" t="s">
        <v>3</v>
      </c>
      <c r="O192" s="3" t="s">
        <v>821</v>
      </c>
      <c r="P192" s="39" t="s">
        <v>1076</v>
      </c>
      <c r="Q192" s="3"/>
      <c r="R192" s="39" t="s">
        <v>1491</v>
      </c>
    </row>
    <row r="193" spans="2:18" x14ac:dyDescent="0.25">
      <c r="B193" s="142">
        <v>55</v>
      </c>
      <c r="C193" s="139" t="s">
        <v>1555</v>
      </c>
      <c r="D193" s="3">
        <v>186</v>
      </c>
      <c r="E193" s="39" t="s">
        <v>239</v>
      </c>
      <c r="F193" s="3" t="s">
        <v>5</v>
      </c>
      <c r="G193" s="3" t="s">
        <v>1193</v>
      </c>
      <c r="H193" s="3" t="s">
        <v>1</v>
      </c>
      <c r="I193" s="39" t="s">
        <v>2</v>
      </c>
      <c r="J193" s="39" t="s">
        <v>1472</v>
      </c>
      <c r="K193" s="30">
        <v>21185</v>
      </c>
      <c r="L193" s="26">
        <v>1957</v>
      </c>
      <c r="M193" s="26">
        <f t="shared" si="3"/>
        <v>62</v>
      </c>
      <c r="N193" s="3" t="s">
        <v>3</v>
      </c>
      <c r="O193" s="3" t="s">
        <v>821</v>
      </c>
      <c r="P193" s="39" t="s">
        <v>936</v>
      </c>
      <c r="Q193" s="3"/>
      <c r="R193" s="39" t="s">
        <v>868</v>
      </c>
    </row>
    <row r="194" spans="2:18" ht="25.5" x14ac:dyDescent="0.25">
      <c r="B194" s="142"/>
      <c r="C194" s="141"/>
      <c r="D194" s="3">
        <v>187</v>
      </c>
      <c r="E194" s="39" t="s">
        <v>209</v>
      </c>
      <c r="F194" s="3" t="s">
        <v>9</v>
      </c>
      <c r="G194" s="3" t="s">
        <v>323</v>
      </c>
      <c r="H194" s="3" t="s">
        <v>7</v>
      </c>
      <c r="I194" s="39" t="s">
        <v>2</v>
      </c>
      <c r="J194" s="39" t="s">
        <v>1472</v>
      </c>
      <c r="K194" s="30">
        <v>19724</v>
      </c>
      <c r="L194" s="26">
        <v>1953</v>
      </c>
      <c r="M194" s="26">
        <f t="shared" si="3"/>
        <v>66</v>
      </c>
      <c r="N194" s="3" t="s">
        <v>3</v>
      </c>
      <c r="O194" s="3" t="s">
        <v>821</v>
      </c>
      <c r="P194" s="39" t="s">
        <v>936</v>
      </c>
      <c r="Q194" s="3"/>
      <c r="R194" s="39" t="s">
        <v>1556</v>
      </c>
    </row>
    <row r="195" spans="2:18" x14ac:dyDescent="0.25">
      <c r="B195" s="139">
        <v>56</v>
      </c>
      <c r="C195" s="139" t="s">
        <v>1072</v>
      </c>
      <c r="D195" s="3">
        <v>188</v>
      </c>
      <c r="E195" s="39" t="s">
        <v>1073</v>
      </c>
      <c r="F195" s="3" t="s">
        <v>5</v>
      </c>
      <c r="G195" s="3" t="s">
        <v>324</v>
      </c>
      <c r="H195" s="3" t="s">
        <v>1</v>
      </c>
      <c r="I195" s="39" t="s">
        <v>2</v>
      </c>
      <c r="J195" s="39" t="s">
        <v>1472</v>
      </c>
      <c r="K195" s="30">
        <v>21339</v>
      </c>
      <c r="L195" s="26">
        <v>1958</v>
      </c>
      <c r="M195" s="26">
        <f t="shared" si="3"/>
        <v>61</v>
      </c>
      <c r="N195" s="3" t="s">
        <v>3</v>
      </c>
      <c r="O195" s="3" t="s">
        <v>821</v>
      </c>
      <c r="P195" s="39" t="s">
        <v>936</v>
      </c>
      <c r="Q195" s="3"/>
      <c r="R195" s="39" t="s">
        <v>1496</v>
      </c>
    </row>
    <row r="196" spans="2:18" ht="25.5" x14ac:dyDescent="0.25">
      <c r="B196" s="140"/>
      <c r="C196" s="140"/>
      <c r="D196" s="3">
        <v>189</v>
      </c>
      <c r="E196" s="39" t="s">
        <v>240</v>
      </c>
      <c r="F196" s="3" t="s">
        <v>9</v>
      </c>
      <c r="G196" s="3" t="s">
        <v>325</v>
      </c>
      <c r="H196" s="3" t="s">
        <v>7</v>
      </c>
      <c r="I196" s="39" t="s">
        <v>2</v>
      </c>
      <c r="J196" s="39" t="s">
        <v>1557</v>
      </c>
      <c r="K196" s="30">
        <v>27029</v>
      </c>
      <c r="L196" s="26">
        <v>1973</v>
      </c>
      <c r="M196" s="26">
        <f t="shared" si="3"/>
        <v>46</v>
      </c>
      <c r="N196" s="3" t="s">
        <v>3</v>
      </c>
      <c r="O196" s="3" t="s">
        <v>821</v>
      </c>
      <c r="P196" s="39" t="s">
        <v>936</v>
      </c>
      <c r="Q196" s="3"/>
      <c r="R196" s="39" t="s">
        <v>826</v>
      </c>
    </row>
    <row r="197" spans="2:18" x14ac:dyDescent="0.25">
      <c r="B197" s="140"/>
      <c r="C197" s="140"/>
      <c r="D197" s="3">
        <v>190</v>
      </c>
      <c r="E197" s="39" t="s">
        <v>1069</v>
      </c>
      <c r="F197" s="3" t="s">
        <v>11</v>
      </c>
      <c r="G197" s="3" t="s">
        <v>1074</v>
      </c>
      <c r="H197" s="3" t="s">
        <v>1</v>
      </c>
      <c r="I197" s="39" t="s">
        <v>10</v>
      </c>
      <c r="J197" s="39" t="s">
        <v>1472</v>
      </c>
      <c r="K197" s="30">
        <v>31879</v>
      </c>
      <c r="L197" s="26">
        <v>1987</v>
      </c>
      <c r="M197" s="26">
        <v>32</v>
      </c>
      <c r="N197" s="3" t="s">
        <v>3</v>
      </c>
      <c r="O197" s="3" t="s">
        <v>821</v>
      </c>
      <c r="P197" s="39" t="s">
        <v>978</v>
      </c>
      <c r="Q197" s="3"/>
      <c r="R197" s="39" t="s">
        <v>54</v>
      </c>
    </row>
    <row r="198" spans="2:18" x14ac:dyDescent="0.25">
      <c r="B198" s="140"/>
      <c r="C198" s="140"/>
      <c r="D198" s="3">
        <v>191</v>
      </c>
      <c r="E198" s="39" t="s">
        <v>1070</v>
      </c>
      <c r="F198" s="3" t="s">
        <v>11</v>
      </c>
      <c r="G198" s="3" t="s">
        <v>1075</v>
      </c>
      <c r="H198" s="3" t="s">
        <v>7</v>
      </c>
      <c r="I198" s="39" t="s">
        <v>10</v>
      </c>
      <c r="J198" s="39" t="s">
        <v>1472</v>
      </c>
      <c r="K198" s="30">
        <v>33055</v>
      </c>
      <c r="L198" s="26">
        <v>1990</v>
      </c>
      <c r="M198" s="26">
        <f t="shared" si="3"/>
        <v>29</v>
      </c>
      <c r="N198" s="3" t="s">
        <v>3</v>
      </c>
      <c r="O198" s="3" t="s">
        <v>821</v>
      </c>
      <c r="P198" s="39" t="s">
        <v>978</v>
      </c>
      <c r="Q198" s="3"/>
      <c r="R198" s="39" t="s">
        <v>54</v>
      </c>
    </row>
    <row r="199" spans="2:18" ht="25.5" x14ac:dyDescent="0.25">
      <c r="B199" s="140"/>
      <c r="C199" s="140"/>
      <c r="D199" s="3">
        <v>192</v>
      </c>
      <c r="E199" s="39" t="s">
        <v>1071</v>
      </c>
      <c r="F199" s="3" t="s">
        <v>11</v>
      </c>
      <c r="G199" s="3" t="s">
        <v>326</v>
      </c>
      <c r="H199" s="3" t="s">
        <v>1</v>
      </c>
      <c r="I199" s="39" t="s">
        <v>10</v>
      </c>
      <c r="J199" s="39" t="s">
        <v>1472</v>
      </c>
      <c r="K199" s="30">
        <v>37719</v>
      </c>
      <c r="L199" s="26">
        <v>2003</v>
      </c>
      <c r="M199" s="26">
        <f t="shared" si="3"/>
        <v>16</v>
      </c>
      <c r="N199" s="3" t="s">
        <v>3</v>
      </c>
      <c r="O199" s="3" t="s">
        <v>821</v>
      </c>
      <c r="P199" s="39" t="s">
        <v>1076</v>
      </c>
      <c r="Q199" s="3"/>
      <c r="R199" s="39" t="s">
        <v>1491</v>
      </c>
    </row>
    <row r="200" spans="2:18" x14ac:dyDescent="0.25">
      <c r="B200" s="140">
        <v>57</v>
      </c>
      <c r="C200" s="140"/>
      <c r="D200" s="3">
        <v>193</v>
      </c>
      <c r="E200" s="39" t="s">
        <v>241</v>
      </c>
      <c r="F200" s="3" t="s">
        <v>5</v>
      </c>
      <c r="G200" s="3"/>
      <c r="H200" s="3" t="s">
        <v>1</v>
      </c>
      <c r="I200" s="39" t="s">
        <v>10</v>
      </c>
      <c r="J200" s="39"/>
      <c r="K200" s="30">
        <v>34561</v>
      </c>
      <c r="L200" s="26">
        <v>1994</v>
      </c>
      <c r="M200" s="26">
        <f t="shared" si="3"/>
        <v>25</v>
      </c>
      <c r="N200" s="3" t="s">
        <v>3</v>
      </c>
      <c r="O200" s="3"/>
      <c r="P200" s="39" t="s">
        <v>13</v>
      </c>
      <c r="Q200" s="3"/>
      <c r="R200" s="39"/>
    </row>
    <row r="201" spans="2:18" x14ac:dyDescent="0.25">
      <c r="B201" s="140"/>
      <c r="C201" s="140"/>
      <c r="D201" s="3">
        <v>194</v>
      </c>
      <c r="E201" s="39" t="s">
        <v>24</v>
      </c>
      <c r="F201" s="3" t="s">
        <v>159</v>
      </c>
      <c r="G201" s="3"/>
      <c r="H201" s="3" t="s">
        <v>1</v>
      </c>
      <c r="I201" s="39" t="s">
        <v>10</v>
      </c>
      <c r="J201" s="39"/>
      <c r="K201" s="30">
        <v>35136</v>
      </c>
      <c r="L201" s="26">
        <v>1996</v>
      </c>
      <c r="M201" s="26">
        <f t="shared" si="3"/>
        <v>23</v>
      </c>
      <c r="N201" s="3" t="s">
        <v>3</v>
      </c>
      <c r="O201" s="3"/>
      <c r="P201" s="39" t="s">
        <v>13</v>
      </c>
      <c r="Q201" s="3"/>
      <c r="R201" s="39"/>
    </row>
    <row r="202" spans="2:18" ht="25.5" x14ac:dyDescent="0.25">
      <c r="B202" s="140"/>
      <c r="C202" s="140"/>
      <c r="D202" s="3">
        <v>195</v>
      </c>
      <c r="E202" s="39" t="s">
        <v>242</v>
      </c>
      <c r="F202" s="3" t="s">
        <v>159</v>
      </c>
      <c r="G202" s="3"/>
      <c r="H202" s="3" t="s">
        <v>7</v>
      </c>
      <c r="I202" s="39" t="s">
        <v>10</v>
      </c>
      <c r="J202" s="39"/>
      <c r="K202" s="30">
        <v>39485</v>
      </c>
      <c r="L202" s="26">
        <v>2008</v>
      </c>
      <c r="M202" s="26">
        <f t="shared" si="3"/>
        <v>11</v>
      </c>
      <c r="N202" s="3" t="s">
        <v>3</v>
      </c>
      <c r="O202" s="3"/>
      <c r="P202" s="39" t="s">
        <v>4</v>
      </c>
      <c r="Q202" s="3"/>
      <c r="R202" s="39"/>
    </row>
    <row r="203" spans="2:18" x14ac:dyDescent="0.25">
      <c r="B203" s="141"/>
      <c r="C203" s="141"/>
      <c r="D203" s="3">
        <v>196</v>
      </c>
      <c r="E203" s="39" t="s">
        <v>243</v>
      </c>
      <c r="F203" s="3" t="s">
        <v>159</v>
      </c>
      <c r="G203" s="3"/>
      <c r="H203" s="3" t="s">
        <v>7</v>
      </c>
      <c r="I203" s="39" t="s">
        <v>10</v>
      </c>
      <c r="J203" s="39"/>
      <c r="K203" s="30">
        <v>40095</v>
      </c>
      <c r="L203" s="26">
        <v>2009</v>
      </c>
      <c r="M203" s="26">
        <f t="shared" si="3"/>
        <v>10</v>
      </c>
      <c r="N203" s="3" t="s">
        <v>3</v>
      </c>
      <c r="O203" s="3"/>
      <c r="P203" s="39" t="s">
        <v>4</v>
      </c>
      <c r="Q203" s="3"/>
      <c r="R203" s="39"/>
    </row>
    <row r="204" spans="2:18" x14ac:dyDescent="0.25">
      <c r="B204" s="142">
        <v>58</v>
      </c>
      <c r="C204" s="142"/>
      <c r="D204" s="3">
        <v>197</v>
      </c>
      <c r="E204" s="39" t="s">
        <v>244</v>
      </c>
      <c r="F204" s="3" t="s">
        <v>5</v>
      </c>
      <c r="G204" s="3" t="s">
        <v>327</v>
      </c>
      <c r="H204" s="3" t="s">
        <v>1</v>
      </c>
      <c r="I204" s="39" t="s">
        <v>2</v>
      </c>
      <c r="J204" s="39"/>
      <c r="K204" s="30">
        <v>30316</v>
      </c>
      <c r="L204" s="26">
        <v>1982</v>
      </c>
      <c r="M204" s="26">
        <f t="shared" si="3"/>
        <v>37</v>
      </c>
      <c r="N204" s="3" t="s">
        <v>3</v>
      </c>
      <c r="O204" s="3"/>
      <c r="P204" s="39" t="s">
        <v>21</v>
      </c>
      <c r="Q204" s="3"/>
      <c r="R204" s="39"/>
    </row>
    <row r="205" spans="2:18" x14ac:dyDescent="0.25">
      <c r="B205" s="142"/>
      <c r="C205" s="142"/>
      <c r="D205" s="3">
        <v>198</v>
      </c>
      <c r="E205" s="39" t="s">
        <v>245</v>
      </c>
      <c r="F205" s="3" t="s">
        <v>9</v>
      </c>
      <c r="G205" s="3" t="s">
        <v>328</v>
      </c>
      <c r="H205" s="3" t="s">
        <v>7</v>
      </c>
      <c r="I205" s="39" t="s">
        <v>2</v>
      </c>
      <c r="J205" s="39"/>
      <c r="K205" s="30">
        <v>32748</v>
      </c>
      <c r="L205" s="26">
        <v>1989</v>
      </c>
      <c r="M205" s="26">
        <f t="shared" si="3"/>
        <v>30</v>
      </c>
      <c r="N205" s="3" t="s">
        <v>3</v>
      </c>
      <c r="O205" s="3"/>
      <c r="P205" s="39" t="s">
        <v>21</v>
      </c>
      <c r="Q205" s="3"/>
      <c r="R205" s="39"/>
    </row>
    <row r="206" spans="2:18" x14ac:dyDescent="0.25">
      <c r="B206" s="142"/>
      <c r="C206" s="142"/>
      <c r="D206" s="3">
        <v>199</v>
      </c>
      <c r="E206" s="39" t="s">
        <v>246</v>
      </c>
      <c r="F206" s="3" t="s">
        <v>11</v>
      </c>
      <c r="G206" s="3" t="s">
        <v>323</v>
      </c>
      <c r="H206" s="3" t="s">
        <v>7</v>
      </c>
      <c r="I206" s="39" t="s">
        <v>10</v>
      </c>
      <c r="J206" s="39"/>
      <c r="K206" s="30">
        <v>40162</v>
      </c>
      <c r="L206" s="26">
        <v>2009</v>
      </c>
      <c r="M206" s="26">
        <f t="shared" si="3"/>
        <v>10</v>
      </c>
      <c r="N206" s="3" t="s">
        <v>3</v>
      </c>
      <c r="O206" s="3"/>
      <c r="P206" s="39" t="s">
        <v>4</v>
      </c>
      <c r="Q206" s="3"/>
      <c r="R206" s="39"/>
    </row>
    <row r="207" spans="2:18" ht="25.5" x14ac:dyDescent="0.25">
      <c r="B207" s="142">
        <v>59</v>
      </c>
      <c r="C207" s="139" t="s">
        <v>1081</v>
      </c>
      <c r="D207" s="3">
        <v>200</v>
      </c>
      <c r="E207" s="39" t="s">
        <v>1079</v>
      </c>
      <c r="F207" s="3" t="s">
        <v>5</v>
      </c>
      <c r="G207" s="3" t="s">
        <v>287</v>
      </c>
      <c r="H207" s="3" t="s">
        <v>1</v>
      </c>
      <c r="I207" s="39" t="s">
        <v>2</v>
      </c>
      <c r="J207" s="39" t="s">
        <v>1472</v>
      </c>
      <c r="K207" s="30">
        <v>22281</v>
      </c>
      <c r="L207" s="26">
        <v>1960</v>
      </c>
      <c r="M207" s="26">
        <f t="shared" si="3"/>
        <v>59</v>
      </c>
      <c r="N207" s="3" t="s">
        <v>3</v>
      </c>
      <c r="O207" s="3" t="s">
        <v>821</v>
      </c>
      <c r="P207" s="39" t="s">
        <v>1076</v>
      </c>
      <c r="Q207" s="3"/>
      <c r="R207" s="39" t="s">
        <v>1488</v>
      </c>
    </row>
    <row r="208" spans="2:18" ht="25.5" x14ac:dyDescent="0.25">
      <c r="B208" s="142"/>
      <c r="C208" s="140"/>
      <c r="D208" s="3">
        <v>201</v>
      </c>
      <c r="E208" s="39" t="s">
        <v>173</v>
      </c>
      <c r="F208" s="3" t="s">
        <v>9</v>
      </c>
      <c r="G208" s="3" t="s">
        <v>1083</v>
      </c>
      <c r="H208" s="3" t="s">
        <v>7</v>
      </c>
      <c r="I208" s="39" t="s">
        <v>2</v>
      </c>
      <c r="J208" s="39" t="s">
        <v>1472</v>
      </c>
      <c r="K208" s="30">
        <v>23011</v>
      </c>
      <c r="L208" s="26">
        <v>1962</v>
      </c>
      <c r="M208" s="26">
        <f t="shared" si="3"/>
        <v>57</v>
      </c>
      <c r="N208" s="3" t="s">
        <v>3</v>
      </c>
      <c r="O208" s="3" t="s">
        <v>821</v>
      </c>
      <c r="P208" s="39" t="s">
        <v>1076</v>
      </c>
      <c r="Q208" s="3"/>
      <c r="R208" s="39" t="s">
        <v>1488</v>
      </c>
    </row>
    <row r="209" spans="2:18" ht="25.5" x14ac:dyDescent="0.25">
      <c r="B209" s="142"/>
      <c r="C209" s="141"/>
      <c r="D209" s="3">
        <v>202</v>
      </c>
      <c r="E209" s="39" t="s">
        <v>1080</v>
      </c>
      <c r="F209" s="3" t="s">
        <v>11</v>
      </c>
      <c r="G209" s="3" t="s">
        <v>1082</v>
      </c>
      <c r="H209" s="3" t="s">
        <v>1</v>
      </c>
      <c r="I209" s="39" t="s">
        <v>10</v>
      </c>
      <c r="J209" s="39" t="s">
        <v>1472</v>
      </c>
      <c r="K209" s="30">
        <v>28836</v>
      </c>
      <c r="L209" s="26">
        <v>1978</v>
      </c>
      <c r="M209" s="26">
        <f t="shared" si="3"/>
        <v>41</v>
      </c>
      <c r="N209" s="3" t="s">
        <v>3</v>
      </c>
      <c r="O209" s="3" t="s">
        <v>821</v>
      </c>
      <c r="P209" s="39" t="s">
        <v>933</v>
      </c>
      <c r="Q209" s="3"/>
      <c r="R209" s="39" t="s">
        <v>1491</v>
      </c>
    </row>
    <row r="210" spans="2:18" x14ac:dyDescent="0.25">
      <c r="B210" s="139">
        <v>60</v>
      </c>
      <c r="C210" s="139" t="s">
        <v>1090</v>
      </c>
      <c r="D210" s="3">
        <v>203</v>
      </c>
      <c r="E210" s="39" t="s">
        <v>1087</v>
      </c>
      <c r="F210" s="3" t="s">
        <v>5</v>
      </c>
      <c r="G210" s="3" t="s">
        <v>1086</v>
      </c>
      <c r="H210" s="3" t="s">
        <v>1</v>
      </c>
      <c r="I210" s="39" t="s">
        <v>2</v>
      </c>
      <c r="J210" s="39" t="s">
        <v>1472</v>
      </c>
      <c r="K210" s="30">
        <v>32527</v>
      </c>
      <c r="L210" s="26">
        <v>1989</v>
      </c>
      <c r="M210" s="26">
        <f t="shared" si="3"/>
        <v>30</v>
      </c>
      <c r="N210" s="3" t="s">
        <v>3</v>
      </c>
      <c r="O210" s="3" t="s">
        <v>821</v>
      </c>
      <c r="P210" s="39" t="s">
        <v>978</v>
      </c>
      <c r="Q210" s="3"/>
      <c r="R210" s="39" t="s">
        <v>54</v>
      </c>
    </row>
    <row r="211" spans="2:18" x14ac:dyDescent="0.25">
      <c r="B211" s="140"/>
      <c r="C211" s="140"/>
      <c r="D211" s="3">
        <v>204</v>
      </c>
      <c r="E211" s="39" t="s">
        <v>1088</v>
      </c>
      <c r="F211" s="3" t="s">
        <v>9</v>
      </c>
      <c r="G211" s="3" t="s">
        <v>1091</v>
      </c>
      <c r="H211" s="3" t="s">
        <v>7</v>
      </c>
      <c r="I211" s="39" t="s">
        <v>2</v>
      </c>
      <c r="J211" s="39" t="s">
        <v>1558</v>
      </c>
      <c r="K211" s="30">
        <v>34197</v>
      </c>
      <c r="L211" s="26">
        <v>1993</v>
      </c>
      <c r="M211" s="26">
        <f t="shared" si="3"/>
        <v>26</v>
      </c>
      <c r="N211" s="3" t="s">
        <v>3</v>
      </c>
      <c r="O211" s="3" t="s">
        <v>821</v>
      </c>
      <c r="P211" s="39" t="s">
        <v>978</v>
      </c>
      <c r="Q211" s="3"/>
      <c r="R211" s="39" t="s">
        <v>54</v>
      </c>
    </row>
    <row r="212" spans="2:18" ht="25.5" x14ac:dyDescent="0.25">
      <c r="B212" s="141"/>
      <c r="C212" s="141"/>
      <c r="D212" s="3">
        <v>205</v>
      </c>
      <c r="E212" s="39" t="s">
        <v>1089</v>
      </c>
      <c r="F212" s="3" t="s">
        <v>11</v>
      </c>
      <c r="G212" s="3" t="s">
        <v>1092</v>
      </c>
      <c r="H212" s="3" t="s">
        <v>7</v>
      </c>
      <c r="I212" s="39" t="s">
        <v>129</v>
      </c>
      <c r="J212" s="39" t="s">
        <v>1472</v>
      </c>
      <c r="K212" s="30">
        <v>43372</v>
      </c>
      <c r="L212" s="26">
        <v>2018</v>
      </c>
      <c r="M212" s="26">
        <f t="shared" si="3"/>
        <v>1</v>
      </c>
      <c r="N212" s="3" t="s">
        <v>3</v>
      </c>
      <c r="O212" s="3" t="s">
        <v>821</v>
      </c>
      <c r="P212" s="39" t="s">
        <v>1076</v>
      </c>
      <c r="Q212" s="3"/>
      <c r="R212" s="39" t="s">
        <v>1491</v>
      </c>
    </row>
    <row r="213" spans="2:18" ht="25.5" x14ac:dyDescent="0.25">
      <c r="B213" s="139">
        <v>61</v>
      </c>
      <c r="C213" s="139" t="s">
        <v>1113</v>
      </c>
      <c r="D213" s="3">
        <v>206</v>
      </c>
      <c r="E213" s="39" t="s">
        <v>1109</v>
      </c>
      <c r="F213" s="3" t="s">
        <v>5</v>
      </c>
      <c r="G213" s="3" t="s">
        <v>1114</v>
      </c>
      <c r="H213" s="3" t="s">
        <v>1</v>
      </c>
      <c r="I213" s="39" t="s">
        <v>1014</v>
      </c>
      <c r="J213" s="39" t="s">
        <v>1480</v>
      </c>
      <c r="K213" s="30">
        <v>30133</v>
      </c>
      <c r="L213" s="26">
        <v>1982</v>
      </c>
      <c r="M213" s="26">
        <f t="shared" si="3"/>
        <v>37</v>
      </c>
      <c r="N213" s="3" t="s">
        <v>3</v>
      </c>
      <c r="O213" s="3" t="s">
        <v>821</v>
      </c>
      <c r="P213" s="39" t="s">
        <v>978</v>
      </c>
      <c r="Q213" s="3"/>
      <c r="R213" s="39" t="s">
        <v>54</v>
      </c>
    </row>
    <row r="214" spans="2:18" ht="25.5" x14ac:dyDescent="0.25">
      <c r="B214" s="140"/>
      <c r="C214" s="140"/>
      <c r="D214" s="3">
        <v>207</v>
      </c>
      <c r="E214" s="39" t="s">
        <v>1110</v>
      </c>
      <c r="F214" s="3" t="s">
        <v>9</v>
      </c>
      <c r="G214" s="3" t="s">
        <v>1115</v>
      </c>
      <c r="H214" s="3" t="s">
        <v>7</v>
      </c>
      <c r="I214" s="39" t="s">
        <v>1014</v>
      </c>
      <c r="J214" s="39" t="s">
        <v>1480</v>
      </c>
      <c r="K214" s="30">
        <v>29768</v>
      </c>
      <c r="L214" s="26">
        <v>1981</v>
      </c>
      <c r="M214" s="26">
        <f t="shared" si="3"/>
        <v>38</v>
      </c>
      <c r="N214" s="3" t="s">
        <v>3</v>
      </c>
      <c r="O214" s="3" t="s">
        <v>821</v>
      </c>
      <c r="P214" s="39" t="s">
        <v>933</v>
      </c>
      <c r="Q214" s="3"/>
      <c r="R214" s="39" t="s">
        <v>899</v>
      </c>
    </row>
    <row r="215" spans="2:18" ht="38.25" x14ac:dyDescent="0.25">
      <c r="B215" s="140"/>
      <c r="C215" s="140"/>
      <c r="D215" s="3">
        <v>208</v>
      </c>
      <c r="E215" s="39" t="s">
        <v>1111</v>
      </c>
      <c r="F215" s="3" t="s">
        <v>11</v>
      </c>
      <c r="G215" s="3" t="s">
        <v>1116</v>
      </c>
      <c r="H215" s="3" t="s">
        <v>1</v>
      </c>
      <c r="I215" s="39" t="s">
        <v>129</v>
      </c>
      <c r="J215" s="39" t="s">
        <v>1465</v>
      </c>
      <c r="K215" s="30">
        <v>39411</v>
      </c>
      <c r="L215" s="26">
        <v>2007</v>
      </c>
      <c r="M215" s="26">
        <f t="shared" si="3"/>
        <v>12</v>
      </c>
      <c r="N215" s="3" t="s">
        <v>3</v>
      </c>
      <c r="O215" s="3" t="s">
        <v>821</v>
      </c>
      <c r="P215" s="39" t="s">
        <v>1078</v>
      </c>
      <c r="Q215" s="3"/>
      <c r="R215" s="39" t="s">
        <v>1475</v>
      </c>
    </row>
    <row r="216" spans="2:18" ht="25.5" x14ac:dyDescent="0.25">
      <c r="B216" s="141"/>
      <c r="C216" s="141"/>
      <c r="D216" s="3">
        <v>209</v>
      </c>
      <c r="E216" s="39" t="s">
        <v>1112</v>
      </c>
      <c r="F216" s="3" t="s">
        <v>11</v>
      </c>
      <c r="G216" s="3" t="s">
        <v>1117</v>
      </c>
      <c r="H216" s="3" t="s">
        <v>1</v>
      </c>
      <c r="I216" s="39" t="s">
        <v>129</v>
      </c>
      <c r="J216" s="39" t="s">
        <v>1472</v>
      </c>
      <c r="K216" s="30">
        <v>43255</v>
      </c>
      <c r="L216" s="26">
        <v>2018</v>
      </c>
      <c r="M216" s="26">
        <f t="shared" si="3"/>
        <v>1</v>
      </c>
      <c r="N216" s="3" t="s">
        <v>3</v>
      </c>
      <c r="O216" s="3" t="s">
        <v>821</v>
      </c>
      <c r="P216" s="39" t="s">
        <v>1076</v>
      </c>
      <c r="Q216" s="3"/>
      <c r="R216" s="39" t="s">
        <v>1491</v>
      </c>
    </row>
    <row r="217" spans="2:18" x14ac:dyDescent="0.25">
      <c r="B217" s="142">
        <v>62</v>
      </c>
      <c r="C217" s="139" t="s">
        <v>1118</v>
      </c>
      <c r="D217" s="3">
        <v>210</v>
      </c>
      <c r="E217" s="39" t="s">
        <v>1121</v>
      </c>
      <c r="F217" s="3" t="s">
        <v>5</v>
      </c>
      <c r="G217" s="3" t="s">
        <v>260</v>
      </c>
      <c r="H217" s="3" t="s">
        <v>1</v>
      </c>
      <c r="I217" s="39" t="s">
        <v>2</v>
      </c>
      <c r="J217" s="39" t="s">
        <v>1472</v>
      </c>
      <c r="K217" s="30">
        <v>30823</v>
      </c>
      <c r="L217" s="26">
        <v>1984</v>
      </c>
      <c r="M217" s="26">
        <f t="shared" si="3"/>
        <v>35</v>
      </c>
      <c r="N217" s="3" t="s">
        <v>3</v>
      </c>
      <c r="O217" s="3" t="s">
        <v>821</v>
      </c>
      <c r="P217" s="39" t="s">
        <v>978</v>
      </c>
      <c r="Q217" s="3"/>
      <c r="R217" s="39" t="s">
        <v>54</v>
      </c>
    </row>
    <row r="218" spans="2:18" x14ac:dyDescent="0.25">
      <c r="B218" s="142"/>
      <c r="C218" s="140"/>
      <c r="D218" s="3">
        <v>211</v>
      </c>
      <c r="E218" s="39" t="s">
        <v>1120</v>
      </c>
      <c r="F218" s="3" t="s">
        <v>9</v>
      </c>
      <c r="G218" s="3" t="s">
        <v>1122</v>
      </c>
      <c r="H218" s="3" t="s">
        <v>7</v>
      </c>
      <c r="I218" s="39" t="s">
        <v>2</v>
      </c>
      <c r="J218" s="39" t="s">
        <v>1559</v>
      </c>
      <c r="K218" s="30">
        <v>33280</v>
      </c>
      <c r="L218" s="26">
        <v>1991</v>
      </c>
      <c r="M218" s="26">
        <f t="shared" si="3"/>
        <v>28</v>
      </c>
      <c r="N218" s="3" t="s">
        <v>3</v>
      </c>
      <c r="O218" s="3" t="s">
        <v>821</v>
      </c>
      <c r="P218" s="39" t="s">
        <v>978</v>
      </c>
      <c r="Q218" s="3"/>
      <c r="R218" s="39" t="s">
        <v>54</v>
      </c>
    </row>
    <row r="219" spans="2:18" ht="25.5" x14ac:dyDescent="0.25">
      <c r="B219" s="142"/>
      <c r="C219" s="141"/>
      <c r="D219" s="3">
        <v>212</v>
      </c>
      <c r="E219" s="39" t="s">
        <v>1119</v>
      </c>
      <c r="F219" s="3" t="s">
        <v>11</v>
      </c>
      <c r="G219" s="3" t="s">
        <v>1123</v>
      </c>
      <c r="H219" s="3" t="s">
        <v>1</v>
      </c>
      <c r="I219" s="39" t="s">
        <v>10</v>
      </c>
      <c r="J219" s="39" t="s">
        <v>1511</v>
      </c>
      <c r="K219" s="30">
        <v>41405</v>
      </c>
      <c r="L219" s="26">
        <v>2013</v>
      </c>
      <c r="M219" s="26">
        <f t="shared" si="3"/>
        <v>6</v>
      </c>
      <c r="N219" s="3" t="s">
        <v>3</v>
      </c>
      <c r="O219" s="3" t="s">
        <v>821</v>
      </c>
      <c r="P219" s="39" t="s">
        <v>1076</v>
      </c>
      <c r="Q219" s="3"/>
      <c r="R219" s="39" t="s">
        <v>1491</v>
      </c>
    </row>
    <row r="220" spans="2:18" ht="25.5" x14ac:dyDescent="0.25">
      <c r="B220" s="139">
        <v>63</v>
      </c>
      <c r="C220" s="139" t="s">
        <v>1131</v>
      </c>
      <c r="D220" s="3">
        <v>213</v>
      </c>
      <c r="E220" s="39" t="s">
        <v>1132</v>
      </c>
      <c r="F220" s="3" t="s">
        <v>5</v>
      </c>
      <c r="G220" s="3" t="s">
        <v>1134</v>
      </c>
      <c r="H220" s="3" t="s">
        <v>7</v>
      </c>
      <c r="I220" s="39" t="s">
        <v>881</v>
      </c>
      <c r="J220" s="39" t="s">
        <v>1472</v>
      </c>
      <c r="K220" s="30">
        <v>33478</v>
      </c>
      <c r="L220" s="26">
        <v>1991</v>
      </c>
      <c r="M220" s="26">
        <f t="shared" si="3"/>
        <v>28</v>
      </c>
      <c r="N220" s="3" t="s">
        <v>3</v>
      </c>
      <c r="O220" s="3" t="s">
        <v>821</v>
      </c>
      <c r="P220" s="39" t="s">
        <v>978</v>
      </c>
      <c r="Q220" s="3"/>
      <c r="R220" s="39" t="s">
        <v>1491</v>
      </c>
    </row>
    <row r="221" spans="2:18" ht="25.5" x14ac:dyDescent="0.25">
      <c r="B221" s="141"/>
      <c r="C221" s="141"/>
      <c r="D221" s="3">
        <v>214</v>
      </c>
      <c r="E221" s="39" t="s">
        <v>1133</v>
      </c>
      <c r="F221" s="3" t="s">
        <v>11</v>
      </c>
      <c r="G221" s="3" t="s">
        <v>1135</v>
      </c>
      <c r="H221" s="3" t="s">
        <v>7</v>
      </c>
      <c r="I221" s="39" t="s">
        <v>10</v>
      </c>
      <c r="J221" s="39" t="s">
        <v>1472</v>
      </c>
      <c r="K221" s="30">
        <v>40909</v>
      </c>
      <c r="L221" s="26">
        <v>2012</v>
      </c>
      <c r="M221" s="26">
        <f t="shared" si="3"/>
        <v>7</v>
      </c>
      <c r="N221" s="3" t="s">
        <v>3</v>
      </c>
      <c r="O221" s="3" t="s">
        <v>821</v>
      </c>
      <c r="P221" s="39" t="s">
        <v>1076</v>
      </c>
      <c r="Q221" s="3"/>
      <c r="R221" s="39" t="s">
        <v>1491</v>
      </c>
    </row>
    <row r="222" spans="2:18" ht="25.5" x14ac:dyDescent="0.25">
      <c r="B222" s="139">
        <v>64</v>
      </c>
      <c r="C222" s="139" t="s">
        <v>1157</v>
      </c>
      <c r="D222" s="3">
        <v>215</v>
      </c>
      <c r="E222" s="39" t="s">
        <v>1153</v>
      </c>
      <c r="F222" s="3" t="s">
        <v>5</v>
      </c>
      <c r="G222" s="3" t="s">
        <v>1155</v>
      </c>
      <c r="H222" s="3" t="s">
        <v>1</v>
      </c>
      <c r="I222" s="39" t="s">
        <v>2</v>
      </c>
      <c r="J222" s="39" t="s">
        <v>1472</v>
      </c>
      <c r="K222" s="30">
        <v>31880</v>
      </c>
      <c r="L222" s="26">
        <v>1987</v>
      </c>
      <c r="M222" s="26">
        <f t="shared" si="3"/>
        <v>32</v>
      </c>
      <c r="N222" s="3" t="s">
        <v>3</v>
      </c>
      <c r="O222" s="3" t="s">
        <v>821</v>
      </c>
      <c r="P222" s="39" t="s">
        <v>978</v>
      </c>
      <c r="Q222" s="3"/>
      <c r="R222" s="39" t="s">
        <v>826</v>
      </c>
    </row>
    <row r="223" spans="2:18" ht="25.5" x14ac:dyDescent="0.25">
      <c r="B223" s="141"/>
      <c r="C223" s="141"/>
      <c r="D223" s="3">
        <v>216</v>
      </c>
      <c r="E223" s="39" t="s">
        <v>1154</v>
      </c>
      <c r="F223" s="3" t="s">
        <v>9</v>
      </c>
      <c r="G223" s="3" t="s">
        <v>1156</v>
      </c>
      <c r="H223" s="3" t="s">
        <v>7</v>
      </c>
      <c r="I223" s="39" t="s">
        <v>2</v>
      </c>
      <c r="J223" s="39" t="s">
        <v>1560</v>
      </c>
      <c r="K223" s="30">
        <v>33786</v>
      </c>
      <c r="L223" s="26">
        <v>1992</v>
      </c>
      <c r="M223" s="26">
        <f t="shared" si="3"/>
        <v>27</v>
      </c>
      <c r="N223" s="3" t="s">
        <v>3</v>
      </c>
      <c r="O223" s="3" t="s">
        <v>821</v>
      </c>
      <c r="P223" s="39" t="s">
        <v>1076</v>
      </c>
      <c r="Q223" s="3"/>
      <c r="R223" s="39" t="s">
        <v>826</v>
      </c>
    </row>
    <row r="224" spans="2:18" ht="25.5" x14ac:dyDescent="0.25">
      <c r="B224" s="3">
        <v>65</v>
      </c>
      <c r="C224" s="3" t="s">
        <v>1182</v>
      </c>
      <c r="D224" s="3">
        <v>217</v>
      </c>
      <c r="E224" s="39" t="s">
        <v>1181</v>
      </c>
      <c r="F224" s="3" t="s">
        <v>5</v>
      </c>
      <c r="G224" s="3" t="s">
        <v>1180</v>
      </c>
      <c r="H224" s="3" t="s">
        <v>7</v>
      </c>
      <c r="I224" s="39" t="s">
        <v>883</v>
      </c>
      <c r="J224" s="39" t="s">
        <v>1465</v>
      </c>
      <c r="K224" s="30">
        <v>17868</v>
      </c>
      <c r="L224" s="26">
        <v>1948</v>
      </c>
      <c r="M224" s="26">
        <f t="shared" si="3"/>
        <v>71</v>
      </c>
      <c r="N224" s="3" t="s">
        <v>3</v>
      </c>
      <c r="O224" s="3" t="s">
        <v>821</v>
      </c>
      <c r="P224" s="39" t="s">
        <v>1076</v>
      </c>
      <c r="Q224" s="3"/>
      <c r="R224" s="39" t="s">
        <v>827</v>
      </c>
    </row>
    <row r="225" spans="2:18" x14ac:dyDescent="0.25">
      <c r="B225" s="139">
        <v>66</v>
      </c>
      <c r="C225" s="139" t="s">
        <v>1232</v>
      </c>
      <c r="D225" s="3">
        <v>218</v>
      </c>
      <c r="E225" s="39" t="s">
        <v>1233</v>
      </c>
      <c r="F225" s="3" t="s">
        <v>5</v>
      </c>
      <c r="G225" s="3" t="s">
        <v>1236</v>
      </c>
      <c r="H225" s="3" t="s">
        <v>1</v>
      </c>
      <c r="I225" s="39" t="s">
        <v>2</v>
      </c>
      <c r="J225" s="39" t="s">
        <v>1472</v>
      </c>
      <c r="K225" s="30">
        <v>29951</v>
      </c>
      <c r="L225" s="26">
        <v>1981</v>
      </c>
      <c r="M225" s="26">
        <f t="shared" si="3"/>
        <v>38</v>
      </c>
      <c r="N225" s="3" t="s">
        <v>3</v>
      </c>
      <c r="O225" s="3" t="s">
        <v>821</v>
      </c>
      <c r="P225" s="39" t="s">
        <v>936</v>
      </c>
      <c r="Q225" s="3"/>
      <c r="R225" s="39" t="s">
        <v>54</v>
      </c>
    </row>
    <row r="226" spans="2:18" ht="25.5" x14ac:dyDescent="0.25">
      <c r="B226" s="140"/>
      <c r="C226" s="140"/>
      <c r="D226" s="3">
        <v>219</v>
      </c>
      <c r="E226" s="39" t="s">
        <v>174</v>
      </c>
      <c r="F226" s="3" t="s">
        <v>9</v>
      </c>
      <c r="G226" s="3" t="s">
        <v>288</v>
      </c>
      <c r="H226" s="3" t="s">
        <v>7</v>
      </c>
      <c r="I226" s="39" t="s">
        <v>2</v>
      </c>
      <c r="J226" s="39" t="s">
        <v>1472</v>
      </c>
      <c r="K226" s="30">
        <v>30232</v>
      </c>
      <c r="L226" s="26">
        <v>1982</v>
      </c>
      <c r="M226" s="26">
        <f t="shared" si="3"/>
        <v>37</v>
      </c>
      <c r="N226" s="3" t="s">
        <v>3</v>
      </c>
      <c r="O226" s="3" t="s">
        <v>821</v>
      </c>
      <c r="P226" s="39" t="s">
        <v>936</v>
      </c>
      <c r="Q226" s="3"/>
      <c r="R226" s="39" t="s">
        <v>827</v>
      </c>
    </row>
    <row r="227" spans="2:18" ht="25.5" x14ac:dyDescent="0.25">
      <c r="B227" s="140"/>
      <c r="C227" s="140"/>
      <c r="D227" s="3">
        <v>220</v>
      </c>
      <c r="E227" s="39" t="s">
        <v>1234</v>
      </c>
      <c r="F227" s="3" t="s">
        <v>11</v>
      </c>
      <c r="G227" s="3" t="s">
        <v>1237</v>
      </c>
      <c r="H227" s="3" t="s">
        <v>7</v>
      </c>
      <c r="I227" s="39" t="s">
        <v>129</v>
      </c>
      <c r="J227" s="39" t="s">
        <v>1472</v>
      </c>
      <c r="K227" s="30">
        <v>37803</v>
      </c>
      <c r="L227" s="26">
        <v>2003</v>
      </c>
      <c r="M227" s="26">
        <f t="shared" si="3"/>
        <v>16</v>
      </c>
      <c r="N227" s="3" t="s">
        <v>3</v>
      </c>
      <c r="O227" s="3" t="s">
        <v>821</v>
      </c>
      <c r="P227" s="39" t="s">
        <v>1078</v>
      </c>
      <c r="Q227" s="3"/>
      <c r="R227" s="39" t="s">
        <v>1475</v>
      </c>
    </row>
    <row r="228" spans="2:18" ht="25.5" x14ac:dyDescent="0.25">
      <c r="B228" s="141"/>
      <c r="C228" s="141"/>
      <c r="D228" s="3">
        <v>221</v>
      </c>
      <c r="E228" s="39" t="s">
        <v>1235</v>
      </c>
      <c r="F228" s="3" t="s">
        <v>11</v>
      </c>
      <c r="G228" s="3" t="s">
        <v>289</v>
      </c>
      <c r="H228" s="3" t="s">
        <v>7</v>
      </c>
      <c r="I228" s="39" t="s">
        <v>129</v>
      </c>
      <c r="J228" s="39" t="s">
        <v>1472</v>
      </c>
      <c r="K228" s="30">
        <v>41961</v>
      </c>
      <c r="L228" s="26">
        <v>2014</v>
      </c>
      <c r="M228" s="26">
        <f t="shared" si="3"/>
        <v>5</v>
      </c>
      <c r="N228" s="3" t="s">
        <v>3</v>
      </c>
      <c r="O228" s="3" t="s">
        <v>821</v>
      </c>
      <c r="P228" s="39" t="s">
        <v>1076</v>
      </c>
      <c r="Q228" s="3"/>
      <c r="R228" s="39" t="s">
        <v>1491</v>
      </c>
    </row>
    <row r="229" spans="2:18" ht="25.5" x14ac:dyDescent="0.25">
      <c r="B229" s="139">
        <v>67</v>
      </c>
      <c r="C229" s="139" t="s">
        <v>1245</v>
      </c>
      <c r="D229" s="3">
        <v>222</v>
      </c>
      <c r="E229" s="39" t="s">
        <v>1238</v>
      </c>
      <c r="F229" s="3" t="s">
        <v>5</v>
      </c>
      <c r="G229" s="3" t="s">
        <v>1241</v>
      </c>
      <c r="H229" s="3" t="s">
        <v>1</v>
      </c>
      <c r="I229" s="39" t="s">
        <v>1014</v>
      </c>
      <c r="J229" s="39" t="s">
        <v>1472</v>
      </c>
      <c r="K229" s="30">
        <v>28430</v>
      </c>
      <c r="L229" s="26">
        <v>1977</v>
      </c>
      <c r="M229" s="26">
        <f t="shared" si="3"/>
        <v>42</v>
      </c>
      <c r="N229" s="3" t="s">
        <v>3</v>
      </c>
      <c r="O229" s="3" t="s">
        <v>821</v>
      </c>
      <c r="P229" s="39" t="s">
        <v>936</v>
      </c>
      <c r="Q229" s="3"/>
      <c r="R229" s="39" t="s">
        <v>1561</v>
      </c>
    </row>
    <row r="230" spans="2:18" ht="25.5" x14ac:dyDescent="0.25">
      <c r="B230" s="140"/>
      <c r="C230" s="140"/>
      <c r="D230" s="3">
        <v>223</v>
      </c>
      <c r="E230" s="39" t="s">
        <v>1239</v>
      </c>
      <c r="F230" s="3" t="s">
        <v>9</v>
      </c>
      <c r="G230" s="3" t="s">
        <v>1242</v>
      </c>
      <c r="H230" s="3" t="s">
        <v>7</v>
      </c>
      <c r="I230" s="39" t="s">
        <v>1014</v>
      </c>
      <c r="J230" s="39" t="s">
        <v>1472</v>
      </c>
      <c r="K230" s="30">
        <v>29037</v>
      </c>
      <c r="L230" s="26">
        <v>1979</v>
      </c>
      <c r="M230" s="26">
        <f t="shared" si="3"/>
        <v>40</v>
      </c>
      <c r="N230" s="3" t="s">
        <v>3</v>
      </c>
      <c r="O230" s="3" t="s">
        <v>821</v>
      </c>
      <c r="P230" s="39" t="s">
        <v>936</v>
      </c>
      <c r="Q230" s="3"/>
      <c r="R230" s="39" t="s">
        <v>1561</v>
      </c>
    </row>
    <row r="231" spans="2:18" ht="25.5" x14ac:dyDescent="0.25">
      <c r="B231" s="140"/>
      <c r="C231" s="140"/>
      <c r="D231" s="3">
        <v>224</v>
      </c>
      <c r="E231" s="39" t="s">
        <v>143</v>
      </c>
      <c r="F231" s="3" t="s">
        <v>11</v>
      </c>
      <c r="G231" s="3" t="s">
        <v>1243</v>
      </c>
      <c r="H231" s="3" t="s">
        <v>7</v>
      </c>
      <c r="I231" s="39" t="s">
        <v>129</v>
      </c>
      <c r="J231" s="39" t="s">
        <v>1472</v>
      </c>
      <c r="K231" s="30">
        <v>38797</v>
      </c>
      <c r="L231" s="26">
        <v>2006</v>
      </c>
      <c r="M231" s="26">
        <f t="shared" si="3"/>
        <v>13</v>
      </c>
      <c r="N231" s="3" t="s">
        <v>3</v>
      </c>
      <c r="O231" s="3" t="s">
        <v>821</v>
      </c>
      <c r="P231" s="39" t="s">
        <v>1076</v>
      </c>
      <c r="Q231" s="3"/>
      <c r="R231" s="39" t="s">
        <v>1491</v>
      </c>
    </row>
    <row r="232" spans="2:18" ht="25.5" x14ac:dyDescent="0.25">
      <c r="B232" s="141"/>
      <c r="C232" s="141"/>
      <c r="D232" s="3">
        <v>225</v>
      </c>
      <c r="E232" s="39" t="s">
        <v>1240</v>
      </c>
      <c r="F232" s="3" t="s">
        <v>11</v>
      </c>
      <c r="G232" s="3" t="s">
        <v>1244</v>
      </c>
      <c r="H232" s="3" t="s">
        <v>1</v>
      </c>
      <c r="I232" s="39" t="s">
        <v>129</v>
      </c>
      <c r="J232" s="39" t="s">
        <v>1493</v>
      </c>
      <c r="K232" s="30">
        <v>41174</v>
      </c>
      <c r="L232" s="26">
        <v>2012</v>
      </c>
      <c r="M232" s="26">
        <f t="shared" si="3"/>
        <v>7</v>
      </c>
      <c r="N232" s="3" t="s">
        <v>3</v>
      </c>
      <c r="O232" s="3" t="s">
        <v>821</v>
      </c>
      <c r="P232" s="39" t="s">
        <v>1076</v>
      </c>
      <c r="Q232" s="3"/>
      <c r="R232" s="39" t="s">
        <v>1491</v>
      </c>
    </row>
    <row r="233" spans="2:18" x14ac:dyDescent="0.25">
      <c r="B233" s="139">
        <v>68</v>
      </c>
      <c r="C233" s="139" t="s">
        <v>1246</v>
      </c>
      <c r="D233" s="3">
        <v>226</v>
      </c>
      <c r="E233" s="39" t="s">
        <v>1247</v>
      </c>
      <c r="F233" s="3" t="s">
        <v>5</v>
      </c>
      <c r="G233" s="3" t="s">
        <v>1250</v>
      </c>
      <c r="H233" s="3" t="s">
        <v>1</v>
      </c>
      <c r="I233" s="39" t="s">
        <v>2</v>
      </c>
      <c r="J233" s="39" t="s">
        <v>1472</v>
      </c>
      <c r="K233" s="30">
        <v>30316</v>
      </c>
      <c r="L233" s="26">
        <v>1982</v>
      </c>
      <c r="M233" s="26">
        <f t="shared" si="3"/>
        <v>37</v>
      </c>
      <c r="N233" s="3" t="s">
        <v>3</v>
      </c>
      <c r="O233" s="3" t="s">
        <v>821</v>
      </c>
      <c r="P233" s="39" t="s">
        <v>933</v>
      </c>
      <c r="Q233" s="3"/>
      <c r="R233" s="39" t="s">
        <v>54</v>
      </c>
    </row>
    <row r="234" spans="2:18" ht="25.5" x14ac:dyDescent="0.25">
      <c r="B234" s="140"/>
      <c r="C234" s="140"/>
      <c r="D234" s="3">
        <v>227</v>
      </c>
      <c r="E234" s="39" t="s">
        <v>1248</v>
      </c>
      <c r="F234" s="3" t="s">
        <v>9</v>
      </c>
      <c r="G234" s="3" t="s">
        <v>1251</v>
      </c>
      <c r="H234" s="3" t="s">
        <v>7</v>
      </c>
      <c r="I234" s="39" t="s">
        <v>133</v>
      </c>
      <c r="J234" s="39" t="s">
        <v>1562</v>
      </c>
      <c r="K234" s="30">
        <v>32748</v>
      </c>
      <c r="L234" s="26">
        <v>1989</v>
      </c>
      <c r="M234" s="26">
        <f t="shared" si="3"/>
        <v>30</v>
      </c>
      <c r="N234" s="3" t="s">
        <v>3</v>
      </c>
      <c r="O234" s="3" t="s">
        <v>821</v>
      </c>
      <c r="P234" s="39" t="s">
        <v>936</v>
      </c>
      <c r="Q234" s="3"/>
      <c r="R234" s="39" t="s">
        <v>827</v>
      </c>
    </row>
    <row r="235" spans="2:18" ht="25.5" x14ac:dyDescent="0.25">
      <c r="B235" s="141"/>
      <c r="C235" s="141"/>
      <c r="D235" s="3">
        <v>228</v>
      </c>
      <c r="E235" s="39" t="s">
        <v>1249</v>
      </c>
      <c r="F235" s="3" t="s">
        <v>11</v>
      </c>
      <c r="G235" s="3" t="s">
        <v>1252</v>
      </c>
      <c r="H235" s="3" t="s">
        <v>7</v>
      </c>
      <c r="I235" s="39" t="s">
        <v>129</v>
      </c>
      <c r="J235" s="39" t="s">
        <v>1563</v>
      </c>
      <c r="K235" s="30">
        <v>40163</v>
      </c>
      <c r="L235" s="26">
        <v>2009</v>
      </c>
      <c r="M235" s="26">
        <f t="shared" si="3"/>
        <v>10</v>
      </c>
      <c r="N235" s="3" t="s">
        <v>3</v>
      </c>
      <c r="O235" s="3" t="s">
        <v>821</v>
      </c>
      <c r="P235" s="39" t="s">
        <v>1076</v>
      </c>
      <c r="Q235" s="3"/>
      <c r="R235" s="39" t="s">
        <v>1491</v>
      </c>
    </row>
    <row r="236" spans="2:18" ht="25.5" x14ac:dyDescent="0.25">
      <c r="B236" s="139">
        <v>69</v>
      </c>
      <c r="C236" s="139" t="s">
        <v>1264</v>
      </c>
      <c r="D236" s="3">
        <v>229</v>
      </c>
      <c r="E236" s="39" t="s">
        <v>1265</v>
      </c>
      <c r="F236" s="3" t="s">
        <v>5</v>
      </c>
      <c r="G236" s="3" t="s">
        <v>759</v>
      </c>
      <c r="H236" s="3" t="s">
        <v>1</v>
      </c>
      <c r="I236" s="39" t="s">
        <v>2</v>
      </c>
      <c r="J236" s="39" t="s">
        <v>1465</v>
      </c>
      <c r="K236" s="30">
        <v>31969</v>
      </c>
      <c r="L236" s="26">
        <v>1987</v>
      </c>
      <c r="M236" s="26">
        <f t="shared" si="3"/>
        <v>32</v>
      </c>
      <c r="N236" s="3" t="s">
        <v>3</v>
      </c>
      <c r="O236" s="3" t="s">
        <v>821</v>
      </c>
      <c r="P236" s="39" t="s">
        <v>933</v>
      </c>
      <c r="Q236" s="3"/>
      <c r="R236" s="39" t="s">
        <v>54</v>
      </c>
    </row>
    <row r="237" spans="2:18" ht="25.5" x14ac:dyDescent="0.25">
      <c r="B237" s="140"/>
      <c r="C237" s="140"/>
      <c r="D237" s="3">
        <v>230</v>
      </c>
      <c r="E237" s="39" t="s">
        <v>20</v>
      </c>
      <c r="F237" s="3" t="s">
        <v>9</v>
      </c>
      <c r="G237" s="3" t="s">
        <v>1267</v>
      </c>
      <c r="H237" s="3" t="s">
        <v>7</v>
      </c>
      <c r="I237" s="39" t="s">
        <v>2</v>
      </c>
      <c r="J237" s="39" t="s">
        <v>1472</v>
      </c>
      <c r="K237" s="30">
        <v>33826</v>
      </c>
      <c r="L237" s="26">
        <v>1992</v>
      </c>
      <c r="M237" s="26">
        <f t="shared" si="3"/>
        <v>27</v>
      </c>
      <c r="N237" s="3" t="s">
        <v>3</v>
      </c>
      <c r="O237" s="3" t="s">
        <v>821</v>
      </c>
      <c r="P237" s="39" t="s">
        <v>978</v>
      </c>
      <c r="Q237" s="3"/>
      <c r="R237" s="39" t="s">
        <v>827</v>
      </c>
    </row>
    <row r="238" spans="2:18" ht="25.5" x14ac:dyDescent="0.25">
      <c r="B238" s="140"/>
      <c r="C238" s="140"/>
      <c r="D238" s="3">
        <v>231</v>
      </c>
      <c r="E238" s="39" t="s">
        <v>1564</v>
      </c>
      <c r="F238" s="3" t="s">
        <v>11</v>
      </c>
      <c r="G238" s="3" t="s">
        <v>1268</v>
      </c>
      <c r="H238" s="3" t="s">
        <v>1</v>
      </c>
      <c r="I238" s="39" t="s">
        <v>1270</v>
      </c>
      <c r="J238" s="39" t="s">
        <v>1511</v>
      </c>
      <c r="K238" s="30">
        <v>40999</v>
      </c>
      <c r="L238" s="26">
        <v>2012</v>
      </c>
      <c r="M238" s="26">
        <f t="shared" ref="M238:M266" si="4">2019-L238</f>
        <v>7</v>
      </c>
      <c r="N238" s="3" t="s">
        <v>3</v>
      </c>
      <c r="O238" s="3" t="s">
        <v>821</v>
      </c>
      <c r="P238" s="39" t="s">
        <v>1076</v>
      </c>
      <c r="Q238" s="3"/>
      <c r="R238" s="39" t="s">
        <v>1491</v>
      </c>
    </row>
    <row r="239" spans="2:18" ht="25.5" x14ac:dyDescent="0.25">
      <c r="B239" s="141"/>
      <c r="C239" s="141"/>
      <c r="D239" s="3">
        <v>232</v>
      </c>
      <c r="E239" s="39" t="s">
        <v>1266</v>
      </c>
      <c r="F239" s="3" t="s">
        <v>11</v>
      </c>
      <c r="G239" s="3" t="s">
        <v>1269</v>
      </c>
      <c r="H239" s="3" t="s">
        <v>7</v>
      </c>
      <c r="I239" s="39" t="s">
        <v>129</v>
      </c>
      <c r="J239" s="39" t="s">
        <v>1511</v>
      </c>
      <c r="K239" s="30">
        <v>42686</v>
      </c>
      <c r="L239" s="26">
        <v>2016</v>
      </c>
      <c r="M239" s="26">
        <f t="shared" si="4"/>
        <v>3</v>
      </c>
      <c r="N239" s="3" t="s">
        <v>3</v>
      </c>
      <c r="O239" s="3" t="s">
        <v>821</v>
      </c>
      <c r="P239" s="39" t="s">
        <v>1076</v>
      </c>
      <c r="Q239" s="3"/>
      <c r="R239" s="39" t="s">
        <v>1491</v>
      </c>
    </row>
    <row r="240" spans="2:18" ht="25.5" x14ac:dyDescent="0.25">
      <c r="B240" s="139">
        <v>70</v>
      </c>
      <c r="C240" s="139" t="s">
        <v>1565</v>
      </c>
      <c r="D240" s="3">
        <v>233</v>
      </c>
      <c r="E240" s="39" t="s">
        <v>1566</v>
      </c>
      <c r="F240" s="3" t="s">
        <v>5</v>
      </c>
      <c r="G240" s="100" t="s">
        <v>1567</v>
      </c>
      <c r="H240" s="3" t="s">
        <v>1</v>
      </c>
      <c r="I240" s="39" t="s">
        <v>2</v>
      </c>
      <c r="J240" s="39" t="s">
        <v>1480</v>
      </c>
      <c r="K240" s="30">
        <v>30577</v>
      </c>
      <c r="L240" s="26">
        <v>1983</v>
      </c>
      <c r="M240" s="26">
        <f t="shared" si="4"/>
        <v>36</v>
      </c>
      <c r="N240" s="3" t="s">
        <v>3</v>
      </c>
      <c r="O240" s="3" t="s">
        <v>821</v>
      </c>
      <c r="P240" s="39" t="s">
        <v>933</v>
      </c>
      <c r="Q240" s="3"/>
      <c r="R240" s="39" t="s">
        <v>54</v>
      </c>
    </row>
    <row r="241" spans="1:18" x14ac:dyDescent="0.25">
      <c r="B241" s="140"/>
      <c r="C241" s="140"/>
      <c r="D241" s="3">
        <v>234</v>
      </c>
      <c r="E241" s="39" t="s">
        <v>478</v>
      </c>
      <c r="F241" s="3" t="s">
        <v>9</v>
      </c>
      <c r="G241" s="100" t="s">
        <v>264</v>
      </c>
      <c r="H241" s="3" t="s">
        <v>7</v>
      </c>
      <c r="I241" s="39" t="s">
        <v>2</v>
      </c>
      <c r="J241" s="39" t="s">
        <v>1553</v>
      </c>
      <c r="K241" s="30">
        <v>33089</v>
      </c>
      <c r="L241" s="26">
        <v>1990</v>
      </c>
      <c r="M241" s="26">
        <f t="shared" si="4"/>
        <v>29</v>
      </c>
      <c r="N241" s="3" t="s">
        <v>3</v>
      </c>
      <c r="O241" s="3" t="s">
        <v>821</v>
      </c>
      <c r="P241" s="39" t="s">
        <v>933</v>
      </c>
      <c r="Q241" s="3"/>
      <c r="R241" s="39" t="s">
        <v>1522</v>
      </c>
    </row>
    <row r="242" spans="1:18" ht="25.5" x14ac:dyDescent="0.25">
      <c r="B242" s="141"/>
      <c r="C242" s="141"/>
      <c r="D242" s="3">
        <v>235</v>
      </c>
      <c r="E242" s="39" t="s">
        <v>1568</v>
      </c>
      <c r="F242" s="3" t="s">
        <v>11</v>
      </c>
      <c r="G242" s="100" t="s">
        <v>1569</v>
      </c>
      <c r="H242" s="3" t="s">
        <v>7</v>
      </c>
      <c r="I242" s="39" t="s">
        <v>129</v>
      </c>
      <c r="J242" s="39" t="s">
        <v>1472</v>
      </c>
      <c r="K242" s="30">
        <v>42485</v>
      </c>
      <c r="L242" s="26">
        <v>2016</v>
      </c>
      <c r="M242" s="26">
        <f t="shared" si="4"/>
        <v>3</v>
      </c>
      <c r="N242" s="3" t="s">
        <v>3</v>
      </c>
      <c r="O242" s="3" t="s">
        <v>821</v>
      </c>
      <c r="P242" s="39" t="s">
        <v>1076</v>
      </c>
      <c r="Q242" s="3"/>
      <c r="R242" s="39" t="s">
        <v>1491</v>
      </c>
    </row>
    <row r="243" spans="1:18" x14ac:dyDescent="0.25">
      <c r="B243" s="139">
        <v>71</v>
      </c>
      <c r="C243" s="139" t="s">
        <v>1570</v>
      </c>
      <c r="D243" s="3">
        <v>236</v>
      </c>
      <c r="E243" s="39" t="s">
        <v>178</v>
      </c>
      <c r="F243" s="3" t="s">
        <v>5</v>
      </c>
      <c r="G243" s="100" t="s">
        <v>1571</v>
      </c>
      <c r="H243" s="3" t="s">
        <v>1</v>
      </c>
      <c r="I243" s="39" t="s">
        <v>2</v>
      </c>
      <c r="J243" s="39" t="s">
        <v>1472</v>
      </c>
      <c r="K243" s="30">
        <v>33532</v>
      </c>
      <c r="L243" s="26">
        <v>1991</v>
      </c>
      <c r="M243" s="26">
        <f t="shared" si="4"/>
        <v>28</v>
      </c>
      <c r="N243" s="3" t="s">
        <v>3</v>
      </c>
      <c r="O243" s="3" t="s">
        <v>821</v>
      </c>
      <c r="P243" s="39" t="s">
        <v>978</v>
      </c>
      <c r="Q243" s="3"/>
      <c r="R243" s="39" t="s">
        <v>54</v>
      </c>
    </row>
    <row r="244" spans="1:18" x14ac:dyDescent="0.25">
      <c r="B244" s="140"/>
      <c r="C244" s="140"/>
      <c r="D244" s="3">
        <v>237</v>
      </c>
      <c r="E244" s="39" t="s">
        <v>1572</v>
      </c>
      <c r="F244" s="3" t="s">
        <v>9</v>
      </c>
      <c r="G244" s="100" t="s">
        <v>1573</v>
      </c>
      <c r="H244" s="3" t="s">
        <v>7</v>
      </c>
      <c r="I244" s="39" t="s">
        <v>587</v>
      </c>
      <c r="J244" s="39" t="s">
        <v>1574</v>
      </c>
      <c r="K244" s="30">
        <v>33585</v>
      </c>
      <c r="L244" s="26">
        <v>1991</v>
      </c>
      <c r="M244" s="26">
        <f t="shared" si="4"/>
        <v>28</v>
      </c>
      <c r="N244" s="3" t="s">
        <v>3</v>
      </c>
      <c r="O244" s="3" t="s">
        <v>821</v>
      </c>
      <c r="P244" s="39" t="s">
        <v>978</v>
      </c>
      <c r="Q244" s="3"/>
      <c r="R244" s="39" t="s">
        <v>54</v>
      </c>
    </row>
    <row r="245" spans="1:18" ht="25.5" x14ac:dyDescent="0.25">
      <c r="B245" s="141"/>
      <c r="C245" s="141"/>
      <c r="D245" s="3">
        <v>238</v>
      </c>
      <c r="E245" s="39" t="s">
        <v>1575</v>
      </c>
      <c r="F245" s="3" t="s">
        <v>11</v>
      </c>
      <c r="G245" s="100" t="s">
        <v>1576</v>
      </c>
      <c r="H245" s="3" t="s">
        <v>7</v>
      </c>
      <c r="I245" s="39" t="s">
        <v>129</v>
      </c>
      <c r="J245" s="39" t="s">
        <v>1472</v>
      </c>
      <c r="K245" s="30">
        <v>42684</v>
      </c>
      <c r="L245" s="26">
        <v>2016</v>
      </c>
      <c r="M245" s="26">
        <f t="shared" si="4"/>
        <v>3</v>
      </c>
      <c r="N245" s="3" t="s">
        <v>3</v>
      </c>
      <c r="O245" s="3" t="s">
        <v>821</v>
      </c>
      <c r="P245" s="39" t="s">
        <v>1076</v>
      </c>
      <c r="Q245" s="3"/>
      <c r="R245" s="39" t="s">
        <v>1491</v>
      </c>
    </row>
    <row r="246" spans="1:18" ht="25.5" x14ac:dyDescent="0.25">
      <c r="B246" s="139">
        <v>72</v>
      </c>
      <c r="C246" s="139" t="s">
        <v>1577</v>
      </c>
      <c r="D246" s="3">
        <v>239</v>
      </c>
      <c r="E246" s="39" t="s">
        <v>1578</v>
      </c>
      <c r="F246" s="3" t="s">
        <v>5</v>
      </c>
      <c r="G246" s="100" t="s">
        <v>1579</v>
      </c>
      <c r="H246" s="3" t="s">
        <v>7</v>
      </c>
      <c r="I246" s="39" t="s">
        <v>881</v>
      </c>
      <c r="J246" s="39" t="s">
        <v>1472</v>
      </c>
      <c r="K246" s="30">
        <v>31975</v>
      </c>
      <c r="L246" s="26">
        <v>1987</v>
      </c>
      <c r="M246" s="26">
        <f t="shared" si="4"/>
        <v>32</v>
      </c>
      <c r="N246" s="3" t="s">
        <v>3</v>
      </c>
      <c r="O246" s="3" t="s">
        <v>821</v>
      </c>
      <c r="P246" s="39" t="s">
        <v>1076</v>
      </c>
      <c r="Q246" s="3"/>
      <c r="R246" s="39" t="s">
        <v>1561</v>
      </c>
    </row>
    <row r="247" spans="1:18" ht="25.5" x14ac:dyDescent="0.25">
      <c r="B247" s="141"/>
      <c r="C247" s="141"/>
      <c r="D247" s="3">
        <v>240</v>
      </c>
      <c r="E247" s="39" t="s">
        <v>1580</v>
      </c>
      <c r="F247" s="3" t="s">
        <v>11</v>
      </c>
      <c r="G247" s="100" t="s">
        <v>1581</v>
      </c>
      <c r="H247" s="3" t="s">
        <v>1</v>
      </c>
      <c r="I247" s="39" t="s">
        <v>129</v>
      </c>
      <c r="J247" s="39" t="s">
        <v>1472</v>
      </c>
      <c r="K247" s="30">
        <v>40977</v>
      </c>
      <c r="L247" s="26">
        <v>2012</v>
      </c>
      <c r="M247" s="26">
        <f t="shared" si="4"/>
        <v>7</v>
      </c>
      <c r="N247" s="3" t="s">
        <v>3</v>
      </c>
      <c r="O247" s="3" t="s">
        <v>821</v>
      </c>
      <c r="P247" s="39" t="s">
        <v>1076</v>
      </c>
      <c r="Q247" s="3"/>
      <c r="R247" s="39" t="s">
        <v>1491</v>
      </c>
    </row>
    <row r="248" spans="1:18" ht="25.5" x14ac:dyDescent="0.25">
      <c r="B248" s="156">
        <v>73</v>
      </c>
      <c r="C248" s="139" t="s">
        <v>1582</v>
      </c>
      <c r="D248" s="3">
        <v>241</v>
      </c>
      <c r="E248" s="39" t="s">
        <v>52</v>
      </c>
      <c r="F248" s="3" t="s">
        <v>5</v>
      </c>
      <c r="G248" s="100" t="s">
        <v>1583</v>
      </c>
      <c r="H248" s="3" t="s">
        <v>1</v>
      </c>
      <c r="I248" s="39" t="s">
        <v>1525</v>
      </c>
      <c r="J248" s="39" t="s">
        <v>1472</v>
      </c>
      <c r="K248" s="30">
        <v>32325</v>
      </c>
      <c r="L248" s="26">
        <v>1988</v>
      </c>
      <c r="M248" s="26">
        <f t="shared" si="4"/>
        <v>31</v>
      </c>
      <c r="N248" s="3" t="s">
        <v>3</v>
      </c>
      <c r="O248" s="3" t="s">
        <v>821</v>
      </c>
      <c r="P248" s="39" t="s">
        <v>978</v>
      </c>
      <c r="Q248" s="3"/>
      <c r="R248" s="39" t="s">
        <v>1561</v>
      </c>
    </row>
    <row r="249" spans="1:18" ht="25.5" x14ac:dyDescent="0.25">
      <c r="B249" s="157"/>
      <c r="C249" s="140"/>
      <c r="D249" s="3">
        <v>242</v>
      </c>
      <c r="E249" s="39" t="s">
        <v>516</v>
      </c>
      <c r="F249" s="3" t="s">
        <v>9</v>
      </c>
      <c r="G249" s="100" t="s">
        <v>1584</v>
      </c>
      <c r="H249" s="3" t="s">
        <v>7</v>
      </c>
      <c r="I249" s="39" t="s">
        <v>1525</v>
      </c>
      <c r="J249" s="39" t="s">
        <v>1472</v>
      </c>
      <c r="K249" s="30">
        <v>35177</v>
      </c>
      <c r="L249" s="26">
        <v>1996</v>
      </c>
      <c r="M249" s="26">
        <f t="shared" si="4"/>
        <v>23</v>
      </c>
      <c r="N249" s="3" t="s">
        <v>3</v>
      </c>
      <c r="O249" s="3" t="s">
        <v>821</v>
      </c>
      <c r="P249" s="39" t="s">
        <v>978</v>
      </c>
      <c r="Q249" s="3"/>
      <c r="R249" s="39" t="s">
        <v>827</v>
      </c>
    </row>
    <row r="250" spans="1:18" ht="25.5" x14ac:dyDescent="0.25">
      <c r="B250" s="158"/>
      <c r="C250" s="141"/>
      <c r="D250" s="3">
        <v>243</v>
      </c>
      <c r="E250" s="39" t="s">
        <v>1585</v>
      </c>
      <c r="F250" s="3" t="s">
        <v>11</v>
      </c>
      <c r="G250" s="100" t="s">
        <v>1586</v>
      </c>
      <c r="H250" s="3" t="s">
        <v>7</v>
      </c>
      <c r="I250" s="39" t="s">
        <v>129</v>
      </c>
      <c r="J250" s="39" t="s">
        <v>1472</v>
      </c>
      <c r="K250" s="30">
        <v>43238</v>
      </c>
      <c r="L250" s="26">
        <v>2018</v>
      </c>
      <c r="M250" s="26">
        <f t="shared" si="4"/>
        <v>1</v>
      </c>
      <c r="N250" s="3" t="s">
        <v>3</v>
      </c>
      <c r="O250" s="3" t="s">
        <v>821</v>
      </c>
      <c r="P250" s="39" t="s">
        <v>1076</v>
      </c>
      <c r="Q250" s="3"/>
      <c r="R250" s="39" t="s">
        <v>1491</v>
      </c>
    </row>
    <row r="251" spans="1:18" ht="25.5" x14ac:dyDescent="0.25">
      <c r="B251" s="142">
        <v>74</v>
      </c>
      <c r="C251" s="142" t="s">
        <v>1587</v>
      </c>
      <c r="D251" s="3">
        <v>244</v>
      </c>
      <c r="E251" s="39" t="s">
        <v>67</v>
      </c>
      <c r="F251" s="3" t="s">
        <v>1588</v>
      </c>
      <c r="G251" s="3" t="s">
        <v>1098</v>
      </c>
      <c r="H251" s="3" t="s">
        <v>1</v>
      </c>
      <c r="I251" s="39" t="s">
        <v>1525</v>
      </c>
      <c r="J251" s="102" t="s">
        <v>1465</v>
      </c>
      <c r="K251" s="30">
        <v>33277</v>
      </c>
      <c r="L251" s="26">
        <v>1991</v>
      </c>
      <c r="M251" s="26">
        <f t="shared" si="4"/>
        <v>28</v>
      </c>
      <c r="N251" s="3" t="s">
        <v>3</v>
      </c>
      <c r="O251" s="3" t="s">
        <v>821</v>
      </c>
      <c r="P251" s="39" t="s">
        <v>978</v>
      </c>
      <c r="Q251" s="3"/>
      <c r="R251" s="39" t="s">
        <v>54</v>
      </c>
    </row>
    <row r="252" spans="1:18" ht="25.5" x14ac:dyDescent="0.25">
      <c r="B252" s="142"/>
      <c r="C252" s="139"/>
      <c r="D252" s="3">
        <v>245</v>
      </c>
      <c r="E252" s="94" t="s">
        <v>1589</v>
      </c>
      <c r="F252" s="95" t="s">
        <v>9</v>
      </c>
      <c r="G252" s="95" t="s">
        <v>1590</v>
      </c>
      <c r="H252" s="95" t="s">
        <v>7</v>
      </c>
      <c r="I252" s="94" t="s">
        <v>1525</v>
      </c>
      <c r="J252" s="103" t="s">
        <v>1591</v>
      </c>
      <c r="K252" s="78">
        <v>35795</v>
      </c>
      <c r="L252" s="77">
        <v>1997</v>
      </c>
      <c r="M252" s="77">
        <f t="shared" si="4"/>
        <v>22</v>
      </c>
      <c r="N252" s="95" t="s">
        <v>3</v>
      </c>
      <c r="O252" s="95" t="s">
        <v>821</v>
      </c>
      <c r="P252" s="94" t="s">
        <v>978</v>
      </c>
      <c r="Q252" s="95"/>
      <c r="R252" s="94" t="s">
        <v>827</v>
      </c>
    </row>
    <row r="253" spans="1:18" ht="25.5" x14ac:dyDescent="0.25">
      <c r="B253" s="154">
        <v>75</v>
      </c>
      <c r="C253" s="139" t="s">
        <v>1592</v>
      </c>
      <c r="D253" s="3">
        <v>246</v>
      </c>
      <c r="E253" s="39" t="s">
        <v>1593</v>
      </c>
      <c r="F253" s="3" t="s">
        <v>5</v>
      </c>
      <c r="G253" s="3" t="s">
        <v>1594</v>
      </c>
      <c r="H253" s="3" t="s">
        <v>1</v>
      </c>
      <c r="I253" s="39" t="s">
        <v>883</v>
      </c>
      <c r="J253" s="39" t="s">
        <v>1472</v>
      </c>
      <c r="K253" s="78">
        <v>19724</v>
      </c>
      <c r="L253" s="3">
        <v>1953</v>
      </c>
      <c r="M253" s="77">
        <f t="shared" si="4"/>
        <v>66</v>
      </c>
      <c r="N253" s="3" t="s">
        <v>3</v>
      </c>
      <c r="O253" s="3" t="s">
        <v>821</v>
      </c>
      <c r="P253" s="39" t="s">
        <v>936</v>
      </c>
      <c r="Q253" s="3"/>
      <c r="R253" s="39" t="s">
        <v>826</v>
      </c>
    </row>
    <row r="254" spans="1:18" ht="25.5" x14ac:dyDescent="0.25">
      <c r="A254" s="3"/>
      <c r="B254" s="155"/>
      <c r="C254" s="150"/>
      <c r="D254" s="3">
        <v>247</v>
      </c>
      <c r="E254" s="94" t="s">
        <v>174</v>
      </c>
      <c r="F254" s="95" t="s">
        <v>9</v>
      </c>
      <c r="G254" s="95" t="s">
        <v>1595</v>
      </c>
      <c r="H254" s="104" t="s">
        <v>7</v>
      </c>
      <c r="I254" s="94" t="s">
        <v>881</v>
      </c>
      <c r="J254" s="94" t="s">
        <v>1472</v>
      </c>
      <c r="K254" s="78">
        <v>22646</v>
      </c>
      <c r="L254" s="95">
        <v>1961</v>
      </c>
      <c r="M254" s="77">
        <f t="shared" si="4"/>
        <v>58</v>
      </c>
      <c r="N254" s="95" t="s">
        <v>3</v>
      </c>
      <c r="O254" s="95" t="s">
        <v>821</v>
      </c>
      <c r="P254" s="94" t="s">
        <v>936</v>
      </c>
      <c r="Q254" s="95"/>
      <c r="R254" s="94" t="s">
        <v>826</v>
      </c>
    </row>
    <row r="255" spans="1:18" ht="25.5" x14ac:dyDescent="0.25">
      <c r="A255" s="3"/>
      <c r="B255" s="139">
        <v>76</v>
      </c>
      <c r="C255" s="139" t="s">
        <v>1596</v>
      </c>
      <c r="D255" s="3">
        <v>248</v>
      </c>
      <c r="E255" s="39" t="s">
        <v>1597</v>
      </c>
      <c r="F255" s="3" t="s">
        <v>5</v>
      </c>
      <c r="G255" s="100" t="s">
        <v>1598</v>
      </c>
      <c r="H255" s="3" t="s">
        <v>1</v>
      </c>
      <c r="I255" s="39" t="s">
        <v>1014</v>
      </c>
      <c r="J255" s="39" t="s">
        <v>1465</v>
      </c>
      <c r="K255" s="78">
        <v>34441</v>
      </c>
      <c r="L255" s="26">
        <v>1994</v>
      </c>
      <c r="M255" s="77">
        <f t="shared" si="4"/>
        <v>25</v>
      </c>
      <c r="N255" s="3" t="s">
        <v>3</v>
      </c>
      <c r="O255" s="3" t="s">
        <v>821</v>
      </c>
      <c r="P255" s="39" t="s">
        <v>933</v>
      </c>
      <c r="Q255" s="3"/>
      <c r="R255" s="39" t="s">
        <v>54</v>
      </c>
    </row>
    <row r="256" spans="1:18" ht="25.5" x14ac:dyDescent="0.25">
      <c r="B256" s="140"/>
      <c r="C256" s="140"/>
      <c r="D256" s="3">
        <v>249</v>
      </c>
      <c r="E256" s="94" t="s">
        <v>1599</v>
      </c>
      <c r="F256" s="95" t="s">
        <v>9</v>
      </c>
      <c r="G256" s="105" t="s">
        <v>1600</v>
      </c>
      <c r="H256" s="95" t="s">
        <v>7</v>
      </c>
      <c r="I256" s="94" t="s">
        <v>1014</v>
      </c>
      <c r="J256" s="94" t="s">
        <v>1511</v>
      </c>
      <c r="K256" s="78">
        <v>35361</v>
      </c>
      <c r="L256" s="77">
        <v>1996</v>
      </c>
      <c r="M256" s="77">
        <f t="shared" si="4"/>
        <v>23</v>
      </c>
      <c r="N256" s="95" t="s">
        <v>3</v>
      </c>
      <c r="O256" s="95" t="s">
        <v>821</v>
      </c>
      <c r="P256" s="94" t="s">
        <v>978</v>
      </c>
      <c r="Q256" s="95"/>
      <c r="R256" s="94" t="s">
        <v>827</v>
      </c>
    </row>
    <row r="257" spans="1:18" ht="25.5" x14ac:dyDescent="0.25">
      <c r="B257" s="139">
        <v>77</v>
      </c>
      <c r="C257" s="139" t="s">
        <v>1601</v>
      </c>
      <c r="D257" s="3">
        <v>250</v>
      </c>
      <c r="E257" s="39" t="s">
        <v>1602</v>
      </c>
      <c r="F257" s="3" t="s">
        <v>5</v>
      </c>
      <c r="G257" s="100" t="s">
        <v>1603</v>
      </c>
      <c r="H257" s="3" t="s">
        <v>1</v>
      </c>
      <c r="I257" s="39" t="s">
        <v>2</v>
      </c>
      <c r="J257" s="39" t="s">
        <v>1472</v>
      </c>
      <c r="K257" s="78">
        <v>31517</v>
      </c>
      <c r="L257" s="26">
        <v>1986</v>
      </c>
      <c r="M257" s="77">
        <f t="shared" si="4"/>
        <v>33</v>
      </c>
      <c r="N257" s="3" t="s">
        <v>3</v>
      </c>
      <c r="O257" s="3" t="s">
        <v>821</v>
      </c>
      <c r="P257" s="39" t="s">
        <v>933</v>
      </c>
      <c r="Q257" s="3"/>
      <c r="R257" s="39" t="s">
        <v>54</v>
      </c>
    </row>
    <row r="258" spans="1:18" ht="25.5" x14ac:dyDescent="0.25">
      <c r="B258" s="140"/>
      <c r="C258" s="140"/>
      <c r="D258" s="3">
        <v>251</v>
      </c>
      <c r="E258" s="94" t="s">
        <v>1604</v>
      </c>
      <c r="F258" s="95" t="s">
        <v>9</v>
      </c>
      <c r="G258" s="105" t="s">
        <v>1605</v>
      </c>
      <c r="H258" s="95" t="s">
        <v>7</v>
      </c>
      <c r="I258" s="94" t="s">
        <v>2</v>
      </c>
      <c r="J258" s="94" t="s">
        <v>1472</v>
      </c>
      <c r="K258" s="78">
        <v>34375</v>
      </c>
      <c r="L258" s="77">
        <v>1994</v>
      </c>
      <c r="M258" s="77">
        <f t="shared" si="4"/>
        <v>25</v>
      </c>
      <c r="N258" s="95" t="s">
        <v>3</v>
      </c>
      <c r="O258" s="95" t="s">
        <v>821</v>
      </c>
      <c r="P258" s="94" t="s">
        <v>936</v>
      </c>
      <c r="Q258" s="95"/>
      <c r="R258" s="94" t="s">
        <v>827</v>
      </c>
    </row>
    <row r="259" spans="1:18" x14ac:dyDescent="0.25">
      <c r="B259" s="139">
        <v>78</v>
      </c>
      <c r="C259" s="139" t="s">
        <v>1606</v>
      </c>
      <c r="D259" s="3">
        <v>252</v>
      </c>
      <c r="E259" s="39" t="s">
        <v>509</v>
      </c>
      <c r="F259" s="3" t="s">
        <v>5</v>
      </c>
      <c r="G259" s="100" t="s">
        <v>510</v>
      </c>
      <c r="H259" s="3" t="s">
        <v>1</v>
      </c>
      <c r="I259" s="39" t="s">
        <v>2</v>
      </c>
      <c r="J259" s="39" t="s">
        <v>1472</v>
      </c>
      <c r="K259" s="78">
        <v>31879</v>
      </c>
      <c r="L259" s="26">
        <v>1987</v>
      </c>
      <c r="M259" s="26">
        <f t="shared" si="4"/>
        <v>32</v>
      </c>
      <c r="N259" s="3" t="s">
        <v>3</v>
      </c>
      <c r="O259" s="3" t="s">
        <v>821</v>
      </c>
      <c r="P259" s="39" t="s">
        <v>978</v>
      </c>
      <c r="Q259" s="3"/>
      <c r="R259" s="39" t="s">
        <v>54</v>
      </c>
    </row>
    <row r="260" spans="1:18" ht="25.5" x14ac:dyDescent="0.25">
      <c r="B260" s="140"/>
      <c r="C260" s="140"/>
      <c r="D260" s="3">
        <v>253</v>
      </c>
      <c r="E260" s="39" t="s">
        <v>1607</v>
      </c>
      <c r="F260" s="3" t="s">
        <v>9</v>
      </c>
      <c r="G260" s="100" t="s">
        <v>512</v>
      </c>
      <c r="H260" s="3" t="s">
        <v>7</v>
      </c>
      <c r="I260" s="39" t="s">
        <v>2</v>
      </c>
      <c r="J260" s="39" t="s">
        <v>1472</v>
      </c>
      <c r="K260" s="78">
        <v>34030</v>
      </c>
      <c r="L260" s="26">
        <v>1993</v>
      </c>
      <c r="M260" s="26">
        <f t="shared" si="4"/>
        <v>26</v>
      </c>
      <c r="N260" s="3" t="s">
        <v>3</v>
      </c>
      <c r="O260" s="3" t="s">
        <v>821</v>
      </c>
      <c r="P260" s="39" t="s">
        <v>1608</v>
      </c>
      <c r="Q260" s="3"/>
      <c r="R260" s="39" t="s">
        <v>1609</v>
      </c>
    </row>
    <row r="261" spans="1:18" ht="25.5" x14ac:dyDescent="0.25">
      <c r="B261" s="141"/>
      <c r="C261" s="141"/>
      <c r="D261" s="3">
        <v>254</v>
      </c>
      <c r="E261" s="94" t="s">
        <v>1610</v>
      </c>
      <c r="F261" s="95" t="s">
        <v>11</v>
      </c>
      <c r="G261" s="105" t="s">
        <v>1611</v>
      </c>
      <c r="H261" s="95" t="s">
        <v>1</v>
      </c>
      <c r="I261" s="94" t="s">
        <v>129</v>
      </c>
      <c r="J261" s="94" t="s">
        <v>1472</v>
      </c>
      <c r="K261" s="78">
        <v>42362</v>
      </c>
      <c r="L261" s="77">
        <v>2015</v>
      </c>
      <c r="M261" s="77">
        <f t="shared" si="4"/>
        <v>4</v>
      </c>
      <c r="N261" s="95" t="s">
        <v>3</v>
      </c>
      <c r="O261" s="95" t="s">
        <v>821</v>
      </c>
      <c r="P261" s="94" t="s">
        <v>1076</v>
      </c>
      <c r="Q261" s="95"/>
      <c r="R261" s="94" t="s">
        <v>1491</v>
      </c>
    </row>
    <row r="262" spans="1:18" s="96" customFormat="1" x14ac:dyDescent="0.25">
      <c r="A262" s="93"/>
      <c r="B262" s="139">
        <v>79</v>
      </c>
      <c r="C262" s="139" t="s">
        <v>1670</v>
      </c>
      <c r="D262" s="3">
        <v>255</v>
      </c>
      <c r="E262" s="39" t="s">
        <v>70</v>
      </c>
      <c r="F262" s="3" t="s">
        <v>5</v>
      </c>
      <c r="G262" s="100" t="s">
        <v>1630</v>
      </c>
      <c r="H262" s="3" t="s">
        <v>1</v>
      </c>
      <c r="I262" s="39" t="s">
        <v>2</v>
      </c>
      <c r="J262" s="39" t="s">
        <v>1472</v>
      </c>
      <c r="K262" s="30">
        <v>27029</v>
      </c>
      <c r="L262" s="26">
        <v>1973</v>
      </c>
      <c r="M262" s="26">
        <f t="shared" si="4"/>
        <v>46</v>
      </c>
      <c r="N262" s="3" t="s">
        <v>3</v>
      </c>
      <c r="O262" s="3" t="s">
        <v>821</v>
      </c>
      <c r="P262" s="39" t="s">
        <v>978</v>
      </c>
      <c r="Q262" s="3"/>
      <c r="R262" s="39" t="s">
        <v>54</v>
      </c>
    </row>
    <row r="263" spans="1:18" s="96" customFormat="1" ht="25.5" x14ac:dyDescent="0.25">
      <c r="A263" s="93"/>
      <c r="B263" s="140"/>
      <c r="C263" s="140"/>
      <c r="D263" s="3">
        <v>256</v>
      </c>
      <c r="E263" s="39" t="s">
        <v>71</v>
      </c>
      <c r="F263" s="3" t="s">
        <v>9</v>
      </c>
      <c r="G263" s="100" t="s">
        <v>1631</v>
      </c>
      <c r="H263" s="3" t="s">
        <v>7</v>
      </c>
      <c r="I263" s="39" t="s">
        <v>2</v>
      </c>
      <c r="J263" s="39" t="s">
        <v>1632</v>
      </c>
      <c r="K263" s="30">
        <v>29776</v>
      </c>
      <c r="L263" s="26">
        <v>1981</v>
      </c>
      <c r="M263" s="26">
        <f t="shared" si="4"/>
        <v>38</v>
      </c>
      <c r="N263" s="3" t="s">
        <v>3</v>
      </c>
      <c r="O263" s="3" t="s">
        <v>821</v>
      </c>
      <c r="P263" s="39" t="s">
        <v>936</v>
      </c>
      <c r="Q263" s="3"/>
      <c r="R263" s="39" t="s">
        <v>827</v>
      </c>
    </row>
    <row r="264" spans="1:18" s="96" customFormat="1" ht="25.5" x14ac:dyDescent="0.25">
      <c r="A264" s="93"/>
      <c r="B264" s="140"/>
      <c r="C264" s="140"/>
      <c r="D264" s="3">
        <v>257</v>
      </c>
      <c r="E264" s="39" t="s">
        <v>1633</v>
      </c>
      <c r="F264" s="3" t="s">
        <v>11</v>
      </c>
      <c r="G264" s="100" t="s">
        <v>1634</v>
      </c>
      <c r="H264" s="3" t="s">
        <v>1</v>
      </c>
      <c r="I264" s="39" t="s">
        <v>129</v>
      </c>
      <c r="J264" s="39" t="s">
        <v>1472</v>
      </c>
      <c r="K264" s="30">
        <v>36646</v>
      </c>
      <c r="L264" s="26">
        <v>2000</v>
      </c>
      <c r="M264" s="26">
        <f t="shared" si="4"/>
        <v>19</v>
      </c>
      <c r="N264" s="3" t="s">
        <v>3</v>
      </c>
      <c r="O264" s="3" t="s">
        <v>821</v>
      </c>
      <c r="P264" s="39" t="s">
        <v>936</v>
      </c>
      <c r="Q264" s="3"/>
      <c r="R264" s="39" t="s">
        <v>1475</v>
      </c>
    </row>
    <row r="265" spans="1:18" s="96" customFormat="1" ht="25.5" x14ac:dyDescent="0.25">
      <c r="A265" s="93"/>
      <c r="B265" s="140"/>
      <c r="C265" s="140"/>
      <c r="D265" s="3">
        <v>258</v>
      </c>
      <c r="E265" s="39" t="s">
        <v>1671</v>
      </c>
      <c r="F265" s="3" t="s">
        <v>11</v>
      </c>
      <c r="G265" s="100" t="s">
        <v>1672</v>
      </c>
      <c r="H265" s="3" t="s">
        <v>1</v>
      </c>
      <c r="I265" s="39" t="s">
        <v>129</v>
      </c>
      <c r="J265" s="39" t="s">
        <v>1472</v>
      </c>
      <c r="K265" s="30">
        <v>37640</v>
      </c>
      <c r="L265" s="26">
        <v>2003</v>
      </c>
      <c r="M265" s="26">
        <f t="shared" si="4"/>
        <v>16</v>
      </c>
      <c r="N265" s="3" t="s">
        <v>3</v>
      </c>
      <c r="O265" s="3" t="s">
        <v>821</v>
      </c>
      <c r="P265" s="39" t="s">
        <v>1078</v>
      </c>
      <c r="Q265" s="3"/>
      <c r="R265" s="39" t="s">
        <v>1491</v>
      </c>
    </row>
    <row r="266" spans="1:18" s="96" customFormat="1" ht="25.5" x14ac:dyDescent="0.25">
      <c r="A266" s="93"/>
      <c r="B266" s="141"/>
      <c r="C266" s="141"/>
      <c r="D266" s="3">
        <v>259</v>
      </c>
      <c r="E266" s="39" t="s">
        <v>1636</v>
      </c>
      <c r="F266" s="3" t="s">
        <v>11</v>
      </c>
      <c r="G266" s="100" t="s">
        <v>1637</v>
      </c>
      <c r="H266" s="3" t="s">
        <v>7</v>
      </c>
      <c r="I266" s="39" t="s">
        <v>129</v>
      </c>
      <c r="J266" s="39" t="s">
        <v>1472</v>
      </c>
      <c r="K266" s="30">
        <v>42423</v>
      </c>
      <c r="L266" s="26">
        <v>2016</v>
      </c>
      <c r="M266" s="26">
        <f t="shared" si="4"/>
        <v>3</v>
      </c>
      <c r="N266" s="3" t="s">
        <v>3</v>
      </c>
      <c r="O266" s="3" t="s">
        <v>821</v>
      </c>
      <c r="P266" s="39" t="s">
        <v>1078</v>
      </c>
      <c r="Q266" s="3"/>
      <c r="R266" s="39" t="s">
        <v>1491</v>
      </c>
    </row>
    <row r="270" spans="1:18" s="107" customFormat="1" x14ac:dyDescent="0.25">
      <c r="D270" s="128" t="s">
        <v>1845</v>
      </c>
      <c r="E270" s="128"/>
      <c r="F270" s="128"/>
      <c r="L270" s="82"/>
      <c r="P270" s="108"/>
      <c r="R270" s="108"/>
    </row>
    <row r="271" spans="1:18" s="107" customFormat="1" x14ac:dyDescent="0.25">
      <c r="D271" s="128" t="s">
        <v>1846</v>
      </c>
      <c r="E271" s="128"/>
      <c r="F271" s="128"/>
      <c r="L271" s="82"/>
      <c r="P271" s="118" t="s">
        <v>1847</v>
      </c>
      <c r="Q271" s="118"/>
      <c r="R271" s="108"/>
    </row>
    <row r="272" spans="1:18" s="107" customFormat="1" x14ac:dyDescent="0.25">
      <c r="D272" s="109"/>
      <c r="E272" s="110"/>
      <c r="F272" s="109"/>
      <c r="L272" s="82"/>
      <c r="P272" s="36"/>
      <c r="Q272" s="40"/>
      <c r="R272" s="108"/>
    </row>
    <row r="273" spans="4:18" s="107" customFormat="1" x14ac:dyDescent="0.25">
      <c r="D273" s="109"/>
      <c r="E273" s="110"/>
      <c r="F273" s="109"/>
      <c r="L273" s="82"/>
      <c r="P273" s="36"/>
      <c r="Q273" s="40"/>
      <c r="R273" s="108"/>
    </row>
    <row r="274" spans="4:18" s="107" customFormat="1" x14ac:dyDescent="0.25">
      <c r="D274" s="109"/>
      <c r="E274" s="110"/>
      <c r="F274" s="109"/>
      <c r="L274" s="82"/>
      <c r="P274" s="36"/>
      <c r="Q274" s="40"/>
      <c r="R274" s="108"/>
    </row>
    <row r="275" spans="4:18" s="107" customFormat="1" ht="14.25" x14ac:dyDescent="0.2">
      <c r="D275" s="129" t="s">
        <v>1848</v>
      </c>
      <c r="E275" s="129"/>
      <c r="F275" s="129"/>
      <c r="L275" s="82"/>
      <c r="P275" s="111" t="s">
        <v>1852</v>
      </c>
      <c r="Q275" s="111"/>
      <c r="R275" s="108"/>
    </row>
    <row r="276" spans="4:18" s="107" customFormat="1" ht="14.25" x14ac:dyDescent="0.2">
      <c r="D276" s="129" t="s">
        <v>1849</v>
      </c>
      <c r="E276" s="129"/>
      <c r="F276" s="129"/>
      <c r="L276" s="82"/>
      <c r="P276" s="108"/>
      <c r="R276" s="108"/>
    </row>
  </sheetData>
  <autoFilter ref="A7:R266"/>
  <mergeCells count="169">
    <mergeCell ref="B262:B266"/>
    <mergeCell ref="C262:C266"/>
    <mergeCell ref="P5:P6"/>
    <mergeCell ref="R5:R6"/>
    <mergeCell ref="B5:B6"/>
    <mergeCell ref="E5:E6"/>
    <mergeCell ref="H5:H6"/>
    <mergeCell ref="I5:I6"/>
    <mergeCell ref="B8:B10"/>
    <mergeCell ref="J5:L5"/>
    <mergeCell ref="M5:M6"/>
    <mergeCell ref="O5:O6"/>
    <mergeCell ref="Q5:Q6"/>
    <mergeCell ref="B153:B155"/>
    <mergeCell ref="B156:B158"/>
    <mergeCell ref="C156:C158"/>
    <mergeCell ref="B159:B161"/>
    <mergeCell ref="C159:C161"/>
    <mergeCell ref="B73:B75"/>
    <mergeCell ref="C73:C75"/>
    <mergeCell ref="B76:B78"/>
    <mergeCell ref="B129:B131"/>
    <mergeCell ref="C129:C131"/>
    <mergeCell ref="B132:B136"/>
    <mergeCell ref="G5:G6"/>
    <mergeCell ref="F5:F6"/>
    <mergeCell ref="C5:C6"/>
    <mergeCell ref="D5:D6"/>
    <mergeCell ref="N5:N6"/>
    <mergeCell ref="B51:B56"/>
    <mergeCell ref="C51:C56"/>
    <mergeCell ref="B31:B35"/>
    <mergeCell ref="C31:C35"/>
    <mergeCell ref="B36:B37"/>
    <mergeCell ref="C36:C37"/>
    <mergeCell ref="C41:C44"/>
    <mergeCell ref="B45:B48"/>
    <mergeCell ref="C45:C48"/>
    <mergeCell ref="B49:B50"/>
    <mergeCell ref="C11:C14"/>
    <mergeCell ref="B15:B18"/>
    <mergeCell ref="C15:C18"/>
    <mergeCell ref="B19:B20"/>
    <mergeCell ref="C19:C20"/>
    <mergeCell ref="B21:B25"/>
    <mergeCell ref="C21:C25"/>
    <mergeCell ref="B26:B27"/>
    <mergeCell ref="B28:B30"/>
    <mergeCell ref="B11:B14"/>
    <mergeCell ref="B58:B60"/>
    <mergeCell ref="B61:B64"/>
    <mergeCell ref="C61:C64"/>
    <mergeCell ref="B65:B67"/>
    <mergeCell ref="B176:B179"/>
    <mergeCell ref="C176:C179"/>
    <mergeCell ref="B167:B171"/>
    <mergeCell ref="B172:B175"/>
    <mergeCell ref="C79:C82"/>
    <mergeCell ref="B83:B85"/>
    <mergeCell ref="C83:C85"/>
    <mergeCell ref="B86:B88"/>
    <mergeCell ref="C86:C88"/>
    <mergeCell ref="B90:B93"/>
    <mergeCell ref="C90:C93"/>
    <mergeCell ref="B38:B40"/>
    <mergeCell ref="B41:B44"/>
    <mergeCell ref="C65:C67"/>
    <mergeCell ref="B68:B71"/>
    <mergeCell ref="C68:C71"/>
    <mergeCell ref="B180:B183"/>
    <mergeCell ref="C180:C183"/>
    <mergeCell ref="B185:B186"/>
    <mergeCell ref="C185:C186"/>
    <mergeCell ref="B111:B112"/>
    <mergeCell ref="C111:C112"/>
    <mergeCell ref="B113:B116"/>
    <mergeCell ref="C113:C116"/>
    <mergeCell ref="B117:B120"/>
    <mergeCell ref="C117:C120"/>
    <mergeCell ref="B121:B124"/>
    <mergeCell ref="C121:C124"/>
    <mergeCell ref="B125:B128"/>
    <mergeCell ref="C125:C128"/>
    <mergeCell ref="C132:C136"/>
    <mergeCell ref="B137:B141"/>
    <mergeCell ref="B142:B146"/>
    <mergeCell ref="C142:C146"/>
    <mergeCell ref="B147:B152"/>
    <mergeCell ref="C147:C152"/>
    <mergeCell ref="C137:C141"/>
    <mergeCell ref="C153:C155"/>
    <mergeCell ref="C167:C171"/>
    <mergeCell ref="C172:C175"/>
    <mergeCell ref="B210:B212"/>
    <mergeCell ref="C210:C212"/>
    <mergeCell ref="B213:B216"/>
    <mergeCell ref="C213:C216"/>
    <mergeCell ref="B217:B219"/>
    <mergeCell ref="C217:C219"/>
    <mergeCell ref="B187:B189"/>
    <mergeCell ref="C187:C189"/>
    <mergeCell ref="B190:B192"/>
    <mergeCell ref="C190:C192"/>
    <mergeCell ref="B193:B194"/>
    <mergeCell ref="C193:C194"/>
    <mergeCell ref="B195:B199"/>
    <mergeCell ref="C195:C199"/>
    <mergeCell ref="B200:B203"/>
    <mergeCell ref="C200:C203"/>
    <mergeCell ref="B259:B261"/>
    <mergeCell ref="C259:C261"/>
    <mergeCell ref="B236:B239"/>
    <mergeCell ref="C236:C239"/>
    <mergeCell ref="B240:B242"/>
    <mergeCell ref="C240:C242"/>
    <mergeCell ref="B243:B245"/>
    <mergeCell ref="C243:C245"/>
    <mergeCell ref="B246:B247"/>
    <mergeCell ref="C246:C247"/>
    <mergeCell ref="B248:B250"/>
    <mergeCell ref="C248:C250"/>
    <mergeCell ref="C76:C78"/>
    <mergeCell ref="B79:B82"/>
    <mergeCell ref="B251:B252"/>
    <mergeCell ref="C251:C252"/>
    <mergeCell ref="B253:B254"/>
    <mergeCell ref="C253:C254"/>
    <mergeCell ref="B255:B256"/>
    <mergeCell ref="C255:C256"/>
    <mergeCell ref="B257:B258"/>
    <mergeCell ref="C257:C258"/>
    <mergeCell ref="B220:B221"/>
    <mergeCell ref="C220:C221"/>
    <mergeCell ref="B222:B223"/>
    <mergeCell ref="C222:C223"/>
    <mergeCell ref="B225:B228"/>
    <mergeCell ref="C225:C228"/>
    <mergeCell ref="B229:B232"/>
    <mergeCell ref="C229:C232"/>
    <mergeCell ref="B233:B235"/>
    <mergeCell ref="C233:C235"/>
    <mergeCell ref="B204:B206"/>
    <mergeCell ref="C204:C206"/>
    <mergeCell ref="B207:B209"/>
    <mergeCell ref="C207:C209"/>
    <mergeCell ref="D270:F270"/>
    <mergeCell ref="D271:F271"/>
    <mergeCell ref="P271:Q271"/>
    <mergeCell ref="D275:F275"/>
    <mergeCell ref="P275:Q275"/>
    <mergeCell ref="D276:F276"/>
    <mergeCell ref="B1:R1"/>
    <mergeCell ref="B2:R2"/>
    <mergeCell ref="C8:C10"/>
    <mergeCell ref="C26:C27"/>
    <mergeCell ref="C28:C30"/>
    <mergeCell ref="C38:C40"/>
    <mergeCell ref="C49:C50"/>
    <mergeCell ref="C58:C60"/>
    <mergeCell ref="B162:B166"/>
    <mergeCell ref="C162:C166"/>
    <mergeCell ref="B94:B97"/>
    <mergeCell ref="C94:C97"/>
    <mergeCell ref="B99:B104"/>
    <mergeCell ref="C99:C104"/>
    <mergeCell ref="B105:B106"/>
    <mergeCell ref="C105:C106"/>
    <mergeCell ref="B107:B110"/>
    <mergeCell ref="C107:C110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C6"/>
    </sheetView>
  </sheetViews>
  <sheetFormatPr defaultRowHeight="15" x14ac:dyDescent="0.25"/>
  <sheetData>
    <row r="1" spans="1:3" x14ac:dyDescent="0.25">
      <c r="A1">
        <v>64</v>
      </c>
      <c r="C1">
        <v>210</v>
      </c>
    </row>
    <row r="2" spans="1:3" x14ac:dyDescent="0.25">
      <c r="A2">
        <v>42</v>
      </c>
      <c r="C2">
        <v>152</v>
      </c>
    </row>
    <row r="3" spans="1:3" x14ac:dyDescent="0.25">
      <c r="A3">
        <v>32</v>
      </c>
      <c r="C3">
        <v>115</v>
      </c>
    </row>
    <row r="4" spans="1:3" x14ac:dyDescent="0.25">
      <c r="A4">
        <v>61</v>
      </c>
      <c r="C4">
        <v>208</v>
      </c>
    </row>
    <row r="5" spans="1:3" x14ac:dyDescent="0.25">
      <c r="A5">
        <f>SUM(A1:A4)</f>
        <v>199</v>
      </c>
      <c r="C5">
        <f>SUM(C1:C4)</f>
        <v>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O16"/>
  <sheetViews>
    <sheetView workbookViewId="0">
      <pane ySplit="3" topLeftCell="A4" activePane="bottomLeft" state="frozen"/>
      <selection pane="bottomLeft" activeCell="B17" sqref="B17"/>
    </sheetView>
  </sheetViews>
  <sheetFormatPr defaultRowHeight="15" x14ac:dyDescent="0.25"/>
  <cols>
    <col min="2" max="2" width="3.140625" bestFit="1" customWidth="1"/>
    <col min="3" max="3" width="9.28515625" bestFit="1" customWidth="1"/>
    <col min="4" max="4" width="10.85546875" bestFit="1" customWidth="1"/>
    <col min="5" max="5" width="21.42578125" bestFit="1" customWidth="1"/>
    <col min="6" max="6" width="23" bestFit="1" customWidth="1"/>
    <col min="7" max="7" width="15.28515625" bestFit="1" customWidth="1"/>
    <col min="8" max="8" width="16.85546875" bestFit="1" customWidth="1"/>
    <col min="9" max="9" width="16" bestFit="1" customWidth="1"/>
    <col min="10" max="10" width="6.7109375" bestFit="1" customWidth="1"/>
    <col min="11" max="11" width="10.85546875" bestFit="1" customWidth="1"/>
    <col min="12" max="12" width="6" bestFit="1" customWidth="1"/>
    <col min="13" max="13" width="4.42578125" bestFit="1" customWidth="1"/>
    <col min="14" max="14" width="6.42578125" bestFit="1" customWidth="1"/>
    <col min="15" max="15" width="5" bestFit="1" customWidth="1"/>
    <col min="16" max="16" width="17.85546875" bestFit="1" customWidth="1"/>
    <col min="17" max="17" width="7.5703125" bestFit="1" customWidth="1"/>
    <col min="19" max="19" width="6.42578125" bestFit="1" customWidth="1"/>
    <col min="20" max="20" width="5.140625" bestFit="1" customWidth="1"/>
    <col min="21" max="21" width="3.5703125" bestFit="1" customWidth="1"/>
    <col min="22" max="22" width="8.28515625" bestFit="1" customWidth="1"/>
    <col min="23" max="23" width="11.28515625" bestFit="1" customWidth="1"/>
  </cols>
  <sheetData>
    <row r="2" spans="1:249" ht="20.100000000000001" customHeight="1" x14ac:dyDescent="0.25">
      <c r="B2" s="159" t="s">
        <v>108</v>
      </c>
      <c r="C2" s="159" t="s">
        <v>803</v>
      </c>
      <c r="D2" s="160" t="s">
        <v>804</v>
      </c>
      <c r="E2" s="159" t="s">
        <v>109</v>
      </c>
      <c r="F2" s="160" t="s">
        <v>115</v>
      </c>
      <c r="G2" s="161" t="s">
        <v>116</v>
      </c>
      <c r="H2" s="160" t="s">
        <v>110</v>
      </c>
      <c r="I2" s="160" t="s">
        <v>111</v>
      </c>
      <c r="J2" s="159" t="s">
        <v>805</v>
      </c>
      <c r="K2" s="159"/>
      <c r="L2" s="159"/>
      <c r="M2" s="162" t="s">
        <v>809</v>
      </c>
      <c r="N2" s="159" t="s">
        <v>112</v>
      </c>
      <c r="O2" s="159" t="s">
        <v>810</v>
      </c>
      <c r="P2" s="159" t="s">
        <v>113</v>
      </c>
      <c r="Q2" s="159" t="s">
        <v>811</v>
      </c>
      <c r="R2" s="159" t="s">
        <v>114</v>
      </c>
      <c r="S2" s="159" t="s">
        <v>812</v>
      </c>
      <c r="T2" s="159"/>
      <c r="U2" s="159" t="s">
        <v>813</v>
      </c>
      <c r="V2" s="159"/>
      <c r="W2" s="159"/>
    </row>
    <row r="3" spans="1:249" ht="20.100000000000001" customHeight="1" x14ac:dyDescent="0.25">
      <c r="B3" s="159"/>
      <c r="C3" s="159"/>
      <c r="D3" s="160"/>
      <c r="E3" s="159"/>
      <c r="F3" s="160"/>
      <c r="G3" s="161"/>
      <c r="H3" s="160"/>
      <c r="I3" s="160"/>
      <c r="J3" s="2" t="s">
        <v>806</v>
      </c>
      <c r="K3" s="7" t="s">
        <v>807</v>
      </c>
      <c r="L3" s="5" t="s">
        <v>808</v>
      </c>
      <c r="M3" s="162"/>
      <c r="N3" s="159"/>
      <c r="O3" s="159"/>
      <c r="P3" s="159"/>
      <c r="Q3" s="159"/>
      <c r="R3" s="159"/>
      <c r="S3" s="2" t="s">
        <v>814</v>
      </c>
      <c r="T3" s="2" t="s">
        <v>815</v>
      </c>
      <c r="U3" s="2" t="s">
        <v>5</v>
      </c>
      <c r="V3" s="2" t="s">
        <v>816</v>
      </c>
      <c r="W3" s="2" t="s">
        <v>817</v>
      </c>
    </row>
    <row r="4" spans="1:249" x14ac:dyDescent="0.25">
      <c r="B4" s="2"/>
      <c r="C4" s="2"/>
      <c r="D4" s="2"/>
      <c r="E4" s="2"/>
      <c r="F4" s="2"/>
      <c r="G4" s="4"/>
      <c r="H4" s="2"/>
      <c r="I4" s="2"/>
      <c r="J4" s="2"/>
      <c r="K4" s="7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49" s="11" customFormat="1" x14ac:dyDescent="0.25">
      <c r="A5" s="12"/>
      <c r="B5" s="19"/>
      <c r="C5" s="16"/>
      <c r="D5" s="16">
        <v>114</v>
      </c>
      <c r="E5" s="16" t="s">
        <v>107</v>
      </c>
      <c r="F5" s="16" t="s">
        <v>11</v>
      </c>
      <c r="G5" s="16" t="s">
        <v>802</v>
      </c>
      <c r="H5" s="16" t="s">
        <v>7</v>
      </c>
      <c r="I5" s="16" t="s">
        <v>10</v>
      </c>
      <c r="J5" s="16"/>
      <c r="K5" s="17">
        <v>35174</v>
      </c>
      <c r="L5" s="18"/>
      <c r="M5" s="18">
        <f>2019-L5</f>
        <v>2019</v>
      </c>
      <c r="N5" s="16" t="s">
        <v>3</v>
      </c>
      <c r="O5" s="16"/>
      <c r="P5" s="16" t="s">
        <v>21</v>
      </c>
      <c r="Q5" s="16"/>
      <c r="R5" s="16"/>
      <c r="S5" s="16"/>
      <c r="T5" s="16"/>
      <c r="U5" s="16"/>
      <c r="V5" s="16"/>
      <c r="W5" s="16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</row>
    <row r="6" spans="1:249" x14ac:dyDescent="0.25">
      <c r="C6" s="9"/>
      <c r="D6" s="9">
        <v>104</v>
      </c>
      <c r="E6" s="9" t="s">
        <v>99</v>
      </c>
      <c r="F6" s="9" t="s">
        <v>83</v>
      </c>
      <c r="G6" s="9">
        <v>0</v>
      </c>
      <c r="H6" s="9" t="s">
        <v>7</v>
      </c>
      <c r="I6" s="9" t="s">
        <v>39</v>
      </c>
      <c r="J6" s="9"/>
      <c r="K6" s="10">
        <v>34989</v>
      </c>
      <c r="L6" s="6"/>
      <c r="M6" s="6">
        <f t="shared" ref="M6:M16" si="0">2019-L6</f>
        <v>2019</v>
      </c>
      <c r="N6" s="9" t="s">
        <v>3</v>
      </c>
      <c r="O6" s="9"/>
      <c r="P6" s="9" t="s">
        <v>13</v>
      </c>
      <c r="Q6" s="9"/>
      <c r="R6" s="9"/>
      <c r="S6" s="3"/>
      <c r="T6" s="3"/>
      <c r="U6" s="3"/>
      <c r="V6" s="3"/>
      <c r="W6" s="3"/>
    </row>
    <row r="7" spans="1:249" s="12" customFormat="1" x14ac:dyDescent="0.25">
      <c r="B7" s="20"/>
      <c r="C7" s="20"/>
      <c r="D7" s="13"/>
      <c r="E7" s="13" t="s">
        <v>1045</v>
      </c>
      <c r="F7" s="13" t="s">
        <v>11</v>
      </c>
      <c r="G7" s="13" t="s">
        <v>1046</v>
      </c>
      <c r="H7" s="13" t="s">
        <v>7</v>
      </c>
      <c r="I7" s="13" t="s">
        <v>10</v>
      </c>
      <c r="J7" s="13"/>
      <c r="K7" s="14">
        <v>29586</v>
      </c>
      <c r="L7" s="21">
        <v>29586</v>
      </c>
      <c r="M7" s="15">
        <f t="shared" si="0"/>
        <v>-27567</v>
      </c>
      <c r="N7" s="13" t="s">
        <v>3</v>
      </c>
      <c r="O7" s="13" t="s">
        <v>821</v>
      </c>
      <c r="P7" s="13" t="s">
        <v>978</v>
      </c>
      <c r="Q7" s="13"/>
      <c r="R7" s="13"/>
      <c r="S7" s="13"/>
      <c r="T7" s="13"/>
      <c r="U7" s="13"/>
      <c r="V7" s="13"/>
      <c r="W7" s="13"/>
    </row>
    <row r="8" spans="1:249" x14ac:dyDescent="0.25">
      <c r="B8" s="23"/>
      <c r="C8" s="23"/>
      <c r="D8" s="13">
        <v>166</v>
      </c>
      <c r="E8" s="13" t="s">
        <v>217</v>
      </c>
      <c r="F8" s="13" t="s">
        <v>11</v>
      </c>
      <c r="G8" s="13" t="s">
        <v>315</v>
      </c>
      <c r="H8" s="13" t="s">
        <v>7</v>
      </c>
      <c r="I8" s="13" t="s">
        <v>129</v>
      </c>
      <c r="J8" s="13"/>
      <c r="K8" s="14">
        <v>36222</v>
      </c>
      <c r="L8" s="15"/>
      <c r="M8" s="15">
        <f t="shared" si="0"/>
        <v>2019</v>
      </c>
      <c r="N8" s="13" t="s">
        <v>3</v>
      </c>
      <c r="O8" s="13"/>
      <c r="P8" s="13" t="s">
        <v>8</v>
      </c>
      <c r="Q8" s="13"/>
      <c r="R8" s="13"/>
      <c r="S8" s="22"/>
      <c r="T8" s="22"/>
      <c r="U8" s="22"/>
      <c r="V8" s="22"/>
      <c r="W8" s="22"/>
    </row>
    <row r="9" spans="1:249" s="8" customFormat="1" x14ac:dyDescent="0.25">
      <c r="B9" s="8" t="s">
        <v>1444</v>
      </c>
      <c r="C9" s="28"/>
      <c r="D9" s="28">
        <v>132</v>
      </c>
      <c r="E9" s="28" t="s">
        <v>729</v>
      </c>
      <c r="F9" s="28" t="s">
        <v>83</v>
      </c>
      <c r="G9" s="28">
        <v>0</v>
      </c>
      <c r="H9" s="28" t="s">
        <v>1</v>
      </c>
      <c r="I9" s="28" t="s">
        <v>10</v>
      </c>
      <c r="J9" s="28"/>
      <c r="K9" s="25">
        <v>35098</v>
      </c>
      <c r="L9" s="24"/>
      <c r="M9" s="24">
        <f t="shared" si="0"/>
        <v>2019</v>
      </c>
      <c r="N9" s="28" t="s">
        <v>3</v>
      </c>
      <c r="O9" s="28"/>
      <c r="P9" s="28"/>
      <c r="Q9" s="28"/>
      <c r="R9" s="28"/>
      <c r="S9" s="28"/>
      <c r="T9" s="28"/>
      <c r="U9" s="28"/>
      <c r="V9" s="28"/>
      <c r="W9" s="28"/>
    </row>
    <row r="10" spans="1:249" s="8" customFormat="1" x14ac:dyDescent="0.25">
      <c r="B10" s="8" t="s">
        <v>1444</v>
      </c>
      <c r="C10" s="28"/>
      <c r="D10" s="28">
        <v>133</v>
      </c>
      <c r="E10" s="28" t="s">
        <v>730</v>
      </c>
      <c r="F10" s="28" t="s">
        <v>83</v>
      </c>
      <c r="G10" s="28">
        <v>0</v>
      </c>
      <c r="H10" s="28" t="s">
        <v>7</v>
      </c>
      <c r="I10" s="28" t="s">
        <v>10</v>
      </c>
      <c r="J10" s="28"/>
      <c r="K10" s="25">
        <v>35978</v>
      </c>
      <c r="L10" s="24"/>
      <c r="M10" s="24">
        <f t="shared" si="0"/>
        <v>2019</v>
      </c>
      <c r="N10" s="28" t="s">
        <v>3</v>
      </c>
      <c r="O10" s="28"/>
      <c r="P10" s="28"/>
      <c r="Q10" s="28"/>
      <c r="R10" s="28"/>
      <c r="S10" s="28"/>
      <c r="T10" s="28"/>
      <c r="U10" s="28"/>
      <c r="V10" s="28"/>
      <c r="W10" s="28"/>
    </row>
    <row r="11" spans="1:249" s="29" customFormat="1" x14ac:dyDescent="0.25">
      <c r="B11" t="s">
        <v>1702</v>
      </c>
      <c r="C11"/>
      <c r="D11" s="69">
        <v>175</v>
      </c>
      <c r="E11" s="38" t="s">
        <v>222</v>
      </c>
      <c r="F11" s="68" t="s">
        <v>11</v>
      </c>
      <c r="G11" s="68" t="s">
        <v>321</v>
      </c>
      <c r="H11" s="68" t="s">
        <v>7</v>
      </c>
      <c r="I11" s="38" t="s">
        <v>39</v>
      </c>
      <c r="J11" s="38"/>
      <c r="K11" s="10">
        <v>32569</v>
      </c>
      <c r="L11" s="67"/>
      <c r="M11" s="67">
        <f t="shared" si="0"/>
        <v>2019</v>
      </c>
      <c r="N11" s="68" t="s">
        <v>3</v>
      </c>
      <c r="O11" s="68"/>
      <c r="P11" s="38" t="s">
        <v>8</v>
      </c>
      <c r="Q11" s="68"/>
      <c r="R11" s="38"/>
      <c r="S11" s="3"/>
      <c r="T11" s="3"/>
      <c r="U11" s="3"/>
      <c r="V11" s="3"/>
      <c r="W11" s="3"/>
    </row>
    <row r="12" spans="1:249" s="29" customFormat="1" x14ac:dyDescent="0.25">
      <c r="B12" t="s">
        <v>1702</v>
      </c>
      <c r="C12"/>
      <c r="D12" s="69">
        <v>177</v>
      </c>
      <c r="E12" s="38" t="s">
        <v>224</v>
      </c>
      <c r="F12" s="68" t="s">
        <v>11</v>
      </c>
      <c r="G12" s="68" t="s">
        <v>322</v>
      </c>
      <c r="H12" s="68" t="s">
        <v>1</v>
      </c>
      <c r="I12" s="38" t="s">
        <v>225</v>
      </c>
      <c r="J12" s="38"/>
      <c r="K12" s="10">
        <v>35279</v>
      </c>
      <c r="L12" s="67"/>
      <c r="M12" s="67">
        <f t="shared" si="0"/>
        <v>2019</v>
      </c>
      <c r="N12" s="68" t="s">
        <v>3</v>
      </c>
      <c r="O12" s="68"/>
      <c r="P12" s="38" t="s">
        <v>8</v>
      </c>
      <c r="Q12" s="68"/>
      <c r="R12" s="38"/>
      <c r="S12" s="3"/>
      <c r="T12" s="3"/>
      <c r="U12" s="3"/>
      <c r="V12" s="3"/>
      <c r="W12" s="3"/>
    </row>
    <row r="13" spans="1:249" x14ac:dyDescent="0.25">
      <c r="A13" s="27"/>
      <c r="B13" t="s">
        <v>1755</v>
      </c>
      <c r="D13" s="70">
        <v>116</v>
      </c>
      <c r="E13" s="37" t="s">
        <v>478</v>
      </c>
      <c r="F13" s="71" t="s">
        <v>11</v>
      </c>
      <c r="G13" s="71" t="s">
        <v>479</v>
      </c>
      <c r="H13" s="71" t="s">
        <v>7</v>
      </c>
      <c r="I13" s="71" t="s">
        <v>10</v>
      </c>
      <c r="J13" s="37"/>
      <c r="K13" s="10">
        <v>32143</v>
      </c>
      <c r="L13" s="71"/>
      <c r="M13" s="71">
        <f t="shared" si="0"/>
        <v>2019</v>
      </c>
      <c r="N13" s="71" t="s">
        <v>3</v>
      </c>
      <c r="O13" s="71"/>
      <c r="P13" s="37" t="s">
        <v>21</v>
      </c>
      <c r="Q13" s="71"/>
      <c r="R13" s="37"/>
      <c r="S13" s="26"/>
      <c r="T13" s="26"/>
      <c r="U13" s="26"/>
      <c r="V13" s="26"/>
      <c r="W13" s="26"/>
    </row>
    <row r="14" spans="1:249" s="29" customFormat="1" x14ac:dyDescent="0.25">
      <c r="B14" t="s">
        <v>1782</v>
      </c>
      <c r="C14"/>
      <c r="D14" s="72">
        <v>68</v>
      </c>
      <c r="E14" s="38" t="s">
        <v>62</v>
      </c>
      <c r="F14" s="73" t="s">
        <v>11</v>
      </c>
      <c r="G14" s="73" t="s">
        <v>783</v>
      </c>
      <c r="H14" s="73" t="s">
        <v>7</v>
      </c>
      <c r="I14" s="38" t="s">
        <v>10</v>
      </c>
      <c r="J14" s="38"/>
      <c r="K14" s="10">
        <v>33340</v>
      </c>
      <c r="L14" s="71"/>
      <c r="M14" s="71">
        <f t="shared" si="0"/>
        <v>2019</v>
      </c>
      <c r="N14" s="73" t="s">
        <v>3</v>
      </c>
      <c r="O14" s="73"/>
      <c r="P14" s="38" t="s">
        <v>8</v>
      </c>
      <c r="Q14" s="73"/>
      <c r="R14" s="38"/>
      <c r="S14" s="3"/>
      <c r="T14" s="3"/>
      <c r="U14" s="3"/>
      <c r="V14" s="3"/>
      <c r="W14" s="3"/>
    </row>
    <row r="15" spans="1:249" s="29" customFormat="1" x14ac:dyDescent="0.25">
      <c r="B15" t="s">
        <v>1782</v>
      </c>
      <c r="C15"/>
      <c r="D15" s="72">
        <v>69</v>
      </c>
      <c r="E15" s="38" t="s">
        <v>63</v>
      </c>
      <c r="F15" s="73" t="s">
        <v>11</v>
      </c>
      <c r="G15" s="73" t="s">
        <v>784</v>
      </c>
      <c r="H15" s="73" t="s">
        <v>1</v>
      </c>
      <c r="I15" s="38" t="s">
        <v>10</v>
      </c>
      <c r="J15" s="38"/>
      <c r="K15" s="10">
        <v>33800</v>
      </c>
      <c r="L15" s="71"/>
      <c r="M15" s="71">
        <f t="shared" si="0"/>
        <v>2019</v>
      </c>
      <c r="N15" s="73" t="s">
        <v>3</v>
      </c>
      <c r="O15" s="73"/>
      <c r="P15" s="38" t="s">
        <v>8</v>
      </c>
      <c r="Q15" s="73"/>
      <c r="R15" s="38"/>
      <c r="S15" s="3"/>
      <c r="T15" s="3"/>
      <c r="U15" s="3"/>
      <c r="V15" s="3"/>
      <c r="W15" s="3"/>
    </row>
    <row r="16" spans="1:249" s="1" customFormat="1" ht="38.25" x14ac:dyDescent="0.25">
      <c r="B16" t="s">
        <v>1660</v>
      </c>
      <c r="C16"/>
      <c r="D16" s="72">
        <v>60</v>
      </c>
      <c r="E16" s="38" t="s">
        <v>658</v>
      </c>
      <c r="F16" s="73" t="s">
        <v>11</v>
      </c>
      <c r="G16" s="73" t="s">
        <v>659</v>
      </c>
      <c r="H16" s="73" t="s">
        <v>7</v>
      </c>
      <c r="I16" s="73" t="s">
        <v>10</v>
      </c>
      <c r="J16" s="38" t="s">
        <v>820</v>
      </c>
      <c r="K16" s="10">
        <v>33790</v>
      </c>
      <c r="L16" s="71">
        <v>1992</v>
      </c>
      <c r="M16" s="71">
        <f t="shared" si="0"/>
        <v>27</v>
      </c>
      <c r="N16" s="73" t="s">
        <v>3</v>
      </c>
      <c r="O16" s="73" t="s">
        <v>821</v>
      </c>
      <c r="P16" s="38"/>
      <c r="Q16" s="73"/>
      <c r="R16" s="38"/>
      <c r="S16" s="3"/>
      <c r="T16" s="3"/>
      <c r="U16" s="3"/>
      <c r="V16" s="3"/>
      <c r="W16" s="3"/>
    </row>
  </sheetData>
  <autoFilter ref="B4:W4"/>
  <mergeCells count="17"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  <mergeCell ref="P2:P3"/>
    <mergeCell ref="Q2:Q3"/>
    <mergeCell ref="R2:R3"/>
    <mergeCell ref="S2:T2"/>
    <mergeCell ref="U2: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7"/>
  <sheetViews>
    <sheetView workbookViewId="0">
      <pane ySplit="3" topLeftCell="A4" activePane="bottomLeft" state="frozen"/>
      <selection pane="bottomLeft" activeCell="B8" sqref="B8"/>
    </sheetView>
  </sheetViews>
  <sheetFormatPr defaultRowHeight="15" x14ac:dyDescent="0.25"/>
  <sheetData>
    <row r="2" spans="2:23" ht="20.100000000000001" customHeight="1" x14ac:dyDescent="0.25">
      <c r="B2" s="159" t="s">
        <v>108</v>
      </c>
      <c r="C2" s="159" t="s">
        <v>803</v>
      </c>
      <c r="D2" s="160" t="s">
        <v>804</v>
      </c>
      <c r="E2" s="159" t="s">
        <v>109</v>
      </c>
      <c r="F2" s="160" t="s">
        <v>115</v>
      </c>
      <c r="G2" s="161" t="s">
        <v>116</v>
      </c>
      <c r="H2" s="160" t="s">
        <v>110</v>
      </c>
      <c r="I2" s="160" t="s">
        <v>111</v>
      </c>
      <c r="J2" s="159" t="s">
        <v>805</v>
      </c>
      <c r="K2" s="159"/>
      <c r="L2" s="159"/>
      <c r="M2" s="162" t="s">
        <v>809</v>
      </c>
      <c r="N2" s="159" t="s">
        <v>112</v>
      </c>
      <c r="O2" s="159" t="s">
        <v>810</v>
      </c>
      <c r="P2" s="159" t="s">
        <v>113</v>
      </c>
      <c r="Q2" s="159" t="s">
        <v>811</v>
      </c>
      <c r="R2" s="159" t="s">
        <v>114</v>
      </c>
      <c r="S2" s="159" t="s">
        <v>812</v>
      </c>
      <c r="T2" s="159"/>
      <c r="U2" s="159" t="s">
        <v>813</v>
      </c>
      <c r="V2" s="159"/>
      <c r="W2" s="159"/>
    </row>
    <row r="3" spans="2:23" ht="20.100000000000001" customHeight="1" x14ac:dyDescent="0.25">
      <c r="B3" s="159"/>
      <c r="C3" s="159"/>
      <c r="D3" s="160"/>
      <c r="E3" s="159"/>
      <c r="F3" s="160"/>
      <c r="G3" s="161"/>
      <c r="H3" s="160"/>
      <c r="I3" s="160"/>
      <c r="J3" s="2" t="s">
        <v>806</v>
      </c>
      <c r="K3" s="7" t="s">
        <v>807</v>
      </c>
      <c r="L3" s="5" t="s">
        <v>808</v>
      </c>
      <c r="M3" s="162"/>
      <c r="N3" s="159"/>
      <c r="O3" s="159"/>
      <c r="P3" s="159"/>
      <c r="Q3" s="159"/>
      <c r="R3" s="159"/>
      <c r="S3" s="2" t="s">
        <v>814</v>
      </c>
      <c r="T3" s="2" t="s">
        <v>815</v>
      </c>
      <c r="U3" s="2" t="s">
        <v>5</v>
      </c>
      <c r="V3" s="2" t="s">
        <v>816</v>
      </c>
      <c r="W3" s="2" t="s">
        <v>817</v>
      </c>
    </row>
    <row r="4" spans="2:23" x14ac:dyDescent="0.25">
      <c r="B4" s="2"/>
      <c r="C4" s="2"/>
      <c r="D4" s="2"/>
      <c r="E4" s="2"/>
      <c r="F4" s="2"/>
      <c r="G4" s="4"/>
      <c r="H4" s="2"/>
      <c r="I4" s="2"/>
      <c r="J4" s="2"/>
      <c r="K4" s="7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</row>
    <row r="5" spans="2:23" s="1" customFormat="1" x14ac:dyDescent="0.25">
      <c r="B5" t="s">
        <v>1444</v>
      </c>
      <c r="C5"/>
      <c r="D5" s="69">
        <v>28</v>
      </c>
      <c r="E5" s="38" t="s">
        <v>619</v>
      </c>
      <c r="F5" s="68" t="s">
        <v>83</v>
      </c>
      <c r="G5" s="68">
        <v>0</v>
      </c>
      <c r="H5" s="68" t="s">
        <v>7</v>
      </c>
      <c r="I5" s="68" t="s">
        <v>10</v>
      </c>
      <c r="J5" s="38"/>
      <c r="K5" s="10">
        <v>14950</v>
      </c>
      <c r="L5" s="67"/>
      <c r="M5" s="67">
        <f t="shared" ref="M5:M7" si="0">2019-L5</f>
        <v>2019</v>
      </c>
      <c r="N5" s="68" t="s">
        <v>3</v>
      </c>
      <c r="O5" s="68"/>
      <c r="P5" s="38"/>
      <c r="Q5" s="68"/>
      <c r="R5" s="38"/>
      <c r="S5" s="3"/>
      <c r="T5" s="3"/>
      <c r="U5" s="3"/>
      <c r="V5" s="3"/>
      <c r="W5" s="3"/>
    </row>
    <row r="6" spans="2:23" s="1" customFormat="1" x14ac:dyDescent="0.25">
      <c r="B6" t="s">
        <v>1444</v>
      </c>
      <c r="C6"/>
      <c r="D6" s="72">
        <v>20</v>
      </c>
      <c r="E6" s="38" t="s">
        <v>612</v>
      </c>
      <c r="F6" s="73" t="s">
        <v>5</v>
      </c>
      <c r="G6" s="73" t="s">
        <v>613</v>
      </c>
      <c r="H6" s="73" t="s">
        <v>7</v>
      </c>
      <c r="I6" s="73" t="s">
        <v>39</v>
      </c>
      <c r="J6" s="38"/>
      <c r="K6" s="10">
        <v>29067</v>
      </c>
      <c r="L6" s="71"/>
      <c r="M6" s="71">
        <f t="shared" si="0"/>
        <v>2019</v>
      </c>
      <c r="N6" s="73" t="s">
        <v>3</v>
      </c>
      <c r="O6" s="73"/>
      <c r="P6" s="38"/>
      <c r="Q6" s="73"/>
      <c r="R6" s="38"/>
      <c r="S6" s="3"/>
      <c r="T6" s="3"/>
      <c r="U6" s="3"/>
      <c r="V6" s="3"/>
      <c r="W6" s="3"/>
    </row>
    <row r="7" spans="2:23" s="1" customFormat="1" ht="25.5" x14ac:dyDescent="0.25">
      <c r="B7" t="s">
        <v>1444</v>
      </c>
      <c r="C7"/>
      <c r="D7" s="72">
        <v>73</v>
      </c>
      <c r="E7" s="38" t="s">
        <v>670</v>
      </c>
      <c r="F7" s="73" t="s">
        <v>5</v>
      </c>
      <c r="G7" s="73" t="s">
        <v>671</v>
      </c>
      <c r="H7" s="73" t="s">
        <v>1</v>
      </c>
      <c r="I7" s="73" t="s">
        <v>2</v>
      </c>
      <c r="J7" s="38"/>
      <c r="K7" s="10">
        <v>23936</v>
      </c>
      <c r="L7" s="71"/>
      <c r="M7" s="71">
        <f t="shared" si="0"/>
        <v>2019</v>
      </c>
      <c r="N7" s="73" t="s">
        <v>3</v>
      </c>
      <c r="O7" s="73"/>
      <c r="P7" s="38"/>
      <c r="Q7" s="73"/>
      <c r="R7" s="38"/>
      <c r="S7" s="3"/>
      <c r="T7" s="3"/>
      <c r="U7" s="3"/>
      <c r="V7" s="3"/>
      <c r="W7" s="3"/>
    </row>
  </sheetData>
  <autoFilter ref="B4:W4"/>
  <mergeCells count="17"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  <mergeCell ref="P2:P3"/>
    <mergeCell ref="Q2:Q3"/>
    <mergeCell ref="R2:R3"/>
    <mergeCell ref="S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Rekap</vt:lpstr>
      <vt:lpstr>RT 01</vt:lpstr>
      <vt:lpstr>RT 02</vt:lpstr>
      <vt:lpstr>RT 03</vt:lpstr>
      <vt:lpstr>RT 04</vt:lpstr>
      <vt:lpstr>Sheet1</vt:lpstr>
      <vt:lpstr>Pindah Keluar</vt:lpstr>
      <vt:lpstr>Meninggal</vt:lpstr>
      <vt:lpstr>Rekap!Print_Area</vt:lpstr>
      <vt:lpstr>'RT 01'!Print_Area</vt:lpstr>
      <vt:lpstr>'RT 02'!Print_Area</vt:lpstr>
      <vt:lpstr>'RT 03'!Print_Area</vt:lpstr>
      <vt:lpstr>'RT 04'!Print_Area</vt:lpstr>
      <vt:lpstr>'RT 01'!Print_Titles</vt:lpstr>
      <vt:lpstr>'RT 02'!Print_Titles</vt:lpstr>
      <vt:lpstr>'RT 03'!Print_Titles</vt:lpstr>
      <vt:lpstr>'RT 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2019-08-30T13:31:22Z</cp:lastPrinted>
  <dcterms:created xsi:type="dcterms:W3CDTF">2015-10-08T01:02:20Z</dcterms:created>
  <dcterms:modified xsi:type="dcterms:W3CDTF">2019-08-30T16:07:41Z</dcterms:modified>
</cp:coreProperties>
</file>