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penduduk exsel\"/>
    </mc:Choice>
  </mc:AlternateContent>
  <bookViews>
    <workbookView xWindow="240" yWindow="75" windowWidth="20115" windowHeight="7995" activeTab="3"/>
  </bookViews>
  <sheets>
    <sheet name="Rekap" sheetId="9" r:id="rId1"/>
    <sheet name="RT 01" sheetId="4" r:id="rId2"/>
    <sheet name="RT 02" sheetId="2" r:id="rId3"/>
    <sheet name="RT 03" sheetId="3" r:id="rId4"/>
    <sheet name="RT 04" sheetId="1" r:id="rId5"/>
    <sheet name="Sheet1" sheetId="5" r:id="rId6"/>
    <sheet name="pindah keluar" sheetId="6" r:id="rId7"/>
    <sheet name="Sheet2" sheetId="7" r:id="rId8"/>
    <sheet name="meninggal" sheetId="8" r:id="rId9"/>
  </sheets>
  <definedNames>
    <definedName name="_xlnm._FilterDatabase" localSheetId="8" hidden="1">meninggal!$A$4:$V$4</definedName>
    <definedName name="_xlnm._FilterDatabase" localSheetId="1" hidden="1">'RT 01'!$B$7:$R$193</definedName>
    <definedName name="_xlnm._FilterDatabase" localSheetId="2" hidden="1">'RT 02'!$A$7:$AU$160</definedName>
    <definedName name="_xlnm._FilterDatabase" localSheetId="3" hidden="1">'RT 03'!$B$7:$R$183</definedName>
    <definedName name="_xlnm._FilterDatabase" localSheetId="4" hidden="1">'RT 04'!$B$7:$R$260</definedName>
    <definedName name="_xlnm._FilterDatabase" localSheetId="7" hidden="1">Sheet2!$A$5:$V$5</definedName>
    <definedName name="_xlnm.Print_Area" localSheetId="0">Rekap!$B$1:$N$19</definedName>
    <definedName name="_xlnm.Print_Area" localSheetId="1">'RT 01'!$B$1:$R$202</definedName>
    <definedName name="_xlnm.Print_Area" localSheetId="2">'RT 02'!$B$1:$R$169</definedName>
    <definedName name="_xlnm.Print_Area" localSheetId="3">'RT 03'!$B$1:$R$192</definedName>
    <definedName name="_xlnm.Print_Area" localSheetId="4">'RT 04'!$B$1:$R$264</definedName>
    <definedName name="_xlnm.Print_Titles" localSheetId="1">'RT 01'!$1:$7</definedName>
    <definedName name="_xlnm.Print_Titles" localSheetId="2">'RT 02'!$1:$7</definedName>
    <definedName name="_xlnm.Print_Titles" localSheetId="3">'RT 03'!$1:$7</definedName>
    <definedName name="_xlnm.Print_Titles" localSheetId="4">'RT 04'!$1:$7</definedName>
  </definedNames>
  <calcPr calcId="162913"/>
</workbook>
</file>

<file path=xl/calcChain.xml><?xml version="1.0" encoding="utf-8"?>
<calcChain xmlns="http://schemas.openxmlformats.org/spreadsheetml/2006/main">
  <c r="J8" i="9" l="1"/>
  <c r="J7" i="9"/>
  <c r="J6" i="9"/>
  <c r="J5" i="9"/>
  <c r="I8" i="9"/>
  <c r="I7" i="9"/>
  <c r="I6" i="9"/>
  <c r="I5" i="9"/>
  <c r="M49" i="2"/>
  <c r="L9" i="9" l="1"/>
  <c r="M9" i="9"/>
  <c r="K6" i="9"/>
  <c r="G8" i="9"/>
  <c r="G7" i="9"/>
  <c r="G6" i="9"/>
  <c r="G5" i="9"/>
  <c r="F8" i="9"/>
  <c r="F7" i="9"/>
  <c r="F6" i="9"/>
  <c r="F5" i="9"/>
  <c r="D8" i="9"/>
  <c r="D7" i="9"/>
  <c r="D6" i="9"/>
  <c r="D5" i="9"/>
  <c r="C8" i="9"/>
  <c r="C7" i="9"/>
  <c r="C6" i="9"/>
  <c r="E6" i="9" s="1"/>
  <c r="C5" i="9"/>
  <c r="E5" i="9" s="1"/>
  <c r="N8" i="9"/>
  <c r="N7" i="9"/>
  <c r="N6" i="9"/>
  <c r="N5" i="9"/>
  <c r="M217" i="1"/>
  <c r="M14" i="6"/>
  <c r="M74" i="3"/>
  <c r="M75" i="3"/>
  <c r="M116" i="4"/>
  <c r="M115" i="4"/>
  <c r="M13" i="6"/>
  <c r="M6" i="8"/>
  <c r="M28" i="4"/>
  <c r="M66" i="4"/>
  <c r="M190" i="4"/>
  <c r="M191" i="4"/>
  <c r="M12" i="6"/>
  <c r="M37" i="4"/>
  <c r="M64" i="3"/>
  <c r="M258" i="1"/>
  <c r="M257" i="1"/>
  <c r="M256" i="1"/>
  <c r="M255" i="1"/>
  <c r="M254" i="1"/>
  <c r="M253" i="1"/>
  <c r="M11" i="6"/>
  <c r="M10" i="6"/>
  <c r="M160" i="2"/>
  <c r="M159" i="2"/>
  <c r="M158" i="2"/>
  <c r="M157" i="2"/>
  <c r="M9" i="6"/>
  <c r="M156" i="2"/>
  <c r="M155" i="2"/>
  <c r="L11" i="7"/>
  <c r="L10" i="7"/>
  <c r="L9" i="7"/>
  <c r="L8" i="7"/>
  <c r="M151" i="2"/>
  <c r="M152" i="2"/>
  <c r="M153" i="2"/>
  <c r="L7" i="7"/>
  <c r="M150" i="2"/>
  <c r="M149" i="2"/>
  <c r="M148" i="2"/>
  <c r="M147" i="2"/>
  <c r="M151" i="4"/>
  <c r="M152" i="4"/>
  <c r="M153" i="4"/>
  <c r="M125" i="4"/>
  <c r="M248" i="1"/>
  <c r="M249" i="1"/>
  <c r="M250" i="1"/>
  <c r="M251" i="1"/>
  <c r="M252" i="1"/>
  <c r="L5" i="8"/>
  <c r="M89" i="3"/>
  <c r="M182" i="3"/>
  <c r="M183" i="3"/>
  <c r="M181" i="3"/>
  <c r="M180" i="3"/>
  <c r="L6" i="7"/>
  <c r="M165" i="3"/>
  <c r="M178" i="3"/>
  <c r="M179" i="3"/>
  <c r="M177" i="3"/>
  <c r="M108" i="3"/>
  <c r="M54" i="3"/>
  <c r="M68" i="3"/>
  <c r="M233" i="1"/>
  <c r="M78" i="1"/>
  <c r="M94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8" i="1"/>
  <c r="M176" i="3"/>
  <c r="M175" i="3"/>
  <c r="M174" i="3"/>
  <c r="M173" i="3"/>
  <c r="M131" i="3"/>
  <c r="M132" i="3"/>
  <c r="L7" i="6"/>
  <c r="M172" i="3"/>
  <c r="M171" i="3"/>
  <c r="M170" i="3"/>
  <c r="M169" i="3"/>
  <c r="M143" i="2"/>
  <c r="L6" i="6"/>
  <c r="M144" i="2"/>
  <c r="M159" i="4"/>
  <c r="M144" i="4"/>
  <c r="M9" i="2"/>
  <c r="M10" i="2"/>
  <c r="M154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5" i="2"/>
  <c r="M146" i="2"/>
  <c r="M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9" i="4"/>
  <c r="M30" i="4"/>
  <c r="M31" i="4"/>
  <c r="M32" i="4"/>
  <c r="M33" i="4"/>
  <c r="M34" i="4"/>
  <c r="M35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7" i="4"/>
  <c r="M118" i="4"/>
  <c r="M119" i="4"/>
  <c r="M120" i="4"/>
  <c r="M121" i="4"/>
  <c r="M122" i="4"/>
  <c r="M123" i="4"/>
  <c r="M124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5" i="4"/>
  <c r="M146" i="4"/>
  <c r="M147" i="4"/>
  <c r="M148" i="4"/>
  <c r="M149" i="4"/>
  <c r="M150" i="4"/>
  <c r="M154" i="4"/>
  <c r="M155" i="4"/>
  <c r="M156" i="4"/>
  <c r="M157" i="4"/>
  <c r="M158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2" i="4"/>
  <c r="M193" i="4"/>
  <c r="M8" i="4"/>
  <c r="M166" i="3"/>
  <c r="M167" i="3"/>
  <c r="M168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5" i="3"/>
  <c r="M56" i="3"/>
  <c r="M57" i="3"/>
  <c r="M58" i="3"/>
  <c r="M59" i="3"/>
  <c r="M60" i="3"/>
  <c r="M61" i="3"/>
  <c r="M62" i="3"/>
  <c r="M63" i="3"/>
  <c r="M65" i="3"/>
  <c r="M66" i="3"/>
  <c r="M67" i="3"/>
  <c r="M69" i="3"/>
  <c r="M70" i="3"/>
  <c r="M71" i="3"/>
  <c r="M72" i="3"/>
  <c r="M73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C5" i="5"/>
  <c r="A5" i="5"/>
  <c r="N9" i="9" l="1"/>
  <c r="D9" i="9"/>
  <c r="F9" i="9"/>
  <c r="G9" i="9"/>
  <c r="I9" i="9"/>
  <c r="J9" i="9"/>
  <c r="C9" i="9"/>
  <c r="H6" i="9"/>
  <c r="K7" i="9"/>
  <c r="E7" i="9"/>
  <c r="H7" i="9"/>
  <c r="H5" i="9"/>
  <c r="E8" i="9"/>
  <c r="H8" i="9"/>
  <c r="K8" i="9"/>
  <c r="K5" i="9"/>
  <c r="K9" i="9" l="1"/>
  <c r="H9" i="9"/>
  <c r="E9" i="9"/>
</calcChain>
</file>

<file path=xl/sharedStrings.xml><?xml version="1.0" encoding="utf-8"?>
<sst xmlns="http://schemas.openxmlformats.org/spreadsheetml/2006/main" count="6929" uniqueCount="1676">
  <si>
    <t>Ir. Muhur Zukhri</t>
  </si>
  <si>
    <t>L</t>
  </si>
  <si>
    <t>Kawin</t>
  </si>
  <si>
    <t>Islam</t>
  </si>
  <si>
    <t>PT/Akademi</t>
  </si>
  <si>
    <t>PNS/TNI/ POLRI</t>
  </si>
  <si>
    <t>KK</t>
  </si>
  <si>
    <t>520101 3012630002</t>
  </si>
  <si>
    <t>Khairun Nisak</t>
  </si>
  <si>
    <t>P</t>
  </si>
  <si>
    <t>Wiraswasta</t>
  </si>
  <si>
    <t>Istri</t>
  </si>
  <si>
    <t>520101 5705700002</t>
  </si>
  <si>
    <t>Ahmad Yunuari Firdaus</t>
  </si>
  <si>
    <t>Belum kawin</t>
  </si>
  <si>
    <t>SLTA/MA</t>
  </si>
  <si>
    <t>-</t>
  </si>
  <si>
    <t>Anak</t>
  </si>
  <si>
    <t>520101 0101920002</t>
  </si>
  <si>
    <t>Dwi Septiani Fatimatuzzakra</t>
  </si>
  <si>
    <t>520101 5109950003</t>
  </si>
  <si>
    <t>Ahmad Rizki Hidayat</t>
  </si>
  <si>
    <t>520101 0101030004</t>
  </si>
  <si>
    <t>Sunaah</t>
  </si>
  <si>
    <t>Janda</t>
  </si>
  <si>
    <t>Lainnya</t>
  </si>
  <si>
    <t>Nurhidayah</t>
  </si>
  <si>
    <t>SLTP/MTSN</t>
  </si>
  <si>
    <t>Muhammad Saleh Effendi S.Pd</t>
  </si>
  <si>
    <t>520101 1104770001</t>
  </si>
  <si>
    <t>Fadlina Azmi</t>
  </si>
  <si>
    <t>Pegawai swasta</t>
  </si>
  <si>
    <t>520101 6409810001</t>
  </si>
  <si>
    <t>Rajih Alfasam</t>
  </si>
  <si>
    <t>520101 1109060001</t>
  </si>
  <si>
    <t>Hajjah Raodah</t>
  </si>
  <si>
    <t>Hakim Usman S.Pd</t>
  </si>
  <si>
    <t>Sukartini</t>
  </si>
  <si>
    <t>Silva Najla Fatin</t>
  </si>
  <si>
    <t>Ziarahmanita</t>
  </si>
  <si>
    <t>Hasan Utsman</t>
  </si>
  <si>
    <t>Pensiunan</t>
  </si>
  <si>
    <t>Saimah</t>
  </si>
  <si>
    <t>Haji Asmah</t>
  </si>
  <si>
    <t>Muhammad Ali Hidayat S.Ag</t>
  </si>
  <si>
    <t>520101 1008750002</t>
  </si>
  <si>
    <t>Maemanah</t>
  </si>
  <si>
    <t>520101 7112860112</t>
  </si>
  <si>
    <t>Anggun Zulaikha</t>
  </si>
  <si>
    <t>520101 5712060004</t>
  </si>
  <si>
    <t>Nesya Amelia Putri</t>
  </si>
  <si>
    <t>520101 4112110002</t>
  </si>
  <si>
    <t>Haji Muksin Usman</t>
  </si>
  <si>
    <t>Hajjah Mukminah</t>
  </si>
  <si>
    <t>SD/MI</t>
  </si>
  <si>
    <t>Muhammad Zamroni S.Ag</t>
  </si>
  <si>
    <t>Sri Yuniarti</t>
  </si>
  <si>
    <t>Muhammad Febrian Haikal</t>
  </si>
  <si>
    <t>Salsa Zafira</t>
  </si>
  <si>
    <t>Afika Feliza Lusia</t>
  </si>
  <si>
    <t>Ahmad Ansori S.Pd</t>
  </si>
  <si>
    <t>520101 0710680001</t>
  </si>
  <si>
    <t>KaRTini</t>
  </si>
  <si>
    <t>520101 7112780011</t>
  </si>
  <si>
    <t>Nur Maulidiya Kamila</t>
  </si>
  <si>
    <t>520101 4306000001</t>
  </si>
  <si>
    <t>Adelwais Rahma Medwina</t>
  </si>
  <si>
    <t>p</t>
  </si>
  <si>
    <t>520101 6605070001</t>
  </si>
  <si>
    <t>Hajjah Rabiatun</t>
  </si>
  <si>
    <t>Fawaz M.Pd.I</t>
  </si>
  <si>
    <t>520101 0107810138</t>
  </si>
  <si>
    <t>Indra Yani S.Pd.I</t>
  </si>
  <si>
    <t>520101 6708801001</t>
  </si>
  <si>
    <t>Annisa Riadlul Aulia Fayani</t>
  </si>
  <si>
    <t>520101 4801091001</t>
  </si>
  <si>
    <t>Alika Oktavia Hidayatifahmi</t>
  </si>
  <si>
    <t>520101 4210131001</t>
  </si>
  <si>
    <t>Bianah</t>
  </si>
  <si>
    <t>Pekerja Lepas</t>
  </si>
  <si>
    <t>Anwar</t>
  </si>
  <si>
    <t>Salmah</t>
  </si>
  <si>
    <t>Lina Apriani</t>
  </si>
  <si>
    <t>Titin Julia Astini</t>
  </si>
  <si>
    <t>Sofian Hadi S.Pd</t>
  </si>
  <si>
    <t>Galuh Permata Sari S.Pd</t>
  </si>
  <si>
    <t>Nadia Fathiaturrahma</t>
  </si>
  <si>
    <t>Haji Mustiah</t>
  </si>
  <si>
    <t>Petani</t>
  </si>
  <si>
    <t>520101 3112550017</t>
  </si>
  <si>
    <t>Hajjah Baiq Murniati</t>
  </si>
  <si>
    <t>520101 6802540001</t>
  </si>
  <si>
    <t>Muhammad Halawi S.E</t>
  </si>
  <si>
    <t>Kawn</t>
  </si>
  <si>
    <t>520101 1304840001</t>
  </si>
  <si>
    <t>Dwi Hardianti</t>
  </si>
  <si>
    <t>520101 6707890003</t>
  </si>
  <si>
    <t>Muhammad Yusup Iman</t>
  </si>
  <si>
    <t>520101 0602100002</t>
  </si>
  <si>
    <t>M. Javier Aktam Khairullah</t>
  </si>
  <si>
    <t>520101 3011140002</t>
  </si>
  <si>
    <t>Mustar</t>
  </si>
  <si>
    <t>520101 3112500109</t>
  </si>
  <si>
    <t>520101 5007560001</t>
  </si>
  <si>
    <t>Sifayah</t>
  </si>
  <si>
    <t>520101 5203830002</t>
  </si>
  <si>
    <t>Ernawati</t>
  </si>
  <si>
    <t>520101 6304860001</t>
  </si>
  <si>
    <t>Mansyur</t>
  </si>
  <si>
    <t>Pekerja lepas</t>
  </si>
  <si>
    <t>520101 3112730182</t>
  </si>
  <si>
    <t>Mustiarah</t>
  </si>
  <si>
    <t>520101 7112770186</t>
  </si>
  <si>
    <t>Khairil Umam</t>
  </si>
  <si>
    <t>520101 0503940004</t>
  </si>
  <si>
    <t>Maysharoh</t>
  </si>
  <si>
    <t>520101 7011960004</t>
  </si>
  <si>
    <t>Asmawati</t>
  </si>
  <si>
    <t>520101 4505000004</t>
  </si>
  <si>
    <t>Ilfayanti Arsya</t>
  </si>
  <si>
    <t>520101 6101090006</t>
  </si>
  <si>
    <t>Almah</t>
  </si>
  <si>
    <t>Misnah</t>
  </si>
  <si>
    <t>Pedagang</t>
  </si>
  <si>
    <t>Sohdi</t>
  </si>
  <si>
    <t>520101 0107580148</t>
  </si>
  <si>
    <t>Sariah</t>
  </si>
  <si>
    <t>520101 4107630112</t>
  </si>
  <si>
    <t>Siti Dakiyah</t>
  </si>
  <si>
    <t>520101 6412810001</t>
  </si>
  <si>
    <t>Ricky Muhammad Aji Saputra</t>
  </si>
  <si>
    <t>520101 0107980370</t>
  </si>
  <si>
    <t>520101 0107830121</t>
  </si>
  <si>
    <t>Fatmawati</t>
  </si>
  <si>
    <t>Haji Mahyudin</t>
  </si>
  <si>
    <t>520101 3112500126</t>
  </si>
  <si>
    <t>Khairiah</t>
  </si>
  <si>
    <t>520101 4911510001</t>
  </si>
  <si>
    <t>Budiman Saputra</t>
  </si>
  <si>
    <t>520101 1307900003</t>
  </si>
  <si>
    <t>Anisa Apriani</t>
  </si>
  <si>
    <t>520101 4604010003</t>
  </si>
  <si>
    <t>Annahar</t>
  </si>
  <si>
    <t>520101 1312520001</t>
  </si>
  <si>
    <t>Inah</t>
  </si>
  <si>
    <t>520101 7112550002</t>
  </si>
  <si>
    <t>Agus Widianto</t>
  </si>
  <si>
    <t>Baiq Komalawati S.Pd</t>
  </si>
  <si>
    <t>Ginti Dwi Sasmita</t>
  </si>
  <si>
    <t>Danu Pamungkas</t>
  </si>
  <si>
    <t>Muhammad Dimas Ananda</t>
  </si>
  <si>
    <t>520101 0107760190</t>
  </si>
  <si>
    <t>Hainiah</t>
  </si>
  <si>
    <t>520101 4107700638</t>
  </si>
  <si>
    <t>Muhammad Taqiyuddin</t>
  </si>
  <si>
    <t>Samsul Bahari</t>
  </si>
  <si>
    <t>520101 0906960003</t>
  </si>
  <si>
    <t>Muchtar Said</t>
  </si>
  <si>
    <t>Suryani</t>
  </si>
  <si>
    <t>Ramli</t>
  </si>
  <si>
    <t>Jasmanik S.Pd</t>
  </si>
  <si>
    <t>Murni S.Pd</t>
  </si>
  <si>
    <t>Reza Sambadi</t>
  </si>
  <si>
    <t>Neli Nirmala</t>
  </si>
  <si>
    <t>Ayuri</t>
  </si>
  <si>
    <t>520101 7112820004</t>
  </si>
  <si>
    <t>Alvin Hidayat</t>
  </si>
  <si>
    <t>520101 0807080001</t>
  </si>
  <si>
    <t>Irfan Hidayat</t>
  </si>
  <si>
    <t>520101 1501100001</t>
  </si>
  <si>
    <t>Burhanudin</t>
  </si>
  <si>
    <t>520101 103750001</t>
  </si>
  <si>
    <t>Sartni</t>
  </si>
  <si>
    <t>520101 6302820001</t>
  </si>
  <si>
    <t>Naura Athira</t>
  </si>
  <si>
    <t>520101 5301060001</t>
  </si>
  <si>
    <t>Luthfan Nabil Siraj</t>
  </si>
  <si>
    <t>520101 2903090001</t>
  </si>
  <si>
    <t>Luthfi Nabil Siras</t>
  </si>
  <si>
    <t>520101 2903090002</t>
  </si>
  <si>
    <t>Taufikulrahman</t>
  </si>
  <si>
    <t>520101 1809810001</t>
  </si>
  <si>
    <t>Sylvia Kinanthi A.Md</t>
  </si>
  <si>
    <t>520101 7008860001</t>
  </si>
  <si>
    <t>Bunga Widiarahman</t>
  </si>
  <si>
    <t>520101 6303100001</t>
  </si>
  <si>
    <t>Khaerul Hisyam A.Md</t>
  </si>
  <si>
    <t>PT/Akademik</t>
  </si>
  <si>
    <t>520101 2802850001</t>
  </si>
  <si>
    <t>Nurma Yanti</t>
  </si>
  <si>
    <t>520101 4802860003</t>
  </si>
  <si>
    <t>Muhammad Khasful Hiswary</t>
  </si>
  <si>
    <t>520101 1310070005</t>
  </si>
  <si>
    <t>Syakira Nurmaritza Farzana</t>
  </si>
  <si>
    <t>520101 4511120001</t>
  </si>
  <si>
    <t>Ramlah</t>
  </si>
  <si>
    <t>Kamarudin</t>
  </si>
  <si>
    <t>Kusmawati</t>
  </si>
  <si>
    <t>M Yoichi Sukron Ramdani</t>
  </si>
  <si>
    <t>Miyuki Azzahra</t>
  </si>
  <si>
    <t>Ihsan Eko S</t>
  </si>
  <si>
    <t>Baiq Surya Ningsih</t>
  </si>
  <si>
    <t>Arif Ihsan</t>
  </si>
  <si>
    <t>Faris Ihsan</t>
  </si>
  <si>
    <t>Junita Fajriani Ihsan</t>
  </si>
  <si>
    <t>Lalu Rosidi</t>
  </si>
  <si>
    <t>520101 3112680053</t>
  </si>
  <si>
    <t>Nur Husnita</t>
  </si>
  <si>
    <t>520101 4403790001</t>
  </si>
  <si>
    <t>Baiq Maydra Yusmita N</t>
  </si>
  <si>
    <t>520101 6605030001</t>
  </si>
  <si>
    <t>Lalu Alfi Rahmat Husni</t>
  </si>
  <si>
    <t>520101 2706070001</t>
  </si>
  <si>
    <t>Drs. Mustahidin</t>
  </si>
  <si>
    <t>520101 2112600230</t>
  </si>
  <si>
    <t>Nurhasanah</t>
  </si>
  <si>
    <t>520101 7112740153</t>
  </si>
  <si>
    <t>Diana Nur</t>
  </si>
  <si>
    <t>520101 5902930002</t>
  </si>
  <si>
    <t>Ihza Mahendra</t>
  </si>
  <si>
    <t>520101 2811990001</t>
  </si>
  <si>
    <t>Aulia Azzahra</t>
  </si>
  <si>
    <t>520101 0804060003</t>
  </si>
  <si>
    <t>Lalu Sumardani</t>
  </si>
  <si>
    <t>520101 3112690169</t>
  </si>
  <si>
    <t>Jaminah</t>
  </si>
  <si>
    <t>520101 7112730155</t>
  </si>
  <si>
    <t>Lalu Erwin Rismandani</t>
  </si>
  <si>
    <t>520101 1811940001</t>
  </si>
  <si>
    <t>Elvira Karisa Putri</t>
  </si>
  <si>
    <t>520101 1412080003</t>
  </si>
  <si>
    <t>M Nur</t>
  </si>
  <si>
    <t>520101 3112730005</t>
  </si>
  <si>
    <t>Siti Safirah</t>
  </si>
  <si>
    <t>520101 6205740001</t>
  </si>
  <si>
    <t>Kinanti Nur Ghifariani</t>
  </si>
  <si>
    <t>520101 4112010001</t>
  </si>
  <si>
    <t>Zulfikar Ahmad</t>
  </si>
  <si>
    <t>520101 1505060001</t>
  </si>
  <si>
    <t>Mutiara Hafiz</t>
  </si>
  <si>
    <t>520101 5709070001</t>
  </si>
  <si>
    <t>Fathullah</t>
  </si>
  <si>
    <t>520101 1502660001</t>
  </si>
  <si>
    <t>Sumartiningsih</t>
  </si>
  <si>
    <t>520101 4812700001</t>
  </si>
  <si>
    <t>Wahida Fatmaningsih</t>
  </si>
  <si>
    <t>520101 5505940003</t>
  </si>
  <si>
    <t>Muhammad Reza Fahlevi</t>
  </si>
  <si>
    <t>520101 2401020001</t>
  </si>
  <si>
    <t>Muhammad Fathi</t>
  </si>
  <si>
    <t>Lalu Ahmad Wildan S.Pd</t>
  </si>
  <si>
    <t>520101 2006860001</t>
  </si>
  <si>
    <t>Santi Agustiarini S.Pd</t>
  </si>
  <si>
    <t>520101 5208840001</t>
  </si>
  <si>
    <t>Baiq Musdatia Raskika</t>
  </si>
  <si>
    <t>Mirdan</t>
  </si>
  <si>
    <t>Baiq Chairatul Hisan</t>
  </si>
  <si>
    <t>M Restu Julian</t>
  </si>
  <si>
    <t>Julian Abdi Firdaus</t>
  </si>
  <si>
    <t>Taufan Winardi</t>
  </si>
  <si>
    <t>520101 1508790004</t>
  </si>
  <si>
    <t>Mardiana A.Md Kep</t>
  </si>
  <si>
    <t>520101 5609890004</t>
  </si>
  <si>
    <t>Fattan Tana Ibrahim</t>
  </si>
  <si>
    <t>520101 2306130001</t>
  </si>
  <si>
    <t>Akhmad Sujai</t>
  </si>
  <si>
    <t>520101 1709670001</t>
  </si>
  <si>
    <t>Fri Noviani</t>
  </si>
  <si>
    <t>520101 6311730001</t>
  </si>
  <si>
    <t>Juninda Nurfija</t>
  </si>
  <si>
    <t>520101 4606970001</t>
  </si>
  <si>
    <t>Afra Auliya D F</t>
  </si>
  <si>
    <t>520101 6202000002</t>
  </si>
  <si>
    <t>M Fairuz Roja</t>
  </si>
  <si>
    <t>520101 2002060001</t>
  </si>
  <si>
    <t>520101 1007620001</t>
  </si>
  <si>
    <t>Isnaenah</t>
  </si>
  <si>
    <t>520101 4908650001</t>
  </si>
  <si>
    <t>Novia Kharismayanti</t>
  </si>
  <si>
    <t>520101 6611930001</t>
  </si>
  <si>
    <t>Yulyana Rahmi</t>
  </si>
  <si>
    <t>Hairiza Rahma Safira</t>
  </si>
  <si>
    <t>520101 5703070001</t>
  </si>
  <si>
    <t>Haji Lalu Ridwan Ba</t>
  </si>
  <si>
    <t>520101 3112530009</t>
  </si>
  <si>
    <t>Lalu Imam Syaputrawan</t>
  </si>
  <si>
    <t>Lalu Riza Wahidi S.E</t>
  </si>
  <si>
    <t>Baiq Ernawati</t>
  </si>
  <si>
    <t>Aenuha Nursyifa</t>
  </si>
  <si>
    <t>Adnan</t>
  </si>
  <si>
    <t>520101 0405570001</t>
  </si>
  <si>
    <t>Hajjah Hairon</t>
  </si>
  <si>
    <t>520101 7112580041</t>
  </si>
  <si>
    <t>Marwin Saleh</t>
  </si>
  <si>
    <t>520101 2703840001</t>
  </si>
  <si>
    <t>Suparman</t>
  </si>
  <si>
    <t>520101 1005700001</t>
  </si>
  <si>
    <t>Wahyu Hartati</t>
  </si>
  <si>
    <t>520101 5411850002</t>
  </si>
  <si>
    <t>Nakata Egi Pratama</t>
  </si>
  <si>
    <t>520101 3004050001</t>
  </si>
  <si>
    <t>Nikita Faranisa Azzahwa</t>
  </si>
  <si>
    <t>520101 7011140001</t>
  </si>
  <si>
    <t>Hajjah Pahariah</t>
  </si>
  <si>
    <t>Lalu Suastariadi Handayani</t>
  </si>
  <si>
    <t>520101 1811730002</t>
  </si>
  <si>
    <t>Baiq Kusuma Dewi</t>
  </si>
  <si>
    <t>520101 7006770001</t>
  </si>
  <si>
    <t>Baiq Diva Ramadhanti</t>
  </si>
  <si>
    <t>520101 6011010002</t>
  </si>
  <si>
    <t>Lalu Faizan Sakhiy Safaraz</t>
  </si>
  <si>
    <t>520101 1010100003</t>
  </si>
  <si>
    <t>Mashuri Rahman</t>
  </si>
  <si>
    <t>520101 1801870002</t>
  </si>
  <si>
    <t>Baiq Desi Mustika Diasti</t>
  </si>
  <si>
    <t>520101 4312880001</t>
  </si>
  <si>
    <t>Phino Putra Pratama</t>
  </si>
  <si>
    <t>520101 2312090001</t>
  </si>
  <si>
    <t>Masniah</t>
  </si>
  <si>
    <t>Mahfuz Ahmad</t>
  </si>
  <si>
    <t>Moh Nasrul Hamdi</t>
  </si>
  <si>
    <t>Duda</t>
  </si>
  <si>
    <t>520101 1005680001</t>
  </si>
  <si>
    <t>Sabilla Yunda Rizkilah</t>
  </si>
  <si>
    <t>520101 4811920001</t>
  </si>
  <si>
    <t>Guruh Ade Mahendra</t>
  </si>
  <si>
    <t>520101 1509000001</t>
  </si>
  <si>
    <t>Hanil Akbar</t>
  </si>
  <si>
    <t>520101 1306050001</t>
  </si>
  <si>
    <t>Nursehan</t>
  </si>
  <si>
    <t>520101 7112710024</t>
  </si>
  <si>
    <t>Sumrah Kartini</t>
  </si>
  <si>
    <t>520101 4107940175</t>
  </si>
  <si>
    <t>Khadijah</t>
  </si>
  <si>
    <t>520101 4308050002</t>
  </si>
  <si>
    <t>Putri Purnamasari</t>
  </si>
  <si>
    <t>520101 5805080003</t>
  </si>
  <si>
    <t>Amenah</t>
  </si>
  <si>
    <t>Ismail</t>
  </si>
  <si>
    <t>520101 1207890002</t>
  </si>
  <si>
    <t>Mariah</t>
  </si>
  <si>
    <t>520101 5605920001</t>
  </si>
  <si>
    <t>Ahmad Zamroni</t>
  </si>
  <si>
    <t>520101 2002120001</t>
  </si>
  <si>
    <t>Ali Ihsan</t>
  </si>
  <si>
    <t>Pegawai Swasta</t>
  </si>
  <si>
    <t>520101 0703850002</t>
  </si>
  <si>
    <t>Baiq Jumi Rahayu</t>
  </si>
  <si>
    <t>520101 5908870001</t>
  </si>
  <si>
    <t>Faith Almaarif</t>
  </si>
  <si>
    <t>520101 1910110001</t>
  </si>
  <si>
    <t>Haji Hasbullah</t>
  </si>
  <si>
    <t>Bidrah</t>
  </si>
  <si>
    <t>Saleh Hambali</t>
  </si>
  <si>
    <t>520101 2402811001</t>
  </si>
  <si>
    <t>Mazratul Aini</t>
  </si>
  <si>
    <t>520101 6002840004</t>
  </si>
  <si>
    <t>Ahmad Fahri Asari</t>
  </si>
  <si>
    <t>520101 2506091001</t>
  </si>
  <si>
    <t>Ghaitza Nadhifa Salsabila</t>
  </si>
  <si>
    <t>520101 4603131001</t>
  </si>
  <si>
    <t>Haji M Saleh</t>
  </si>
  <si>
    <t>520101 3112670146</t>
  </si>
  <si>
    <t>Hajjah Herni</t>
  </si>
  <si>
    <t>520101 2604710001</t>
  </si>
  <si>
    <t>Azwar Alfin</t>
  </si>
  <si>
    <t>520101 1002900005</t>
  </si>
  <si>
    <t>Nurbayani</t>
  </si>
  <si>
    <t>520101 4212951001</t>
  </si>
  <si>
    <t>Saoki Ali</t>
  </si>
  <si>
    <t>Nasrudin</t>
  </si>
  <si>
    <t>520101 0302680001</t>
  </si>
  <si>
    <t>Zohriah</t>
  </si>
  <si>
    <t>520101 4311790001</t>
  </si>
  <si>
    <t>Azhari Rahman</t>
  </si>
  <si>
    <t>520101 0909050001</t>
  </si>
  <si>
    <t>Rizki Ramdoni</t>
  </si>
  <si>
    <t>520101 0309090001</t>
  </si>
  <si>
    <t>Navila Avidayana</t>
  </si>
  <si>
    <t>Lina Yasmin</t>
  </si>
  <si>
    <t>Umi Fatila</t>
  </si>
  <si>
    <t>Muhammad Aminullah</t>
  </si>
  <si>
    <t>520101 0202860002</t>
  </si>
  <si>
    <t>Nuraini</t>
  </si>
  <si>
    <t>520101 5308860003</t>
  </si>
  <si>
    <t>Muhammad Alwan Afify</t>
  </si>
  <si>
    <t>520101 0602100001</t>
  </si>
  <si>
    <t>Muhammad Azyan Azry</t>
  </si>
  <si>
    <t>520101 2007140001</t>
  </si>
  <si>
    <t>Mahsun MS</t>
  </si>
  <si>
    <t>520101 3112730025</t>
  </si>
  <si>
    <t>Supillah</t>
  </si>
  <si>
    <t>520101 7112740020</t>
  </si>
  <si>
    <t>Akhmad Doyyifi Ali</t>
  </si>
  <si>
    <t>520101 0404030001</t>
  </si>
  <si>
    <t>Hanna Laily Rahmatussyifa</t>
  </si>
  <si>
    <t>520101 4308080001</t>
  </si>
  <si>
    <t>Munawar</t>
  </si>
  <si>
    <t>520101 2909780002</t>
  </si>
  <si>
    <t>Siti Rusmiana</t>
  </si>
  <si>
    <t>520101 5404850003</t>
  </si>
  <si>
    <t>Muhammad Gathan Ali Khuzafi</t>
  </si>
  <si>
    <t>520101 2107060002</t>
  </si>
  <si>
    <t>Afwan Affan</t>
  </si>
  <si>
    <t>520101 2503110002</t>
  </si>
  <si>
    <t>Haji Muhammad Munzir</t>
  </si>
  <si>
    <t>Haji Fadiyah</t>
  </si>
  <si>
    <t>No</t>
  </si>
  <si>
    <t>Nama Lengkap/panggilan</t>
  </si>
  <si>
    <t>Jenis Kelamin (L/P)</t>
  </si>
  <si>
    <t>Status Perkawinan</t>
  </si>
  <si>
    <t>Agama</t>
  </si>
  <si>
    <t>Pendidikan Terakhir</t>
  </si>
  <si>
    <t>Pekerjaan</t>
  </si>
  <si>
    <t>Kedudukan dalam Keluarga</t>
  </si>
  <si>
    <t>NIK</t>
  </si>
  <si>
    <t>Lain-lain</t>
  </si>
  <si>
    <t>Selamet</t>
  </si>
  <si>
    <t>Sahabudin</t>
  </si>
  <si>
    <t>Muliati</t>
  </si>
  <si>
    <t>Rohanah</t>
  </si>
  <si>
    <t>Abdul Haris</t>
  </si>
  <si>
    <t>520101 3112650037</t>
  </si>
  <si>
    <t>Hajjah Siti Hadijah</t>
  </si>
  <si>
    <t>520101 7112760041</t>
  </si>
  <si>
    <t>Nurul Dian F</t>
  </si>
  <si>
    <t>520101 5304020001</t>
  </si>
  <si>
    <t>Mohammad Ridho Adilla F</t>
  </si>
  <si>
    <t>520101 0211040001</t>
  </si>
  <si>
    <t>A Zulfan Hafiz</t>
  </si>
  <si>
    <t>520101 1206120002</t>
  </si>
  <si>
    <t>Syuhadah</t>
  </si>
  <si>
    <t>520101 5805820001</t>
  </si>
  <si>
    <t>Ahmad Rozi Ashiddiqqi</t>
  </si>
  <si>
    <t>520101 1405860001</t>
  </si>
  <si>
    <t>Shufia Prihatini S</t>
  </si>
  <si>
    <t>520101 5002980001</t>
  </si>
  <si>
    <t>Ahmad Syauqi Zafrullah</t>
  </si>
  <si>
    <t>520101 0604090001</t>
  </si>
  <si>
    <t>Nurul Hidayah</t>
  </si>
  <si>
    <t>520101 0107710109</t>
  </si>
  <si>
    <t>Ahmad Zaidan Hafidzonasyari</t>
  </si>
  <si>
    <t>520101 6608770001</t>
  </si>
  <si>
    <t>Ahmad Ziad Nuri Syauqani</t>
  </si>
  <si>
    <t>520101 0609020001</t>
  </si>
  <si>
    <t>Suhaemi</t>
  </si>
  <si>
    <t>520101 0302740001</t>
  </si>
  <si>
    <t>Muhimmah</t>
  </si>
  <si>
    <t>Ahmad Fikri Ramadhani</t>
  </si>
  <si>
    <t>520101 2312000001</t>
  </si>
  <si>
    <t>Ahmad Mizan Asrori Zain</t>
  </si>
  <si>
    <t>Marhamah</t>
  </si>
  <si>
    <t>Muhammad Fadil</t>
  </si>
  <si>
    <t>520101 0504740001</t>
  </si>
  <si>
    <t>Siti Aminah</t>
  </si>
  <si>
    <t>520101 4107770539</t>
  </si>
  <si>
    <t>Nisrina Fadila</t>
  </si>
  <si>
    <t>Maulidya Fakhira</t>
  </si>
  <si>
    <t>520101 4403100004</t>
  </si>
  <si>
    <t>Umar Syarapudin S.Pd</t>
  </si>
  <si>
    <t>520101 0201840002</t>
  </si>
  <si>
    <t>Hajjah Azizah</t>
  </si>
  <si>
    <t>520101 7112850158</t>
  </si>
  <si>
    <t>Haji Zainudin Ikhsan</t>
  </si>
  <si>
    <t>520101 0803740001</t>
  </si>
  <si>
    <t>Zahroni</t>
  </si>
  <si>
    <t>520101 4902840001</t>
  </si>
  <si>
    <t>Haji Mursyid</t>
  </si>
  <si>
    <t>520101 3112320002</t>
  </si>
  <si>
    <t>Jamilah</t>
  </si>
  <si>
    <t>520101 6711890001</t>
  </si>
  <si>
    <t>Khairun Nida</t>
  </si>
  <si>
    <t>520101 4110940001</t>
  </si>
  <si>
    <t>Ahmad Muzaipi</t>
  </si>
  <si>
    <t>Haji Muhammad Yusup</t>
  </si>
  <si>
    <t>M Salim Sungkar</t>
  </si>
  <si>
    <t>520101 0107780001</t>
  </si>
  <si>
    <t>520101 4107840322</t>
  </si>
  <si>
    <t>Ali Mansur</t>
  </si>
  <si>
    <t>Sifa’yah</t>
  </si>
  <si>
    <t>Wahid Alfarisie</t>
  </si>
  <si>
    <t>Andre Kurniadi</t>
  </si>
  <si>
    <t>Nabil Fairus Firdaus</t>
  </si>
  <si>
    <t>Syaiful Hasim</t>
  </si>
  <si>
    <t>Paridah</t>
  </si>
  <si>
    <t>Ahmad Naufal Aldian</t>
  </si>
  <si>
    <t>Fildza Sakina</t>
  </si>
  <si>
    <t>Muhamad Nasir</t>
  </si>
  <si>
    <t>Nurmin</t>
  </si>
  <si>
    <t>Abdullah Sungkar</t>
  </si>
  <si>
    <t>Suparni</t>
  </si>
  <si>
    <t>Ahmad Rifki Sungkar</t>
  </si>
  <si>
    <t>Belum Kawin</t>
  </si>
  <si>
    <t>Sainun</t>
  </si>
  <si>
    <t>520101 3112500042</t>
  </si>
  <si>
    <t>Masitah</t>
  </si>
  <si>
    <t>520101 4405340001</t>
  </si>
  <si>
    <t>Mukthar</t>
  </si>
  <si>
    <t>520101 3112880047</t>
  </si>
  <si>
    <t>Rakmah</t>
  </si>
  <si>
    <t>520101 3112540014</t>
  </si>
  <si>
    <t>Ahmad Rizki Hamdani</t>
  </si>
  <si>
    <t>Silvia Maehatma</t>
  </si>
  <si>
    <t>Ramli Ahmad</t>
  </si>
  <si>
    <t>520101 2208840001</t>
  </si>
  <si>
    <t>Nurhayati</t>
  </si>
  <si>
    <t>Difa Salwa</t>
  </si>
  <si>
    <t>Ahmad Ali Yaqta</t>
  </si>
  <si>
    <t>Khoirul Khafid</t>
  </si>
  <si>
    <t>520101 1412860001</t>
  </si>
  <si>
    <t>Yulianti Marlita</t>
  </si>
  <si>
    <t>520101 4312890001</t>
  </si>
  <si>
    <t>Chaerunisa Agustine</t>
  </si>
  <si>
    <t>520101 7008120002</t>
  </si>
  <si>
    <t>520101 5412690002</t>
  </si>
  <si>
    <t>Muliawan</t>
  </si>
  <si>
    <t>520101 0211890001</t>
  </si>
  <si>
    <t>Nursumiati</t>
  </si>
  <si>
    <t>520101 4911880003</t>
  </si>
  <si>
    <t>Alicia Kartika Putri</t>
  </si>
  <si>
    <t>520101 4608100003</t>
  </si>
  <si>
    <t>Dina Islamiah</t>
  </si>
  <si>
    <t>520101 4112120002</t>
  </si>
  <si>
    <t>Rauhiminah</t>
  </si>
  <si>
    <t>520101 3112780205</t>
  </si>
  <si>
    <t>Sapriadi Bahtiar</t>
  </si>
  <si>
    <t>520101 2404040100</t>
  </si>
  <si>
    <t>Delviana Dilhawa</t>
  </si>
  <si>
    <t>520101 0961000000</t>
  </si>
  <si>
    <t>Ridha Utrujjah</t>
  </si>
  <si>
    <t>520101 2501120002</t>
  </si>
  <si>
    <t>Haji Mansur</t>
  </si>
  <si>
    <t>520101 2004010569</t>
  </si>
  <si>
    <t>Hajjah Amnah</t>
  </si>
  <si>
    <t>520101 0308330001</t>
  </si>
  <si>
    <t>Haeriah</t>
  </si>
  <si>
    <t>Eka Suspartini</t>
  </si>
  <si>
    <t>Dian Lailatin Sya’riah</t>
  </si>
  <si>
    <t>520101 4811000001</t>
  </si>
  <si>
    <t>Muksin</t>
  </si>
  <si>
    <t>520101 3112660067</t>
  </si>
  <si>
    <t>Kartini</t>
  </si>
  <si>
    <t>520101 6104720005</t>
  </si>
  <si>
    <t>Ahmad Hidayatullah</t>
  </si>
  <si>
    <t>520101 1812830000</t>
  </si>
  <si>
    <t>Amalia Restu Sasmita</t>
  </si>
  <si>
    <t>520101 4603990002</t>
  </si>
  <si>
    <t>Arif Rahman Hakim</t>
  </si>
  <si>
    <t>520101 0207060002</t>
  </si>
  <si>
    <t>Muhammad Nur</t>
  </si>
  <si>
    <t>520101 0405870001</t>
  </si>
  <si>
    <t>Nurulhidayah</t>
  </si>
  <si>
    <t>520101 3112800210</t>
  </si>
  <si>
    <t>Tahar</t>
  </si>
  <si>
    <t>520101 0107500170</t>
  </si>
  <si>
    <t>Sakinah</t>
  </si>
  <si>
    <t>520101 4107580086</t>
  </si>
  <si>
    <t>Siti Sapurah</t>
  </si>
  <si>
    <t>Rizwan</t>
  </si>
  <si>
    <t>Mahmud Nuri S.Pd</t>
  </si>
  <si>
    <t>520101 2810700003</t>
  </si>
  <si>
    <t>Sahnun</t>
  </si>
  <si>
    <t>520101 4107750161</t>
  </si>
  <si>
    <t>Elok Rahayu Saputri</t>
  </si>
  <si>
    <t>520101 6810470001</t>
  </si>
  <si>
    <t>Muhamad Adrian Hidayat</t>
  </si>
  <si>
    <t>520101 1103040001</t>
  </si>
  <si>
    <t>Mustajab</t>
  </si>
  <si>
    <t>520101 0107550083</t>
  </si>
  <si>
    <t>Rasnim</t>
  </si>
  <si>
    <t>520101 4107730289</t>
  </si>
  <si>
    <t>M Sadikin</t>
  </si>
  <si>
    <t>520101 0505880001</t>
  </si>
  <si>
    <t>M Diki Marhadi</t>
  </si>
  <si>
    <t>SD/MA</t>
  </si>
  <si>
    <t>520101 1903010002</t>
  </si>
  <si>
    <t>Mustiana Maulida</t>
  </si>
  <si>
    <t>520101 5601130003</t>
  </si>
  <si>
    <t>Siti Sulaeha</t>
  </si>
  <si>
    <t>Lainnnya</t>
  </si>
  <si>
    <t>520101 6007851001</t>
  </si>
  <si>
    <t>Idham Khalid Saputra</t>
  </si>
  <si>
    <t>Mahsun</t>
  </si>
  <si>
    <t>Pauziah</t>
  </si>
  <si>
    <t>Parizal Pahmi</t>
  </si>
  <si>
    <t>Isropi Galih Putra</t>
  </si>
  <si>
    <t>Darmawan</t>
  </si>
  <si>
    <t>Siti Jaknah</t>
  </si>
  <si>
    <t>Sapaah</t>
  </si>
  <si>
    <t>Mailyna Ida Saputri</t>
  </si>
  <si>
    <t>520101 6004040004</t>
  </si>
  <si>
    <t>Nursiah</t>
  </si>
  <si>
    <t>520101 5408740003</t>
  </si>
  <si>
    <t>Nurul Safitri</t>
  </si>
  <si>
    <t>520101 6412990004</t>
  </si>
  <si>
    <t>Ema Ratna Puri</t>
  </si>
  <si>
    <t>520101 4611020001</t>
  </si>
  <si>
    <t>Ibrahim</t>
  </si>
  <si>
    <t>Muhammad Rizkul Kholis</t>
  </si>
  <si>
    <t>Bohri</t>
  </si>
  <si>
    <t>520101 1110740002</t>
  </si>
  <si>
    <t>Hendon Zaenab</t>
  </si>
  <si>
    <t>Wahyu Taufik Hidayat</t>
  </si>
  <si>
    <t>520101 1109000003</t>
  </si>
  <si>
    <t>Cinta Aulia Lestari</t>
  </si>
  <si>
    <t>Baharudin</t>
  </si>
  <si>
    <t>520101 0107770445</t>
  </si>
  <si>
    <t>Siti Fatimah</t>
  </si>
  <si>
    <t>520101 7012850004</t>
  </si>
  <si>
    <t>Maidinawan</t>
  </si>
  <si>
    <t>520101 1604710001</t>
  </si>
  <si>
    <t>Mhram</t>
  </si>
  <si>
    <t>520101 4903770001</t>
  </si>
  <si>
    <t>Pandika Pratama</t>
  </si>
  <si>
    <t>520101 0312070001</t>
  </si>
  <si>
    <t>Laudifa Dwi Agustina</t>
  </si>
  <si>
    <t>520101 5608140001</t>
  </si>
  <si>
    <t>Badrun</t>
  </si>
  <si>
    <t>520101 2102700002</t>
  </si>
  <si>
    <t>Jumidah</t>
  </si>
  <si>
    <t>Istiana Maisyarah</t>
  </si>
  <si>
    <t>520101 5205950004</t>
  </si>
  <si>
    <t>Ida Ayu Made Saptariani</t>
  </si>
  <si>
    <t>520101 5908940002</t>
  </si>
  <si>
    <t>Muhamad Renaldi Alfarisi</t>
  </si>
  <si>
    <t>520101 2208200003</t>
  </si>
  <si>
    <t>Nandeni Zohri</t>
  </si>
  <si>
    <t>520101 0406880001</t>
  </si>
  <si>
    <t>Suhadah</t>
  </si>
  <si>
    <t>520101 4701920002</t>
  </si>
  <si>
    <t>Lukman</t>
  </si>
  <si>
    <t>520101 1803100001</t>
  </si>
  <si>
    <t>520101 0107580165</t>
  </si>
  <si>
    <t>Patmah</t>
  </si>
  <si>
    <t>Siti Sunnah</t>
  </si>
  <si>
    <t>520101 6208670001</t>
  </si>
  <si>
    <t>Lalu Aryapati Ibnu Wahid</t>
  </si>
  <si>
    <t>520101 2009960001</t>
  </si>
  <si>
    <t>Syaeful Hasyim</t>
  </si>
  <si>
    <t>520101 2104850001</t>
  </si>
  <si>
    <t>Mariana</t>
  </si>
  <si>
    <t>520101 5011850002</t>
  </si>
  <si>
    <t>Musanip</t>
  </si>
  <si>
    <t>Masrun</t>
  </si>
  <si>
    <t>Nurhalimah</t>
  </si>
  <si>
    <t>Kawiu</t>
  </si>
  <si>
    <t>Almira Fathiya Humairo</t>
  </si>
  <si>
    <t>Rudiah</t>
  </si>
  <si>
    <t>Umar</t>
  </si>
  <si>
    <t>Rukmah</t>
  </si>
  <si>
    <t>Wiraswata</t>
  </si>
  <si>
    <t>520101 0304740001</t>
  </si>
  <si>
    <t>520101 5303810001</t>
  </si>
  <si>
    <t>Maknun</t>
  </si>
  <si>
    <t>520101 0701690001</t>
  </si>
  <si>
    <t>Nurimah</t>
  </si>
  <si>
    <t>Diniatul Fitriah</t>
  </si>
  <si>
    <t>520101 0806090003</t>
  </si>
  <si>
    <t>Fahrul Hadi</t>
  </si>
  <si>
    <t>520101 1309900003</t>
  </si>
  <si>
    <t>Yuli Suciarni</t>
  </si>
  <si>
    <t>520101 5407900001</t>
  </si>
  <si>
    <t>Muhamad Giolana Mubara</t>
  </si>
  <si>
    <t>Ahamda Zulkifli</t>
  </si>
  <si>
    <t>520101 1012930002</t>
  </si>
  <si>
    <t>Erika Rusma Awanis</t>
  </si>
  <si>
    <t>Alifan Erzu Wijaya</t>
  </si>
  <si>
    <t>520101 1403150001</t>
  </si>
  <si>
    <t>Rahman S.Pd</t>
  </si>
  <si>
    <t>Sarimah</t>
  </si>
  <si>
    <t>Frety Rahmasari</t>
  </si>
  <si>
    <t>A Arman Maulana</t>
  </si>
  <si>
    <t>Asriani</t>
  </si>
  <si>
    <t>Azril</t>
  </si>
  <si>
    <t>Muhammad Sadeli</t>
  </si>
  <si>
    <t>Hajjah Siti Ayuri</t>
  </si>
  <si>
    <t>Muhammad Zuhri Sakban</t>
  </si>
  <si>
    <t>Dwi Ayuni Sarah</t>
  </si>
  <si>
    <t>Desi</t>
  </si>
  <si>
    <t>Ahmad Muharis</t>
  </si>
  <si>
    <t>Muliyanti</t>
  </si>
  <si>
    <t>Budi Januarta</t>
  </si>
  <si>
    <t>Haerani</t>
  </si>
  <si>
    <t>520101 5405910001</t>
  </si>
  <si>
    <t>Inak Darni</t>
  </si>
  <si>
    <t>Darni</t>
  </si>
  <si>
    <t>Ratnati</t>
  </si>
  <si>
    <t>520101 2404680001</t>
  </si>
  <si>
    <t>Faizah</t>
  </si>
  <si>
    <t>520101 1804130001</t>
  </si>
  <si>
    <t>Abdul Manan</t>
  </si>
  <si>
    <t>520101 0107660016</t>
  </si>
  <si>
    <t>Siti Maryam</t>
  </si>
  <si>
    <t>Muhammad Wildan</t>
  </si>
  <si>
    <t>520101 2404890001</t>
  </si>
  <si>
    <t>Fathul Aziz</t>
  </si>
  <si>
    <t>520101 1806910002</t>
  </si>
  <si>
    <t>Laila Solatin</t>
  </si>
  <si>
    <t>520101 5212930002</t>
  </si>
  <si>
    <t>M Fathir Galih Assyidiq</t>
  </si>
  <si>
    <t>Mariadi Muslim</t>
  </si>
  <si>
    <t>520101 2105840003</t>
  </si>
  <si>
    <t>Adinda Maharani</t>
  </si>
  <si>
    <t>Muhidin</t>
  </si>
  <si>
    <t>Sahni</t>
  </si>
  <si>
    <t>520101 5101710001</t>
  </si>
  <si>
    <t>Fatimi</t>
  </si>
  <si>
    <t>520101 4510880001</t>
  </si>
  <si>
    <t>Suryaningsih</t>
  </si>
  <si>
    <t>Fitri Rahmawati</t>
  </si>
  <si>
    <t>520101 5106030001</t>
  </si>
  <si>
    <t>Maat</t>
  </si>
  <si>
    <t>Siti Nawisah</t>
  </si>
  <si>
    <t>Rahmat Sidik</t>
  </si>
  <si>
    <t>Ayu Rosita</t>
  </si>
  <si>
    <t>520101 5711980001</t>
  </si>
  <si>
    <t>Zainudin Ihsan</t>
  </si>
  <si>
    <t>Khairul Rizal</t>
  </si>
  <si>
    <t>Muhamad Taufik</t>
  </si>
  <si>
    <t>520101 0503830003</t>
  </si>
  <si>
    <t>Sabariah</t>
  </si>
  <si>
    <t>520101 5203840005</t>
  </si>
  <si>
    <t>Firman Aditya Ramdhan</t>
  </si>
  <si>
    <t>520101 1008090002</t>
  </si>
  <si>
    <t>Agil Abdul Khaliq</t>
  </si>
  <si>
    <t>520101 3003120002</t>
  </si>
  <si>
    <t>Ahmad Rumi Shadiqin</t>
  </si>
  <si>
    <t>520101 1401840002</t>
  </si>
  <si>
    <t>Emi Surya Teti S.Pd</t>
  </si>
  <si>
    <t>520101 5404860006</t>
  </si>
  <si>
    <t>Roha Emilia Qatrunnada</t>
  </si>
  <si>
    <t>520101 4607110003</t>
  </si>
  <si>
    <t>Munisah</t>
  </si>
  <si>
    <t>520101 8506750002</t>
  </si>
  <si>
    <t>Laili Zarwati</t>
  </si>
  <si>
    <t>520101 7108990002</t>
  </si>
  <si>
    <t>Muhammad Fadli</t>
  </si>
  <si>
    <t>520101 0312810002</t>
  </si>
  <si>
    <t>Sabenah</t>
  </si>
  <si>
    <t>520101 7112830125</t>
  </si>
  <si>
    <t>Muhamad Fikri</t>
  </si>
  <si>
    <t>520101 1505050001</t>
  </si>
  <si>
    <t>Lily Aprianti</t>
  </si>
  <si>
    <t>520101 4104120001</t>
  </si>
  <si>
    <t>Nusimah</t>
  </si>
  <si>
    <t>Sapri</t>
  </si>
  <si>
    <t>Junaidi</t>
  </si>
  <si>
    <t>520101 3112840050</t>
  </si>
  <si>
    <t>Muslimah</t>
  </si>
  <si>
    <t>Muhammad Jaya Efendi</t>
  </si>
  <si>
    <t>520101 2603140001</t>
  </si>
  <si>
    <t>520101 0107590118</t>
  </si>
  <si>
    <t>Erna Nurmawati</t>
  </si>
  <si>
    <t>520101 4303890001</t>
  </si>
  <si>
    <t>Saefullah</t>
  </si>
  <si>
    <t>520101 4107900053</t>
  </si>
  <si>
    <t>520101 2309951001</t>
  </si>
  <si>
    <t>520101 2310960001</t>
  </si>
  <si>
    <t>Mardi Idris</t>
  </si>
  <si>
    <t>520101 2312990001</t>
  </si>
  <si>
    <t>520101 6109010001</t>
  </si>
  <si>
    <t>Saminah</t>
  </si>
  <si>
    <t>520101 7112380002</t>
  </si>
  <si>
    <t>Sahdan</t>
  </si>
  <si>
    <t>520101 3112750074</t>
  </si>
  <si>
    <t>Sarmah</t>
  </si>
  <si>
    <t>520101 7112390004</t>
  </si>
  <si>
    <t>520101 3112770034</t>
  </si>
  <si>
    <t>520101 0509880001</t>
  </si>
  <si>
    <t>Siti Sakrah</t>
  </si>
  <si>
    <t>520101 6407980001</t>
  </si>
  <si>
    <t>Saparudin</t>
  </si>
  <si>
    <t>520101 0107600444</t>
  </si>
  <si>
    <t>Almiati</t>
  </si>
  <si>
    <t>520101 4107720284</t>
  </si>
  <si>
    <t>Suparlan</t>
  </si>
  <si>
    <t>520101 1305850002</t>
  </si>
  <si>
    <t>520101 5408840003</t>
  </si>
  <si>
    <t>Fahrezi</t>
  </si>
  <si>
    <t>520101 1106030002</t>
  </si>
  <si>
    <t>Melani Dwi Zaskia</t>
  </si>
  <si>
    <t>520101 5603140001</t>
  </si>
  <si>
    <t>Sapoan</t>
  </si>
  <si>
    <t>520101 1303680001</t>
  </si>
  <si>
    <t>520101 5902720002</t>
  </si>
  <si>
    <t>Sri Pariati</t>
  </si>
  <si>
    <t>520101 7012950001</t>
  </si>
  <si>
    <t>Haji Wahid Abdullah</t>
  </si>
  <si>
    <t>520101 0107420166</t>
  </si>
  <si>
    <t>Rukiah</t>
  </si>
  <si>
    <t>Raisah</t>
  </si>
  <si>
    <t>Nurul Hamidah</t>
  </si>
  <si>
    <t>Samsul Arifin</t>
  </si>
  <si>
    <t>Erlina Zulaeka Hamid</t>
  </si>
  <si>
    <t>Munasah</t>
  </si>
  <si>
    <t>520101 1012750004</t>
  </si>
  <si>
    <t>Saonah</t>
  </si>
  <si>
    <t>520101 7112780111</t>
  </si>
  <si>
    <t>Wulandari</t>
  </si>
  <si>
    <t>520101 4705080003</t>
  </si>
  <si>
    <t>Sapiah</t>
  </si>
  <si>
    <t>520101 4107550118</t>
  </si>
  <si>
    <t>520101 7112700019</t>
  </si>
  <si>
    <t>Ardyanurrahim</t>
  </si>
  <si>
    <t>Mugni</t>
  </si>
  <si>
    <t>520101 0607721001</t>
  </si>
  <si>
    <t>520101 4107740182</t>
  </si>
  <si>
    <t>Yuliana</t>
  </si>
  <si>
    <t>520101 6008950001</t>
  </si>
  <si>
    <t>Muhamad Yusup</t>
  </si>
  <si>
    <t>520101 2506990002</t>
  </si>
  <si>
    <t>Muhamad Fauzi</t>
  </si>
  <si>
    <t>520101 1701030001</t>
  </si>
  <si>
    <t>520101 6311131001</t>
  </si>
  <si>
    <t>Muhadi</t>
  </si>
  <si>
    <t>Sapnah</t>
  </si>
  <si>
    <t>Sapitri Mustika Sari</t>
  </si>
  <si>
    <t>Muhasan</t>
  </si>
  <si>
    <t>520101 0107700605</t>
  </si>
  <si>
    <t>Masriah</t>
  </si>
  <si>
    <t>520101 4107800676</t>
  </si>
  <si>
    <t>Sandika Pranata</t>
  </si>
  <si>
    <t>520101 0308020002</t>
  </si>
  <si>
    <t>Hendrika Pramudia</t>
  </si>
  <si>
    <t>520101 0306070002</t>
  </si>
  <si>
    <t>Siti Makyah</t>
  </si>
  <si>
    <t>520101 6105630001</t>
  </si>
  <si>
    <t>Maliki</t>
  </si>
  <si>
    <t>520101 3112850085</t>
  </si>
  <si>
    <t>Vitriatul Aini</t>
  </si>
  <si>
    <t>520101 0101870004</t>
  </si>
  <si>
    <t>Putri Cahayatul Aini</t>
  </si>
  <si>
    <t>520101 6005080001</t>
  </si>
  <si>
    <t>Muhammad Hendri</t>
  </si>
  <si>
    <t>Fatimah</t>
  </si>
  <si>
    <t>520101 4107500234</t>
  </si>
  <si>
    <t>A Nurimah</t>
  </si>
  <si>
    <t>Mustiah</t>
  </si>
  <si>
    <t>Ratnisah</t>
  </si>
  <si>
    <t>520101 5207980002</t>
  </si>
  <si>
    <t>Lidia Aini</t>
  </si>
  <si>
    <t>Sukinah</t>
  </si>
  <si>
    <t>Saknah</t>
  </si>
  <si>
    <t>Helmi Zikri</t>
  </si>
  <si>
    <t>Ismi Aulia</t>
  </si>
  <si>
    <t>Zaenab</t>
  </si>
  <si>
    <t>520101 6912720001</t>
  </si>
  <si>
    <t>Angga Pangestu</t>
  </si>
  <si>
    <t>520101 0605080003</t>
  </si>
  <si>
    <t>520101 0107830150</t>
  </si>
  <si>
    <t>Zaenap</t>
  </si>
  <si>
    <t>Inak Lemun</t>
  </si>
  <si>
    <t>520101 7112400036</t>
  </si>
  <si>
    <t>Ensir</t>
  </si>
  <si>
    <t>520101 4107500126</t>
  </si>
  <si>
    <t>Sueb</t>
  </si>
  <si>
    <t>520101 1504830001</t>
  </si>
  <si>
    <t>Khaerul Pahmi</t>
  </si>
  <si>
    <t>520101 2105090001</t>
  </si>
  <si>
    <t>Mahyudin</t>
  </si>
  <si>
    <t>Suarniati</t>
  </si>
  <si>
    <t>Sulistiani</t>
  </si>
  <si>
    <t>Ulul Azmi</t>
  </si>
  <si>
    <t>Rumnah</t>
  </si>
  <si>
    <t>Sapiah Siti</t>
  </si>
  <si>
    <t>Nasirudin</t>
  </si>
  <si>
    <t>520101 3112800142</t>
  </si>
  <si>
    <t>520101 6401840003</t>
  </si>
  <si>
    <t>Khalif Firmansyah</t>
  </si>
  <si>
    <t>520101 2408070001</t>
  </si>
  <si>
    <t>Kholifi Ardiyansyah</t>
  </si>
  <si>
    <t>520101 2811140001</t>
  </si>
  <si>
    <t>Nasrah</t>
  </si>
  <si>
    <t>520101 0107600022</t>
  </si>
  <si>
    <t>Hj. Jamilah</t>
  </si>
  <si>
    <t>520101 4107610063</t>
  </si>
  <si>
    <t>Reni Mardiyanti</t>
  </si>
  <si>
    <t>520101 4107960130</t>
  </si>
  <si>
    <t>Sahrun</t>
  </si>
  <si>
    <t>520101 4107850170</t>
  </si>
  <si>
    <t>Idham Kholiki</t>
  </si>
  <si>
    <t>520101 1704130001</t>
  </si>
  <si>
    <t>Samsul Hadi</t>
  </si>
  <si>
    <t>520101 2204790001</t>
  </si>
  <si>
    <t>Mutamainah</t>
  </si>
  <si>
    <t>520101 5610790001</t>
  </si>
  <si>
    <t>Muhammad Zikrullah Hadi</t>
  </si>
  <si>
    <t>520101 1612070002</t>
  </si>
  <si>
    <t>Nindita Fitriana Hadi</t>
  </si>
  <si>
    <t>520101 5308110001</t>
  </si>
  <si>
    <t>Majidah</t>
  </si>
  <si>
    <t>520101 2402040001</t>
  </si>
  <si>
    <t>Haris Darmawan</t>
  </si>
  <si>
    <t>520101 3112680003</t>
  </si>
  <si>
    <t>520101 4404840001</t>
  </si>
  <si>
    <t>Vina Nabila Khaerina</t>
  </si>
  <si>
    <t>520101 5510030001</t>
  </si>
  <si>
    <t>Atatia Jaunuarti</t>
  </si>
  <si>
    <t>Abdur Rahman</t>
  </si>
  <si>
    <t>Faozan Hadi</t>
  </si>
  <si>
    <t>520101 0107430301</t>
  </si>
  <si>
    <t>Haji Abdus Satar</t>
  </si>
  <si>
    <t>520101 3112450043</t>
  </si>
  <si>
    <t>Hajjah Maliah</t>
  </si>
  <si>
    <t>520101 4407500045</t>
  </si>
  <si>
    <t>Haji Muhammad Hersan</t>
  </si>
  <si>
    <t>520101 1109760001</t>
  </si>
  <si>
    <t>Muliana</t>
  </si>
  <si>
    <t>520101 6408770001</t>
  </si>
  <si>
    <t>Nurul Izzati</t>
  </si>
  <si>
    <t>520101 6904990001</t>
  </si>
  <si>
    <t>520101 2402040003</t>
  </si>
  <si>
    <t>Fathin Kamelia</t>
  </si>
  <si>
    <t>520101 6409120003</t>
  </si>
  <si>
    <t>Alwiyah</t>
  </si>
  <si>
    <t>520101 4107650010</t>
  </si>
  <si>
    <t>Muhamad Lailan</t>
  </si>
  <si>
    <t>Muniah</t>
  </si>
  <si>
    <t>Muhamad Azril Hidayat</t>
  </si>
  <si>
    <t>Bohari</t>
  </si>
  <si>
    <t>Rabiah</t>
  </si>
  <si>
    <t>520101 4107460073</t>
  </si>
  <si>
    <t>520101 4107800667</t>
  </si>
  <si>
    <t>Fitri Ayu Wahyuni</t>
  </si>
  <si>
    <t>Ahmad Maliki</t>
  </si>
  <si>
    <t>SLTP/MTS</t>
  </si>
  <si>
    <t>Munaim</t>
  </si>
  <si>
    <t>520101 0107430031</t>
  </si>
  <si>
    <t>Sakrah</t>
  </si>
  <si>
    <t>520101 4107590164</t>
  </si>
  <si>
    <t>520101 0107580169</t>
  </si>
  <si>
    <t>Mardiah</t>
  </si>
  <si>
    <t>520101 4107620275</t>
  </si>
  <si>
    <t>Arul Alfandi</t>
  </si>
  <si>
    <t>520101 0811980001</t>
  </si>
  <si>
    <t>Dila Mardiana</t>
  </si>
  <si>
    <t>520101 6303020001</t>
  </si>
  <si>
    <t>Abdurrahman</t>
  </si>
  <si>
    <t>Patman</t>
  </si>
  <si>
    <t>Ahmad Ulul</t>
  </si>
  <si>
    <t>Abdurahim</t>
  </si>
  <si>
    <t>520101 3112840037</t>
  </si>
  <si>
    <t>Sadariah</t>
  </si>
  <si>
    <t>520101 4107640123</t>
  </si>
  <si>
    <t>520101 4107600111</t>
  </si>
  <si>
    <t>Ahmad</t>
  </si>
  <si>
    <t>Aluh Nurhasanah</t>
  </si>
  <si>
    <t>520101 6311900003</t>
  </si>
  <si>
    <t>Muhammad Alwam</t>
  </si>
  <si>
    <t>520101 2012110001</t>
  </si>
  <si>
    <t>Mashuri</t>
  </si>
  <si>
    <t>Idayani</t>
  </si>
  <si>
    <t>Lulu Fajiani</t>
  </si>
  <si>
    <t>Rapiah</t>
  </si>
  <si>
    <t>Muzakar Ependi</t>
  </si>
  <si>
    <t>520101 0506930003</t>
  </si>
  <si>
    <t>Nurhidayanti</t>
  </si>
  <si>
    <t>Alya Dewiyana Maria</t>
  </si>
  <si>
    <t>Sawaludin</t>
  </si>
  <si>
    <t>520101 5002830002</t>
  </si>
  <si>
    <t>Aprilia Azzahra</t>
  </si>
  <si>
    <t>Munir</t>
  </si>
  <si>
    <t>520101 0107670258</t>
  </si>
  <si>
    <t>Sahmin</t>
  </si>
  <si>
    <t>520101 4107850014</t>
  </si>
  <si>
    <t>Hariyani Febriana</t>
  </si>
  <si>
    <t>520101 4107910103</t>
  </si>
  <si>
    <t>Putri Ayu Setiamani</t>
  </si>
  <si>
    <t>520101 5401030002</t>
  </si>
  <si>
    <t>Mahzan</t>
  </si>
  <si>
    <t>Kk</t>
  </si>
  <si>
    <t>520101 3112610066</t>
  </si>
  <si>
    <t>520101 7112680151</t>
  </si>
  <si>
    <t>Ahmad Julianto</t>
  </si>
  <si>
    <t>520101 1150700003</t>
  </si>
  <si>
    <t>Fara hardianti</t>
  </si>
  <si>
    <t>520101 4704100002</t>
  </si>
  <si>
    <t>Herman Mahyun</t>
  </si>
  <si>
    <t>520101 3112780048</t>
  </si>
  <si>
    <t>Maryatun</t>
  </si>
  <si>
    <t>520101 4508800001</t>
  </si>
  <si>
    <t>Tika Maulinda Safitri</t>
  </si>
  <si>
    <t>[-</t>
  </si>
  <si>
    <t>520101 4505050001</t>
  </si>
  <si>
    <t>Ahmad Khairil Gifari</t>
  </si>
  <si>
    <t>520101 1903090002</t>
  </si>
  <si>
    <t>520101 1402890001</t>
  </si>
  <si>
    <t>Fitriana</t>
  </si>
  <si>
    <t>Kain</t>
  </si>
  <si>
    <t>520101 1604140003</t>
  </si>
  <si>
    <t>Mahyun</t>
  </si>
  <si>
    <t>520101 3112550005</t>
  </si>
  <si>
    <t>Muhlis Samiun</t>
  </si>
  <si>
    <t>520101 0101750006</t>
  </si>
  <si>
    <t>Sulistyowati</t>
  </si>
  <si>
    <t>520101 5712790002</t>
  </si>
  <si>
    <t>Mia Listiana</t>
  </si>
  <si>
    <t>520101 6802010003</t>
  </si>
  <si>
    <t>Bima Kalis Kalingga</t>
  </si>
  <si>
    <t>520101 0905050003</t>
  </si>
  <si>
    <t>Hajjah Sabilah</t>
  </si>
  <si>
    <t>520101 4107540083</t>
  </si>
  <si>
    <t>Abdul Gani</t>
  </si>
  <si>
    <t>Sahlan</t>
  </si>
  <si>
    <t>Mukyah</t>
  </si>
  <si>
    <t>Faezal Abdul Hazis</t>
  </si>
  <si>
    <t>520101 0807920001</t>
  </si>
  <si>
    <t>Irham Ali Mukti</t>
  </si>
  <si>
    <t>520101 0901470001</t>
  </si>
  <si>
    <t>Mahnun</t>
  </si>
  <si>
    <t>Muhammad Saleh</t>
  </si>
  <si>
    <t>520101 3112910006</t>
  </si>
  <si>
    <t>Dullahir</t>
  </si>
  <si>
    <t>520101 7112780201</t>
  </si>
  <si>
    <t>Rina Sintia</t>
  </si>
  <si>
    <t>Riski Saputra</t>
  </si>
  <si>
    <t>520101 2405100002</t>
  </si>
  <si>
    <t>Satar</t>
  </si>
  <si>
    <t>520101 0107370148</t>
  </si>
  <si>
    <t>Siti</t>
  </si>
  <si>
    <t>520101 4107480073</t>
  </si>
  <si>
    <t>520101 3112720058</t>
  </si>
  <si>
    <t>Tilemah</t>
  </si>
  <si>
    <t>Tia Rizka Pratiwi</t>
  </si>
  <si>
    <t>520101 6180010001</t>
  </si>
  <si>
    <t>Dalfa Aprian Setiawan</t>
  </si>
  <si>
    <t>Isl;am</t>
  </si>
  <si>
    <t>520101 0604140002</t>
  </si>
  <si>
    <t>Muhtasar S.Pd.I</t>
  </si>
  <si>
    <t>520101 3112570022</t>
  </si>
  <si>
    <t>Saidah</t>
  </si>
  <si>
    <t>520101 7112630012</t>
  </si>
  <si>
    <t>Dwi Sarbiniati</t>
  </si>
  <si>
    <t>520101 5709820002</t>
  </si>
  <si>
    <t>Tryadi Islahul Akhwan</t>
  </si>
  <si>
    <t>IsLam</t>
  </si>
  <si>
    <t>520101 2006970004</t>
  </si>
  <si>
    <t>520101 0107670707</t>
  </si>
  <si>
    <t>Munirah</t>
  </si>
  <si>
    <t>520101 7112700267</t>
  </si>
  <si>
    <t>Wahyuni Lestari</t>
  </si>
  <si>
    <t>520101 0704970002</t>
  </si>
  <si>
    <t>M Pandu Pratama Saputra</t>
  </si>
  <si>
    <t>520101 1204070003</t>
  </si>
  <si>
    <t>Maemunah</t>
  </si>
  <si>
    <t>520101 6003750001</t>
  </si>
  <si>
    <t>520101 1502940005</t>
  </si>
  <si>
    <t>Muhammad Zulkarnain S.Pd</t>
  </si>
  <si>
    <t>PT/Akademis</t>
  </si>
  <si>
    <t>520101 0605850003</t>
  </si>
  <si>
    <t>Murniati</t>
  </si>
  <si>
    <t>520101 7112850249</t>
  </si>
  <si>
    <t>520101 0904590004</t>
  </si>
  <si>
    <t>Misniati</t>
  </si>
  <si>
    <t>520101 6404590003</t>
  </si>
  <si>
    <t>Muhammad Hanapi</t>
  </si>
  <si>
    <t>520101 304940004</t>
  </si>
  <si>
    <t>Mawardi</t>
  </si>
  <si>
    <t>520101 0109670001</t>
  </si>
  <si>
    <t>Mawaddatun Ully</t>
  </si>
  <si>
    <t>520101 5809900002</t>
  </si>
  <si>
    <t>Iswatun Husaini</t>
  </si>
  <si>
    <t>520101 5805020002</t>
  </si>
  <si>
    <t>Durahman</t>
  </si>
  <si>
    <t>Suriani</t>
  </si>
  <si>
    <t>520101 5007800003</t>
  </si>
  <si>
    <t>Rusmiati</t>
  </si>
  <si>
    <t>Haji Kamarudin</t>
  </si>
  <si>
    <t>Hajjah Radmin</t>
  </si>
  <si>
    <t>Muhammad Irwan</t>
  </si>
  <si>
    <t>Belum kawin-</t>
  </si>
  <si>
    <t>Mazni</t>
  </si>
  <si>
    <t>520101 1510700004</t>
  </si>
  <si>
    <t>Suwarni</t>
  </si>
  <si>
    <t>520101 4107730418</t>
  </si>
  <si>
    <t>M Doni Pebriawan</t>
  </si>
  <si>
    <t>520101 1102900005</t>
  </si>
  <si>
    <t>Rizwaul Rizki</t>
  </si>
  <si>
    <t>520101 1702030009</t>
  </si>
  <si>
    <t>Nofal Maulana</t>
  </si>
  <si>
    <t>520101 1011040003</t>
  </si>
  <si>
    <t>Agus Ramadani</t>
  </si>
  <si>
    <t>520101 1608100001</t>
  </si>
  <si>
    <t>Siti Mazni</t>
  </si>
  <si>
    <t>520101 5602910005</t>
  </si>
  <si>
    <t>Istiani Anggraini Mazni</t>
  </si>
  <si>
    <t>520101 4512110001</t>
  </si>
  <si>
    <t>Muzakkar</t>
  </si>
  <si>
    <t>520101 2212730001</t>
  </si>
  <si>
    <t>520101 6306780002</t>
  </si>
  <si>
    <t>Gian PurNomo Aji</t>
  </si>
  <si>
    <t>520101 3112960009</t>
  </si>
  <si>
    <t>Anggi Satria Pratama Aji</t>
  </si>
  <si>
    <t>520101 2701000004</t>
  </si>
  <si>
    <t>Aditya Prasta Aji</t>
  </si>
  <si>
    <t>520101 1403090003</t>
  </si>
  <si>
    <t>Ririn Dwi Karfina</t>
  </si>
  <si>
    <t>520101 5205130002</t>
  </si>
  <si>
    <t>Muhammad Irfan S.Pd</t>
  </si>
  <si>
    <t>520101 3112710180</t>
  </si>
  <si>
    <t>Utami Suryati S.Pd</t>
  </si>
  <si>
    <t>520101 5208720001</t>
  </si>
  <si>
    <t>Ermia Hidayanti</t>
  </si>
  <si>
    <t>520101 5305950003</t>
  </si>
  <si>
    <t>Muhammad Evan Surya Alparis</t>
  </si>
  <si>
    <t>520101 1708960001</t>
  </si>
  <si>
    <t>Fahmi Septian Hidayat</t>
  </si>
  <si>
    <t>Firda Ade Irmayanti</t>
  </si>
  <si>
    <t>520101 6809050004</t>
  </si>
  <si>
    <t>Haji Nurkman</t>
  </si>
  <si>
    <t>Munzir</t>
  </si>
  <si>
    <t>Sumiati</t>
  </si>
  <si>
    <t>Belem kawin</t>
  </si>
  <si>
    <t>NO. KK</t>
  </si>
  <si>
    <t>Jumlah Jiwa</t>
  </si>
  <si>
    <t>Lahir</t>
  </si>
  <si>
    <t>Usia</t>
  </si>
  <si>
    <t>Etnis</t>
  </si>
  <si>
    <t>Jurusan</t>
  </si>
  <si>
    <t>Cacat</t>
  </si>
  <si>
    <t>Ada/tidak</t>
  </si>
  <si>
    <t>Tempat</t>
  </si>
  <si>
    <t>Tanggal</t>
  </si>
  <si>
    <t>tahun</t>
  </si>
  <si>
    <t>Mental</t>
  </si>
  <si>
    <t>Fisik</t>
  </si>
  <si>
    <t>KTP/KIA</t>
  </si>
  <si>
    <t>Buku Niikah</t>
  </si>
  <si>
    <t>Tahun</t>
  </si>
  <si>
    <t xml:space="preserve">Nama Lengkap/Panggilan </t>
  </si>
  <si>
    <t>Kedudukan Dalam Keluarga</t>
  </si>
  <si>
    <t>Jenis Kelamin L/P</t>
  </si>
  <si>
    <t>Sahili</t>
  </si>
  <si>
    <t>520101 0503083177</t>
  </si>
  <si>
    <t>Muzakir Walad</t>
  </si>
  <si>
    <t>520101 0107980085</t>
  </si>
  <si>
    <t>DASAN GERES BARAT</t>
  </si>
  <si>
    <t>Sasak</t>
  </si>
  <si>
    <t>TAMAT SD/SEDERAJAT</t>
  </si>
  <si>
    <t>TIDAK/BELUM SEKOLAH</t>
  </si>
  <si>
    <t>Belum/Tidak Bekerja</t>
  </si>
  <si>
    <t>Mengurus Rumah Tangga</t>
  </si>
  <si>
    <t>520101 0607150011</t>
  </si>
  <si>
    <t>Siti Hadmah</t>
  </si>
  <si>
    <t>Jalalul Mahalil Ulul</t>
  </si>
  <si>
    <t xml:space="preserve"> 520101 0107800460</t>
  </si>
  <si>
    <t xml:space="preserve"> 520101 7112880172</t>
  </si>
  <si>
    <t xml:space="preserve"> 520101 0506100004</t>
  </si>
  <si>
    <t>DASAN GERES SELATAN</t>
  </si>
  <si>
    <t>BANYUMULEK</t>
  </si>
  <si>
    <t xml:space="preserve"> 520101 1504080041</t>
  </si>
  <si>
    <t>Hj. Zuriaton</t>
  </si>
  <si>
    <t>Miftahurrizki</t>
  </si>
  <si>
    <t xml:space="preserve"> 520101 5506730001</t>
  </si>
  <si>
    <t xml:space="preserve"> 520101 4809890001</t>
  </si>
  <si>
    <t>Cerai Hidup</t>
  </si>
  <si>
    <t>DASAN GERES</t>
  </si>
  <si>
    <t>TIDAK TAMAT SEDERAJAT</t>
  </si>
  <si>
    <t>Ibu Rumah Tangga</t>
  </si>
  <si>
    <t>SLTA/SEDERAJAT</t>
  </si>
  <si>
    <t>Pelajar/Mahasiswa</t>
  </si>
  <si>
    <t>Cerai Mati</t>
  </si>
  <si>
    <t xml:space="preserve"> 520101 0407120004</t>
  </si>
  <si>
    <t>Orang Tua</t>
  </si>
  <si>
    <t>Mojokerto</t>
  </si>
  <si>
    <t>Dasan Tapen</t>
  </si>
  <si>
    <t>Gerung</t>
  </si>
  <si>
    <t>jawa</t>
  </si>
  <si>
    <t>H. Musa</t>
  </si>
  <si>
    <t>Mariaton</t>
  </si>
  <si>
    <t>Anugrah Putra Malik</t>
  </si>
  <si>
    <t xml:space="preserve"> 520101 0510160001</t>
  </si>
  <si>
    <t>SLTP/SEDERAJAT</t>
  </si>
  <si>
    <t>BELUM/TIDAK BEKERJA</t>
  </si>
  <si>
    <t>Buruh Harian Lepas</t>
  </si>
  <si>
    <t>520101 0503084075</t>
  </si>
  <si>
    <t xml:space="preserve"> 520101 0503082568</t>
  </si>
  <si>
    <t>520101 6110050001</t>
  </si>
  <si>
    <t>BELUM TAMAT SD/SEDERAJAT</t>
  </si>
  <si>
    <t>Guru</t>
  </si>
  <si>
    <t>Sahar</t>
  </si>
  <si>
    <t>Idham Halid</t>
  </si>
  <si>
    <t xml:space="preserve"> 520101 0503083573</t>
  </si>
  <si>
    <t xml:space="preserve"> 520101 4107600104</t>
  </si>
  <si>
    <t xml:space="preserve"> 520101 010790055</t>
  </si>
  <si>
    <t>Tukang Kayu</t>
  </si>
  <si>
    <t xml:space="preserve">Redwan </t>
  </si>
  <si>
    <t>rt 2</t>
  </si>
  <si>
    <t>rt 3</t>
  </si>
  <si>
    <t>Yusup Patahullah</t>
  </si>
  <si>
    <t>Muhammad Yunus Safoan Hadi</t>
  </si>
  <si>
    <t xml:space="preserve"> 520101 0503083654</t>
  </si>
  <si>
    <t xml:space="preserve"> 520101 4107670786</t>
  </si>
  <si>
    <t>Mekanik</t>
  </si>
  <si>
    <t>M. Sadikin</t>
  </si>
  <si>
    <t>M. Diki Marhadi</t>
  </si>
  <si>
    <t xml:space="preserve"> 520101 0505880001</t>
  </si>
  <si>
    <t xml:space="preserve"> 520101 1903010002</t>
  </si>
  <si>
    <t xml:space="preserve"> 520101 5601130003</t>
  </si>
  <si>
    <t xml:space="preserve"> 520101 0503084036</t>
  </si>
  <si>
    <t xml:space="preserve"> 520101 0503083074</t>
  </si>
  <si>
    <t>520108 0804130000</t>
  </si>
  <si>
    <t>520101 410690046</t>
  </si>
  <si>
    <t xml:space="preserve"> 520101 0503083041</t>
  </si>
  <si>
    <t>Toni Rahmandani</t>
  </si>
  <si>
    <t>520101 1210780001</t>
  </si>
  <si>
    <t>520101 4107840334</t>
  </si>
  <si>
    <t>520101 5608060001</t>
  </si>
  <si>
    <t>520101 0505110004</t>
  </si>
  <si>
    <t xml:space="preserve">DASAN GERES </t>
  </si>
  <si>
    <t xml:space="preserve"> 520101 010510009</t>
  </si>
  <si>
    <t>Muhamad Fadli</t>
  </si>
  <si>
    <t xml:space="preserve"> 520101 0312810002</t>
  </si>
  <si>
    <t xml:space="preserve"> 520101 7112830125</t>
  </si>
  <si>
    <t xml:space="preserve"> 520101 1505050001</t>
  </si>
  <si>
    <t xml:space="preserve"> 520101 470410001</t>
  </si>
  <si>
    <t>RUMAK</t>
  </si>
  <si>
    <t>RT 3</t>
  </si>
  <si>
    <t>Didik Kurdiawan</t>
  </si>
  <si>
    <t>Hani Husnaini</t>
  </si>
  <si>
    <t>520101 4107500127</t>
  </si>
  <si>
    <t>520101 0403980004</t>
  </si>
  <si>
    <t>520101 5706030001</t>
  </si>
  <si>
    <t>Buruh Tani/Perkebunan</t>
  </si>
  <si>
    <t xml:space="preserve"> 520101 0503083167</t>
  </si>
  <si>
    <t>520101 0107790191</t>
  </si>
  <si>
    <t>520101 4107830205</t>
  </si>
  <si>
    <t>520101 0801050004</t>
  </si>
  <si>
    <t>520101 4805110003</t>
  </si>
  <si>
    <t>Karyawan Swasta</t>
  </si>
  <si>
    <t>Syamila Al tafunnisa</t>
  </si>
  <si>
    <t>520101 0503082489</t>
  </si>
  <si>
    <t>DIPLOMA IV/STRATA I</t>
  </si>
  <si>
    <t>PELAJAR/MAHASISWA</t>
  </si>
  <si>
    <t xml:space="preserve"> Buruh Tani/Perkebunan</t>
  </si>
  <si>
    <t>520101 2008150003</t>
  </si>
  <si>
    <t>Syamsul Hadi Hayun</t>
  </si>
  <si>
    <t>Umi Kalsum</t>
  </si>
  <si>
    <t>Hana Luthfiyah Hayun</t>
  </si>
  <si>
    <t>Fathan Lutfiyansyah Hayun</t>
  </si>
  <si>
    <t xml:space="preserve">  527201 210920003</t>
  </si>
  <si>
    <t xml:space="preserve"> 520101 5908810001</t>
  </si>
  <si>
    <t xml:space="preserve">  520101 6004160003</t>
  </si>
  <si>
    <t xml:space="preserve">  520101 0503180001</t>
  </si>
  <si>
    <t>WAIKABUBAK</t>
  </si>
  <si>
    <t>PRAYA</t>
  </si>
  <si>
    <t>GERUNG</t>
  </si>
  <si>
    <t>AKADEMI/DIPLOMA III/SARJANA MUDA</t>
  </si>
  <si>
    <t xml:space="preserve"> 520101 2705111274</t>
  </si>
  <si>
    <t>Amrina Rosyada</t>
  </si>
  <si>
    <t>Ibadurrohman</t>
  </si>
  <si>
    <t>520101 1009790001</t>
  </si>
  <si>
    <t>520101 4107870485</t>
  </si>
  <si>
    <t>520101 5308070001</t>
  </si>
  <si>
    <t>520101 0108090001</t>
  </si>
  <si>
    <t>Bugis</t>
  </si>
  <si>
    <t>BELUM TAMAT SD</t>
  </si>
  <si>
    <t>Buruh Harian lepas</t>
  </si>
  <si>
    <t>Tidak/Belum Bekerja</t>
  </si>
  <si>
    <t>520101 1205150006</t>
  </si>
  <si>
    <t>SD/SEDERAJAT</t>
  </si>
  <si>
    <t>Purnawirawan</t>
  </si>
  <si>
    <t>Agha Abrisaam Arsyat</t>
  </si>
  <si>
    <t>Ayyana Aila Farisya</t>
  </si>
  <si>
    <t xml:space="preserve"> 520101 3001150013</t>
  </si>
  <si>
    <t>520101 5805850002</t>
  </si>
  <si>
    <t>520101 0512100001</t>
  </si>
  <si>
    <t xml:space="preserve"> 520101 4611150004</t>
  </si>
  <si>
    <t>Sae'an</t>
  </si>
  <si>
    <t xml:space="preserve"> 520101 0503083644</t>
  </si>
  <si>
    <t>520101 0107900106</t>
  </si>
  <si>
    <t>H. Mahmud Muksin</t>
  </si>
  <si>
    <t>Hj. Fitrianan</t>
  </si>
  <si>
    <t>Muhammad Riziq Alianche</t>
  </si>
  <si>
    <t>520101 2510710002</t>
  </si>
  <si>
    <t>520101 6108780001</t>
  </si>
  <si>
    <t>520101 4101030003</t>
  </si>
  <si>
    <t>520101 6501080004</t>
  </si>
  <si>
    <t>520101 4602120005</t>
  </si>
  <si>
    <t>520101 0201170001</t>
  </si>
  <si>
    <t>Ahmad Rifa'i</t>
  </si>
  <si>
    <t>520101 1606120011</t>
  </si>
  <si>
    <t>520101 4407961001</t>
  </si>
  <si>
    <t>DIPLOMA I</t>
  </si>
  <si>
    <t>DIPLOMA IV</t>
  </si>
  <si>
    <t>PNS</t>
  </si>
  <si>
    <t>Muhammad mansur</t>
  </si>
  <si>
    <t>Ghozali Najuan Al-Firman</t>
  </si>
  <si>
    <t>520101 1705140001</t>
  </si>
  <si>
    <t>520101 6209930002</t>
  </si>
  <si>
    <t>Mustafa Bakri</t>
  </si>
  <si>
    <t>520101 0503082470</t>
  </si>
  <si>
    <t>520101 7112730046</t>
  </si>
  <si>
    <t>TAMAN DAYE PUYUNG</t>
  </si>
  <si>
    <t>LENDANG DAME</t>
  </si>
  <si>
    <t>Aliza Jannatul Ma'wa</t>
  </si>
  <si>
    <t>520101 0711160004</t>
  </si>
  <si>
    <t>520101 3112820056</t>
  </si>
  <si>
    <t>520101 6904130002</t>
  </si>
  <si>
    <t>520101 5602180001</t>
  </si>
  <si>
    <t>KEDIRI</t>
  </si>
  <si>
    <t>Ahmad Alfian Akbar</t>
  </si>
  <si>
    <t>520101 1810110011</t>
  </si>
  <si>
    <t>520101 0110850002</t>
  </si>
  <si>
    <t>520101 0703160001</t>
  </si>
  <si>
    <t>PERSUS/KALTENG</t>
  </si>
  <si>
    <t>Tukang Batu</t>
  </si>
  <si>
    <t>520101 0709120006</t>
  </si>
  <si>
    <t>MATARAM</t>
  </si>
  <si>
    <t>JOMBANG</t>
  </si>
  <si>
    <t>Tentara Nasional Indonesia</t>
  </si>
  <si>
    <t>Nurmah</t>
  </si>
  <si>
    <t>M. Dwiki Amrullah</t>
  </si>
  <si>
    <t>520101 2409120065</t>
  </si>
  <si>
    <t>520101 3112750292</t>
  </si>
  <si>
    <t>520101 49040420002</t>
  </si>
  <si>
    <t>520101 25081500007</t>
  </si>
  <si>
    <t>520101 0503083234</t>
  </si>
  <si>
    <t>520101 0503190005</t>
  </si>
  <si>
    <t>Nurul Hikmah</t>
  </si>
  <si>
    <t>Ghea Anggita</t>
  </si>
  <si>
    <t>Srianom</t>
  </si>
  <si>
    <t>Famili Lain</t>
  </si>
  <si>
    <t xml:space="preserve">  520101 5212900003</t>
  </si>
  <si>
    <t xml:space="preserve">  520101 7108120001</t>
  </si>
  <si>
    <t xml:space="preserve">  520101 4107540082</t>
  </si>
  <si>
    <t>MENDAWE</t>
  </si>
  <si>
    <t>SLTP/SEDEAJAT</t>
  </si>
  <si>
    <t>Burruh Tani/Perkebunan</t>
  </si>
  <si>
    <t>-           </t>
  </si>
  <si>
    <t>Mutiara Gussilviana</t>
  </si>
  <si>
    <t>M. Azril Ikhsan</t>
  </si>
  <si>
    <t>M. Sholeh Sayuthi</t>
  </si>
  <si>
    <t>520101 2705111415</t>
  </si>
  <si>
    <t>520101 0107750505</t>
  </si>
  <si>
    <t>520101 4107771010</t>
  </si>
  <si>
    <t>520101 5708080002</t>
  </si>
  <si>
    <t>520101 2303110002</t>
  </si>
  <si>
    <t>520101 1501170004</t>
  </si>
  <si>
    <t>TEGAL</t>
  </si>
  <si>
    <t>Raminah</t>
  </si>
  <si>
    <t>520101 0503083045</t>
  </si>
  <si>
    <t>520101 0107540097</t>
  </si>
  <si>
    <t>520101 14107560099</t>
  </si>
  <si>
    <t>520101 4107850176</t>
  </si>
  <si>
    <t>Muna’an</t>
  </si>
  <si>
    <t>520101 0503083190</t>
  </si>
  <si>
    <t>Petani/Pekebun</t>
  </si>
  <si>
    <t>520101 0609120055</t>
  </si>
  <si>
    <t>520101 3112710165</t>
  </si>
  <si>
    <t>520101 7112730164</t>
  </si>
  <si>
    <t>520101 2503020001</t>
  </si>
  <si>
    <t>520101 0503083222</t>
  </si>
  <si>
    <t>520101 4107760061</t>
  </si>
  <si>
    <t>SLTP/sEDERAJAT</t>
  </si>
  <si>
    <t>520101 0503082253</t>
  </si>
  <si>
    <t>Laili Zawati</t>
  </si>
  <si>
    <t>520101 4107710104</t>
  </si>
  <si>
    <t>520101 7108990001</t>
  </si>
  <si>
    <t>520101 0503082248</t>
  </si>
  <si>
    <t>520101 0607610001</t>
  </si>
  <si>
    <t>BAGEK NUNGGAL</t>
  </si>
  <si>
    <t>Sapiah Koyan</t>
  </si>
  <si>
    <t>520101 0503082224</t>
  </si>
  <si>
    <t>520101 4107750157</t>
  </si>
  <si>
    <t>520101 3108170001</t>
  </si>
  <si>
    <t>520101 7112700007</t>
  </si>
  <si>
    <t>520101 1703910001</t>
  </si>
  <si>
    <t>Cerai</t>
  </si>
  <si>
    <t>SULAWESI</t>
  </si>
  <si>
    <t>NARMADA</t>
  </si>
  <si>
    <t>Karyawan Honorer</t>
  </si>
  <si>
    <t>Hj. Rabiatul Hadawiyah</t>
  </si>
  <si>
    <t>520101 0910180005</t>
  </si>
  <si>
    <t>520101 7112560012</t>
  </si>
  <si>
    <t>520101 2810930002</t>
  </si>
  <si>
    <t>AKADEMI/DIPOMA III/SAJANA MUDA</t>
  </si>
  <si>
    <t>Musiah</t>
  </si>
  <si>
    <t>520101 0503083081</t>
  </si>
  <si>
    <t>520101 0107650223</t>
  </si>
  <si>
    <t>520101 4107690052</t>
  </si>
  <si>
    <t>520101 4107910099</t>
  </si>
  <si>
    <t>520101 702940001</t>
  </si>
  <si>
    <t>520101 0503084071</t>
  </si>
  <si>
    <t>Samnah</t>
  </si>
  <si>
    <t>Famili lain</t>
  </si>
  <si>
    <t xml:space="preserve"> 520101 7112500038</t>
  </si>
  <si>
    <t>520101 2211060002</t>
  </si>
  <si>
    <t>520101 4107690060</t>
  </si>
  <si>
    <t>520101 0107610123</t>
  </si>
  <si>
    <t>H Musleh</t>
  </si>
  <si>
    <t xml:space="preserve"> 520101 0503083546</t>
  </si>
  <si>
    <t>520101 4107310013</t>
  </si>
  <si>
    <t>520101 4901990003</t>
  </si>
  <si>
    <t>Cucu</t>
  </si>
  <si>
    <t>DASAN TAPEN</t>
  </si>
  <si>
    <t>Buruh Tani/pekebun</t>
  </si>
  <si>
    <t>Viani Wiastri lestari</t>
  </si>
  <si>
    <t>Adam Gibran Al-Ghazali</t>
  </si>
  <si>
    <t>520101 0203160001</t>
  </si>
  <si>
    <t>520101 1301940002</t>
  </si>
  <si>
    <t>520113 6712940001</t>
  </si>
  <si>
    <t>520101 1204160002</t>
  </si>
  <si>
    <t>SUMBAWA BESAR</t>
  </si>
  <si>
    <t>Buruh Tani / Perkebunan</t>
  </si>
  <si>
    <t>520101 2705110416</t>
  </si>
  <si>
    <t>520101 0503084215</t>
  </si>
  <si>
    <t>H. M. Yusuf</t>
  </si>
  <si>
    <t>Mauliatun Nuran</t>
  </si>
  <si>
    <t>Rahma Indah Pertiwi</t>
  </si>
  <si>
    <t>520101 0107560077</t>
  </si>
  <si>
    <t>520101 4107750044</t>
  </si>
  <si>
    <t>520101 4107060244</t>
  </si>
  <si>
    <t>520101 6312170004</t>
  </si>
  <si>
    <t>MESANGGOK</t>
  </si>
  <si>
    <t>Petani / Pekebun</t>
  </si>
  <si>
    <t>DAREK</t>
  </si>
  <si>
    <t>520101 2705111587</t>
  </si>
  <si>
    <t>520101 0609120084</t>
  </si>
  <si>
    <t>520101 6505730001</t>
  </si>
  <si>
    <t>520101 0503083232</t>
  </si>
  <si>
    <t>520101 0107610118</t>
  </si>
  <si>
    <t>520101 4107710106</t>
  </si>
  <si>
    <t>520101 5505040002</t>
  </si>
  <si>
    <t>520101 2705111432</t>
  </si>
  <si>
    <t>Miftahurrahma</t>
  </si>
  <si>
    <t>Fatmala Sholeha</t>
  </si>
  <si>
    <t>520101 0107690408</t>
  </si>
  <si>
    <t>520101 6909720001</t>
  </si>
  <si>
    <t>520101 2006920007</t>
  </si>
  <si>
    <t>520101 5010970003</t>
  </si>
  <si>
    <t>520101 0503083127</t>
  </si>
  <si>
    <t>H. Abdul Hamid</t>
  </si>
  <si>
    <t>M. Ibrahim Halillah</t>
  </si>
  <si>
    <t>Samsul Aripin</t>
  </si>
  <si>
    <t>520101 0107730240</t>
  </si>
  <si>
    <t>520101 4808700001</t>
  </si>
  <si>
    <t>520101 0107990172</t>
  </si>
  <si>
    <t>520101 4207020001</t>
  </si>
  <si>
    <t>520101 2312090003</t>
  </si>
  <si>
    <t>520101 4806120006</t>
  </si>
  <si>
    <t>DASAN GERES TENGAH</t>
  </si>
  <si>
    <t>520101 0503083216</t>
  </si>
  <si>
    <t>520101 2202180002</t>
  </si>
  <si>
    <t>M. Nabil Al-Aziz</t>
  </si>
  <si>
    <t>520205 6504950002</t>
  </si>
  <si>
    <t>520101 1907180001</t>
  </si>
  <si>
    <t>PENUJAK</t>
  </si>
  <si>
    <t>Belum / Tidak Bekerja</t>
  </si>
  <si>
    <t>Nomor KK</t>
  </si>
  <si>
    <t>520101 050308 3240</t>
  </si>
  <si>
    <t>Paoziah</t>
  </si>
  <si>
    <t>520101 0107700314</t>
  </si>
  <si>
    <t>520101 4107730297</t>
  </si>
  <si>
    <t>520101 1606940001</t>
  </si>
  <si>
    <t>520101 4111910001</t>
  </si>
  <si>
    <t>Khairil Aprianto</t>
  </si>
  <si>
    <t>Sa Yah</t>
  </si>
  <si>
    <t>520101 0503083066</t>
  </si>
  <si>
    <t>520101 0107800428</t>
  </si>
  <si>
    <t>520101 2812070001</t>
  </si>
  <si>
    <t>520101 0503084198</t>
  </si>
  <si>
    <t>Minah</t>
  </si>
  <si>
    <t>520101 0107650210</t>
  </si>
  <si>
    <t>520101 4107680314</t>
  </si>
  <si>
    <t>520101 7112390013</t>
  </si>
  <si>
    <t>520101 0503084147</t>
  </si>
  <si>
    <t>Syafii</t>
  </si>
  <si>
    <t>Dewi Apriani</t>
  </si>
  <si>
    <t>Harif Gunawan</t>
  </si>
  <si>
    <t>520101 0107700320</t>
  </si>
  <si>
    <t>520101 4107730299</t>
  </si>
  <si>
    <t>520101 5804940001</t>
  </si>
  <si>
    <t>520101 0106050002</t>
  </si>
  <si>
    <t>520101 2705111793</t>
  </si>
  <si>
    <t>Herjan</t>
  </si>
  <si>
    <t>Muhamat Roni</t>
  </si>
  <si>
    <t>Aniza Amylia</t>
  </si>
  <si>
    <t>520101 0107700567</t>
  </si>
  <si>
    <t>520101 4107750586</t>
  </si>
  <si>
    <t>520101 1005990002</t>
  </si>
  <si>
    <t>520101 6505130002</t>
  </si>
  <si>
    <t>520101 0503083212</t>
  </si>
  <si>
    <t>520101 0107660125</t>
  </si>
  <si>
    <t>520101 4107720480</t>
  </si>
  <si>
    <t>520101 4510030001</t>
  </si>
  <si>
    <t>520101 0702100002</t>
  </si>
  <si>
    <t>520101 2705111239</t>
  </si>
  <si>
    <t>M. Sadli</t>
  </si>
  <si>
    <t>520101 0101650002</t>
  </si>
  <si>
    <t>520101 4107600419</t>
  </si>
  <si>
    <t>520101 0107980367</t>
  </si>
  <si>
    <t>520101 5310120004</t>
  </si>
  <si>
    <t>520101 0503082499</t>
  </si>
  <si>
    <t>Salemah</t>
  </si>
  <si>
    <t>520101 5107010001</t>
  </si>
  <si>
    <t>520101 7112660002</t>
  </si>
  <si>
    <t>520101 3121570002</t>
  </si>
  <si>
    <t>LEMOKEK</t>
  </si>
  <si>
    <t>Muhammad 'Athoullah Bukhari</t>
  </si>
  <si>
    <t>520101 1209170002</t>
  </si>
  <si>
    <t>rt 4</t>
  </si>
  <si>
    <t>520101 2606130001</t>
  </si>
  <si>
    <t>Mastur Juaini</t>
  </si>
  <si>
    <t>Musitah</t>
  </si>
  <si>
    <t>Zayyan Faiq Juaini</t>
  </si>
  <si>
    <t>520101 1202140002</t>
  </si>
  <si>
    <t>527102 5205790003</t>
  </si>
  <si>
    <t>520101 0708740002</t>
  </si>
  <si>
    <t>PAGUTAN PRESAK BARAT</t>
  </si>
  <si>
    <t>520101 3009131009</t>
  </si>
  <si>
    <t>Ida Sri Darmawati</t>
  </si>
  <si>
    <t>SAPE BIMA</t>
  </si>
  <si>
    <t>DIPLOMA I/II</t>
  </si>
  <si>
    <t>Pegawai Negeri Sipil</t>
  </si>
  <si>
    <t>520101 3110160029</t>
  </si>
  <si>
    <t>LUWUK</t>
  </si>
  <si>
    <t>520101 0503082524</t>
  </si>
  <si>
    <t>520101 1008090020</t>
  </si>
  <si>
    <t>Mauizah</t>
  </si>
  <si>
    <t>520101 4801090001</t>
  </si>
  <si>
    <t>CAKRANEGARA</t>
  </si>
  <si>
    <t>Marlianis Shalihah</t>
  </si>
  <si>
    <t>rt 1</t>
  </si>
  <si>
    <t>Saleh Sayuthi, S.Pd</t>
  </si>
  <si>
    <t>520101 0503083290</t>
  </si>
  <si>
    <t>520101 0107560095</t>
  </si>
  <si>
    <t>520101 4107620283</t>
  </si>
  <si>
    <t>AKADEMI/DIPLOMA III/SERJANA MUDA</t>
  </si>
  <si>
    <t>520101 0503083313</t>
  </si>
  <si>
    <t>520101 2804070001</t>
  </si>
  <si>
    <t>520101 4405740001</t>
  </si>
  <si>
    <t>520101 0503083621</t>
  </si>
  <si>
    <t>Muhamad Firman</t>
  </si>
  <si>
    <t>Lukman Nulhakim</t>
  </si>
  <si>
    <t>520101 4107770652</t>
  </si>
  <si>
    <t>BABAKAN</t>
  </si>
  <si>
    <t>520101 2705111480</t>
  </si>
  <si>
    <t>Sifakyah</t>
  </si>
  <si>
    <t>Muhammad Rizki Aditya</t>
  </si>
  <si>
    <t>520101 5902850001</t>
  </si>
  <si>
    <t>520101 0107790041</t>
  </si>
  <si>
    <t>520101 2705111429</t>
  </si>
  <si>
    <t>520101 0107500318</t>
  </si>
  <si>
    <t>520101 4107600427</t>
  </si>
  <si>
    <t>520101 2705111427</t>
  </si>
  <si>
    <t>Sarfini Darmayani</t>
  </si>
  <si>
    <t>520101 0107700565</t>
  </si>
  <si>
    <t>520101 4407850001</t>
  </si>
  <si>
    <t>520101 6305080002</t>
  </si>
  <si>
    <t>Husnul Amar Yaqin</t>
  </si>
  <si>
    <t>520101 0503083586</t>
  </si>
  <si>
    <t>520101 4112740001</t>
  </si>
  <si>
    <t>520101 5801000001</t>
  </si>
  <si>
    <t>Pelajar / Mahasiswa</t>
  </si>
  <si>
    <t>520101 0712090058</t>
  </si>
  <si>
    <t>520101 4804850002</t>
  </si>
  <si>
    <t>520101 6107070002</t>
  </si>
  <si>
    <t>520101 1705150002</t>
  </si>
  <si>
    <t>520101 7112640005</t>
  </si>
  <si>
    <t>BAGU - GERUNG</t>
  </si>
  <si>
    <t>Muhammad Daffa Waiz</t>
  </si>
  <si>
    <t>520101 2102190002</t>
  </si>
  <si>
    <t>520101 1107170009</t>
  </si>
  <si>
    <t>520101 0107440049</t>
  </si>
  <si>
    <t>M Alpatih Islahul Akbar</t>
  </si>
  <si>
    <t>520101 0609120068</t>
  </si>
  <si>
    <t>520101 0109710002</t>
  </si>
  <si>
    <t>520101 6312800001</t>
  </si>
  <si>
    <t>520101 3003000003</t>
  </si>
  <si>
    <t>520101 2502050001</t>
  </si>
  <si>
    <t>520101 6904110008</t>
  </si>
  <si>
    <t>PRINGGASELA</t>
  </si>
  <si>
    <t>Karyawan BUMN</t>
  </si>
  <si>
    <t>Najwa Huwaida Sungkar</t>
  </si>
  <si>
    <t>520101 0503083534</t>
  </si>
  <si>
    <t>520101 0107730244</t>
  </si>
  <si>
    <t>520101 4107740195</t>
  </si>
  <si>
    <t>520101 2402020002</t>
  </si>
  <si>
    <t>520101 5302060001</t>
  </si>
  <si>
    <t>520101 2102180005</t>
  </si>
  <si>
    <t>520101 3112400043</t>
  </si>
  <si>
    <t>520101 4107450125</t>
  </si>
  <si>
    <t>Yusril</t>
  </si>
  <si>
    <t>520101 2211110026</t>
  </si>
  <si>
    <t>520101 1008060003</t>
  </si>
  <si>
    <t>520101 1009120045</t>
  </si>
  <si>
    <t>520101 0107700499</t>
  </si>
  <si>
    <t>520101 5212730002</t>
  </si>
  <si>
    <t>520101 3112900031</t>
  </si>
  <si>
    <t>520101 0808070003</t>
  </si>
  <si>
    <t>520101 0302160004</t>
  </si>
  <si>
    <t>Muhammad Surya Ramdan</t>
  </si>
  <si>
    <t>520101 0101990002</t>
  </si>
  <si>
    <t>520101 0207150017</t>
  </si>
  <si>
    <t>520101 4106980001</t>
  </si>
  <si>
    <t>520101 6601150003</t>
  </si>
  <si>
    <t>TANJUNG GUNUNG</t>
  </si>
  <si>
    <t>520101 0707150003</t>
  </si>
  <si>
    <t>Muhammad Ariya Rizki</t>
  </si>
  <si>
    <t>520101 1111810001</t>
  </si>
  <si>
    <t>520101 4406830002</t>
  </si>
  <si>
    <t>520101 1903100002</t>
  </si>
  <si>
    <t>KEMBANG KERANG</t>
  </si>
  <si>
    <t>Waki'ah</t>
  </si>
  <si>
    <t>DzakIra Talita Zahra</t>
  </si>
  <si>
    <t>520101 0302141014</t>
  </si>
  <si>
    <t>SIUNG</t>
  </si>
  <si>
    <t>520101 2409120030</t>
  </si>
  <si>
    <t>520101 3112500137</t>
  </si>
  <si>
    <t>520101 4107600470</t>
  </si>
  <si>
    <t>520101 1009120044</t>
  </si>
  <si>
    <t>Musleh</t>
  </si>
  <si>
    <t>Sapariah</t>
  </si>
  <si>
    <t>520101 0304680002</t>
  </si>
  <si>
    <t>520101 4510770003</t>
  </si>
  <si>
    <t>520101 5506690001</t>
  </si>
  <si>
    <t>Muhammad Rusli</t>
  </si>
  <si>
    <t>520101 2601110018</t>
  </si>
  <si>
    <t>520101 7112700078</t>
  </si>
  <si>
    <t>520101 1002900003</t>
  </si>
  <si>
    <t>520101 0709120001</t>
  </si>
  <si>
    <t>Husni</t>
  </si>
  <si>
    <t>Munawarah</t>
  </si>
  <si>
    <t>Suci Alaessa Anugrah</t>
  </si>
  <si>
    <t>520101 3112770191</t>
  </si>
  <si>
    <t>520101 7112850257</t>
  </si>
  <si>
    <t>520101 6408090002</t>
  </si>
  <si>
    <t>KAYU PUTIH</t>
  </si>
  <si>
    <t>520101 0503082456</t>
  </si>
  <si>
    <t>520101 0107650231</t>
  </si>
  <si>
    <t>520101 5010971001</t>
  </si>
  <si>
    <t>520101 3103110023</t>
  </si>
  <si>
    <t>BEROPO</t>
  </si>
  <si>
    <t>JEMBATAN KEMBAR</t>
  </si>
  <si>
    <t>520101 0503082417</t>
  </si>
  <si>
    <t>520101 2010820003</t>
  </si>
  <si>
    <t>520101 6906070001</t>
  </si>
  <si>
    <t>520101 0909120049</t>
  </si>
  <si>
    <t>Ghaitza Alina Olivia</t>
  </si>
  <si>
    <t>520101 4611180001</t>
  </si>
  <si>
    <t>DASAN DIREK</t>
  </si>
  <si>
    <t>DASAN BARU</t>
  </si>
  <si>
    <t>520101 0609120062</t>
  </si>
  <si>
    <t>520101 0503084063</t>
  </si>
  <si>
    <t>Ruka'yah</t>
  </si>
  <si>
    <t>Sopir</t>
  </si>
  <si>
    <t>Jumlah Penduduk</t>
  </si>
  <si>
    <t>Total</t>
  </si>
  <si>
    <t>Jumlah KK</t>
  </si>
  <si>
    <t>Jumlah Duda / Janda</t>
  </si>
  <si>
    <t>Jumlah Lansia ( =&gt;60 )</t>
  </si>
  <si>
    <t>RT 1</t>
  </si>
  <si>
    <t>RT 2</t>
  </si>
  <si>
    <t>RT 4</t>
  </si>
  <si>
    <t>JUMLAH TOTAL</t>
  </si>
  <si>
    <t>DATA INDUK PENDUDUK KELURAHAN DASAN GERES</t>
  </si>
  <si>
    <t>TAHUN 2019</t>
  </si>
  <si>
    <t>Nama Lengkap/ Panggilan</t>
  </si>
  <si>
    <t>LINGKUNGAN DASAN GERES SELATAN</t>
  </si>
  <si>
    <t>LINGKUNGAN DASN GERES SELATAN</t>
  </si>
  <si>
    <t>RT 04</t>
  </si>
  <si>
    <t>RT 01</t>
  </si>
  <si>
    <t>RT 02</t>
  </si>
  <si>
    <t>RT 03</t>
  </si>
  <si>
    <t>Mengetahui</t>
  </si>
  <si>
    <t>Lurah Dasan Geres</t>
  </si>
  <si>
    <t>Kepala Lingkungan</t>
  </si>
  <si>
    <t>Hulaifi, S.H.</t>
  </si>
  <si>
    <t>NIP. 19841231 201101 1 023</t>
  </si>
  <si>
    <t>H. M. Maliki</t>
  </si>
  <si>
    <t>520102 7112870150</t>
  </si>
  <si>
    <t>520103 5909560000</t>
  </si>
  <si>
    <t>5202112 401890000</t>
  </si>
  <si>
    <t>REKAP DATA PENDUDUK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</si>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</sst>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21]dd\ mmmm\ yyyy;@"/>
    <numFmt numFmtId="165" formatCode="[$-F800]dddd\,\ mmmm\ dd\,\ yyyy"/>
  </numFmts>
  <fonts count="7" x14ac:knownFonts="1">
    <font>
      <sz val="11"/>
      <color theme="1"/>
      <name val="Calibri"/>
      <family val="2"/>
      <charset val="1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2" fillId="2" borderId="5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0" fillId="3" borderId="0" xfId="0" applyFill="1"/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 wrapText="1"/>
    </xf>
    <xf numFmtId="165" fontId="1" fillId="3" borderId="5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65" fontId="2" fillId="2" borderId="5" xfId="0" applyNumberFormat="1" applyFont="1" applyFill="1" applyBorder="1" applyAlignment="1">
      <alignment vertical="center"/>
    </xf>
    <xf numFmtId="0" fontId="1" fillId="0" borderId="13" xfId="0" applyFont="1" applyBorder="1" applyAlignment="1">
      <alignment vertical="center" wrapText="1"/>
    </xf>
    <xf numFmtId="0" fontId="2" fillId="2" borderId="1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0" fontId="3" fillId="3" borderId="0" xfId="0" applyFont="1" applyFill="1"/>
    <xf numFmtId="0" fontId="3" fillId="3" borderId="15" xfId="0" applyFont="1" applyFill="1" applyBorder="1"/>
    <xf numFmtId="0" fontId="3" fillId="3" borderId="5" xfId="0" applyFont="1" applyFill="1" applyBorder="1"/>
    <xf numFmtId="0" fontId="3" fillId="3" borderId="13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0" xfId="0" applyFont="1" applyFill="1"/>
    <xf numFmtId="0" fontId="1" fillId="0" borderId="0" xfId="0" applyFont="1"/>
    <xf numFmtId="0" fontId="1" fillId="3" borderId="0" xfId="0" applyFont="1" applyFill="1"/>
    <xf numFmtId="0" fontId="1" fillId="3" borderId="5" xfId="0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0" fontId="1" fillId="0" borderId="5" xfId="0" applyFont="1" applyFill="1" applyBorder="1"/>
    <xf numFmtId="0" fontId="1" fillId="0" borderId="10" xfId="0" applyFont="1" applyFill="1" applyBorder="1"/>
    <xf numFmtId="0" fontId="1" fillId="0" borderId="13" xfId="0" applyFont="1" applyFill="1" applyBorder="1"/>
    <xf numFmtId="0" fontId="1" fillId="0" borderId="12" xfId="0" applyFont="1" applyFill="1" applyBorder="1"/>
    <xf numFmtId="0" fontId="1" fillId="0" borderId="16" xfId="0" applyFont="1" applyFill="1" applyBorder="1"/>
    <xf numFmtId="0" fontId="1" fillId="0" borderId="0" xfId="0" applyFont="1" applyFill="1" applyBorder="1"/>
    <xf numFmtId="0" fontId="1" fillId="0" borderId="0" xfId="0" applyFont="1" applyFill="1" applyAlignment="1"/>
    <xf numFmtId="0" fontId="0" fillId="0" borderId="0" xfId="0" applyAlignment="1"/>
    <xf numFmtId="0" fontId="1" fillId="0" borderId="0" xfId="0" applyFont="1" applyAlignment="1"/>
    <xf numFmtId="0" fontId="1" fillId="0" borderId="5" xfId="0" applyFont="1" applyFill="1" applyBorder="1" applyAlignment="1">
      <alignment horizontal="center"/>
    </xf>
    <xf numFmtId="3" fontId="0" fillId="0" borderId="0" xfId="0" applyNumberFormat="1"/>
    <xf numFmtId="3" fontId="3" fillId="0" borderId="5" xfId="0" applyNumberFormat="1" applyFont="1" applyBorder="1" applyAlignment="1">
      <alignment horizontal="center" vertical="center"/>
    </xf>
    <xf numFmtId="0" fontId="3" fillId="0" borderId="0" xfId="0" applyFont="1" applyFill="1"/>
    <xf numFmtId="0" fontId="3" fillId="0" borderId="0" xfId="0" applyFont="1"/>
    <xf numFmtId="3" fontId="3" fillId="0" borderId="0" xfId="0" applyNumberFormat="1" applyFont="1"/>
    <xf numFmtId="3" fontId="5" fillId="0" borderId="22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 vertical="center"/>
    </xf>
    <xf numFmtId="3" fontId="3" fillId="0" borderId="12" xfId="0" applyNumberFormat="1" applyFont="1" applyBorder="1" applyAlignment="1">
      <alignment horizontal="center" vertical="center"/>
    </xf>
    <xf numFmtId="3" fontId="5" fillId="0" borderId="2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3" fontId="3" fillId="0" borderId="35" xfId="0" applyNumberFormat="1" applyFont="1" applyBorder="1" applyAlignment="1">
      <alignment horizontal="center" vertical="center"/>
    </xf>
    <xf numFmtId="3" fontId="3" fillId="0" borderId="36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3" fontId="5" fillId="0" borderId="39" xfId="0" applyNumberFormat="1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3" fontId="3" fillId="0" borderId="41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 vertical="center"/>
    </xf>
    <xf numFmtId="3" fontId="3" fillId="0" borderId="42" xfId="0" applyNumberFormat="1" applyFont="1" applyBorder="1" applyAlignment="1">
      <alignment horizontal="center" vertical="center"/>
    </xf>
    <xf numFmtId="3" fontId="5" fillId="0" borderId="43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3" fontId="3" fillId="0" borderId="45" xfId="0" applyNumberFormat="1" applyFont="1" applyBorder="1" applyAlignment="1">
      <alignment horizontal="center" vertical="center"/>
    </xf>
    <xf numFmtId="3" fontId="3" fillId="0" borderId="46" xfId="0" applyNumberFormat="1" applyFont="1" applyBorder="1" applyAlignment="1">
      <alignment horizontal="center" vertical="center"/>
    </xf>
    <xf numFmtId="3" fontId="6" fillId="0" borderId="47" xfId="0" applyNumberFormat="1" applyFont="1" applyBorder="1" applyAlignment="1">
      <alignment horizontal="center" vertical="center"/>
    </xf>
    <xf numFmtId="3" fontId="3" fillId="0" borderId="48" xfId="0" applyNumberFormat="1" applyFont="1" applyBorder="1" applyAlignment="1">
      <alignment horizontal="center" vertical="center"/>
    </xf>
    <xf numFmtId="3" fontId="6" fillId="0" borderId="49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164" fontId="1" fillId="0" borderId="5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wrapText="1"/>
    </xf>
    <xf numFmtId="164" fontId="1" fillId="0" borderId="5" xfId="0" applyNumberFormat="1" applyFont="1" applyFill="1" applyBorder="1" applyAlignment="1">
      <alignment horizontal="center"/>
    </xf>
    <xf numFmtId="0" fontId="1" fillId="0" borderId="5" xfId="0" applyFont="1" applyFill="1" applyBorder="1" applyAlignment="1"/>
    <xf numFmtId="164" fontId="1" fillId="0" borderId="5" xfId="0" applyNumberFormat="1" applyFont="1" applyFill="1" applyBorder="1" applyAlignment="1"/>
    <xf numFmtId="0" fontId="1" fillId="0" borderId="5" xfId="0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164" fontId="1" fillId="0" borderId="0" xfId="0" applyNumberFormat="1" applyFont="1" applyFill="1" applyAlignment="1"/>
    <xf numFmtId="0" fontId="2" fillId="4" borderId="5" xfId="0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" fontId="2" fillId="4" borderId="5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164" fontId="1" fillId="0" borderId="0" xfId="0" applyNumberFormat="1" applyFont="1" applyFill="1" applyBorder="1" applyAlignment="1"/>
    <xf numFmtId="0" fontId="2" fillId="4" borderId="1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5" fillId="0" borderId="0" xfId="0" applyFont="1" applyFill="1" applyBorder="1" applyAlignment="1">
      <alignment horizontal="left" vertical="center"/>
    </xf>
    <xf numFmtId="164" fontId="5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Border="1"/>
    <xf numFmtId="0" fontId="3" fillId="0" borderId="0" xfId="0" applyFont="1" applyBorder="1"/>
    <xf numFmtId="164" fontId="1" fillId="0" borderId="0" xfId="0" applyNumberFormat="1" applyFont="1" applyFill="1" applyAlignment="1">
      <alignment horizontal="center"/>
    </xf>
    <xf numFmtId="0" fontId="6" fillId="0" borderId="44" xfId="0" applyFont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3" fontId="5" fillId="0" borderId="28" xfId="0" applyNumberFormat="1" applyFont="1" applyBorder="1" applyAlignment="1">
      <alignment horizontal="center" vertical="center"/>
    </xf>
    <xf numFmtId="3" fontId="5" fillId="0" borderId="29" xfId="0" applyNumberFormat="1" applyFont="1" applyBorder="1" applyAlignment="1">
      <alignment horizontal="center" vertical="center"/>
    </xf>
    <xf numFmtId="3" fontId="5" fillId="0" borderId="34" xfId="0" applyNumberFormat="1" applyFont="1" applyBorder="1" applyAlignment="1">
      <alignment horizontal="center" vertical="center"/>
    </xf>
    <xf numFmtId="3" fontId="5" fillId="0" borderId="27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3" fontId="5" fillId="0" borderId="26" xfId="0" applyNumberFormat="1" applyFont="1" applyBorder="1" applyAlignment="1">
      <alignment horizontal="center" vertical="center"/>
    </xf>
    <xf numFmtId="3" fontId="5" fillId="0" borderId="37" xfId="0" applyNumberFormat="1" applyFont="1" applyBorder="1" applyAlignment="1">
      <alignment horizontal="center" vertical="center"/>
    </xf>
    <xf numFmtId="3" fontId="5" fillId="0" borderId="38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5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1" fontId="2" fillId="4" borderId="5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" fontId="2" fillId="2" borderId="5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9"/>
  <sheetViews>
    <sheetView workbookViewId="0">
      <selection activeCell="H16" sqref="H16"/>
    </sheetView>
  </sheetViews>
  <sheetFormatPr defaultRowHeight="15" x14ac:dyDescent="0.25"/>
  <cols>
    <col min="2" max="2" width="19.140625" bestFit="1" customWidth="1"/>
    <col min="3" max="8" width="9.140625" style="51"/>
    <col min="9" max="10" width="10.7109375" style="51" customWidth="1"/>
    <col min="11" max="11" width="9.140625" style="51"/>
    <col min="12" max="13" width="11.7109375" style="51" customWidth="1"/>
    <col min="14" max="15" width="9.140625" style="51"/>
  </cols>
  <sheetData>
    <row r="1" spans="2:15" s="54" customFormat="1" ht="15.75" thickBot="1" x14ac:dyDescent="0.3">
      <c r="B1" s="119" t="s">
        <v>1674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1"/>
      <c r="O1" s="55"/>
    </row>
    <row r="2" spans="2:15" s="54" customFormat="1" ht="15.75" thickBot="1" x14ac:dyDescent="0.3">
      <c r="B2" s="122" t="s">
        <v>1659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4"/>
      <c r="O2" s="55"/>
    </row>
    <row r="3" spans="2:15" ht="15.75" x14ac:dyDescent="0.25">
      <c r="B3" s="129" t="s">
        <v>1675</v>
      </c>
      <c r="C3" s="131" t="s">
        <v>1647</v>
      </c>
      <c r="D3" s="128"/>
      <c r="E3" s="125" t="s">
        <v>1648</v>
      </c>
      <c r="F3" s="127" t="s">
        <v>1649</v>
      </c>
      <c r="G3" s="128"/>
      <c r="H3" s="132" t="s">
        <v>1648</v>
      </c>
      <c r="I3" s="131" t="s">
        <v>1650</v>
      </c>
      <c r="J3" s="128"/>
      <c r="K3" s="125" t="s">
        <v>1648</v>
      </c>
      <c r="L3" s="127" t="s">
        <v>1651</v>
      </c>
      <c r="M3" s="128"/>
      <c r="N3" s="125" t="s">
        <v>1648</v>
      </c>
    </row>
    <row r="4" spans="2:15" ht="15.75" thickBot="1" x14ac:dyDescent="0.3">
      <c r="B4" s="130"/>
      <c r="C4" s="65" t="s">
        <v>1</v>
      </c>
      <c r="D4" s="57" t="s">
        <v>9</v>
      </c>
      <c r="E4" s="126"/>
      <c r="F4" s="62" t="s">
        <v>1</v>
      </c>
      <c r="G4" s="57" t="s">
        <v>9</v>
      </c>
      <c r="H4" s="133"/>
      <c r="I4" s="65" t="s">
        <v>1</v>
      </c>
      <c r="J4" s="57" t="s">
        <v>9</v>
      </c>
      <c r="K4" s="126"/>
      <c r="L4" s="62" t="s">
        <v>1</v>
      </c>
      <c r="M4" s="57" t="s">
        <v>9</v>
      </c>
      <c r="N4" s="126"/>
    </row>
    <row r="5" spans="2:15" ht="15.75" x14ac:dyDescent="0.25">
      <c r="B5" s="60" t="s">
        <v>1652</v>
      </c>
      <c r="C5" s="66">
        <f>COUNTIF('RT 01'!$H$8:$H$193,"L")</f>
        <v>92</v>
      </c>
      <c r="D5" s="58">
        <f>COUNTIF('RT 01'!$H$8:$H$193,"P")</f>
        <v>94</v>
      </c>
      <c r="E5" s="59">
        <f>SUM(C5:D5)</f>
        <v>186</v>
      </c>
      <c r="F5" s="63">
        <f>COUNTIFS('RT 01'!$F$8:$F$193,"KK",'RT 01'!$H$8:$H$193,"L")</f>
        <v>45</v>
      </c>
      <c r="G5" s="58">
        <f>COUNTIFS('RT 01'!$F$8:$F$193,"KK",'RT 01'!$H$8:$H$193,"P")</f>
        <v>8</v>
      </c>
      <c r="H5" s="68">
        <f>SUM(F5:G5)</f>
        <v>53</v>
      </c>
      <c r="I5" s="66">
        <f>COUNTIFS('RT 01'!$I$8:$I$193,"Cerai Mati",'RT 01'!$H$8:$H$193,"L")+COUNTIFS('RT 01'!$I$8:$I$193,"Cerai Hidup",'RT 01'!$H$8:$H$193,"L")+COUNTIFS('RT 01'!$I$8:$I$193,"Duda",'RT 01'!$H$8:$H$193,"L")</f>
        <v>5</v>
      </c>
      <c r="J5" s="58">
        <f>COUNTIFS('RT 01'!$I$8:$I$193,"Cerai Mati",'RT 01'!$H$8:$H$193,"P")+COUNTIFS('RT 01'!$I$8:$I$193,"Cerai Hidup",'RT 01'!$H$8:$H$193,"P")+COUNTIFS('RT 01'!$I$8:$I$193,"Janda",'RT 01'!$H$8:$H$193,"P")</f>
        <v>12</v>
      </c>
      <c r="K5" s="59">
        <f>SUM(I5:J5)</f>
        <v>17</v>
      </c>
      <c r="L5" s="63">
        <v>10</v>
      </c>
      <c r="M5" s="58">
        <v>10</v>
      </c>
      <c r="N5" s="59">
        <f>SUM(L5:M5)</f>
        <v>20</v>
      </c>
    </row>
    <row r="6" spans="2:15" ht="15.75" x14ac:dyDescent="0.25">
      <c r="B6" s="61" t="s">
        <v>1653</v>
      </c>
      <c r="C6" s="67">
        <f>COUNTIF('RT 02'!$H$8:$H$160,"L")</f>
        <v>76</v>
      </c>
      <c r="D6" s="52">
        <f>COUNTIF('RT 02'!$H$8:$H$160,"P")</f>
        <v>77</v>
      </c>
      <c r="E6" s="56">
        <f t="shared" ref="E6:E8" si="0">SUM(C6:D6)</f>
        <v>153</v>
      </c>
      <c r="F6" s="64">
        <f>COUNTIFS('RT 02'!$F$8:$F$160,"KK",'RT 02'!$H$8:$H$160,"L")</f>
        <v>36</v>
      </c>
      <c r="G6" s="52">
        <f>COUNTIFS('RT 02'!$F$8:$F$160,"KK",'RT 02'!$H$8:$H$160,"P")</f>
        <v>13</v>
      </c>
      <c r="H6" s="69">
        <f t="shared" ref="H6:H8" si="1">SUM(F6:G6)</f>
        <v>49</v>
      </c>
      <c r="I6" s="67">
        <f>COUNTIFS('RT 02'!$I$8:$I$160,"Cerai Mati",'RT 02'!$H$8:$H$160,"L")+COUNTIFS('RT 02'!$I$8:$I$160,"Cerai Hidup",'RT 02'!$H$8:$H$160,"L")+COUNTIFS('RT 02'!$I$8:$I$160,"Duda",'RT 02'!$H$8:$H$160,"L")</f>
        <v>3</v>
      </c>
      <c r="J6" s="52">
        <f>COUNTIFS('RT 02'!$I$8:$I$160,"Cerai Mati",'RT 02'!$H$8:$H$160,"P")+COUNTIFS('RT 02'!$I$8:$I$160,"Cerai Hidup",'RT 02'!$H$8:$H$160,"P")+COUNTIFS('RT 02'!$I$8:$I$160,"Janda",'RT 02'!$H$8:$H$160,"P")</f>
        <v>16</v>
      </c>
      <c r="K6" s="56">
        <f t="shared" ref="K6:K8" si="2">SUM(I6:J6)</f>
        <v>19</v>
      </c>
      <c r="L6" s="64">
        <v>5</v>
      </c>
      <c r="M6" s="52">
        <v>13</v>
      </c>
      <c r="N6" s="56">
        <f t="shared" ref="N6:N8" si="3">SUM(L6:M6)</f>
        <v>18</v>
      </c>
    </row>
    <row r="7" spans="2:15" ht="15.75" x14ac:dyDescent="0.25">
      <c r="B7" s="61" t="s">
        <v>1217</v>
      </c>
      <c r="C7" s="67">
        <f>COUNTIF('RT 03'!$H$8:$H$183,"L")</f>
        <v>86</v>
      </c>
      <c r="D7" s="52">
        <f>COUNTIF('RT 03'!$H$8:$H$183,"P")</f>
        <v>90</v>
      </c>
      <c r="E7" s="56">
        <f t="shared" si="0"/>
        <v>176</v>
      </c>
      <c r="F7" s="64">
        <f>COUNTIFS('RT 03'!$F$8:$F$183,"KK",'RT 03'!$H$8:$H$183,"L")</f>
        <v>46</v>
      </c>
      <c r="G7" s="52">
        <f>COUNTIFS('RT 03'!$F$8:$F$183,"KK",'RT 03'!$H$8:$H$183,"P")</f>
        <v>8</v>
      </c>
      <c r="H7" s="69">
        <f t="shared" si="1"/>
        <v>54</v>
      </c>
      <c r="I7" s="67">
        <f>COUNTIFS('RT 03'!$I$8:$I$183,"Cerai Mati",'RT 03'!$H$8:$H$183,"L")+COUNTIFS('RT 03'!$I$8:$I$183,"Cerai Hidup",'RT 03'!$H$8:$H$183,"L")+COUNTIFS('RT 03'!$I$8:$I$183,"Duda",'RT 03'!$H$8:$H$183,"L")</f>
        <v>4</v>
      </c>
      <c r="J7" s="52">
        <f>COUNTIFS('RT 03'!$I$8:$I$183,"Cerai Mati",'RT 03'!$H$8:$H$183,"P")+COUNTIFS('RT 03'!$I$8:$I$183,"Cerai Hidup",'RT 03'!$H$8:$H$183,"P")+COUNTIFS('RT 03'!$I$8:$I$183,"Janda",'RT 03'!$H$8:$H$183,"P")</f>
        <v>9</v>
      </c>
      <c r="K7" s="56">
        <f t="shared" si="2"/>
        <v>13</v>
      </c>
      <c r="L7" s="64">
        <v>11</v>
      </c>
      <c r="M7" s="52">
        <v>11</v>
      </c>
      <c r="N7" s="56">
        <f t="shared" si="3"/>
        <v>22</v>
      </c>
    </row>
    <row r="8" spans="2:15" ht="16.5" thickBot="1" x14ac:dyDescent="0.3">
      <c r="B8" s="70" t="s">
        <v>1654</v>
      </c>
      <c r="C8" s="71">
        <f>COUNTIF('RT 04'!$H$8:$H$258,"L")</f>
        <v>120</v>
      </c>
      <c r="D8" s="72">
        <f>COUNTIF('RT 04'!$H$8:$H$258,"P")</f>
        <v>131</v>
      </c>
      <c r="E8" s="73">
        <f t="shared" si="0"/>
        <v>251</v>
      </c>
      <c r="F8" s="74">
        <f>COUNTIFS('RT 04'!$F$8:$F$258,"KK",'RT 04'!$H$8:$H$258,"L")</f>
        <v>58</v>
      </c>
      <c r="G8" s="72">
        <f>COUNTIFS('RT 04'!$F$8:$F$258,"KK",'RT 04'!$H$8:$H$258,"P")</f>
        <v>11</v>
      </c>
      <c r="H8" s="75">
        <f t="shared" si="1"/>
        <v>69</v>
      </c>
      <c r="I8" s="71">
        <f>COUNTIFS('RT 04'!$I$8:$I$258,"Cerai Mati",'RT 04'!$H$8:$H$258,"L")+COUNTIFS('RT 04'!$I$8:$I$258,"Cerai Hidup",'RT 04'!$H$8:$H$258,"L")+COUNTIFS('RT 04'!$I$8:$I$258,"Duda",'RT 04'!$H$8:$H$258,"L")</f>
        <v>1</v>
      </c>
      <c r="J8" s="72">
        <f>COUNTIFS('RT 04'!$I$8:$I$258,"Cerai Mati",'RT 04'!$H$8:$H$258,"P")+COUNTIFS('RT 04'!$I$8:$I$258,"Cerai Hidup",'RT 04'!$H$8:$H$258,"P")+COUNTIFS('RT 04'!$I$8:$I$258,"Janda",'RT 04'!$H$8:$H$258,"P")</f>
        <v>13</v>
      </c>
      <c r="K8" s="73">
        <f t="shared" si="2"/>
        <v>14</v>
      </c>
      <c r="L8" s="74">
        <v>10</v>
      </c>
      <c r="M8" s="72">
        <v>18</v>
      </c>
      <c r="N8" s="73">
        <f t="shared" si="3"/>
        <v>28</v>
      </c>
    </row>
    <row r="9" spans="2:15" ht="16.5" thickBot="1" x14ac:dyDescent="0.3">
      <c r="B9" s="76" t="s">
        <v>1655</v>
      </c>
      <c r="C9" s="77">
        <f>SUM(C5:C8)</f>
        <v>374</v>
      </c>
      <c r="D9" s="78">
        <f t="shared" ref="D9:N9" si="4">SUM(D5:D8)</f>
        <v>392</v>
      </c>
      <c r="E9" s="79">
        <f t="shared" si="4"/>
        <v>766</v>
      </c>
      <c r="F9" s="80">
        <f t="shared" si="4"/>
        <v>185</v>
      </c>
      <c r="G9" s="78">
        <f t="shared" si="4"/>
        <v>40</v>
      </c>
      <c r="H9" s="81">
        <f t="shared" si="4"/>
        <v>225</v>
      </c>
      <c r="I9" s="77">
        <f t="shared" si="4"/>
        <v>13</v>
      </c>
      <c r="J9" s="78">
        <f t="shared" si="4"/>
        <v>50</v>
      </c>
      <c r="K9" s="79">
        <f t="shared" si="4"/>
        <v>63</v>
      </c>
      <c r="L9" s="80">
        <f t="shared" si="4"/>
        <v>36</v>
      </c>
      <c r="M9" s="78">
        <f t="shared" si="4"/>
        <v>52</v>
      </c>
      <c r="N9" s="79">
        <f t="shared" si="4"/>
        <v>88</v>
      </c>
    </row>
    <row r="13" spans="2:15" s="54" customFormat="1" x14ac:dyDescent="0.25">
      <c r="C13" s="135" t="s">
        <v>1665</v>
      </c>
      <c r="D13" s="135"/>
      <c r="E13" s="135"/>
      <c r="F13" s="55"/>
      <c r="G13" s="55"/>
      <c r="H13" s="55"/>
      <c r="I13" s="55"/>
      <c r="J13" s="55"/>
      <c r="K13" s="135"/>
      <c r="L13" s="135"/>
      <c r="M13" s="55"/>
      <c r="N13" s="55"/>
    </row>
    <row r="14" spans="2:15" s="54" customFormat="1" x14ac:dyDescent="0.25">
      <c r="C14" s="135" t="s">
        <v>1666</v>
      </c>
      <c r="D14" s="135"/>
      <c r="E14" s="135"/>
      <c r="F14" s="55"/>
      <c r="G14" s="55"/>
      <c r="H14" s="55"/>
      <c r="I14" s="55"/>
      <c r="J14" s="55"/>
      <c r="K14" s="135" t="s">
        <v>1667</v>
      </c>
      <c r="L14" s="135"/>
      <c r="M14" s="55"/>
      <c r="N14" s="55"/>
    </row>
    <row r="15" spans="2:15" s="54" customFormat="1" x14ac:dyDescent="0.25">
      <c r="C15" s="55"/>
      <c r="E15" s="55"/>
      <c r="F15" s="55"/>
      <c r="G15" s="55"/>
      <c r="H15" s="55"/>
      <c r="I15" s="55"/>
      <c r="J15" s="55"/>
      <c r="L15" s="55"/>
      <c r="M15" s="55"/>
      <c r="N15" s="55"/>
    </row>
    <row r="16" spans="2:15" s="54" customFormat="1" x14ac:dyDescent="0.25">
      <c r="C16" s="55"/>
      <c r="E16" s="55"/>
      <c r="F16" s="55"/>
      <c r="G16" s="55"/>
      <c r="H16" s="55"/>
      <c r="I16" s="55"/>
      <c r="J16" s="55"/>
      <c r="L16" s="55"/>
      <c r="M16" s="55"/>
      <c r="N16" s="55"/>
    </row>
    <row r="17" spans="3:14" s="54" customFormat="1" x14ac:dyDescent="0.25">
      <c r="C17" s="55"/>
      <c r="E17" s="55"/>
      <c r="F17" s="55"/>
      <c r="G17" s="55"/>
      <c r="H17" s="55"/>
      <c r="I17" s="55"/>
      <c r="J17" s="55"/>
      <c r="L17" s="55"/>
      <c r="M17" s="55"/>
      <c r="N17" s="55"/>
    </row>
    <row r="18" spans="3:14" s="54" customFormat="1" x14ac:dyDescent="0.25">
      <c r="C18" s="134" t="s">
        <v>1668</v>
      </c>
      <c r="D18" s="134"/>
      <c r="E18" s="134"/>
      <c r="F18" s="55"/>
      <c r="G18" s="55"/>
      <c r="H18" s="55"/>
      <c r="I18" s="55"/>
      <c r="J18" s="55"/>
      <c r="K18" s="134" t="s">
        <v>1670</v>
      </c>
      <c r="L18" s="134"/>
      <c r="M18" s="55"/>
      <c r="N18" s="55"/>
    </row>
    <row r="19" spans="3:14" s="54" customFormat="1" x14ac:dyDescent="0.25">
      <c r="C19" s="134" t="s">
        <v>1669</v>
      </c>
      <c r="D19" s="134"/>
      <c r="E19" s="134"/>
      <c r="F19" s="55"/>
      <c r="G19" s="55"/>
      <c r="H19" s="55"/>
      <c r="I19" s="55"/>
      <c r="J19" s="55"/>
      <c r="K19" s="134"/>
      <c r="L19" s="134"/>
      <c r="M19" s="55"/>
      <c r="N19" s="55"/>
    </row>
  </sheetData>
  <mergeCells count="19">
    <mergeCell ref="C19:E19"/>
    <mergeCell ref="K19:L19"/>
    <mergeCell ref="C13:E13"/>
    <mergeCell ref="K13:L13"/>
    <mergeCell ref="C14:E14"/>
    <mergeCell ref="K14:L14"/>
    <mergeCell ref="C18:E18"/>
    <mergeCell ref="K18:L18"/>
    <mergeCell ref="B1:N1"/>
    <mergeCell ref="B2:N2"/>
    <mergeCell ref="K3:K4"/>
    <mergeCell ref="L3:M3"/>
    <mergeCell ref="N3:N4"/>
    <mergeCell ref="B3:B4"/>
    <mergeCell ref="C3:D3"/>
    <mergeCell ref="E3:E4"/>
    <mergeCell ref="F3:G3"/>
    <mergeCell ref="H3:H4"/>
    <mergeCell ref="I3:J3"/>
  </mergeCells>
  <printOptions horizontalCentered="1" verticalCentered="1"/>
  <pageMargins left="1.37795275590551" right="0.78740157480314998" top="0.78740157480314998" bottom="0.78740157480314998" header="0.31496062992126" footer="0.31496062992126"/>
  <pageSetup paperSize="1000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02"/>
  <sheetViews>
    <sheetView zoomScaleNormal="100" workbookViewId="0">
      <pane ySplit="6" topLeftCell="A190" activePane="bottomLeft" state="frozen"/>
      <selection pane="bottomLeft" activeCell="P195" sqref="P195"/>
    </sheetView>
  </sheetViews>
  <sheetFormatPr defaultRowHeight="12.75" x14ac:dyDescent="0.2"/>
  <cols>
    <col min="1" max="1" width="9.140625" style="36"/>
    <col min="2" max="2" width="3.42578125" style="47" bestFit="1" customWidth="1"/>
    <col min="3" max="3" width="15.7109375" style="47" customWidth="1"/>
    <col min="4" max="4" width="6.7109375" style="47" customWidth="1"/>
    <col min="5" max="5" width="12.7109375" style="92" customWidth="1"/>
    <col min="6" max="6" width="9.7109375" style="47" customWidth="1"/>
    <col min="7" max="7" width="15.28515625" style="47" customWidth="1"/>
    <col min="8" max="8" width="7.7109375" style="47" customWidth="1"/>
    <col min="9" max="9" width="10.7109375" style="47" customWidth="1"/>
    <col min="10" max="10" width="13.7109375" style="92" customWidth="1"/>
    <col min="11" max="11" width="16.28515625" style="93" bestFit="1" customWidth="1"/>
    <col min="12" max="12" width="5.7109375" style="47" bestFit="1" customWidth="1"/>
    <col min="13" max="13" width="5" style="47" bestFit="1" customWidth="1"/>
    <col min="14" max="14" width="6.42578125" style="47" bestFit="1" customWidth="1"/>
    <col min="15" max="15" width="5.42578125" style="47" bestFit="1" customWidth="1"/>
    <col min="16" max="16" width="16.7109375" style="92" customWidth="1"/>
    <col min="17" max="17" width="7.5703125" style="47" bestFit="1" customWidth="1"/>
    <col min="18" max="18" width="15.7109375" style="92" customWidth="1"/>
    <col min="19" max="16384" width="9.140625" style="36"/>
  </cols>
  <sheetData>
    <row r="1" spans="2:18" s="53" customFormat="1" ht="15.75" x14ac:dyDescent="0.25">
      <c r="B1" s="140" t="s">
        <v>1656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</row>
    <row r="2" spans="2:18" s="53" customFormat="1" ht="15.75" x14ac:dyDescent="0.25">
      <c r="B2" s="140" t="s">
        <v>1657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</row>
    <row r="3" spans="2:18" s="53" customFormat="1" ht="15.75" x14ac:dyDescent="0.25">
      <c r="B3" s="112" t="s">
        <v>1660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</row>
    <row r="4" spans="2:18" ht="15.75" x14ac:dyDescent="0.2">
      <c r="B4" s="112" t="s">
        <v>1662</v>
      </c>
    </row>
    <row r="5" spans="2:18" ht="20.100000000000001" customHeight="1" x14ac:dyDescent="0.2">
      <c r="B5" s="142" t="s">
        <v>407</v>
      </c>
      <c r="C5" s="142" t="s">
        <v>1449</v>
      </c>
      <c r="D5" s="143" t="s">
        <v>1114</v>
      </c>
      <c r="E5" s="143" t="s">
        <v>408</v>
      </c>
      <c r="F5" s="143" t="s">
        <v>414</v>
      </c>
      <c r="G5" s="144" t="s">
        <v>415</v>
      </c>
      <c r="H5" s="143" t="s">
        <v>409</v>
      </c>
      <c r="I5" s="143" t="s">
        <v>410</v>
      </c>
      <c r="J5" s="142" t="s">
        <v>1115</v>
      </c>
      <c r="K5" s="142"/>
      <c r="L5" s="142"/>
      <c r="M5" s="141" t="s">
        <v>1116</v>
      </c>
      <c r="N5" s="142" t="s">
        <v>411</v>
      </c>
      <c r="O5" s="142" t="s">
        <v>1117</v>
      </c>
      <c r="P5" s="143" t="s">
        <v>412</v>
      </c>
      <c r="Q5" s="142" t="s">
        <v>1118</v>
      </c>
      <c r="R5" s="143" t="s">
        <v>413</v>
      </c>
    </row>
    <row r="6" spans="2:18" ht="20.100000000000001" customHeight="1" x14ac:dyDescent="0.2">
      <c r="B6" s="142"/>
      <c r="C6" s="142"/>
      <c r="D6" s="143"/>
      <c r="E6" s="143"/>
      <c r="F6" s="143"/>
      <c r="G6" s="144"/>
      <c r="H6" s="143"/>
      <c r="I6" s="143"/>
      <c r="J6" s="94" t="s">
        <v>1121</v>
      </c>
      <c r="K6" s="95" t="s">
        <v>1122</v>
      </c>
      <c r="L6" s="96" t="s">
        <v>1123</v>
      </c>
      <c r="M6" s="141"/>
      <c r="N6" s="142"/>
      <c r="O6" s="142"/>
      <c r="P6" s="143"/>
      <c r="Q6" s="142"/>
      <c r="R6" s="143"/>
    </row>
    <row r="7" spans="2:18" x14ac:dyDescent="0.2">
      <c r="B7" s="97"/>
      <c r="C7" s="97"/>
      <c r="D7" s="97"/>
      <c r="E7" s="94"/>
      <c r="F7" s="97"/>
      <c r="G7" s="98"/>
      <c r="H7" s="97"/>
      <c r="I7" s="97"/>
      <c r="J7" s="94"/>
      <c r="K7" s="95"/>
      <c r="L7" s="96"/>
      <c r="M7" s="96"/>
      <c r="N7" s="97"/>
      <c r="O7" s="97"/>
      <c r="P7" s="94"/>
      <c r="Q7" s="97"/>
      <c r="R7" s="94"/>
    </row>
    <row r="8" spans="2:18" x14ac:dyDescent="0.2">
      <c r="B8" s="136">
        <v>1</v>
      </c>
      <c r="C8" s="136"/>
      <c r="D8" s="83">
        <v>1</v>
      </c>
      <c r="E8" s="84" t="s">
        <v>421</v>
      </c>
      <c r="F8" s="83" t="s">
        <v>6</v>
      </c>
      <c r="G8" s="83" t="s">
        <v>422</v>
      </c>
      <c r="H8" s="83" t="s">
        <v>1</v>
      </c>
      <c r="I8" s="83" t="s">
        <v>2</v>
      </c>
      <c r="J8" s="84"/>
      <c r="K8" s="85">
        <v>23011</v>
      </c>
      <c r="L8" s="83">
        <v>1962</v>
      </c>
      <c r="M8" s="83">
        <f t="shared" ref="M8:M37" si="0">2019-L8</f>
        <v>57</v>
      </c>
      <c r="N8" s="83" t="s">
        <v>3</v>
      </c>
      <c r="O8" s="83"/>
      <c r="P8" s="84" t="s">
        <v>4</v>
      </c>
      <c r="Q8" s="83"/>
      <c r="R8" s="84" t="s">
        <v>5</v>
      </c>
    </row>
    <row r="9" spans="2:18" ht="25.5" x14ac:dyDescent="0.2">
      <c r="B9" s="136"/>
      <c r="C9" s="136"/>
      <c r="D9" s="83">
        <v>2</v>
      </c>
      <c r="E9" s="84" t="s">
        <v>423</v>
      </c>
      <c r="F9" s="83" t="s">
        <v>11</v>
      </c>
      <c r="G9" s="83" t="s">
        <v>424</v>
      </c>
      <c r="H9" s="83" t="s">
        <v>9</v>
      </c>
      <c r="I9" s="83" t="s">
        <v>2</v>
      </c>
      <c r="J9" s="84"/>
      <c r="K9" s="85">
        <v>28125</v>
      </c>
      <c r="L9" s="83">
        <v>1976</v>
      </c>
      <c r="M9" s="83">
        <f t="shared" si="0"/>
        <v>43</v>
      </c>
      <c r="N9" s="83" t="s">
        <v>3</v>
      </c>
      <c r="O9" s="83"/>
      <c r="P9" s="84" t="s">
        <v>54</v>
      </c>
      <c r="Q9" s="83"/>
      <c r="R9" s="84" t="s">
        <v>10</v>
      </c>
    </row>
    <row r="10" spans="2:18" x14ac:dyDescent="0.2">
      <c r="B10" s="136"/>
      <c r="C10" s="136"/>
      <c r="D10" s="83">
        <v>3</v>
      </c>
      <c r="E10" s="84" t="s">
        <v>425</v>
      </c>
      <c r="F10" s="83" t="s">
        <v>17</v>
      </c>
      <c r="G10" s="83" t="s">
        <v>426</v>
      </c>
      <c r="H10" s="83" t="s">
        <v>9</v>
      </c>
      <c r="I10" s="83" t="s">
        <v>14</v>
      </c>
      <c r="J10" s="84"/>
      <c r="K10" s="85">
        <v>37359</v>
      </c>
      <c r="L10" s="83">
        <v>2002</v>
      </c>
      <c r="M10" s="83">
        <f t="shared" si="0"/>
        <v>17</v>
      </c>
      <c r="N10" s="83" t="s">
        <v>3</v>
      </c>
      <c r="O10" s="83"/>
      <c r="P10" s="84" t="s">
        <v>54</v>
      </c>
      <c r="Q10" s="83"/>
      <c r="R10" s="84" t="s">
        <v>16</v>
      </c>
    </row>
    <row r="11" spans="2:18" ht="25.5" x14ac:dyDescent="0.2">
      <c r="B11" s="136"/>
      <c r="C11" s="136"/>
      <c r="D11" s="83">
        <v>4</v>
      </c>
      <c r="E11" s="84" t="s">
        <v>427</v>
      </c>
      <c r="F11" s="83" t="s">
        <v>17</v>
      </c>
      <c r="G11" s="83" t="s">
        <v>428</v>
      </c>
      <c r="H11" s="83" t="s">
        <v>1</v>
      </c>
      <c r="I11" s="83" t="s">
        <v>14</v>
      </c>
      <c r="J11" s="84"/>
      <c r="K11" s="85">
        <v>38293</v>
      </c>
      <c r="L11" s="83">
        <v>2004</v>
      </c>
      <c r="M11" s="83">
        <f t="shared" si="0"/>
        <v>15</v>
      </c>
      <c r="N11" s="83" t="s">
        <v>3</v>
      </c>
      <c r="O11" s="83"/>
      <c r="P11" s="84" t="s">
        <v>16</v>
      </c>
      <c r="Q11" s="83"/>
      <c r="R11" s="84" t="s">
        <v>16</v>
      </c>
    </row>
    <row r="12" spans="2:18" x14ac:dyDescent="0.2">
      <c r="B12" s="136"/>
      <c r="C12" s="136"/>
      <c r="D12" s="83">
        <v>5</v>
      </c>
      <c r="E12" s="84" t="s">
        <v>429</v>
      </c>
      <c r="F12" s="83" t="s">
        <v>17</v>
      </c>
      <c r="G12" s="83" t="s">
        <v>430</v>
      </c>
      <c r="H12" s="83" t="s">
        <v>1</v>
      </c>
      <c r="I12" s="83" t="s">
        <v>14</v>
      </c>
      <c r="J12" s="84"/>
      <c r="K12" s="85">
        <v>41072</v>
      </c>
      <c r="L12" s="83">
        <v>2012</v>
      </c>
      <c r="M12" s="83">
        <f t="shared" si="0"/>
        <v>7</v>
      </c>
      <c r="N12" s="83" t="s">
        <v>3</v>
      </c>
      <c r="O12" s="83"/>
      <c r="P12" s="84" t="s">
        <v>16</v>
      </c>
      <c r="Q12" s="83"/>
      <c r="R12" s="84" t="s">
        <v>16</v>
      </c>
    </row>
    <row r="13" spans="2:18" ht="25.5" x14ac:dyDescent="0.2">
      <c r="B13" s="136">
        <v>2</v>
      </c>
      <c r="C13" s="136" t="s">
        <v>1525</v>
      </c>
      <c r="D13" s="83">
        <v>6</v>
      </c>
      <c r="E13" s="84" t="s">
        <v>1524</v>
      </c>
      <c r="F13" s="83" t="s">
        <v>6</v>
      </c>
      <c r="G13" s="83" t="s">
        <v>1526</v>
      </c>
      <c r="H13" s="83" t="s">
        <v>1</v>
      </c>
      <c r="I13" s="83" t="s">
        <v>2</v>
      </c>
      <c r="J13" s="84" t="s">
        <v>1136</v>
      </c>
      <c r="K13" s="85">
        <v>20820</v>
      </c>
      <c r="L13" s="83">
        <v>1956</v>
      </c>
      <c r="M13" s="83">
        <f t="shared" si="0"/>
        <v>63</v>
      </c>
      <c r="N13" s="83" t="s">
        <v>3</v>
      </c>
      <c r="O13" s="83" t="s">
        <v>1137</v>
      </c>
      <c r="P13" s="84" t="s">
        <v>1232</v>
      </c>
      <c r="Q13" s="83"/>
      <c r="R13" s="84" t="s">
        <v>1179</v>
      </c>
    </row>
    <row r="14" spans="2:18" ht="25.5" x14ac:dyDescent="0.2">
      <c r="B14" s="136"/>
      <c r="C14" s="136"/>
      <c r="D14" s="83">
        <v>7</v>
      </c>
      <c r="E14" s="84" t="s">
        <v>431</v>
      </c>
      <c r="F14" s="83" t="s">
        <v>11</v>
      </c>
      <c r="G14" s="83" t="s">
        <v>1527</v>
      </c>
      <c r="H14" s="83" t="s">
        <v>9</v>
      </c>
      <c r="I14" s="83" t="s">
        <v>2</v>
      </c>
      <c r="J14" s="84" t="s">
        <v>1136</v>
      </c>
      <c r="K14" s="85">
        <v>23011</v>
      </c>
      <c r="L14" s="83">
        <v>1962</v>
      </c>
      <c r="M14" s="83">
        <f t="shared" si="0"/>
        <v>57</v>
      </c>
      <c r="N14" s="83" t="s">
        <v>3</v>
      </c>
      <c r="O14" s="83" t="s">
        <v>1137</v>
      </c>
      <c r="P14" s="84" t="s">
        <v>1172</v>
      </c>
      <c r="Q14" s="83"/>
      <c r="R14" s="84" t="s">
        <v>1141</v>
      </c>
    </row>
    <row r="15" spans="2:18" ht="38.25" x14ac:dyDescent="0.2">
      <c r="B15" s="136"/>
      <c r="C15" s="136"/>
      <c r="D15" s="83">
        <v>8</v>
      </c>
      <c r="E15" s="84" t="s">
        <v>1522</v>
      </c>
      <c r="F15" s="83" t="s">
        <v>17</v>
      </c>
      <c r="G15" s="83" t="s">
        <v>432</v>
      </c>
      <c r="H15" s="83" t="s">
        <v>9</v>
      </c>
      <c r="I15" s="83" t="s">
        <v>14</v>
      </c>
      <c r="J15" s="84" t="s">
        <v>1136</v>
      </c>
      <c r="K15" s="85">
        <v>30089</v>
      </c>
      <c r="L15" s="83">
        <v>1982</v>
      </c>
      <c r="M15" s="83">
        <f t="shared" si="0"/>
        <v>37</v>
      </c>
      <c r="N15" s="83" t="s">
        <v>3</v>
      </c>
      <c r="O15" s="83" t="s">
        <v>1137</v>
      </c>
      <c r="P15" s="84" t="s">
        <v>1528</v>
      </c>
      <c r="Q15" s="83"/>
      <c r="R15" s="84" t="s">
        <v>1371</v>
      </c>
    </row>
    <row r="16" spans="2:18" ht="25.5" x14ac:dyDescent="0.2">
      <c r="B16" s="136"/>
      <c r="C16" s="136"/>
      <c r="D16" s="83">
        <v>9</v>
      </c>
      <c r="E16" s="84" t="s">
        <v>435</v>
      </c>
      <c r="F16" s="83" t="s">
        <v>17</v>
      </c>
      <c r="G16" s="83" t="s">
        <v>436</v>
      </c>
      <c r="H16" s="83" t="s">
        <v>9</v>
      </c>
      <c r="I16" s="83" t="s">
        <v>14</v>
      </c>
      <c r="J16" s="84" t="s">
        <v>1136</v>
      </c>
      <c r="K16" s="85">
        <v>35836</v>
      </c>
      <c r="L16" s="83">
        <v>1998</v>
      </c>
      <c r="M16" s="83">
        <f t="shared" si="0"/>
        <v>21</v>
      </c>
      <c r="N16" s="83" t="s">
        <v>3</v>
      </c>
      <c r="O16" s="83" t="s">
        <v>1137</v>
      </c>
      <c r="P16" s="84" t="s">
        <v>1159</v>
      </c>
      <c r="Q16" s="83"/>
      <c r="R16" s="84" t="s">
        <v>1160</v>
      </c>
    </row>
    <row r="17" spans="2:18" ht="25.5" x14ac:dyDescent="0.2">
      <c r="B17" s="136">
        <v>3</v>
      </c>
      <c r="C17" s="136"/>
      <c r="D17" s="83">
        <v>10</v>
      </c>
      <c r="E17" s="84" t="s">
        <v>437</v>
      </c>
      <c r="F17" s="83" t="s">
        <v>17</v>
      </c>
      <c r="G17" s="83" t="s">
        <v>438</v>
      </c>
      <c r="H17" s="83" t="s">
        <v>1</v>
      </c>
      <c r="I17" s="83" t="s">
        <v>2</v>
      </c>
      <c r="J17" s="84"/>
      <c r="K17" s="85">
        <v>29583</v>
      </c>
      <c r="L17" s="83">
        <v>1980</v>
      </c>
      <c r="M17" s="83">
        <f t="shared" si="0"/>
        <v>39</v>
      </c>
      <c r="N17" s="83" t="s">
        <v>3</v>
      </c>
      <c r="O17" s="83"/>
      <c r="P17" s="84" t="s">
        <v>4</v>
      </c>
      <c r="Q17" s="83"/>
      <c r="R17" s="84" t="s">
        <v>5</v>
      </c>
    </row>
    <row r="18" spans="2:18" x14ac:dyDescent="0.2">
      <c r="B18" s="136"/>
      <c r="C18" s="136"/>
      <c r="D18" s="83">
        <v>11</v>
      </c>
      <c r="E18" s="84" t="s">
        <v>439</v>
      </c>
      <c r="F18" s="83" t="s">
        <v>6</v>
      </c>
      <c r="G18" s="83" t="s">
        <v>440</v>
      </c>
      <c r="H18" s="83" t="s">
        <v>9</v>
      </c>
      <c r="I18" s="83" t="s">
        <v>2</v>
      </c>
      <c r="J18" s="84"/>
      <c r="K18" s="85">
        <v>31542</v>
      </c>
      <c r="L18" s="83">
        <v>1986</v>
      </c>
      <c r="M18" s="83">
        <f t="shared" si="0"/>
        <v>33</v>
      </c>
      <c r="N18" s="83" t="s">
        <v>3</v>
      </c>
      <c r="O18" s="83"/>
      <c r="P18" s="84" t="s">
        <v>15</v>
      </c>
      <c r="Q18" s="83"/>
      <c r="R18" s="84" t="s">
        <v>16</v>
      </c>
    </row>
    <row r="19" spans="2:18" ht="25.5" x14ac:dyDescent="0.2">
      <c r="B19" s="136"/>
      <c r="C19" s="136"/>
      <c r="D19" s="83">
        <v>12</v>
      </c>
      <c r="E19" s="84" t="s">
        <v>441</v>
      </c>
      <c r="F19" s="83" t="s">
        <v>11</v>
      </c>
      <c r="G19" s="83" t="s">
        <v>442</v>
      </c>
      <c r="H19" s="83" t="s">
        <v>1</v>
      </c>
      <c r="I19" s="83" t="s">
        <v>14</v>
      </c>
      <c r="J19" s="84"/>
      <c r="K19" s="85">
        <v>38941</v>
      </c>
      <c r="L19" s="83">
        <v>2006</v>
      </c>
      <c r="M19" s="83">
        <f t="shared" si="0"/>
        <v>13</v>
      </c>
      <c r="N19" s="83" t="s">
        <v>3</v>
      </c>
      <c r="O19" s="83"/>
      <c r="P19" s="84" t="s">
        <v>16</v>
      </c>
      <c r="Q19" s="83"/>
      <c r="R19" s="84" t="s">
        <v>16</v>
      </c>
    </row>
    <row r="20" spans="2:18" ht="25.5" x14ac:dyDescent="0.2">
      <c r="B20" s="136"/>
      <c r="C20" s="136"/>
      <c r="D20" s="83">
        <v>13</v>
      </c>
      <c r="E20" s="84" t="s">
        <v>443</v>
      </c>
      <c r="F20" s="83" t="s">
        <v>17</v>
      </c>
      <c r="G20" s="83" t="s">
        <v>444</v>
      </c>
      <c r="H20" s="83" t="s">
        <v>1</v>
      </c>
      <c r="I20" s="83" t="s">
        <v>14</v>
      </c>
      <c r="J20" s="84"/>
      <c r="K20" s="85">
        <v>41278</v>
      </c>
      <c r="L20" s="83">
        <v>2013</v>
      </c>
      <c r="M20" s="83">
        <f t="shared" si="0"/>
        <v>6</v>
      </c>
      <c r="N20" s="83" t="s">
        <v>3</v>
      </c>
      <c r="O20" s="83"/>
      <c r="P20" s="84" t="s">
        <v>16</v>
      </c>
      <c r="Q20" s="83"/>
      <c r="R20" s="84" t="s">
        <v>16</v>
      </c>
    </row>
    <row r="21" spans="2:18" x14ac:dyDescent="0.2">
      <c r="B21" s="137">
        <v>4</v>
      </c>
      <c r="C21" s="137" t="s">
        <v>1529</v>
      </c>
      <c r="D21" s="83">
        <v>14</v>
      </c>
      <c r="E21" s="84" t="s">
        <v>445</v>
      </c>
      <c r="F21" s="83" t="s">
        <v>6</v>
      </c>
      <c r="G21" s="83" t="s">
        <v>446</v>
      </c>
      <c r="H21" s="83" t="s">
        <v>1</v>
      </c>
      <c r="I21" s="83" t="s">
        <v>2</v>
      </c>
      <c r="J21" s="84" t="s">
        <v>1156</v>
      </c>
      <c r="K21" s="85">
        <v>27063</v>
      </c>
      <c r="L21" s="83">
        <v>1974</v>
      </c>
      <c r="M21" s="83">
        <f t="shared" si="0"/>
        <v>45</v>
      </c>
      <c r="N21" s="83" t="s">
        <v>3</v>
      </c>
      <c r="O21" s="83" t="s">
        <v>1137</v>
      </c>
      <c r="P21" s="84" t="s">
        <v>1159</v>
      </c>
      <c r="Q21" s="83"/>
      <c r="R21" s="84" t="s">
        <v>10</v>
      </c>
    </row>
    <row r="22" spans="2:18" x14ac:dyDescent="0.2">
      <c r="B22" s="138"/>
      <c r="C22" s="138"/>
      <c r="D22" s="83">
        <v>15</v>
      </c>
      <c r="E22" s="84" t="s">
        <v>447</v>
      </c>
      <c r="F22" s="83" t="s">
        <v>11</v>
      </c>
      <c r="G22" s="83" t="s">
        <v>1531</v>
      </c>
      <c r="H22" s="83" t="s">
        <v>9</v>
      </c>
      <c r="I22" s="83" t="s">
        <v>14</v>
      </c>
      <c r="J22" s="84" t="s">
        <v>1156</v>
      </c>
      <c r="K22" s="85">
        <v>27163</v>
      </c>
      <c r="L22" s="83">
        <v>1974</v>
      </c>
      <c r="M22" s="83">
        <f t="shared" si="0"/>
        <v>45</v>
      </c>
      <c r="N22" s="83" t="s">
        <v>3</v>
      </c>
      <c r="O22" s="83" t="s">
        <v>1137</v>
      </c>
      <c r="P22" s="84" t="s">
        <v>1159</v>
      </c>
      <c r="Q22" s="83"/>
      <c r="R22" s="84" t="s">
        <v>1179</v>
      </c>
    </row>
    <row r="23" spans="2:18" ht="25.5" x14ac:dyDescent="0.2">
      <c r="B23" s="138"/>
      <c r="C23" s="138"/>
      <c r="D23" s="83">
        <v>16</v>
      </c>
      <c r="E23" s="84" t="s">
        <v>448</v>
      </c>
      <c r="F23" s="83" t="s">
        <v>17</v>
      </c>
      <c r="G23" s="83" t="s">
        <v>449</v>
      </c>
      <c r="H23" s="83" t="s">
        <v>1</v>
      </c>
      <c r="I23" s="83" t="s">
        <v>14</v>
      </c>
      <c r="J23" s="84" t="s">
        <v>1156</v>
      </c>
      <c r="K23" s="85">
        <v>36883</v>
      </c>
      <c r="L23" s="83">
        <v>2000</v>
      </c>
      <c r="M23" s="83">
        <f t="shared" si="0"/>
        <v>19</v>
      </c>
      <c r="N23" s="83" t="s">
        <v>3</v>
      </c>
      <c r="O23" s="83" t="s">
        <v>1137</v>
      </c>
      <c r="P23" s="84" t="s">
        <v>1138</v>
      </c>
      <c r="Q23" s="83"/>
      <c r="R23" s="84" t="s">
        <v>1160</v>
      </c>
    </row>
    <row r="24" spans="2:18" ht="25.5" x14ac:dyDescent="0.2">
      <c r="B24" s="139"/>
      <c r="C24" s="139"/>
      <c r="D24" s="83">
        <v>17</v>
      </c>
      <c r="E24" s="84" t="s">
        <v>450</v>
      </c>
      <c r="F24" s="83" t="s">
        <v>17</v>
      </c>
      <c r="G24" s="83" t="s">
        <v>1530</v>
      </c>
      <c r="H24" s="83" t="s">
        <v>1</v>
      </c>
      <c r="I24" s="83" t="s">
        <v>14</v>
      </c>
      <c r="J24" s="84" t="s">
        <v>1156</v>
      </c>
      <c r="K24" s="85">
        <v>39200</v>
      </c>
      <c r="L24" s="83">
        <v>2007</v>
      </c>
      <c r="M24" s="83">
        <f t="shared" si="0"/>
        <v>12</v>
      </c>
      <c r="N24" s="83" t="s">
        <v>3</v>
      </c>
      <c r="O24" s="83" t="s">
        <v>1137</v>
      </c>
      <c r="P24" s="84" t="s">
        <v>1178</v>
      </c>
      <c r="Q24" s="83"/>
      <c r="R24" s="84" t="s">
        <v>1160</v>
      </c>
    </row>
    <row r="25" spans="2:18" ht="25.5" x14ac:dyDescent="0.2">
      <c r="B25" s="136">
        <v>5</v>
      </c>
      <c r="C25" s="136" t="s">
        <v>1176</v>
      </c>
      <c r="D25" s="83">
        <v>18</v>
      </c>
      <c r="E25" s="84" t="s">
        <v>452</v>
      </c>
      <c r="F25" s="83" t="s">
        <v>6</v>
      </c>
      <c r="G25" s="83" t="s">
        <v>453</v>
      </c>
      <c r="H25" s="83" t="s">
        <v>1</v>
      </c>
      <c r="I25" s="83" t="s">
        <v>2</v>
      </c>
      <c r="J25" s="84" t="s">
        <v>1156</v>
      </c>
      <c r="K25" s="85">
        <v>27125</v>
      </c>
      <c r="L25" s="83">
        <v>1974</v>
      </c>
      <c r="M25" s="83">
        <f t="shared" si="0"/>
        <v>45</v>
      </c>
      <c r="N25" s="83" t="s">
        <v>3</v>
      </c>
      <c r="O25" s="83" t="s">
        <v>1137</v>
      </c>
      <c r="P25" s="84" t="s">
        <v>1172</v>
      </c>
      <c r="Q25" s="83"/>
      <c r="R25" s="84" t="s">
        <v>10</v>
      </c>
    </row>
    <row r="26" spans="2:18" ht="25.5" x14ac:dyDescent="0.2">
      <c r="B26" s="136"/>
      <c r="C26" s="136"/>
      <c r="D26" s="83">
        <v>19</v>
      </c>
      <c r="E26" s="84" t="s">
        <v>454</v>
      </c>
      <c r="F26" s="83" t="s">
        <v>11</v>
      </c>
      <c r="G26" s="83" t="s">
        <v>455</v>
      </c>
      <c r="H26" s="83" t="s">
        <v>9</v>
      </c>
      <c r="I26" s="83" t="s">
        <v>2</v>
      </c>
      <c r="J26" s="84" t="s">
        <v>1148</v>
      </c>
      <c r="K26" s="85">
        <v>28522</v>
      </c>
      <c r="L26" s="83">
        <v>1978</v>
      </c>
      <c r="M26" s="83">
        <f t="shared" si="0"/>
        <v>41</v>
      </c>
      <c r="N26" s="83" t="s">
        <v>3</v>
      </c>
      <c r="O26" s="83" t="s">
        <v>1137</v>
      </c>
      <c r="P26" s="84" t="s">
        <v>1159</v>
      </c>
      <c r="Q26" s="83"/>
      <c r="R26" s="84" t="s">
        <v>1179</v>
      </c>
    </row>
    <row r="27" spans="2:18" ht="25.5" x14ac:dyDescent="0.2">
      <c r="B27" s="136"/>
      <c r="C27" s="136"/>
      <c r="D27" s="83">
        <v>20</v>
      </c>
      <c r="E27" s="84" t="s">
        <v>456</v>
      </c>
      <c r="F27" s="83" t="s">
        <v>17</v>
      </c>
      <c r="G27" s="83" t="s">
        <v>1177</v>
      </c>
      <c r="H27" s="83" t="s">
        <v>9</v>
      </c>
      <c r="I27" s="83" t="s">
        <v>14</v>
      </c>
      <c r="J27" s="84" t="s">
        <v>1156</v>
      </c>
      <c r="K27" s="85">
        <v>38646</v>
      </c>
      <c r="L27" s="83">
        <v>2005</v>
      </c>
      <c r="M27" s="83">
        <f t="shared" si="0"/>
        <v>14</v>
      </c>
      <c r="N27" s="83" t="s">
        <v>3</v>
      </c>
      <c r="O27" s="83" t="s">
        <v>1137</v>
      </c>
      <c r="P27" s="84" t="s">
        <v>1178</v>
      </c>
      <c r="Q27" s="83"/>
      <c r="R27" s="84" t="s">
        <v>1160</v>
      </c>
    </row>
    <row r="28" spans="2:18" ht="25.5" x14ac:dyDescent="0.2">
      <c r="B28" s="136"/>
      <c r="C28" s="136"/>
      <c r="D28" s="83">
        <v>21</v>
      </c>
      <c r="E28" s="84" t="s">
        <v>457</v>
      </c>
      <c r="F28" s="83" t="s">
        <v>17</v>
      </c>
      <c r="G28" s="83" t="s">
        <v>458</v>
      </c>
      <c r="H28" s="83" t="s">
        <v>9</v>
      </c>
      <c r="I28" s="83" t="s">
        <v>14</v>
      </c>
      <c r="J28" s="84" t="s">
        <v>1156</v>
      </c>
      <c r="K28" s="85">
        <v>40241</v>
      </c>
      <c r="L28" s="83">
        <v>2010</v>
      </c>
      <c r="M28" s="83">
        <f t="shared" ref="M28" si="1">2019-L28</f>
        <v>9</v>
      </c>
      <c r="N28" s="83" t="s">
        <v>3</v>
      </c>
      <c r="O28" s="83" t="s">
        <v>1137</v>
      </c>
      <c r="P28" s="84" t="s">
        <v>1139</v>
      </c>
      <c r="Q28" s="83"/>
      <c r="R28" s="84" t="s">
        <v>1140</v>
      </c>
    </row>
    <row r="29" spans="2:18" ht="25.5" x14ac:dyDescent="0.2">
      <c r="B29" s="136"/>
      <c r="C29" s="136"/>
      <c r="D29" s="83">
        <v>22</v>
      </c>
      <c r="E29" s="84" t="s">
        <v>1561</v>
      </c>
      <c r="F29" s="83" t="s">
        <v>17</v>
      </c>
      <c r="G29" s="83" t="s">
        <v>1562</v>
      </c>
      <c r="H29" s="83" t="s">
        <v>1</v>
      </c>
      <c r="I29" s="83" t="s">
        <v>14</v>
      </c>
      <c r="J29" s="84" t="s">
        <v>1156</v>
      </c>
      <c r="K29" s="85">
        <v>43517</v>
      </c>
      <c r="L29" s="83">
        <v>2019</v>
      </c>
      <c r="M29" s="83">
        <f t="shared" si="0"/>
        <v>0</v>
      </c>
      <c r="N29" s="83" t="s">
        <v>3</v>
      </c>
      <c r="O29" s="83" t="s">
        <v>1137</v>
      </c>
      <c r="P29" s="84" t="s">
        <v>1139</v>
      </c>
      <c r="Q29" s="83"/>
      <c r="R29" s="84" t="s">
        <v>1140</v>
      </c>
    </row>
    <row r="30" spans="2:18" ht="38.25" x14ac:dyDescent="0.2">
      <c r="B30" s="137">
        <v>6</v>
      </c>
      <c r="C30" s="137"/>
      <c r="D30" s="83">
        <v>23</v>
      </c>
      <c r="E30" s="84" t="s">
        <v>459</v>
      </c>
      <c r="F30" s="83" t="s">
        <v>6</v>
      </c>
      <c r="G30" s="83" t="s">
        <v>460</v>
      </c>
      <c r="H30" s="83" t="s">
        <v>1</v>
      </c>
      <c r="I30" s="83" t="s">
        <v>2</v>
      </c>
      <c r="J30" s="84"/>
      <c r="K30" s="85">
        <v>30683</v>
      </c>
      <c r="L30" s="83">
        <v>1984</v>
      </c>
      <c r="M30" s="83">
        <f t="shared" si="0"/>
        <v>35</v>
      </c>
      <c r="N30" s="83" t="s">
        <v>3</v>
      </c>
      <c r="O30" s="83"/>
      <c r="P30" s="84" t="s">
        <v>4</v>
      </c>
      <c r="Q30" s="83"/>
      <c r="R30" s="84" t="s">
        <v>5</v>
      </c>
    </row>
    <row r="31" spans="2:18" x14ac:dyDescent="0.2">
      <c r="B31" s="139"/>
      <c r="C31" s="139"/>
      <c r="D31" s="83">
        <v>24</v>
      </c>
      <c r="E31" s="84" t="s">
        <v>461</v>
      </c>
      <c r="F31" s="83" t="s">
        <v>11</v>
      </c>
      <c r="G31" s="83" t="s">
        <v>462</v>
      </c>
      <c r="H31" s="83" t="s">
        <v>9</v>
      </c>
      <c r="I31" s="83" t="s">
        <v>2</v>
      </c>
      <c r="J31" s="84"/>
      <c r="K31" s="85">
        <v>31412</v>
      </c>
      <c r="L31" s="83">
        <v>1985</v>
      </c>
      <c r="M31" s="83">
        <f t="shared" si="0"/>
        <v>34</v>
      </c>
      <c r="N31" s="83" t="s">
        <v>3</v>
      </c>
      <c r="O31" s="83"/>
      <c r="P31" s="84" t="s">
        <v>15</v>
      </c>
      <c r="Q31" s="83"/>
      <c r="R31" s="84" t="s">
        <v>10</v>
      </c>
    </row>
    <row r="32" spans="2:18" ht="25.5" x14ac:dyDescent="0.2">
      <c r="B32" s="137">
        <v>7</v>
      </c>
      <c r="C32" s="137"/>
      <c r="D32" s="83">
        <v>25</v>
      </c>
      <c r="E32" s="84" t="s">
        <v>463</v>
      </c>
      <c r="F32" s="83" t="s">
        <v>6</v>
      </c>
      <c r="G32" s="83" t="s">
        <v>464</v>
      </c>
      <c r="H32" s="83" t="s">
        <v>1</v>
      </c>
      <c r="I32" s="83" t="s">
        <v>2</v>
      </c>
      <c r="J32" s="84"/>
      <c r="K32" s="85">
        <v>27096</v>
      </c>
      <c r="L32" s="83">
        <v>1974</v>
      </c>
      <c r="M32" s="83">
        <f t="shared" si="0"/>
        <v>45</v>
      </c>
      <c r="N32" s="83" t="s">
        <v>3</v>
      </c>
      <c r="O32" s="83"/>
      <c r="P32" s="84" t="s">
        <v>15</v>
      </c>
      <c r="Q32" s="83"/>
      <c r="R32" s="84" t="s">
        <v>10</v>
      </c>
    </row>
    <row r="33" spans="2:18" x14ac:dyDescent="0.2">
      <c r="B33" s="139"/>
      <c r="C33" s="139"/>
      <c r="D33" s="83">
        <v>26</v>
      </c>
      <c r="E33" s="84" t="s">
        <v>465</v>
      </c>
      <c r="F33" s="83" t="s">
        <v>11</v>
      </c>
      <c r="G33" s="83" t="s">
        <v>466</v>
      </c>
      <c r="H33" s="83" t="s">
        <v>1</v>
      </c>
      <c r="I33" s="83" t="s">
        <v>2</v>
      </c>
      <c r="J33" s="84"/>
      <c r="K33" s="85">
        <v>30721</v>
      </c>
      <c r="L33" s="83">
        <v>1984</v>
      </c>
      <c r="M33" s="83">
        <f t="shared" si="0"/>
        <v>35</v>
      </c>
      <c r="N33" s="83" t="s">
        <v>3</v>
      </c>
      <c r="O33" s="83"/>
      <c r="P33" s="84" t="s">
        <v>15</v>
      </c>
      <c r="Q33" s="83"/>
      <c r="R33" s="84" t="s">
        <v>10</v>
      </c>
    </row>
    <row r="34" spans="2:18" x14ac:dyDescent="0.2">
      <c r="B34" s="136">
        <v>8</v>
      </c>
      <c r="C34" s="136"/>
      <c r="D34" s="83">
        <v>27</v>
      </c>
      <c r="E34" s="84" t="s">
        <v>467</v>
      </c>
      <c r="F34" s="83" t="s">
        <v>6</v>
      </c>
      <c r="G34" s="83" t="s">
        <v>468</v>
      </c>
      <c r="H34" s="83" t="s">
        <v>1</v>
      </c>
      <c r="I34" s="83" t="s">
        <v>321</v>
      </c>
      <c r="J34" s="84"/>
      <c r="K34" s="85">
        <v>12054</v>
      </c>
      <c r="L34" s="83">
        <v>1932</v>
      </c>
      <c r="M34" s="83">
        <f t="shared" si="0"/>
        <v>87</v>
      </c>
      <c r="N34" s="83" t="s">
        <v>3</v>
      </c>
      <c r="O34" s="83"/>
      <c r="P34" s="84" t="s">
        <v>16</v>
      </c>
      <c r="Q34" s="83"/>
      <c r="R34" s="84" t="s">
        <v>16</v>
      </c>
    </row>
    <row r="35" spans="2:18" x14ac:dyDescent="0.2">
      <c r="B35" s="136"/>
      <c r="C35" s="136"/>
      <c r="D35" s="83">
        <v>28</v>
      </c>
      <c r="E35" s="84" t="s">
        <v>469</v>
      </c>
      <c r="F35" s="83" t="s">
        <v>25</v>
      </c>
      <c r="G35" s="83" t="s">
        <v>470</v>
      </c>
      <c r="H35" s="83" t="s">
        <v>9</v>
      </c>
      <c r="I35" s="83" t="s">
        <v>14</v>
      </c>
      <c r="J35" s="84"/>
      <c r="K35" s="85">
        <v>32839</v>
      </c>
      <c r="L35" s="83">
        <v>1989</v>
      </c>
      <c r="M35" s="83">
        <f t="shared" si="0"/>
        <v>30</v>
      </c>
      <c r="N35" s="83" t="s">
        <v>3</v>
      </c>
      <c r="O35" s="83"/>
      <c r="P35" s="84" t="s">
        <v>4</v>
      </c>
      <c r="Q35" s="83"/>
      <c r="R35" s="84" t="s">
        <v>16</v>
      </c>
    </row>
    <row r="36" spans="2:18" x14ac:dyDescent="0.2">
      <c r="B36" s="136"/>
      <c r="C36" s="136"/>
      <c r="D36" s="83">
        <v>29</v>
      </c>
      <c r="E36" s="84" t="s">
        <v>471</v>
      </c>
      <c r="F36" s="83" t="s">
        <v>25</v>
      </c>
      <c r="G36" s="83" t="s">
        <v>472</v>
      </c>
      <c r="H36" s="83" t="s">
        <v>9</v>
      </c>
      <c r="I36" s="83" t="s">
        <v>14</v>
      </c>
      <c r="J36" s="84"/>
      <c r="K36" s="85">
        <v>34608</v>
      </c>
      <c r="L36" s="83">
        <v>1994</v>
      </c>
      <c r="M36" s="83">
        <f t="shared" si="0"/>
        <v>25</v>
      </c>
      <c r="N36" s="83" t="s">
        <v>3</v>
      </c>
      <c r="O36" s="83"/>
      <c r="P36" s="84" t="s">
        <v>15</v>
      </c>
      <c r="Q36" s="83"/>
      <c r="R36" s="84" t="s">
        <v>31</v>
      </c>
    </row>
    <row r="37" spans="2:18" ht="25.5" x14ac:dyDescent="0.2">
      <c r="B37" s="136"/>
      <c r="C37" s="136"/>
      <c r="D37" s="83">
        <v>30</v>
      </c>
      <c r="E37" s="84" t="s">
        <v>473</v>
      </c>
      <c r="F37" s="83" t="s">
        <v>25</v>
      </c>
      <c r="G37" s="83"/>
      <c r="H37" s="83" t="s">
        <v>1</v>
      </c>
      <c r="I37" s="83" t="s">
        <v>14</v>
      </c>
      <c r="J37" s="84"/>
      <c r="K37" s="85">
        <v>36147</v>
      </c>
      <c r="L37" s="83">
        <v>1998</v>
      </c>
      <c r="M37" s="83">
        <f t="shared" si="0"/>
        <v>21</v>
      </c>
      <c r="N37" s="83" t="s">
        <v>3</v>
      </c>
      <c r="O37" s="83"/>
      <c r="P37" s="84" t="s">
        <v>27</v>
      </c>
      <c r="Q37" s="83"/>
      <c r="R37" s="84" t="s">
        <v>16</v>
      </c>
    </row>
    <row r="38" spans="2:18" ht="38.25" x14ac:dyDescent="0.2">
      <c r="B38" s="136"/>
      <c r="C38" s="136"/>
      <c r="D38" s="83">
        <v>31</v>
      </c>
      <c r="E38" s="84" t="s">
        <v>474</v>
      </c>
      <c r="F38" s="83" t="s">
        <v>17</v>
      </c>
      <c r="G38" s="83">
        <v>0</v>
      </c>
      <c r="H38" s="83" t="s">
        <v>1</v>
      </c>
      <c r="I38" s="83" t="s">
        <v>321</v>
      </c>
      <c r="J38" s="84"/>
      <c r="K38" s="85">
        <v>35064</v>
      </c>
      <c r="L38" s="83">
        <v>1995</v>
      </c>
      <c r="M38" s="83">
        <f t="shared" ref="M38:M69" si="2">2019-L38</f>
        <v>24</v>
      </c>
      <c r="N38" s="83" t="s">
        <v>3</v>
      </c>
      <c r="O38" s="83"/>
      <c r="P38" s="84" t="s">
        <v>27</v>
      </c>
      <c r="Q38" s="83"/>
      <c r="R38" s="84" t="s">
        <v>16</v>
      </c>
    </row>
    <row r="39" spans="2:18" ht="25.5" x14ac:dyDescent="0.2">
      <c r="B39" s="136">
        <v>9</v>
      </c>
      <c r="C39" s="136" t="s">
        <v>1644</v>
      </c>
      <c r="D39" s="83">
        <v>32</v>
      </c>
      <c r="E39" s="84" t="s">
        <v>475</v>
      </c>
      <c r="F39" s="83" t="s">
        <v>6</v>
      </c>
      <c r="G39" s="83" t="s">
        <v>476</v>
      </c>
      <c r="H39" s="83" t="s">
        <v>1</v>
      </c>
      <c r="I39" s="83" t="s">
        <v>2</v>
      </c>
      <c r="J39" s="84" t="s">
        <v>1136</v>
      </c>
      <c r="K39" s="85">
        <v>28625</v>
      </c>
      <c r="L39" s="83">
        <v>1978</v>
      </c>
      <c r="M39" s="83">
        <f t="shared" si="2"/>
        <v>41</v>
      </c>
      <c r="N39" s="83" t="s">
        <v>3</v>
      </c>
      <c r="O39" s="83" t="s">
        <v>1137</v>
      </c>
      <c r="P39" s="84" t="s">
        <v>1159</v>
      </c>
      <c r="Q39" s="83"/>
      <c r="R39" s="84" t="s">
        <v>1646</v>
      </c>
    </row>
    <row r="40" spans="2:18" ht="25.5" x14ac:dyDescent="0.2">
      <c r="B40" s="136"/>
      <c r="C40" s="136"/>
      <c r="D40" s="83">
        <v>33</v>
      </c>
      <c r="E40" s="84" t="s">
        <v>1645</v>
      </c>
      <c r="F40" s="83" t="s">
        <v>11</v>
      </c>
      <c r="G40" s="83" t="s">
        <v>477</v>
      </c>
      <c r="H40" s="83" t="s">
        <v>9</v>
      </c>
      <c r="I40" s="83" t="s">
        <v>2</v>
      </c>
      <c r="J40" s="84" t="s">
        <v>1136</v>
      </c>
      <c r="K40" s="85">
        <v>30677</v>
      </c>
      <c r="L40" s="83">
        <v>1983</v>
      </c>
      <c r="M40" s="83">
        <f t="shared" si="2"/>
        <v>36</v>
      </c>
      <c r="N40" s="83" t="s">
        <v>3</v>
      </c>
      <c r="O40" s="83" t="s">
        <v>1137</v>
      </c>
      <c r="P40" s="84" t="s">
        <v>1159</v>
      </c>
      <c r="Q40" s="83"/>
      <c r="R40" s="84" t="s">
        <v>1141</v>
      </c>
    </row>
    <row r="41" spans="2:18" ht="25.5" x14ac:dyDescent="0.2">
      <c r="B41" s="136">
        <v>10</v>
      </c>
      <c r="C41" s="136" t="s">
        <v>1632</v>
      </c>
      <c r="D41" s="83">
        <v>34</v>
      </c>
      <c r="E41" s="84" t="s">
        <v>478</v>
      </c>
      <c r="F41" s="83" t="s">
        <v>6</v>
      </c>
      <c r="G41" s="83" t="s">
        <v>477</v>
      </c>
      <c r="H41" s="83" t="s">
        <v>1</v>
      </c>
      <c r="I41" s="83" t="s">
        <v>2</v>
      </c>
      <c r="J41" s="84" t="s">
        <v>1156</v>
      </c>
      <c r="K41" s="85">
        <v>25568</v>
      </c>
      <c r="L41" s="83">
        <v>1969</v>
      </c>
      <c r="M41" s="83">
        <f t="shared" si="2"/>
        <v>50</v>
      </c>
      <c r="N41" s="83" t="s">
        <v>3</v>
      </c>
      <c r="O41" s="83" t="s">
        <v>1137</v>
      </c>
      <c r="P41" s="84" t="s">
        <v>1232</v>
      </c>
      <c r="Q41" s="83"/>
      <c r="R41" s="84" t="s">
        <v>1514</v>
      </c>
    </row>
    <row r="42" spans="2:18" ht="25.5" x14ac:dyDescent="0.2">
      <c r="B42" s="136"/>
      <c r="C42" s="136"/>
      <c r="D42" s="83">
        <v>35</v>
      </c>
      <c r="E42" s="84" t="s">
        <v>479</v>
      </c>
      <c r="F42" s="83" t="s">
        <v>11</v>
      </c>
      <c r="G42" s="83" t="s">
        <v>477</v>
      </c>
      <c r="H42" s="83" t="s">
        <v>9</v>
      </c>
      <c r="I42" s="83" t="s">
        <v>2</v>
      </c>
      <c r="J42" s="84" t="s">
        <v>1633</v>
      </c>
      <c r="K42" s="85">
        <v>28742</v>
      </c>
      <c r="L42" s="83">
        <v>1978</v>
      </c>
      <c r="M42" s="83">
        <f t="shared" si="2"/>
        <v>41</v>
      </c>
      <c r="N42" s="83" t="s">
        <v>3</v>
      </c>
      <c r="O42" s="83" t="s">
        <v>1137</v>
      </c>
      <c r="P42" s="84" t="s">
        <v>1159</v>
      </c>
      <c r="Q42" s="83"/>
      <c r="R42" s="84" t="s">
        <v>1140</v>
      </c>
    </row>
    <row r="43" spans="2:18" ht="25.5" x14ac:dyDescent="0.2">
      <c r="B43" s="136"/>
      <c r="C43" s="136"/>
      <c r="D43" s="83">
        <v>36</v>
      </c>
      <c r="E43" s="84" t="s">
        <v>480</v>
      </c>
      <c r="F43" s="83" t="s">
        <v>17</v>
      </c>
      <c r="G43" s="83" t="s">
        <v>477</v>
      </c>
      <c r="H43" s="83" t="s">
        <v>1</v>
      </c>
      <c r="I43" s="83" t="s">
        <v>14</v>
      </c>
      <c r="J43" s="84" t="s">
        <v>1634</v>
      </c>
      <c r="K43" s="85">
        <v>36124</v>
      </c>
      <c r="L43" s="83">
        <v>1998</v>
      </c>
      <c r="M43" s="83">
        <f t="shared" si="2"/>
        <v>21</v>
      </c>
      <c r="N43" s="83" t="s">
        <v>3</v>
      </c>
      <c r="O43" s="83" t="s">
        <v>1137</v>
      </c>
      <c r="P43" s="84" t="s">
        <v>1138</v>
      </c>
      <c r="Q43" s="83"/>
      <c r="R43" s="84" t="s">
        <v>1554</v>
      </c>
    </row>
    <row r="44" spans="2:18" ht="25.5" x14ac:dyDescent="0.2">
      <c r="B44" s="136"/>
      <c r="C44" s="136"/>
      <c r="D44" s="83">
        <v>37</v>
      </c>
      <c r="E44" s="84" t="s">
        <v>481</v>
      </c>
      <c r="F44" s="83" t="s">
        <v>17</v>
      </c>
      <c r="G44" s="83" t="s">
        <v>477</v>
      </c>
      <c r="H44" s="83" t="s">
        <v>1</v>
      </c>
      <c r="I44" s="83" t="s">
        <v>14</v>
      </c>
      <c r="J44" s="84" t="s">
        <v>1156</v>
      </c>
      <c r="K44" s="85">
        <v>37874</v>
      </c>
      <c r="L44" s="83">
        <v>2003</v>
      </c>
      <c r="M44" s="83">
        <f t="shared" si="2"/>
        <v>16</v>
      </c>
      <c r="N44" s="83" t="s">
        <v>3</v>
      </c>
      <c r="O44" s="83" t="s">
        <v>1137</v>
      </c>
      <c r="P44" s="84" t="s">
        <v>1178</v>
      </c>
      <c r="Q44" s="83"/>
      <c r="R44" s="84" t="s">
        <v>1554</v>
      </c>
    </row>
    <row r="45" spans="2:18" ht="25.5" x14ac:dyDescent="0.2">
      <c r="B45" s="136"/>
      <c r="C45" s="136"/>
      <c r="D45" s="83">
        <v>38</v>
      </c>
      <c r="E45" s="84" t="s">
        <v>482</v>
      </c>
      <c r="F45" s="83" t="s">
        <v>17</v>
      </c>
      <c r="G45" s="83" t="s">
        <v>477</v>
      </c>
      <c r="H45" s="83" t="s">
        <v>1</v>
      </c>
      <c r="I45" s="83" t="s">
        <v>14</v>
      </c>
      <c r="J45" s="84" t="s">
        <v>1166</v>
      </c>
      <c r="K45" s="85">
        <v>40626</v>
      </c>
      <c r="L45" s="83">
        <v>2011</v>
      </c>
      <c r="M45" s="83">
        <f t="shared" si="2"/>
        <v>8</v>
      </c>
      <c r="N45" s="83" t="s">
        <v>3</v>
      </c>
      <c r="O45" s="83" t="s">
        <v>1137</v>
      </c>
      <c r="P45" s="84" t="s">
        <v>1139</v>
      </c>
      <c r="Q45" s="83"/>
      <c r="R45" s="84" t="s">
        <v>1140</v>
      </c>
    </row>
    <row r="46" spans="2:18" ht="25.5" x14ac:dyDescent="0.2">
      <c r="B46" s="136">
        <v>11</v>
      </c>
      <c r="C46" s="136" t="s">
        <v>1566</v>
      </c>
      <c r="D46" s="83">
        <v>39</v>
      </c>
      <c r="E46" s="84" t="s">
        <v>483</v>
      </c>
      <c r="F46" s="83" t="s">
        <v>6</v>
      </c>
      <c r="G46" s="83" t="s">
        <v>1567</v>
      </c>
      <c r="H46" s="83" t="s">
        <v>1</v>
      </c>
      <c r="I46" s="83" t="s">
        <v>2</v>
      </c>
      <c r="J46" s="84" t="s">
        <v>1156</v>
      </c>
      <c r="K46" s="85">
        <v>26177</v>
      </c>
      <c r="L46" s="83">
        <v>1971</v>
      </c>
      <c r="M46" s="83">
        <f t="shared" si="2"/>
        <v>48</v>
      </c>
      <c r="N46" s="83" t="s">
        <v>3</v>
      </c>
      <c r="O46" s="83" t="s">
        <v>1137</v>
      </c>
      <c r="P46" s="84" t="s">
        <v>1232</v>
      </c>
      <c r="Q46" s="83"/>
      <c r="R46" s="84" t="s">
        <v>1573</v>
      </c>
    </row>
    <row r="47" spans="2:18" ht="25.5" x14ac:dyDescent="0.2">
      <c r="B47" s="136"/>
      <c r="C47" s="136"/>
      <c r="D47" s="83">
        <v>40</v>
      </c>
      <c r="E47" s="84" t="s">
        <v>484</v>
      </c>
      <c r="F47" s="83" t="s">
        <v>11</v>
      </c>
      <c r="G47" s="83" t="s">
        <v>1568</v>
      </c>
      <c r="H47" s="83" t="s">
        <v>9</v>
      </c>
      <c r="I47" s="83" t="s">
        <v>2</v>
      </c>
      <c r="J47" s="84" t="s">
        <v>1572</v>
      </c>
      <c r="K47" s="85">
        <v>29578</v>
      </c>
      <c r="L47" s="83">
        <v>1980</v>
      </c>
      <c r="M47" s="83">
        <f t="shared" si="2"/>
        <v>39</v>
      </c>
      <c r="N47" s="83" t="s">
        <v>3</v>
      </c>
      <c r="O47" s="83" t="s">
        <v>1137</v>
      </c>
      <c r="P47" s="84" t="s">
        <v>1159</v>
      </c>
      <c r="Q47" s="83"/>
      <c r="R47" s="84" t="s">
        <v>1141</v>
      </c>
    </row>
    <row r="48" spans="2:18" ht="25.5" x14ac:dyDescent="0.2">
      <c r="B48" s="136"/>
      <c r="C48" s="136"/>
      <c r="D48" s="83">
        <v>41</v>
      </c>
      <c r="E48" s="84" t="s">
        <v>485</v>
      </c>
      <c r="F48" s="83" t="s">
        <v>17</v>
      </c>
      <c r="G48" s="83" t="s">
        <v>1569</v>
      </c>
      <c r="H48" s="83" t="s">
        <v>1</v>
      </c>
      <c r="I48" s="83" t="s">
        <v>14</v>
      </c>
      <c r="J48" s="84" t="s">
        <v>1572</v>
      </c>
      <c r="K48" s="85">
        <v>36980</v>
      </c>
      <c r="L48" s="83">
        <v>2001</v>
      </c>
      <c r="M48" s="83">
        <f t="shared" si="2"/>
        <v>18</v>
      </c>
      <c r="N48" s="83" t="s">
        <v>3</v>
      </c>
      <c r="O48" s="83" t="s">
        <v>1137</v>
      </c>
      <c r="P48" s="84" t="s">
        <v>1138</v>
      </c>
      <c r="Q48" s="83"/>
      <c r="R48" s="84" t="s">
        <v>1554</v>
      </c>
    </row>
    <row r="49" spans="2:18" ht="25.5" x14ac:dyDescent="0.2">
      <c r="B49" s="136"/>
      <c r="C49" s="136"/>
      <c r="D49" s="83">
        <v>42</v>
      </c>
      <c r="E49" s="84" t="s">
        <v>1565</v>
      </c>
      <c r="F49" s="83" t="s">
        <v>17</v>
      </c>
      <c r="G49" s="83" t="s">
        <v>1570</v>
      </c>
      <c r="H49" s="83" t="s">
        <v>1</v>
      </c>
      <c r="I49" s="83" t="s">
        <v>14</v>
      </c>
      <c r="J49" s="84" t="s">
        <v>1572</v>
      </c>
      <c r="K49" s="85">
        <v>38408</v>
      </c>
      <c r="L49" s="83">
        <v>2005</v>
      </c>
      <c r="M49" s="83">
        <f t="shared" si="2"/>
        <v>14</v>
      </c>
      <c r="N49" s="83" t="s">
        <v>3</v>
      </c>
      <c r="O49" s="83" t="s">
        <v>1137</v>
      </c>
      <c r="P49" s="84" t="s">
        <v>1178</v>
      </c>
      <c r="Q49" s="83"/>
      <c r="R49" s="84" t="s">
        <v>1554</v>
      </c>
    </row>
    <row r="50" spans="2:18" ht="25.5" x14ac:dyDescent="0.2">
      <c r="B50" s="136"/>
      <c r="C50" s="136"/>
      <c r="D50" s="83">
        <v>43</v>
      </c>
      <c r="E50" s="84" t="s">
        <v>486</v>
      </c>
      <c r="F50" s="83" t="s">
        <v>17</v>
      </c>
      <c r="G50" s="83" t="s">
        <v>1571</v>
      </c>
      <c r="H50" s="83" t="s">
        <v>9</v>
      </c>
      <c r="I50" s="83" t="s">
        <v>14</v>
      </c>
      <c r="J50" s="84" t="s">
        <v>1156</v>
      </c>
      <c r="K50" s="85">
        <v>40662</v>
      </c>
      <c r="L50" s="83">
        <v>2011</v>
      </c>
      <c r="M50" s="83">
        <f t="shared" si="2"/>
        <v>8</v>
      </c>
      <c r="N50" s="83" t="s">
        <v>3</v>
      </c>
      <c r="O50" s="83" t="s">
        <v>1137</v>
      </c>
      <c r="P50" s="84" t="s">
        <v>1139</v>
      </c>
      <c r="Q50" s="83"/>
      <c r="R50" s="84" t="s">
        <v>1140</v>
      </c>
    </row>
    <row r="51" spans="2:18" ht="25.5" x14ac:dyDescent="0.2">
      <c r="B51" s="136">
        <v>12</v>
      </c>
      <c r="C51" s="136" t="s">
        <v>1542</v>
      </c>
      <c r="D51" s="83">
        <v>44</v>
      </c>
      <c r="E51" s="84" t="s">
        <v>487</v>
      </c>
      <c r="F51" s="83" t="s">
        <v>6</v>
      </c>
      <c r="G51" s="83" t="s">
        <v>1543</v>
      </c>
      <c r="H51" s="83" t="s">
        <v>1</v>
      </c>
      <c r="I51" s="83" t="s">
        <v>2</v>
      </c>
      <c r="J51" s="84" t="s">
        <v>1148</v>
      </c>
      <c r="K51" s="85">
        <v>24607</v>
      </c>
      <c r="L51" s="83">
        <v>1967</v>
      </c>
      <c r="M51" s="83">
        <f t="shared" si="2"/>
        <v>52</v>
      </c>
      <c r="N51" s="83" t="s">
        <v>3</v>
      </c>
      <c r="O51" s="83" t="s">
        <v>1137</v>
      </c>
      <c r="P51" s="84" t="s">
        <v>1138</v>
      </c>
      <c r="Q51" s="83"/>
      <c r="R51" s="84" t="s">
        <v>1396</v>
      </c>
    </row>
    <row r="52" spans="2:18" ht="25.5" x14ac:dyDescent="0.2">
      <c r="B52" s="136"/>
      <c r="C52" s="136"/>
      <c r="D52" s="83">
        <v>45</v>
      </c>
      <c r="E52" s="84" t="s">
        <v>488</v>
      </c>
      <c r="F52" s="83" t="s">
        <v>11</v>
      </c>
      <c r="G52" s="83" t="s">
        <v>1544</v>
      </c>
      <c r="H52" s="83" t="s">
        <v>9</v>
      </c>
      <c r="I52" s="83" t="s">
        <v>2</v>
      </c>
      <c r="J52" s="84" t="s">
        <v>1148</v>
      </c>
      <c r="K52" s="85">
        <v>22098</v>
      </c>
      <c r="L52" s="83">
        <v>1960</v>
      </c>
      <c r="M52" s="83">
        <f t="shared" si="2"/>
        <v>59</v>
      </c>
      <c r="N52" s="83" t="s">
        <v>3</v>
      </c>
      <c r="O52" s="83" t="s">
        <v>1137</v>
      </c>
      <c r="P52" s="84" t="s">
        <v>1138</v>
      </c>
      <c r="Q52" s="83"/>
      <c r="R52" s="84" t="s">
        <v>1141</v>
      </c>
    </row>
    <row r="53" spans="2:18" ht="25.5" x14ac:dyDescent="0.2">
      <c r="B53" s="136">
        <v>13</v>
      </c>
      <c r="C53" s="136" t="s">
        <v>1575</v>
      </c>
      <c r="D53" s="83">
        <v>46</v>
      </c>
      <c r="E53" s="84" t="s">
        <v>489</v>
      </c>
      <c r="F53" s="83" t="s">
        <v>6</v>
      </c>
      <c r="G53" s="83" t="s">
        <v>1576</v>
      </c>
      <c r="H53" s="83" t="s">
        <v>1</v>
      </c>
      <c r="I53" s="83" t="s">
        <v>2</v>
      </c>
      <c r="J53" s="84" t="s">
        <v>1136</v>
      </c>
      <c r="K53" s="85">
        <v>26481</v>
      </c>
      <c r="L53" s="83">
        <v>1972</v>
      </c>
      <c r="M53" s="83">
        <f t="shared" si="2"/>
        <v>47</v>
      </c>
      <c r="N53" s="83" t="s">
        <v>3</v>
      </c>
      <c r="O53" s="83" t="s">
        <v>1137</v>
      </c>
      <c r="P53" s="84" t="s">
        <v>1159</v>
      </c>
      <c r="Q53" s="83"/>
      <c r="R53" s="84" t="s">
        <v>1404</v>
      </c>
    </row>
    <row r="54" spans="2:18" ht="25.5" x14ac:dyDescent="0.2">
      <c r="B54" s="136"/>
      <c r="C54" s="136"/>
      <c r="D54" s="83">
        <v>47</v>
      </c>
      <c r="E54" s="84" t="s">
        <v>490</v>
      </c>
      <c r="F54" s="83" t="s">
        <v>11</v>
      </c>
      <c r="G54" s="83" t="s">
        <v>1577</v>
      </c>
      <c r="H54" s="83" t="s">
        <v>9</v>
      </c>
      <c r="I54" s="83" t="s">
        <v>2</v>
      </c>
      <c r="J54" s="84" t="s">
        <v>1136</v>
      </c>
      <c r="K54" s="85">
        <v>28439</v>
      </c>
      <c r="L54" s="83">
        <v>1977</v>
      </c>
      <c r="M54" s="83">
        <f t="shared" si="2"/>
        <v>42</v>
      </c>
      <c r="N54" s="83" t="s">
        <v>3</v>
      </c>
      <c r="O54" s="83" t="s">
        <v>1137</v>
      </c>
      <c r="P54" s="84" t="s">
        <v>1159</v>
      </c>
      <c r="Q54" s="83"/>
      <c r="R54" s="84" t="s">
        <v>1141</v>
      </c>
    </row>
    <row r="55" spans="2:18" ht="25.5" x14ac:dyDescent="0.2">
      <c r="B55" s="136"/>
      <c r="C55" s="136"/>
      <c r="D55" s="83">
        <v>48</v>
      </c>
      <c r="E55" s="84" t="s">
        <v>491</v>
      </c>
      <c r="F55" s="83" t="s">
        <v>17</v>
      </c>
      <c r="G55" s="83" t="s">
        <v>1578</v>
      </c>
      <c r="H55" s="83" t="s">
        <v>1</v>
      </c>
      <c r="I55" s="83" t="s">
        <v>492</v>
      </c>
      <c r="J55" s="84" t="s">
        <v>1156</v>
      </c>
      <c r="K55" s="85">
        <v>37219</v>
      </c>
      <c r="L55" s="83">
        <v>2001</v>
      </c>
      <c r="M55" s="83">
        <f t="shared" si="2"/>
        <v>18</v>
      </c>
      <c r="N55" s="83" t="s">
        <v>3</v>
      </c>
      <c r="O55" s="83" t="s">
        <v>1137</v>
      </c>
      <c r="P55" s="84" t="s">
        <v>1172</v>
      </c>
      <c r="Q55" s="83"/>
      <c r="R55" s="84" t="s">
        <v>1554</v>
      </c>
    </row>
    <row r="56" spans="2:18" ht="38.25" x14ac:dyDescent="0.2">
      <c r="B56" s="136"/>
      <c r="C56" s="136"/>
      <c r="D56" s="83">
        <v>49</v>
      </c>
      <c r="E56" s="84" t="s">
        <v>1574</v>
      </c>
      <c r="F56" s="83" t="s">
        <v>17</v>
      </c>
      <c r="G56" s="83" t="s">
        <v>1579</v>
      </c>
      <c r="H56" s="83" t="s">
        <v>9</v>
      </c>
      <c r="I56" s="83" t="s">
        <v>492</v>
      </c>
      <c r="J56" s="84" t="s">
        <v>1156</v>
      </c>
      <c r="K56" s="85">
        <v>38761</v>
      </c>
      <c r="L56" s="83">
        <v>2006</v>
      </c>
      <c r="M56" s="83">
        <f t="shared" si="2"/>
        <v>13</v>
      </c>
      <c r="N56" s="83" t="s">
        <v>3</v>
      </c>
      <c r="O56" s="83" t="s">
        <v>1137</v>
      </c>
      <c r="P56" s="84" t="s">
        <v>1178</v>
      </c>
      <c r="Q56" s="83"/>
      <c r="R56" s="84" t="s">
        <v>1554</v>
      </c>
    </row>
    <row r="57" spans="2:18" x14ac:dyDescent="0.2">
      <c r="B57" s="136">
        <v>14</v>
      </c>
      <c r="C57" s="136"/>
      <c r="D57" s="83">
        <v>50</v>
      </c>
      <c r="E57" s="84" t="s">
        <v>493</v>
      </c>
      <c r="F57" s="83" t="s">
        <v>6</v>
      </c>
      <c r="G57" s="83" t="s">
        <v>494</v>
      </c>
      <c r="H57" s="83" t="s">
        <v>9</v>
      </c>
      <c r="I57" s="83" t="s">
        <v>24</v>
      </c>
      <c r="J57" s="84"/>
      <c r="K57" s="85">
        <v>18628</v>
      </c>
      <c r="L57" s="83">
        <v>1950</v>
      </c>
      <c r="M57" s="83">
        <f t="shared" si="2"/>
        <v>69</v>
      </c>
      <c r="N57" s="83" t="s">
        <v>3</v>
      </c>
      <c r="O57" s="83"/>
      <c r="P57" s="84" t="s">
        <v>16</v>
      </c>
      <c r="Q57" s="83"/>
      <c r="R57" s="84" t="s">
        <v>25</v>
      </c>
    </row>
    <row r="58" spans="2:18" x14ac:dyDescent="0.2">
      <c r="B58" s="136"/>
      <c r="C58" s="136"/>
      <c r="D58" s="83">
        <v>51</v>
      </c>
      <c r="E58" s="84" t="s">
        <v>495</v>
      </c>
      <c r="F58" s="83" t="s">
        <v>17</v>
      </c>
      <c r="G58" s="83" t="s">
        <v>496</v>
      </c>
      <c r="H58" s="83" t="s">
        <v>9</v>
      </c>
      <c r="I58" s="83" t="s">
        <v>14</v>
      </c>
      <c r="J58" s="84"/>
      <c r="K58" s="85">
        <v>30806</v>
      </c>
      <c r="L58" s="83">
        <v>1984</v>
      </c>
      <c r="M58" s="83">
        <f t="shared" si="2"/>
        <v>35</v>
      </c>
      <c r="N58" s="83" t="s">
        <v>3</v>
      </c>
      <c r="O58" s="83"/>
      <c r="P58" s="84" t="s">
        <v>15</v>
      </c>
      <c r="Q58" s="83"/>
      <c r="R58" s="84" t="s">
        <v>10</v>
      </c>
    </row>
    <row r="59" spans="2:18" x14ac:dyDescent="0.2">
      <c r="B59" s="136"/>
      <c r="C59" s="136"/>
      <c r="D59" s="83">
        <v>52</v>
      </c>
      <c r="E59" s="84" t="s">
        <v>497</v>
      </c>
      <c r="F59" s="83" t="s">
        <v>17</v>
      </c>
      <c r="G59" s="83" t="s">
        <v>498</v>
      </c>
      <c r="H59" s="83" t="s">
        <v>1</v>
      </c>
      <c r="I59" s="83" t="s">
        <v>14</v>
      </c>
      <c r="J59" s="84"/>
      <c r="K59" s="85">
        <v>32508</v>
      </c>
      <c r="L59" s="83">
        <v>1988</v>
      </c>
      <c r="M59" s="83">
        <f t="shared" si="2"/>
        <v>31</v>
      </c>
      <c r="N59" s="83" t="s">
        <v>3</v>
      </c>
      <c r="O59" s="83"/>
      <c r="P59" s="84" t="s">
        <v>15</v>
      </c>
      <c r="Q59" s="83"/>
      <c r="R59" s="84" t="s">
        <v>10</v>
      </c>
    </row>
    <row r="60" spans="2:18" x14ac:dyDescent="0.2">
      <c r="B60" s="136">
        <v>15</v>
      </c>
      <c r="C60" s="136"/>
      <c r="D60" s="83">
        <v>53</v>
      </c>
      <c r="E60" s="86" t="s">
        <v>499</v>
      </c>
      <c r="F60" s="83" t="s">
        <v>6</v>
      </c>
      <c r="G60" s="83" t="s">
        <v>500</v>
      </c>
      <c r="H60" s="83" t="s">
        <v>9</v>
      </c>
      <c r="I60" s="83" t="s">
        <v>24</v>
      </c>
      <c r="J60" s="84"/>
      <c r="K60" s="85">
        <v>20089</v>
      </c>
      <c r="L60" s="83">
        <v>1954</v>
      </c>
      <c r="M60" s="83">
        <f t="shared" si="2"/>
        <v>65</v>
      </c>
      <c r="N60" s="83" t="s">
        <v>3</v>
      </c>
      <c r="O60" s="83"/>
      <c r="P60" s="84" t="s">
        <v>16</v>
      </c>
      <c r="Q60" s="83"/>
      <c r="R60" s="84" t="s">
        <v>16</v>
      </c>
    </row>
    <row r="61" spans="2:18" ht="25.5" x14ac:dyDescent="0.2">
      <c r="B61" s="136"/>
      <c r="C61" s="136"/>
      <c r="D61" s="83">
        <v>54</v>
      </c>
      <c r="E61" s="84" t="s">
        <v>501</v>
      </c>
      <c r="F61" s="83" t="s">
        <v>25</v>
      </c>
      <c r="G61" s="83">
        <v>0</v>
      </c>
      <c r="H61" s="83" t="s">
        <v>1</v>
      </c>
      <c r="I61" s="83" t="s">
        <v>14</v>
      </c>
      <c r="J61" s="84"/>
      <c r="K61" s="85">
        <v>38491</v>
      </c>
      <c r="L61" s="83">
        <v>2005</v>
      </c>
      <c r="M61" s="83">
        <f t="shared" si="2"/>
        <v>14</v>
      </c>
      <c r="N61" s="83" t="s">
        <v>3</v>
      </c>
      <c r="O61" s="83"/>
      <c r="P61" s="84" t="s">
        <v>16</v>
      </c>
      <c r="Q61" s="83"/>
      <c r="R61" s="84" t="s">
        <v>16</v>
      </c>
    </row>
    <row r="62" spans="2:18" ht="25.5" x14ac:dyDescent="0.2">
      <c r="B62" s="136"/>
      <c r="C62" s="136"/>
      <c r="D62" s="83">
        <v>55</v>
      </c>
      <c r="E62" s="84" t="s">
        <v>502</v>
      </c>
      <c r="F62" s="83" t="s">
        <v>25</v>
      </c>
      <c r="G62" s="83">
        <v>0</v>
      </c>
      <c r="H62" s="83" t="s">
        <v>9</v>
      </c>
      <c r="I62" s="83" t="s">
        <v>14</v>
      </c>
      <c r="J62" s="84"/>
      <c r="K62" s="85">
        <v>39942</v>
      </c>
      <c r="L62" s="83">
        <v>2009</v>
      </c>
      <c r="M62" s="83">
        <f t="shared" si="2"/>
        <v>10</v>
      </c>
      <c r="N62" s="83" t="s">
        <v>3</v>
      </c>
      <c r="O62" s="83"/>
      <c r="P62" s="84" t="s">
        <v>16</v>
      </c>
      <c r="Q62" s="83"/>
      <c r="R62" s="84" t="s">
        <v>16</v>
      </c>
    </row>
    <row r="63" spans="2:18" x14ac:dyDescent="0.2">
      <c r="B63" s="136">
        <v>16</v>
      </c>
      <c r="C63" s="136" t="s">
        <v>1555</v>
      </c>
      <c r="D63" s="83">
        <v>56</v>
      </c>
      <c r="E63" s="84" t="s">
        <v>503</v>
      </c>
      <c r="F63" s="83" t="s">
        <v>6</v>
      </c>
      <c r="G63" s="83" t="s">
        <v>504</v>
      </c>
      <c r="H63" s="83" t="s">
        <v>1</v>
      </c>
      <c r="I63" s="83" t="s">
        <v>2</v>
      </c>
      <c r="J63" s="84" t="s">
        <v>1209</v>
      </c>
      <c r="K63" s="85">
        <v>30916</v>
      </c>
      <c r="L63" s="83">
        <v>1984</v>
      </c>
      <c r="M63" s="83">
        <f t="shared" si="2"/>
        <v>35</v>
      </c>
      <c r="N63" s="83" t="s">
        <v>3</v>
      </c>
      <c r="O63" s="83" t="s">
        <v>1137</v>
      </c>
      <c r="P63" s="84" t="s">
        <v>1159</v>
      </c>
      <c r="Q63" s="83"/>
      <c r="R63" s="84" t="s">
        <v>10</v>
      </c>
    </row>
    <row r="64" spans="2:18" ht="25.5" x14ac:dyDescent="0.2">
      <c r="B64" s="136"/>
      <c r="C64" s="136"/>
      <c r="D64" s="83">
        <v>57</v>
      </c>
      <c r="E64" s="84" t="s">
        <v>505</v>
      </c>
      <c r="F64" s="83" t="s">
        <v>11</v>
      </c>
      <c r="G64" s="83" t="s">
        <v>1556</v>
      </c>
      <c r="H64" s="83" t="s">
        <v>9</v>
      </c>
      <c r="I64" s="83" t="s">
        <v>2</v>
      </c>
      <c r="J64" s="84" t="s">
        <v>1560</v>
      </c>
      <c r="K64" s="85">
        <v>31145</v>
      </c>
      <c r="L64" s="83">
        <v>1985</v>
      </c>
      <c r="M64" s="83">
        <f t="shared" si="2"/>
        <v>34</v>
      </c>
      <c r="N64" s="83" t="s">
        <v>3</v>
      </c>
      <c r="O64" s="83" t="s">
        <v>1137</v>
      </c>
      <c r="P64" s="84" t="s">
        <v>1159</v>
      </c>
      <c r="Q64" s="83"/>
      <c r="R64" s="84" t="s">
        <v>1371</v>
      </c>
    </row>
    <row r="65" spans="2:18" ht="25.5" x14ac:dyDescent="0.2">
      <c r="B65" s="136"/>
      <c r="C65" s="136"/>
      <c r="D65" s="83">
        <v>58</v>
      </c>
      <c r="E65" s="84" t="s">
        <v>506</v>
      </c>
      <c r="F65" s="83" t="s">
        <v>17</v>
      </c>
      <c r="G65" s="83" t="s">
        <v>1557</v>
      </c>
      <c r="H65" s="83" t="s">
        <v>9</v>
      </c>
      <c r="I65" s="83" t="s">
        <v>14</v>
      </c>
      <c r="J65" s="84" t="s">
        <v>1209</v>
      </c>
      <c r="K65" s="85">
        <v>39284</v>
      </c>
      <c r="L65" s="83">
        <v>2007</v>
      </c>
      <c r="M65" s="83">
        <f t="shared" si="2"/>
        <v>12</v>
      </c>
      <c r="N65" s="83" t="s">
        <v>3</v>
      </c>
      <c r="O65" s="83" t="s">
        <v>1137</v>
      </c>
      <c r="P65" s="84" t="s">
        <v>1178</v>
      </c>
      <c r="Q65" s="83"/>
      <c r="R65" s="84" t="s">
        <v>1160</v>
      </c>
    </row>
    <row r="66" spans="2:18" ht="25.5" x14ac:dyDescent="0.2">
      <c r="B66" s="136"/>
      <c r="C66" s="136"/>
      <c r="D66" s="83">
        <v>59</v>
      </c>
      <c r="E66" s="84" t="s">
        <v>507</v>
      </c>
      <c r="F66" s="83" t="s">
        <v>17</v>
      </c>
      <c r="G66" s="83" t="s">
        <v>1558</v>
      </c>
      <c r="H66" s="83" t="s">
        <v>1</v>
      </c>
      <c r="I66" s="83" t="s">
        <v>14</v>
      </c>
      <c r="J66" s="84" t="s">
        <v>1209</v>
      </c>
      <c r="K66" s="85">
        <v>42139</v>
      </c>
      <c r="L66" s="83">
        <v>2015</v>
      </c>
      <c r="M66" s="83">
        <f t="shared" ref="M66" si="3">2019-L66</f>
        <v>4</v>
      </c>
      <c r="N66" s="83" t="s">
        <v>3</v>
      </c>
      <c r="O66" s="83" t="s">
        <v>1137</v>
      </c>
      <c r="P66" s="84" t="s">
        <v>1139</v>
      </c>
      <c r="Q66" s="83"/>
      <c r="R66" s="84" t="s">
        <v>1140</v>
      </c>
    </row>
    <row r="67" spans="2:18" ht="25.5" x14ac:dyDescent="0.2">
      <c r="B67" s="136"/>
      <c r="C67" s="136"/>
      <c r="D67" s="83">
        <v>60</v>
      </c>
      <c r="E67" s="86" t="s">
        <v>499</v>
      </c>
      <c r="F67" s="83" t="s">
        <v>1163</v>
      </c>
      <c r="G67" s="83" t="s">
        <v>1559</v>
      </c>
      <c r="H67" s="83" t="s">
        <v>9</v>
      </c>
      <c r="I67" s="83" t="s">
        <v>14</v>
      </c>
      <c r="J67" s="84" t="s">
        <v>1209</v>
      </c>
      <c r="K67" s="85">
        <v>23742</v>
      </c>
      <c r="L67" s="83">
        <v>1964</v>
      </c>
      <c r="M67" s="83">
        <f t="shared" si="2"/>
        <v>55</v>
      </c>
      <c r="N67" s="83" t="s">
        <v>3</v>
      </c>
      <c r="O67" s="83" t="s">
        <v>1137</v>
      </c>
      <c r="P67" s="84" t="s">
        <v>1139</v>
      </c>
      <c r="Q67" s="83"/>
      <c r="R67" s="84" t="s">
        <v>1140</v>
      </c>
    </row>
    <row r="68" spans="2:18" x14ac:dyDescent="0.2">
      <c r="B68" s="136">
        <v>17</v>
      </c>
      <c r="C68" s="136" t="s">
        <v>1162</v>
      </c>
      <c r="D68" s="83">
        <v>61</v>
      </c>
      <c r="E68" s="84" t="s">
        <v>508</v>
      </c>
      <c r="F68" s="83" t="s">
        <v>6</v>
      </c>
      <c r="G68" s="83" t="s">
        <v>509</v>
      </c>
      <c r="H68" s="83" t="s">
        <v>1</v>
      </c>
      <c r="I68" s="83" t="s">
        <v>2</v>
      </c>
      <c r="J68" s="84" t="s">
        <v>1164</v>
      </c>
      <c r="K68" s="85">
        <v>31760</v>
      </c>
      <c r="L68" s="83">
        <v>1986</v>
      </c>
      <c r="M68" s="83">
        <f t="shared" si="2"/>
        <v>33</v>
      </c>
      <c r="N68" s="83" t="s">
        <v>3</v>
      </c>
      <c r="O68" s="83" t="s">
        <v>1167</v>
      </c>
      <c r="P68" s="84" t="s">
        <v>1159</v>
      </c>
      <c r="Q68" s="83"/>
      <c r="R68" s="84" t="s">
        <v>10</v>
      </c>
    </row>
    <row r="69" spans="2:18" x14ac:dyDescent="0.2">
      <c r="B69" s="136"/>
      <c r="C69" s="136"/>
      <c r="D69" s="83">
        <v>62</v>
      </c>
      <c r="E69" s="84" t="s">
        <v>510</v>
      </c>
      <c r="F69" s="83" t="s">
        <v>11</v>
      </c>
      <c r="G69" s="83" t="s">
        <v>511</v>
      </c>
      <c r="H69" s="83" t="s">
        <v>9</v>
      </c>
      <c r="I69" s="83" t="s">
        <v>2</v>
      </c>
      <c r="J69" s="84" t="s">
        <v>1165</v>
      </c>
      <c r="K69" s="85">
        <v>32845</v>
      </c>
      <c r="L69" s="83">
        <v>1989</v>
      </c>
      <c r="M69" s="83">
        <f t="shared" si="2"/>
        <v>30</v>
      </c>
      <c r="N69" s="83" t="s">
        <v>3</v>
      </c>
      <c r="O69" s="83" t="s">
        <v>1137</v>
      </c>
      <c r="P69" s="84" t="s">
        <v>1159</v>
      </c>
      <c r="Q69" s="83"/>
      <c r="R69" s="84" t="s">
        <v>10</v>
      </c>
    </row>
    <row r="70" spans="2:18" ht="25.5" x14ac:dyDescent="0.2">
      <c r="B70" s="136"/>
      <c r="C70" s="136"/>
      <c r="D70" s="83">
        <v>63</v>
      </c>
      <c r="E70" s="84" t="s">
        <v>512</v>
      </c>
      <c r="F70" s="83" t="s">
        <v>17</v>
      </c>
      <c r="G70" s="83" t="s">
        <v>513</v>
      </c>
      <c r="H70" s="83" t="s">
        <v>9</v>
      </c>
      <c r="I70" s="83" t="s">
        <v>14</v>
      </c>
      <c r="J70" s="84" t="s">
        <v>1166</v>
      </c>
      <c r="K70" s="85">
        <v>41151</v>
      </c>
      <c r="L70" s="83">
        <v>2012</v>
      </c>
      <c r="M70" s="83">
        <f t="shared" ref="M70:M131" si="4">2019-L70</f>
        <v>7</v>
      </c>
      <c r="N70" s="83" t="s">
        <v>3</v>
      </c>
      <c r="O70" s="83" t="s">
        <v>1137</v>
      </c>
      <c r="P70" s="84" t="s">
        <v>1139</v>
      </c>
      <c r="Q70" s="83"/>
      <c r="R70" s="84" t="s">
        <v>1140</v>
      </c>
    </row>
    <row r="71" spans="2:18" ht="25.5" x14ac:dyDescent="0.2">
      <c r="B71" s="136"/>
      <c r="C71" s="136"/>
      <c r="D71" s="83">
        <v>64</v>
      </c>
      <c r="E71" s="84" t="s">
        <v>215</v>
      </c>
      <c r="F71" s="83" t="s">
        <v>1163</v>
      </c>
      <c r="G71" s="83" t="s">
        <v>514</v>
      </c>
      <c r="H71" s="83" t="s">
        <v>9</v>
      </c>
      <c r="I71" s="83" t="s">
        <v>2</v>
      </c>
      <c r="J71" s="84" t="s">
        <v>1165</v>
      </c>
      <c r="K71" s="85">
        <v>21898</v>
      </c>
      <c r="L71" s="83">
        <v>1959</v>
      </c>
      <c r="M71" s="83">
        <f t="shared" si="4"/>
        <v>60</v>
      </c>
      <c r="N71" s="83" t="s">
        <v>3</v>
      </c>
      <c r="O71" s="83" t="s">
        <v>1137</v>
      </c>
      <c r="P71" s="84" t="s">
        <v>1138</v>
      </c>
      <c r="Q71" s="83"/>
      <c r="R71" s="84" t="s">
        <v>1141</v>
      </c>
    </row>
    <row r="72" spans="2:18" x14ac:dyDescent="0.2">
      <c r="B72" s="136">
        <v>18</v>
      </c>
      <c r="C72" s="136"/>
      <c r="D72" s="83">
        <v>65</v>
      </c>
      <c r="E72" s="84" t="s">
        <v>515</v>
      </c>
      <c r="F72" s="83" t="s">
        <v>6</v>
      </c>
      <c r="G72" s="83" t="s">
        <v>516</v>
      </c>
      <c r="H72" s="83" t="s">
        <v>1</v>
      </c>
      <c r="I72" s="83" t="s">
        <v>2</v>
      </c>
      <c r="J72" s="84"/>
      <c r="K72" s="85">
        <v>32814</v>
      </c>
      <c r="L72" s="83">
        <v>1989</v>
      </c>
      <c r="M72" s="83">
        <f t="shared" si="4"/>
        <v>30</v>
      </c>
      <c r="N72" s="83" t="s">
        <v>3</v>
      </c>
      <c r="O72" s="83"/>
      <c r="P72" s="84" t="s">
        <v>15</v>
      </c>
      <c r="Q72" s="83"/>
      <c r="R72" s="84" t="s">
        <v>10</v>
      </c>
    </row>
    <row r="73" spans="2:18" x14ac:dyDescent="0.2">
      <c r="B73" s="136"/>
      <c r="C73" s="136"/>
      <c r="D73" s="83">
        <v>66</v>
      </c>
      <c r="E73" s="84" t="s">
        <v>517</v>
      </c>
      <c r="F73" s="83" t="s">
        <v>11</v>
      </c>
      <c r="G73" s="83" t="s">
        <v>518</v>
      </c>
      <c r="H73" s="83" t="s">
        <v>9</v>
      </c>
      <c r="I73" s="83" t="s">
        <v>2</v>
      </c>
      <c r="J73" s="84"/>
      <c r="K73" s="85">
        <v>32456</v>
      </c>
      <c r="L73" s="83">
        <v>1988</v>
      </c>
      <c r="M73" s="83">
        <f t="shared" si="4"/>
        <v>31</v>
      </c>
      <c r="N73" s="83" t="s">
        <v>3</v>
      </c>
      <c r="O73" s="83"/>
      <c r="P73" s="84" t="s">
        <v>15</v>
      </c>
      <c r="Q73" s="83"/>
      <c r="R73" s="84" t="s">
        <v>10</v>
      </c>
    </row>
    <row r="74" spans="2:18" ht="25.5" x14ac:dyDescent="0.2">
      <c r="B74" s="136"/>
      <c r="C74" s="136"/>
      <c r="D74" s="83">
        <v>67</v>
      </c>
      <c r="E74" s="84" t="s">
        <v>519</v>
      </c>
      <c r="F74" s="83" t="s">
        <v>17</v>
      </c>
      <c r="G74" s="83" t="s">
        <v>520</v>
      </c>
      <c r="H74" s="83" t="s">
        <v>9</v>
      </c>
      <c r="I74" s="83" t="s">
        <v>14</v>
      </c>
      <c r="J74" s="84"/>
      <c r="K74" s="85">
        <v>40396</v>
      </c>
      <c r="L74" s="83">
        <v>2010</v>
      </c>
      <c r="M74" s="83">
        <f t="shared" si="4"/>
        <v>9</v>
      </c>
      <c r="N74" s="83" t="s">
        <v>3</v>
      </c>
      <c r="O74" s="83"/>
      <c r="P74" s="84" t="s">
        <v>16</v>
      </c>
      <c r="Q74" s="83"/>
      <c r="R74" s="84" t="s">
        <v>16</v>
      </c>
    </row>
    <row r="75" spans="2:18" x14ac:dyDescent="0.2">
      <c r="B75" s="136"/>
      <c r="C75" s="136"/>
      <c r="D75" s="83">
        <v>68</v>
      </c>
      <c r="E75" s="84" t="s">
        <v>521</v>
      </c>
      <c r="F75" s="83" t="s">
        <v>17</v>
      </c>
      <c r="G75" s="83" t="s">
        <v>522</v>
      </c>
      <c r="H75" s="83" t="s">
        <v>9</v>
      </c>
      <c r="I75" s="83" t="s">
        <v>14</v>
      </c>
      <c r="J75" s="84"/>
      <c r="K75" s="85">
        <v>41244</v>
      </c>
      <c r="L75" s="83">
        <v>2012</v>
      </c>
      <c r="M75" s="83">
        <f t="shared" si="4"/>
        <v>7</v>
      </c>
      <c r="N75" s="83" t="s">
        <v>3</v>
      </c>
      <c r="O75" s="83"/>
      <c r="P75" s="84" t="s">
        <v>16</v>
      </c>
      <c r="Q75" s="83"/>
      <c r="R75" s="84" t="s">
        <v>16</v>
      </c>
    </row>
    <row r="76" spans="2:18" x14ac:dyDescent="0.2">
      <c r="B76" s="136">
        <v>19</v>
      </c>
      <c r="C76" s="136"/>
      <c r="D76" s="83">
        <v>69</v>
      </c>
      <c r="E76" s="84" t="s">
        <v>523</v>
      </c>
      <c r="F76" s="83" t="s">
        <v>6</v>
      </c>
      <c r="G76" s="83" t="s">
        <v>524</v>
      </c>
      <c r="H76" s="83" t="s">
        <v>9</v>
      </c>
      <c r="I76" s="83" t="s">
        <v>24</v>
      </c>
      <c r="J76" s="84"/>
      <c r="K76" s="85">
        <v>28855</v>
      </c>
      <c r="L76" s="83">
        <v>1978</v>
      </c>
      <c r="M76" s="83">
        <f t="shared" si="4"/>
        <v>41</v>
      </c>
      <c r="N76" s="83" t="s">
        <v>3</v>
      </c>
      <c r="O76" s="83"/>
      <c r="P76" s="84" t="s">
        <v>15</v>
      </c>
      <c r="Q76" s="83"/>
      <c r="R76" s="84" t="s">
        <v>109</v>
      </c>
    </row>
    <row r="77" spans="2:18" ht="25.5" x14ac:dyDescent="0.2">
      <c r="B77" s="136"/>
      <c r="C77" s="136"/>
      <c r="D77" s="83">
        <v>70</v>
      </c>
      <c r="E77" s="84" t="s">
        <v>525</v>
      </c>
      <c r="F77" s="83" t="s">
        <v>17</v>
      </c>
      <c r="G77" s="83" t="s">
        <v>526</v>
      </c>
      <c r="H77" s="83" t="s">
        <v>1</v>
      </c>
      <c r="I77" s="83" t="s">
        <v>14</v>
      </c>
      <c r="J77" s="84"/>
      <c r="K77" s="85">
        <v>38101</v>
      </c>
      <c r="L77" s="83">
        <v>2004</v>
      </c>
      <c r="M77" s="83">
        <f t="shared" si="4"/>
        <v>15</v>
      </c>
      <c r="N77" s="83" t="s">
        <v>3</v>
      </c>
      <c r="O77" s="83"/>
      <c r="P77" s="84" t="s">
        <v>16</v>
      </c>
      <c r="Q77" s="83"/>
      <c r="R77" s="84" t="s">
        <v>16</v>
      </c>
    </row>
    <row r="78" spans="2:18" ht="25.5" x14ac:dyDescent="0.2">
      <c r="B78" s="136"/>
      <c r="C78" s="136"/>
      <c r="D78" s="83">
        <v>71</v>
      </c>
      <c r="E78" s="84" t="s">
        <v>527</v>
      </c>
      <c r="F78" s="83" t="s">
        <v>17</v>
      </c>
      <c r="G78" s="83" t="s">
        <v>528</v>
      </c>
      <c r="H78" s="83" t="s">
        <v>9</v>
      </c>
      <c r="I78" s="83" t="s">
        <v>14</v>
      </c>
      <c r="J78" s="84"/>
      <c r="K78" s="85">
        <v>40338</v>
      </c>
      <c r="L78" s="83">
        <v>2010</v>
      </c>
      <c r="M78" s="83">
        <f t="shared" si="4"/>
        <v>9</v>
      </c>
      <c r="N78" s="83" t="s">
        <v>3</v>
      </c>
      <c r="O78" s="83"/>
      <c r="P78" s="84" t="s">
        <v>16</v>
      </c>
      <c r="Q78" s="83"/>
      <c r="R78" s="84" t="s">
        <v>16</v>
      </c>
    </row>
    <row r="79" spans="2:18" x14ac:dyDescent="0.2">
      <c r="B79" s="136"/>
      <c r="C79" s="136"/>
      <c r="D79" s="83">
        <v>72</v>
      </c>
      <c r="E79" s="84" t="s">
        <v>529</v>
      </c>
      <c r="F79" s="83" t="s">
        <v>17</v>
      </c>
      <c r="G79" s="83" t="s">
        <v>530</v>
      </c>
      <c r="H79" s="83" t="s">
        <v>9</v>
      </c>
      <c r="I79" s="83" t="s">
        <v>14</v>
      </c>
      <c r="J79" s="84"/>
      <c r="K79" s="85">
        <v>40933</v>
      </c>
      <c r="L79" s="83">
        <v>2012</v>
      </c>
      <c r="M79" s="83">
        <f t="shared" si="4"/>
        <v>7</v>
      </c>
      <c r="N79" s="83" t="s">
        <v>3</v>
      </c>
      <c r="O79" s="83"/>
      <c r="P79" s="84" t="s">
        <v>16</v>
      </c>
      <c r="Q79" s="83"/>
      <c r="R79" s="84" t="s">
        <v>16</v>
      </c>
    </row>
    <row r="80" spans="2:18" x14ac:dyDescent="0.2">
      <c r="B80" s="136">
        <v>20</v>
      </c>
      <c r="C80" s="136"/>
      <c r="D80" s="83">
        <v>73</v>
      </c>
      <c r="E80" s="84" t="s">
        <v>531</v>
      </c>
      <c r="F80" s="83" t="s">
        <v>6</v>
      </c>
      <c r="G80" s="83" t="s">
        <v>532</v>
      </c>
      <c r="H80" s="83" t="s">
        <v>1</v>
      </c>
      <c r="I80" s="83" t="s">
        <v>2</v>
      </c>
      <c r="J80" s="84"/>
      <c r="K80" s="85">
        <v>14976</v>
      </c>
      <c r="L80" s="83">
        <v>1940</v>
      </c>
      <c r="M80" s="83">
        <f t="shared" si="4"/>
        <v>79</v>
      </c>
      <c r="N80" s="83" t="s">
        <v>3</v>
      </c>
      <c r="O80" s="83"/>
      <c r="P80" s="84" t="s">
        <v>54</v>
      </c>
      <c r="Q80" s="83"/>
      <c r="R80" s="84" t="s">
        <v>88</v>
      </c>
    </row>
    <row r="81" spans="2:18" x14ac:dyDescent="0.2">
      <c r="B81" s="136"/>
      <c r="C81" s="136"/>
      <c r="D81" s="83">
        <v>74</v>
      </c>
      <c r="E81" s="84" t="s">
        <v>533</v>
      </c>
      <c r="F81" s="83" t="s">
        <v>11</v>
      </c>
      <c r="G81" s="83">
        <v>0</v>
      </c>
      <c r="H81" s="83" t="s">
        <v>9</v>
      </c>
      <c r="I81" s="83" t="s">
        <v>2</v>
      </c>
      <c r="J81" s="84"/>
      <c r="K81" s="85">
        <v>18628</v>
      </c>
      <c r="L81" s="83">
        <v>1950</v>
      </c>
      <c r="M81" s="83">
        <f t="shared" si="4"/>
        <v>69</v>
      </c>
      <c r="N81" s="83" t="s">
        <v>3</v>
      </c>
      <c r="O81" s="83"/>
      <c r="P81" s="84" t="s">
        <v>16</v>
      </c>
      <c r="Q81" s="83"/>
      <c r="R81" s="84" t="s">
        <v>88</v>
      </c>
    </row>
    <row r="82" spans="2:18" ht="25.5" x14ac:dyDescent="0.2">
      <c r="B82" s="136">
        <v>21</v>
      </c>
      <c r="C82" s="136" t="s">
        <v>1391</v>
      </c>
      <c r="D82" s="83">
        <v>75</v>
      </c>
      <c r="E82" s="84" t="s">
        <v>1390</v>
      </c>
      <c r="F82" s="83" t="s">
        <v>6</v>
      </c>
      <c r="G82" s="83" t="s">
        <v>534</v>
      </c>
      <c r="H82" s="83" t="s">
        <v>1</v>
      </c>
      <c r="I82" s="83" t="s">
        <v>2</v>
      </c>
      <c r="J82" s="84" t="s">
        <v>1136</v>
      </c>
      <c r="K82" s="85">
        <v>12269</v>
      </c>
      <c r="L82" s="83">
        <v>1933</v>
      </c>
      <c r="M82" s="83">
        <f t="shared" si="4"/>
        <v>86</v>
      </c>
      <c r="N82" s="83" t="s">
        <v>3</v>
      </c>
      <c r="O82" s="83" t="s">
        <v>1137</v>
      </c>
      <c r="P82" s="84" t="s">
        <v>1138</v>
      </c>
      <c r="Q82" s="83"/>
      <c r="R82" s="84" t="s">
        <v>1396</v>
      </c>
    </row>
    <row r="83" spans="2:18" ht="25.5" x14ac:dyDescent="0.2">
      <c r="B83" s="136"/>
      <c r="C83" s="136"/>
      <c r="D83" s="83">
        <v>76</v>
      </c>
      <c r="E83" s="84" t="s">
        <v>535</v>
      </c>
      <c r="F83" s="83" t="s">
        <v>11</v>
      </c>
      <c r="G83" s="83" t="s">
        <v>1392</v>
      </c>
      <c r="H83" s="83" t="s">
        <v>9</v>
      </c>
      <c r="I83" s="83" t="s">
        <v>2</v>
      </c>
      <c r="J83" s="84" t="s">
        <v>1395</v>
      </c>
      <c r="K83" s="85">
        <v>11330</v>
      </c>
      <c r="L83" s="83">
        <v>1931</v>
      </c>
      <c r="M83" s="83">
        <f t="shared" si="4"/>
        <v>88</v>
      </c>
      <c r="N83" s="83" t="s">
        <v>3</v>
      </c>
      <c r="O83" s="83" t="s">
        <v>1137</v>
      </c>
      <c r="P83" s="84" t="s">
        <v>1138</v>
      </c>
      <c r="Q83" s="83"/>
      <c r="R83" s="84" t="s">
        <v>10</v>
      </c>
    </row>
    <row r="84" spans="2:18" x14ac:dyDescent="0.2">
      <c r="B84" s="136"/>
      <c r="C84" s="136"/>
      <c r="D84" s="83">
        <v>77</v>
      </c>
      <c r="E84" s="84" t="s">
        <v>536</v>
      </c>
      <c r="F84" s="83" t="s">
        <v>1394</v>
      </c>
      <c r="G84" s="83" t="s">
        <v>1393</v>
      </c>
      <c r="H84" s="83" t="s">
        <v>9</v>
      </c>
      <c r="I84" s="83" t="s">
        <v>14</v>
      </c>
      <c r="J84" s="84" t="s">
        <v>1156</v>
      </c>
      <c r="K84" s="85">
        <v>36168</v>
      </c>
      <c r="L84" s="83">
        <v>1999</v>
      </c>
      <c r="M84" s="83">
        <f t="shared" si="4"/>
        <v>20</v>
      </c>
      <c r="N84" s="83" t="s">
        <v>3</v>
      </c>
      <c r="O84" s="83" t="s">
        <v>1137</v>
      </c>
      <c r="P84" s="84" t="s">
        <v>1159</v>
      </c>
      <c r="Q84" s="83"/>
      <c r="R84" s="84" t="s">
        <v>1160</v>
      </c>
    </row>
    <row r="85" spans="2:18" ht="25.5" x14ac:dyDescent="0.2">
      <c r="B85" s="136"/>
      <c r="C85" s="136"/>
      <c r="D85" s="83">
        <v>78</v>
      </c>
      <c r="E85" s="84" t="s">
        <v>537</v>
      </c>
      <c r="F85" s="83" t="s">
        <v>1394</v>
      </c>
      <c r="G85" s="83" t="s">
        <v>538</v>
      </c>
      <c r="H85" s="83" t="s">
        <v>9</v>
      </c>
      <c r="I85" s="83" t="s">
        <v>14</v>
      </c>
      <c r="J85" s="84" t="s">
        <v>1136</v>
      </c>
      <c r="K85" s="85">
        <v>36838</v>
      </c>
      <c r="L85" s="83">
        <v>2000</v>
      </c>
      <c r="M85" s="83">
        <f t="shared" si="4"/>
        <v>19</v>
      </c>
      <c r="N85" s="83" t="s">
        <v>3</v>
      </c>
      <c r="O85" s="83" t="s">
        <v>1137</v>
      </c>
      <c r="P85" s="84" t="s">
        <v>1159</v>
      </c>
      <c r="Q85" s="83"/>
      <c r="R85" s="84" t="s">
        <v>1160</v>
      </c>
    </row>
    <row r="86" spans="2:18" x14ac:dyDescent="0.2">
      <c r="B86" s="136">
        <v>22</v>
      </c>
      <c r="C86" s="136"/>
      <c r="D86" s="83">
        <v>79</v>
      </c>
      <c r="E86" s="84" t="s">
        <v>539</v>
      </c>
      <c r="F86" s="83" t="s">
        <v>6</v>
      </c>
      <c r="G86" s="83" t="s">
        <v>540</v>
      </c>
      <c r="H86" s="83" t="s">
        <v>1</v>
      </c>
      <c r="I86" s="83" t="s">
        <v>2</v>
      </c>
      <c r="J86" s="84"/>
      <c r="K86" s="85">
        <v>24472</v>
      </c>
      <c r="L86" s="83">
        <v>1966</v>
      </c>
      <c r="M86" s="83">
        <f t="shared" si="4"/>
        <v>53</v>
      </c>
      <c r="N86" s="83" t="s">
        <v>3</v>
      </c>
      <c r="O86" s="83"/>
      <c r="P86" s="84" t="s">
        <v>4</v>
      </c>
      <c r="Q86" s="83"/>
      <c r="R86" s="84" t="s">
        <v>5</v>
      </c>
    </row>
    <row r="87" spans="2:18" x14ac:dyDescent="0.2">
      <c r="B87" s="136"/>
      <c r="C87" s="136"/>
      <c r="D87" s="83">
        <v>80</v>
      </c>
      <c r="E87" s="84" t="s">
        <v>541</v>
      </c>
      <c r="F87" s="83" t="s">
        <v>11</v>
      </c>
      <c r="G87" s="83" t="s">
        <v>542</v>
      </c>
      <c r="H87" s="83" t="s">
        <v>9</v>
      </c>
      <c r="I87" s="83" t="s">
        <v>2</v>
      </c>
      <c r="J87" s="84"/>
      <c r="K87" s="85">
        <v>26410</v>
      </c>
      <c r="L87" s="83">
        <v>1972</v>
      </c>
      <c r="M87" s="83">
        <f t="shared" si="4"/>
        <v>47</v>
      </c>
      <c r="N87" s="83" t="s">
        <v>3</v>
      </c>
      <c r="O87" s="83"/>
      <c r="P87" s="84" t="s">
        <v>16</v>
      </c>
      <c r="Q87" s="83"/>
      <c r="R87" s="84" t="s">
        <v>16</v>
      </c>
    </row>
    <row r="88" spans="2:18" ht="25.5" x14ac:dyDescent="0.2">
      <c r="B88" s="136"/>
      <c r="C88" s="136"/>
      <c r="D88" s="83">
        <v>81</v>
      </c>
      <c r="E88" s="84" t="s">
        <v>543</v>
      </c>
      <c r="F88" s="83" t="s">
        <v>17</v>
      </c>
      <c r="G88" s="83" t="s">
        <v>544</v>
      </c>
      <c r="H88" s="83" t="s">
        <v>1</v>
      </c>
      <c r="I88" s="83" t="s">
        <v>14</v>
      </c>
      <c r="J88" s="84"/>
      <c r="K88" s="85">
        <v>34321</v>
      </c>
      <c r="L88" s="83">
        <v>1993</v>
      </c>
      <c r="M88" s="83">
        <f t="shared" si="4"/>
        <v>26</v>
      </c>
      <c r="N88" s="83" t="s">
        <v>3</v>
      </c>
      <c r="O88" s="83"/>
      <c r="P88" s="84" t="s">
        <v>15</v>
      </c>
      <c r="Q88" s="83"/>
      <c r="R88" s="84" t="s">
        <v>16</v>
      </c>
    </row>
    <row r="89" spans="2:18" ht="25.5" x14ac:dyDescent="0.2">
      <c r="B89" s="136"/>
      <c r="C89" s="136"/>
      <c r="D89" s="83">
        <v>82</v>
      </c>
      <c r="E89" s="84" t="s">
        <v>545</v>
      </c>
      <c r="F89" s="83" t="s">
        <v>17</v>
      </c>
      <c r="G89" s="83" t="s">
        <v>546</v>
      </c>
      <c r="H89" s="83" t="s">
        <v>9</v>
      </c>
      <c r="I89" s="83" t="s">
        <v>14</v>
      </c>
      <c r="J89" s="84"/>
      <c r="K89" s="85">
        <v>36225</v>
      </c>
      <c r="L89" s="83">
        <v>1999</v>
      </c>
      <c r="M89" s="83">
        <f t="shared" si="4"/>
        <v>20</v>
      </c>
      <c r="N89" s="83" t="s">
        <v>3</v>
      </c>
      <c r="O89" s="83"/>
      <c r="P89" s="84" t="s">
        <v>27</v>
      </c>
      <c r="Q89" s="83"/>
      <c r="R89" s="84" t="s">
        <v>16</v>
      </c>
    </row>
    <row r="90" spans="2:18" ht="25.5" x14ac:dyDescent="0.2">
      <c r="B90" s="136"/>
      <c r="C90" s="136"/>
      <c r="D90" s="83">
        <v>83</v>
      </c>
      <c r="E90" s="84" t="s">
        <v>547</v>
      </c>
      <c r="F90" s="83" t="s">
        <v>17</v>
      </c>
      <c r="G90" s="83" t="s">
        <v>548</v>
      </c>
      <c r="H90" s="83" t="s">
        <v>1</v>
      </c>
      <c r="I90" s="83" t="s">
        <v>14</v>
      </c>
      <c r="J90" s="84"/>
      <c r="K90" s="85">
        <v>38910</v>
      </c>
      <c r="L90" s="83">
        <v>2006</v>
      </c>
      <c r="M90" s="83">
        <f t="shared" si="4"/>
        <v>13</v>
      </c>
      <c r="N90" s="83" t="s">
        <v>3</v>
      </c>
      <c r="O90" s="83"/>
      <c r="P90" s="84" t="s">
        <v>16</v>
      </c>
      <c r="Q90" s="83"/>
      <c r="R90" s="84" t="s">
        <v>16</v>
      </c>
    </row>
    <row r="91" spans="2:18" ht="25.5" x14ac:dyDescent="0.2">
      <c r="B91" s="136">
        <v>23</v>
      </c>
      <c r="C91" s="136"/>
      <c r="D91" s="83">
        <v>84</v>
      </c>
      <c r="E91" s="84" t="s">
        <v>549</v>
      </c>
      <c r="F91" s="83" t="s">
        <v>6</v>
      </c>
      <c r="G91" s="83" t="s">
        <v>550</v>
      </c>
      <c r="H91" s="83" t="s">
        <v>1</v>
      </c>
      <c r="I91" s="83" t="s">
        <v>2</v>
      </c>
      <c r="J91" s="84"/>
      <c r="K91" s="85">
        <v>31901</v>
      </c>
      <c r="L91" s="83">
        <v>1987</v>
      </c>
      <c r="M91" s="83">
        <f t="shared" si="4"/>
        <v>32</v>
      </c>
      <c r="N91" s="83" t="s">
        <v>3</v>
      </c>
      <c r="O91" s="83"/>
      <c r="P91" s="84" t="s">
        <v>27</v>
      </c>
      <c r="Q91" s="83"/>
      <c r="R91" s="84" t="s">
        <v>10</v>
      </c>
    </row>
    <row r="92" spans="2:18" x14ac:dyDescent="0.2">
      <c r="B92" s="136"/>
      <c r="C92" s="136"/>
      <c r="D92" s="83">
        <v>85</v>
      </c>
      <c r="E92" s="84" t="s">
        <v>551</v>
      </c>
      <c r="F92" s="83" t="s">
        <v>11</v>
      </c>
      <c r="G92" s="83" t="s">
        <v>552</v>
      </c>
      <c r="H92" s="83" t="s">
        <v>9</v>
      </c>
      <c r="I92" s="83" t="s">
        <v>2</v>
      </c>
      <c r="J92" s="84"/>
      <c r="K92" s="85">
        <v>29586</v>
      </c>
      <c r="L92" s="83">
        <v>1980</v>
      </c>
      <c r="M92" s="83">
        <f t="shared" si="4"/>
        <v>39</v>
      </c>
      <c r="N92" s="83" t="s">
        <v>3</v>
      </c>
      <c r="O92" s="83"/>
      <c r="P92" s="84" t="s">
        <v>27</v>
      </c>
      <c r="Q92" s="83"/>
      <c r="R92" s="84" t="s">
        <v>10</v>
      </c>
    </row>
    <row r="93" spans="2:18" x14ac:dyDescent="0.2">
      <c r="B93" s="136">
        <v>24</v>
      </c>
      <c r="C93" s="136"/>
      <c r="D93" s="83">
        <v>86</v>
      </c>
      <c r="E93" s="84" t="s">
        <v>553</v>
      </c>
      <c r="F93" s="83" t="s">
        <v>6</v>
      </c>
      <c r="G93" s="83" t="s">
        <v>554</v>
      </c>
      <c r="H93" s="83" t="s">
        <v>1</v>
      </c>
      <c r="I93" s="83" t="s">
        <v>2</v>
      </c>
      <c r="J93" s="84"/>
      <c r="K93" s="85">
        <v>18445</v>
      </c>
      <c r="L93" s="83">
        <v>1950</v>
      </c>
      <c r="M93" s="83">
        <f t="shared" si="4"/>
        <v>69</v>
      </c>
      <c r="N93" s="83" t="s">
        <v>3</v>
      </c>
      <c r="O93" s="83"/>
      <c r="P93" s="84" t="s">
        <v>16</v>
      </c>
      <c r="Q93" s="83"/>
      <c r="R93" s="84" t="s">
        <v>109</v>
      </c>
    </row>
    <row r="94" spans="2:18" x14ac:dyDescent="0.2">
      <c r="B94" s="136"/>
      <c r="C94" s="136"/>
      <c r="D94" s="83">
        <v>87</v>
      </c>
      <c r="E94" s="84" t="s">
        <v>555</v>
      </c>
      <c r="F94" s="83" t="s">
        <v>11</v>
      </c>
      <c r="G94" s="83" t="s">
        <v>556</v>
      </c>
      <c r="H94" s="83" t="s">
        <v>9</v>
      </c>
      <c r="I94" s="83" t="s">
        <v>2</v>
      </c>
      <c r="J94" s="84"/>
      <c r="K94" s="85">
        <v>21367</v>
      </c>
      <c r="L94" s="83">
        <v>1958</v>
      </c>
      <c r="M94" s="83">
        <f t="shared" si="4"/>
        <v>61</v>
      </c>
      <c r="N94" s="83" t="s">
        <v>3</v>
      </c>
      <c r="O94" s="83"/>
      <c r="P94" s="84" t="s">
        <v>16</v>
      </c>
      <c r="Q94" s="83"/>
      <c r="R94" s="84" t="s">
        <v>109</v>
      </c>
    </row>
    <row r="95" spans="2:18" x14ac:dyDescent="0.2">
      <c r="B95" s="136"/>
      <c r="C95" s="136"/>
      <c r="D95" s="83">
        <v>88</v>
      </c>
      <c r="E95" s="84" t="s">
        <v>557</v>
      </c>
      <c r="F95" s="83" t="s">
        <v>17</v>
      </c>
      <c r="G95" s="83">
        <v>0</v>
      </c>
      <c r="H95" s="83" t="s">
        <v>9</v>
      </c>
      <c r="I95" s="83" t="s">
        <v>24</v>
      </c>
      <c r="J95" s="84"/>
      <c r="K95" s="85">
        <v>28855</v>
      </c>
      <c r="L95" s="83">
        <v>1978</v>
      </c>
      <c r="M95" s="83">
        <f t="shared" si="4"/>
        <v>41</v>
      </c>
      <c r="N95" s="83" t="s">
        <v>3</v>
      </c>
      <c r="O95" s="83"/>
      <c r="P95" s="84" t="s">
        <v>54</v>
      </c>
      <c r="Q95" s="83"/>
      <c r="R95" s="84" t="s">
        <v>109</v>
      </c>
    </row>
    <row r="96" spans="2:18" x14ac:dyDescent="0.2">
      <c r="B96" s="136"/>
      <c r="C96" s="136"/>
      <c r="D96" s="83">
        <v>89</v>
      </c>
      <c r="E96" s="84" t="s">
        <v>558</v>
      </c>
      <c r="F96" s="83" t="s">
        <v>17</v>
      </c>
      <c r="G96" s="83">
        <v>0</v>
      </c>
      <c r="H96" s="83" t="s">
        <v>1</v>
      </c>
      <c r="I96" s="83" t="s">
        <v>14</v>
      </c>
      <c r="J96" s="84"/>
      <c r="K96" s="85">
        <v>38717</v>
      </c>
      <c r="L96" s="83">
        <v>2005</v>
      </c>
      <c r="M96" s="83">
        <f t="shared" si="4"/>
        <v>14</v>
      </c>
      <c r="N96" s="83" t="s">
        <v>3</v>
      </c>
      <c r="O96" s="83"/>
      <c r="P96" s="84" t="s">
        <v>16</v>
      </c>
      <c r="Q96" s="83"/>
      <c r="R96" s="84" t="s">
        <v>16</v>
      </c>
    </row>
    <row r="97" spans="2:18" ht="25.5" x14ac:dyDescent="0.2">
      <c r="B97" s="136">
        <v>25</v>
      </c>
      <c r="C97" s="136"/>
      <c r="D97" s="83">
        <v>90</v>
      </c>
      <c r="E97" s="84" t="s">
        <v>559</v>
      </c>
      <c r="F97" s="83" t="s">
        <v>6</v>
      </c>
      <c r="G97" s="83" t="s">
        <v>560</v>
      </c>
      <c r="H97" s="83" t="s">
        <v>1</v>
      </c>
      <c r="I97" s="83" t="s">
        <v>2</v>
      </c>
      <c r="J97" s="84"/>
      <c r="K97" s="85">
        <v>25933</v>
      </c>
      <c r="L97" s="83">
        <v>1970</v>
      </c>
      <c r="M97" s="83">
        <f t="shared" si="4"/>
        <v>49</v>
      </c>
      <c r="N97" s="83" t="s">
        <v>3</v>
      </c>
      <c r="O97" s="83"/>
      <c r="P97" s="84" t="s">
        <v>4</v>
      </c>
      <c r="Q97" s="83"/>
      <c r="R97" s="84" t="s">
        <v>5</v>
      </c>
    </row>
    <row r="98" spans="2:18" x14ac:dyDescent="0.2">
      <c r="B98" s="136"/>
      <c r="C98" s="136"/>
      <c r="D98" s="83">
        <v>91</v>
      </c>
      <c r="E98" s="84" t="s">
        <v>561</v>
      </c>
      <c r="F98" s="83" t="s">
        <v>11</v>
      </c>
      <c r="G98" s="83" t="s">
        <v>562</v>
      </c>
      <c r="H98" s="83" t="s">
        <v>9</v>
      </c>
      <c r="I98" s="83" t="s">
        <v>2</v>
      </c>
      <c r="J98" s="84"/>
      <c r="K98" s="85">
        <v>27759</v>
      </c>
      <c r="L98" s="83">
        <v>1975</v>
      </c>
      <c r="M98" s="83">
        <f t="shared" si="4"/>
        <v>44</v>
      </c>
      <c r="N98" s="83" t="s">
        <v>3</v>
      </c>
      <c r="O98" s="83"/>
      <c r="P98" s="84" t="s">
        <v>27</v>
      </c>
      <c r="Q98" s="83"/>
      <c r="R98" s="84" t="s">
        <v>16</v>
      </c>
    </row>
    <row r="99" spans="2:18" ht="25.5" x14ac:dyDescent="0.2">
      <c r="B99" s="136"/>
      <c r="C99" s="136"/>
      <c r="D99" s="83">
        <v>92</v>
      </c>
      <c r="E99" s="84" t="s">
        <v>563</v>
      </c>
      <c r="F99" s="83" t="s">
        <v>17</v>
      </c>
      <c r="G99" s="83" t="s">
        <v>564</v>
      </c>
      <c r="H99" s="83" t="s">
        <v>9</v>
      </c>
      <c r="I99" s="83" t="s">
        <v>14</v>
      </c>
      <c r="J99" s="84"/>
      <c r="K99" s="85">
        <v>35731</v>
      </c>
      <c r="L99" s="83">
        <v>1997</v>
      </c>
      <c r="M99" s="83">
        <f t="shared" si="4"/>
        <v>22</v>
      </c>
      <c r="N99" s="83" t="s">
        <v>3</v>
      </c>
      <c r="O99" s="83"/>
      <c r="P99" s="84" t="s">
        <v>27</v>
      </c>
      <c r="Q99" s="83"/>
      <c r="R99" s="84" t="s">
        <v>16</v>
      </c>
    </row>
    <row r="100" spans="2:18" ht="25.5" x14ac:dyDescent="0.2">
      <c r="B100" s="136"/>
      <c r="C100" s="136"/>
      <c r="D100" s="83">
        <v>93</v>
      </c>
      <c r="E100" s="84" t="s">
        <v>565</v>
      </c>
      <c r="F100" s="83" t="s">
        <v>17</v>
      </c>
      <c r="G100" s="83" t="s">
        <v>566</v>
      </c>
      <c r="H100" s="83" t="s">
        <v>1</v>
      </c>
      <c r="I100" s="83" t="s">
        <v>14</v>
      </c>
      <c r="J100" s="84"/>
      <c r="K100" s="85">
        <v>38057</v>
      </c>
      <c r="L100" s="83">
        <v>2004</v>
      </c>
      <c r="M100" s="83">
        <f t="shared" si="4"/>
        <v>15</v>
      </c>
      <c r="N100" s="83" t="s">
        <v>3</v>
      </c>
      <c r="O100" s="83"/>
      <c r="P100" s="84" t="s">
        <v>16</v>
      </c>
      <c r="Q100" s="83"/>
      <c r="R100" s="84" t="s">
        <v>16</v>
      </c>
    </row>
    <row r="101" spans="2:18" x14ac:dyDescent="0.2">
      <c r="B101" s="136">
        <v>26</v>
      </c>
      <c r="C101" s="136"/>
      <c r="D101" s="83">
        <v>94</v>
      </c>
      <c r="E101" s="84" t="s">
        <v>567</v>
      </c>
      <c r="F101" s="83" t="s">
        <v>6</v>
      </c>
      <c r="G101" s="83" t="s">
        <v>568</v>
      </c>
      <c r="H101" s="83" t="s">
        <v>1</v>
      </c>
      <c r="I101" s="83" t="s">
        <v>2</v>
      </c>
      <c r="J101" s="84"/>
      <c r="K101" s="85">
        <v>20271</v>
      </c>
      <c r="L101" s="83">
        <v>1955</v>
      </c>
      <c r="M101" s="83">
        <f t="shared" si="4"/>
        <v>64</v>
      </c>
      <c r="N101" s="83" t="s">
        <v>3</v>
      </c>
      <c r="O101" s="83"/>
      <c r="P101" s="84" t="s">
        <v>54</v>
      </c>
      <c r="Q101" s="83"/>
      <c r="R101" s="84" t="s">
        <v>109</v>
      </c>
    </row>
    <row r="102" spans="2:18" x14ac:dyDescent="0.2">
      <c r="B102" s="136"/>
      <c r="C102" s="136"/>
      <c r="D102" s="83">
        <v>95</v>
      </c>
      <c r="E102" s="84" t="s">
        <v>569</v>
      </c>
      <c r="F102" s="83" t="s">
        <v>11</v>
      </c>
      <c r="G102" s="83" t="s">
        <v>570</v>
      </c>
      <c r="H102" s="83" t="s">
        <v>9</v>
      </c>
      <c r="I102" s="83" t="s">
        <v>2</v>
      </c>
      <c r="J102" s="84"/>
      <c r="K102" s="85">
        <v>26846</v>
      </c>
      <c r="L102" s="83">
        <v>1973</v>
      </c>
      <c r="M102" s="83">
        <f t="shared" si="4"/>
        <v>46</v>
      </c>
      <c r="N102" s="83" t="s">
        <v>3</v>
      </c>
      <c r="O102" s="83"/>
      <c r="P102" s="84" t="s">
        <v>15</v>
      </c>
      <c r="Q102" s="83"/>
      <c r="R102" s="84" t="s">
        <v>16</v>
      </c>
    </row>
    <row r="103" spans="2:18" x14ac:dyDescent="0.2">
      <c r="B103" s="136"/>
      <c r="C103" s="136"/>
      <c r="D103" s="83">
        <v>96</v>
      </c>
      <c r="E103" s="84" t="s">
        <v>571</v>
      </c>
      <c r="F103" s="83" t="s">
        <v>17</v>
      </c>
      <c r="G103" s="83" t="s">
        <v>572</v>
      </c>
      <c r="H103" s="83" t="s">
        <v>1</v>
      </c>
      <c r="I103" s="83" t="s">
        <v>14</v>
      </c>
      <c r="J103" s="84"/>
      <c r="K103" s="85">
        <v>32268</v>
      </c>
      <c r="L103" s="83">
        <v>1988</v>
      </c>
      <c r="M103" s="83">
        <f t="shared" si="4"/>
        <v>31</v>
      </c>
      <c r="N103" s="83" t="s">
        <v>3</v>
      </c>
      <c r="O103" s="83"/>
      <c r="P103" s="84" t="s">
        <v>15</v>
      </c>
      <c r="Q103" s="83"/>
      <c r="R103" s="84" t="s">
        <v>10</v>
      </c>
    </row>
    <row r="104" spans="2:18" ht="25.5" x14ac:dyDescent="0.2">
      <c r="B104" s="136"/>
      <c r="C104" s="136"/>
      <c r="D104" s="83">
        <v>97</v>
      </c>
      <c r="E104" s="84" t="s">
        <v>573</v>
      </c>
      <c r="F104" s="83" t="s">
        <v>17</v>
      </c>
      <c r="G104" s="83" t="s">
        <v>575</v>
      </c>
      <c r="H104" s="83" t="s">
        <v>1</v>
      </c>
      <c r="I104" s="83" t="s">
        <v>14</v>
      </c>
      <c r="J104" s="84"/>
      <c r="K104" s="85">
        <v>36969</v>
      </c>
      <c r="L104" s="83">
        <v>2001</v>
      </c>
      <c r="M104" s="83">
        <f t="shared" si="4"/>
        <v>18</v>
      </c>
      <c r="N104" s="83" t="s">
        <v>3</v>
      </c>
      <c r="O104" s="83"/>
      <c r="P104" s="84" t="s">
        <v>574</v>
      </c>
      <c r="Q104" s="83"/>
      <c r="R104" s="84" t="s">
        <v>16</v>
      </c>
    </row>
    <row r="105" spans="2:18" ht="25.5" x14ac:dyDescent="0.2">
      <c r="B105" s="136"/>
      <c r="C105" s="136"/>
      <c r="D105" s="83">
        <v>98</v>
      </c>
      <c r="E105" s="84" t="s">
        <v>576</v>
      </c>
      <c r="F105" s="83" t="s">
        <v>17</v>
      </c>
      <c r="G105" s="83" t="s">
        <v>577</v>
      </c>
      <c r="H105" s="83" t="s">
        <v>9</v>
      </c>
      <c r="I105" s="83" t="s">
        <v>14</v>
      </c>
      <c r="J105" s="84"/>
      <c r="K105" s="85">
        <v>41290</v>
      </c>
      <c r="L105" s="83">
        <v>2013</v>
      </c>
      <c r="M105" s="83">
        <f t="shared" si="4"/>
        <v>6</v>
      </c>
      <c r="N105" s="83" t="s">
        <v>3</v>
      </c>
      <c r="O105" s="83"/>
      <c r="P105" s="84" t="s">
        <v>16</v>
      </c>
      <c r="Q105" s="83"/>
      <c r="R105" s="84" t="s">
        <v>16</v>
      </c>
    </row>
    <row r="106" spans="2:18" x14ac:dyDescent="0.2">
      <c r="B106" s="136">
        <v>27</v>
      </c>
      <c r="C106" s="136"/>
      <c r="D106" s="83">
        <v>99</v>
      </c>
      <c r="E106" s="84" t="s">
        <v>578</v>
      </c>
      <c r="F106" s="83" t="s">
        <v>6</v>
      </c>
      <c r="G106" s="83" t="s">
        <v>580</v>
      </c>
      <c r="H106" s="83" t="s">
        <v>9</v>
      </c>
      <c r="I106" s="83" t="s">
        <v>2</v>
      </c>
      <c r="J106" s="84"/>
      <c r="K106" s="85">
        <v>31248</v>
      </c>
      <c r="L106" s="83">
        <v>1985</v>
      </c>
      <c r="M106" s="83">
        <f t="shared" si="4"/>
        <v>34</v>
      </c>
      <c r="N106" s="83" t="s">
        <v>3</v>
      </c>
      <c r="O106" s="83"/>
      <c r="P106" s="84" t="s">
        <v>15</v>
      </c>
      <c r="Q106" s="83"/>
      <c r="R106" s="84" t="s">
        <v>579</v>
      </c>
    </row>
    <row r="107" spans="2:18" ht="25.5" x14ac:dyDescent="0.2">
      <c r="B107" s="136"/>
      <c r="C107" s="136"/>
      <c r="D107" s="83">
        <v>100</v>
      </c>
      <c r="E107" s="84" t="s">
        <v>581</v>
      </c>
      <c r="F107" s="83" t="s">
        <v>17</v>
      </c>
      <c r="G107" s="83" t="s">
        <v>546</v>
      </c>
      <c r="H107" s="83" t="s">
        <v>1</v>
      </c>
      <c r="I107" s="83" t="s">
        <v>14</v>
      </c>
      <c r="J107" s="84"/>
      <c r="K107" s="85">
        <v>40818</v>
      </c>
      <c r="L107" s="83">
        <v>2011</v>
      </c>
      <c r="M107" s="83">
        <f t="shared" si="4"/>
        <v>8</v>
      </c>
      <c r="N107" s="83" t="s">
        <v>3</v>
      </c>
      <c r="O107" s="83"/>
      <c r="P107" s="84" t="s">
        <v>16</v>
      </c>
      <c r="Q107" s="83"/>
      <c r="R107" s="84" t="s">
        <v>16</v>
      </c>
    </row>
    <row r="108" spans="2:18" ht="25.5" x14ac:dyDescent="0.2">
      <c r="B108" s="136">
        <v>28</v>
      </c>
      <c r="C108" s="136" t="s">
        <v>1586</v>
      </c>
      <c r="D108" s="83">
        <v>101</v>
      </c>
      <c r="E108" s="84" t="s">
        <v>582</v>
      </c>
      <c r="F108" s="83" t="s">
        <v>6</v>
      </c>
      <c r="G108" s="83" t="s">
        <v>1587</v>
      </c>
      <c r="H108" s="83" t="s">
        <v>1</v>
      </c>
      <c r="I108" s="83" t="s">
        <v>2</v>
      </c>
      <c r="J108" s="84" t="s">
        <v>1156</v>
      </c>
      <c r="K108" s="85">
        <v>25750</v>
      </c>
      <c r="L108" s="83">
        <v>1970</v>
      </c>
      <c r="M108" s="83">
        <f t="shared" si="4"/>
        <v>49</v>
      </c>
      <c r="N108" s="83" t="s">
        <v>3</v>
      </c>
      <c r="O108" s="83" t="s">
        <v>1137</v>
      </c>
      <c r="P108" s="84" t="s">
        <v>1138</v>
      </c>
      <c r="Q108" s="83"/>
      <c r="R108" s="84" t="s">
        <v>1174</v>
      </c>
    </row>
    <row r="109" spans="2:18" ht="25.5" x14ac:dyDescent="0.2">
      <c r="B109" s="136"/>
      <c r="C109" s="136"/>
      <c r="D109" s="83">
        <v>102</v>
      </c>
      <c r="E109" s="84" t="s">
        <v>583</v>
      </c>
      <c r="F109" s="83" t="s">
        <v>11</v>
      </c>
      <c r="G109" s="83" t="s">
        <v>1588</v>
      </c>
      <c r="H109" s="83" t="s">
        <v>9</v>
      </c>
      <c r="I109" s="83" t="s">
        <v>2</v>
      </c>
      <c r="J109" s="84" t="s">
        <v>1136</v>
      </c>
      <c r="K109" s="85">
        <v>27010</v>
      </c>
      <c r="L109" s="83">
        <v>1973</v>
      </c>
      <c r="M109" s="83">
        <f t="shared" si="4"/>
        <v>46</v>
      </c>
      <c r="N109" s="83" t="s">
        <v>3</v>
      </c>
      <c r="O109" s="83" t="s">
        <v>1137</v>
      </c>
      <c r="P109" s="84" t="s">
        <v>1138</v>
      </c>
      <c r="Q109" s="83"/>
      <c r="R109" s="84" t="s">
        <v>1174</v>
      </c>
    </row>
    <row r="110" spans="2:18" ht="25.5" x14ac:dyDescent="0.2">
      <c r="B110" s="136"/>
      <c r="C110" s="136"/>
      <c r="D110" s="83">
        <v>103</v>
      </c>
      <c r="E110" s="84" t="s">
        <v>584</v>
      </c>
      <c r="F110" s="83" t="s">
        <v>17</v>
      </c>
      <c r="G110" s="83" t="s">
        <v>1589</v>
      </c>
      <c r="H110" s="83" t="s">
        <v>1</v>
      </c>
      <c r="I110" s="83" t="s">
        <v>14</v>
      </c>
      <c r="J110" s="84" t="s">
        <v>1136</v>
      </c>
      <c r="K110" s="85">
        <v>33360</v>
      </c>
      <c r="L110" s="83">
        <v>1991</v>
      </c>
      <c r="M110" s="83">
        <f t="shared" si="4"/>
        <v>28</v>
      </c>
      <c r="N110" s="83" t="s">
        <v>3</v>
      </c>
      <c r="O110" s="83" t="s">
        <v>1137</v>
      </c>
      <c r="P110" s="84" t="s">
        <v>1159</v>
      </c>
      <c r="Q110" s="83"/>
      <c r="R110" s="84" t="s">
        <v>1140</v>
      </c>
    </row>
    <row r="111" spans="2:18" ht="25.5" x14ac:dyDescent="0.2">
      <c r="B111" s="136"/>
      <c r="C111" s="136"/>
      <c r="D111" s="83">
        <v>104</v>
      </c>
      <c r="E111" s="84" t="s">
        <v>585</v>
      </c>
      <c r="F111" s="83" t="s">
        <v>17</v>
      </c>
      <c r="G111" s="83" t="s">
        <v>1590</v>
      </c>
      <c r="H111" s="83" t="s">
        <v>1</v>
      </c>
      <c r="I111" s="83" t="s">
        <v>14</v>
      </c>
      <c r="J111" s="84" t="s">
        <v>1156</v>
      </c>
      <c r="K111" s="85">
        <v>39302</v>
      </c>
      <c r="L111" s="83">
        <v>2007</v>
      </c>
      <c r="M111" s="83">
        <f t="shared" si="4"/>
        <v>12</v>
      </c>
      <c r="N111" s="83" t="s">
        <v>3</v>
      </c>
      <c r="O111" s="83" t="s">
        <v>1137</v>
      </c>
      <c r="P111" s="84" t="s">
        <v>1178</v>
      </c>
      <c r="Q111" s="83"/>
      <c r="R111" s="84" t="s">
        <v>1554</v>
      </c>
    </row>
    <row r="112" spans="2:18" ht="25.5" x14ac:dyDescent="0.2">
      <c r="B112" s="136">
        <v>29</v>
      </c>
      <c r="C112" s="136" t="s">
        <v>1545</v>
      </c>
      <c r="D112" s="83">
        <v>105</v>
      </c>
      <c r="E112" s="84" t="s">
        <v>586</v>
      </c>
      <c r="F112" s="83" t="s">
        <v>6</v>
      </c>
      <c r="G112" s="83" t="s">
        <v>1547</v>
      </c>
      <c r="H112" s="83" t="s">
        <v>1</v>
      </c>
      <c r="I112" s="83" t="s">
        <v>2</v>
      </c>
      <c r="J112" s="84" t="s">
        <v>1148</v>
      </c>
      <c r="K112" s="85">
        <v>25750</v>
      </c>
      <c r="L112" s="83">
        <v>1970</v>
      </c>
      <c r="M112" s="83">
        <f t="shared" si="4"/>
        <v>49</v>
      </c>
      <c r="N112" s="83" t="s">
        <v>3</v>
      </c>
      <c r="O112" s="83" t="s">
        <v>1137</v>
      </c>
      <c r="P112" s="84" t="s">
        <v>1138</v>
      </c>
      <c r="Q112" s="83"/>
      <c r="R112" s="84" t="s">
        <v>1174</v>
      </c>
    </row>
    <row r="113" spans="2:18" ht="25.5" x14ac:dyDescent="0.2">
      <c r="B113" s="136"/>
      <c r="C113" s="136"/>
      <c r="D113" s="83">
        <v>106</v>
      </c>
      <c r="E113" s="84" t="s">
        <v>587</v>
      </c>
      <c r="F113" s="83" t="s">
        <v>11</v>
      </c>
      <c r="G113" s="83" t="s">
        <v>1548</v>
      </c>
      <c r="H113" s="83" t="s">
        <v>9</v>
      </c>
      <c r="I113" s="83" t="s">
        <v>2</v>
      </c>
      <c r="J113" s="84" t="s">
        <v>1148</v>
      </c>
      <c r="K113" s="85">
        <v>31232</v>
      </c>
      <c r="L113" s="83">
        <v>1985</v>
      </c>
      <c r="M113" s="83">
        <f t="shared" si="4"/>
        <v>34</v>
      </c>
      <c r="N113" s="83" t="s">
        <v>3</v>
      </c>
      <c r="O113" s="83" t="s">
        <v>1137</v>
      </c>
      <c r="P113" s="84" t="s">
        <v>1138</v>
      </c>
      <c r="Q113" s="83"/>
      <c r="R113" s="84" t="s">
        <v>1141</v>
      </c>
    </row>
    <row r="114" spans="2:18" ht="25.5" x14ac:dyDescent="0.2">
      <c r="B114" s="136"/>
      <c r="C114" s="136"/>
      <c r="D114" s="83">
        <v>107</v>
      </c>
      <c r="E114" s="84" t="s">
        <v>1546</v>
      </c>
      <c r="F114" s="83" t="s">
        <v>17</v>
      </c>
      <c r="G114" s="83" t="s">
        <v>1549</v>
      </c>
      <c r="H114" s="83" t="s">
        <v>9</v>
      </c>
      <c r="I114" s="83" t="s">
        <v>14</v>
      </c>
      <c r="J114" s="84" t="s">
        <v>1246</v>
      </c>
      <c r="K114" s="85">
        <v>39591</v>
      </c>
      <c r="L114" s="83">
        <v>2008</v>
      </c>
      <c r="M114" s="83">
        <f t="shared" si="4"/>
        <v>11</v>
      </c>
      <c r="N114" s="83" t="s">
        <v>3</v>
      </c>
      <c r="O114" s="83" t="s">
        <v>1137</v>
      </c>
      <c r="P114" s="84" t="s">
        <v>1178</v>
      </c>
      <c r="Q114" s="83"/>
      <c r="R114" s="84" t="s">
        <v>1160</v>
      </c>
    </row>
    <row r="115" spans="2:18" ht="25.5" x14ac:dyDescent="0.2">
      <c r="B115" s="137">
        <v>30</v>
      </c>
      <c r="C115" s="137" t="s">
        <v>1611</v>
      </c>
      <c r="D115" s="83">
        <v>108</v>
      </c>
      <c r="E115" s="84" t="s">
        <v>1612</v>
      </c>
      <c r="F115" s="83" t="s">
        <v>6</v>
      </c>
      <c r="G115" s="83" t="s">
        <v>1614</v>
      </c>
      <c r="H115" s="83" t="s">
        <v>1</v>
      </c>
      <c r="I115" s="83" t="s">
        <v>2</v>
      </c>
      <c r="J115" s="84" t="s">
        <v>1156</v>
      </c>
      <c r="K115" s="85">
        <v>24931</v>
      </c>
      <c r="L115" s="83">
        <v>1968</v>
      </c>
      <c r="M115" s="83">
        <f t="shared" ref="M115:M116" si="5">2019-L115</f>
        <v>51</v>
      </c>
      <c r="N115" s="83" t="s">
        <v>3</v>
      </c>
      <c r="O115" s="83" t="s">
        <v>1137</v>
      </c>
      <c r="P115" s="84" t="s">
        <v>1138</v>
      </c>
      <c r="Q115" s="83"/>
      <c r="R115" s="84" t="s">
        <v>10</v>
      </c>
    </row>
    <row r="116" spans="2:18" ht="25.5" x14ac:dyDescent="0.2">
      <c r="B116" s="138"/>
      <c r="C116" s="138"/>
      <c r="D116" s="83">
        <v>109</v>
      </c>
      <c r="E116" s="84" t="s">
        <v>1613</v>
      </c>
      <c r="F116" s="83" t="s">
        <v>11</v>
      </c>
      <c r="G116" s="83" t="s">
        <v>1615</v>
      </c>
      <c r="H116" s="83" t="s">
        <v>9</v>
      </c>
      <c r="I116" s="83" t="s">
        <v>2</v>
      </c>
      <c r="J116" s="84" t="s">
        <v>1156</v>
      </c>
      <c r="K116" s="85">
        <v>28403</v>
      </c>
      <c r="L116" s="83">
        <v>1977</v>
      </c>
      <c r="M116" s="83">
        <f t="shared" si="5"/>
        <v>42</v>
      </c>
      <c r="N116" s="83" t="s">
        <v>3</v>
      </c>
      <c r="O116" s="83" t="s">
        <v>1137</v>
      </c>
      <c r="P116" s="84" t="s">
        <v>1172</v>
      </c>
      <c r="Q116" s="83"/>
      <c r="R116" s="84" t="s">
        <v>1141</v>
      </c>
    </row>
    <row r="117" spans="2:18" ht="25.5" x14ac:dyDescent="0.2">
      <c r="B117" s="138"/>
      <c r="C117" s="138"/>
      <c r="D117" s="83">
        <v>110</v>
      </c>
      <c r="E117" s="84" t="s">
        <v>589</v>
      </c>
      <c r="F117" s="83" t="s">
        <v>17</v>
      </c>
      <c r="G117" s="83" t="s">
        <v>590</v>
      </c>
      <c r="H117" s="83" t="s">
        <v>9</v>
      </c>
      <c r="I117" s="83" t="s">
        <v>14</v>
      </c>
      <c r="J117" s="84" t="s">
        <v>1156</v>
      </c>
      <c r="K117" s="85">
        <v>38097</v>
      </c>
      <c r="L117" s="83">
        <v>2004</v>
      </c>
      <c r="M117" s="83">
        <f t="shared" si="4"/>
        <v>15</v>
      </c>
      <c r="N117" s="83" t="s">
        <v>3</v>
      </c>
      <c r="O117" s="83" t="s">
        <v>1137</v>
      </c>
      <c r="P117" s="84" t="s">
        <v>1178</v>
      </c>
      <c r="Q117" s="83"/>
      <c r="R117" s="84" t="s">
        <v>1554</v>
      </c>
    </row>
    <row r="118" spans="2:18" ht="25.5" x14ac:dyDescent="0.2">
      <c r="B118" s="139"/>
      <c r="C118" s="139"/>
      <c r="D118" s="83">
        <v>111</v>
      </c>
      <c r="E118" s="84" t="s">
        <v>588</v>
      </c>
      <c r="F118" s="83" t="s">
        <v>1163</v>
      </c>
      <c r="G118" s="83" t="s">
        <v>1616</v>
      </c>
      <c r="H118" s="83" t="s">
        <v>9</v>
      </c>
      <c r="I118" s="83" t="s">
        <v>1161</v>
      </c>
      <c r="J118" s="84" t="s">
        <v>1136</v>
      </c>
      <c r="K118" s="85">
        <v>18064</v>
      </c>
      <c r="L118" s="83">
        <v>1949</v>
      </c>
      <c r="M118" s="83">
        <f t="shared" si="4"/>
        <v>70</v>
      </c>
      <c r="N118" s="83" t="s">
        <v>3</v>
      </c>
      <c r="O118" s="83" t="s">
        <v>1137</v>
      </c>
      <c r="P118" s="84" t="s">
        <v>1138</v>
      </c>
      <c r="Q118" s="83"/>
      <c r="R118" s="84" t="s">
        <v>1404</v>
      </c>
    </row>
    <row r="119" spans="2:18" x14ac:dyDescent="0.2">
      <c r="B119" s="136">
        <v>31</v>
      </c>
      <c r="C119" s="136"/>
      <c r="D119" s="83">
        <v>112</v>
      </c>
      <c r="E119" s="84" t="s">
        <v>591</v>
      </c>
      <c r="F119" s="83" t="s">
        <v>6</v>
      </c>
      <c r="G119" s="83" t="s">
        <v>592</v>
      </c>
      <c r="H119" s="83" t="s">
        <v>9</v>
      </c>
      <c r="I119" s="83" t="s">
        <v>24</v>
      </c>
      <c r="J119" s="84"/>
      <c r="K119" s="85">
        <v>27255</v>
      </c>
      <c r="L119" s="83">
        <v>1974</v>
      </c>
      <c r="M119" s="83">
        <f t="shared" si="4"/>
        <v>45</v>
      </c>
      <c r="N119" s="83" t="s">
        <v>3</v>
      </c>
      <c r="O119" s="83"/>
      <c r="P119" s="84" t="s">
        <v>27</v>
      </c>
      <c r="Q119" s="83"/>
      <c r="R119" s="84" t="s">
        <v>10</v>
      </c>
    </row>
    <row r="120" spans="2:18" x14ac:dyDescent="0.2">
      <c r="B120" s="136"/>
      <c r="C120" s="136"/>
      <c r="D120" s="83">
        <v>113</v>
      </c>
      <c r="E120" s="84" t="s">
        <v>593</v>
      </c>
      <c r="F120" s="83" t="s">
        <v>17</v>
      </c>
      <c r="G120" s="83" t="s">
        <v>594</v>
      </c>
      <c r="H120" s="83" t="s">
        <v>9</v>
      </c>
      <c r="I120" s="83" t="s">
        <v>14</v>
      </c>
      <c r="J120" s="84"/>
      <c r="K120" s="85">
        <v>36518</v>
      </c>
      <c r="L120" s="83">
        <v>1999</v>
      </c>
      <c r="M120" s="83">
        <f t="shared" si="4"/>
        <v>20</v>
      </c>
      <c r="N120" s="83" t="s">
        <v>3</v>
      </c>
      <c r="O120" s="83"/>
      <c r="P120" s="84" t="s">
        <v>54</v>
      </c>
      <c r="Q120" s="83"/>
      <c r="R120" s="84" t="s">
        <v>16</v>
      </c>
    </row>
    <row r="121" spans="2:18" x14ac:dyDescent="0.2">
      <c r="B121" s="136"/>
      <c r="C121" s="136"/>
      <c r="D121" s="83">
        <v>114</v>
      </c>
      <c r="E121" s="84" t="s">
        <v>595</v>
      </c>
      <c r="F121" s="83" t="s">
        <v>17</v>
      </c>
      <c r="G121" s="83" t="s">
        <v>596</v>
      </c>
      <c r="H121" s="83" t="s">
        <v>9</v>
      </c>
      <c r="I121" s="83" t="s">
        <v>14</v>
      </c>
      <c r="J121" s="84"/>
      <c r="K121" s="85">
        <v>37566</v>
      </c>
      <c r="L121" s="83">
        <v>2002</v>
      </c>
      <c r="M121" s="83">
        <f t="shared" si="4"/>
        <v>17</v>
      </c>
      <c r="N121" s="83" t="s">
        <v>3</v>
      </c>
      <c r="O121" s="83"/>
      <c r="P121" s="84" t="s">
        <v>16</v>
      </c>
      <c r="Q121" s="83"/>
      <c r="R121" s="84" t="s">
        <v>16</v>
      </c>
    </row>
    <row r="122" spans="2:18" ht="25.5" x14ac:dyDescent="0.2">
      <c r="B122" s="136">
        <v>32</v>
      </c>
      <c r="C122" s="136" t="s">
        <v>1383</v>
      </c>
      <c r="D122" s="83">
        <v>115</v>
      </c>
      <c r="E122" s="84" t="s">
        <v>597</v>
      </c>
      <c r="F122" s="83" t="s">
        <v>6</v>
      </c>
      <c r="G122" s="83" t="s">
        <v>1389</v>
      </c>
      <c r="H122" s="83" t="s">
        <v>1</v>
      </c>
      <c r="I122" s="83" t="s">
        <v>2</v>
      </c>
      <c r="J122" s="84" t="s">
        <v>1136</v>
      </c>
      <c r="K122" s="85">
        <v>22007</v>
      </c>
      <c r="L122" s="83">
        <v>1960</v>
      </c>
      <c r="M122" s="83">
        <f t="shared" si="4"/>
        <v>59</v>
      </c>
      <c r="N122" s="83" t="s">
        <v>3</v>
      </c>
      <c r="O122" s="83" t="s">
        <v>1137</v>
      </c>
      <c r="P122" s="84" t="s">
        <v>1159</v>
      </c>
      <c r="Q122" s="83"/>
      <c r="R122" s="84" t="s">
        <v>10</v>
      </c>
    </row>
    <row r="123" spans="2:18" ht="25.5" x14ac:dyDescent="0.2">
      <c r="B123" s="136"/>
      <c r="C123" s="136"/>
      <c r="D123" s="83">
        <v>116</v>
      </c>
      <c r="E123" s="84" t="s">
        <v>557</v>
      </c>
      <c r="F123" s="83" t="s">
        <v>11</v>
      </c>
      <c r="G123" s="83" t="s">
        <v>1388</v>
      </c>
      <c r="H123" s="83" t="s">
        <v>9</v>
      </c>
      <c r="I123" s="83" t="s">
        <v>2</v>
      </c>
      <c r="J123" s="84" t="s">
        <v>1136</v>
      </c>
      <c r="K123" s="85">
        <v>24973</v>
      </c>
      <c r="L123" s="83">
        <v>1968</v>
      </c>
      <c r="M123" s="83">
        <f t="shared" si="4"/>
        <v>51</v>
      </c>
      <c r="N123" s="83" t="s">
        <v>3</v>
      </c>
      <c r="O123" s="83" t="s">
        <v>1137</v>
      </c>
      <c r="P123" s="84" t="s">
        <v>1159</v>
      </c>
      <c r="Q123" s="83"/>
      <c r="R123" s="84" t="s">
        <v>1141</v>
      </c>
    </row>
    <row r="124" spans="2:18" ht="25.5" x14ac:dyDescent="0.2">
      <c r="B124" s="136"/>
      <c r="C124" s="136"/>
      <c r="D124" s="83">
        <v>117</v>
      </c>
      <c r="E124" s="84" t="s">
        <v>598</v>
      </c>
      <c r="F124" s="83" t="s">
        <v>17</v>
      </c>
      <c r="G124" s="83" t="s">
        <v>1387</v>
      </c>
      <c r="H124" s="83" t="s">
        <v>1</v>
      </c>
      <c r="I124" s="83" t="s">
        <v>14</v>
      </c>
      <c r="J124" s="84" t="s">
        <v>1156</v>
      </c>
      <c r="K124" s="85">
        <v>39043</v>
      </c>
      <c r="L124" s="83">
        <v>2006</v>
      </c>
      <c r="M124" s="83">
        <f t="shared" si="4"/>
        <v>13</v>
      </c>
      <c r="N124" s="83" t="s">
        <v>3</v>
      </c>
      <c r="O124" s="83" t="s">
        <v>1137</v>
      </c>
      <c r="P124" s="84" t="s">
        <v>1178</v>
      </c>
      <c r="Q124" s="83"/>
      <c r="R124" s="84" t="s">
        <v>1160</v>
      </c>
    </row>
    <row r="125" spans="2:18" ht="25.5" x14ac:dyDescent="0.2">
      <c r="B125" s="136"/>
      <c r="C125" s="136"/>
      <c r="D125" s="83">
        <v>118</v>
      </c>
      <c r="E125" s="84" t="s">
        <v>1384</v>
      </c>
      <c r="F125" s="83" t="s">
        <v>1385</v>
      </c>
      <c r="G125" s="83" t="s">
        <v>1386</v>
      </c>
      <c r="H125" s="83" t="s">
        <v>9</v>
      </c>
      <c r="I125" s="83" t="s">
        <v>1161</v>
      </c>
      <c r="J125" s="84" t="s">
        <v>1136</v>
      </c>
      <c r="K125" s="85">
        <v>18628</v>
      </c>
      <c r="L125" s="83">
        <v>1950</v>
      </c>
      <c r="M125" s="83">
        <f t="shared" si="4"/>
        <v>69</v>
      </c>
      <c r="N125" s="83" t="s">
        <v>3</v>
      </c>
      <c r="O125" s="83" t="s">
        <v>1137</v>
      </c>
      <c r="P125" s="84" t="s">
        <v>1139</v>
      </c>
      <c r="Q125" s="83"/>
      <c r="R125" s="84" t="s">
        <v>1141</v>
      </c>
    </row>
    <row r="126" spans="2:18" ht="25.5" x14ac:dyDescent="0.2">
      <c r="B126" s="136">
        <v>33</v>
      </c>
      <c r="C126" s="136" t="s">
        <v>1635</v>
      </c>
      <c r="D126" s="83">
        <v>119</v>
      </c>
      <c r="E126" s="84" t="s">
        <v>599</v>
      </c>
      <c r="F126" s="83" t="s">
        <v>6</v>
      </c>
      <c r="G126" s="83" t="s">
        <v>600</v>
      </c>
      <c r="H126" s="83" t="s">
        <v>1</v>
      </c>
      <c r="I126" s="83" t="s">
        <v>2</v>
      </c>
      <c r="J126" s="84" t="s">
        <v>1148</v>
      </c>
      <c r="K126" s="85">
        <v>27313</v>
      </c>
      <c r="L126" s="83">
        <v>1974</v>
      </c>
      <c r="M126" s="83">
        <f t="shared" si="4"/>
        <v>45</v>
      </c>
      <c r="N126" s="83" t="s">
        <v>3</v>
      </c>
      <c r="O126" s="83" t="s">
        <v>1137</v>
      </c>
      <c r="P126" s="84" t="s">
        <v>1159</v>
      </c>
      <c r="Q126" s="83"/>
      <c r="R126" s="84" t="s">
        <v>1514</v>
      </c>
    </row>
    <row r="127" spans="2:18" ht="25.5" x14ac:dyDescent="0.2">
      <c r="B127" s="136"/>
      <c r="C127" s="136"/>
      <c r="D127" s="83">
        <v>120</v>
      </c>
      <c r="E127" s="84" t="s">
        <v>601</v>
      </c>
      <c r="F127" s="83" t="s">
        <v>11</v>
      </c>
      <c r="G127" s="83" t="s">
        <v>1636</v>
      </c>
      <c r="H127" s="83" t="s">
        <v>9</v>
      </c>
      <c r="I127" s="83" t="s">
        <v>2</v>
      </c>
      <c r="J127" s="84" t="s">
        <v>1148</v>
      </c>
      <c r="K127" s="85">
        <v>30244</v>
      </c>
      <c r="L127" s="83">
        <v>1982</v>
      </c>
      <c r="M127" s="83">
        <f t="shared" si="4"/>
        <v>37</v>
      </c>
      <c r="N127" s="83" t="s">
        <v>3</v>
      </c>
      <c r="O127" s="83" t="s">
        <v>1137</v>
      </c>
      <c r="P127" s="84" t="s">
        <v>1138</v>
      </c>
      <c r="Q127" s="83"/>
      <c r="R127" s="84" t="s">
        <v>1141</v>
      </c>
    </row>
    <row r="128" spans="2:18" ht="25.5" x14ac:dyDescent="0.2">
      <c r="B128" s="136"/>
      <c r="C128" s="136"/>
      <c r="D128" s="83">
        <v>121</v>
      </c>
      <c r="E128" s="84" t="s">
        <v>602</v>
      </c>
      <c r="F128" s="83" t="s">
        <v>17</v>
      </c>
      <c r="G128" s="83" t="s">
        <v>603</v>
      </c>
      <c r="H128" s="83" t="s">
        <v>1</v>
      </c>
      <c r="I128" s="83" t="s">
        <v>14</v>
      </c>
      <c r="J128" s="84" t="s">
        <v>1156</v>
      </c>
      <c r="K128" s="85">
        <v>36780</v>
      </c>
      <c r="L128" s="83">
        <v>2000</v>
      </c>
      <c r="M128" s="83">
        <f t="shared" si="4"/>
        <v>19</v>
      </c>
      <c r="N128" s="83" t="s">
        <v>3</v>
      </c>
      <c r="O128" s="83" t="s">
        <v>1137</v>
      </c>
      <c r="P128" s="84" t="s">
        <v>1178</v>
      </c>
      <c r="Q128" s="83"/>
      <c r="R128" s="84" t="s">
        <v>1554</v>
      </c>
    </row>
    <row r="129" spans="2:18" ht="25.5" x14ac:dyDescent="0.2">
      <c r="B129" s="136"/>
      <c r="C129" s="136"/>
      <c r="D129" s="83">
        <v>122</v>
      </c>
      <c r="E129" s="84" t="s">
        <v>604</v>
      </c>
      <c r="F129" s="83" t="s">
        <v>17</v>
      </c>
      <c r="G129" s="83" t="s">
        <v>1637</v>
      </c>
      <c r="H129" s="83" t="s">
        <v>9</v>
      </c>
      <c r="I129" s="83" t="s">
        <v>14</v>
      </c>
      <c r="J129" s="84" t="s">
        <v>1156</v>
      </c>
      <c r="K129" s="85">
        <v>39262</v>
      </c>
      <c r="L129" s="83">
        <v>2007</v>
      </c>
      <c r="M129" s="83">
        <f t="shared" si="4"/>
        <v>12</v>
      </c>
      <c r="N129" s="83" t="s">
        <v>3</v>
      </c>
      <c r="O129" s="83" t="s">
        <v>1137</v>
      </c>
      <c r="P129" s="84" t="s">
        <v>1139</v>
      </c>
      <c r="Q129" s="83"/>
      <c r="R129" s="84" t="s">
        <v>1140</v>
      </c>
    </row>
    <row r="130" spans="2:18" x14ac:dyDescent="0.2">
      <c r="B130" s="136">
        <v>34</v>
      </c>
      <c r="C130" s="136"/>
      <c r="D130" s="83">
        <v>123</v>
      </c>
      <c r="E130" s="84" t="s">
        <v>605</v>
      </c>
      <c r="F130" s="83" t="s">
        <v>6</v>
      </c>
      <c r="G130" s="83" t="s">
        <v>606</v>
      </c>
      <c r="H130" s="83" t="s">
        <v>1</v>
      </c>
      <c r="I130" s="83" t="s">
        <v>2</v>
      </c>
      <c r="J130" s="84"/>
      <c r="K130" s="85">
        <v>29037</v>
      </c>
      <c r="L130" s="83">
        <v>1979</v>
      </c>
      <c r="M130" s="83">
        <f t="shared" si="4"/>
        <v>40</v>
      </c>
      <c r="N130" s="83" t="s">
        <v>3</v>
      </c>
      <c r="O130" s="83"/>
      <c r="P130" s="84" t="s">
        <v>54</v>
      </c>
      <c r="Q130" s="83"/>
      <c r="R130" s="84" t="s">
        <v>109</v>
      </c>
    </row>
    <row r="131" spans="2:18" x14ac:dyDescent="0.2">
      <c r="B131" s="136"/>
      <c r="C131" s="136"/>
      <c r="D131" s="83">
        <v>124</v>
      </c>
      <c r="E131" s="84" t="s">
        <v>607</v>
      </c>
      <c r="F131" s="83" t="s">
        <v>11</v>
      </c>
      <c r="G131" s="83" t="s">
        <v>608</v>
      </c>
      <c r="H131" s="83" t="s">
        <v>9</v>
      </c>
      <c r="I131" s="83" t="s">
        <v>2</v>
      </c>
      <c r="J131" s="84"/>
      <c r="K131" s="85">
        <v>31411</v>
      </c>
      <c r="L131" s="83">
        <v>1985</v>
      </c>
      <c r="M131" s="83">
        <f t="shared" si="4"/>
        <v>34</v>
      </c>
      <c r="N131" s="83" t="s">
        <v>3</v>
      </c>
      <c r="O131" s="83"/>
      <c r="P131" s="84" t="s">
        <v>54</v>
      </c>
      <c r="Q131" s="83"/>
      <c r="R131" s="84" t="s">
        <v>16</v>
      </c>
    </row>
    <row r="132" spans="2:18" x14ac:dyDescent="0.2">
      <c r="B132" s="136">
        <v>35</v>
      </c>
      <c r="C132" s="136"/>
      <c r="D132" s="83">
        <v>125</v>
      </c>
      <c r="E132" s="84" t="s">
        <v>609</v>
      </c>
      <c r="F132" s="83" t="s">
        <v>6</v>
      </c>
      <c r="G132" s="83" t="s">
        <v>610</v>
      </c>
      <c r="H132" s="83" t="s">
        <v>1</v>
      </c>
      <c r="I132" s="83" t="s">
        <v>2</v>
      </c>
      <c r="J132" s="84"/>
      <c r="K132" s="85">
        <v>26039</v>
      </c>
      <c r="L132" s="83">
        <v>1971</v>
      </c>
      <c r="M132" s="83">
        <f>2019-L132</f>
        <v>48</v>
      </c>
      <c r="N132" s="83" t="s">
        <v>3</v>
      </c>
      <c r="O132" s="83"/>
      <c r="P132" s="84" t="s">
        <v>27</v>
      </c>
      <c r="Q132" s="83"/>
      <c r="R132" s="84" t="s">
        <v>31</v>
      </c>
    </row>
    <row r="133" spans="2:18" x14ac:dyDescent="0.2">
      <c r="B133" s="136"/>
      <c r="C133" s="136"/>
      <c r="D133" s="83">
        <v>126</v>
      </c>
      <c r="E133" s="84" t="s">
        <v>611</v>
      </c>
      <c r="F133" s="83" t="s">
        <v>11</v>
      </c>
      <c r="G133" s="83" t="s">
        <v>612</v>
      </c>
      <c r="H133" s="83" t="s">
        <v>9</v>
      </c>
      <c r="I133" s="83" t="s">
        <v>2</v>
      </c>
      <c r="J133" s="84"/>
      <c r="K133" s="85">
        <v>28193</v>
      </c>
      <c r="L133" s="83">
        <v>1977</v>
      </c>
      <c r="M133" s="83">
        <f>2019-L133</f>
        <v>42</v>
      </c>
      <c r="N133" s="83" t="s">
        <v>3</v>
      </c>
      <c r="O133" s="83"/>
      <c r="P133" s="84" t="s">
        <v>27</v>
      </c>
      <c r="Q133" s="83"/>
      <c r="R133" s="84" t="s">
        <v>10</v>
      </c>
    </row>
    <row r="134" spans="2:18" ht="25.5" x14ac:dyDescent="0.2">
      <c r="B134" s="136"/>
      <c r="C134" s="136"/>
      <c r="D134" s="83">
        <v>127</v>
      </c>
      <c r="E134" s="84" t="s">
        <v>613</v>
      </c>
      <c r="F134" s="83" t="s">
        <v>17</v>
      </c>
      <c r="G134" s="83" t="s">
        <v>614</v>
      </c>
      <c r="H134" s="83" t="s">
        <v>1</v>
      </c>
      <c r="I134" s="83" t="s">
        <v>14</v>
      </c>
      <c r="J134" s="84"/>
      <c r="K134" s="85">
        <v>39419</v>
      </c>
      <c r="L134" s="83">
        <v>2007</v>
      </c>
      <c r="M134" s="83">
        <f>2019-L134</f>
        <v>12</v>
      </c>
      <c r="N134" s="83" t="s">
        <v>3</v>
      </c>
      <c r="O134" s="83"/>
      <c r="P134" s="84" t="s">
        <v>16</v>
      </c>
      <c r="Q134" s="83"/>
      <c r="R134" s="84" t="s">
        <v>16</v>
      </c>
    </row>
    <row r="135" spans="2:18" ht="25.5" x14ac:dyDescent="0.2">
      <c r="B135" s="136"/>
      <c r="C135" s="136"/>
      <c r="D135" s="83">
        <v>128</v>
      </c>
      <c r="E135" s="84" t="s">
        <v>615</v>
      </c>
      <c r="F135" s="83" t="s">
        <v>17</v>
      </c>
      <c r="G135" s="83" t="s">
        <v>616</v>
      </c>
      <c r="H135" s="83" t="s">
        <v>9</v>
      </c>
      <c r="I135" s="83" t="s">
        <v>14</v>
      </c>
      <c r="J135" s="84"/>
      <c r="K135" s="85">
        <v>41867</v>
      </c>
      <c r="L135" s="83">
        <v>2014</v>
      </c>
      <c r="M135" s="83">
        <f>2019-L135</f>
        <v>5</v>
      </c>
      <c r="N135" s="83" t="s">
        <v>3</v>
      </c>
      <c r="O135" s="83"/>
      <c r="P135" s="84" t="s">
        <v>16</v>
      </c>
      <c r="Q135" s="83"/>
      <c r="R135" s="84" t="s">
        <v>16</v>
      </c>
    </row>
    <row r="136" spans="2:18" x14ac:dyDescent="0.2">
      <c r="B136" s="136">
        <v>36</v>
      </c>
      <c r="C136" s="136"/>
      <c r="D136" s="83">
        <v>129</v>
      </c>
      <c r="E136" s="84" t="s">
        <v>626</v>
      </c>
      <c r="F136" s="83" t="s">
        <v>6</v>
      </c>
      <c r="G136" s="83" t="s">
        <v>627</v>
      </c>
      <c r="H136" s="83" t="s">
        <v>1</v>
      </c>
      <c r="I136" s="83" t="s">
        <v>2</v>
      </c>
      <c r="J136" s="84"/>
      <c r="K136" s="85">
        <v>32298</v>
      </c>
      <c r="L136" s="83">
        <v>1988</v>
      </c>
      <c r="M136" s="83">
        <f t="shared" ref="M136:M157" si="6">2019-L136</f>
        <v>31</v>
      </c>
      <c r="N136" s="83" t="s">
        <v>3</v>
      </c>
      <c r="O136" s="83"/>
      <c r="P136" s="84" t="s">
        <v>15</v>
      </c>
      <c r="Q136" s="83"/>
      <c r="R136" s="84" t="s">
        <v>10</v>
      </c>
    </row>
    <row r="137" spans="2:18" x14ac:dyDescent="0.2">
      <c r="B137" s="136"/>
      <c r="C137" s="136"/>
      <c r="D137" s="83">
        <v>130</v>
      </c>
      <c r="E137" s="84" t="s">
        <v>628</v>
      </c>
      <c r="F137" s="83" t="s">
        <v>11</v>
      </c>
      <c r="G137" s="83" t="s">
        <v>629</v>
      </c>
      <c r="H137" s="83" t="s">
        <v>9</v>
      </c>
      <c r="I137" s="83" t="s">
        <v>2</v>
      </c>
      <c r="J137" s="84"/>
      <c r="K137" s="85">
        <v>33610</v>
      </c>
      <c r="L137" s="83">
        <v>1992</v>
      </c>
      <c r="M137" s="83">
        <f t="shared" si="6"/>
        <v>27</v>
      </c>
      <c r="N137" s="83" t="s">
        <v>3</v>
      </c>
      <c r="O137" s="83"/>
      <c r="P137" s="84" t="s">
        <v>15</v>
      </c>
      <c r="Q137" s="83"/>
      <c r="R137" s="84" t="s">
        <v>16</v>
      </c>
    </row>
    <row r="138" spans="2:18" ht="25.5" x14ac:dyDescent="0.2">
      <c r="B138" s="136">
        <v>37</v>
      </c>
      <c r="C138" s="136" t="s">
        <v>1537</v>
      </c>
      <c r="D138" s="83">
        <v>131</v>
      </c>
      <c r="E138" s="84" t="s">
        <v>630</v>
      </c>
      <c r="F138" s="83" t="s">
        <v>6</v>
      </c>
      <c r="G138" s="83" t="s">
        <v>1541</v>
      </c>
      <c r="H138" s="83" t="s">
        <v>1</v>
      </c>
      <c r="I138" s="83" t="s">
        <v>2</v>
      </c>
      <c r="J138" s="84" t="s">
        <v>1148</v>
      </c>
      <c r="K138" s="85">
        <v>29037</v>
      </c>
      <c r="L138" s="83">
        <v>1979</v>
      </c>
      <c r="M138" s="83">
        <f t="shared" si="6"/>
        <v>40</v>
      </c>
      <c r="N138" s="83" t="s">
        <v>3</v>
      </c>
      <c r="O138" s="83" t="s">
        <v>1137</v>
      </c>
      <c r="P138" s="84" t="s">
        <v>1138</v>
      </c>
      <c r="Q138" s="83"/>
      <c r="R138" s="84" t="s">
        <v>1174</v>
      </c>
    </row>
    <row r="139" spans="2:18" ht="25.5" x14ac:dyDescent="0.2">
      <c r="B139" s="136"/>
      <c r="C139" s="136"/>
      <c r="D139" s="83">
        <v>132</v>
      </c>
      <c r="E139" s="84" t="s">
        <v>1538</v>
      </c>
      <c r="F139" s="83" t="s">
        <v>11</v>
      </c>
      <c r="G139" s="83" t="s">
        <v>1540</v>
      </c>
      <c r="H139" s="83" t="s">
        <v>9</v>
      </c>
      <c r="I139" s="83" t="s">
        <v>2</v>
      </c>
      <c r="J139" s="84" t="s">
        <v>1148</v>
      </c>
      <c r="K139" s="85">
        <v>31097</v>
      </c>
      <c r="L139" s="83">
        <v>1985</v>
      </c>
      <c r="M139" s="83">
        <f t="shared" si="6"/>
        <v>34</v>
      </c>
      <c r="N139" s="83" t="s">
        <v>3</v>
      </c>
      <c r="O139" s="83" t="s">
        <v>1137</v>
      </c>
      <c r="P139" s="84" t="s">
        <v>1138</v>
      </c>
      <c r="Q139" s="83"/>
      <c r="R139" s="84" t="s">
        <v>1141</v>
      </c>
    </row>
    <row r="140" spans="2:18" ht="25.5" x14ac:dyDescent="0.2">
      <c r="B140" s="136"/>
      <c r="C140" s="136"/>
      <c r="D140" s="83">
        <v>133</v>
      </c>
      <c r="E140" s="84" t="s">
        <v>1539</v>
      </c>
      <c r="F140" s="83" t="s">
        <v>17</v>
      </c>
      <c r="G140" s="83" t="s">
        <v>631</v>
      </c>
      <c r="H140" s="83" t="s">
        <v>1</v>
      </c>
      <c r="I140" s="83" t="s">
        <v>14</v>
      </c>
      <c r="J140" s="84" t="s">
        <v>1246</v>
      </c>
      <c r="K140" s="85">
        <v>40255</v>
      </c>
      <c r="L140" s="83">
        <v>2010</v>
      </c>
      <c r="M140" s="83">
        <f t="shared" si="6"/>
        <v>9</v>
      </c>
      <c r="N140" s="83" t="s">
        <v>3</v>
      </c>
      <c r="O140" s="83" t="s">
        <v>1137</v>
      </c>
      <c r="P140" s="84" t="s">
        <v>1139</v>
      </c>
      <c r="Q140" s="83"/>
      <c r="R140" s="84" t="s">
        <v>1140</v>
      </c>
    </row>
    <row r="141" spans="2:18" ht="25.5" x14ac:dyDescent="0.2">
      <c r="B141" s="83">
        <v>38</v>
      </c>
      <c r="C141" s="83" t="s">
        <v>1182</v>
      </c>
      <c r="D141" s="83">
        <v>134</v>
      </c>
      <c r="E141" s="84" t="s">
        <v>1180</v>
      </c>
      <c r="F141" s="83" t="s">
        <v>6</v>
      </c>
      <c r="G141" s="83" t="s">
        <v>632</v>
      </c>
      <c r="H141" s="83" t="s">
        <v>1</v>
      </c>
      <c r="I141" s="83" t="s">
        <v>1161</v>
      </c>
      <c r="J141" s="84" t="s">
        <v>1136</v>
      </c>
      <c r="K141" s="85">
        <v>21367</v>
      </c>
      <c r="L141" s="83">
        <v>1958</v>
      </c>
      <c r="M141" s="83">
        <f t="shared" si="6"/>
        <v>61</v>
      </c>
      <c r="N141" s="83" t="s">
        <v>3</v>
      </c>
      <c r="O141" s="83" t="s">
        <v>1137</v>
      </c>
      <c r="P141" s="84" t="s">
        <v>1138</v>
      </c>
      <c r="Q141" s="83"/>
      <c r="R141" s="84" t="s">
        <v>1185</v>
      </c>
    </row>
    <row r="142" spans="2:18" ht="25.5" x14ac:dyDescent="0.2">
      <c r="B142" s="137">
        <v>39</v>
      </c>
      <c r="C142" s="137" t="s">
        <v>1563</v>
      </c>
      <c r="D142" s="83">
        <v>135</v>
      </c>
      <c r="E142" s="84" t="s">
        <v>634</v>
      </c>
      <c r="F142" s="83" t="s">
        <v>6</v>
      </c>
      <c r="G142" s="83" t="s">
        <v>635</v>
      </c>
      <c r="H142" s="83" t="s">
        <v>9</v>
      </c>
      <c r="I142" s="83" t="s">
        <v>1155</v>
      </c>
      <c r="J142" s="84" t="s">
        <v>1136</v>
      </c>
      <c r="K142" s="85">
        <v>27232</v>
      </c>
      <c r="L142" s="83">
        <v>1974</v>
      </c>
      <c r="M142" s="83">
        <f t="shared" si="6"/>
        <v>45</v>
      </c>
      <c r="N142" s="83" t="s">
        <v>3</v>
      </c>
      <c r="O142" s="83" t="s">
        <v>1137</v>
      </c>
      <c r="P142" s="84" t="s">
        <v>1159</v>
      </c>
      <c r="Q142" s="83"/>
      <c r="R142" s="84" t="s">
        <v>10</v>
      </c>
    </row>
    <row r="143" spans="2:18" ht="25.5" x14ac:dyDescent="0.2">
      <c r="B143" s="138"/>
      <c r="C143" s="138"/>
      <c r="D143" s="83">
        <v>136</v>
      </c>
      <c r="E143" s="84" t="s">
        <v>636</v>
      </c>
      <c r="F143" s="83" t="s">
        <v>17</v>
      </c>
      <c r="G143" s="83" t="s">
        <v>637</v>
      </c>
      <c r="H143" s="83" t="s">
        <v>1</v>
      </c>
      <c r="I143" s="83" t="s">
        <v>14</v>
      </c>
      <c r="J143" s="84" t="s">
        <v>1245</v>
      </c>
      <c r="K143" s="85">
        <v>35328</v>
      </c>
      <c r="L143" s="83">
        <v>1996</v>
      </c>
      <c r="M143" s="83">
        <f t="shared" si="6"/>
        <v>23</v>
      </c>
      <c r="N143" s="83" t="s">
        <v>3</v>
      </c>
      <c r="O143" s="83" t="s">
        <v>1137</v>
      </c>
      <c r="P143" s="84" t="s">
        <v>1159</v>
      </c>
      <c r="Q143" s="83"/>
      <c r="R143" s="84" t="s">
        <v>1160</v>
      </c>
    </row>
    <row r="144" spans="2:18" ht="25.5" x14ac:dyDescent="0.2">
      <c r="B144" s="139"/>
      <c r="C144" s="139"/>
      <c r="D144" s="83">
        <v>137</v>
      </c>
      <c r="E144" s="84" t="s">
        <v>642</v>
      </c>
      <c r="F144" s="83" t="s">
        <v>1163</v>
      </c>
      <c r="G144" s="83" t="s">
        <v>1564</v>
      </c>
      <c r="H144" s="83" t="s">
        <v>1</v>
      </c>
      <c r="I144" s="83" t="s">
        <v>1161</v>
      </c>
      <c r="J144" s="84" t="s">
        <v>1136</v>
      </c>
      <c r="K144" s="85">
        <v>15341</v>
      </c>
      <c r="L144" s="83">
        <v>1941</v>
      </c>
      <c r="M144" s="83">
        <f t="shared" si="6"/>
        <v>78</v>
      </c>
      <c r="N144" s="83" t="s">
        <v>3</v>
      </c>
      <c r="O144" s="83" t="s">
        <v>1137</v>
      </c>
      <c r="P144" s="84" t="s">
        <v>1138</v>
      </c>
      <c r="Q144" s="83"/>
      <c r="R144" s="84" t="s">
        <v>1404</v>
      </c>
    </row>
    <row r="145" spans="2:18" ht="25.5" x14ac:dyDescent="0.2">
      <c r="B145" s="136">
        <v>40</v>
      </c>
      <c r="C145" s="136"/>
      <c r="D145" s="83">
        <v>138</v>
      </c>
      <c r="E145" s="84" t="s">
        <v>638</v>
      </c>
      <c r="F145" s="83" t="s">
        <v>6</v>
      </c>
      <c r="G145" s="83" t="s">
        <v>639</v>
      </c>
      <c r="H145" s="83" t="s">
        <v>1</v>
      </c>
      <c r="I145" s="83" t="s">
        <v>2</v>
      </c>
      <c r="J145" s="84"/>
      <c r="K145" s="85">
        <v>31158</v>
      </c>
      <c r="L145" s="83">
        <v>1985</v>
      </c>
      <c r="M145" s="83">
        <f t="shared" si="6"/>
        <v>34</v>
      </c>
      <c r="N145" s="83" t="s">
        <v>3</v>
      </c>
      <c r="O145" s="83"/>
      <c r="P145" s="84" t="s">
        <v>4</v>
      </c>
      <c r="Q145" s="83"/>
      <c r="R145" s="84" t="s">
        <v>10</v>
      </c>
    </row>
    <row r="146" spans="2:18" x14ac:dyDescent="0.2">
      <c r="B146" s="136"/>
      <c r="C146" s="136"/>
      <c r="D146" s="83">
        <v>139</v>
      </c>
      <c r="E146" s="84" t="s">
        <v>640</v>
      </c>
      <c r="F146" s="83" t="s">
        <v>11</v>
      </c>
      <c r="G146" s="83" t="s">
        <v>641</v>
      </c>
      <c r="H146" s="83" t="s">
        <v>9</v>
      </c>
      <c r="I146" s="83" t="s">
        <v>2</v>
      </c>
      <c r="J146" s="84"/>
      <c r="K146" s="85">
        <v>30996</v>
      </c>
      <c r="L146" s="83">
        <v>1984</v>
      </c>
      <c r="M146" s="83">
        <f t="shared" si="6"/>
        <v>35</v>
      </c>
      <c r="N146" s="83" t="s">
        <v>3</v>
      </c>
      <c r="O146" s="83"/>
      <c r="P146" s="84" t="s">
        <v>4</v>
      </c>
      <c r="Q146" s="83"/>
      <c r="R146" s="84" t="s">
        <v>10</v>
      </c>
    </row>
    <row r="147" spans="2:18" x14ac:dyDescent="0.2">
      <c r="B147" s="136"/>
      <c r="C147" s="136"/>
      <c r="D147" s="83">
        <v>140</v>
      </c>
      <c r="E147" s="84" t="s">
        <v>642</v>
      </c>
      <c r="F147" s="83" t="s">
        <v>25</v>
      </c>
      <c r="G147" s="83">
        <v>0</v>
      </c>
      <c r="H147" s="83" t="s">
        <v>1</v>
      </c>
      <c r="I147" s="83" t="s">
        <v>321</v>
      </c>
      <c r="J147" s="84"/>
      <c r="K147" s="85">
        <v>13149</v>
      </c>
      <c r="L147" s="83">
        <v>1935</v>
      </c>
      <c r="M147" s="83">
        <f t="shared" si="6"/>
        <v>84</v>
      </c>
      <c r="N147" s="83" t="s">
        <v>3</v>
      </c>
      <c r="O147" s="83"/>
      <c r="P147" s="84" t="s">
        <v>54</v>
      </c>
      <c r="Q147" s="83"/>
      <c r="R147" s="84" t="s">
        <v>16</v>
      </c>
    </row>
    <row r="148" spans="2:18" x14ac:dyDescent="0.2">
      <c r="B148" s="136">
        <v>41</v>
      </c>
      <c r="C148" s="136"/>
      <c r="D148" s="83">
        <v>141</v>
      </c>
      <c r="E148" s="84" t="s">
        <v>643</v>
      </c>
      <c r="F148" s="83" t="s">
        <v>6</v>
      </c>
      <c r="G148" s="83" t="s">
        <v>608</v>
      </c>
      <c r="H148" s="83" t="s">
        <v>1</v>
      </c>
      <c r="I148" s="83" t="s">
        <v>2</v>
      </c>
      <c r="J148" s="84"/>
      <c r="K148" s="85">
        <v>27764</v>
      </c>
      <c r="L148" s="83">
        <v>1976</v>
      </c>
      <c r="M148" s="83">
        <f t="shared" si="6"/>
        <v>43</v>
      </c>
      <c r="N148" s="83" t="s">
        <v>3</v>
      </c>
      <c r="O148" s="83"/>
      <c r="P148" s="84" t="s">
        <v>27</v>
      </c>
      <c r="Q148" s="83"/>
      <c r="R148" s="84" t="s">
        <v>109</v>
      </c>
    </row>
    <row r="149" spans="2:18" x14ac:dyDescent="0.2">
      <c r="B149" s="136"/>
      <c r="C149" s="136"/>
      <c r="D149" s="83">
        <v>142</v>
      </c>
      <c r="E149" s="84" t="s">
        <v>644</v>
      </c>
      <c r="F149" s="83" t="s">
        <v>11</v>
      </c>
      <c r="G149" s="83" t="s">
        <v>608</v>
      </c>
      <c r="H149" s="83" t="s">
        <v>9</v>
      </c>
      <c r="I149" s="83" t="s">
        <v>645</v>
      </c>
      <c r="J149" s="84"/>
      <c r="K149" s="85">
        <v>36427</v>
      </c>
      <c r="L149" s="83">
        <v>1999</v>
      </c>
      <c r="M149" s="83">
        <f t="shared" si="6"/>
        <v>20</v>
      </c>
      <c r="N149" s="83" t="s">
        <v>3</v>
      </c>
      <c r="O149" s="83"/>
      <c r="P149" s="84" t="s">
        <v>27</v>
      </c>
      <c r="Q149" s="83"/>
      <c r="R149" s="84" t="s">
        <v>16</v>
      </c>
    </row>
    <row r="150" spans="2:18" ht="25.5" x14ac:dyDescent="0.2">
      <c r="B150" s="136"/>
      <c r="C150" s="136"/>
      <c r="D150" s="83">
        <v>143</v>
      </c>
      <c r="E150" s="84" t="s">
        <v>646</v>
      </c>
      <c r="F150" s="83" t="s">
        <v>17</v>
      </c>
      <c r="G150" s="83" t="s">
        <v>608</v>
      </c>
      <c r="H150" s="83" t="s">
        <v>9</v>
      </c>
      <c r="I150" s="83" t="s">
        <v>14</v>
      </c>
      <c r="J150" s="84"/>
      <c r="K150" s="85">
        <v>40690</v>
      </c>
      <c r="L150" s="83">
        <v>2011</v>
      </c>
      <c r="M150" s="83">
        <f t="shared" si="6"/>
        <v>8</v>
      </c>
      <c r="N150" s="83" t="s">
        <v>3</v>
      </c>
      <c r="O150" s="83"/>
      <c r="P150" s="84" t="s">
        <v>16</v>
      </c>
      <c r="Q150" s="83"/>
      <c r="R150" s="84" t="s">
        <v>16</v>
      </c>
    </row>
    <row r="151" spans="2:18" x14ac:dyDescent="0.2">
      <c r="B151" s="136">
        <v>42</v>
      </c>
      <c r="C151" s="136" t="s">
        <v>1399</v>
      </c>
      <c r="D151" s="83">
        <v>144</v>
      </c>
      <c r="E151" s="84" t="s">
        <v>803</v>
      </c>
      <c r="F151" s="83" t="s">
        <v>6</v>
      </c>
      <c r="G151" s="83" t="s">
        <v>1400</v>
      </c>
      <c r="H151" s="83" t="s">
        <v>1</v>
      </c>
      <c r="I151" s="83" t="s">
        <v>2</v>
      </c>
      <c r="J151" s="84" t="s">
        <v>1156</v>
      </c>
      <c r="K151" s="85">
        <v>34347</v>
      </c>
      <c r="L151" s="83">
        <v>1994</v>
      </c>
      <c r="M151" s="83">
        <f t="shared" si="6"/>
        <v>25</v>
      </c>
      <c r="N151" s="83" t="s">
        <v>3</v>
      </c>
      <c r="O151" s="83" t="s">
        <v>1137</v>
      </c>
      <c r="P151" s="84" t="s">
        <v>1159</v>
      </c>
      <c r="Q151" s="83"/>
      <c r="R151" s="84" t="s">
        <v>10</v>
      </c>
    </row>
    <row r="152" spans="2:18" ht="25.5" x14ac:dyDescent="0.2">
      <c r="B152" s="136"/>
      <c r="C152" s="136"/>
      <c r="D152" s="83">
        <v>145</v>
      </c>
      <c r="E152" s="84" t="s">
        <v>1397</v>
      </c>
      <c r="F152" s="83" t="s">
        <v>11</v>
      </c>
      <c r="G152" s="83" t="s">
        <v>1401</v>
      </c>
      <c r="H152" s="83" t="s">
        <v>9</v>
      </c>
      <c r="I152" s="83" t="s">
        <v>2</v>
      </c>
      <c r="J152" s="84" t="s">
        <v>1403</v>
      </c>
      <c r="K152" s="85">
        <v>34695</v>
      </c>
      <c r="L152" s="83">
        <v>1994</v>
      </c>
      <c r="M152" s="83">
        <f t="shared" si="6"/>
        <v>25</v>
      </c>
      <c r="N152" s="83" t="s">
        <v>3</v>
      </c>
      <c r="O152" s="83"/>
      <c r="P152" s="84" t="s">
        <v>1159</v>
      </c>
      <c r="Q152" s="83"/>
      <c r="R152" s="84" t="s">
        <v>1141</v>
      </c>
    </row>
    <row r="153" spans="2:18" ht="25.5" x14ac:dyDescent="0.2">
      <c r="B153" s="136"/>
      <c r="C153" s="136"/>
      <c r="D153" s="83">
        <v>146</v>
      </c>
      <c r="E153" s="84" t="s">
        <v>1398</v>
      </c>
      <c r="F153" s="83" t="s">
        <v>17</v>
      </c>
      <c r="G153" s="83" t="s">
        <v>1402</v>
      </c>
      <c r="H153" s="83" t="s">
        <v>1</v>
      </c>
      <c r="I153" s="83" t="s">
        <v>14</v>
      </c>
      <c r="J153" s="84" t="s">
        <v>1246</v>
      </c>
      <c r="K153" s="85">
        <v>42472</v>
      </c>
      <c r="L153" s="83">
        <v>2016</v>
      </c>
      <c r="M153" s="83">
        <f t="shared" si="6"/>
        <v>3</v>
      </c>
      <c r="N153" s="83" t="s">
        <v>3</v>
      </c>
      <c r="O153" s="83" t="s">
        <v>1137</v>
      </c>
      <c r="P153" s="84" t="s">
        <v>1139</v>
      </c>
      <c r="Q153" s="83"/>
      <c r="R153" s="84" t="s">
        <v>1140</v>
      </c>
    </row>
    <row r="154" spans="2:18" ht="25.5" x14ac:dyDescent="0.2">
      <c r="B154" s="136"/>
      <c r="C154" s="136"/>
      <c r="D154" s="83">
        <v>147</v>
      </c>
      <c r="E154" s="84" t="s">
        <v>647</v>
      </c>
      <c r="F154" s="83" t="s">
        <v>1163</v>
      </c>
      <c r="G154" s="83" t="s">
        <v>802</v>
      </c>
      <c r="H154" s="83" t="s">
        <v>9</v>
      </c>
      <c r="I154" s="83" t="s">
        <v>1155</v>
      </c>
      <c r="J154" s="84" t="s">
        <v>1136</v>
      </c>
      <c r="K154" s="85">
        <v>25933</v>
      </c>
      <c r="L154" s="83">
        <v>1970</v>
      </c>
      <c r="M154" s="83">
        <f t="shared" si="6"/>
        <v>49</v>
      </c>
      <c r="N154" s="83" t="s">
        <v>3</v>
      </c>
      <c r="O154" s="83" t="s">
        <v>1137</v>
      </c>
      <c r="P154" s="84" t="s">
        <v>1138</v>
      </c>
      <c r="Q154" s="83"/>
      <c r="R154" s="84" t="s">
        <v>1404</v>
      </c>
    </row>
    <row r="155" spans="2:18" ht="25.5" x14ac:dyDescent="0.2">
      <c r="B155" s="136">
        <v>43</v>
      </c>
      <c r="C155" s="136" t="s">
        <v>1580</v>
      </c>
      <c r="D155" s="83">
        <v>148</v>
      </c>
      <c r="E155" s="84" t="s">
        <v>648</v>
      </c>
      <c r="F155" s="83" t="s">
        <v>6</v>
      </c>
      <c r="G155" s="83" t="s">
        <v>1581</v>
      </c>
      <c r="H155" s="83" t="s">
        <v>1</v>
      </c>
      <c r="I155" s="83" t="s">
        <v>2</v>
      </c>
      <c r="J155" s="84" t="s">
        <v>1136</v>
      </c>
      <c r="K155" s="85">
        <v>14976</v>
      </c>
      <c r="L155" s="83">
        <v>1940</v>
      </c>
      <c r="M155" s="83">
        <f t="shared" si="6"/>
        <v>79</v>
      </c>
      <c r="N155" s="83" t="s">
        <v>3</v>
      </c>
      <c r="O155" s="83" t="s">
        <v>1137</v>
      </c>
      <c r="P155" s="84" t="s">
        <v>1139</v>
      </c>
      <c r="Q155" s="83"/>
      <c r="R155" s="84" t="s">
        <v>88</v>
      </c>
    </row>
    <row r="156" spans="2:18" ht="25.5" x14ac:dyDescent="0.2">
      <c r="B156" s="136"/>
      <c r="C156" s="136"/>
      <c r="D156" s="83">
        <v>149</v>
      </c>
      <c r="E156" s="84" t="s">
        <v>649</v>
      </c>
      <c r="F156" s="83" t="s">
        <v>11</v>
      </c>
      <c r="G156" s="83" t="s">
        <v>1582</v>
      </c>
      <c r="H156" s="83" t="s">
        <v>9</v>
      </c>
      <c r="I156" s="83" t="s">
        <v>2</v>
      </c>
      <c r="J156" s="84" t="s">
        <v>1136</v>
      </c>
      <c r="K156" s="85">
        <v>16802</v>
      </c>
      <c r="L156" s="83">
        <v>1945</v>
      </c>
      <c r="M156" s="83">
        <f t="shared" si="6"/>
        <v>74</v>
      </c>
      <c r="N156" s="83" t="s">
        <v>3</v>
      </c>
      <c r="O156" s="83" t="s">
        <v>1137</v>
      </c>
      <c r="P156" s="84" t="s">
        <v>1139</v>
      </c>
      <c r="Q156" s="83"/>
      <c r="R156" s="84" t="s">
        <v>1140</v>
      </c>
    </row>
    <row r="157" spans="2:18" ht="25.5" x14ac:dyDescent="0.2">
      <c r="B157" s="136">
        <v>44</v>
      </c>
      <c r="C157" s="136" t="s">
        <v>1175</v>
      </c>
      <c r="D157" s="83">
        <v>150</v>
      </c>
      <c r="E157" s="84" t="s">
        <v>1168</v>
      </c>
      <c r="F157" s="83" t="s">
        <v>6</v>
      </c>
      <c r="G157" s="83" t="s">
        <v>651</v>
      </c>
      <c r="H157" s="83" t="s">
        <v>1</v>
      </c>
      <c r="I157" s="83" t="s">
        <v>2</v>
      </c>
      <c r="J157" s="84" t="s">
        <v>1136</v>
      </c>
      <c r="K157" s="85">
        <v>24917</v>
      </c>
      <c r="L157" s="83">
        <v>1968</v>
      </c>
      <c r="M157" s="83">
        <f t="shared" si="6"/>
        <v>51</v>
      </c>
      <c r="N157" s="83" t="s">
        <v>3</v>
      </c>
      <c r="O157" s="83" t="s">
        <v>1137</v>
      </c>
      <c r="P157" s="84" t="s">
        <v>1172</v>
      </c>
      <c r="Q157" s="83"/>
      <c r="R157" s="84" t="s">
        <v>1174</v>
      </c>
    </row>
    <row r="158" spans="2:18" ht="25.5" x14ac:dyDescent="0.2">
      <c r="B158" s="136"/>
      <c r="C158" s="136"/>
      <c r="D158" s="83">
        <v>151</v>
      </c>
      <c r="E158" s="84" t="s">
        <v>1169</v>
      </c>
      <c r="F158" s="83" t="s">
        <v>11</v>
      </c>
      <c r="G158" s="83" t="s">
        <v>652</v>
      </c>
      <c r="H158" s="83" t="s">
        <v>9</v>
      </c>
      <c r="I158" s="83" t="s">
        <v>2</v>
      </c>
      <c r="J158" s="84" t="s">
        <v>1136</v>
      </c>
      <c r="K158" s="85">
        <v>29658</v>
      </c>
      <c r="L158" s="83">
        <v>1981</v>
      </c>
      <c r="M158" s="83">
        <f t="shared" ref="M158:M187" si="7">2019-L158</f>
        <v>38</v>
      </c>
      <c r="N158" s="83" t="s">
        <v>3</v>
      </c>
      <c r="O158" s="83" t="s">
        <v>1137</v>
      </c>
      <c r="P158" s="84" t="s">
        <v>1159</v>
      </c>
      <c r="Q158" s="83"/>
      <c r="R158" s="84" t="s">
        <v>1141</v>
      </c>
    </row>
    <row r="159" spans="2:18" s="50" customFormat="1" ht="25.5" x14ac:dyDescent="0.2">
      <c r="B159" s="136"/>
      <c r="C159" s="136"/>
      <c r="D159" s="83">
        <v>152</v>
      </c>
      <c r="E159" s="87" t="s">
        <v>1170</v>
      </c>
      <c r="F159" s="50" t="s">
        <v>17</v>
      </c>
      <c r="G159" s="50" t="s">
        <v>1171</v>
      </c>
      <c r="H159" s="50" t="s">
        <v>1</v>
      </c>
      <c r="I159" s="50" t="s">
        <v>14</v>
      </c>
      <c r="J159" s="87" t="s">
        <v>1156</v>
      </c>
      <c r="K159" s="88">
        <v>42648</v>
      </c>
      <c r="L159" s="50">
        <v>2016</v>
      </c>
      <c r="M159" s="83">
        <f t="shared" si="7"/>
        <v>3</v>
      </c>
      <c r="N159" s="50" t="s">
        <v>3</v>
      </c>
      <c r="O159" s="50" t="s">
        <v>1137</v>
      </c>
      <c r="P159" s="87" t="s">
        <v>1173</v>
      </c>
      <c r="R159" s="87" t="s">
        <v>1140</v>
      </c>
    </row>
    <row r="160" spans="2:18" ht="25.5" x14ac:dyDescent="0.2">
      <c r="B160" s="136">
        <v>45</v>
      </c>
      <c r="C160" s="136" t="s">
        <v>1551</v>
      </c>
      <c r="D160" s="83">
        <v>153</v>
      </c>
      <c r="E160" s="84" t="s">
        <v>653</v>
      </c>
      <c r="F160" s="83" t="s">
        <v>6</v>
      </c>
      <c r="G160" s="83" t="s">
        <v>654</v>
      </c>
      <c r="H160" s="83" t="s">
        <v>1</v>
      </c>
      <c r="I160" s="83" t="s">
        <v>2</v>
      </c>
      <c r="J160" s="84" t="s">
        <v>1136</v>
      </c>
      <c r="K160" s="85">
        <v>25210</v>
      </c>
      <c r="L160" s="83">
        <v>1969</v>
      </c>
      <c r="M160" s="83">
        <f t="shared" si="7"/>
        <v>50</v>
      </c>
      <c r="N160" s="83" t="s">
        <v>3</v>
      </c>
      <c r="O160" s="83" t="s">
        <v>1137</v>
      </c>
      <c r="P160" s="84" t="s">
        <v>1159</v>
      </c>
      <c r="Q160" s="83"/>
      <c r="R160" s="84" t="s">
        <v>1306</v>
      </c>
    </row>
    <row r="161" spans="2:18" ht="25.5" x14ac:dyDescent="0.2">
      <c r="B161" s="136"/>
      <c r="C161" s="136"/>
      <c r="D161" s="83">
        <v>154</v>
      </c>
      <c r="E161" s="84" t="s">
        <v>655</v>
      </c>
      <c r="F161" s="83" t="s">
        <v>11</v>
      </c>
      <c r="G161" s="83" t="s">
        <v>1552</v>
      </c>
      <c r="H161" s="83" t="s">
        <v>9</v>
      </c>
      <c r="I161" s="83" t="s">
        <v>2</v>
      </c>
      <c r="J161" s="84" t="s">
        <v>1136</v>
      </c>
      <c r="K161" s="85">
        <v>26999</v>
      </c>
      <c r="L161" s="83">
        <v>1973</v>
      </c>
      <c r="M161" s="83">
        <f t="shared" si="7"/>
        <v>46</v>
      </c>
      <c r="N161" s="83" t="s">
        <v>3</v>
      </c>
      <c r="O161" s="83" t="s">
        <v>1137</v>
      </c>
      <c r="P161" s="84" t="s">
        <v>1138</v>
      </c>
      <c r="Q161" s="83"/>
      <c r="R161" s="84" t="s">
        <v>1141</v>
      </c>
    </row>
    <row r="162" spans="2:18" ht="25.5" x14ac:dyDescent="0.2">
      <c r="B162" s="136"/>
      <c r="C162" s="136"/>
      <c r="D162" s="83">
        <v>155</v>
      </c>
      <c r="E162" s="84" t="s">
        <v>656</v>
      </c>
      <c r="F162" s="83" t="s">
        <v>17</v>
      </c>
      <c r="G162" s="83" t="s">
        <v>1553</v>
      </c>
      <c r="H162" s="83" t="s">
        <v>9</v>
      </c>
      <c r="I162" s="83" t="s">
        <v>14</v>
      </c>
      <c r="J162" s="84" t="s">
        <v>1136</v>
      </c>
      <c r="K162" s="85">
        <v>36543</v>
      </c>
      <c r="L162" s="83">
        <v>2000</v>
      </c>
      <c r="M162" s="83">
        <f t="shared" si="7"/>
        <v>19</v>
      </c>
      <c r="N162" s="83" t="s">
        <v>3</v>
      </c>
      <c r="O162" s="83" t="s">
        <v>1137</v>
      </c>
      <c r="P162" s="84" t="s">
        <v>1138</v>
      </c>
      <c r="Q162" s="83"/>
      <c r="R162" s="84" t="s">
        <v>1554</v>
      </c>
    </row>
    <row r="163" spans="2:18" ht="25.5" x14ac:dyDescent="0.2">
      <c r="B163" s="136"/>
      <c r="C163" s="136"/>
      <c r="D163" s="83">
        <v>156</v>
      </c>
      <c r="E163" s="84" t="s">
        <v>1550</v>
      </c>
      <c r="F163" s="83" t="s">
        <v>17</v>
      </c>
      <c r="G163" s="83" t="s">
        <v>657</v>
      </c>
      <c r="H163" s="83" t="s">
        <v>9</v>
      </c>
      <c r="I163" s="83" t="s">
        <v>14</v>
      </c>
      <c r="J163" s="84" t="s">
        <v>1136</v>
      </c>
      <c r="K163" s="85">
        <v>39972</v>
      </c>
      <c r="L163" s="83">
        <v>2009</v>
      </c>
      <c r="M163" s="83">
        <f t="shared" si="7"/>
        <v>10</v>
      </c>
      <c r="N163" s="83" t="s">
        <v>3</v>
      </c>
      <c r="O163" s="83" t="s">
        <v>1137</v>
      </c>
      <c r="P163" s="84" t="s">
        <v>1178</v>
      </c>
      <c r="Q163" s="83"/>
      <c r="R163" s="84" t="s">
        <v>1554</v>
      </c>
    </row>
    <row r="164" spans="2:18" x14ac:dyDescent="0.2">
      <c r="B164" s="136">
        <v>46</v>
      </c>
      <c r="C164" s="136"/>
      <c r="D164" s="83">
        <v>157</v>
      </c>
      <c r="E164" s="84" t="s">
        <v>658</v>
      </c>
      <c r="F164" s="83" t="s">
        <v>6</v>
      </c>
      <c r="G164" s="83" t="s">
        <v>659</v>
      </c>
      <c r="H164" s="83" t="s">
        <v>1</v>
      </c>
      <c r="I164" s="83" t="s">
        <v>2</v>
      </c>
      <c r="J164" s="84"/>
      <c r="K164" s="85">
        <v>32976</v>
      </c>
      <c r="L164" s="83">
        <v>1990</v>
      </c>
      <c r="M164" s="83">
        <f t="shared" si="7"/>
        <v>29</v>
      </c>
      <c r="N164" s="83" t="s">
        <v>3</v>
      </c>
      <c r="O164" s="83"/>
      <c r="P164" s="84" t="s">
        <v>27</v>
      </c>
      <c r="Q164" s="83"/>
      <c r="R164" s="84" t="s">
        <v>109</v>
      </c>
    </row>
    <row r="165" spans="2:18" x14ac:dyDescent="0.2">
      <c r="B165" s="136"/>
      <c r="C165" s="136"/>
      <c r="D165" s="83">
        <v>158</v>
      </c>
      <c r="E165" s="84" t="s">
        <v>660</v>
      </c>
      <c r="F165" s="83" t="s">
        <v>11</v>
      </c>
      <c r="G165" s="83" t="s">
        <v>661</v>
      </c>
      <c r="H165" s="83" t="s">
        <v>9</v>
      </c>
      <c r="I165" s="83" t="s">
        <v>2</v>
      </c>
      <c r="J165" s="84"/>
      <c r="K165" s="85">
        <v>33068</v>
      </c>
      <c r="L165" s="83">
        <v>1990</v>
      </c>
      <c r="M165" s="83">
        <f t="shared" si="7"/>
        <v>29</v>
      </c>
      <c r="N165" s="83" t="s">
        <v>3</v>
      </c>
      <c r="O165" s="83"/>
      <c r="P165" s="84" t="s">
        <v>15</v>
      </c>
      <c r="Q165" s="83"/>
      <c r="R165" s="84" t="s">
        <v>16</v>
      </c>
    </row>
    <row r="166" spans="2:18" ht="38.25" x14ac:dyDescent="0.2">
      <c r="B166" s="136"/>
      <c r="C166" s="136"/>
      <c r="D166" s="83">
        <v>159</v>
      </c>
      <c r="E166" s="84" t="s">
        <v>662</v>
      </c>
      <c r="F166" s="83" t="s">
        <v>17</v>
      </c>
      <c r="G166" s="83">
        <v>0</v>
      </c>
      <c r="H166" s="83" t="s">
        <v>1</v>
      </c>
      <c r="I166" s="83" t="s">
        <v>14</v>
      </c>
      <c r="J166" s="84"/>
      <c r="K166" s="85">
        <v>41012</v>
      </c>
      <c r="L166" s="83">
        <v>2012</v>
      </c>
      <c r="M166" s="83">
        <f t="shared" si="7"/>
        <v>7</v>
      </c>
      <c r="N166" s="83" t="s">
        <v>3</v>
      </c>
      <c r="O166" s="83"/>
      <c r="P166" s="84" t="s">
        <v>16</v>
      </c>
      <c r="Q166" s="83"/>
      <c r="R166" s="84" t="s">
        <v>16</v>
      </c>
    </row>
    <row r="167" spans="2:18" ht="25.5" x14ac:dyDescent="0.2">
      <c r="B167" s="136">
        <v>47</v>
      </c>
      <c r="C167" s="136"/>
      <c r="D167" s="83">
        <v>160</v>
      </c>
      <c r="E167" s="84" t="s">
        <v>663</v>
      </c>
      <c r="F167" s="83" t="s">
        <v>6</v>
      </c>
      <c r="G167" s="83" t="s">
        <v>664</v>
      </c>
      <c r="H167" s="83" t="s">
        <v>1</v>
      </c>
      <c r="I167" s="83" t="s">
        <v>2</v>
      </c>
      <c r="J167" s="84"/>
      <c r="K167" s="85">
        <v>34313</v>
      </c>
      <c r="L167" s="83">
        <v>1993</v>
      </c>
      <c r="M167" s="83">
        <f t="shared" si="7"/>
        <v>26</v>
      </c>
      <c r="N167" s="83" t="s">
        <v>3</v>
      </c>
      <c r="O167" s="83"/>
      <c r="P167" s="84" t="s">
        <v>27</v>
      </c>
      <c r="Q167" s="83"/>
      <c r="R167" s="84" t="s">
        <v>10</v>
      </c>
    </row>
    <row r="168" spans="2:18" ht="25.5" x14ac:dyDescent="0.2">
      <c r="B168" s="136"/>
      <c r="C168" s="136"/>
      <c r="D168" s="83">
        <v>161</v>
      </c>
      <c r="E168" s="84" t="s">
        <v>665</v>
      </c>
      <c r="F168" s="83" t="s">
        <v>11</v>
      </c>
      <c r="G168" s="83" t="s">
        <v>1672</v>
      </c>
      <c r="H168" s="83" t="s">
        <v>9</v>
      </c>
      <c r="I168" s="83" t="s">
        <v>2</v>
      </c>
      <c r="J168" s="84"/>
      <c r="K168" s="85">
        <v>35327</v>
      </c>
      <c r="L168" s="83">
        <v>1996</v>
      </c>
      <c r="M168" s="83">
        <f t="shared" si="7"/>
        <v>23</v>
      </c>
      <c r="N168" s="83" t="s">
        <v>3</v>
      </c>
      <c r="O168" s="83"/>
      <c r="P168" s="84" t="s">
        <v>15</v>
      </c>
      <c r="Q168" s="83"/>
      <c r="R168" s="84" t="s">
        <v>16</v>
      </c>
    </row>
    <row r="169" spans="2:18" ht="25.5" x14ac:dyDescent="0.2">
      <c r="B169" s="136"/>
      <c r="C169" s="136"/>
      <c r="D169" s="83">
        <v>162</v>
      </c>
      <c r="E169" s="84" t="s">
        <v>666</v>
      </c>
      <c r="F169" s="83" t="s">
        <v>17</v>
      </c>
      <c r="G169" s="83" t="s">
        <v>667</v>
      </c>
      <c r="H169" s="83" t="s">
        <v>1</v>
      </c>
      <c r="I169" s="83" t="s">
        <v>14</v>
      </c>
      <c r="J169" s="84"/>
      <c r="K169" s="85">
        <v>42077</v>
      </c>
      <c r="L169" s="83">
        <v>2015</v>
      </c>
      <c r="M169" s="83">
        <f t="shared" si="7"/>
        <v>4</v>
      </c>
      <c r="N169" s="83" t="s">
        <v>3</v>
      </c>
      <c r="O169" s="83"/>
      <c r="P169" s="84" t="s">
        <v>16</v>
      </c>
      <c r="Q169" s="83"/>
      <c r="R169" s="84" t="s">
        <v>16</v>
      </c>
    </row>
    <row r="170" spans="2:18" x14ac:dyDescent="0.2">
      <c r="B170" s="136">
        <v>48</v>
      </c>
      <c r="C170" s="136"/>
      <c r="D170" s="83">
        <v>163</v>
      </c>
      <c r="E170" s="84" t="s">
        <v>668</v>
      </c>
      <c r="F170" s="83" t="s">
        <v>6</v>
      </c>
      <c r="G170" s="83">
        <v>0</v>
      </c>
      <c r="H170" s="83" t="s">
        <v>1</v>
      </c>
      <c r="I170" s="83" t="s">
        <v>2</v>
      </c>
      <c r="J170" s="84"/>
      <c r="K170" s="85">
        <v>27394</v>
      </c>
      <c r="L170" s="83">
        <v>1974</v>
      </c>
      <c r="M170" s="83">
        <f t="shared" si="7"/>
        <v>45</v>
      </c>
      <c r="N170" s="83" t="s">
        <v>3</v>
      </c>
      <c r="O170" s="83"/>
      <c r="P170" s="84" t="s">
        <v>4</v>
      </c>
      <c r="Q170" s="83"/>
      <c r="R170" s="84" t="s">
        <v>5</v>
      </c>
    </row>
    <row r="171" spans="2:18" x14ac:dyDescent="0.2">
      <c r="B171" s="136"/>
      <c r="C171" s="136"/>
      <c r="D171" s="83">
        <v>164</v>
      </c>
      <c r="E171" s="84" t="s">
        <v>669</v>
      </c>
      <c r="F171" s="83" t="s">
        <v>11</v>
      </c>
      <c r="G171" s="83">
        <v>0</v>
      </c>
      <c r="H171" s="83" t="s">
        <v>9</v>
      </c>
      <c r="I171" s="83" t="s">
        <v>2</v>
      </c>
      <c r="J171" s="84"/>
      <c r="K171" s="85">
        <v>28270</v>
      </c>
      <c r="L171" s="83">
        <v>1977</v>
      </c>
      <c r="M171" s="83">
        <f t="shared" si="7"/>
        <v>42</v>
      </c>
      <c r="N171" s="83" t="s">
        <v>3</v>
      </c>
      <c r="O171" s="83"/>
      <c r="P171" s="84" t="s">
        <v>15</v>
      </c>
      <c r="Q171" s="83"/>
      <c r="R171" s="84" t="s">
        <v>16</v>
      </c>
    </row>
    <row r="172" spans="2:18" ht="25.5" x14ac:dyDescent="0.2">
      <c r="B172" s="136"/>
      <c r="C172" s="136"/>
      <c r="D172" s="83">
        <v>165</v>
      </c>
      <c r="E172" s="84" t="s">
        <v>670</v>
      </c>
      <c r="F172" s="83" t="s">
        <v>17</v>
      </c>
      <c r="G172" s="83">
        <v>0</v>
      </c>
      <c r="H172" s="83" t="s">
        <v>9</v>
      </c>
      <c r="I172" s="83" t="s">
        <v>14</v>
      </c>
      <c r="J172" s="84"/>
      <c r="K172" s="85">
        <v>38040</v>
      </c>
      <c r="L172" s="83">
        <v>2004</v>
      </c>
      <c r="M172" s="83">
        <f t="shared" si="7"/>
        <v>15</v>
      </c>
      <c r="N172" s="83" t="s">
        <v>3</v>
      </c>
      <c r="O172" s="83"/>
      <c r="P172" s="84" t="s">
        <v>16</v>
      </c>
      <c r="Q172" s="83"/>
      <c r="R172" s="84" t="s">
        <v>16</v>
      </c>
    </row>
    <row r="173" spans="2:18" ht="25.5" x14ac:dyDescent="0.2">
      <c r="B173" s="136"/>
      <c r="C173" s="136"/>
      <c r="D173" s="83">
        <v>166</v>
      </c>
      <c r="E173" s="84" t="s">
        <v>671</v>
      </c>
      <c r="F173" s="83" t="s">
        <v>17</v>
      </c>
      <c r="G173" s="83">
        <v>0</v>
      </c>
      <c r="H173" s="83" t="s">
        <v>1</v>
      </c>
      <c r="I173" s="83" t="s">
        <v>14</v>
      </c>
      <c r="J173" s="84"/>
      <c r="K173" s="85">
        <v>39501</v>
      </c>
      <c r="L173" s="83">
        <v>2008</v>
      </c>
      <c r="M173" s="83">
        <f t="shared" si="7"/>
        <v>11</v>
      </c>
      <c r="N173" s="83" t="s">
        <v>3</v>
      </c>
      <c r="O173" s="83"/>
      <c r="P173" s="84" t="s">
        <v>16</v>
      </c>
      <c r="Q173" s="83"/>
      <c r="R173" s="84" t="s">
        <v>16</v>
      </c>
    </row>
    <row r="174" spans="2:18" x14ac:dyDescent="0.2">
      <c r="B174" s="136"/>
      <c r="C174" s="136"/>
      <c r="D174" s="83">
        <v>167</v>
      </c>
      <c r="E174" s="84" t="s">
        <v>672</v>
      </c>
      <c r="F174" s="83" t="s">
        <v>25</v>
      </c>
      <c r="G174" s="83">
        <v>0</v>
      </c>
      <c r="H174" s="83" t="s">
        <v>1</v>
      </c>
      <c r="I174" s="83" t="s">
        <v>14</v>
      </c>
      <c r="J174" s="84"/>
      <c r="K174" s="85">
        <v>36037</v>
      </c>
      <c r="L174" s="83">
        <v>1998</v>
      </c>
      <c r="M174" s="83">
        <f t="shared" si="7"/>
        <v>21</v>
      </c>
      <c r="N174" s="83" t="s">
        <v>3</v>
      </c>
      <c r="O174" s="83"/>
      <c r="P174" s="84" t="s">
        <v>27</v>
      </c>
      <c r="Q174" s="83"/>
      <c r="R174" s="84" t="s">
        <v>16</v>
      </c>
    </row>
    <row r="175" spans="2:18" x14ac:dyDescent="0.2">
      <c r="B175" s="136"/>
      <c r="C175" s="136"/>
      <c r="D175" s="83">
        <v>168</v>
      </c>
      <c r="E175" s="84" t="s">
        <v>673</v>
      </c>
      <c r="F175" s="83" t="s">
        <v>25</v>
      </c>
      <c r="G175" s="83">
        <v>0</v>
      </c>
      <c r="H175" s="83" t="s">
        <v>9</v>
      </c>
      <c r="I175" s="83" t="s">
        <v>14</v>
      </c>
      <c r="J175" s="84"/>
      <c r="K175" s="85">
        <v>35307</v>
      </c>
      <c r="L175" s="83">
        <v>1996</v>
      </c>
      <c r="M175" s="83">
        <f t="shared" si="7"/>
        <v>23</v>
      </c>
      <c r="N175" s="83" t="s">
        <v>3</v>
      </c>
      <c r="O175" s="83"/>
      <c r="P175" s="84" t="s">
        <v>27</v>
      </c>
      <c r="Q175" s="83"/>
      <c r="R175" s="84" t="s">
        <v>16</v>
      </c>
    </row>
    <row r="176" spans="2:18" ht="25.5" x14ac:dyDescent="0.2">
      <c r="B176" s="136">
        <v>49</v>
      </c>
      <c r="C176" s="136"/>
      <c r="D176" s="83">
        <v>169</v>
      </c>
      <c r="E176" s="84" t="s">
        <v>674</v>
      </c>
      <c r="F176" s="83" t="s">
        <v>6</v>
      </c>
      <c r="G176" s="83">
        <v>0</v>
      </c>
      <c r="H176" s="83" t="s">
        <v>1</v>
      </c>
      <c r="I176" s="83" t="s">
        <v>2</v>
      </c>
      <c r="J176" s="84"/>
      <c r="K176" s="85">
        <v>24472</v>
      </c>
      <c r="L176" s="83">
        <v>1966</v>
      </c>
      <c r="M176" s="83">
        <f t="shared" si="7"/>
        <v>53</v>
      </c>
      <c r="N176" s="83" t="s">
        <v>3</v>
      </c>
      <c r="O176" s="83"/>
      <c r="P176" s="84" t="s">
        <v>15</v>
      </c>
      <c r="Q176" s="83"/>
      <c r="R176" s="84" t="s">
        <v>16</v>
      </c>
    </row>
    <row r="177" spans="2:18" ht="25.5" x14ac:dyDescent="0.2">
      <c r="B177" s="136"/>
      <c r="C177" s="136"/>
      <c r="D177" s="83">
        <v>170</v>
      </c>
      <c r="E177" s="84" t="s">
        <v>675</v>
      </c>
      <c r="F177" s="83" t="s">
        <v>11</v>
      </c>
      <c r="G177" s="83">
        <v>0</v>
      </c>
      <c r="H177" s="83" t="s">
        <v>9</v>
      </c>
      <c r="I177" s="83" t="s">
        <v>2</v>
      </c>
      <c r="J177" s="84"/>
      <c r="K177" s="85">
        <v>23011</v>
      </c>
      <c r="L177" s="83">
        <v>1962</v>
      </c>
      <c r="M177" s="83">
        <f t="shared" si="7"/>
        <v>57</v>
      </c>
      <c r="N177" s="83" t="s">
        <v>3</v>
      </c>
      <c r="O177" s="83"/>
      <c r="P177" s="84" t="s">
        <v>16</v>
      </c>
      <c r="Q177" s="83"/>
      <c r="R177" s="84" t="s">
        <v>109</v>
      </c>
    </row>
    <row r="178" spans="2:18" ht="25.5" x14ac:dyDescent="0.2">
      <c r="B178" s="136"/>
      <c r="C178" s="136"/>
      <c r="D178" s="83">
        <v>171</v>
      </c>
      <c r="E178" s="84" t="s">
        <v>676</v>
      </c>
      <c r="F178" s="83" t="s">
        <v>17</v>
      </c>
      <c r="G178" s="83">
        <v>0</v>
      </c>
      <c r="H178" s="83" t="s">
        <v>1</v>
      </c>
      <c r="I178" s="83" t="s">
        <v>14</v>
      </c>
      <c r="J178" s="84"/>
      <c r="K178" s="85">
        <v>32873</v>
      </c>
      <c r="L178" s="83">
        <v>1989</v>
      </c>
      <c r="M178" s="83">
        <f t="shared" si="7"/>
        <v>30</v>
      </c>
      <c r="N178" s="83" t="s">
        <v>3</v>
      </c>
      <c r="O178" s="83"/>
      <c r="P178" s="84" t="s">
        <v>15</v>
      </c>
      <c r="Q178" s="83"/>
      <c r="R178" s="84" t="s">
        <v>16</v>
      </c>
    </row>
    <row r="179" spans="2:18" ht="25.5" x14ac:dyDescent="0.2">
      <c r="B179" s="136"/>
      <c r="C179" s="136"/>
      <c r="D179" s="83">
        <v>172</v>
      </c>
      <c r="E179" s="84" t="s">
        <v>677</v>
      </c>
      <c r="F179" s="83" t="s">
        <v>17</v>
      </c>
      <c r="G179" s="83">
        <v>0</v>
      </c>
      <c r="H179" s="83" t="s">
        <v>9</v>
      </c>
      <c r="I179" s="83" t="s">
        <v>14</v>
      </c>
      <c r="J179" s="84"/>
      <c r="K179" s="85">
        <v>35349</v>
      </c>
      <c r="L179" s="83">
        <v>1996</v>
      </c>
      <c r="M179" s="83">
        <f t="shared" si="7"/>
        <v>23</v>
      </c>
      <c r="N179" s="83" t="s">
        <v>3</v>
      </c>
      <c r="O179" s="83"/>
      <c r="P179" s="84" t="s">
        <v>27</v>
      </c>
      <c r="Q179" s="83"/>
      <c r="R179" s="84" t="s">
        <v>16</v>
      </c>
    </row>
    <row r="180" spans="2:18" x14ac:dyDescent="0.2">
      <c r="B180" s="136"/>
      <c r="C180" s="136"/>
      <c r="D180" s="83">
        <v>173</v>
      </c>
      <c r="E180" s="84" t="s">
        <v>678</v>
      </c>
      <c r="F180" s="83" t="s">
        <v>17</v>
      </c>
      <c r="G180" s="83">
        <v>0</v>
      </c>
      <c r="H180" s="83" t="s">
        <v>9</v>
      </c>
      <c r="I180" s="83" t="s">
        <v>14</v>
      </c>
      <c r="J180" s="84"/>
      <c r="K180" s="85">
        <v>39082</v>
      </c>
      <c r="L180" s="83">
        <v>2006</v>
      </c>
      <c r="M180" s="83">
        <f t="shared" si="7"/>
        <v>13</v>
      </c>
      <c r="N180" s="83" t="s">
        <v>3</v>
      </c>
      <c r="O180" s="83"/>
      <c r="P180" s="84" t="s">
        <v>16</v>
      </c>
      <c r="Q180" s="83"/>
      <c r="R180" s="84" t="s">
        <v>16</v>
      </c>
    </row>
    <row r="181" spans="2:18" ht="25.5" x14ac:dyDescent="0.2">
      <c r="B181" s="136">
        <v>50</v>
      </c>
      <c r="C181" s="136" t="s">
        <v>1598</v>
      </c>
      <c r="D181" s="83">
        <v>174</v>
      </c>
      <c r="E181" s="84" t="s">
        <v>679</v>
      </c>
      <c r="F181" s="83" t="s">
        <v>6</v>
      </c>
      <c r="G181" s="83" t="s">
        <v>1600</v>
      </c>
      <c r="H181" s="83" t="s">
        <v>1</v>
      </c>
      <c r="I181" s="83" t="s">
        <v>2</v>
      </c>
      <c r="J181" s="84" t="s">
        <v>1156</v>
      </c>
      <c r="K181" s="85">
        <v>29901</v>
      </c>
      <c r="L181" s="83">
        <v>1981</v>
      </c>
      <c r="M181" s="83">
        <f t="shared" si="7"/>
        <v>38</v>
      </c>
      <c r="N181" s="83" t="s">
        <v>3</v>
      </c>
      <c r="O181" s="83" t="s">
        <v>1137</v>
      </c>
      <c r="P181" s="84" t="s">
        <v>1172</v>
      </c>
      <c r="Q181" s="83"/>
      <c r="R181" s="84" t="s">
        <v>1174</v>
      </c>
    </row>
    <row r="182" spans="2:18" ht="25.5" x14ac:dyDescent="0.2">
      <c r="B182" s="136"/>
      <c r="C182" s="136"/>
      <c r="D182" s="83">
        <v>175</v>
      </c>
      <c r="E182" s="84" t="s">
        <v>680</v>
      </c>
      <c r="F182" s="83" t="s">
        <v>11</v>
      </c>
      <c r="G182" s="83" t="s">
        <v>1601</v>
      </c>
      <c r="H182" s="83" t="s">
        <v>9</v>
      </c>
      <c r="I182" s="83" t="s">
        <v>2</v>
      </c>
      <c r="J182" s="84" t="s">
        <v>1603</v>
      </c>
      <c r="K182" s="85">
        <v>30440</v>
      </c>
      <c r="L182" s="83">
        <v>1983</v>
      </c>
      <c r="M182" s="83">
        <f t="shared" si="7"/>
        <v>36</v>
      </c>
      <c r="N182" s="83" t="s">
        <v>3</v>
      </c>
      <c r="O182" s="83" t="s">
        <v>1137</v>
      </c>
      <c r="P182" s="84" t="s">
        <v>1138</v>
      </c>
      <c r="Q182" s="83"/>
      <c r="R182" s="84" t="s">
        <v>1174</v>
      </c>
    </row>
    <row r="183" spans="2:18" ht="25.5" x14ac:dyDescent="0.2">
      <c r="B183" s="136"/>
      <c r="C183" s="136"/>
      <c r="D183" s="83">
        <v>176</v>
      </c>
      <c r="E183" s="84" t="s">
        <v>1599</v>
      </c>
      <c r="F183" s="83" t="s">
        <v>17</v>
      </c>
      <c r="G183" s="83" t="s">
        <v>1602</v>
      </c>
      <c r="H183" s="83" t="s">
        <v>1</v>
      </c>
      <c r="I183" s="83" t="s">
        <v>14</v>
      </c>
      <c r="J183" s="84" t="s">
        <v>1156</v>
      </c>
      <c r="K183" s="85">
        <v>40256</v>
      </c>
      <c r="L183" s="83">
        <v>2010</v>
      </c>
      <c r="M183" s="83">
        <f t="shared" si="7"/>
        <v>9</v>
      </c>
      <c r="N183" s="83" t="s">
        <v>3</v>
      </c>
      <c r="O183" s="83" t="s">
        <v>1137</v>
      </c>
      <c r="P183" s="84" t="s">
        <v>1139</v>
      </c>
      <c r="Q183" s="83"/>
      <c r="R183" s="84" t="s">
        <v>1140</v>
      </c>
    </row>
    <row r="184" spans="2:18" x14ac:dyDescent="0.2">
      <c r="B184" s="136">
        <v>51</v>
      </c>
      <c r="C184" s="136"/>
      <c r="D184" s="83">
        <v>177</v>
      </c>
      <c r="E184" s="84" t="s">
        <v>681</v>
      </c>
      <c r="F184" s="83" t="s">
        <v>6</v>
      </c>
      <c r="G184" s="83" t="s">
        <v>1673</v>
      </c>
      <c r="H184" s="83" t="s">
        <v>1</v>
      </c>
      <c r="I184" s="83" t="s">
        <v>2</v>
      </c>
      <c r="J184" s="84"/>
      <c r="K184" s="85">
        <v>32532</v>
      </c>
      <c r="L184" s="83">
        <v>1989</v>
      </c>
      <c r="M184" s="83">
        <f t="shared" si="7"/>
        <v>30</v>
      </c>
      <c r="N184" s="83" t="s">
        <v>3</v>
      </c>
      <c r="O184" s="83"/>
      <c r="P184" s="84" t="s">
        <v>15</v>
      </c>
      <c r="Q184" s="83"/>
      <c r="R184" s="84" t="s">
        <v>31</v>
      </c>
    </row>
    <row r="185" spans="2:18" x14ac:dyDescent="0.2">
      <c r="B185" s="136"/>
      <c r="C185" s="136"/>
      <c r="D185" s="83">
        <v>178</v>
      </c>
      <c r="E185" s="84" t="s">
        <v>682</v>
      </c>
      <c r="F185" s="83" t="s">
        <v>11</v>
      </c>
      <c r="G185" s="83" t="s">
        <v>683</v>
      </c>
      <c r="H185" s="83" t="s">
        <v>9</v>
      </c>
      <c r="I185" s="83" t="s">
        <v>2</v>
      </c>
      <c r="J185" s="84"/>
      <c r="K185" s="85">
        <v>33372</v>
      </c>
      <c r="L185" s="83">
        <v>1991</v>
      </c>
      <c r="M185" s="83">
        <f t="shared" si="7"/>
        <v>28</v>
      </c>
      <c r="N185" s="83" t="s">
        <v>3</v>
      </c>
      <c r="O185" s="83"/>
      <c r="P185" s="84" t="s">
        <v>15</v>
      </c>
      <c r="Q185" s="83"/>
      <c r="R185" s="84" t="s">
        <v>31</v>
      </c>
    </row>
    <row r="186" spans="2:18" x14ac:dyDescent="0.2">
      <c r="B186" s="136"/>
      <c r="C186" s="136"/>
      <c r="D186" s="83">
        <v>179</v>
      </c>
      <c r="E186" s="84" t="s">
        <v>684</v>
      </c>
      <c r="F186" s="83" t="s">
        <v>25</v>
      </c>
      <c r="G186" s="83">
        <v>0</v>
      </c>
      <c r="H186" s="83" t="s">
        <v>9</v>
      </c>
      <c r="I186" s="83" t="s">
        <v>24</v>
      </c>
      <c r="J186" s="84"/>
      <c r="K186" s="85">
        <v>24107</v>
      </c>
      <c r="L186" s="83">
        <v>1965</v>
      </c>
      <c r="M186" s="83">
        <f t="shared" si="7"/>
        <v>54</v>
      </c>
      <c r="N186" s="83" t="s">
        <v>3</v>
      </c>
      <c r="O186" s="83"/>
      <c r="P186" s="84" t="s">
        <v>16</v>
      </c>
      <c r="Q186" s="83"/>
      <c r="R186" s="84" t="s">
        <v>109</v>
      </c>
    </row>
    <row r="187" spans="2:18" x14ac:dyDescent="0.2">
      <c r="B187" s="136"/>
      <c r="C187" s="136"/>
      <c r="D187" s="83">
        <v>180</v>
      </c>
      <c r="E187" s="84" t="s">
        <v>685</v>
      </c>
      <c r="F187" s="83" t="s">
        <v>25</v>
      </c>
      <c r="G187" s="83">
        <v>0</v>
      </c>
      <c r="H187" s="83" t="s">
        <v>9</v>
      </c>
      <c r="I187" s="83" t="s">
        <v>24</v>
      </c>
      <c r="J187" s="84"/>
      <c r="K187" s="85">
        <v>13149</v>
      </c>
      <c r="L187" s="83">
        <v>1935</v>
      </c>
      <c r="M187" s="83">
        <f t="shared" si="7"/>
        <v>84</v>
      </c>
      <c r="N187" s="83" t="s">
        <v>3</v>
      </c>
      <c r="O187" s="83"/>
      <c r="P187" s="84" t="s">
        <v>16</v>
      </c>
      <c r="Q187" s="83"/>
      <c r="R187" s="84" t="s">
        <v>109</v>
      </c>
    </row>
    <row r="188" spans="2:18" x14ac:dyDescent="0.2">
      <c r="B188" s="136">
        <v>52</v>
      </c>
      <c r="C188" s="136" t="s">
        <v>1532</v>
      </c>
      <c r="D188" s="83">
        <v>181</v>
      </c>
      <c r="E188" s="84" t="s">
        <v>686</v>
      </c>
      <c r="F188" s="83" t="s">
        <v>6</v>
      </c>
      <c r="G188" s="83" t="s">
        <v>687</v>
      </c>
      <c r="H188" s="83" t="s">
        <v>1</v>
      </c>
      <c r="I188" s="83" t="s">
        <v>2</v>
      </c>
      <c r="J188" s="84" t="s">
        <v>1536</v>
      </c>
      <c r="K188" s="85">
        <v>24586</v>
      </c>
      <c r="L188" s="83">
        <v>1967</v>
      </c>
      <c r="M188" s="83">
        <f t="shared" ref="M188" si="8">2019-L188</f>
        <v>52</v>
      </c>
      <c r="N188" s="83" t="s">
        <v>3</v>
      </c>
      <c r="O188" s="83" t="s">
        <v>1137</v>
      </c>
      <c r="P188" s="84" t="s">
        <v>1159</v>
      </c>
      <c r="Q188" s="83"/>
      <c r="R188" s="84" t="s">
        <v>10</v>
      </c>
    </row>
    <row r="189" spans="2:18" ht="25.5" x14ac:dyDescent="0.2">
      <c r="B189" s="136"/>
      <c r="C189" s="136"/>
      <c r="D189" s="83">
        <v>182</v>
      </c>
      <c r="E189" s="84" t="s">
        <v>688</v>
      </c>
      <c r="F189" s="83" t="s">
        <v>11</v>
      </c>
      <c r="G189" s="83" t="s">
        <v>1535</v>
      </c>
      <c r="H189" s="83" t="s">
        <v>9</v>
      </c>
      <c r="I189" s="83" t="s">
        <v>2</v>
      </c>
      <c r="J189" s="84" t="s">
        <v>1156</v>
      </c>
      <c r="K189" s="85">
        <v>28490</v>
      </c>
      <c r="L189" s="83">
        <v>1977</v>
      </c>
      <c r="M189" s="83">
        <f t="shared" ref="M189:M193" si="9">2019-L189</f>
        <v>42</v>
      </c>
      <c r="N189" s="83" t="s">
        <v>3</v>
      </c>
      <c r="O189" s="83" t="s">
        <v>1137</v>
      </c>
      <c r="P189" s="84" t="s">
        <v>1138</v>
      </c>
      <c r="Q189" s="83"/>
      <c r="R189" s="84" t="s">
        <v>10</v>
      </c>
    </row>
    <row r="190" spans="2:18" ht="25.5" x14ac:dyDescent="0.2">
      <c r="B190" s="136"/>
      <c r="C190" s="136"/>
      <c r="D190" s="83">
        <v>183</v>
      </c>
      <c r="E190" s="84" t="s">
        <v>1533</v>
      </c>
      <c r="F190" s="83" t="s">
        <v>17</v>
      </c>
      <c r="G190" s="83" t="s">
        <v>689</v>
      </c>
      <c r="H190" s="83" t="s">
        <v>1</v>
      </c>
      <c r="I190" s="83" t="s">
        <v>14</v>
      </c>
      <c r="J190" s="84" t="s">
        <v>1156</v>
      </c>
      <c r="K190" s="85">
        <v>41382</v>
      </c>
      <c r="L190" s="83">
        <v>2013</v>
      </c>
      <c r="M190" s="83">
        <f t="shared" si="9"/>
        <v>6</v>
      </c>
      <c r="N190" s="83" t="s">
        <v>3</v>
      </c>
      <c r="O190" s="83" t="s">
        <v>1137</v>
      </c>
      <c r="P190" s="84" t="s">
        <v>1139</v>
      </c>
      <c r="Q190" s="83"/>
      <c r="R190" s="84" t="s">
        <v>1140</v>
      </c>
    </row>
    <row r="191" spans="2:18" ht="25.5" x14ac:dyDescent="0.2">
      <c r="B191" s="136"/>
      <c r="C191" s="136"/>
      <c r="D191" s="83">
        <v>184</v>
      </c>
      <c r="E191" s="84" t="s">
        <v>1534</v>
      </c>
      <c r="F191" s="83" t="s">
        <v>17</v>
      </c>
      <c r="G191" s="83" t="s">
        <v>689</v>
      </c>
      <c r="H191" s="83" t="s">
        <v>1</v>
      </c>
      <c r="I191" s="83" t="s">
        <v>14</v>
      </c>
      <c r="J191" s="84" t="s">
        <v>1156</v>
      </c>
      <c r="K191" s="85">
        <v>42812</v>
      </c>
      <c r="L191" s="83">
        <v>2017</v>
      </c>
      <c r="M191" s="83">
        <f t="shared" si="9"/>
        <v>2</v>
      </c>
      <c r="N191" s="83" t="s">
        <v>3</v>
      </c>
      <c r="O191" s="83" t="s">
        <v>1137</v>
      </c>
      <c r="P191" s="84" t="s">
        <v>1139</v>
      </c>
      <c r="Q191" s="83"/>
      <c r="R191" s="84" t="s">
        <v>1140</v>
      </c>
    </row>
    <row r="192" spans="2:18" x14ac:dyDescent="0.2">
      <c r="B192" s="137">
        <v>53</v>
      </c>
      <c r="C192" s="137" t="s">
        <v>1150</v>
      </c>
      <c r="D192" s="83">
        <v>185</v>
      </c>
      <c r="E192" s="84" t="s">
        <v>1151</v>
      </c>
      <c r="F192" s="83" t="s">
        <v>6</v>
      </c>
      <c r="G192" s="89" t="s">
        <v>1153</v>
      </c>
      <c r="H192" s="83" t="s">
        <v>9</v>
      </c>
      <c r="I192" s="83" t="s">
        <v>1155</v>
      </c>
      <c r="J192" s="84" t="s">
        <v>1156</v>
      </c>
      <c r="K192" s="90">
        <v>23177</v>
      </c>
      <c r="L192" s="89">
        <v>1963</v>
      </c>
      <c r="M192" s="83">
        <f t="shared" si="9"/>
        <v>56</v>
      </c>
      <c r="N192" s="89" t="s">
        <v>3</v>
      </c>
      <c r="O192" s="89" t="s">
        <v>1137</v>
      </c>
      <c r="P192" s="91"/>
      <c r="Q192" s="89"/>
      <c r="R192" s="91"/>
    </row>
    <row r="193" spans="2:18" x14ac:dyDescent="0.2">
      <c r="B193" s="139"/>
      <c r="C193" s="139"/>
      <c r="D193" s="83">
        <v>186</v>
      </c>
      <c r="E193" s="84" t="s">
        <v>1152</v>
      </c>
      <c r="F193" s="83" t="s">
        <v>17</v>
      </c>
      <c r="G193" s="89" t="s">
        <v>1154</v>
      </c>
      <c r="H193" s="83" t="s">
        <v>9</v>
      </c>
      <c r="I193" s="83" t="s">
        <v>14</v>
      </c>
      <c r="J193" s="84" t="s">
        <v>1156</v>
      </c>
      <c r="K193" s="85">
        <v>32759</v>
      </c>
      <c r="L193" s="89">
        <v>1989</v>
      </c>
      <c r="M193" s="83">
        <f t="shared" si="9"/>
        <v>30</v>
      </c>
      <c r="N193" s="89" t="s">
        <v>3</v>
      </c>
      <c r="O193" s="89" t="s">
        <v>1137</v>
      </c>
      <c r="P193" s="91"/>
      <c r="Q193" s="89"/>
      <c r="R193" s="91"/>
    </row>
    <row r="197" spans="2:18" s="99" customFormat="1" ht="15" x14ac:dyDescent="0.25">
      <c r="D197" s="145" t="s">
        <v>1665</v>
      </c>
      <c r="E197" s="145"/>
      <c r="F197" s="145"/>
      <c r="L197" s="115"/>
      <c r="P197" s="100"/>
      <c r="R197" s="100"/>
    </row>
    <row r="198" spans="2:18" s="99" customFormat="1" ht="15" x14ac:dyDescent="0.25">
      <c r="D198" s="145" t="s">
        <v>1666</v>
      </c>
      <c r="E198" s="145"/>
      <c r="F198" s="145"/>
      <c r="L198" s="115"/>
      <c r="P198" s="135" t="s">
        <v>1667</v>
      </c>
      <c r="Q198" s="135"/>
      <c r="R198" s="100"/>
    </row>
    <row r="199" spans="2:18" s="99" customFormat="1" ht="15" x14ac:dyDescent="0.25">
      <c r="D199" s="116"/>
      <c r="E199" s="117"/>
      <c r="F199" s="116"/>
      <c r="L199" s="115"/>
      <c r="P199" s="54"/>
      <c r="Q199" s="55"/>
      <c r="R199" s="100"/>
    </row>
    <row r="200" spans="2:18" s="99" customFormat="1" ht="15" x14ac:dyDescent="0.25">
      <c r="D200" s="116"/>
      <c r="E200" s="117"/>
      <c r="F200" s="116"/>
      <c r="L200" s="115"/>
      <c r="P200" s="54"/>
      <c r="Q200" s="55"/>
      <c r="R200" s="100"/>
    </row>
    <row r="201" spans="2:18" s="99" customFormat="1" ht="14.25" x14ac:dyDescent="0.2">
      <c r="D201" s="146" t="s">
        <v>1668</v>
      </c>
      <c r="E201" s="146"/>
      <c r="F201" s="146"/>
      <c r="L201" s="115"/>
      <c r="P201" s="134" t="s">
        <v>1670</v>
      </c>
      <c r="Q201" s="134"/>
      <c r="R201" s="100"/>
    </row>
    <row r="202" spans="2:18" s="99" customFormat="1" ht="14.25" x14ac:dyDescent="0.2">
      <c r="D202" s="146" t="s">
        <v>1669</v>
      </c>
      <c r="E202" s="146"/>
      <c r="F202" s="146"/>
      <c r="L202" s="115"/>
      <c r="P202" s="100"/>
      <c r="R202" s="100"/>
    </row>
  </sheetData>
  <autoFilter ref="B7:R193"/>
  <mergeCells count="127">
    <mergeCell ref="D198:F198"/>
    <mergeCell ref="P198:Q198"/>
    <mergeCell ref="D201:F201"/>
    <mergeCell ref="P201:Q201"/>
    <mergeCell ref="D202:F202"/>
    <mergeCell ref="B164:B166"/>
    <mergeCell ref="B97:B100"/>
    <mergeCell ref="B101:B105"/>
    <mergeCell ref="B106:B107"/>
    <mergeCell ref="B192:B193"/>
    <mergeCell ref="C192:C193"/>
    <mergeCell ref="C106:C107"/>
    <mergeCell ref="C119:C121"/>
    <mergeCell ref="C76:C79"/>
    <mergeCell ref="C80:C81"/>
    <mergeCell ref="C82:C85"/>
    <mergeCell ref="C86:C90"/>
    <mergeCell ref="C91:C92"/>
    <mergeCell ref="C93:C96"/>
    <mergeCell ref="C97:C100"/>
    <mergeCell ref="C101:C105"/>
    <mergeCell ref="D197:F197"/>
    <mergeCell ref="B32:B33"/>
    <mergeCell ref="B34:B38"/>
    <mergeCell ref="B60:B62"/>
    <mergeCell ref="B63:B67"/>
    <mergeCell ref="B68:B71"/>
    <mergeCell ref="B72:B75"/>
    <mergeCell ref="B39:B40"/>
    <mergeCell ref="B41:B45"/>
    <mergeCell ref="B46:B50"/>
    <mergeCell ref="B51:B52"/>
    <mergeCell ref="B53:B56"/>
    <mergeCell ref="B57:B59"/>
    <mergeCell ref="R5:R6"/>
    <mergeCell ref="B8:B12"/>
    <mergeCell ref="B13:B16"/>
    <mergeCell ref="B17:B20"/>
    <mergeCell ref="B25:B29"/>
    <mergeCell ref="B30:B31"/>
    <mergeCell ref="C5:C6"/>
    <mergeCell ref="J5:L5"/>
    <mergeCell ref="B188:B191"/>
    <mergeCell ref="B5:B6"/>
    <mergeCell ref="D5:D6"/>
    <mergeCell ref="E5:E6"/>
    <mergeCell ref="B148:B150"/>
    <mergeCell ref="B155:B156"/>
    <mergeCell ref="B132:B135"/>
    <mergeCell ref="B82:B85"/>
    <mergeCell ref="B176:B180"/>
    <mergeCell ref="B181:B183"/>
    <mergeCell ref="C13:C16"/>
    <mergeCell ref="B21:B24"/>
    <mergeCell ref="C21:C24"/>
    <mergeCell ref="C188:C191"/>
    <mergeCell ref="B184:B187"/>
    <mergeCell ref="B160:B163"/>
    <mergeCell ref="M5:M6"/>
    <mergeCell ref="N5:N6"/>
    <mergeCell ref="F5:F6"/>
    <mergeCell ref="G5:G6"/>
    <mergeCell ref="H5:H6"/>
    <mergeCell ref="I5:I6"/>
    <mergeCell ref="O5:O6"/>
    <mergeCell ref="P5:P6"/>
    <mergeCell ref="Q5:Q6"/>
    <mergeCell ref="B1:R1"/>
    <mergeCell ref="B2:R2"/>
    <mergeCell ref="C8:C12"/>
    <mergeCell ref="C17:C20"/>
    <mergeCell ref="C30:C31"/>
    <mergeCell ref="C181:C183"/>
    <mergeCell ref="B115:B118"/>
    <mergeCell ref="C115:C118"/>
    <mergeCell ref="C41:C45"/>
    <mergeCell ref="C126:C129"/>
    <mergeCell ref="C51:C52"/>
    <mergeCell ref="C112:C114"/>
    <mergeCell ref="C160:C163"/>
    <mergeCell ref="C63:C67"/>
    <mergeCell ref="B145:B147"/>
    <mergeCell ref="B151:B154"/>
    <mergeCell ref="B142:B144"/>
    <mergeCell ref="B122:B125"/>
    <mergeCell ref="B136:B137"/>
    <mergeCell ref="B130:B131"/>
    <mergeCell ref="B138:B140"/>
    <mergeCell ref="B167:B169"/>
    <mergeCell ref="B170:B175"/>
    <mergeCell ref="B119:B121"/>
    <mergeCell ref="C184:C187"/>
    <mergeCell ref="C148:C150"/>
    <mergeCell ref="C164:C166"/>
    <mergeCell ref="C167:C169"/>
    <mergeCell ref="C170:C175"/>
    <mergeCell ref="C176:C180"/>
    <mergeCell ref="C132:C135"/>
    <mergeCell ref="C136:C137"/>
    <mergeCell ref="C145:C147"/>
    <mergeCell ref="C151:C154"/>
    <mergeCell ref="C138:C140"/>
    <mergeCell ref="C157:C159"/>
    <mergeCell ref="C53:C56"/>
    <mergeCell ref="C155:C156"/>
    <mergeCell ref="B126:B129"/>
    <mergeCell ref="B91:B92"/>
    <mergeCell ref="B157:B159"/>
    <mergeCell ref="B76:B79"/>
    <mergeCell ref="B80:B81"/>
    <mergeCell ref="B93:B96"/>
    <mergeCell ref="C25:C29"/>
    <mergeCell ref="C142:C144"/>
    <mergeCell ref="C46:C50"/>
    <mergeCell ref="C108:C111"/>
    <mergeCell ref="C68:C71"/>
    <mergeCell ref="C39:C40"/>
    <mergeCell ref="C122:C125"/>
    <mergeCell ref="C32:C33"/>
    <mergeCell ref="C34:C38"/>
    <mergeCell ref="C57:C59"/>
    <mergeCell ref="C60:C62"/>
    <mergeCell ref="C72:C75"/>
    <mergeCell ref="B86:B90"/>
    <mergeCell ref="B108:B111"/>
    <mergeCell ref="B112:B114"/>
    <mergeCell ref="C130:C131"/>
  </mergeCells>
  <pageMargins left="1.37795275590551" right="0.196850393700787" top="0.39370078740157499" bottom="0.643700787" header="0.31496062992126" footer="0.31496062992126"/>
  <pageSetup paperSize="10000" scale="82" orientation="landscape" horizontalDpi="4294967294" verticalDpi="300" r:id="rId1"/>
  <headerFooter>
    <oddFooter>&amp;C&amp;"-,Bold"&amp;12&amp;P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9"/>
  <sheetViews>
    <sheetView zoomScaleNormal="100" workbookViewId="0">
      <pane ySplit="6" topLeftCell="A7" activePane="bottomLeft" state="frozen"/>
      <selection pane="bottomLeft" activeCell="H41" sqref="H41"/>
    </sheetView>
  </sheetViews>
  <sheetFormatPr defaultRowHeight="12.75" x14ac:dyDescent="0.2"/>
  <cols>
    <col min="1" max="1" width="9.140625" style="36"/>
    <col min="2" max="2" width="3.140625" style="104" bestFit="1" customWidth="1"/>
    <col min="3" max="3" width="15.7109375" style="104" customWidth="1"/>
    <col min="4" max="4" width="6.7109375" style="104" customWidth="1"/>
    <col min="5" max="5" width="12.7109375" style="105" customWidth="1"/>
    <col min="6" max="6" width="9.7109375" style="105" customWidth="1"/>
    <col min="7" max="7" width="15.7109375" style="104" customWidth="1"/>
    <col min="8" max="8" width="7.7109375" style="104" customWidth="1"/>
    <col min="9" max="9" width="10.7109375" style="104" customWidth="1"/>
    <col min="10" max="10" width="13.7109375" style="105" customWidth="1"/>
    <col min="11" max="11" width="15.140625" style="106" bestFit="1" customWidth="1"/>
    <col min="12" max="12" width="5.5703125" style="104" bestFit="1" customWidth="1"/>
    <col min="13" max="13" width="4.85546875" style="104" bestFit="1" customWidth="1"/>
    <col min="14" max="14" width="6.42578125" style="104" bestFit="1" customWidth="1"/>
    <col min="15" max="15" width="5.42578125" style="104" bestFit="1" customWidth="1"/>
    <col min="16" max="16" width="16.7109375" style="105" customWidth="1"/>
    <col min="17" max="17" width="7.5703125" style="104" bestFit="1" customWidth="1"/>
    <col min="18" max="18" width="15.7109375" style="105" customWidth="1"/>
    <col min="19" max="16384" width="9.140625" style="36"/>
  </cols>
  <sheetData>
    <row r="1" spans="2:18" s="53" customFormat="1" ht="15.75" x14ac:dyDescent="0.25">
      <c r="B1" s="140" t="s">
        <v>1656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</row>
    <row r="2" spans="2:18" s="53" customFormat="1" ht="15.75" x14ac:dyDescent="0.25">
      <c r="B2" s="140" t="s">
        <v>1657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</row>
    <row r="3" spans="2:18" s="53" customFormat="1" ht="15.75" x14ac:dyDescent="0.25">
      <c r="B3" s="112" t="s">
        <v>1660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</row>
    <row r="4" spans="2:18" ht="15.75" x14ac:dyDescent="0.2">
      <c r="B4" s="112" t="s">
        <v>1663</v>
      </c>
      <c r="C4" s="99"/>
      <c r="D4" s="99"/>
      <c r="E4" s="100"/>
      <c r="F4" s="100"/>
      <c r="G4" s="99"/>
      <c r="H4" s="99"/>
      <c r="I4" s="99"/>
      <c r="J4" s="100"/>
      <c r="K4" s="101"/>
      <c r="L4" s="99"/>
      <c r="M4" s="99"/>
      <c r="N4" s="99"/>
      <c r="O4" s="99"/>
      <c r="P4" s="100"/>
      <c r="Q4" s="99"/>
      <c r="R4" s="100"/>
    </row>
    <row r="5" spans="2:18" ht="20.100000000000001" customHeight="1" x14ac:dyDescent="0.2">
      <c r="B5" s="142" t="s">
        <v>407</v>
      </c>
      <c r="C5" s="142" t="s">
        <v>1449</v>
      </c>
      <c r="D5" s="147" t="s">
        <v>1114</v>
      </c>
      <c r="E5" s="143" t="s">
        <v>1658</v>
      </c>
      <c r="F5" s="143" t="s">
        <v>414</v>
      </c>
      <c r="G5" s="144" t="s">
        <v>415</v>
      </c>
      <c r="H5" s="147" t="s">
        <v>409</v>
      </c>
      <c r="I5" s="147" t="s">
        <v>410</v>
      </c>
      <c r="J5" s="142" t="s">
        <v>1115</v>
      </c>
      <c r="K5" s="142"/>
      <c r="L5" s="142"/>
      <c r="M5" s="141" t="s">
        <v>1116</v>
      </c>
      <c r="N5" s="142" t="s">
        <v>411</v>
      </c>
      <c r="O5" s="142" t="s">
        <v>1117</v>
      </c>
      <c r="P5" s="143" t="s">
        <v>412</v>
      </c>
      <c r="Q5" s="142" t="s">
        <v>1118</v>
      </c>
      <c r="R5" s="143" t="s">
        <v>413</v>
      </c>
    </row>
    <row r="6" spans="2:18" ht="20.100000000000001" customHeight="1" x14ac:dyDescent="0.2">
      <c r="B6" s="142"/>
      <c r="C6" s="142"/>
      <c r="D6" s="148"/>
      <c r="E6" s="143"/>
      <c r="F6" s="143"/>
      <c r="G6" s="144"/>
      <c r="H6" s="148"/>
      <c r="I6" s="148"/>
      <c r="J6" s="94" t="s">
        <v>1121</v>
      </c>
      <c r="K6" s="95" t="s">
        <v>1122</v>
      </c>
      <c r="L6" s="96" t="s">
        <v>1123</v>
      </c>
      <c r="M6" s="141"/>
      <c r="N6" s="142"/>
      <c r="O6" s="142"/>
      <c r="P6" s="143"/>
      <c r="Q6" s="142"/>
      <c r="R6" s="143"/>
    </row>
    <row r="7" spans="2:18" ht="20.100000000000001" customHeight="1" x14ac:dyDescent="0.2">
      <c r="B7" s="107"/>
      <c r="C7" s="107"/>
      <c r="D7" s="108"/>
      <c r="E7" s="94"/>
      <c r="F7" s="94"/>
      <c r="G7" s="98"/>
      <c r="H7" s="108"/>
      <c r="I7" s="109"/>
      <c r="J7" s="94"/>
      <c r="K7" s="95"/>
      <c r="L7" s="96"/>
      <c r="M7" s="96"/>
      <c r="N7" s="97"/>
      <c r="O7" s="97"/>
      <c r="P7" s="94"/>
      <c r="Q7" s="97"/>
      <c r="R7" s="94"/>
    </row>
    <row r="8" spans="2:18" ht="25.5" x14ac:dyDescent="0.2">
      <c r="B8" s="137">
        <v>1</v>
      </c>
      <c r="C8" s="137" t="s">
        <v>1200</v>
      </c>
      <c r="D8" s="83">
        <v>1</v>
      </c>
      <c r="E8" s="84" t="s">
        <v>690</v>
      </c>
      <c r="F8" s="84" t="s">
        <v>6</v>
      </c>
      <c r="G8" s="83" t="s">
        <v>691</v>
      </c>
      <c r="H8" s="83" t="s">
        <v>1</v>
      </c>
      <c r="I8" s="83" t="s">
        <v>2</v>
      </c>
      <c r="J8" s="84" t="s">
        <v>1136</v>
      </c>
      <c r="K8" s="85">
        <v>24289</v>
      </c>
      <c r="L8" s="83">
        <v>1966</v>
      </c>
      <c r="M8" s="83">
        <f t="shared" ref="M8:M49" si="0">2019-L8</f>
        <v>53</v>
      </c>
      <c r="N8" s="83" t="s">
        <v>3</v>
      </c>
      <c r="O8" s="83" t="s">
        <v>1137</v>
      </c>
      <c r="P8" s="84" t="s">
        <v>1159</v>
      </c>
      <c r="Q8" s="83"/>
      <c r="R8" s="84" t="s">
        <v>1185</v>
      </c>
    </row>
    <row r="9" spans="2:18" ht="25.5" x14ac:dyDescent="0.2">
      <c r="B9" s="138"/>
      <c r="C9" s="138"/>
      <c r="D9" s="83">
        <v>2</v>
      </c>
      <c r="E9" s="84" t="s">
        <v>692</v>
      </c>
      <c r="F9" s="84" t="s">
        <v>11</v>
      </c>
      <c r="G9" s="83" t="s">
        <v>1202</v>
      </c>
      <c r="H9" s="83" t="s">
        <v>9</v>
      </c>
      <c r="I9" s="83" t="s">
        <v>2</v>
      </c>
      <c r="J9" s="84" t="s">
        <v>1136</v>
      </c>
      <c r="K9" s="85">
        <v>25385</v>
      </c>
      <c r="L9" s="83">
        <v>1969</v>
      </c>
      <c r="M9" s="83">
        <f t="shared" si="0"/>
        <v>50</v>
      </c>
      <c r="N9" s="83" t="s">
        <v>3</v>
      </c>
      <c r="O9" s="83" t="s">
        <v>1137</v>
      </c>
      <c r="P9" s="84" t="s">
        <v>1138</v>
      </c>
      <c r="Q9" s="83"/>
      <c r="R9" s="84" t="s">
        <v>1141</v>
      </c>
    </row>
    <row r="10" spans="2:18" ht="25.5" x14ac:dyDescent="0.2">
      <c r="B10" s="139"/>
      <c r="C10" s="139"/>
      <c r="D10" s="83">
        <v>3</v>
      </c>
      <c r="E10" s="84" t="s">
        <v>693</v>
      </c>
      <c r="F10" s="84" t="s">
        <v>17</v>
      </c>
      <c r="G10" s="83" t="s">
        <v>694</v>
      </c>
      <c r="H10" s="83" t="s">
        <v>1</v>
      </c>
      <c r="I10" s="83" t="s">
        <v>14</v>
      </c>
      <c r="J10" s="84" t="s">
        <v>1136</v>
      </c>
      <c r="K10" s="85">
        <v>32622</v>
      </c>
      <c r="L10" s="83">
        <v>1989</v>
      </c>
      <c r="M10" s="83">
        <f t="shared" si="0"/>
        <v>30</v>
      </c>
      <c r="N10" s="83" t="s">
        <v>3</v>
      </c>
      <c r="O10" s="83" t="s">
        <v>1137</v>
      </c>
      <c r="P10" s="84" t="s">
        <v>1159</v>
      </c>
      <c r="Q10" s="83"/>
      <c r="R10" s="84" t="s">
        <v>10</v>
      </c>
    </row>
    <row r="11" spans="2:18" x14ac:dyDescent="0.2">
      <c r="B11" s="83"/>
      <c r="C11" s="83"/>
      <c r="D11" s="83">
        <v>4</v>
      </c>
      <c r="E11" s="84" t="s">
        <v>697</v>
      </c>
      <c r="F11" s="84" t="s">
        <v>17</v>
      </c>
      <c r="G11" s="83" t="s">
        <v>698</v>
      </c>
      <c r="H11" s="83" t="s">
        <v>9</v>
      </c>
      <c r="I11" s="83" t="s">
        <v>24</v>
      </c>
      <c r="J11" s="84"/>
      <c r="K11" s="85">
        <v>34315</v>
      </c>
      <c r="L11" s="83">
        <v>1993</v>
      </c>
      <c r="M11" s="83">
        <f t="shared" si="0"/>
        <v>26</v>
      </c>
      <c r="N11" s="83" t="s">
        <v>3</v>
      </c>
      <c r="O11" s="83"/>
      <c r="P11" s="84" t="s">
        <v>15</v>
      </c>
      <c r="Q11" s="83"/>
      <c r="R11" s="84" t="s">
        <v>16</v>
      </c>
    </row>
    <row r="12" spans="2:18" ht="25.5" x14ac:dyDescent="0.2">
      <c r="B12" s="83"/>
      <c r="C12" s="83"/>
      <c r="D12" s="83">
        <v>5</v>
      </c>
      <c r="E12" s="84" t="s">
        <v>699</v>
      </c>
      <c r="F12" s="84" t="s">
        <v>25</v>
      </c>
      <c r="G12" s="83" t="s">
        <v>1201</v>
      </c>
      <c r="H12" s="83" t="s">
        <v>1</v>
      </c>
      <c r="I12" s="83" t="s">
        <v>14</v>
      </c>
      <c r="J12" s="84"/>
      <c r="K12" s="85">
        <v>41372</v>
      </c>
      <c r="L12" s="83">
        <v>2013</v>
      </c>
      <c r="M12" s="83">
        <f t="shared" si="0"/>
        <v>6</v>
      </c>
      <c r="N12" s="83" t="s">
        <v>3</v>
      </c>
      <c r="O12" s="83"/>
      <c r="P12" s="84" t="s">
        <v>16</v>
      </c>
      <c r="Q12" s="83"/>
      <c r="R12" s="84" t="s">
        <v>16</v>
      </c>
    </row>
    <row r="13" spans="2:18" ht="25.5" x14ac:dyDescent="0.2">
      <c r="B13" s="136">
        <v>2</v>
      </c>
      <c r="C13" s="83"/>
      <c r="D13" s="83">
        <v>6</v>
      </c>
      <c r="E13" s="84" t="s">
        <v>700</v>
      </c>
      <c r="F13" s="84" t="s">
        <v>6</v>
      </c>
      <c r="G13" s="83" t="s">
        <v>701</v>
      </c>
      <c r="H13" s="83" t="s">
        <v>1</v>
      </c>
      <c r="I13" s="83" t="s">
        <v>2</v>
      </c>
      <c r="J13" s="84"/>
      <c r="K13" s="85">
        <v>30823</v>
      </c>
      <c r="L13" s="83">
        <v>1984</v>
      </c>
      <c r="M13" s="83">
        <f t="shared" si="0"/>
        <v>35</v>
      </c>
      <c r="N13" s="83" t="s">
        <v>3</v>
      </c>
      <c r="O13" s="83"/>
      <c r="P13" s="84" t="s">
        <v>15</v>
      </c>
      <c r="Q13" s="83"/>
      <c r="R13" s="84" t="s">
        <v>109</v>
      </c>
    </row>
    <row r="14" spans="2:18" x14ac:dyDescent="0.2">
      <c r="B14" s="136"/>
      <c r="C14" s="83"/>
      <c r="D14" s="83">
        <v>7</v>
      </c>
      <c r="E14" s="84" t="s">
        <v>439</v>
      </c>
      <c r="F14" s="84" t="s">
        <v>11</v>
      </c>
      <c r="G14" s="83">
        <v>0</v>
      </c>
      <c r="H14" s="83" t="s">
        <v>9</v>
      </c>
      <c r="I14" s="83" t="s">
        <v>2</v>
      </c>
      <c r="J14" s="84"/>
      <c r="K14" s="85">
        <v>29351</v>
      </c>
      <c r="L14" s="83">
        <v>1980</v>
      </c>
      <c r="M14" s="83">
        <f t="shared" si="0"/>
        <v>39</v>
      </c>
      <c r="N14" s="83" t="s">
        <v>3</v>
      </c>
      <c r="O14" s="83"/>
      <c r="P14" s="84" t="s">
        <v>15</v>
      </c>
      <c r="Q14" s="83"/>
      <c r="R14" s="84" t="s">
        <v>16</v>
      </c>
    </row>
    <row r="15" spans="2:18" ht="25.5" x14ac:dyDescent="0.2">
      <c r="B15" s="136"/>
      <c r="C15" s="83"/>
      <c r="D15" s="83">
        <v>8</v>
      </c>
      <c r="E15" s="84" t="s">
        <v>702</v>
      </c>
      <c r="F15" s="84" t="s">
        <v>17</v>
      </c>
      <c r="G15" s="83">
        <v>0</v>
      </c>
      <c r="H15" s="83" t="s">
        <v>9</v>
      </c>
      <c r="I15" s="83" t="s">
        <v>14</v>
      </c>
      <c r="J15" s="84"/>
      <c r="K15" s="85">
        <v>40050</v>
      </c>
      <c r="L15" s="83">
        <v>2009</v>
      </c>
      <c r="M15" s="83">
        <f t="shared" si="0"/>
        <v>10</v>
      </c>
      <c r="N15" s="83" t="s">
        <v>3</v>
      </c>
      <c r="O15" s="83"/>
      <c r="P15" s="84" t="s">
        <v>16</v>
      </c>
      <c r="Q15" s="83"/>
      <c r="R15" s="84" t="s">
        <v>16</v>
      </c>
    </row>
    <row r="16" spans="2:18" ht="25.5" x14ac:dyDescent="0.2">
      <c r="B16" s="136">
        <v>3</v>
      </c>
      <c r="C16" s="136" t="s">
        <v>1629</v>
      </c>
      <c r="D16" s="83">
        <v>9</v>
      </c>
      <c r="E16" s="84" t="s">
        <v>703</v>
      </c>
      <c r="F16" s="84" t="s">
        <v>6</v>
      </c>
      <c r="G16" s="83" t="s">
        <v>1630</v>
      </c>
      <c r="H16" s="83" t="s">
        <v>1</v>
      </c>
      <c r="I16" s="83" t="s">
        <v>2</v>
      </c>
      <c r="J16" s="84" t="s">
        <v>1156</v>
      </c>
      <c r="K16" s="85">
        <v>23743</v>
      </c>
      <c r="L16" s="83">
        <v>1965</v>
      </c>
      <c r="M16" s="83">
        <f t="shared" si="0"/>
        <v>54</v>
      </c>
      <c r="N16" s="83" t="s">
        <v>3</v>
      </c>
      <c r="O16" s="83" t="s">
        <v>1137</v>
      </c>
      <c r="P16" s="84" t="s">
        <v>1138</v>
      </c>
      <c r="Q16" s="83"/>
      <c r="R16" s="84" t="s">
        <v>1415</v>
      </c>
    </row>
    <row r="17" spans="2:18" ht="25.5" x14ac:dyDescent="0.2">
      <c r="B17" s="136"/>
      <c r="C17" s="136"/>
      <c r="D17" s="83">
        <v>10</v>
      </c>
      <c r="E17" s="84" t="s">
        <v>704</v>
      </c>
      <c r="F17" s="84" t="s">
        <v>11</v>
      </c>
      <c r="G17" s="83" t="s">
        <v>705</v>
      </c>
      <c r="H17" s="83" t="s">
        <v>9</v>
      </c>
      <c r="I17" s="83" t="s">
        <v>2</v>
      </c>
      <c r="J17" s="84" t="s">
        <v>1246</v>
      </c>
      <c r="K17" s="85">
        <v>25944</v>
      </c>
      <c r="L17" s="83">
        <v>1971</v>
      </c>
      <c r="M17" s="83">
        <f t="shared" si="0"/>
        <v>48</v>
      </c>
      <c r="N17" s="83" t="s">
        <v>3</v>
      </c>
      <c r="O17" s="83" t="s">
        <v>1137</v>
      </c>
      <c r="P17" s="84" t="s">
        <v>1138</v>
      </c>
      <c r="Q17" s="83"/>
      <c r="R17" s="84" t="s">
        <v>1141</v>
      </c>
    </row>
    <row r="18" spans="2:18" ht="25.5" x14ac:dyDescent="0.2">
      <c r="B18" s="136"/>
      <c r="C18" s="136"/>
      <c r="D18" s="83">
        <v>11</v>
      </c>
      <c r="E18" s="84" t="s">
        <v>708</v>
      </c>
      <c r="F18" s="84" t="s">
        <v>17</v>
      </c>
      <c r="G18" s="83" t="s">
        <v>1631</v>
      </c>
      <c r="H18" s="83" t="s">
        <v>9</v>
      </c>
      <c r="I18" s="83" t="s">
        <v>14</v>
      </c>
      <c r="J18" s="84" t="s">
        <v>1156</v>
      </c>
      <c r="K18" s="85">
        <v>35713</v>
      </c>
      <c r="L18" s="83">
        <v>1997</v>
      </c>
      <c r="M18" s="83">
        <f t="shared" si="0"/>
        <v>22</v>
      </c>
      <c r="N18" s="83" t="s">
        <v>3</v>
      </c>
      <c r="O18" s="83" t="s">
        <v>1137</v>
      </c>
      <c r="P18" s="84" t="s">
        <v>1159</v>
      </c>
      <c r="Q18" s="83"/>
      <c r="R18" s="84" t="s">
        <v>1448</v>
      </c>
    </row>
    <row r="19" spans="2:18" ht="25.5" x14ac:dyDescent="0.2">
      <c r="B19" s="136"/>
      <c r="C19" s="136"/>
      <c r="D19" s="83">
        <v>12</v>
      </c>
      <c r="E19" s="84" t="s">
        <v>709</v>
      </c>
      <c r="F19" s="84" t="s">
        <v>17</v>
      </c>
      <c r="G19" s="83" t="s">
        <v>710</v>
      </c>
      <c r="H19" s="83" t="s">
        <v>9</v>
      </c>
      <c r="I19" s="83" t="s">
        <v>14</v>
      </c>
      <c r="J19" s="84" t="s">
        <v>1156</v>
      </c>
      <c r="K19" s="85">
        <v>37783</v>
      </c>
      <c r="L19" s="83">
        <v>2003</v>
      </c>
      <c r="M19" s="83">
        <f t="shared" si="0"/>
        <v>16</v>
      </c>
      <c r="N19" s="83" t="s">
        <v>3</v>
      </c>
      <c r="O19" s="83" t="s">
        <v>1137</v>
      </c>
      <c r="P19" s="84" t="s">
        <v>1172</v>
      </c>
      <c r="Q19" s="83"/>
      <c r="R19" s="84" t="s">
        <v>1448</v>
      </c>
    </row>
    <row r="20" spans="2:18" ht="25.5" x14ac:dyDescent="0.2">
      <c r="B20" s="136">
        <v>4</v>
      </c>
      <c r="C20" s="136" t="s">
        <v>1487</v>
      </c>
      <c r="D20" s="83">
        <v>13</v>
      </c>
      <c r="E20" s="84" t="s">
        <v>1488</v>
      </c>
      <c r="F20" s="84" t="s">
        <v>6</v>
      </c>
      <c r="G20" s="83" t="s">
        <v>1489</v>
      </c>
      <c r="H20" s="83" t="s">
        <v>1</v>
      </c>
      <c r="I20" s="83" t="s">
        <v>2</v>
      </c>
      <c r="J20" s="84" t="s">
        <v>1148</v>
      </c>
      <c r="K20" s="85">
        <v>23743</v>
      </c>
      <c r="L20" s="83">
        <v>1965</v>
      </c>
      <c r="M20" s="83">
        <f t="shared" si="0"/>
        <v>54</v>
      </c>
      <c r="N20" s="83" t="s">
        <v>3</v>
      </c>
      <c r="O20" s="83" t="s">
        <v>1137</v>
      </c>
      <c r="P20" s="84" t="s">
        <v>1159</v>
      </c>
      <c r="Q20" s="83"/>
      <c r="R20" s="84" t="s">
        <v>10</v>
      </c>
    </row>
    <row r="21" spans="2:18" ht="25.5" x14ac:dyDescent="0.2">
      <c r="B21" s="136"/>
      <c r="C21" s="136"/>
      <c r="D21" s="83">
        <v>14</v>
      </c>
      <c r="E21" s="84" t="s">
        <v>633</v>
      </c>
      <c r="F21" s="84" t="s">
        <v>11</v>
      </c>
      <c r="G21" s="83" t="s">
        <v>1490</v>
      </c>
      <c r="H21" s="83" t="s">
        <v>9</v>
      </c>
      <c r="I21" s="83" t="s">
        <v>2</v>
      </c>
      <c r="J21" s="84" t="s">
        <v>1148</v>
      </c>
      <c r="K21" s="85">
        <v>22098</v>
      </c>
      <c r="L21" s="83">
        <v>1960</v>
      </c>
      <c r="M21" s="83">
        <f t="shared" si="0"/>
        <v>59</v>
      </c>
      <c r="N21" s="83" t="s">
        <v>3</v>
      </c>
      <c r="O21" s="83" t="s">
        <v>1137</v>
      </c>
      <c r="P21" s="84" t="s">
        <v>1139</v>
      </c>
      <c r="Q21" s="83"/>
      <c r="R21" s="84" t="s">
        <v>1141</v>
      </c>
    </row>
    <row r="22" spans="2:18" ht="25.5" x14ac:dyDescent="0.2">
      <c r="B22" s="136"/>
      <c r="C22" s="136"/>
      <c r="D22" s="83">
        <v>15</v>
      </c>
      <c r="E22" s="84" t="s">
        <v>716</v>
      </c>
      <c r="F22" s="84" t="s">
        <v>17</v>
      </c>
      <c r="G22" s="83" t="s">
        <v>1491</v>
      </c>
      <c r="H22" s="83" t="s">
        <v>1</v>
      </c>
      <c r="I22" s="83" t="s">
        <v>14</v>
      </c>
      <c r="J22" s="84" t="s">
        <v>1156</v>
      </c>
      <c r="K22" s="85">
        <v>34651</v>
      </c>
      <c r="L22" s="83">
        <v>1994</v>
      </c>
      <c r="M22" s="83">
        <f t="shared" si="0"/>
        <v>25</v>
      </c>
      <c r="N22" s="83" t="s">
        <v>3</v>
      </c>
      <c r="O22" s="83" t="s">
        <v>1137</v>
      </c>
      <c r="P22" s="84" t="s">
        <v>1159</v>
      </c>
      <c r="Q22" s="83"/>
      <c r="R22" s="84" t="s">
        <v>1448</v>
      </c>
    </row>
    <row r="23" spans="2:18" ht="25.5" x14ac:dyDescent="0.2">
      <c r="B23" s="136"/>
      <c r="C23" s="136"/>
      <c r="D23" s="83">
        <v>16</v>
      </c>
      <c r="E23" s="84" t="s">
        <v>717</v>
      </c>
      <c r="F23" s="84" t="s">
        <v>17</v>
      </c>
      <c r="G23" s="83" t="s">
        <v>1492</v>
      </c>
      <c r="H23" s="83" t="s">
        <v>1</v>
      </c>
      <c r="I23" s="83" t="s">
        <v>14</v>
      </c>
      <c r="J23" s="84" t="s">
        <v>1246</v>
      </c>
      <c r="K23" s="85">
        <v>41195</v>
      </c>
      <c r="L23" s="83">
        <v>2012</v>
      </c>
      <c r="M23" s="83">
        <f t="shared" si="0"/>
        <v>7</v>
      </c>
      <c r="N23" s="83" t="s">
        <v>3</v>
      </c>
      <c r="O23" s="83" t="s">
        <v>1137</v>
      </c>
      <c r="P23" s="84" t="s">
        <v>1139</v>
      </c>
      <c r="Q23" s="83"/>
      <c r="R23" s="84" t="s">
        <v>1448</v>
      </c>
    </row>
    <row r="24" spans="2:18" ht="25.5" x14ac:dyDescent="0.2">
      <c r="B24" s="136">
        <v>5</v>
      </c>
      <c r="C24" s="83"/>
      <c r="D24" s="83">
        <v>17</v>
      </c>
      <c r="E24" s="84" t="s">
        <v>718</v>
      </c>
      <c r="F24" s="84" t="s">
        <v>6</v>
      </c>
      <c r="G24" s="83" t="s">
        <v>719</v>
      </c>
      <c r="H24" s="83" t="s">
        <v>1</v>
      </c>
      <c r="I24" s="83" t="s">
        <v>2</v>
      </c>
      <c r="J24" s="84"/>
      <c r="K24" s="85">
        <v>30380</v>
      </c>
      <c r="L24" s="83">
        <v>1983</v>
      </c>
      <c r="M24" s="83">
        <f t="shared" si="0"/>
        <v>36</v>
      </c>
      <c r="N24" s="83" t="s">
        <v>3</v>
      </c>
      <c r="O24" s="83"/>
      <c r="P24" s="84" t="s">
        <v>15</v>
      </c>
      <c r="Q24" s="83"/>
      <c r="R24" s="84" t="s">
        <v>10</v>
      </c>
    </row>
    <row r="25" spans="2:18" x14ac:dyDescent="0.2">
      <c r="B25" s="136"/>
      <c r="C25" s="83"/>
      <c r="D25" s="83">
        <v>18</v>
      </c>
      <c r="E25" s="84" t="s">
        <v>720</v>
      </c>
      <c r="F25" s="84" t="s">
        <v>11</v>
      </c>
      <c r="G25" s="83" t="s">
        <v>721</v>
      </c>
      <c r="H25" s="83" t="s">
        <v>9</v>
      </c>
      <c r="I25" s="83" t="s">
        <v>2</v>
      </c>
      <c r="J25" s="84"/>
      <c r="K25" s="85">
        <v>30753</v>
      </c>
      <c r="L25" s="83">
        <v>1984</v>
      </c>
      <c r="M25" s="83">
        <f t="shared" si="0"/>
        <v>35</v>
      </c>
      <c r="N25" s="83" t="s">
        <v>3</v>
      </c>
      <c r="O25" s="83"/>
      <c r="P25" s="84" t="s">
        <v>54</v>
      </c>
      <c r="Q25" s="83"/>
      <c r="R25" s="84" t="s">
        <v>16</v>
      </c>
    </row>
    <row r="26" spans="2:18" ht="25.5" x14ac:dyDescent="0.2">
      <c r="B26" s="136"/>
      <c r="C26" s="83"/>
      <c r="D26" s="83">
        <v>19</v>
      </c>
      <c r="E26" s="84" t="s">
        <v>722</v>
      </c>
      <c r="F26" s="84" t="s">
        <v>17</v>
      </c>
      <c r="G26" s="83" t="s">
        <v>723</v>
      </c>
      <c r="H26" s="83" t="s">
        <v>1</v>
      </c>
      <c r="I26" s="83" t="s">
        <v>14</v>
      </c>
      <c r="J26" s="84"/>
      <c r="K26" s="85">
        <v>40035</v>
      </c>
      <c r="L26" s="83">
        <v>2009</v>
      </c>
      <c r="M26" s="83">
        <f t="shared" si="0"/>
        <v>10</v>
      </c>
      <c r="N26" s="83" t="s">
        <v>3</v>
      </c>
      <c r="O26" s="83"/>
      <c r="P26" s="84" t="s">
        <v>16</v>
      </c>
      <c r="Q26" s="83"/>
      <c r="R26" s="84" t="s">
        <v>16</v>
      </c>
    </row>
    <row r="27" spans="2:18" ht="25.5" x14ac:dyDescent="0.2">
      <c r="B27" s="136"/>
      <c r="C27" s="83"/>
      <c r="D27" s="83">
        <v>20</v>
      </c>
      <c r="E27" s="84" t="s">
        <v>724</v>
      </c>
      <c r="F27" s="84" t="s">
        <v>17</v>
      </c>
      <c r="G27" s="83" t="s">
        <v>725</v>
      </c>
      <c r="H27" s="83" t="s">
        <v>1</v>
      </c>
      <c r="I27" s="83" t="s">
        <v>14</v>
      </c>
      <c r="J27" s="84"/>
      <c r="K27" s="85">
        <v>40998</v>
      </c>
      <c r="L27" s="83">
        <v>2012</v>
      </c>
      <c r="M27" s="83">
        <f t="shared" si="0"/>
        <v>7</v>
      </c>
      <c r="N27" s="83" t="s">
        <v>3</v>
      </c>
      <c r="O27" s="83"/>
      <c r="P27" s="84" t="s">
        <v>16</v>
      </c>
      <c r="Q27" s="83"/>
      <c r="R27" s="84" t="s">
        <v>16</v>
      </c>
    </row>
    <row r="28" spans="2:18" ht="25.5" x14ac:dyDescent="0.2">
      <c r="B28" s="136">
        <v>6</v>
      </c>
      <c r="C28" s="83"/>
      <c r="D28" s="83">
        <v>21</v>
      </c>
      <c r="E28" s="84" t="s">
        <v>726</v>
      </c>
      <c r="F28" s="84" t="s">
        <v>6</v>
      </c>
      <c r="G28" s="83" t="s">
        <v>727</v>
      </c>
      <c r="H28" s="83" t="s">
        <v>1</v>
      </c>
      <c r="I28" s="83" t="s">
        <v>2</v>
      </c>
      <c r="J28" s="84"/>
      <c r="K28" s="85">
        <v>30695</v>
      </c>
      <c r="L28" s="83">
        <v>1984</v>
      </c>
      <c r="M28" s="83">
        <f t="shared" si="0"/>
        <v>35</v>
      </c>
      <c r="N28" s="83" t="s">
        <v>3</v>
      </c>
      <c r="O28" s="83"/>
      <c r="P28" s="84" t="s">
        <v>4</v>
      </c>
      <c r="Q28" s="83"/>
      <c r="R28" s="84" t="s">
        <v>10</v>
      </c>
    </row>
    <row r="29" spans="2:18" ht="25.5" x14ac:dyDescent="0.2">
      <c r="B29" s="136"/>
      <c r="C29" s="83"/>
      <c r="D29" s="83">
        <v>22</v>
      </c>
      <c r="E29" s="84" t="s">
        <v>728</v>
      </c>
      <c r="F29" s="84" t="s">
        <v>11</v>
      </c>
      <c r="G29" s="83" t="s">
        <v>729</v>
      </c>
      <c r="H29" s="83" t="s">
        <v>9</v>
      </c>
      <c r="I29" s="83" t="s">
        <v>2</v>
      </c>
      <c r="J29" s="84"/>
      <c r="K29" s="85">
        <v>31526</v>
      </c>
      <c r="L29" s="83">
        <v>1986</v>
      </c>
      <c r="M29" s="83">
        <f t="shared" si="0"/>
        <v>33</v>
      </c>
      <c r="N29" s="83" t="s">
        <v>3</v>
      </c>
      <c r="O29" s="83"/>
      <c r="P29" s="84" t="s">
        <v>4</v>
      </c>
      <c r="Q29" s="83"/>
      <c r="R29" s="84" t="s">
        <v>10</v>
      </c>
    </row>
    <row r="30" spans="2:18" ht="25.5" x14ac:dyDescent="0.2">
      <c r="B30" s="136"/>
      <c r="C30" s="83"/>
      <c r="D30" s="83">
        <v>23</v>
      </c>
      <c r="E30" s="84" t="s">
        <v>730</v>
      </c>
      <c r="F30" s="84" t="s">
        <v>17</v>
      </c>
      <c r="G30" s="83" t="s">
        <v>731</v>
      </c>
      <c r="H30" s="83" t="s">
        <v>9</v>
      </c>
      <c r="I30" s="83"/>
      <c r="J30" s="84"/>
      <c r="K30" s="85">
        <v>40730</v>
      </c>
      <c r="L30" s="83">
        <v>2011</v>
      </c>
      <c r="M30" s="83">
        <f t="shared" si="0"/>
        <v>8</v>
      </c>
      <c r="N30" s="83" t="s">
        <v>3</v>
      </c>
      <c r="O30" s="83"/>
      <c r="P30" s="84" t="s">
        <v>16</v>
      </c>
      <c r="Q30" s="83"/>
      <c r="R30" s="84" t="s">
        <v>16</v>
      </c>
    </row>
    <row r="31" spans="2:18" x14ac:dyDescent="0.2">
      <c r="B31" s="136">
        <v>7</v>
      </c>
      <c r="C31" s="83"/>
      <c r="D31" s="83">
        <v>24</v>
      </c>
      <c r="E31" s="84" t="s">
        <v>732</v>
      </c>
      <c r="F31" s="84" t="s">
        <v>6</v>
      </c>
      <c r="G31" s="83" t="s">
        <v>733</v>
      </c>
      <c r="H31" s="83" t="s">
        <v>9</v>
      </c>
      <c r="I31" s="83" t="s">
        <v>24</v>
      </c>
      <c r="J31" s="84"/>
      <c r="K31" s="85">
        <v>27570</v>
      </c>
      <c r="L31" s="83">
        <v>1975</v>
      </c>
      <c r="M31" s="83">
        <f t="shared" si="0"/>
        <v>44</v>
      </c>
      <c r="N31" s="83" t="s">
        <v>3</v>
      </c>
      <c r="O31" s="83"/>
      <c r="P31" s="84" t="s">
        <v>16</v>
      </c>
      <c r="Q31" s="83"/>
      <c r="R31" s="84" t="s">
        <v>109</v>
      </c>
    </row>
    <row r="32" spans="2:18" x14ac:dyDescent="0.2">
      <c r="B32" s="136"/>
      <c r="C32" s="83"/>
      <c r="D32" s="83">
        <v>25</v>
      </c>
      <c r="E32" s="84" t="s">
        <v>734</v>
      </c>
      <c r="F32" s="84" t="s">
        <v>17</v>
      </c>
      <c r="G32" s="83" t="s">
        <v>735</v>
      </c>
      <c r="H32" s="83" t="s">
        <v>9</v>
      </c>
      <c r="I32" s="83" t="s">
        <v>14</v>
      </c>
      <c r="J32" s="84"/>
      <c r="K32" s="85">
        <v>36403</v>
      </c>
      <c r="L32" s="83">
        <v>1999</v>
      </c>
      <c r="M32" s="83">
        <f t="shared" si="0"/>
        <v>20</v>
      </c>
      <c r="N32" s="83" t="s">
        <v>3</v>
      </c>
      <c r="O32" s="83"/>
      <c r="P32" s="84" t="s">
        <v>27</v>
      </c>
      <c r="Q32" s="83"/>
      <c r="R32" s="84" t="s">
        <v>16</v>
      </c>
    </row>
    <row r="33" spans="2:18" ht="25.5" x14ac:dyDescent="0.2">
      <c r="B33" s="136">
        <v>8</v>
      </c>
      <c r="C33" s="136" t="s">
        <v>1474</v>
      </c>
      <c r="D33" s="83">
        <v>26</v>
      </c>
      <c r="E33" s="84" t="s">
        <v>1475</v>
      </c>
      <c r="F33" s="84" t="s">
        <v>6</v>
      </c>
      <c r="G33" s="83" t="s">
        <v>1478</v>
      </c>
      <c r="H33" s="83" t="s">
        <v>1</v>
      </c>
      <c r="I33" s="83" t="s">
        <v>2</v>
      </c>
      <c r="J33" s="84" t="s">
        <v>1148</v>
      </c>
      <c r="K33" s="85">
        <v>25750</v>
      </c>
      <c r="L33" s="83">
        <v>1970</v>
      </c>
      <c r="M33" s="83">
        <f t="shared" si="0"/>
        <v>49</v>
      </c>
      <c r="N33" s="83" t="s">
        <v>3</v>
      </c>
      <c r="O33" s="83" t="s">
        <v>1137</v>
      </c>
      <c r="P33" s="84" t="s">
        <v>1138</v>
      </c>
      <c r="Q33" s="83"/>
      <c r="R33" s="84" t="s">
        <v>1185</v>
      </c>
    </row>
    <row r="34" spans="2:18" ht="25.5" x14ac:dyDescent="0.2">
      <c r="B34" s="136"/>
      <c r="C34" s="136"/>
      <c r="D34" s="83">
        <v>27</v>
      </c>
      <c r="E34" s="84" t="s">
        <v>647</v>
      </c>
      <c r="F34" s="84" t="s">
        <v>11</v>
      </c>
      <c r="G34" s="83" t="s">
        <v>1479</v>
      </c>
      <c r="H34" s="83" t="s">
        <v>9</v>
      </c>
      <c r="I34" s="83" t="s">
        <v>2</v>
      </c>
      <c r="J34" s="84" t="s">
        <v>1148</v>
      </c>
      <c r="K34" s="85">
        <v>27576</v>
      </c>
      <c r="L34" s="83">
        <v>1975</v>
      </c>
      <c r="M34" s="83">
        <f t="shared" si="0"/>
        <v>44</v>
      </c>
      <c r="N34" s="83" t="s">
        <v>3</v>
      </c>
      <c r="O34" s="83" t="s">
        <v>1137</v>
      </c>
      <c r="P34" s="84" t="s">
        <v>1138</v>
      </c>
      <c r="Q34" s="83"/>
      <c r="R34" s="84" t="s">
        <v>1141</v>
      </c>
    </row>
    <row r="35" spans="2:18" x14ac:dyDescent="0.2">
      <c r="B35" s="136"/>
      <c r="C35" s="136"/>
      <c r="D35" s="83">
        <v>28</v>
      </c>
      <c r="E35" s="84" t="s">
        <v>1476</v>
      </c>
      <c r="F35" s="84" t="s">
        <v>17</v>
      </c>
      <c r="G35" s="83" t="s">
        <v>1480</v>
      </c>
      <c r="H35" s="83" t="s">
        <v>1</v>
      </c>
      <c r="I35" s="83" t="s">
        <v>14</v>
      </c>
      <c r="J35" s="84" t="s">
        <v>1156</v>
      </c>
      <c r="K35" s="85">
        <v>35700</v>
      </c>
      <c r="L35" s="83">
        <v>1997</v>
      </c>
      <c r="M35" s="83">
        <f t="shared" si="0"/>
        <v>22</v>
      </c>
      <c r="N35" s="83" t="s">
        <v>3</v>
      </c>
      <c r="O35" s="83" t="s">
        <v>1137</v>
      </c>
      <c r="P35" s="84" t="s">
        <v>1159</v>
      </c>
      <c r="Q35" s="83"/>
      <c r="R35" s="84" t="s">
        <v>1160</v>
      </c>
    </row>
    <row r="36" spans="2:18" ht="25.5" x14ac:dyDescent="0.2">
      <c r="B36" s="136"/>
      <c r="C36" s="136"/>
      <c r="D36" s="83">
        <v>29</v>
      </c>
      <c r="E36" s="84" t="s">
        <v>1477</v>
      </c>
      <c r="F36" s="84" t="s">
        <v>17</v>
      </c>
      <c r="G36" s="83" t="s">
        <v>1481</v>
      </c>
      <c r="H36" s="83" t="s">
        <v>9</v>
      </c>
      <c r="I36" s="83" t="s">
        <v>14</v>
      </c>
      <c r="J36" s="84" t="s">
        <v>1156</v>
      </c>
      <c r="K36" s="85">
        <v>41419</v>
      </c>
      <c r="L36" s="83">
        <v>2013</v>
      </c>
      <c r="M36" s="83">
        <f t="shared" si="0"/>
        <v>6</v>
      </c>
      <c r="N36" s="83" t="s">
        <v>3</v>
      </c>
      <c r="O36" s="83" t="s">
        <v>1137</v>
      </c>
      <c r="P36" s="84" t="s">
        <v>1139</v>
      </c>
      <c r="Q36" s="83"/>
      <c r="R36" s="84" t="s">
        <v>1448</v>
      </c>
    </row>
    <row r="37" spans="2:18" ht="25.5" x14ac:dyDescent="0.2">
      <c r="B37" s="136">
        <v>9</v>
      </c>
      <c r="C37" s="83"/>
      <c r="D37" s="83">
        <v>30</v>
      </c>
      <c r="E37" s="84" t="s">
        <v>736</v>
      </c>
      <c r="F37" s="84" t="s">
        <v>6</v>
      </c>
      <c r="G37" s="83" t="s">
        <v>737</v>
      </c>
      <c r="H37" s="83" t="s">
        <v>1</v>
      </c>
      <c r="I37" s="83" t="s">
        <v>2</v>
      </c>
      <c r="J37" s="84"/>
      <c r="K37" s="85">
        <v>29923</v>
      </c>
      <c r="L37" s="83">
        <v>1981</v>
      </c>
      <c r="M37" s="83">
        <f t="shared" si="0"/>
        <v>38</v>
      </c>
      <c r="N37" s="83" t="s">
        <v>3</v>
      </c>
      <c r="O37" s="83"/>
      <c r="P37" s="84" t="s">
        <v>54</v>
      </c>
      <c r="Q37" s="83"/>
      <c r="R37" s="84" t="s">
        <v>10</v>
      </c>
    </row>
    <row r="38" spans="2:18" x14ac:dyDescent="0.2">
      <c r="B38" s="136"/>
      <c r="C38" s="83"/>
      <c r="D38" s="83">
        <v>31</v>
      </c>
      <c r="E38" s="84" t="s">
        <v>738</v>
      </c>
      <c r="F38" s="84" t="s">
        <v>11</v>
      </c>
      <c r="G38" s="83" t="s">
        <v>739</v>
      </c>
      <c r="H38" s="83" t="s">
        <v>9</v>
      </c>
      <c r="I38" s="83" t="s">
        <v>2</v>
      </c>
      <c r="J38" s="84"/>
      <c r="K38" s="85">
        <v>30681</v>
      </c>
      <c r="L38" s="83">
        <v>1983</v>
      </c>
      <c r="M38" s="83">
        <f t="shared" si="0"/>
        <v>36</v>
      </c>
      <c r="N38" s="83" t="s">
        <v>3</v>
      </c>
      <c r="O38" s="83"/>
      <c r="P38" s="84" t="s">
        <v>54</v>
      </c>
      <c r="Q38" s="83"/>
      <c r="R38" s="84" t="s">
        <v>10</v>
      </c>
    </row>
    <row r="39" spans="2:18" x14ac:dyDescent="0.2">
      <c r="B39" s="136"/>
      <c r="C39" s="83"/>
      <c r="D39" s="83">
        <v>32</v>
      </c>
      <c r="E39" s="84" t="s">
        <v>740</v>
      </c>
      <c r="F39" s="84" t="s">
        <v>17</v>
      </c>
      <c r="G39" s="83" t="s">
        <v>741</v>
      </c>
      <c r="H39" s="83" t="s">
        <v>1</v>
      </c>
      <c r="I39" s="83" t="s">
        <v>14</v>
      </c>
      <c r="J39" s="84"/>
      <c r="K39" s="85">
        <v>38487</v>
      </c>
      <c r="L39" s="83">
        <v>2005</v>
      </c>
      <c r="M39" s="83">
        <f t="shared" si="0"/>
        <v>14</v>
      </c>
      <c r="N39" s="83" t="s">
        <v>3</v>
      </c>
      <c r="O39" s="83"/>
      <c r="P39" s="84" t="s">
        <v>16</v>
      </c>
      <c r="Q39" s="83"/>
      <c r="R39" s="84" t="s">
        <v>16</v>
      </c>
    </row>
    <row r="40" spans="2:18" x14ac:dyDescent="0.2">
      <c r="B40" s="136"/>
      <c r="C40" s="83"/>
      <c r="D40" s="83">
        <v>33</v>
      </c>
      <c r="E40" s="84" t="s">
        <v>742</v>
      </c>
      <c r="F40" s="84" t="s">
        <v>17</v>
      </c>
      <c r="G40" s="83" t="s">
        <v>743</v>
      </c>
      <c r="H40" s="83" t="s">
        <v>9</v>
      </c>
      <c r="I40" s="83" t="s">
        <v>14</v>
      </c>
      <c r="J40" s="84"/>
      <c r="K40" s="85">
        <v>41006</v>
      </c>
      <c r="L40" s="83">
        <v>2012</v>
      </c>
      <c r="M40" s="83">
        <f t="shared" si="0"/>
        <v>7</v>
      </c>
      <c r="N40" s="83" t="s">
        <v>3</v>
      </c>
      <c r="O40" s="83"/>
      <c r="P40" s="84" t="s">
        <v>16</v>
      </c>
      <c r="Q40" s="83"/>
      <c r="R40" s="84" t="s">
        <v>16</v>
      </c>
    </row>
    <row r="41" spans="2:18" x14ac:dyDescent="0.2">
      <c r="B41" s="136">
        <v>10</v>
      </c>
      <c r="C41" s="83"/>
      <c r="D41" s="83">
        <v>34</v>
      </c>
      <c r="E41" s="84" t="s">
        <v>744</v>
      </c>
      <c r="F41" s="84" t="s">
        <v>6</v>
      </c>
      <c r="G41" s="83">
        <v>0</v>
      </c>
      <c r="H41" s="83" t="s">
        <v>9</v>
      </c>
      <c r="I41" s="83" t="s">
        <v>24</v>
      </c>
      <c r="J41" s="84"/>
      <c r="K41" s="85">
        <v>18628</v>
      </c>
      <c r="L41" s="83">
        <v>1950</v>
      </c>
      <c r="M41" s="83">
        <f t="shared" si="0"/>
        <v>69</v>
      </c>
      <c r="N41" s="83" t="s">
        <v>3</v>
      </c>
      <c r="O41" s="83"/>
      <c r="P41" s="84" t="s">
        <v>16</v>
      </c>
      <c r="Q41" s="83"/>
      <c r="R41" s="84" t="s">
        <v>16</v>
      </c>
    </row>
    <row r="42" spans="2:18" x14ac:dyDescent="0.2">
      <c r="B42" s="136"/>
      <c r="C42" s="83"/>
      <c r="D42" s="83">
        <v>35</v>
      </c>
      <c r="E42" s="84" t="s">
        <v>745</v>
      </c>
      <c r="F42" s="84" t="s">
        <v>17</v>
      </c>
      <c r="G42" s="83">
        <v>0</v>
      </c>
      <c r="H42" s="83" t="s">
        <v>1</v>
      </c>
      <c r="I42" s="83" t="s">
        <v>14</v>
      </c>
      <c r="J42" s="84"/>
      <c r="K42" s="85">
        <v>33603</v>
      </c>
      <c r="L42" s="83">
        <v>1991</v>
      </c>
      <c r="M42" s="83">
        <f t="shared" si="0"/>
        <v>28</v>
      </c>
      <c r="N42" s="83" t="s">
        <v>3</v>
      </c>
      <c r="O42" s="83"/>
      <c r="P42" s="84" t="s">
        <v>54</v>
      </c>
      <c r="Q42" s="83"/>
      <c r="R42" s="84" t="s">
        <v>109</v>
      </c>
    </row>
    <row r="43" spans="2:18" x14ac:dyDescent="0.2">
      <c r="B43" s="136">
        <v>11</v>
      </c>
      <c r="C43" s="83"/>
      <c r="D43" s="83">
        <v>36</v>
      </c>
      <c r="E43" s="84" t="s">
        <v>746</v>
      </c>
      <c r="F43" s="84" t="s">
        <v>6</v>
      </c>
      <c r="G43" s="83" t="s">
        <v>747</v>
      </c>
      <c r="H43" s="83" t="s">
        <v>1</v>
      </c>
      <c r="I43" s="83" t="s">
        <v>2</v>
      </c>
      <c r="J43" s="84"/>
      <c r="K43" s="85">
        <v>31047</v>
      </c>
      <c r="L43" s="83">
        <v>1984</v>
      </c>
      <c r="M43" s="83">
        <f t="shared" si="0"/>
        <v>35</v>
      </c>
      <c r="N43" s="83" t="s">
        <v>3</v>
      </c>
      <c r="O43" s="83"/>
      <c r="P43" s="84" t="s">
        <v>27</v>
      </c>
      <c r="Q43" s="83"/>
      <c r="R43" s="84" t="s">
        <v>10</v>
      </c>
    </row>
    <row r="44" spans="2:18" x14ac:dyDescent="0.2">
      <c r="B44" s="136"/>
      <c r="C44" s="83"/>
      <c r="D44" s="83">
        <v>37</v>
      </c>
      <c r="E44" s="84" t="s">
        <v>748</v>
      </c>
      <c r="F44" s="84" t="s">
        <v>11</v>
      </c>
      <c r="G44" s="83" t="s">
        <v>1671</v>
      </c>
      <c r="H44" s="83" t="s">
        <v>9</v>
      </c>
      <c r="I44" s="83" t="s">
        <v>2</v>
      </c>
      <c r="J44" s="84"/>
      <c r="K44" s="85">
        <v>32142</v>
      </c>
      <c r="L44" s="83">
        <v>1987</v>
      </c>
      <c r="M44" s="83">
        <f t="shared" si="0"/>
        <v>32</v>
      </c>
      <c r="N44" s="83" t="s">
        <v>3</v>
      </c>
      <c r="O44" s="83"/>
      <c r="P44" s="84" t="s">
        <v>54</v>
      </c>
      <c r="Q44" s="83"/>
      <c r="R44" s="84" t="s">
        <v>109</v>
      </c>
    </row>
    <row r="45" spans="2:18" ht="25.5" x14ac:dyDescent="0.2">
      <c r="B45" s="136"/>
      <c r="C45" s="83"/>
      <c r="D45" s="83">
        <v>38</v>
      </c>
      <c r="E45" s="84" t="s">
        <v>749</v>
      </c>
      <c r="F45" s="84" t="s">
        <v>17</v>
      </c>
      <c r="G45" s="83" t="s">
        <v>750</v>
      </c>
      <c r="H45" s="83" t="s">
        <v>1</v>
      </c>
      <c r="I45" s="83" t="s">
        <v>14</v>
      </c>
      <c r="J45" s="84"/>
      <c r="K45" s="85">
        <v>41724</v>
      </c>
      <c r="L45" s="83">
        <v>2014</v>
      </c>
      <c r="M45" s="83">
        <f t="shared" si="0"/>
        <v>5</v>
      </c>
      <c r="N45" s="83" t="s">
        <v>3</v>
      </c>
      <c r="O45" s="83"/>
      <c r="P45" s="84" t="s">
        <v>16</v>
      </c>
      <c r="Q45" s="83"/>
      <c r="R45" s="84" t="s">
        <v>16</v>
      </c>
    </row>
    <row r="46" spans="2:18" x14ac:dyDescent="0.2">
      <c r="B46" s="83">
        <v>12</v>
      </c>
      <c r="C46" s="83"/>
      <c r="D46" s="83">
        <v>39</v>
      </c>
      <c r="E46" s="84" t="s">
        <v>42</v>
      </c>
      <c r="F46" s="84" t="s">
        <v>6</v>
      </c>
      <c r="G46" s="83">
        <v>0</v>
      </c>
      <c r="H46" s="83" t="s">
        <v>9</v>
      </c>
      <c r="I46" s="83" t="s">
        <v>14</v>
      </c>
      <c r="J46" s="84"/>
      <c r="K46" s="85">
        <v>16802</v>
      </c>
      <c r="L46" s="83">
        <v>1945</v>
      </c>
      <c r="M46" s="83">
        <f t="shared" si="0"/>
        <v>74</v>
      </c>
      <c r="N46" s="83" t="s">
        <v>3</v>
      </c>
      <c r="O46" s="83"/>
      <c r="P46" s="84" t="s">
        <v>16</v>
      </c>
      <c r="Q46" s="83"/>
      <c r="R46" s="84" t="s">
        <v>16</v>
      </c>
    </row>
    <row r="47" spans="2:18" x14ac:dyDescent="0.2">
      <c r="B47" s="83">
        <v>13</v>
      </c>
      <c r="C47" s="83"/>
      <c r="D47" s="83">
        <v>40</v>
      </c>
      <c r="E47" s="84" t="s">
        <v>337</v>
      </c>
      <c r="F47" s="84" t="s">
        <v>6</v>
      </c>
      <c r="G47" s="83">
        <v>0</v>
      </c>
      <c r="H47" s="83" t="s">
        <v>9</v>
      </c>
      <c r="I47" s="83" t="s">
        <v>24</v>
      </c>
      <c r="J47" s="84"/>
      <c r="K47" s="85">
        <v>13149</v>
      </c>
      <c r="L47" s="83">
        <v>1935</v>
      </c>
      <c r="M47" s="83">
        <f t="shared" si="0"/>
        <v>84</v>
      </c>
      <c r="N47" s="83" t="s">
        <v>3</v>
      </c>
      <c r="O47" s="83"/>
      <c r="P47" s="84" t="s">
        <v>16</v>
      </c>
      <c r="Q47" s="83"/>
      <c r="R47" s="84" t="s">
        <v>16</v>
      </c>
    </row>
    <row r="48" spans="2:18" ht="25.5" x14ac:dyDescent="0.2">
      <c r="B48" s="136">
        <v>14</v>
      </c>
      <c r="C48" s="136" t="s">
        <v>1191</v>
      </c>
      <c r="D48" s="83">
        <v>41</v>
      </c>
      <c r="E48" s="84" t="s">
        <v>1186</v>
      </c>
      <c r="F48" s="84" t="s">
        <v>6</v>
      </c>
      <c r="G48" s="83" t="s">
        <v>751</v>
      </c>
      <c r="H48" s="83" t="s">
        <v>1</v>
      </c>
      <c r="I48" s="83" t="s">
        <v>2</v>
      </c>
      <c r="J48" s="84" t="s">
        <v>1136</v>
      </c>
      <c r="K48" s="85">
        <v>21732</v>
      </c>
      <c r="L48" s="83">
        <v>1959</v>
      </c>
      <c r="M48" s="83">
        <f t="shared" si="0"/>
        <v>60</v>
      </c>
      <c r="N48" s="83" t="s">
        <v>3</v>
      </c>
      <c r="O48" s="83" t="s">
        <v>1137</v>
      </c>
      <c r="P48" s="84" t="s">
        <v>1172</v>
      </c>
      <c r="Q48" s="83"/>
      <c r="R48" s="84" t="s">
        <v>1185</v>
      </c>
    </row>
    <row r="49" spans="2:18" ht="25.5" x14ac:dyDescent="0.2">
      <c r="B49" s="136"/>
      <c r="C49" s="136"/>
      <c r="D49" s="83">
        <v>42</v>
      </c>
      <c r="E49" s="84" t="s">
        <v>451</v>
      </c>
      <c r="F49" s="84" t="s">
        <v>11</v>
      </c>
      <c r="G49" s="83" t="s">
        <v>1192</v>
      </c>
      <c r="H49" s="83" t="s">
        <v>9</v>
      </c>
      <c r="I49" s="83" t="s">
        <v>2</v>
      </c>
      <c r="J49" s="84" t="s">
        <v>1136</v>
      </c>
      <c r="K49" s="85">
        <v>24676</v>
      </c>
      <c r="L49" s="83">
        <v>1967</v>
      </c>
      <c r="M49" s="83">
        <f t="shared" si="0"/>
        <v>52</v>
      </c>
      <c r="N49" s="83" t="s">
        <v>3</v>
      </c>
      <c r="O49" s="83" t="s">
        <v>1137</v>
      </c>
      <c r="P49" s="84" t="s">
        <v>1159</v>
      </c>
      <c r="Q49" s="83"/>
      <c r="R49" s="84" t="s">
        <v>10</v>
      </c>
    </row>
    <row r="50" spans="2:18" ht="25.5" x14ac:dyDescent="0.2">
      <c r="B50" s="136"/>
      <c r="C50" s="136"/>
      <c r="D50" s="83">
        <v>43</v>
      </c>
      <c r="E50" s="84" t="s">
        <v>754</v>
      </c>
      <c r="F50" s="84" t="s">
        <v>17</v>
      </c>
      <c r="G50" s="83" t="s">
        <v>755</v>
      </c>
      <c r="H50" s="83" t="s">
        <v>1</v>
      </c>
      <c r="I50" s="83" t="s">
        <v>14</v>
      </c>
      <c r="J50" s="84" t="s">
        <v>1136</v>
      </c>
      <c r="K50" s="85">
        <v>33140</v>
      </c>
      <c r="L50" s="83">
        <v>1990</v>
      </c>
      <c r="M50" s="83">
        <f t="shared" ref="M50:M81" si="1">2019-L50</f>
        <v>29</v>
      </c>
      <c r="N50" s="83" t="s">
        <v>3</v>
      </c>
      <c r="O50" s="83" t="s">
        <v>1137</v>
      </c>
      <c r="P50" s="84" t="s">
        <v>1159</v>
      </c>
      <c r="Q50" s="83"/>
      <c r="R50" s="84" t="s">
        <v>10</v>
      </c>
    </row>
    <row r="51" spans="2:18" ht="25.5" x14ac:dyDescent="0.2">
      <c r="B51" s="136"/>
      <c r="C51" s="136"/>
      <c r="D51" s="83">
        <v>44</v>
      </c>
      <c r="E51" s="84" t="s">
        <v>1189</v>
      </c>
      <c r="F51" s="84" t="s">
        <v>17</v>
      </c>
      <c r="G51" s="83" t="s">
        <v>756</v>
      </c>
      <c r="H51" s="83" t="s">
        <v>1</v>
      </c>
      <c r="I51" s="83" t="s">
        <v>14</v>
      </c>
      <c r="J51" s="84" t="s">
        <v>1136</v>
      </c>
      <c r="K51" s="85">
        <v>34966</v>
      </c>
      <c r="L51" s="83">
        <v>1995</v>
      </c>
      <c r="M51" s="83">
        <f t="shared" si="1"/>
        <v>24</v>
      </c>
      <c r="N51" s="83" t="s">
        <v>3</v>
      </c>
      <c r="O51" s="83" t="s">
        <v>1137</v>
      </c>
      <c r="P51" s="84" t="s">
        <v>1159</v>
      </c>
      <c r="Q51" s="83"/>
      <c r="R51" s="84" t="s">
        <v>1193</v>
      </c>
    </row>
    <row r="52" spans="2:18" ht="38.25" x14ac:dyDescent="0.2">
      <c r="B52" s="136"/>
      <c r="C52" s="136"/>
      <c r="D52" s="83">
        <v>45</v>
      </c>
      <c r="E52" s="84" t="s">
        <v>1190</v>
      </c>
      <c r="F52" s="84" t="s">
        <v>17</v>
      </c>
      <c r="G52" s="83" t="s">
        <v>757</v>
      </c>
      <c r="H52" s="83" t="s">
        <v>1</v>
      </c>
      <c r="I52" s="83" t="s">
        <v>14</v>
      </c>
      <c r="J52" s="84" t="s">
        <v>1156</v>
      </c>
      <c r="K52" s="85">
        <v>35361</v>
      </c>
      <c r="L52" s="83">
        <v>1996</v>
      </c>
      <c r="M52" s="83">
        <f t="shared" si="1"/>
        <v>23</v>
      </c>
      <c r="N52" s="83" t="s">
        <v>3</v>
      </c>
      <c r="O52" s="83" t="s">
        <v>1137</v>
      </c>
      <c r="P52" s="84" t="s">
        <v>1159</v>
      </c>
      <c r="Q52" s="83"/>
      <c r="R52" s="84" t="s">
        <v>1160</v>
      </c>
    </row>
    <row r="53" spans="2:18" ht="25.5" x14ac:dyDescent="0.2">
      <c r="B53" s="136"/>
      <c r="C53" s="136"/>
      <c r="D53" s="83">
        <v>46</v>
      </c>
      <c r="E53" s="84" t="s">
        <v>758</v>
      </c>
      <c r="F53" s="84" t="s">
        <v>17</v>
      </c>
      <c r="G53" s="83" t="s">
        <v>759</v>
      </c>
      <c r="H53" s="83" t="s">
        <v>1</v>
      </c>
      <c r="I53" s="83" t="s">
        <v>14</v>
      </c>
      <c r="J53" s="84" t="s">
        <v>1136</v>
      </c>
      <c r="K53" s="85">
        <v>36517</v>
      </c>
      <c r="L53" s="83">
        <v>1999</v>
      </c>
      <c r="M53" s="83">
        <f t="shared" si="1"/>
        <v>20</v>
      </c>
      <c r="N53" s="83" t="s">
        <v>3</v>
      </c>
      <c r="O53" s="83" t="s">
        <v>1137</v>
      </c>
      <c r="P53" s="84" t="s">
        <v>1159</v>
      </c>
      <c r="Q53" s="83"/>
      <c r="R53" s="84" t="s">
        <v>1160</v>
      </c>
    </row>
    <row r="54" spans="2:18" x14ac:dyDescent="0.2">
      <c r="B54" s="136"/>
      <c r="C54" s="136"/>
      <c r="D54" s="83">
        <v>47</v>
      </c>
      <c r="E54" s="84" t="s">
        <v>383</v>
      </c>
      <c r="F54" s="84" t="s">
        <v>17</v>
      </c>
      <c r="G54" s="83" t="s">
        <v>760</v>
      </c>
      <c r="H54" s="83" t="s">
        <v>9</v>
      </c>
      <c r="I54" s="83" t="s">
        <v>14</v>
      </c>
      <c r="J54" s="84" t="s">
        <v>1156</v>
      </c>
      <c r="K54" s="85">
        <v>37155</v>
      </c>
      <c r="L54" s="83">
        <v>2001</v>
      </c>
      <c r="M54" s="83">
        <f t="shared" si="1"/>
        <v>18</v>
      </c>
      <c r="N54" s="83" t="s">
        <v>3</v>
      </c>
      <c r="O54" s="83" t="s">
        <v>1137</v>
      </c>
      <c r="P54" s="84" t="s">
        <v>1172</v>
      </c>
      <c r="Q54" s="83"/>
      <c r="R54" s="84" t="s">
        <v>1160</v>
      </c>
    </row>
    <row r="55" spans="2:18" x14ac:dyDescent="0.2">
      <c r="B55" s="83">
        <v>15</v>
      </c>
      <c r="C55" s="83"/>
      <c r="D55" s="83">
        <v>48</v>
      </c>
      <c r="E55" s="84" t="s">
        <v>761</v>
      </c>
      <c r="F55" s="84" t="s">
        <v>6</v>
      </c>
      <c r="G55" s="83" t="s">
        <v>762</v>
      </c>
      <c r="H55" s="83" t="s">
        <v>9</v>
      </c>
      <c r="I55" s="83" t="s">
        <v>24</v>
      </c>
      <c r="J55" s="84"/>
      <c r="K55" s="85">
        <v>14245</v>
      </c>
      <c r="L55" s="83">
        <v>1938</v>
      </c>
      <c r="M55" s="83">
        <f t="shared" si="1"/>
        <v>81</v>
      </c>
      <c r="N55" s="83" t="s">
        <v>3</v>
      </c>
      <c r="O55" s="83"/>
      <c r="P55" s="84" t="s">
        <v>16</v>
      </c>
      <c r="Q55" s="83"/>
      <c r="R55" s="84" t="s">
        <v>16</v>
      </c>
    </row>
    <row r="56" spans="2:18" x14ac:dyDescent="0.2">
      <c r="B56" s="136">
        <v>16</v>
      </c>
      <c r="C56" s="83"/>
      <c r="D56" s="83">
        <v>49</v>
      </c>
      <c r="E56" s="84" t="s">
        <v>763</v>
      </c>
      <c r="F56" s="84" t="s">
        <v>6</v>
      </c>
      <c r="G56" s="83" t="s">
        <v>764</v>
      </c>
      <c r="H56" s="83" t="s">
        <v>1</v>
      </c>
      <c r="I56" s="83" t="s">
        <v>14</v>
      </c>
      <c r="J56" s="84"/>
      <c r="K56" s="85">
        <v>27759</v>
      </c>
      <c r="L56" s="83">
        <v>1975</v>
      </c>
      <c r="M56" s="83">
        <f t="shared" si="1"/>
        <v>44</v>
      </c>
      <c r="N56" s="83" t="s">
        <v>3</v>
      </c>
      <c r="O56" s="83"/>
      <c r="P56" s="84" t="s">
        <v>54</v>
      </c>
      <c r="Q56" s="83"/>
      <c r="R56" s="84" t="s">
        <v>10</v>
      </c>
    </row>
    <row r="57" spans="2:18" x14ac:dyDescent="0.2">
      <c r="B57" s="136"/>
      <c r="C57" s="83"/>
      <c r="D57" s="83">
        <v>50</v>
      </c>
      <c r="E57" s="84" t="s">
        <v>765</v>
      </c>
      <c r="F57" s="84" t="s">
        <v>25</v>
      </c>
      <c r="G57" s="83" t="s">
        <v>766</v>
      </c>
      <c r="H57" s="83" t="s">
        <v>9</v>
      </c>
      <c r="I57" s="83" t="s">
        <v>24</v>
      </c>
      <c r="J57" s="84"/>
      <c r="K57" s="85">
        <v>14610</v>
      </c>
      <c r="L57" s="83">
        <v>1939</v>
      </c>
      <c r="M57" s="83">
        <f t="shared" si="1"/>
        <v>80</v>
      </c>
      <c r="N57" s="83" t="s">
        <v>3</v>
      </c>
      <c r="O57" s="83"/>
      <c r="P57" s="84" t="s">
        <v>16</v>
      </c>
      <c r="Q57" s="83"/>
      <c r="R57" s="84" t="s">
        <v>109</v>
      </c>
    </row>
    <row r="58" spans="2:18" x14ac:dyDescent="0.2">
      <c r="B58" s="136"/>
      <c r="C58" s="83"/>
      <c r="D58" s="83">
        <v>51</v>
      </c>
      <c r="E58" s="84" t="s">
        <v>196</v>
      </c>
      <c r="F58" s="84" t="s">
        <v>25</v>
      </c>
      <c r="G58" s="83" t="s">
        <v>767</v>
      </c>
      <c r="H58" s="83" t="s">
        <v>1</v>
      </c>
      <c r="I58" s="83" t="s">
        <v>321</v>
      </c>
      <c r="J58" s="84"/>
      <c r="K58" s="85">
        <v>28490</v>
      </c>
      <c r="L58" s="83">
        <v>1977</v>
      </c>
      <c r="M58" s="83">
        <f t="shared" si="1"/>
        <v>42</v>
      </c>
      <c r="N58" s="83" t="s">
        <v>3</v>
      </c>
      <c r="O58" s="83"/>
      <c r="P58" s="84" t="s">
        <v>16</v>
      </c>
      <c r="Q58" s="83"/>
      <c r="R58" s="84" t="s">
        <v>10</v>
      </c>
    </row>
    <row r="59" spans="2:18" x14ac:dyDescent="0.2">
      <c r="B59" s="136"/>
      <c r="C59" s="83"/>
      <c r="D59" s="83">
        <v>52</v>
      </c>
      <c r="E59" s="84" t="s">
        <v>418</v>
      </c>
      <c r="F59" s="84" t="s">
        <v>25</v>
      </c>
      <c r="G59" s="83" t="s">
        <v>768</v>
      </c>
      <c r="H59" s="83" t="s">
        <v>1</v>
      </c>
      <c r="I59" s="83" t="s">
        <v>14</v>
      </c>
      <c r="J59" s="84"/>
      <c r="K59" s="85">
        <v>32391</v>
      </c>
      <c r="L59" s="83">
        <v>1988</v>
      </c>
      <c r="M59" s="83">
        <f t="shared" si="1"/>
        <v>31</v>
      </c>
      <c r="N59" s="83" t="s">
        <v>3</v>
      </c>
      <c r="O59" s="83"/>
      <c r="P59" s="84" t="s">
        <v>4</v>
      </c>
      <c r="Q59" s="83"/>
      <c r="R59" s="84" t="s">
        <v>31</v>
      </c>
    </row>
    <row r="60" spans="2:18" ht="25.5" x14ac:dyDescent="0.2">
      <c r="B60" s="136">
        <v>17</v>
      </c>
      <c r="C60" s="136" t="s">
        <v>1461</v>
      </c>
      <c r="D60" s="83">
        <v>53</v>
      </c>
      <c r="E60" s="84" t="s">
        <v>561</v>
      </c>
      <c r="F60" s="84" t="s">
        <v>6</v>
      </c>
      <c r="G60" s="83" t="s">
        <v>1463</v>
      </c>
      <c r="H60" s="83" t="s">
        <v>1</v>
      </c>
      <c r="I60" s="83" t="s">
        <v>2</v>
      </c>
      <c r="J60" s="84" t="s">
        <v>1136</v>
      </c>
      <c r="K60" s="85">
        <v>23924</v>
      </c>
      <c r="L60" s="83">
        <v>1965</v>
      </c>
      <c r="M60" s="83">
        <f t="shared" si="1"/>
        <v>54</v>
      </c>
      <c r="N60" s="83" t="s">
        <v>3</v>
      </c>
      <c r="O60" s="83" t="s">
        <v>1137</v>
      </c>
      <c r="P60" s="84" t="s">
        <v>1138</v>
      </c>
      <c r="Q60" s="83"/>
      <c r="R60" s="84" t="s">
        <v>1404</v>
      </c>
    </row>
    <row r="61" spans="2:18" ht="25.5" x14ac:dyDescent="0.2">
      <c r="B61" s="136"/>
      <c r="C61" s="136"/>
      <c r="D61" s="83">
        <v>54</v>
      </c>
      <c r="E61" s="84" t="s">
        <v>81</v>
      </c>
      <c r="F61" s="84" t="s">
        <v>11</v>
      </c>
      <c r="G61" s="83" t="s">
        <v>1464</v>
      </c>
      <c r="H61" s="83" t="s">
        <v>9</v>
      </c>
      <c r="I61" s="83" t="s">
        <v>2</v>
      </c>
      <c r="J61" s="84" t="s">
        <v>1136</v>
      </c>
      <c r="K61" s="85">
        <v>25020</v>
      </c>
      <c r="L61" s="83">
        <v>1968</v>
      </c>
      <c r="M61" s="83">
        <f t="shared" si="1"/>
        <v>51</v>
      </c>
      <c r="N61" s="83" t="s">
        <v>3</v>
      </c>
      <c r="O61" s="83" t="s">
        <v>1137</v>
      </c>
      <c r="P61" s="84" t="s">
        <v>1138</v>
      </c>
      <c r="Q61" s="83"/>
      <c r="R61" s="84" t="s">
        <v>1141</v>
      </c>
    </row>
    <row r="62" spans="2:18" ht="25.5" x14ac:dyDescent="0.2">
      <c r="B62" s="136"/>
      <c r="C62" s="136"/>
      <c r="D62" s="83">
        <v>55</v>
      </c>
      <c r="E62" s="84" t="s">
        <v>1462</v>
      </c>
      <c r="F62" s="84" t="s">
        <v>25</v>
      </c>
      <c r="G62" s="83" t="s">
        <v>1465</v>
      </c>
      <c r="H62" s="83" t="s">
        <v>9</v>
      </c>
      <c r="I62" s="83" t="s">
        <v>1161</v>
      </c>
      <c r="J62" s="84" t="s">
        <v>1156</v>
      </c>
      <c r="K62" s="85">
        <v>14610</v>
      </c>
      <c r="L62" s="83">
        <v>1939</v>
      </c>
      <c r="M62" s="83">
        <f t="shared" si="1"/>
        <v>80</v>
      </c>
      <c r="N62" s="83" t="s">
        <v>3</v>
      </c>
      <c r="O62" s="83" t="s">
        <v>1137</v>
      </c>
      <c r="P62" s="84" t="s">
        <v>1139</v>
      </c>
      <c r="Q62" s="83"/>
      <c r="R62" s="84" t="s">
        <v>1448</v>
      </c>
    </row>
    <row r="63" spans="2:18" x14ac:dyDescent="0.2">
      <c r="B63" s="136">
        <v>18</v>
      </c>
      <c r="C63" s="83"/>
      <c r="D63" s="83">
        <v>56</v>
      </c>
      <c r="E63" s="84" t="s">
        <v>771</v>
      </c>
      <c r="F63" s="84" t="s">
        <v>6</v>
      </c>
      <c r="G63" s="83" t="s">
        <v>772</v>
      </c>
      <c r="H63" s="83" t="s">
        <v>1</v>
      </c>
      <c r="I63" s="83" t="s">
        <v>2</v>
      </c>
      <c r="J63" s="84"/>
      <c r="K63" s="85">
        <v>22098</v>
      </c>
      <c r="L63" s="83">
        <v>1960</v>
      </c>
      <c r="M63" s="83">
        <f t="shared" si="1"/>
        <v>59</v>
      </c>
      <c r="N63" s="83" t="s">
        <v>3</v>
      </c>
      <c r="O63" s="83"/>
      <c r="P63" s="84" t="s">
        <v>16</v>
      </c>
      <c r="Q63" s="83"/>
      <c r="R63" s="84" t="s">
        <v>109</v>
      </c>
    </row>
    <row r="64" spans="2:18" x14ac:dyDescent="0.2">
      <c r="B64" s="136"/>
      <c r="C64" s="83"/>
      <c r="D64" s="83">
        <v>57</v>
      </c>
      <c r="E64" s="84" t="s">
        <v>773</v>
      </c>
      <c r="F64" s="84" t="s">
        <v>11</v>
      </c>
      <c r="G64" s="83" t="s">
        <v>774</v>
      </c>
      <c r="H64" s="83" t="s">
        <v>9</v>
      </c>
      <c r="I64" s="83" t="s">
        <v>2</v>
      </c>
      <c r="J64" s="84"/>
      <c r="K64" s="85">
        <v>26481</v>
      </c>
      <c r="L64" s="83">
        <v>1972</v>
      </c>
      <c r="M64" s="83">
        <f t="shared" si="1"/>
        <v>47</v>
      </c>
      <c r="N64" s="83" t="s">
        <v>3</v>
      </c>
      <c r="O64" s="83"/>
      <c r="P64" s="84" t="s">
        <v>54</v>
      </c>
      <c r="Q64" s="83"/>
      <c r="R64" s="84" t="s">
        <v>109</v>
      </c>
    </row>
    <row r="65" spans="2:18" ht="25.5" x14ac:dyDescent="0.2">
      <c r="B65" s="136">
        <v>19</v>
      </c>
      <c r="C65" s="136" t="s">
        <v>1405</v>
      </c>
      <c r="D65" s="83">
        <v>58</v>
      </c>
      <c r="E65" s="84" t="s">
        <v>775</v>
      </c>
      <c r="F65" s="84" t="s">
        <v>6</v>
      </c>
      <c r="G65" s="83" t="s">
        <v>776</v>
      </c>
      <c r="H65" s="83" t="s">
        <v>1</v>
      </c>
      <c r="I65" s="83" t="s">
        <v>2</v>
      </c>
      <c r="J65" s="84" t="s">
        <v>1148</v>
      </c>
      <c r="K65" s="85">
        <v>31180</v>
      </c>
      <c r="L65" s="83">
        <v>1985</v>
      </c>
      <c r="M65" s="83">
        <f t="shared" si="1"/>
        <v>34</v>
      </c>
      <c r="N65" s="83" t="s">
        <v>3</v>
      </c>
      <c r="O65" s="83"/>
      <c r="P65" s="84" t="s">
        <v>1138</v>
      </c>
      <c r="Q65" s="83"/>
      <c r="R65" s="84" t="s">
        <v>1174</v>
      </c>
    </row>
    <row r="66" spans="2:18" ht="25.5" x14ac:dyDescent="0.2">
      <c r="B66" s="136"/>
      <c r="C66" s="136"/>
      <c r="D66" s="83">
        <v>59</v>
      </c>
      <c r="E66" s="84" t="s">
        <v>505</v>
      </c>
      <c r="F66" s="84" t="s">
        <v>11</v>
      </c>
      <c r="G66" s="83" t="s">
        <v>777</v>
      </c>
      <c r="H66" s="83" t="s">
        <v>9</v>
      </c>
      <c r="I66" s="83" t="s">
        <v>2</v>
      </c>
      <c r="J66" s="84" t="s">
        <v>1148</v>
      </c>
      <c r="K66" s="85">
        <v>30908</v>
      </c>
      <c r="L66" s="83">
        <v>1984</v>
      </c>
      <c r="M66" s="83">
        <f t="shared" si="1"/>
        <v>35</v>
      </c>
      <c r="N66" s="83" t="s">
        <v>3</v>
      </c>
      <c r="O66" s="83"/>
      <c r="P66" s="84" t="s">
        <v>1138</v>
      </c>
      <c r="Q66" s="83"/>
      <c r="R66" s="84" t="s">
        <v>1141</v>
      </c>
    </row>
    <row r="67" spans="2:18" ht="25.5" x14ac:dyDescent="0.2">
      <c r="B67" s="136"/>
      <c r="C67" s="136"/>
      <c r="D67" s="83">
        <v>60</v>
      </c>
      <c r="E67" s="84" t="s">
        <v>778</v>
      </c>
      <c r="F67" s="84" t="s">
        <v>17</v>
      </c>
      <c r="G67" s="83" t="s">
        <v>779</v>
      </c>
      <c r="H67" s="83" t="s">
        <v>1</v>
      </c>
      <c r="I67" s="83" t="s">
        <v>14</v>
      </c>
      <c r="J67" s="84" t="s">
        <v>1148</v>
      </c>
      <c r="K67" s="85">
        <v>37783</v>
      </c>
      <c r="L67" s="83">
        <v>2003</v>
      </c>
      <c r="M67" s="83">
        <f t="shared" si="1"/>
        <v>16</v>
      </c>
      <c r="N67" s="83" t="s">
        <v>3</v>
      </c>
      <c r="O67" s="83"/>
      <c r="P67" s="84" t="s">
        <v>1178</v>
      </c>
      <c r="Q67" s="83"/>
      <c r="R67" s="84" t="s">
        <v>1160</v>
      </c>
    </row>
    <row r="68" spans="2:18" ht="25.5" x14ac:dyDescent="0.2">
      <c r="B68" s="136"/>
      <c r="C68" s="136"/>
      <c r="D68" s="83">
        <v>61</v>
      </c>
      <c r="E68" s="84" t="s">
        <v>780</v>
      </c>
      <c r="F68" s="84" t="s">
        <v>17</v>
      </c>
      <c r="G68" s="83" t="s">
        <v>781</v>
      </c>
      <c r="H68" s="83" t="s">
        <v>9</v>
      </c>
      <c r="I68" s="83" t="s">
        <v>14</v>
      </c>
      <c r="J68" s="84" t="s">
        <v>1148</v>
      </c>
      <c r="K68" s="85">
        <v>41714</v>
      </c>
      <c r="L68" s="83">
        <v>2014</v>
      </c>
      <c r="M68" s="83">
        <f t="shared" si="1"/>
        <v>5</v>
      </c>
      <c r="N68" s="83" t="s">
        <v>3</v>
      </c>
      <c r="O68" s="83"/>
      <c r="P68" s="84" t="s">
        <v>1139</v>
      </c>
      <c r="Q68" s="83"/>
      <c r="R68" s="84" t="s">
        <v>1140</v>
      </c>
    </row>
    <row r="69" spans="2:18" x14ac:dyDescent="0.2">
      <c r="B69" s="136">
        <v>20</v>
      </c>
      <c r="C69" s="83"/>
      <c r="D69" s="83">
        <v>62</v>
      </c>
      <c r="E69" s="84" t="s">
        <v>782</v>
      </c>
      <c r="F69" s="84" t="s">
        <v>6</v>
      </c>
      <c r="G69" s="83" t="s">
        <v>783</v>
      </c>
      <c r="H69" s="83" t="s">
        <v>1</v>
      </c>
      <c r="I69" s="83" t="s">
        <v>2</v>
      </c>
      <c r="J69" s="84"/>
      <c r="K69" s="85">
        <v>24910</v>
      </c>
      <c r="L69" s="83">
        <v>1968</v>
      </c>
      <c r="M69" s="83">
        <f t="shared" si="1"/>
        <v>51</v>
      </c>
      <c r="N69" s="83" t="s">
        <v>3</v>
      </c>
      <c r="O69" s="83"/>
      <c r="P69" s="84" t="s">
        <v>15</v>
      </c>
      <c r="Q69" s="83"/>
      <c r="R69" s="84" t="s">
        <v>10</v>
      </c>
    </row>
    <row r="70" spans="2:18" x14ac:dyDescent="0.2">
      <c r="B70" s="136"/>
      <c r="C70" s="83"/>
      <c r="D70" s="83">
        <v>63</v>
      </c>
      <c r="E70" s="84" t="s">
        <v>276</v>
      </c>
      <c r="F70" s="84" t="s">
        <v>11</v>
      </c>
      <c r="G70" s="83" t="s">
        <v>784</v>
      </c>
      <c r="H70" s="83" t="s">
        <v>9</v>
      </c>
      <c r="I70" s="83" t="s">
        <v>2</v>
      </c>
      <c r="J70" s="84"/>
      <c r="K70" s="85">
        <v>26348</v>
      </c>
      <c r="L70" s="83">
        <v>1972</v>
      </c>
      <c r="M70" s="83">
        <f t="shared" si="1"/>
        <v>47</v>
      </c>
      <c r="N70" s="83" t="s">
        <v>3</v>
      </c>
      <c r="O70" s="83"/>
      <c r="P70" s="84" t="s">
        <v>54</v>
      </c>
      <c r="Q70" s="83"/>
      <c r="R70" s="84" t="s">
        <v>123</v>
      </c>
    </row>
    <row r="71" spans="2:18" x14ac:dyDescent="0.2">
      <c r="B71" s="136"/>
      <c r="C71" s="83"/>
      <c r="D71" s="83">
        <v>64</v>
      </c>
      <c r="E71" s="84" t="s">
        <v>785</v>
      </c>
      <c r="F71" s="84" t="s">
        <v>17</v>
      </c>
      <c r="G71" s="83" t="s">
        <v>786</v>
      </c>
      <c r="H71" s="83" t="s">
        <v>9</v>
      </c>
      <c r="I71" s="83" t="s">
        <v>14</v>
      </c>
      <c r="J71" s="84"/>
      <c r="K71" s="85">
        <v>35063</v>
      </c>
      <c r="L71" s="83">
        <v>1995</v>
      </c>
      <c r="M71" s="83">
        <f t="shared" si="1"/>
        <v>24</v>
      </c>
      <c r="N71" s="83" t="s">
        <v>3</v>
      </c>
      <c r="O71" s="83"/>
      <c r="P71" s="84" t="s">
        <v>15</v>
      </c>
      <c r="Q71" s="83"/>
      <c r="R71" s="84" t="s">
        <v>16</v>
      </c>
    </row>
    <row r="72" spans="2:18" ht="25.5" x14ac:dyDescent="0.2">
      <c r="B72" s="102">
        <v>21</v>
      </c>
      <c r="C72" s="83"/>
      <c r="D72" s="83">
        <v>65</v>
      </c>
      <c r="E72" s="84" t="s">
        <v>787</v>
      </c>
      <c r="F72" s="84" t="s">
        <v>6</v>
      </c>
      <c r="G72" s="83" t="s">
        <v>788</v>
      </c>
      <c r="H72" s="83" t="s">
        <v>1</v>
      </c>
      <c r="I72" s="83" t="s">
        <v>2</v>
      </c>
      <c r="J72" s="84"/>
      <c r="K72" s="85">
        <v>15523</v>
      </c>
      <c r="L72" s="83">
        <v>1942</v>
      </c>
      <c r="M72" s="83">
        <f t="shared" si="1"/>
        <v>77</v>
      </c>
      <c r="N72" s="83" t="s">
        <v>3</v>
      </c>
      <c r="O72" s="83"/>
      <c r="P72" s="84" t="s">
        <v>54</v>
      </c>
      <c r="Q72" s="83"/>
      <c r="R72" s="84" t="s">
        <v>109</v>
      </c>
    </row>
    <row r="73" spans="2:18" x14ac:dyDescent="0.2">
      <c r="B73" s="103"/>
      <c r="C73" s="83"/>
      <c r="D73" s="83">
        <v>66</v>
      </c>
      <c r="E73" s="84" t="s">
        <v>789</v>
      </c>
      <c r="F73" s="84" t="s">
        <v>11</v>
      </c>
      <c r="G73" s="83">
        <v>0</v>
      </c>
      <c r="H73" s="83" t="s">
        <v>9</v>
      </c>
      <c r="I73" s="83" t="s">
        <v>2</v>
      </c>
      <c r="J73" s="84"/>
      <c r="K73" s="85">
        <v>14976</v>
      </c>
      <c r="L73" s="83">
        <v>1940</v>
      </c>
      <c r="M73" s="83">
        <f t="shared" si="1"/>
        <v>79</v>
      </c>
      <c r="N73" s="83" t="s">
        <v>3</v>
      </c>
      <c r="O73" s="83"/>
      <c r="P73" s="84" t="s">
        <v>54</v>
      </c>
      <c r="Q73" s="83"/>
      <c r="R73" s="84" t="s">
        <v>16</v>
      </c>
    </row>
    <row r="74" spans="2:18" ht="25.5" x14ac:dyDescent="0.2">
      <c r="B74" s="138">
        <v>22</v>
      </c>
      <c r="C74" s="138" t="s">
        <v>1431</v>
      </c>
      <c r="D74" s="83">
        <v>67</v>
      </c>
      <c r="E74" s="84" t="s">
        <v>1432</v>
      </c>
      <c r="F74" s="84" t="s">
        <v>6</v>
      </c>
      <c r="G74" s="83" t="s">
        <v>1435</v>
      </c>
      <c r="H74" s="83" t="s">
        <v>1</v>
      </c>
      <c r="I74" s="83" t="s">
        <v>2</v>
      </c>
      <c r="J74" s="84" t="s">
        <v>1136</v>
      </c>
      <c r="K74" s="85">
        <v>26846</v>
      </c>
      <c r="L74" s="83">
        <v>1973</v>
      </c>
      <c r="M74" s="83">
        <f t="shared" si="1"/>
        <v>46</v>
      </c>
      <c r="N74" s="83" t="s">
        <v>3</v>
      </c>
      <c r="O74" s="83" t="s">
        <v>1137</v>
      </c>
      <c r="P74" s="84" t="s">
        <v>1172</v>
      </c>
      <c r="Q74" s="83"/>
      <c r="R74" s="84" t="s">
        <v>1404</v>
      </c>
    </row>
    <row r="75" spans="2:18" ht="25.5" x14ac:dyDescent="0.2">
      <c r="B75" s="138"/>
      <c r="C75" s="138"/>
      <c r="D75" s="83">
        <v>68</v>
      </c>
      <c r="E75" s="84" t="s">
        <v>790</v>
      </c>
      <c r="F75" s="84" t="s">
        <v>11</v>
      </c>
      <c r="G75" s="83" t="s">
        <v>1436</v>
      </c>
      <c r="H75" s="83" t="s">
        <v>9</v>
      </c>
      <c r="I75" s="83" t="s">
        <v>2</v>
      </c>
      <c r="J75" s="84" t="s">
        <v>1441</v>
      </c>
      <c r="K75" s="85">
        <v>25788</v>
      </c>
      <c r="L75" s="83">
        <v>1970</v>
      </c>
      <c r="M75" s="83">
        <f t="shared" si="1"/>
        <v>49</v>
      </c>
      <c r="N75" s="83" t="s">
        <v>3</v>
      </c>
      <c r="O75" s="83" t="s">
        <v>1137</v>
      </c>
      <c r="P75" s="84" t="s">
        <v>1172</v>
      </c>
      <c r="Q75" s="83"/>
      <c r="R75" s="84" t="s">
        <v>1404</v>
      </c>
    </row>
    <row r="76" spans="2:18" ht="25.5" x14ac:dyDescent="0.2">
      <c r="B76" s="138"/>
      <c r="C76" s="138"/>
      <c r="D76" s="83">
        <v>69</v>
      </c>
      <c r="E76" s="84" t="s">
        <v>1433</v>
      </c>
      <c r="F76" s="84" t="s">
        <v>17</v>
      </c>
      <c r="G76" s="83" t="s">
        <v>1437</v>
      </c>
      <c r="H76" s="83" t="s">
        <v>1</v>
      </c>
      <c r="I76" s="83" t="s">
        <v>14</v>
      </c>
      <c r="J76" s="84" t="s">
        <v>1148</v>
      </c>
      <c r="K76" s="85">
        <v>36285</v>
      </c>
      <c r="L76" s="83">
        <v>1999</v>
      </c>
      <c r="M76" s="83">
        <f t="shared" si="1"/>
        <v>20</v>
      </c>
      <c r="N76" s="83" t="s">
        <v>3</v>
      </c>
      <c r="O76" s="83" t="s">
        <v>1137</v>
      </c>
      <c r="P76" s="84" t="s">
        <v>1159</v>
      </c>
      <c r="Q76" s="83"/>
      <c r="R76" s="84" t="s">
        <v>1160</v>
      </c>
    </row>
    <row r="77" spans="2:18" ht="25.5" x14ac:dyDescent="0.2">
      <c r="B77" s="138"/>
      <c r="C77" s="138"/>
      <c r="D77" s="83">
        <v>70</v>
      </c>
      <c r="E77" s="84" t="s">
        <v>791</v>
      </c>
      <c r="F77" s="84" t="s">
        <v>17</v>
      </c>
      <c r="G77" s="83" t="s">
        <v>1438</v>
      </c>
      <c r="H77" s="83" t="s">
        <v>9</v>
      </c>
      <c r="I77" s="83" t="s">
        <v>14</v>
      </c>
      <c r="J77" s="84" t="s">
        <v>1148</v>
      </c>
      <c r="K77" s="85">
        <v>36702</v>
      </c>
      <c r="L77" s="83">
        <v>2000</v>
      </c>
      <c r="M77" s="83">
        <f t="shared" si="1"/>
        <v>19</v>
      </c>
      <c r="N77" s="83" t="s">
        <v>3</v>
      </c>
      <c r="O77" s="83" t="s">
        <v>1137</v>
      </c>
      <c r="P77" s="84" t="s">
        <v>1138</v>
      </c>
      <c r="Q77" s="83"/>
      <c r="R77" s="84" t="s">
        <v>1160</v>
      </c>
    </row>
    <row r="78" spans="2:18" ht="25.5" x14ac:dyDescent="0.2">
      <c r="B78" s="138"/>
      <c r="C78" s="138"/>
      <c r="D78" s="83">
        <v>71</v>
      </c>
      <c r="E78" s="84" t="s">
        <v>1434</v>
      </c>
      <c r="F78" s="84" t="s">
        <v>17</v>
      </c>
      <c r="G78" s="83" t="s">
        <v>1439</v>
      </c>
      <c r="H78" s="83" t="s">
        <v>1</v>
      </c>
      <c r="I78" s="83" t="s">
        <v>14</v>
      </c>
      <c r="J78" s="84" t="s">
        <v>1148</v>
      </c>
      <c r="K78" s="85">
        <v>40170</v>
      </c>
      <c r="L78" s="83">
        <v>2009</v>
      </c>
      <c r="M78" s="83">
        <f t="shared" si="1"/>
        <v>10</v>
      </c>
      <c r="N78" s="83" t="s">
        <v>3</v>
      </c>
      <c r="O78" s="83" t="s">
        <v>1137</v>
      </c>
      <c r="P78" s="84" t="s">
        <v>1139</v>
      </c>
      <c r="Q78" s="83"/>
      <c r="R78" s="84" t="s">
        <v>1140</v>
      </c>
    </row>
    <row r="79" spans="2:18" ht="25.5" x14ac:dyDescent="0.2">
      <c r="B79" s="139"/>
      <c r="C79" s="139"/>
      <c r="D79" s="83">
        <v>72</v>
      </c>
      <c r="E79" s="84" t="s">
        <v>793</v>
      </c>
      <c r="F79" s="84" t="s">
        <v>17</v>
      </c>
      <c r="G79" s="83" t="s">
        <v>1440</v>
      </c>
      <c r="H79" s="83" t="s">
        <v>9</v>
      </c>
      <c r="I79" s="83" t="s">
        <v>14</v>
      </c>
      <c r="J79" s="84" t="s">
        <v>1148</v>
      </c>
      <c r="K79" s="85">
        <v>41068</v>
      </c>
      <c r="L79" s="83">
        <v>2012</v>
      </c>
      <c r="M79" s="83">
        <f t="shared" si="1"/>
        <v>7</v>
      </c>
      <c r="N79" s="83" t="s">
        <v>3</v>
      </c>
      <c r="O79" s="83" t="s">
        <v>1137</v>
      </c>
      <c r="P79" s="84" t="s">
        <v>1139</v>
      </c>
      <c r="Q79" s="83"/>
      <c r="R79" s="84" t="s">
        <v>1140</v>
      </c>
    </row>
    <row r="80" spans="2:18" ht="25.5" x14ac:dyDescent="0.2">
      <c r="B80" s="136">
        <v>23</v>
      </c>
      <c r="C80" s="136" t="s">
        <v>1584</v>
      </c>
      <c r="D80" s="83">
        <v>73</v>
      </c>
      <c r="E80" s="84" t="s">
        <v>794</v>
      </c>
      <c r="F80" s="84" t="s">
        <v>6</v>
      </c>
      <c r="G80" s="83" t="s">
        <v>795</v>
      </c>
      <c r="H80" s="83" t="s">
        <v>1</v>
      </c>
      <c r="I80" s="83" t="s">
        <v>2</v>
      </c>
      <c r="J80" s="84" t="s">
        <v>1156</v>
      </c>
      <c r="K80" s="85">
        <v>27738</v>
      </c>
      <c r="L80" s="83">
        <v>1975</v>
      </c>
      <c r="M80" s="83">
        <f t="shared" si="1"/>
        <v>44</v>
      </c>
      <c r="N80" s="83" t="s">
        <v>3</v>
      </c>
      <c r="O80" s="83" t="s">
        <v>1137</v>
      </c>
      <c r="P80" s="84" t="s">
        <v>1138</v>
      </c>
      <c r="Q80" s="83"/>
      <c r="R80" s="84" t="s">
        <v>1415</v>
      </c>
    </row>
    <row r="81" spans="2:18" ht="25.5" x14ac:dyDescent="0.2">
      <c r="B81" s="136"/>
      <c r="C81" s="136"/>
      <c r="D81" s="83">
        <v>74</v>
      </c>
      <c r="E81" s="84" t="s">
        <v>796</v>
      </c>
      <c r="F81" s="84" t="s">
        <v>11</v>
      </c>
      <c r="G81" s="83" t="s">
        <v>797</v>
      </c>
      <c r="H81" s="83" t="s">
        <v>9</v>
      </c>
      <c r="I81" s="83" t="s">
        <v>2</v>
      </c>
      <c r="J81" s="84" t="s">
        <v>1156</v>
      </c>
      <c r="K81" s="85">
        <v>28855</v>
      </c>
      <c r="L81" s="83">
        <v>1978</v>
      </c>
      <c r="M81" s="83">
        <f t="shared" si="1"/>
        <v>41</v>
      </c>
      <c r="N81" s="83" t="s">
        <v>3</v>
      </c>
      <c r="O81" s="83" t="s">
        <v>1137</v>
      </c>
      <c r="P81" s="84" t="s">
        <v>1138</v>
      </c>
      <c r="Q81" s="83"/>
      <c r="R81" s="84" t="s">
        <v>1415</v>
      </c>
    </row>
    <row r="82" spans="2:18" ht="25.5" x14ac:dyDescent="0.2">
      <c r="B82" s="136"/>
      <c r="C82" s="136"/>
      <c r="D82" s="83">
        <v>75</v>
      </c>
      <c r="E82" s="84" t="s">
        <v>798</v>
      </c>
      <c r="F82" s="84" t="s">
        <v>17</v>
      </c>
      <c r="G82" s="83" t="s">
        <v>799</v>
      </c>
      <c r="H82" s="83" t="s">
        <v>9</v>
      </c>
      <c r="I82" s="83" t="s">
        <v>14</v>
      </c>
      <c r="J82" s="84" t="s">
        <v>1156</v>
      </c>
      <c r="K82" s="85">
        <v>39575</v>
      </c>
      <c r="L82" s="83">
        <v>2008</v>
      </c>
      <c r="M82" s="83">
        <f t="shared" ref="M82:M113" si="2">2019-L82</f>
        <v>11</v>
      </c>
      <c r="N82" s="83" t="s">
        <v>3</v>
      </c>
      <c r="O82" s="83" t="s">
        <v>1137</v>
      </c>
      <c r="P82" s="84" t="s">
        <v>1178</v>
      </c>
      <c r="Q82" s="83"/>
      <c r="R82" s="84" t="s">
        <v>1160</v>
      </c>
    </row>
    <row r="83" spans="2:18" ht="25.5" x14ac:dyDescent="0.2">
      <c r="B83" s="136"/>
      <c r="C83" s="136"/>
      <c r="D83" s="83">
        <v>76</v>
      </c>
      <c r="E83" s="84" t="s">
        <v>1583</v>
      </c>
      <c r="F83" s="84" t="s">
        <v>17</v>
      </c>
      <c r="G83" s="83" t="s">
        <v>1585</v>
      </c>
      <c r="H83" s="83" t="s">
        <v>1</v>
      </c>
      <c r="I83" s="83" t="s">
        <v>14</v>
      </c>
      <c r="J83" s="84" t="s">
        <v>1148</v>
      </c>
      <c r="K83" s="85">
        <v>38939</v>
      </c>
      <c r="L83" s="83">
        <v>2006</v>
      </c>
      <c r="M83" s="83">
        <f t="shared" si="2"/>
        <v>13</v>
      </c>
      <c r="N83" s="83" t="s">
        <v>3</v>
      </c>
      <c r="O83" s="83" t="s">
        <v>1137</v>
      </c>
      <c r="P83" s="84" t="s">
        <v>1178</v>
      </c>
      <c r="Q83" s="83"/>
      <c r="R83" s="84" t="s">
        <v>1160</v>
      </c>
    </row>
    <row r="84" spans="2:18" ht="25.5" x14ac:dyDescent="0.2">
      <c r="B84" s="136">
        <v>24</v>
      </c>
      <c r="C84" s="136" t="s">
        <v>1591</v>
      </c>
      <c r="D84" s="83">
        <v>77</v>
      </c>
      <c r="E84" s="84" t="s">
        <v>800</v>
      </c>
      <c r="F84" s="84" t="s">
        <v>6</v>
      </c>
      <c r="G84" s="83" t="s">
        <v>801</v>
      </c>
      <c r="H84" s="83" t="s">
        <v>9</v>
      </c>
      <c r="I84" s="83" t="s">
        <v>1155</v>
      </c>
      <c r="J84" s="84" t="s">
        <v>1136</v>
      </c>
      <c r="K84" s="85">
        <v>20271</v>
      </c>
      <c r="L84" s="83">
        <v>1955</v>
      </c>
      <c r="M84" s="83">
        <f t="shared" si="2"/>
        <v>64</v>
      </c>
      <c r="N84" s="83" t="s">
        <v>3</v>
      </c>
      <c r="O84" s="83" t="s">
        <v>1137</v>
      </c>
      <c r="P84" s="84" t="s">
        <v>1138</v>
      </c>
      <c r="Q84" s="83"/>
      <c r="R84" s="84" t="s">
        <v>1174</v>
      </c>
    </row>
    <row r="85" spans="2:18" ht="25.5" x14ac:dyDescent="0.2">
      <c r="B85" s="136"/>
      <c r="C85" s="136"/>
      <c r="D85" s="83">
        <v>78</v>
      </c>
      <c r="E85" s="84" t="s">
        <v>1592</v>
      </c>
      <c r="F85" s="84" t="s">
        <v>1322</v>
      </c>
      <c r="G85" s="83" t="s">
        <v>1593</v>
      </c>
      <c r="H85" s="83" t="s">
        <v>1</v>
      </c>
      <c r="I85" s="83" t="s">
        <v>14</v>
      </c>
      <c r="J85" s="84" t="s">
        <v>1136</v>
      </c>
      <c r="K85" s="85">
        <v>36161</v>
      </c>
      <c r="L85" s="83">
        <v>1999</v>
      </c>
      <c r="M85" s="83">
        <f t="shared" si="2"/>
        <v>20</v>
      </c>
      <c r="N85" s="83" t="s">
        <v>3</v>
      </c>
      <c r="O85" s="83" t="s">
        <v>1137</v>
      </c>
      <c r="P85" s="84" t="s">
        <v>1138</v>
      </c>
      <c r="Q85" s="83"/>
      <c r="R85" s="84" t="s">
        <v>1448</v>
      </c>
    </row>
    <row r="86" spans="2:18" ht="25.5" x14ac:dyDescent="0.2">
      <c r="B86" s="136">
        <v>25</v>
      </c>
      <c r="C86" s="136" t="s">
        <v>1618</v>
      </c>
      <c r="D86" s="83">
        <v>79</v>
      </c>
      <c r="E86" s="84" t="s">
        <v>647</v>
      </c>
      <c r="F86" s="84" t="s">
        <v>6</v>
      </c>
      <c r="G86" s="83" t="s">
        <v>1619</v>
      </c>
      <c r="H86" s="83" t="s">
        <v>9</v>
      </c>
      <c r="I86" s="83" t="s">
        <v>24</v>
      </c>
      <c r="J86" s="84" t="s">
        <v>1156</v>
      </c>
      <c r="K86" s="85">
        <v>25933</v>
      </c>
      <c r="L86" s="83">
        <v>1970</v>
      </c>
      <c r="M86" s="83">
        <f t="shared" si="2"/>
        <v>49</v>
      </c>
      <c r="N86" s="83" t="s">
        <v>3</v>
      </c>
      <c r="O86" s="83" t="s">
        <v>1137</v>
      </c>
      <c r="P86" s="84" t="s">
        <v>1138</v>
      </c>
      <c r="Q86" s="83"/>
      <c r="R86" s="84" t="s">
        <v>1415</v>
      </c>
    </row>
    <row r="87" spans="2:18" ht="25.5" x14ac:dyDescent="0.2">
      <c r="B87" s="136"/>
      <c r="C87" s="136"/>
      <c r="D87" s="83">
        <v>80</v>
      </c>
      <c r="E87" s="84" t="s">
        <v>1617</v>
      </c>
      <c r="F87" s="84" t="s">
        <v>17</v>
      </c>
      <c r="G87" s="83" t="s">
        <v>1620</v>
      </c>
      <c r="H87" s="83" t="s">
        <v>1</v>
      </c>
      <c r="I87" s="83" t="s">
        <v>14</v>
      </c>
      <c r="J87" s="84" t="s">
        <v>1156</v>
      </c>
      <c r="K87" s="85">
        <v>32914</v>
      </c>
      <c r="L87" s="83">
        <v>1990</v>
      </c>
      <c r="M87" s="83">
        <f t="shared" si="2"/>
        <v>29</v>
      </c>
      <c r="N87" s="83" t="s">
        <v>3</v>
      </c>
      <c r="O87" s="83" t="s">
        <v>1137</v>
      </c>
      <c r="P87" s="84" t="s">
        <v>1138</v>
      </c>
      <c r="Q87" s="83"/>
      <c r="R87" s="84" t="s">
        <v>1415</v>
      </c>
    </row>
    <row r="88" spans="2:18" ht="25.5" x14ac:dyDescent="0.2">
      <c r="B88" s="136">
        <v>26</v>
      </c>
      <c r="C88" s="136" t="s">
        <v>1606</v>
      </c>
      <c r="D88" s="83">
        <v>81</v>
      </c>
      <c r="E88" s="84" t="s">
        <v>804</v>
      </c>
      <c r="F88" s="84" t="s">
        <v>6</v>
      </c>
      <c r="G88" s="83" t="s">
        <v>805</v>
      </c>
      <c r="H88" s="83" t="s">
        <v>1</v>
      </c>
      <c r="I88" s="83" t="s">
        <v>2</v>
      </c>
      <c r="J88" s="84" t="s">
        <v>1607</v>
      </c>
      <c r="K88" s="85">
        <v>26486</v>
      </c>
      <c r="L88" s="83">
        <v>1972</v>
      </c>
      <c r="M88" s="83">
        <f t="shared" si="2"/>
        <v>47</v>
      </c>
      <c r="N88" s="83" t="s">
        <v>3</v>
      </c>
      <c r="O88" s="83" t="s">
        <v>1137</v>
      </c>
      <c r="P88" s="84" t="s">
        <v>1138</v>
      </c>
      <c r="Q88" s="83"/>
      <c r="R88" s="84" t="s">
        <v>1229</v>
      </c>
    </row>
    <row r="89" spans="2:18" ht="25.5" x14ac:dyDescent="0.2">
      <c r="B89" s="136"/>
      <c r="C89" s="136"/>
      <c r="D89" s="83">
        <v>82</v>
      </c>
      <c r="E89" s="84" t="s">
        <v>1604</v>
      </c>
      <c r="F89" s="84" t="s">
        <v>11</v>
      </c>
      <c r="G89" s="83" t="s">
        <v>806</v>
      </c>
      <c r="H89" s="83" t="s">
        <v>9</v>
      </c>
      <c r="I89" s="83" t="s">
        <v>2</v>
      </c>
      <c r="J89" s="84" t="s">
        <v>1136</v>
      </c>
      <c r="K89" s="85">
        <v>27211</v>
      </c>
      <c r="L89" s="83">
        <v>1974</v>
      </c>
      <c r="M89" s="83">
        <f t="shared" si="2"/>
        <v>45</v>
      </c>
      <c r="N89" s="83" t="s">
        <v>3</v>
      </c>
      <c r="O89" s="83" t="s">
        <v>1137</v>
      </c>
      <c r="P89" s="84" t="s">
        <v>1172</v>
      </c>
      <c r="Q89" s="83"/>
      <c r="R89" s="84" t="s">
        <v>1141</v>
      </c>
    </row>
    <row r="90" spans="2:18" ht="25.5" x14ac:dyDescent="0.2">
      <c r="B90" s="136"/>
      <c r="C90" s="136"/>
      <c r="D90" s="83">
        <v>83</v>
      </c>
      <c r="E90" s="84" t="s">
        <v>807</v>
      </c>
      <c r="F90" s="84" t="s">
        <v>17</v>
      </c>
      <c r="G90" s="83" t="s">
        <v>808</v>
      </c>
      <c r="H90" s="83" t="s">
        <v>9</v>
      </c>
      <c r="I90" s="83" t="s">
        <v>14</v>
      </c>
      <c r="J90" s="84" t="s">
        <v>1136</v>
      </c>
      <c r="K90" s="85">
        <v>34931</v>
      </c>
      <c r="L90" s="83">
        <v>1995</v>
      </c>
      <c r="M90" s="83">
        <f t="shared" si="2"/>
        <v>24</v>
      </c>
      <c r="N90" s="83" t="s">
        <v>3</v>
      </c>
      <c r="O90" s="83" t="s">
        <v>1137</v>
      </c>
      <c r="P90" s="84" t="s">
        <v>1159</v>
      </c>
      <c r="Q90" s="83"/>
      <c r="R90" s="84" t="s">
        <v>1160</v>
      </c>
    </row>
    <row r="91" spans="2:18" ht="25.5" x14ac:dyDescent="0.2">
      <c r="B91" s="136"/>
      <c r="C91" s="136"/>
      <c r="D91" s="83">
        <v>84</v>
      </c>
      <c r="E91" s="84" t="s">
        <v>809</v>
      </c>
      <c r="F91" s="84" t="s">
        <v>17</v>
      </c>
      <c r="G91" s="83" t="s">
        <v>810</v>
      </c>
      <c r="H91" s="83" t="s">
        <v>1</v>
      </c>
      <c r="I91" s="83" t="s">
        <v>14</v>
      </c>
      <c r="J91" s="84" t="s">
        <v>1136</v>
      </c>
      <c r="K91" s="85">
        <v>36336</v>
      </c>
      <c r="L91" s="83">
        <v>1999</v>
      </c>
      <c r="M91" s="83">
        <f t="shared" si="2"/>
        <v>20</v>
      </c>
      <c r="N91" s="83" t="s">
        <v>3</v>
      </c>
      <c r="O91" s="83" t="s">
        <v>1137</v>
      </c>
      <c r="P91" s="84" t="s">
        <v>1172</v>
      </c>
      <c r="Q91" s="83"/>
      <c r="R91" s="84" t="s">
        <v>1160</v>
      </c>
    </row>
    <row r="92" spans="2:18" ht="25.5" x14ac:dyDescent="0.2">
      <c r="B92" s="136"/>
      <c r="C92" s="136"/>
      <c r="D92" s="83">
        <v>85</v>
      </c>
      <c r="E92" s="84" t="s">
        <v>811</v>
      </c>
      <c r="F92" s="84" t="s">
        <v>17</v>
      </c>
      <c r="G92" s="83" t="s">
        <v>812</v>
      </c>
      <c r="H92" s="83" t="s">
        <v>1</v>
      </c>
      <c r="I92" s="83" t="s">
        <v>14</v>
      </c>
      <c r="J92" s="84" t="s">
        <v>1136</v>
      </c>
      <c r="K92" s="85">
        <v>37638</v>
      </c>
      <c r="L92" s="83">
        <v>2003</v>
      </c>
      <c r="M92" s="83">
        <f t="shared" si="2"/>
        <v>16</v>
      </c>
      <c r="N92" s="83" t="s">
        <v>3</v>
      </c>
      <c r="O92" s="83" t="s">
        <v>1137</v>
      </c>
      <c r="P92" s="84" t="s">
        <v>1139</v>
      </c>
      <c r="Q92" s="83"/>
      <c r="R92" s="84" t="s">
        <v>1448</v>
      </c>
    </row>
    <row r="93" spans="2:18" ht="25.5" x14ac:dyDescent="0.2">
      <c r="B93" s="136"/>
      <c r="C93" s="136"/>
      <c r="D93" s="83">
        <v>86</v>
      </c>
      <c r="E93" s="84" t="s">
        <v>1605</v>
      </c>
      <c r="F93" s="84" t="s">
        <v>17</v>
      </c>
      <c r="G93" s="83" t="s">
        <v>813</v>
      </c>
      <c r="H93" s="83" t="s">
        <v>9</v>
      </c>
      <c r="I93" s="83" t="s">
        <v>14</v>
      </c>
      <c r="J93" s="84" t="s">
        <v>1136</v>
      </c>
      <c r="K93" s="85">
        <v>41601</v>
      </c>
      <c r="L93" s="83">
        <v>2013</v>
      </c>
      <c r="M93" s="83">
        <f t="shared" si="2"/>
        <v>6</v>
      </c>
      <c r="N93" s="83" t="s">
        <v>3</v>
      </c>
      <c r="O93" s="83" t="s">
        <v>1137</v>
      </c>
      <c r="P93" s="84" t="s">
        <v>1139</v>
      </c>
      <c r="Q93" s="83"/>
      <c r="R93" s="84" t="s">
        <v>1448</v>
      </c>
    </row>
    <row r="94" spans="2:18" x14ac:dyDescent="0.2">
      <c r="B94" s="136">
        <v>27</v>
      </c>
      <c r="C94" s="83"/>
      <c r="D94" s="83">
        <v>87</v>
      </c>
      <c r="E94" s="84" t="s">
        <v>814</v>
      </c>
      <c r="F94" s="84" t="s">
        <v>6</v>
      </c>
      <c r="G94" s="83">
        <v>0</v>
      </c>
      <c r="H94" s="83" t="s">
        <v>1</v>
      </c>
      <c r="I94" s="83" t="s">
        <v>2</v>
      </c>
      <c r="J94" s="84"/>
      <c r="K94" s="85">
        <v>27029</v>
      </c>
      <c r="L94" s="83">
        <v>1973</v>
      </c>
      <c r="M94" s="83">
        <f t="shared" si="2"/>
        <v>46</v>
      </c>
      <c r="N94" s="83" t="s">
        <v>3</v>
      </c>
      <c r="O94" s="83"/>
      <c r="P94" s="84" t="s">
        <v>16</v>
      </c>
      <c r="Q94" s="83"/>
      <c r="R94" s="84" t="s">
        <v>109</v>
      </c>
    </row>
    <row r="95" spans="2:18" x14ac:dyDescent="0.2">
      <c r="B95" s="136"/>
      <c r="C95" s="83"/>
      <c r="D95" s="83">
        <v>88</v>
      </c>
      <c r="E95" s="84" t="s">
        <v>815</v>
      </c>
      <c r="F95" s="84" t="s">
        <v>11</v>
      </c>
      <c r="G95" s="83">
        <v>0</v>
      </c>
      <c r="H95" s="83" t="s">
        <v>9</v>
      </c>
      <c r="I95" s="83" t="s">
        <v>2</v>
      </c>
      <c r="J95" s="84"/>
      <c r="K95" s="85">
        <v>31777</v>
      </c>
      <c r="L95" s="83">
        <v>1986</v>
      </c>
      <c r="M95" s="83">
        <f t="shared" si="2"/>
        <v>33</v>
      </c>
      <c r="N95" s="83" t="s">
        <v>3</v>
      </c>
      <c r="O95" s="83"/>
      <c r="P95" s="84" t="s">
        <v>54</v>
      </c>
      <c r="Q95" s="83"/>
      <c r="R95" s="84" t="s">
        <v>109</v>
      </c>
    </row>
    <row r="96" spans="2:18" ht="25.5" x14ac:dyDescent="0.2">
      <c r="B96" s="136"/>
      <c r="C96" s="83"/>
      <c r="D96" s="83">
        <v>89</v>
      </c>
      <c r="E96" s="84" t="s">
        <v>816</v>
      </c>
      <c r="F96" s="84" t="s">
        <v>17</v>
      </c>
      <c r="G96" s="83">
        <v>0</v>
      </c>
      <c r="H96" s="83" t="s">
        <v>9</v>
      </c>
      <c r="I96" s="83" t="s">
        <v>14</v>
      </c>
      <c r="J96" s="84"/>
      <c r="K96" s="85">
        <v>37946</v>
      </c>
      <c r="L96" s="83">
        <v>2003</v>
      </c>
      <c r="M96" s="83">
        <f t="shared" si="2"/>
        <v>16</v>
      </c>
      <c r="N96" s="83" t="s">
        <v>3</v>
      </c>
      <c r="O96" s="83"/>
      <c r="P96" s="84" t="s">
        <v>16</v>
      </c>
      <c r="Q96" s="83"/>
      <c r="R96" s="84" t="s">
        <v>16</v>
      </c>
    </row>
    <row r="97" spans="2:18" x14ac:dyDescent="0.2">
      <c r="B97" s="136">
        <v>28</v>
      </c>
      <c r="C97" s="136" t="s">
        <v>1417</v>
      </c>
      <c r="D97" s="83">
        <v>90</v>
      </c>
      <c r="E97" s="84" t="s">
        <v>817</v>
      </c>
      <c r="F97" s="84" t="s">
        <v>6</v>
      </c>
      <c r="G97" s="83" t="s">
        <v>818</v>
      </c>
      <c r="H97" s="83" t="s">
        <v>1</v>
      </c>
      <c r="I97" s="83" t="s">
        <v>2</v>
      </c>
      <c r="J97" s="84" t="s">
        <v>1156</v>
      </c>
      <c r="K97" s="85">
        <v>25750</v>
      </c>
      <c r="L97" s="83">
        <v>1970</v>
      </c>
      <c r="M97" s="83">
        <f t="shared" si="2"/>
        <v>49</v>
      </c>
      <c r="N97" s="83" t="s">
        <v>3</v>
      </c>
      <c r="O97" s="83" t="s">
        <v>1137</v>
      </c>
      <c r="P97" s="84" t="s">
        <v>1172</v>
      </c>
      <c r="Q97" s="83"/>
      <c r="R97" s="84" t="s">
        <v>650</v>
      </c>
    </row>
    <row r="98" spans="2:18" ht="25.5" x14ac:dyDescent="0.2">
      <c r="B98" s="136"/>
      <c r="C98" s="136"/>
      <c r="D98" s="83">
        <v>91</v>
      </c>
      <c r="E98" s="84" t="s">
        <v>819</v>
      </c>
      <c r="F98" s="84" t="s">
        <v>11</v>
      </c>
      <c r="G98" s="83" t="s">
        <v>820</v>
      </c>
      <c r="H98" s="83" t="s">
        <v>9</v>
      </c>
      <c r="I98" s="83" t="s">
        <v>2</v>
      </c>
      <c r="J98" s="84" t="s">
        <v>1156</v>
      </c>
      <c r="K98" s="85">
        <v>29403</v>
      </c>
      <c r="L98" s="83">
        <v>1980</v>
      </c>
      <c r="M98" s="83">
        <f t="shared" si="2"/>
        <v>39</v>
      </c>
      <c r="N98" s="83" t="s">
        <v>3</v>
      </c>
      <c r="O98" s="83" t="s">
        <v>1137</v>
      </c>
      <c r="P98" s="84" t="s">
        <v>1172</v>
      </c>
      <c r="Q98" s="83"/>
      <c r="R98" s="84" t="s">
        <v>1141</v>
      </c>
    </row>
    <row r="99" spans="2:18" ht="25.5" x14ac:dyDescent="0.2">
      <c r="B99" s="136"/>
      <c r="C99" s="136"/>
      <c r="D99" s="83">
        <v>92</v>
      </c>
      <c r="E99" s="84" t="s">
        <v>821</v>
      </c>
      <c r="F99" s="84" t="s">
        <v>17</v>
      </c>
      <c r="G99" s="83" t="s">
        <v>822</v>
      </c>
      <c r="H99" s="83" t="s">
        <v>1</v>
      </c>
      <c r="I99" s="83" t="s">
        <v>14</v>
      </c>
      <c r="J99" s="84" t="s">
        <v>1156</v>
      </c>
      <c r="K99" s="85">
        <v>37471</v>
      </c>
      <c r="L99" s="83">
        <v>2002</v>
      </c>
      <c r="M99" s="83">
        <f t="shared" si="2"/>
        <v>17</v>
      </c>
      <c r="N99" s="83" t="s">
        <v>3</v>
      </c>
      <c r="O99" s="83" t="s">
        <v>1137</v>
      </c>
      <c r="P99" s="84" t="s">
        <v>1178</v>
      </c>
      <c r="Q99" s="83"/>
      <c r="R99" s="84" t="s">
        <v>1160</v>
      </c>
    </row>
    <row r="100" spans="2:18" ht="25.5" x14ac:dyDescent="0.2">
      <c r="B100" s="136"/>
      <c r="C100" s="136"/>
      <c r="D100" s="83">
        <v>93</v>
      </c>
      <c r="E100" s="84" t="s">
        <v>823</v>
      </c>
      <c r="F100" s="84" t="s">
        <v>17</v>
      </c>
      <c r="G100" s="83" t="s">
        <v>824</v>
      </c>
      <c r="H100" s="83" t="s">
        <v>1</v>
      </c>
      <c r="I100" s="83" t="s">
        <v>14</v>
      </c>
      <c r="J100" s="84" t="s">
        <v>1156</v>
      </c>
      <c r="K100" s="85">
        <v>39236</v>
      </c>
      <c r="L100" s="83">
        <v>2007</v>
      </c>
      <c r="M100" s="83">
        <f t="shared" si="2"/>
        <v>12</v>
      </c>
      <c r="N100" s="83" t="s">
        <v>3</v>
      </c>
      <c r="O100" s="83" t="s">
        <v>1137</v>
      </c>
      <c r="P100" s="84" t="s">
        <v>1139</v>
      </c>
      <c r="Q100" s="83"/>
      <c r="R100" s="84" t="s">
        <v>1140</v>
      </c>
    </row>
    <row r="101" spans="2:18" x14ac:dyDescent="0.2">
      <c r="B101" s="136">
        <v>29</v>
      </c>
      <c r="C101" s="83"/>
      <c r="D101" s="83">
        <v>94</v>
      </c>
      <c r="E101" s="84" t="s">
        <v>827</v>
      </c>
      <c r="F101" s="84" t="s">
        <v>6</v>
      </c>
      <c r="G101" s="83" t="s">
        <v>828</v>
      </c>
      <c r="H101" s="83" t="s">
        <v>1</v>
      </c>
      <c r="I101" s="83" t="s">
        <v>2</v>
      </c>
      <c r="J101" s="84"/>
      <c r="K101" s="85">
        <v>31412</v>
      </c>
      <c r="L101" s="83">
        <v>1985</v>
      </c>
      <c r="M101" s="83">
        <f t="shared" si="2"/>
        <v>34</v>
      </c>
      <c r="N101" s="83" t="s">
        <v>3</v>
      </c>
      <c r="O101" s="83"/>
      <c r="P101" s="84" t="s">
        <v>15</v>
      </c>
      <c r="Q101" s="83"/>
      <c r="R101" s="84" t="s">
        <v>109</v>
      </c>
    </row>
    <row r="102" spans="2:18" x14ac:dyDescent="0.2">
      <c r="B102" s="136"/>
      <c r="C102" s="83"/>
      <c r="D102" s="83">
        <v>95</v>
      </c>
      <c r="E102" s="84" t="s">
        <v>829</v>
      </c>
      <c r="F102" s="84" t="s">
        <v>11</v>
      </c>
      <c r="G102" s="83" t="s">
        <v>830</v>
      </c>
      <c r="H102" s="83" t="s">
        <v>9</v>
      </c>
      <c r="I102" s="83" t="s">
        <v>2</v>
      </c>
      <c r="J102" s="84"/>
      <c r="K102" s="85">
        <v>31787</v>
      </c>
      <c r="L102" s="83">
        <v>1987</v>
      </c>
      <c r="M102" s="83">
        <f t="shared" si="2"/>
        <v>32</v>
      </c>
      <c r="N102" s="83" t="s">
        <v>3</v>
      </c>
      <c r="O102" s="83"/>
      <c r="P102" s="84" t="s">
        <v>27</v>
      </c>
      <c r="Q102" s="83"/>
      <c r="R102" s="84" t="s">
        <v>16</v>
      </c>
    </row>
    <row r="103" spans="2:18" ht="25.5" x14ac:dyDescent="0.2">
      <c r="B103" s="136"/>
      <c r="C103" s="83"/>
      <c r="D103" s="83">
        <v>96</v>
      </c>
      <c r="E103" s="84" t="s">
        <v>831</v>
      </c>
      <c r="F103" s="84" t="s">
        <v>17</v>
      </c>
      <c r="G103" s="83" t="s">
        <v>832</v>
      </c>
      <c r="H103" s="83" t="s">
        <v>9</v>
      </c>
      <c r="I103" s="83" t="s">
        <v>14</v>
      </c>
      <c r="J103" s="84"/>
      <c r="K103" s="85">
        <v>39588</v>
      </c>
      <c r="L103" s="83">
        <v>2008</v>
      </c>
      <c r="M103" s="83">
        <f t="shared" si="2"/>
        <v>11</v>
      </c>
      <c r="N103" s="83" t="s">
        <v>3</v>
      </c>
      <c r="O103" s="83"/>
      <c r="P103" s="84" t="s">
        <v>16</v>
      </c>
      <c r="Q103" s="83"/>
      <c r="R103" s="84" t="s">
        <v>16</v>
      </c>
    </row>
    <row r="104" spans="2:18" ht="25.5" x14ac:dyDescent="0.2">
      <c r="B104" s="136"/>
      <c r="C104" s="83"/>
      <c r="D104" s="83">
        <v>97</v>
      </c>
      <c r="E104" s="84" t="s">
        <v>833</v>
      </c>
      <c r="F104" s="84" t="s">
        <v>17</v>
      </c>
      <c r="G104" s="83">
        <v>0</v>
      </c>
      <c r="H104" s="83" t="s">
        <v>1</v>
      </c>
      <c r="I104" s="83" t="s">
        <v>14</v>
      </c>
      <c r="J104" s="84"/>
      <c r="K104" s="85">
        <v>41633</v>
      </c>
      <c r="L104" s="83">
        <v>2013</v>
      </c>
      <c r="M104" s="83">
        <f t="shared" si="2"/>
        <v>6</v>
      </c>
      <c r="N104" s="83" t="s">
        <v>3</v>
      </c>
      <c r="O104" s="83"/>
      <c r="P104" s="84" t="s">
        <v>16</v>
      </c>
      <c r="Q104" s="83"/>
      <c r="R104" s="84" t="s">
        <v>16</v>
      </c>
    </row>
    <row r="105" spans="2:18" x14ac:dyDescent="0.2">
      <c r="B105" s="136">
        <v>30</v>
      </c>
      <c r="C105" s="83"/>
      <c r="D105" s="83">
        <v>98</v>
      </c>
      <c r="E105" s="84" t="s">
        <v>834</v>
      </c>
      <c r="F105" s="84" t="s">
        <v>6</v>
      </c>
      <c r="G105" s="83" t="s">
        <v>835</v>
      </c>
      <c r="H105" s="83" t="s">
        <v>9</v>
      </c>
      <c r="I105" s="83" t="s">
        <v>24</v>
      </c>
      <c r="J105" s="84"/>
      <c r="K105" s="85">
        <v>18445</v>
      </c>
      <c r="L105" s="83">
        <v>1950</v>
      </c>
      <c r="M105" s="83">
        <f t="shared" si="2"/>
        <v>69</v>
      </c>
      <c r="N105" s="83" t="s">
        <v>3</v>
      </c>
      <c r="O105" s="83"/>
      <c r="P105" s="84" t="s">
        <v>16</v>
      </c>
      <c r="Q105" s="83"/>
      <c r="R105" s="84" t="s">
        <v>109</v>
      </c>
    </row>
    <row r="106" spans="2:18" x14ac:dyDescent="0.2">
      <c r="B106" s="136"/>
      <c r="C106" s="83"/>
      <c r="D106" s="83">
        <v>99</v>
      </c>
      <c r="E106" s="84" t="s">
        <v>836</v>
      </c>
      <c r="F106" s="84" t="s">
        <v>25</v>
      </c>
      <c r="G106" s="83">
        <v>0</v>
      </c>
      <c r="H106" s="83" t="s">
        <v>1</v>
      </c>
      <c r="I106" s="83" t="s">
        <v>321</v>
      </c>
      <c r="J106" s="84"/>
      <c r="K106" s="85">
        <v>12419</v>
      </c>
      <c r="L106" s="83">
        <v>1933</v>
      </c>
      <c r="M106" s="83">
        <f t="shared" si="2"/>
        <v>86</v>
      </c>
      <c r="N106" s="83" t="s">
        <v>3</v>
      </c>
      <c r="O106" s="83"/>
      <c r="P106" s="84" t="s">
        <v>16</v>
      </c>
      <c r="Q106" s="83"/>
      <c r="R106" s="84" t="s">
        <v>16</v>
      </c>
    </row>
    <row r="107" spans="2:18" ht="25.5" x14ac:dyDescent="0.2">
      <c r="B107" s="137">
        <v>31</v>
      </c>
      <c r="C107" s="137" t="s">
        <v>1420</v>
      </c>
      <c r="D107" s="83">
        <v>100</v>
      </c>
      <c r="E107" s="84" t="s">
        <v>837</v>
      </c>
      <c r="F107" s="84" t="s">
        <v>6</v>
      </c>
      <c r="G107" s="83" t="s">
        <v>1421</v>
      </c>
      <c r="H107" s="83" t="s">
        <v>1</v>
      </c>
      <c r="I107" s="83" t="s">
        <v>2</v>
      </c>
      <c r="J107" s="84" t="s">
        <v>1136</v>
      </c>
      <c r="K107" s="85">
        <v>22463</v>
      </c>
      <c r="L107" s="83">
        <v>1961</v>
      </c>
      <c r="M107" s="83">
        <f t="shared" si="2"/>
        <v>58</v>
      </c>
      <c r="N107" s="83" t="s">
        <v>3</v>
      </c>
      <c r="O107" s="83" t="s">
        <v>1137</v>
      </c>
      <c r="P107" s="84" t="s">
        <v>1138</v>
      </c>
      <c r="Q107" s="83"/>
      <c r="R107" s="84" t="s">
        <v>1404</v>
      </c>
    </row>
    <row r="108" spans="2:18" ht="25.5" x14ac:dyDescent="0.2">
      <c r="B108" s="138"/>
      <c r="C108" s="138"/>
      <c r="D108" s="83">
        <v>101</v>
      </c>
      <c r="E108" s="84" t="s">
        <v>838</v>
      </c>
      <c r="F108" s="84" t="s">
        <v>11</v>
      </c>
      <c r="G108" s="83" t="s">
        <v>1422</v>
      </c>
      <c r="H108" s="83" t="s">
        <v>9</v>
      </c>
      <c r="I108" s="83" t="s">
        <v>2</v>
      </c>
      <c r="J108" s="84" t="s">
        <v>1136</v>
      </c>
      <c r="K108" s="85">
        <v>26115</v>
      </c>
      <c r="L108" s="83">
        <v>1971</v>
      </c>
      <c r="M108" s="83">
        <f t="shared" si="2"/>
        <v>48</v>
      </c>
      <c r="N108" s="83" t="s">
        <v>3</v>
      </c>
      <c r="O108" s="83" t="s">
        <v>1137</v>
      </c>
      <c r="P108" s="84" t="s">
        <v>1138</v>
      </c>
      <c r="Q108" s="83"/>
      <c r="R108" s="84" t="s">
        <v>1415</v>
      </c>
    </row>
    <row r="109" spans="2:18" ht="25.5" x14ac:dyDescent="0.2">
      <c r="B109" s="139"/>
      <c r="C109" s="139"/>
      <c r="D109" s="83">
        <v>102</v>
      </c>
      <c r="E109" s="84" t="s">
        <v>840</v>
      </c>
      <c r="F109" s="84" t="s">
        <v>17</v>
      </c>
      <c r="G109" s="83" t="s">
        <v>1423</v>
      </c>
      <c r="H109" s="83" t="s">
        <v>9</v>
      </c>
      <c r="I109" s="83" t="s">
        <v>14</v>
      </c>
      <c r="J109" s="84" t="s">
        <v>1156</v>
      </c>
      <c r="K109" s="85">
        <v>38122</v>
      </c>
      <c r="L109" s="83">
        <v>2004</v>
      </c>
      <c r="M109" s="83">
        <f t="shared" si="2"/>
        <v>15</v>
      </c>
      <c r="N109" s="83" t="s">
        <v>3</v>
      </c>
      <c r="O109" s="83" t="s">
        <v>1137</v>
      </c>
      <c r="P109" s="84" t="s">
        <v>1178</v>
      </c>
      <c r="Q109" s="83"/>
      <c r="R109" s="84" t="s">
        <v>1160</v>
      </c>
    </row>
    <row r="110" spans="2:18" ht="25.5" x14ac:dyDescent="0.2">
      <c r="B110" s="136">
        <v>32</v>
      </c>
      <c r="C110" s="136" t="s">
        <v>1424</v>
      </c>
      <c r="D110" s="83">
        <v>103</v>
      </c>
      <c r="E110" s="84" t="s">
        <v>539</v>
      </c>
      <c r="F110" s="84" t="s">
        <v>6</v>
      </c>
      <c r="G110" s="83" t="s">
        <v>1427</v>
      </c>
      <c r="H110" s="83" t="s">
        <v>1</v>
      </c>
      <c r="I110" s="83" t="s">
        <v>2</v>
      </c>
      <c r="J110" s="84" t="s">
        <v>1148</v>
      </c>
      <c r="K110" s="85">
        <v>25385</v>
      </c>
      <c r="L110" s="83">
        <v>1969</v>
      </c>
      <c r="M110" s="83">
        <f t="shared" si="2"/>
        <v>50</v>
      </c>
      <c r="N110" s="83" t="s">
        <v>3</v>
      </c>
      <c r="O110" s="83" t="s">
        <v>1137</v>
      </c>
      <c r="P110" s="84" t="s">
        <v>1138</v>
      </c>
      <c r="Q110" s="83"/>
      <c r="R110" s="84" t="s">
        <v>1185</v>
      </c>
    </row>
    <row r="111" spans="2:18" ht="25.5" x14ac:dyDescent="0.2">
      <c r="B111" s="136"/>
      <c r="C111" s="136"/>
      <c r="D111" s="83">
        <v>104</v>
      </c>
      <c r="E111" s="84" t="s">
        <v>841</v>
      </c>
      <c r="F111" s="84" t="s">
        <v>11</v>
      </c>
      <c r="G111" s="83" t="s">
        <v>1428</v>
      </c>
      <c r="H111" s="83" t="s">
        <v>9</v>
      </c>
      <c r="I111" s="83" t="s">
        <v>2</v>
      </c>
      <c r="J111" s="84" t="s">
        <v>1148</v>
      </c>
      <c r="K111" s="85">
        <v>26571</v>
      </c>
      <c r="L111" s="83">
        <v>1972</v>
      </c>
      <c r="M111" s="83">
        <f t="shared" si="2"/>
        <v>47</v>
      </c>
      <c r="N111" s="83" t="s">
        <v>3</v>
      </c>
      <c r="O111" s="83" t="s">
        <v>1137</v>
      </c>
      <c r="P111" s="84" t="s">
        <v>1138</v>
      </c>
      <c r="Q111" s="83"/>
      <c r="R111" s="84" t="s">
        <v>1141</v>
      </c>
    </row>
    <row r="112" spans="2:18" ht="25.5" x14ac:dyDescent="0.2">
      <c r="B112" s="136"/>
      <c r="C112" s="136"/>
      <c r="D112" s="83">
        <v>105</v>
      </c>
      <c r="E112" s="84" t="s">
        <v>1425</v>
      </c>
      <c r="F112" s="84" t="s">
        <v>17</v>
      </c>
      <c r="G112" s="83" t="s">
        <v>1429</v>
      </c>
      <c r="H112" s="83" t="s">
        <v>9</v>
      </c>
      <c r="I112" s="83" t="s">
        <v>14</v>
      </c>
      <c r="J112" s="84" t="s">
        <v>1148</v>
      </c>
      <c r="K112" s="85">
        <v>33775</v>
      </c>
      <c r="L112" s="83">
        <v>1992</v>
      </c>
      <c r="M112" s="83">
        <f t="shared" si="2"/>
        <v>27</v>
      </c>
      <c r="N112" s="83" t="s">
        <v>3</v>
      </c>
      <c r="O112" s="83" t="s">
        <v>1137</v>
      </c>
      <c r="P112" s="84" t="s">
        <v>1159</v>
      </c>
      <c r="Q112" s="83"/>
      <c r="R112" s="84" t="s">
        <v>10</v>
      </c>
    </row>
    <row r="113" spans="2:18" ht="25.5" x14ac:dyDescent="0.2">
      <c r="B113" s="136"/>
      <c r="C113" s="136"/>
      <c r="D113" s="83">
        <v>106</v>
      </c>
      <c r="E113" s="84" t="s">
        <v>1426</v>
      </c>
      <c r="F113" s="84" t="s">
        <v>17</v>
      </c>
      <c r="G113" s="83" t="s">
        <v>1430</v>
      </c>
      <c r="H113" s="83" t="s">
        <v>9</v>
      </c>
      <c r="I113" s="83" t="s">
        <v>14</v>
      </c>
      <c r="J113" s="84" t="s">
        <v>1148</v>
      </c>
      <c r="K113" s="85">
        <v>35713</v>
      </c>
      <c r="L113" s="83">
        <v>1997</v>
      </c>
      <c r="M113" s="83">
        <f t="shared" si="2"/>
        <v>22</v>
      </c>
      <c r="N113" s="83" t="s">
        <v>3</v>
      </c>
      <c r="O113" s="83" t="s">
        <v>1137</v>
      </c>
      <c r="P113" s="84" t="s">
        <v>1172</v>
      </c>
      <c r="Q113" s="83"/>
      <c r="R113" s="84" t="s">
        <v>1160</v>
      </c>
    </row>
    <row r="114" spans="2:18" x14ac:dyDescent="0.2">
      <c r="B114" s="83">
        <v>33</v>
      </c>
      <c r="C114" s="83"/>
      <c r="D114" s="83">
        <v>107</v>
      </c>
      <c r="E114" s="84" t="s">
        <v>842</v>
      </c>
      <c r="F114" s="84" t="s">
        <v>6</v>
      </c>
      <c r="G114" s="83">
        <v>0</v>
      </c>
      <c r="H114" s="83" t="s">
        <v>9</v>
      </c>
      <c r="I114" s="83" t="s">
        <v>24</v>
      </c>
      <c r="J114" s="84"/>
      <c r="K114" s="85">
        <v>12054</v>
      </c>
      <c r="L114" s="83">
        <v>1932</v>
      </c>
      <c r="M114" s="83">
        <f t="shared" ref="M114:M145" si="3">2019-L114</f>
        <v>87</v>
      </c>
      <c r="N114" s="83" t="s">
        <v>3</v>
      </c>
      <c r="O114" s="83"/>
      <c r="P114" s="84" t="s">
        <v>16</v>
      </c>
      <c r="Q114" s="83"/>
      <c r="R114" s="84" t="s">
        <v>16</v>
      </c>
    </row>
    <row r="115" spans="2:18" ht="25.5" x14ac:dyDescent="0.2">
      <c r="B115" s="136">
        <v>34</v>
      </c>
      <c r="C115" s="136" t="s">
        <v>1450</v>
      </c>
      <c r="D115" s="83">
        <v>108</v>
      </c>
      <c r="E115" s="84" t="s">
        <v>582</v>
      </c>
      <c r="F115" s="84" t="s">
        <v>6</v>
      </c>
      <c r="G115" s="83" t="s">
        <v>1452</v>
      </c>
      <c r="H115" s="83" t="s">
        <v>1</v>
      </c>
      <c r="I115" s="83" t="s">
        <v>2</v>
      </c>
      <c r="J115" s="84" t="s">
        <v>1136</v>
      </c>
      <c r="K115" s="85">
        <v>25750</v>
      </c>
      <c r="L115" s="83">
        <v>1970</v>
      </c>
      <c r="M115" s="83">
        <f t="shared" si="3"/>
        <v>49</v>
      </c>
      <c r="N115" s="83" t="s">
        <v>3</v>
      </c>
      <c r="O115" s="83" t="s">
        <v>1137</v>
      </c>
      <c r="P115" s="84" t="s">
        <v>1172</v>
      </c>
      <c r="Q115" s="83"/>
      <c r="R115" s="84" t="s">
        <v>1306</v>
      </c>
    </row>
    <row r="116" spans="2:18" ht="25.5" x14ac:dyDescent="0.2">
      <c r="B116" s="136"/>
      <c r="C116" s="136"/>
      <c r="D116" s="83">
        <v>109</v>
      </c>
      <c r="E116" s="84" t="s">
        <v>1451</v>
      </c>
      <c r="F116" s="84" t="s">
        <v>11</v>
      </c>
      <c r="G116" s="83" t="s">
        <v>1453</v>
      </c>
      <c r="H116" s="83" t="s">
        <v>9</v>
      </c>
      <c r="I116" s="83" t="s">
        <v>2</v>
      </c>
      <c r="J116" s="84" t="s">
        <v>1136</v>
      </c>
      <c r="K116" s="85">
        <v>27576</v>
      </c>
      <c r="L116" s="83">
        <v>1975</v>
      </c>
      <c r="M116" s="83">
        <f t="shared" si="3"/>
        <v>44</v>
      </c>
      <c r="N116" s="83" t="s">
        <v>3</v>
      </c>
      <c r="O116" s="83" t="s">
        <v>1137</v>
      </c>
      <c r="P116" s="84" t="s">
        <v>1172</v>
      </c>
      <c r="Q116" s="83"/>
      <c r="R116" s="84" t="s">
        <v>1141</v>
      </c>
    </row>
    <row r="117" spans="2:18" ht="25.5" x14ac:dyDescent="0.2">
      <c r="B117" s="136"/>
      <c r="C117" s="136"/>
      <c r="D117" s="83">
        <v>110</v>
      </c>
      <c r="E117" s="84" t="s">
        <v>843</v>
      </c>
      <c r="F117" s="84" t="s">
        <v>17</v>
      </c>
      <c r="G117" s="83" t="s">
        <v>1454</v>
      </c>
      <c r="H117" s="83" t="s">
        <v>1</v>
      </c>
      <c r="I117" s="83" t="s">
        <v>14</v>
      </c>
      <c r="J117" s="84" t="s">
        <v>1136</v>
      </c>
      <c r="K117" s="85">
        <v>34531</v>
      </c>
      <c r="L117" s="83">
        <v>1994</v>
      </c>
      <c r="M117" s="83">
        <f t="shared" si="3"/>
        <v>25</v>
      </c>
      <c r="N117" s="83" t="s">
        <v>3</v>
      </c>
      <c r="O117" s="83" t="s">
        <v>1137</v>
      </c>
      <c r="P117" s="84" t="s">
        <v>1159</v>
      </c>
      <c r="Q117" s="83"/>
      <c r="R117" s="84" t="s">
        <v>1160</v>
      </c>
    </row>
    <row r="118" spans="2:18" ht="25.5" x14ac:dyDescent="0.2">
      <c r="B118" s="136"/>
      <c r="C118" s="136"/>
      <c r="D118" s="83">
        <v>111</v>
      </c>
      <c r="E118" s="84" t="s">
        <v>844</v>
      </c>
      <c r="F118" s="84" t="s">
        <v>17</v>
      </c>
      <c r="G118" s="83" t="s">
        <v>1455</v>
      </c>
      <c r="H118" s="83" t="s">
        <v>9</v>
      </c>
      <c r="I118" s="83" t="s">
        <v>14</v>
      </c>
      <c r="J118" s="84" t="s">
        <v>1136</v>
      </c>
      <c r="K118" s="85">
        <v>37174</v>
      </c>
      <c r="L118" s="83">
        <v>2001</v>
      </c>
      <c r="M118" s="83">
        <f t="shared" si="3"/>
        <v>18</v>
      </c>
      <c r="N118" s="83" t="s">
        <v>3</v>
      </c>
      <c r="O118" s="83" t="s">
        <v>1137</v>
      </c>
      <c r="P118" s="84" t="s">
        <v>1138</v>
      </c>
      <c r="Q118" s="83"/>
      <c r="R118" s="84" t="s">
        <v>1160</v>
      </c>
    </row>
    <row r="119" spans="2:18" x14ac:dyDescent="0.2">
      <c r="B119" s="136">
        <v>35</v>
      </c>
      <c r="C119" s="83"/>
      <c r="D119" s="83">
        <v>112</v>
      </c>
      <c r="E119" s="84" t="s">
        <v>845</v>
      </c>
      <c r="F119" s="84" t="s">
        <v>6</v>
      </c>
      <c r="G119" s="83" t="s">
        <v>846</v>
      </c>
      <c r="H119" s="83" t="s">
        <v>9</v>
      </c>
      <c r="I119" s="83" t="s">
        <v>24</v>
      </c>
      <c r="J119" s="84"/>
      <c r="K119" s="85">
        <v>26661</v>
      </c>
      <c r="L119" s="83">
        <v>1972</v>
      </c>
      <c r="M119" s="83">
        <f t="shared" si="3"/>
        <v>47</v>
      </c>
      <c r="N119" s="83" t="s">
        <v>3</v>
      </c>
      <c r="O119" s="83"/>
      <c r="P119" s="84" t="s">
        <v>27</v>
      </c>
      <c r="Q119" s="83"/>
      <c r="R119" s="84" t="s">
        <v>123</v>
      </c>
    </row>
    <row r="120" spans="2:18" ht="25.5" x14ac:dyDescent="0.2">
      <c r="B120" s="136"/>
      <c r="C120" s="83"/>
      <c r="D120" s="83">
        <v>113</v>
      </c>
      <c r="E120" s="84" t="s">
        <v>847</v>
      </c>
      <c r="F120" s="84" t="s">
        <v>17</v>
      </c>
      <c r="G120" s="83" t="s">
        <v>848</v>
      </c>
      <c r="H120" s="83" t="s">
        <v>1</v>
      </c>
      <c r="I120" s="83" t="s">
        <v>14</v>
      </c>
      <c r="J120" s="84"/>
      <c r="K120" s="85">
        <v>39574</v>
      </c>
      <c r="L120" s="83">
        <v>2008</v>
      </c>
      <c r="M120" s="83">
        <f t="shared" si="3"/>
        <v>11</v>
      </c>
      <c r="N120" s="83" t="s">
        <v>3</v>
      </c>
      <c r="O120" s="83"/>
      <c r="P120" s="84" t="s">
        <v>16</v>
      </c>
      <c r="Q120" s="83"/>
      <c r="R120" s="84" t="s">
        <v>16</v>
      </c>
    </row>
    <row r="121" spans="2:18" ht="25.5" x14ac:dyDescent="0.2">
      <c r="B121" s="136">
        <v>36</v>
      </c>
      <c r="C121" s="83"/>
      <c r="D121" s="83">
        <v>114</v>
      </c>
      <c r="E121" s="84" t="s">
        <v>418</v>
      </c>
      <c r="F121" s="84" t="s">
        <v>6</v>
      </c>
      <c r="G121" s="83" t="s">
        <v>849</v>
      </c>
      <c r="H121" s="83" t="s">
        <v>1</v>
      </c>
      <c r="I121" s="83" t="s">
        <v>14</v>
      </c>
      <c r="J121" s="84" t="s">
        <v>1148</v>
      </c>
      <c r="K121" s="85">
        <v>30654</v>
      </c>
      <c r="L121" s="83">
        <v>1983</v>
      </c>
      <c r="M121" s="83">
        <f t="shared" si="3"/>
        <v>36</v>
      </c>
      <c r="N121" s="83" t="s">
        <v>3</v>
      </c>
      <c r="O121" s="83" t="s">
        <v>1137</v>
      </c>
      <c r="P121" s="84" t="s">
        <v>15</v>
      </c>
      <c r="Q121" s="83"/>
      <c r="R121" s="84" t="s">
        <v>123</v>
      </c>
    </row>
    <row r="122" spans="2:18" ht="25.5" x14ac:dyDescent="0.2">
      <c r="B122" s="136"/>
      <c r="C122" s="83"/>
      <c r="D122" s="83">
        <v>115</v>
      </c>
      <c r="E122" s="84" t="s">
        <v>850</v>
      </c>
      <c r="F122" s="84" t="s">
        <v>25</v>
      </c>
      <c r="G122" s="83">
        <v>0</v>
      </c>
      <c r="H122" s="83" t="s">
        <v>9</v>
      </c>
      <c r="I122" s="83" t="s">
        <v>14</v>
      </c>
      <c r="J122" s="84" t="s">
        <v>1148</v>
      </c>
      <c r="K122" s="85">
        <v>28748</v>
      </c>
      <c r="L122" s="83">
        <v>1978</v>
      </c>
      <c r="M122" s="83">
        <f t="shared" si="3"/>
        <v>41</v>
      </c>
      <c r="N122" s="83" t="s">
        <v>3</v>
      </c>
      <c r="O122" s="83" t="s">
        <v>1137</v>
      </c>
      <c r="P122" s="84" t="s">
        <v>1157</v>
      </c>
      <c r="Q122" s="83"/>
      <c r="R122" s="84" t="s">
        <v>1158</v>
      </c>
    </row>
    <row r="123" spans="2:18" x14ac:dyDescent="0.2">
      <c r="B123" s="83">
        <v>37</v>
      </c>
      <c r="C123" s="83"/>
      <c r="D123" s="83">
        <v>116</v>
      </c>
      <c r="E123" s="84" t="s">
        <v>851</v>
      </c>
      <c r="F123" s="84" t="s">
        <v>6</v>
      </c>
      <c r="G123" s="83" t="s">
        <v>852</v>
      </c>
      <c r="H123" s="83" t="s">
        <v>9</v>
      </c>
      <c r="I123" s="83" t="s">
        <v>24</v>
      </c>
      <c r="J123" s="84"/>
      <c r="K123" s="85">
        <v>14976</v>
      </c>
      <c r="L123" s="83">
        <v>1940</v>
      </c>
      <c r="M123" s="83">
        <f t="shared" si="3"/>
        <v>79</v>
      </c>
      <c r="N123" s="83" t="s">
        <v>3</v>
      </c>
      <c r="O123" s="83"/>
      <c r="P123" s="84" t="s">
        <v>16</v>
      </c>
      <c r="Q123" s="83"/>
      <c r="R123" s="84" t="s">
        <v>16</v>
      </c>
    </row>
    <row r="124" spans="2:18" x14ac:dyDescent="0.2">
      <c r="B124" s="83">
        <v>38</v>
      </c>
      <c r="C124" s="83"/>
      <c r="D124" s="83">
        <v>117</v>
      </c>
      <c r="E124" s="84" t="s">
        <v>853</v>
      </c>
      <c r="F124" s="84" t="s">
        <v>6</v>
      </c>
      <c r="G124" s="83" t="s">
        <v>854</v>
      </c>
      <c r="H124" s="83" t="s">
        <v>9</v>
      </c>
      <c r="I124" s="83" t="s">
        <v>24</v>
      </c>
      <c r="J124" s="84"/>
      <c r="K124" s="85">
        <v>18445</v>
      </c>
      <c r="L124" s="83">
        <v>1950</v>
      </c>
      <c r="M124" s="83">
        <f t="shared" si="3"/>
        <v>69</v>
      </c>
      <c r="N124" s="83" t="s">
        <v>3</v>
      </c>
      <c r="O124" s="83"/>
      <c r="P124" s="84" t="s">
        <v>16</v>
      </c>
      <c r="Q124" s="83"/>
      <c r="R124" s="84" t="s">
        <v>109</v>
      </c>
    </row>
    <row r="125" spans="2:18" x14ac:dyDescent="0.2">
      <c r="B125" s="136">
        <v>39</v>
      </c>
      <c r="C125" s="83"/>
      <c r="D125" s="83">
        <v>118</v>
      </c>
      <c r="E125" s="84" t="s">
        <v>855</v>
      </c>
      <c r="F125" s="84" t="s">
        <v>6</v>
      </c>
      <c r="G125" s="83" t="s">
        <v>856</v>
      </c>
      <c r="H125" s="83" t="s">
        <v>1</v>
      </c>
      <c r="I125" s="83" t="s">
        <v>321</v>
      </c>
      <c r="J125" s="84"/>
      <c r="K125" s="85">
        <v>30421</v>
      </c>
      <c r="L125" s="83">
        <v>1983</v>
      </c>
      <c r="M125" s="83">
        <f t="shared" si="3"/>
        <v>36</v>
      </c>
      <c r="N125" s="83" t="s">
        <v>3</v>
      </c>
      <c r="O125" s="83"/>
      <c r="P125" s="84" t="s">
        <v>54</v>
      </c>
      <c r="Q125" s="83"/>
      <c r="R125" s="84" t="s">
        <v>109</v>
      </c>
    </row>
    <row r="126" spans="2:18" x14ac:dyDescent="0.2">
      <c r="B126" s="136"/>
      <c r="C126" s="83"/>
      <c r="D126" s="83">
        <v>119</v>
      </c>
      <c r="E126" s="84" t="s">
        <v>857</v>
      </c>
      <c r="F126" s="84" t="s">
        <v>25</v>
      </c>
      <c r="G126" s="83" t="s">
        <v>858</v>
      </c>
      <c r="H126" s="83" t="s">
        <v>1</v>
      </c>
      <c r="I126" s="83" t="s">
        <v>14</v>
      </c>
      <c r="J126" s="84"/>
      <c r="K126" s="85">
        <v>39954</v>
      </c>
      <c r="L126" s="83">
        <v>2009</v>
      </c>
      <c r="M126" s="83">
        <f t="shared" si="3"/>
        <v>10</v>
      </c>
      <c r="N126" s="83" t="s">
        <v>3</v>
      </c>
      <c r="O126" s="83"/>
      <c r="P126" s="84" t="s">
        <v>16</v>
      </c>
      <c r="Q126" s="83"/>
      <c r="R126" s="84" t="s">
        <v>16</v>
      </c>
    </row>
    <row r="127" spans="2:18" ht="25.5" x14ac:dyDescent="0.2">
      <c r="B127" s="136">
        <v>40</v>
      </c>
      <c r="C127" s="136" t="s">
        <v>1482</v>
      </c>
      <c r="D127" s="83">
        <v>120</v>
      </c>
      <c r="E127" s="84" t="s">
        <v>859</v>
      </c>
      <c r="F127" s="84" t="s">
        <v>6</v>
      </c>
      <c r="G127" s="83" t="s">
        <v>1483</v>
      </c>
      <c r="H127" s="83" t="s">
        <v>1</v>
      </c>
      <c r="I127" s="83" t="s">
        <v>2</v>
      </c>
      <c r="J127" s="84" t="s">
        <v>1136</v>
      </c>
      <c r="K127" s="85">
        <v>25933</v>
      </c>
      <c r="L127" s="83">
        <v>1970</v>
      </c>
      <c r="M127" s="83">
        <f t="shared" si="3"/>
        <v>49</v>
      </c>
      <c r="N127" s="83" t="s">
        <v>3</v>
      </c>
      <c r="O127" s="83" t="s">
        <v>1137</v>
      </c>
      <c r="P127" s="84" t="s">
        <v>1138</v>
      </c>
      <c r="Q127" s="83"/>
      <c r="R127" s="84" t="s">
        <v>1404</v>
      </c>
    </row>
    <row r="128" spans="2:18" ht="25.5" x14ac:dyDescent="0.2">
      <c r="B128" s="136"/>
      <c r="C128" s="136"/>
      <c r="D128" s="83">
        <v>121</v>
      </c>
      <c r="E128" s="84" t="s">
        <v>860</v>
      </c>
      <c r="F128" s="84" t="s">
        <v>11</v>
      </c>
      <c r="G128" s="83" t="s">
        <v>1484</v>
      </c>
      <c r="H128" s="83" t="s">
        <v>9</v>
      </c>
      <c r="I128" s="83" t="s">
        <v>2</v>
      </c>
      <c r="J128" s="84" t="s">
        <v>1136</v>
      </c>
      <c r="K128" s="85">
        <v>27759</v>
      </c>
      <c r="L128" s="83">
        <v>1975</v>
      </c>
      <c r="M128" s="83">
        <f t="shared" si="3"/>
        <v>44</v>
      </c>
      <c r="N128" s="83" t="s">
        <v>3</v>
      </c>
      <c r="O128" s="83" t="s">
        <v>1137</v>
      </c>
      <c r="P128" s="84" t="s">
        <v>1138</v>
      </c>
      <c r="Q128" s="83"/>
      <c r="R128" s="84" t="s">
        <v>1404</v>
      </c>
    </row>
    <row r="129" spans="1:18" ht="25.5" x14ac:dyDescent="0.2">
      <c r="B129" s="136"/>
      <c r="C129" s="136"/>
      <c r="D129" s="83">
        <v>122</v>
      </c>
      <c r="E129" s="84" t="s">
        <v>861</v>
      </c>
      <c r="F129" s="84" t="s">
        <v>17</v>
      </c>
      <c r="G129" s="83" t="s">
        <v>1485</v>
      </c>
      <c r="H129" s="83" t="s">
        <v>9</v>
      </c>
      <c r="I129" s="83" t="s">
        <v>14</v>
      </c>
      <c r="J129" s="84" t="s">
        <v>1156</v>
      </c>
      <c r="K129" s="85">
        <v>37899</v>
      </c>
      <c r="L129" s="83">
        <v>2003</v>
      </c>
      <c r="M129" s="83">
        <f t="shared" si="3"/>
        <v>16</v>
      </c>
      <c r="N129" s="83" t="s">
        <v>3</v>
      </c>
      <c r="O129" s="83" t="s">
        <v>1137</v>
      </c>
      <c r="P129" s="84" t="s">
        <v>1138</v>
      </c>
      <c r="Q129" s="83"/>
      <c r="R129" s="84" t="s">
        <v>1160</v>
      </c>
    </row>
    <row r="130" spans="1:18" ht="25.5" x14ac:dyDescent="0.2">
      <c r="B130" s="136"/>
      <c r="C130" s="136"/>
      <c r="D130" s="83">
        <v>123</v>
      </c>
      <c r="E130" s="84" t="s">
        <v>862</v>
      </c>
      <c r="F130" s="84" t="s">
        <v>17</v>
      </c>
      <c r="G130" s="83" t="s">
        <v>1486</v>
      </c>
      <c r="H130" s="83" t="s">
        <v>1</v>
      </c>
      <c r="I130" s="83" t="s">
        <v>14</v>
      </c>
      <c r="J130" s="84" t="s">
        <v>1156</v>
      </c>
      <c r="K130" s="85">
        <v>40216</v>
      </c>
      <c r="L130" s="83">
        <v>2010</v>
      </c>
      <c r="M130" s="83">
        <f t="shared" si="3"/>
        <v>9</v>
      </c>
      <c r="N130" s="83" t="s">
        <v>3</v>
      </c>
      <c r="O130" s="83" t="s">
        <v>1137</v>
      </c>
      <c r="P130" s="84" t="s">
        <v>1139</v>
      </c>
      <c r="Q130" s="83"/>
      <c r="R130" s="84" t="s">
        <v>1448</v>
      </c>
    </row>
    <row r="131" spans="1:18" x14ac:dyDescent="0.2">
      <c r="B131" s="136">
        <v>41</v>
      </c>
      <c r="C131" s="83"/>
      <c r="D131" s="83">
        <v>124</v>
      </c>
      <c r="E131" s="84" t="s">
        <v>863</v>
      </c>
      <c r="F131" s="84" t="s">
        <v>6</v>
      </c>
      <c r="G131" s="83">
        <v>0</v>
      </c>
      <c r="H131" s="83" t="s">
        <v>9</v>
      </c>
      <c r="I131" s="83" t="s">
        <v>24</v>
      </c>
      <c r="J131" s="84"/>
      <c r="K131" s="85">
        <v>20454</v>
      </c>
      <c r="L131" s="83">
        <v>1955</v>
      </c>
      <c r="M131" s="83">
        <f t="shared" si="3"/>
        <v>64</v>
      </c>
      <c r="N131" s="83" t="s">
        <v>3</v>
      </c>
      <c r="O131" s="83"/>
      <c r="P131" s="84" t="s">
        <v>16</v>
      </c>
      <c r="Q131" s="83"/>
      <c r="R131" s="84" t="s">
        <v>16</v>
      </c>
    </row>
    <row r="132" spans="1:18" x14ac:dyDescent="0.2">
      <c r="B132" s="136"/>
      <c r="C132" s="83"/>
      <c r="D132" s="83">
        <v>125</v>
      </c>
      <c r="E132" s="84" t="s">
        <v>864</v>
      </c>
      <c r="F132" s="84" t="s">
        <v>17</v>
      </c>
      <c r="G132" s="83">
        <v>0</v>
      </c>
      <c r="H132" s="83" t="s">
        <v>9</v>
      </c>
      <c r="I132" s="83" t="s">
        <v>24</v>
      </c>
      <c r="J132" s="84"/>
      <c r="K132" s="85">
        <v>25933</v>
      </c>
      <c r="L132" s="83">
        <v>1970</v>
      </c>
      <c r="M132" s="83">
        <f t="shared" si="3"/>
        <v>49</v>
      </c>
      <c r="N132" s="83" t="s">
        <v>3</v>
      </c>
      <c r="O132" s="83"/>
      <c r="P132" s="84" t="s">
        <v>16</v>
      </c>
      <c r="Q132" s="83"/>
      <c r="R132" s="84" t="s">
        <v>109</v>
      </c>
    </row>
    <row r="133" spans="1:18" x14ac:dyDescent="0.2">
      <c r="B133" s="136">
        <v>42</v>
      </c>
      <c r="C133" s="83"/>
      <c r="D133" s="83">
        <v>126</v>
      </c>
      <c r="E133" s="84" t="s">
        <v>865</v>
      </c>
      <c r="F133" s="84" t="s">
        <v>6</v>
      </c>
      <c r="G133" s="83" t="s">
        <v>866</v>
      </c>
      <c r="H133" s="83" t="s">
        <v>1</v>
      </c>
      <c r="I133" s="83" t="s">
        <v>2</v>
      </c>
      <c r="J133" s="84"/>
      <c r="K133" s="85">
        <v>29586</v>
      </c>
      <c r="L133" s="83">
        <v>1980</v>
      </c>
      <c r="M133" s="83">
        <f t="shared" si="3"/>
        <v>39</v>
      </c>
      <c r="N133" s="83" t="s">
        <v>3</v>
      </c>
      <c r="O133" s="83"/>
      <c r="P133" s="84" t="s">
        <v>15</v>
      </c>
      <c r="Q133" s="83"/>
      <c r="R133" s="84" t="s">
        <v>10</v>
      </c>
    </row>
    <row r="134" spans="1:18" x14ac:dyDescent="0.2">
      <c r="B134" s="136"/>
      <c r="C134" s="83"/>
      <c r="D134" s="83">
        <v>127</v>
      </c>
      <c r="E134" s="84" t="s">
        <v>469</v>
      </c>
      <c r="F134" s="84" t="s">
        <v>11</v>
      </c>
      <c r="G134" s="83" t="s">
        <v>867</v>
      </c>
      <c r="H134" s="83" t="s">
        <v>9</v>
      </c>
      <c r="I134" s="83" t="s">
        <v>2</v>
      </c>
      <c r="J134" s="84"/>
      <c r="K134" s="85">
        <v>30710</v>
      </c>
      <c r="L134" s="83">
        <v>1984</v>
      </c>
      <c r="M134" s="83">
        <f t="shared" si="3"/>
        <v>35</v>
      </c>
      <c r="N134" s="83" t="s">
        <v>3</v>
      </c>
      <c r="O134" s="83"/>
      <c r="P134" s="84" t="s">
        <v>54</v>
      </c>
      <c r="Q134" s="83"/>
      <c r="R134" s="84" t="s">
        <v>10</v>
      </c>
    </row>
    <row r="135" spans="1:18" ht="25.5" x14ac:dyDescent="0.2">
      <c r="B135" s="136"/>
      <c r="C135" s="83"/>
      <c r="D135" s="83">
        <v>128</v>
      </c>
      <c r="E135" s="84" t="s">
        <v>868</v>
      </c>
      <c r="F135" s="84" t="s">
        <v>17</v>
      </c>
      <c r="G135" s="83" t="s">
        <v>869</v>
      </c>
      <c r="H135" s="83" t="s">
        <v>1</v>
      </c>
      <c r="I135" s="83" t="s">
        <v>14</v>
      </c>
      <c r="J135" s="84"/>
      <c r="K135" s="85">
        <v>39318</v>
      </c>
      <c r="L135" s="83">
        <v>2007</v>
      </c>
      <c r="M135" s="83">
        <f t="shared" si="3"/>
        <v>12</v>
      </c>
      <c r="N135" s="83" t="s">
        <v>3</v>
      </c>
      <c r="O135" s="83"/>
      <c r="P135" s="84" t="s">
        <v>16</v>
      </c>
      <c r="Q135" s="83"/>
      <c r="R135" s="84" t="s">
        <v>16</v>
      </c>
    </row>
    <row r="136" spans="1:18" ht="25.5" x14ac:dyDescent="0.2">
      <c r="B136" s="136"/>
      <c r="C136" s="83"/>
      <c r="D136" s="83">
        <v>129</v>
      </c>
      <c r="E136" s="84" t="s">
        <v>870</v>
      </c>
      <c r="F136" s="84" t="s">
        <v>17</v>
      </c>
      <c r="G136" s="83" t="s">
        <v>871</v>
      </c>
      <c r="H136" s="83" t="s">
        <v>1</v>
      </c>
      <c r="I136" s="83" t="s">
        <v>14</v>
      </c>
      <c r="J136" s="84"/>
      <c r="K136" s="85">
        <v>41961</v>
      </c>
      <c r="L136" s="83">
        <v>2014</v>
      </c>
      <c r="M136" s="83">
        <f t="shared" si="3"/>
        <v>5</v>
      </c>
      <c r="N136" s="83" t="s">
        <v>3</v>
      </c>
      <c r="O136" s="83"/>
      <c r="P136" s="84" t="s">
        <v>16</v>
      </c>
      <c r="Q136" s="83"/>
      <c r="R136" s="84" t="s">
        <v>16</v>
      </c>
    </row>
    <row r="137" spans="1:18" ht="25.5" x14ac:dyDescent="0.2">
      <c r="B137" s="137">
        <v>43</v>
      </c>
      <c r="C137" s="137" t="s">
        <v>1442</v>
      </c>
      <c r="D137" s="83">
        <v>130</v>
      </c>
      <c r="E137" s="84" t="s">
        <v>872</v>
      </c>
      <c r="F137" s="84" t="s">
        <v>6</v>
      </c>
      <c r="G137" s="83" t="s">
        <v>873</v>
      </c>
      <c r="H137" s="83" t="s">
        <v>1</v>
      </c>
      <c r="I137" s="83" t="s">
        <v>2</v>
      </c>
      <c r="J137" s="84" t="s">
        <v>1136</v>
      </c>
      <c r="K137" s="85">
        <v>22098</v>
      </c>
      <c r="L137" s="83">
        <v>1960</v>
      </c>
      <c r="M137" s="83">
        <f t="shared" si="3"/>
        <v>59</v>
      </c>
      <c r="N137" s="83" t="s">
        <v>3</v>
      </c>
      <c r="O137" s="83" t="s">
        <v>1137</v>
      </c>
      <c r="P137" s="84" t="s">
        <v>1138</v>
      </c>
      <c r="Q137" s="83"/>
      <c r="R137" s="84" t="s">
        <v>1404</v>
      </c>
    </row>
    <row r="138" spans="1:18" ht="25.5" x14ac:dyDescent="0.2">
      <c r="B138" s="139"/>
      <c r="C138" s="139"/>
      <c r="D138" s="83">
        <v>131</v>
      </c>
      <c r="E138" s="84" t="s">
        <v>874</v>
      </c>
      <c r="F138" s="84" t="s">
        <v>11</v>
      </c>
      <c r="G138" s="83" t="s">
        <v>875</v>
      </c>
      <c r="H138" s="83" t="s">
        <v>9</v>
      </c>
      <c r="I138" s="83" t="s">
        <v>2</v>
      </c>
      <c r="J138" s="84" t="s">
        <v>1136</v>
      </c>
      <c r="K138" s="85">
        <v>22463</v>
      </c>
      <c r="L138" s="83">
        <v>1961</v>
      </c>
      <c r="M138" s="83">
        <f t="shared" si="3"/>
        <v>58</v>
      </c>
      <c r="N138" s="83" t="s">
        <v>3</v>
      </c>
      <c r="O138" s="83" t="s">
        <v>1137</v>
      </c>
      <c r="P138" s="84" t="s">
        <v>1138</v>
      </c>
      <c r="Q138" s="83"/>
      <c r="R138" s="84" t="s">
        <v>1404</v>
      </c>
    </row>
    <row r="139" spans="1:18" ht="25.5" x14ac:dyDescent="0.2">
      <c r="B139" s="136">
        <v>44</v>
      </c>
      <c r="C139" s="136" t="s">
        <v>1458</v>
      </c>
      <c r="D139" s="83">
        <v>132</v>
      </c>
      <c r="E139" s="84" t="s">
        <v>878</v>
      </c>
      <c r="F139" s="84" t="s">
        <v>6</v>
      </c>
      <c r="G139" s="83" t="s">
        <v>1459</v>
      </c>
      <c r="H139" s="83" t="s">
        <v>1</v>
      </c>
      <c r="I139" s="83" t="s">
        <v>2</v>
      </c>
      <c r="J139" s="84" t="s">
        <v>1136</v>
      </c>
      <c r="K139" s="85">
        <v>28352</v>
      </c>
      <c r="L139" s="83">
        <v>1977</v>
      </c>
      <c r="M139" s="83">
        <f t="shared" si="3"/>
        <v>42</v>
      </c>
      <c r="N139" s="83" t="s">
        <v>3</v>
      </c>
      <c r="O139" s="83" t="s">
        <v>1137</v>
      </c>
      <c r="P139" s="84" t="s">
        <v>1138</v>
      </c>
      <c r="Q139" s="83"/>
      <c r="R139" s="84" t="s">
        <v>10</v>
      </c>
    </row>
    <row r="140" spans="1:18" ht="25.5" x14ac:dyDescent="0.2">
      <c r="B140" s="136"/>
      <c r="C140" s="136"/>
      <c r="D140" s="83">
        <v>133</v>
      </c>
      <c r="E140" s="84" t="s">
        <v>1457</v>
      </c>
      <c r="F140" s="84" t="s">
        <v>11</v>
      </c>
      <c r="G140" s="83" t="s">
        <v>879</v>
      </c>
      <c r="H140" s="83" t="s">
        <v>9</v>
      </c>
      <c r="I140" s="83" t="s">
        <v>2</v>
      </c>
      <c r="J140" s="84" t="s">
        <v>1136</v>
      </c>
      <c r="K140" s="85">
        <v>31412</v>
      </c>
      <c r="L140" s="83">
        <v>1985</v>
      </c>
      <c r="M140" s="83">
        <f t="shared" si="3"/>
        <v>34</v>
      </c>
      <c r="N140" s="83" t="s">
        <v>3</v>
      </c>
      <c r="O140" s="83" t="s">
        <v>1137</v>
      </c>
      <c r="P140" s="84" t="s">
        <v>1138</v>
      </c>
      <c r="Q140" s="83"/>
      <c r="R140" s="84" t="s">
        <v>1141</v>
      </c>
    </row>
    <row r="141" spans="1:18" ht="25.5" x14ac:dyDescent="0.2">
      <c r="B141" s="136"/>
      <c r="C141" s="136"/>
      <c r="D141" s="83">
        <v>134</v>
      </c>
      <c r="E141" s="84" t="s">
        <v>880</v>
      </c>
      <c r="F141" s="84" t="s">
        <v>17</v>
      </c>
      <c r="G141" s="83" t="s">
        <v>1460</v>
      </c>
      <c r="H141" s="83" t="s">
        <v>1</v>
      </c>
      <c r="I141" s="83" t="s">
        <v>14</v>
      </c>
      <c r="J141" s="84" t="s">
        <v>1156</v>
      </c>
      <c r="K141" s="85">
        <v>39444</v>
      </c>
      <c r="L141" s="83">
        <v>2007</v>
      </c>
      <c r="M141" s="83">
        <f t="shared" si="3"/>
        <v>12</v>
      </c>
      <c r="N141" s="83" t="s">
        <v>3</v>
      </c>
      <c r="O141" s="83" t="s">
        <v>1137</v>
      </c>
      <c r="P141" s="84" t="s">
        <v>1138</v>
      </c>
      <c r="Q141" s="83"/>
      <c r="R141" s="84" t="s">
        <v>1160</v>
      </c>
    </row>
    <row r="142" spans="1:18" ht="25.5" x14ac:dyDescent="0.2">
      <c r="B142" s="136"/>
      <c r="C142" s="136"/>
      <c r="D142" s="83">
        <v>135</v>
      </c>
      <c r="E142" s="84" t="s">
        <v>1456</v>
      </c>
      <c r="F142" s="84" t="s">
        <v>17</v>
      </c>
      <c r="G142" s="83" t="s">
        <v>881</v>
      </c>
      <c r="H142" s="83" t="s">
        <v>1</v>
      </c>
      <c r="I142" s="83" t="s">
        <v>14</v>
      </c>
      <c r="J142" s="84" t="s">
        <v>1156</v>
      </c>
      <c r="K142" s="85">
        <v>41381</v>
      </c>
      <c r="L142" s="83">
        <v>2013</v>
      </c>
      <c r="M142" s="83">
        <f t="shared" si="3"/>
        <v>6</v>
      </c>
      <c r="N142" s="83" t="s">
        <v>3</v>
      </c>
      <c r="O142" s="83" t="s">
        <v>1137</v>
      </c>
      <c r="P142" s="84" t="s">
        <v>1139</v>
      </c>
      <c r="Q142" s="83"/>
      <c r="R142" s="84" t="s">
        <v>1448</v>
      </c>
    </row>
    <row r="143" spans="1:18" s="41" customFormat="1" ht="25.5" x14ac:dyDescent="0.2">
      <c r="A143" s="42"/>
      <c r="B143" s="137">
        <v>45</v>
      </c>
      <c r="C143" s="137" t="s">
        <v>1199</v>
      </c>
      <c r="D143" s="83">
        <v>136</v>
      </c>
      <c r="E143" s="84" t="s">
        <v>567</v>
      </c>
      <c r="F143" s="84" t="s">
        <v>6</v>
      </c>
      <c r="G143" s="83" t="s">
        <v>568</v>
      </c>
      <c r="H143" s="83" t="s">
        <v>1</v>
      </c>
      <c r="I143" s="83" t="s">
        <v>2</v>
      </c>
      <c r="J143" s="84" t="s">
        <v>1136</v>
      </c>
      <c r="K143" s="85">
        <v>25933</v>
      </c>
      <c r="L143" s="83">
        <v>1955</v>
      </c>
      <c r="M143" s="83">
        <f t="shared" si="3"/>
        <v>64</v>
      </c>
      <c r="N143" s="83" t="s">
        <v>3</v>
      </c>
      <c r="O143" s="83" t="s">
        <v>1137</v>
      </c>
      <c r="P143" s="84" t="s">
        <v>1138</v>
      </c>
      <c r="Q143" s="83"/>
      <c r="R143" s="84" t="s">
        <v>1174</v>
      </c>
    </row>
    <row r="144" spans="1:18" s="41" customFormat="1" ht="25.5" x14ac:dyDescent="0.2">
      <c r="A144" s="43"/>
      <c r="B144" s="138"/>
      <c r="C144" s="138"/>
      <c r="D144" s="83">
        <v>137</v>
      </c>
      <c r="E144" s="84" t="s">
        <v>569</v>
      </c>
      <c r="F144" s="84" t="s">
        <v>11</v>
      </c>
      <c r="G144" s="83" t="s">
        <v>570</v>
      </c>
      <c r="H144" s="83" t="s">
        <v>9</v>
      </c>
      <c r="I144" s="83" t="s">
        <v>2</v>
      </c>
      <c r="J144" s="84" t="s">
        <v>1416</v>
      </c>
      <c r="K144" s="85">
        <v>27211</v>
      </c>
      <c r="L144" s="83">
        <v>1973</v>
      </c>
      <c r="M144" s="83">
        <f t="shared" si="3"/>
        <v>46</v>
      </c>
      <c r="N144" s="83" t="s">
        <v>3</v>
      </c>
      <c r="O144" s="83" t="s">
        <v>1137</v>
      </c>
      <c r="P144" s="84" t="s">
        <v>1159</v>
      </c>
      <c r="Q144" s="83"/>
      <c r="R144" s="84" t="s">
        <v>1141</v>
      </c>
    </row>
    <row r="145" spans="1:18" s="41" customFormat="1" ht="25.5" x14ac:dyDescent="0.2">
      <c r="A145" s="43"/>
      <c r="B145" s="138"/>
      <c r="C145" s="138"/>
      <c r="D145" s="83">
        <v>138</v>
      </c>
      <c r="E145" s="84" t="s">
        <v>1195</v>
      </c>
      <c r="F145" s="84" t="s">
        <v>17</v>
      </c>
      <c r="G145" s="83" t="s">
        <v>1197</v>
      </c>
      <c r="H145" s="83" t="s">
        <v>1</v>
      </c>
      <c r="I145" s="83" t="s">
        <v>14</v>
      </c>
      <c r="J145" s="84" t="s">
        <v>1136</v>
      </c>
      <c r="K145" s="85">
        <v>36969</v>
      </c>
      <c r="L145" s="83">
        <v>2001</v>
      </c>
      <c r="M145" s="83">
        <f t="shared" si="3"/>
        <v>18</v>
      </c>
      <c r="N145" s="83" t="s">
        <v>3</v>
      </c>
      <c r="O145" s="83" t="s">
        <v>1137</v>
      </c>
      <c r="P145" s="84" t="s">
        <v>1178</v>
      </c>
      <c r="Q145" s="83"/>
      <c r="R145" s="84" t="s">
        <v>1160</v>
      </c>
    </row>
    <row r="146" spans="1:18" s="41" customFormat="1" ht="25.5" x14ac:dyDescent="0.2">
      <c r="A146" s="44"/>
      <c r="B146" s="139"/>
      <c r="C146" s="139"/>
      <c r="D146" s="83">
        <v>139</v>
      </c>
      <c r="E146" s="84" t="s">
        <v>576</v>
      </c>
      <c r="F146" s="84" t="s">
        <v>17</v>
      </c>
      <c r="G146" s="83" t="s">
        <v>1198</v>
      </c>
      <c r="H146" s="83" t="s">
        <v>9</v>
      </c>
      <c r="I146" s="83" t="s">
        <v>14</v>
      </c>
      <c r="J146" s="84" t="s">
        <v>1136</v>
      </c>
      <c r="K146" s="85">
        <v>41290</v>
      </c>
      <c r="L146" s="83">
        <v>2013</v>
      </c>
      <c r="M146" s="83">
        <f t="shared" ref="M146:M156" si="4">2019-L146</f>
        <v>6</v>
      </c>
      <c r="N146" s="83" t="s">
        <v>3</v>
      </c>
      <c r="O146" s="83" t="s">
        <v>1137</v>
      </c>
      <c r="P146" s="84" t="s">
        <v>1139</v>
      </c>
      <c r="Q146" s="83"/>
      <c r="R146" s="84" t="s">
        <v>1140</v>
      </c>
    </row>
    <row r="147" spans="1:18" s="41" customFormat="1" ht="25.5" x14ac:dyDescent="0.2">
      <c r="A147" s="45"/>
      <c r="B147" s="136">
        <v>46</v>
      </c>
      <c r="C147" s="136" t="s">
        <v>1406</v>
      </c>
      <c r="D147" s="83">
        <v>140</v>
      </c>
      <c r="E147" s="84" t="s">
        <v>1407</v>
      </c>
      <c r="F147" s="84" t="s">
        <v>6</v>
      </c>
      <c r="G147" s="83" t="s">
        <v>1410</v>
      </c>
      <c r="H147" s="83" t="s">
        <v>1</v>
      </c>
      <c r="I147" s="83" t="s">
        <v>2</v>
      </c>
      <c r="J147" s="84" t="s">
        <v>1136</v>
      </c>
      <c r="K147" s="85">
        <v>20637</v>
      </c>
      <c r="L147" s="83">
        <v>1956</v>
      </c>
      <c r="M147" s="83">
        <f t="shared" si="4"/>
        <v>63</v>
      </c>
      <c r="N147" s="83" t="s">
        <v>3</v>
      </c>
      <c r="O147" s="83" t="s">
        <v>1137</v>
      </c>
      <c r="P147" s="84" t="s">
        <v>1159</v>
      </c>
      <c r="Q147" s="83"/>
      <c r="R147" s="84" t="s">
        <v>1415</v>
      </c>
    </row>
    <row r="148" spans="1:18" s="41" customFormat="1" ht="25.5" x14ac:dyDescent="0.2">
      <c r="A148" s="46"/>
      <c r="B148" s="136"/>
      <c r="C148" s="136"/>
      <c r="D148" s="83">
        <v>141</v>
      </c>
      <c r="E148" s="84" t="s">
        <v>720</v>
      </c>
      <c r="F148" s="84" t="s">
        <v>11</v>
      </c>
      <c r="G148" s="83" t="s">
        <v>1411</v>
      </c>
      <c r="H148" s="83" t="s">
        <v>9</v>
      </c>
      <c r="I148" s="83" t="s">
        <v>2</v>
      </c>
      <c r="J148" s="84" t="s">
        <v>1414</v>
      </c>
      <c r="K148" s="85">
        <v>27576</v>
      </c>
      <c r="L148" s="83">
        <v>1975</v>
      </c>
      <c r="M148" s="83">
        <f t="shared" si="4"/>
        <v>44</v>
      </c>
      <c r="N148" s="83" t="s">
        <v>3</v>
      </c>
      <c r="O148" s="83" t="s">
        <v>1137</v>
      </c>
      <c r="P148" s="84" t="s">
        <v>1138</v>
      </c>
      <c r="Q148" s="83"/>
      <c r="R148" s="84" t="s">
        <v>1404</v>
      </c>
    </row>
    <row r="149" spans="1:18" s="41" customFormat="1" ht="25.5" x14ac:dyDescent="0.2">
      <c r="A149" s="46"/>
      <c r="B149" s="136"/>
      <c r="C149" s="136"/>
      <c r="D149" s="83">
        <v>142</v>
      </c>
      <c r="E149" s="84" t="s">
        <v>1408</v>
      </c>
      <c r="F149" s="84" t="s">
        <v>17</v>
      </c>
      <c r="G149" s="83" t="s">
        <v>1412</v>
      </c>
      <c r="H149" s="83" t="s">
        <v>9</v>
      </c>
      <c r="I149" s="83" t="s">
        <v>14</v>
      </c>
      <c r="J149" s="84" t="s">
        <v>1414</v>
      </c>
      <c r="K149" s="85">
        <v>38827</v>
      </c>
      <c r="L149" s="83">
        <v>2006</v>
      </c>
      <c r="M149" s="83">
        <f t="shared" si="4"/>
        <v>13</v>
      </c>
      <c r="N149" s="83" t="s">
        <v>3</v>
      </c>
      <c r="O149" s="83" t="s">
        <v>1137</v>
      </c>
      <c r="P149" s="84" t="s">
        <v>1178</v>
      </c>
      <c r="Q149" s="83"/>
      <c r="R149" s="84" t="s">
        <v>1160</v>
      </c>
    </row>
    <row r="150" spans="1:18" s="41" customFormat="1" ht="25.5" x14ac:dyDescent="0.2">
      <c r="A150" s="46"/>
      <c r="B150" s="136"/>
      <c r="C150" s="136"/>
      <c r="D150" s="83">
        <v>143</v>
      </c>
      <c r="E150" s="84" t="s">
        <v>1409</v>
      </c>
      <c r="F150" s="84" t="s">
        <v>17</v>
      </c>
      <c r="G150" s="83" t="s">
        <v>1413</v>
      </c>
      <c r="H150" s="83" t="s">
        <v>9</v>
      </c>
      <c r="I150" s="83" t="s">
        <v>14</v>
      </c>
      <c r="J150" s="84" t="s">
        <v>1156</v>
      </c>
      <c r="K150" s="85">
        <v>43092</v>
      </c>
      <c r="L150" s="83">
        <v>2017</v>
      </c>
      <c r="M150" s="83">
        <f t="shared" si="4"/>
        <v>2</v>
      </c>
      <c r="N150" s="83" t="s">
        <v>3</v>
      </c>
      <c r="O150" s="83" t="s">
        <v>1137</v>
      </c>
      <c r="P150" s="84" t="s">
        <v>1139</v>
      </c>
      <c r="Q150" s="83"/>
      <c r="R150" s="84" t="s">
        <v>1140</v>
      </c>
    </row>
    <row r="151" spans="1:18" x14ac:dyDescent="0.2">
      <c r="B151" s="137">
        <v>47</v>
      </c>
      <c r="C151" s="137" t="s">
        <v>1418</v>
      </c>
      <c r="D151" s="83">
        <v>144</v>
      </c>
      <c r="E151" s="84" t="s">
        <v>617</v>
      </c>
      <c r="F151" s="84" t="s">
        <v>6</v>
      </c>
      <c r="G151" s="83" t="s">
        <v>618</v>
      </c>
      <c r="H151" s="83" t="s">
        <v>1</v>
      </c>
      <c r="I151" s="83" t="s">
        <v>2</v>
      </c>
      <c r="J151" s="84" t="s">
        <v>1156</v>
      </c>
      <c r="K151" s="85">
        <v>25620</v>
      </c>
      <c r="L151" s="83">
        <v>1970</v>
      </c>
      <c r="M151" s="83">
        <f t="shared" si="4"/>
        <v>49</v>
      </c>
      <c r="N151" s="83" t="s">
        <v>3</v>
      </c>
      <c r="O151" s="83" t="s">
        <v>1137</v>
      </c>
      <c r="P151" s="84" t="s">
        <v>1172</v>
      </c>
      <c r="Q151" s="83"/>
      <c r="R151" s="84" t="s">
        <v>1229</v>
      </c>
    </row>
    <row r="152" spans="1:18" ht="25.5" x14ac:dyDescent="0.2">
      <c r="B152" s="138"/>
      <c r="C152" s="138"/>
      <c r="D152" s="83">
        <v>145</v>
      </c>
      <c r="E152" s="84" t="s">
        <v>619</v>
      </c>
      <c r="F152" s="84" t="s">
        <v>11</v>
      </c>
      <c r="G152" s="83" t="s">
        <v>1419</v>
      </c>
      <c r="H152" s="83" t="s">
        <v>9</v>
      </c>
      <c r="I152" s="83" t="s">
        <v>2</v>
      </c>
      <c r="J152" s="84" t="s">
        <v>1246</v>
      </c>
      <c r="K152" s="85">
        <v>26809</v>
      </c>
      <c r="L152" s="83">
        <v>1973</v>
      </c>
      <c r="M152" s="83">
        <f t="shared" si="4"/>
        <v>46</v>
      </c>
      <c r="N152" s="83" t="s">
        <v>3</v>
      </c>
      <c r="O152" s="83" t="s">
        <v>1137</v>
      </c>
      <c r="P152" s="84" t="s">
        <v>1159</v>
      </c>
      <c r="Q152" s="83"/>
      <c r="R152" s="84" t="s">
        <v>1141</v>
      </c>
    </row>
    <row r="153" spans="1:18" ht="25.5" x14ac:dyDescent="0.2">
      <c r="B153" s="139"/>
      <c r="C153" s="139"/>
      <c r="D153" s="83">
        <v>146</v>
      </c>
      <c r="E153" s="84" t="s">
        <v>624</v>
      </c>
      <c r="F153" s="84" t="s">
        <v>17</v>
      </c>
      <c r="G153" s="83" t="s">
        <v>625</v>
      </c>
      <c r="H153" s="83" t="s">
        <v>1</v>
      </c>
      <c r="I153" s="83" t="s">
        <v>14</v>
      </c>
      <c r="J153" s="84" t="s">
        <v>1156</v>
      </c>
      <c r="K153" s="85">
        <v>36760</v>
      </c>
      <c r="L153" s="83">
        <v>2000</v>
      </c>
      <c r="M153" s="83">
        <f t="shared" si="4"/>
        <v>19</v>
      </c>
      <c r="N153" s="83" t="s">
        <v>3</v>
      </c>
      <c r="O153" s="83" t="s">
        <v>1137</v>
      </c>
      <c r="P153" s="84" t="s">
        <v>1138</v>
      </c>
      <c r="Q153" s="83"/>
      <c r="R153" s="84" t="s">
        <v>1160</v>
      </c>
    </row>
    <row r="154" spans="1:18" ht="25.5" x14ac:dyDescent="0.2">
      <c r="B154" s="137">
        <v>48</v>
      </c>
      <c r="C154" s="137" t="s">
        <v>1443</v>
      </c>
      <c r="D154" s="83">
        <v>147</v>
      </c>
      <c r="E154" s="84" t="s">
        <v>695</v>
      </c>
      <c r="F154" s="84" t="s">
        <v>6</v>
      </c>
      <c r="G154" s="83" t="s">
        <v>696</v>
      </c>
      <c r="H154" s="83" t="s">
        <v>1</v>
      </c>
      <c r="I154" s="83" t="s">
        <v>2</v>
      </c>
      <c r="J154" s="84" t="s">
        <v>1136</v>
      </c>
      <c r="K154" s="85">
        <v>33407</v>
      </c>
      <c r="L154" s="83">
        <v>1991</v>
      </c>
      <c r="M154" s="83">
        <f t="shared" si="4"/>
        <v>28</v>
      </c>
      <c r="N154" s="83" t="s">
        <v>3</v>
      </c>
      <c r="O154" s="83" t="s">
        <v>1137</v>
      </c>
      <c r="P154" s="84" t="s">
        <v>1159</v>
      </c>
      <c r="Q154" s="83"/>
      <c r="R154" s="84" t="s">
        <v>10</v>
      </c>
    </row>
    <row r="155" spans="1:18" ht="25.5" x14ac:dyDescent="0.2">
      <c r="B155" s="138"/>
      <c r="C155" s="138"/>
      <c r="D155" s="83">
        <v>148</v>
      </c>
      <c r="E155" s="84" t="s">
        <v>117</v>
      </c>
      <c r="F155" s="84" t="s">
        <v>11</v>
      </c>
      <c r="G155" s="83" t="s">
        <v>1445</v>
      </c>
      <c r="H155" s="83" t="s">
        <v>9</v>
      </c>
      <c r="I155" s="83" t="s">
        <v>2</v>
      </c>
      <c r="J155" s="84" t="s">
        <v>1447</v>
      </c>
      <c r="K155" s="85">
        <v>35161</v>
      </c>
      <c r="L155" s="83">
        <v>1996</v>
      </c>
      <c r="M155" s="83">
        <f t="shared" si="4"/>
        <v>23</v>
      </c>
      <c r="N155" s="83" t="s">
        <v>3</v>
      </c>
      <c r="O155" s="83" t="s">
        <v>1137</v>
      </c>
      <c r="P155" s="84" t="s">
        <v>1172</v>
      </c>
      <c r="Q155" s="83"/>
      <c r="R155" s="84" t="s">
        <v>1141</v>
      </c>
    </row>
    <row r="156" spans="1:18" ht="25.5" x14ac:dyDescent="0.2">
      <c r="B156" s="139"/>
      <c r="C156" s="139"/>
      <c r="D156" s="83">
        <v>149</v>
      </c>
      <c r="E156" s="84" t="s">
        <v>1444</v>
      </c>
      <c r="F156" s="84" t="s">
        <v>17</v>
      </c>
      <c r="G156" s="83" t="s">
        <v>1446</v>
      </c>
      <c r="H156" s="83" t="s">
        <v>1</v>
      </c>
      <c r="I156" s="83" t="s">
        <v>14</v>
      </c>
      <c r="J156" s="84" t="s">
        <v>1246</v>
      </c>
      <c r="K156" s="85">
        <v>43300</v>
      </c>
      <c r="L156" s="83">
        <v>2018</v>
      </c>
      <c r="M156" s="83">
        <f t="shared" si="4"/>
        <v>1</v>
      </c>
      <c r="N156" s="83" t="s">
        <v>3</v>
      </c>
      <c r="O156" s="83" t="s">
        <v>1137</v>
      </c>
      <c r="P156" s="84" t="s">
        <v>1139</v>
      </c>
      <c r="Q156" s="83"/>
      <c r="R156" s="84" t="s">
        <v>1448</v>
      </c>
    </row>
    <row r="157" spans="1:18" s="41" customFormat="1" x14ac:dyDescent="0.2">
      <c r="A157" s="45"/>
      <c r="B157" s="136">
        <v>49</v>
      </c>
      <c r="C157" s="136" t="s">
        <v>1466</v>
      </c>
      <c r="D157" s="83">
        <v>150</v>
      </c>
      <c r="E157" s="84" t="s">
        <v>1467</v>
      </c>
      <c r="F157" s="84" t="s">
        <v>6</v>
      </c>
      <c r="G157" s="83" t="s">
        <v>1470</v>
      </c>
      <c r="H157" s="83" t="s">
        <v>1</v>
      </c>
      <c r="I157" s="83" t="s">
        <v>2</v>
      </c>
      <c r="J157" s="84" t="s">
        <v>1156</v>
      </c>
      <c r="K157" s="85">
        <v>26481</v>
      </c>
      <c r="L157" s="83">
        <v>1972</v>
      </c>
      <c r="M157" s="83">
        <f t="shared" ref="M157:M160" si="5">2019-L157</f>
        <v>47</v>
      </c>
      <c r="N157" s="83" t="s">
        <v>3</v>
      </c>
      <c r="O157" s="83" t="s">
        <v>1137</v>
      </c>
      <c r="P157" s="84" t="s">
        <v>1172</v>
      </c>
      <c r="Q157" s="83"/>
      <c r="R157" s="84" t="s">
        <v>1371</v>
      </c>
    </row>
    <row r="158" spans="1:18" s="41" customFormat="1" ht="25.5" x14ac:dyDescent="0.2">
      <c r="A158" s="46"/>
      <c r="B158" s="136"/>
      <c r="C158" s="136"/>
      <c r="D158" s="83">
        <v>151</v>
      </c>
      <c r="E158" s="84" t="s">
        <v>917</v>
      </c>
      <c r="F158" s="84" t="s">
        <v>11</v>
      </c>
      <c r="G158" s="83" t="s">
        <v>1471</v>
      </c>
      <c r="H158" s="83" t="s">
        <v>9</v>
      </c>
      <c r="I158" s="83" t="s">
        <v>2</v>
      </c>
      <c r="J158" s="84" t="s">
        <v>1136</v>
      </c>
      <c r="K158" s="85">
        <v>26846</v>
      </c>
      <c r="L158" s="83">
        <v>1973</v>
      </c>
      <c r="M158" s="83">
        <f t="shared" si="5"/>
        <v>46</v>
      </c>
      <c r="N158" s="83" t="s">
        <v>3</v>
      </c>
      <c r="O158" s="83" t="s">
        <v>1137</v>
      </c>
      <c r="P158" s="84" t="s">
        <v>1138</v>
      </c>
      <c r="Q158" s="83"/>
      <c r="R158" s="84" t="s">
        <v>1141</v>
      </c>
    </row>
    <row r="159" spans="1:18" s="41" customFormat="1" ht="25.5" x14ac:dyDescent="0.2">
      <c r="A159" s="46"/>
      <c r="B159" s="136"/>
      <c r="C159" s="136"/>
      <c r="D159" s="83">
        <v>152</v>
      </c>
      <c r="E159" s="84" t="s">
        <v>1468</v>
      </c>
      <c r="F159" s="84" t="s">
        <v>17</v>
      </c>
      <c r="G159" s="83" t="s">
        <v>1472</v>
      </c>
      <c r="H159" s="83" t="s">
        <v>9</v>
      </c>
      <c r="I159" s="83" t="s">
        <v>14</v>
      </c>
      <c r="J159" s="84" t="s">
        <v>1136</v>
      </c>
      <c r="K159" s="85">
        <v>34442</v>
      </c>
      <c r="L159" s="83">
        <v>1994</v>
      </c>
      <c r="M159" s="83">
        <f t="shared" si="5"/>
        <v>25</v>
      </c>
      <c r="N159" s="83" t="s">
        <v>3</v>
      </c>
      <c r="O159" s="83" t="s">
        <v>1137</v>
      </c>
      <c r="P159" s="84" t="s">
        <v>1159</v>
      </c>
      <c r="Q159" s="83"/>
      <c r="R159" s="84" t="s">
        <v>1160</v>
      </c>
    </row>
    <row r="160" spans="1:18" s="41" customFormat="1" ht="25.5" x14ac:dyDescent="0.2">
      <c r="A160" s="46"/>
      <c r="B160" s="136"/>
      <c r="C160" s="136"/>
      <c r="D160" s="83">
        <v>153</v>
      </c>
      <c r="E160" s="84" t="s">
        <v>1469</v>
      </c>
      <c r="F160" s="84" t="s">
        <v>17</v>
      </c>
      <c r="G160" s="83" t="s">
        <v>1473</v>
      </c>
      <c r="H160" s="83" t="s">
        <v>1</v>
      </c>
      <c r="I160" s="83" t="s">
        <v>14</v>
      </c>
      <c r="J160" s="84" t="s">
        <v>1156</v>
      </c>
      <c r="K160" s="85">
        <v>38528</v>
      </c>
      <c r="L160" s="83">
        <v>2005</v>
      </c>
      <c r="M160" s="83">
        <f t="shared" si="5"/>
        <v>14</v>
      </c>
      <c r="N160" s="83" t="s">
        <v>3</v>
      </c>
      <c r="O160" s="83" t="s">
        <v>1137</v>
      </c>
      <c r="P160" s="84" t="s">
        <v>1138</v>
      </c>
      <c r="Q160" s="83"/>
      <c r="R160" s="84" t="s">
        <v>1160</v>
      </c>
    </row>
    <row r="164" spans="4:18" s="99" customFormat="1" ht="15" x14ac:dyDescent="0.25">
      <c r="D164" s="145" t="s">
        <v>1665</v>
      </c>
      <c r="E164" s="145"/>
      <c r="F164" s="145"/>
      <c r="L164" s="115"/>
      <c r="P164" s="100"/>
      <c r="R164" s="100"/>
    </row>
    <row r="165" spans="4:18" s="99" customFormat="1" ht="15" x14ac:dyDescent="0.25">
      <c r="D165" s="145" t="s">
        <v>1666</v>
      </c>
      <c r="E165" s="145"/>
      <c r="F165" s="145"/>
      <c r="L165" s="115"/>
      <c r="P165" s="135" t="s">
        <v>1667</v>
      </c>
      <c r="Q165" s="135"/>
      <c r="R165" s="100"/>
    </row>
    <row r="166" spans="4:18" s="99" customFormat="1" ht="15" x14ac:dyDescent="0.25">
      <c r="D166" s="116"/>
      <c r="E166" s="117"/>
      <c r="F166" s="116"/>
      <c r="L166" s="115"/>
      <c r="P166" s="54"/>
      <c r="Q166" s="55"/>
      <c r="R166" s="100"/>
    </row>
    <row r="167" spans="4:18" s="99" customFormat="1" ht="15" x14ac:dyDescent="0.25">
      <c r="D167" s="116"/>
      <c r="E167" s="117"/>
      <c r="F167" s="116"/>
      <c r="L167" s="115"/>
      <c r="P167" s="54"/>
      <c r="Q167" s="55"/>
      <c r="R167" s="100"/>
    </row>
    <row r="168" spans="4:18" s="99" customFormat="1" ht="14.25" x14ac:dyDescent="0.2">
      <c r="D168" s="146" t="s">
        <v>1668</v>
      </c>
      <c r="E168" s="146"/>
      <c r="F168" s="146"/>
      <c r="L168" s="115"/>
      <c r="P168" s="134" t="s">
        <v>1670</v>
      </c>
      <c r="Q168" s="134"/>
      <c r="R168" s="100"/>
    </row>
    <row r="169" spans="4:18" s="99" customFormat="1" ht="14.25" x14ac:dyDescent="0.2">
      <c r="D169" s="146" t="s">
        <v>1669</v>
      </c>
      <c r="E169" s="146"/>
      <c r="F169" s="146"/>
      <c r="L169" s="115"/>
      <c r="P169" s="100"/>
      <c r="R169" s="100"/>
    </row>
  </sheetData>
  <autoFilter ref="A7:AU160"/>
  <mergeCells count="89">
    <mergeCell ref="D169:F169"/>
    <mergeCell ref="D164:F164"/>
    <mergeCell ref="D165:F165"/>
    <mergeCell ref="P165:Q165"/>
    <mergeCell ref="D168:F168"/>
    <mergeCell ref="P168:Q168"/>
    <mergeCell ref="B119:B120"/>
    <mergeCell ref="B157:B160"/>
    <mergeCell ref="C157:C160"/>
    <mergeCell ref="C33:C36"/>
    <mergeCell ref="C127:C130"/>
    <mergeCell ref="B43:B45"/>
    <mergeCell ref="B80:B83"/>
    <mergeCell ref="B84:B85"/>
    <mergeCell ref="B86:B87"/>
    <mergeCell ref="B88:B93"/>
    <mergeCell ref="B139:B142"/>
    <mergeCell ref="B110:B113"/>
    <mergeCell ref="B133:B136"/>
    <mergeCell ref="B127:B130"/>
    <mergeCell ref="C74:C79"/>
    <mergeCell ref="B137:B138"/>
    <mergeCell ref="B121:B122"/>
    <mergeCell ref="B131:B132"/>
    <mergeCell ref="B107:B109"/>
    <mergeCell ref="B125:B126"/>
    <mergeCell ref="C8:C10"/>
    <mergeCell ref="B33:B36"/>
    <mergeCell ref="B37:B40"/>
    <mergeCell ref="B41:B42"/>
    <mergeCell ref="B56:B59"/>
    <mergeCell ref="B60:B62"/>
    <mergeCell ref="B63:B64"/>
    <mergeCell ref="B65:B68"/>
    <mergeCell ref="B69:B71"/>
    <mergeCell ref="C80:C83"/>
    <mergeCell ref="C84:C85"/>
    <mergeCell ref="C88:C93"/>
    <mergeCell ref="B154:B156"/>
    <mergeCell ref="C154:C156"/>
    <mergeCell ref="B147:B150"/>
    <mergeCell ref="C147:C150"/>
    <mergeCell ref="B143:B146"/>
    <mergeCell ref="C143:C146"/>
    <mergeCell ref="B151:B153"/>
    <mergeCell ref="C151:C153"/>
    <mergeCell ref="B115:B118"/>
    <mergeCell ref="B5:B6"/>
    <mergeCell ref="B105:B106"/>
    <mergeCell ref="B13:B15"/>
    <mergeCell ref="B16:B19"/>
    <mergeCell ref="B20:B23"/>
    <mergeCell ref="B24:B27"/>
    <mergeCell ref="B28:B30"/>
    <mergeCell ref="B31:B32"/>
    <mergeCell ref="B74:B79"/>
    <mergeCell ref="B8:B10"/>
    <mergeCell ref="B94:B96"/>
    <mergeCell ref="B48:B54"/>
    <mergeCell ref="B97:B100"/>
    <mergeCell ref="B101:B104"/>
    <mergeCell ref="D5:D6"/>
    <mergeCell ref="C139:C142"/>
    <mergeCell ref="C107:C109"/>
    <mergeCell ref="C110:C113"/>
    <mergeCell ref="C97:C100"/>
    <mergeCell ref="C115:C118"/>
    <mergeCell ref="C137:C138"/>
    <mergeCell ref="F5:F6"/>
    <mergeCell ref="G5:G6"/>
    <mergeCell ref="H5:H6"/>
    <mergeCell ref="I5:I6"/>
    <mergeCell ref="E5:E6"/>
    <mergeCell ref="B1:R1"/>
    <mergeCell ref="B2:R2"/>
    <mergeCell ref="C86:C87"/>
    <mergeCell ref="C16:C19"/>
    <mergeCell ref="C48:C54"/>
    <mergeCell ref="C65:C68"/>
    <mergeCell ref="C20:C23"/>
    <mergeCell ref="C60:C62"/>
    <mergeCell ref="R5:R6"/>
    <mergeCell ref="C5:C6"/>
    <mergeCell ref="J5:L5"/>
    <mergeCell ref="O5:O6"/>
    <mergeCell ref="P5:P6"/>
    <mergeCell ref="Q5:Q6"/>
    <mergeCell ref="M5:M6"/>
    <mergeCell ref="N5:N6"/>
  </mergeCells>
  <pageMargins left="1.37795275590551" right="0.196850393700787" top="0.39370078740157499" bottom="0.643700787" header="0.31496062992126" footer="0.31496062992126"/>
  <pageSetup paperSize="10000" scale="82" orientation="landscape" horizontalDpi="4294967294" verticalDpi="300" r:id="rId1"/>
  <headerFooter>
    <oddFooter>&amp;C&amp;"-,Bold"&amp;12&amp;P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92"/>
  <sheetViews>
    <sheetView tabSelected="1" zoomScaleNormal="100" workbookViewId="0">
      <pane ySplit="6" topLeftCell="A181" activePane="bottomLeft" state="frozen"/>
      <selection pane="bottomLeft" activeCell="A187" sqref="A187:XFD192"/>
    </sheetView>
  </sheetViews>
  <sheetFormatPr defaultRowHeight="12.75" x14ac:dyDescent="0.2"/>
  <cols>
    <col min="1" max="1" width="9.140625" style="32"/>
    <col min="2" max="2" width="3.5703125" style="33" bestFit="1" customWidth="1"/>
    <col min="3" max="3" width="15.7109375" style="32" customWidth="1"/>
    <col min="4" max="4" width="6.7109375" style="32" customWidth="1"/>
    <col min="5" max="5" width="12.7109375" style="110" customWidth="1"/>
    <col min="6" max="6" width="9.7109375" style="32" customWidth="1"/>
    <col min="7" max="7" width="15.7109375" style="32" customWidth="1"/>
    <col min="8" max="8" width="7.7109375" style="32" customWidth="1"/>
    <col min="9" max="9" width="10.7109375" style="32" customWidth="1"/>
    <col min="10" max="10" width="13.7109375" style="111" customWidth="1"/>
    <col min="11" max="11" width="15.140625" style="118" bestFit="1" customWidth="1"/>
    <col min="12" max="12" width="5.7109375" style="32" bestFit="1" customWidth="1"/>
    <col min="13" max="13" width="4.85546875" style="32" bestFit="1" customWidth="1"/>
    <col min="14" max="14" width="6.42578125" style="32" customWidth="1"/>
    <col min="15" max="15" width="5.42578125" style="32" bestFit="1" customWidth="1"/>
    <col min="16" max="16" width="16.7109375" style="111" customWidth="1"/>
    <col min="17" max="17" width="7.7109375" style="32" bestFit="1" customWidth="1"/>
    <col min="18" max="18" width="15.7109375" style="111" customWidth="1"/>
    <col min="19" max="16384" width="9.140625" style="32"/>
  </cols>
  <sheetData>
    <row r="1" spans="2:18" s="53" customFormat="1" ht="15.75" x14ac:dyDescent="0.25">
      <c r="B1" s="140" t="s">
        <v>1656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</row>
    <row r="2" spans="2:18" s="53" customFormat="1" ht="15.75" x14ac:dyDescent="0.25">
      <c r="B2" s="140" t="s">
        <v>1657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</row>
    <row r="3" spans="2:18" s="53" customFormat="1" ht="15.75" x14ac:dyDescent="0.25">
      <c r="B3" s="112" t="s">
        <v>1660</v>
      </c>
      <c r="C3" s="82"/>
      <c r="D3" s="82"/>
      <c r="E3" s="82"/>
      <c r="F3" s="82"/>
      <c r="G3" s="82"/>
      <c r="H3" s="82"/>
      <c r="I3" s="82"/>
      <c r="J3" s="82"/>
      <c r="K3" s="113"/>
      <c r="L3" s="82"/>
      <c r="M3" s="82"/>
      <c r="N3" s="82"/>
      <c r="O3" s="82"/>
      <c r="P3" s="82"/>
      <c r="Q3" s="82"/>
      <c r="R3" s="82"/>
    </row>
    <row r="4" spans="2:18" ht="15.75" x14ac:dyDescent="0.2">
      <c r="B4" s="112" t="s">
        <v>1664</v>
      </c>
    </row>
    <row r="5" spans="2:18" ht="20.100000000000001" customHeight="1" x14ac:dyDescent="0.2">
      <c r="B5" s="142" t="s">
        <v>407</v>
      </c>
      <c r="C5" s="142" t="s">
        <v>1449</v>
      </c>
      <c r="D5" s="147" t="s">
        <v>1114</v>
      </c>
      <c r="E5" s="143" t="s">
        <v>1658</v>
      </c>
      <c r="F5" s="147" t="s">
        <v>414</v>
      </c>
      <c r="G5" s="144" t="s">
        <v>415</v>
      </c>
      <c r="H5" s="147" t="s">
        <v>409</v>
      </c>
      <c r="I5" s="147" t="s">
        <v>410</v>
      </c>
      <c r="J5" s="142" t="s">
        <v>1115</v>
      </c>
      <c r="K5" s="142"/>
      <c r="L5" s="142"/>
      <c r="M5" s="141" t="s">
        <v>1116</v>
      </c>
      <c r="N5" s="142" t="s">
        <v>411</v>
      </c>
      <c r="O5" s="142" t="s">
        <v>1117</v>
      </c>
      <c r="P5" s="143" t="s">
        <v>412</v>
      </c>
      <c r="Q5" s="142" t="s">
        <v>1118</v>
      </c>
      <c r="R5" s="143" t="s">
        <v>413</v>
      </c>
    </row>
    <row r="6" spans="2:18" ht="20.100000000000001" customHeight="1" x14ac:dyDescent="0.2">
      <c r="B6" s="142"/>
      <c r="C6" s="142"/>
      <c r="D6" s="148"/>
      <c r="E6" s="143"/>
      <c r="F6" s="148"/>
      <c r="G6" s="144"/>
      <c r="H6" s="148"/>
      <c r="I6" s="148"/>
      <c r="J6" s="94" t="s">
        <v>1121</v>
      </c>
      <c r="K6" s="95" t="s">
        <v>1122</v>
      </c>
      <c r="L6" s="96" t="s">
        <v>1123</v>
      </c>
      <c r="M6" s="141"/>
      <c r="N6" s="142"/>
      <c r="O6" s="142"/>
      <c r="P6" s="143"/>
      <c r="Q6" s="142"/>
      <c r="R6" s="143"/>
    </row>
    <row r="7" spans="2:18" x14ac:dyDescent="0.2">
      <c r="B7" s="97"/>
      <c r="C7" s="97"/>
      <c r="D7" s="97"/>
      <c r="E7" s="94"/>
      <c r="F7" s="97"/>
      <c r="G7" s="98"/>
      <c r="H7" s="97"/>
      <c r="I7" s="97"/>
      <c r="J7" s="94"/>
      <c r="K7" s="95"/>
      <c r="L7" s="96"/>
      <c r="M7" s="96"/>
      <c r="N7" s="97"/>
      <c r="O7" s="97"/>
      <c r="P7" s="94"/>
      <c r="Q7" s="97"/>
      <c r="R7" s="94"/>
    </row>
    <row r="8" spans="2:18" x14ac:dyDescent="0.2">
      <c r="B8" s="83">
        <v>1</v>
      </c>
      <c r="C8" s="83"/>
      <c r="D8" s="83">
        <v>1</v>
      </c>
      <c r="E8" s="84" t="s">
        <v>42</v>
      </c>
      <c r="F8" s="83" t="s">
        <v>6</v>
      </c>
      <c r="G8" s="83"/>
      <c r="H8" s="83" t="s">
        <v>9</v>
      </c>
      <c r="I8" s="83" t="s">
        <v>24</v>
      </c>
      <c r="J8" s="84"/>
      <c r="K8" s="85">
        <v>11323</v>
      </c>
      <c r="L8" s="83">
        <v>1930</v>
      </c>
      <c r="M8" s="83">
        <f t="shared" ref="M8:M39" si="0">2019-L8</f>
        <v>89</v>
      </c>
      <c r="N8" s="83" t="s">
        <v>3</v>
      </c>
      <c r="O8" s="83"/>
      <c r="P8" s="84" t="s">
        <v>1329</v>
      </c>
      <c r="Q8" s="83"/>
      <c r="R8" s="84" t="s">
        <v>16</v>
      </c>
    </row>
    <row r="9" spans="2:18" x14ac:dyDescent="0.2">
      <c r="B9" s="136">
        <v>2</v>
      </c>
      <c r="C9" s="136"/>
      <c r="D9" s="83">
        <v>2</v>
      </c>
      <c r="E9" s="84" t="s">
        <v>882</v>
      </c>
      <c r="F9" s="83" t="s">
        <v>6</v>
      </c>
      <c r="G9" s="83" t="s">
        <v>883</v>
      </c>
      <c r="H9" s="83" t="s">
        <v>1</v>
      </c>
      <c r="I9" s="83" t="s">
        <v>2</v>
      </c>
      <c r="J9" s="84"/>
      <c r="K9" s="85">
        <v>28967</v>
      </c>
      <c r="L9" s="83">
        <v>1979</v>
      </c>
      <c r="M9" s="83">
        <f t="shared" si="0"/>
        <v>40</v>
      </c>
      <c r="N9" s="83" t="s">
        <v>3</v>
      </c>
      <c r="O9" s="83"/>
      <c r="P9" s="84" t="s">
        <v>4</v>
      </c>
      <c r="Q9" s="83"/>
      <c r="R9" s="84" t="s">
        <v>10</v>
      </c>
    </row>
    <row r="10" spans="2:18" x14ac:dyDescent="0.2">
      <c r="B10" s="136"/>
      <c r="C10" s="136"/>
      <c r="D10" s="83">
        <v>3</v>
      </c>
      <c r="E10" s="84" t="s">
        <v>884</v>
      </c>
      <c r="F10" s="83" t="s">
        <v>11</v>
      </c>
      <c r="G10" s="83" t="s">
        <v>885</v>
      </c>
      <c r="H10" s="83" t="s">
        <v>9</v>
      </c>
      <c r="I10" s="83" t="s">
        <v>2</v>
      </c>
      <c r="J10" s="84"/>
      <c r="K10" s="85">
        <v>29144</v>
      </c>
      <c r="L10" s="83">
        <v>1979</v>
      </c>
      <c r="M10" s="83">
        <f t="shared" si="0"/>
        <v>40</v>
      </c>
      <c r="N10" s="83" t="s">
        <v>3</v>
      </c>
      <c r="O10" s="83"/>
      <c r="P10" s="84" t="s">
        <v>16</v>
      </c>
      <c r="Q10" s="83"/>
      <c r="R10" s="84" t="s">
        <v>16</v>
      </c>
    </row>
    <row r="11" spans="2:18" ht="25.5" x14ac:dyDescent="0.2">
      <c r="B11" s="136"/>
      <c r="C11" s="136"/>
      <c r="D11" s="83">
        <v>4</v>
      </c>
      <c r="E11" s="84" t="s">
        <v>886</v>
      </c>
      <c r="F11" s="83" t="s">
        <v>17</v>
      </c>
      <c r="G11" s="83" t="s">
        <v>887</v>
      </c>
      <c r="H11" s="83" t="s">
        <v>1</v>
      </c>
      <c r="I11" s="83" t="s">
        <v>14</v>
      </c>
      <c r="J11" s="84"/>
      <c r="K11" s="85">
        <v>39432</v>
      </c>
      <c r="L11" s="83">
        <v>2007</v>
      </c>
      <c r="M11" s="83">
        <f t="shared" si="0"/>
        <v>12</v>
      </c>
      <c r="N11" s="83" t="s">
        <v>3</v>
      </c>
      <c r="O11" s="83"/>
      <c r="P11" s="84" t="s">
        <v>16</v>
      </c>
      <c r="Q11" s="83"/>
      <c r="R11" s="84" t="s">
        <v>16</v>
      </c>
    </row>
    <row r="12" spans="2:18" ht="25.5" x14ac:dyDescent="0.2">
      <c r="B12" s="136"/>
      <c r="C12" s="136"/>
      <c r="D12" s="83">
        <v>5</v>
      </c>
      <c r="E12" s="84" t="s">
        <v>888</v>
      </c>
      <c r="F12" s="83" t="s">
        <v>17</v>
      </c>
      <c r="G12" s="83" t="s">
        <v>889</v>
      </c>
      <c r="H12" s="83" t="s">
        <v>9</v>
      </c>
      <c r="I12" s="83" t="s">
        <v>14</v>
      </c>
      <c r="J12" s="84"/>
      <c r="K12" s="85">
        <v>37383</v>
      </c>
      <c r="L12" s="83">
        <v>2002</v>
      </c>
      <c r="M12" s="83">
        <f t="shared" si="0"/>
        <v>17</v>
      </c>
      <c r="N12" s="83" t="s">
        <v>3</v>
      </c>
      <c r="O12" s="83"/>
      <c r="P12" s="84" t="s">
        <v>16</v>
      </c>
      <c r="Q12" s="83"/>
      <c r="R12" s="84" t="s">
        <v>16</v>
      </c>
    </row>
    <row r="13" spans="2:18" x14ac:dyDescent="0.2">
      <c r="B13" s="136"/>
      <c r="C13" s="136"/>
      <c r="D13" s="83">
        <v>6</v>
      </c>
      <c r="E13" s="84" t="s">
        <v>890</v>
      </c>
      <c r="F13" s="83" t="s">
        <v>17</v>
      </c>
      <c r="G13" s="83" t="s">
        <v>891</v>
      </c>
      <c r="H13" s="83" t="s">
        <v>9</v>
      </c>
      <c r="I13" s="83" t="s">
        <v>14</v>
      </c>
      <c r="J13" s="84"/>
      <c r="K13" s="85">
        <v>38041</v>
      </c>
      <c r="L13" s="83">
        <v>2004</v>
      </c>
      <c r="M13" s="83">
        <f t="shared" si="0"/>
        <v>15</v>
      </c>
      <c r="N13" s="83" t="s">
        <v>3</v>
      </c>
      <c r="O13" s="83"/>
      <c r="P13" s="84" t="s">
        <v>16</v>
      </c>
      <c r="Q13" s="83"/>
      <c r="R13" s="84" t="s">
        <v>16</v>
      </c>
    </row>
    <row r="14" spans="2:18" ht="25.5" x14ac:dyDescent="0.2">
      <c r="B14" s="136">
        <v>3</v>
      </c>
      <c r="C14" s="136" t="s">
        <v>1518</v>
      </c>
      <c r="D14" s="83">
        <v>7</v>
      </c>
      <c r="E14" s="84" t="s">
        <v>892</v>
      </c>
      <c r="F14" s="83" t="s">
        <v>6</v>
      </c>
      <c r="G14" s="83" t="s">
        <v>893</v>
      </c>
      <c r="H14" s="83" t="s">
        <v>1</v>
      </c>
      <c r="I14" s="83" t="s">
        <v>2</v>
      </c>
      <c r="J14" s="84" t="s">
        <v>1156</v>
      </c>
      <c r="K14" s="85">
        <v>25203</v>
      </c>
      <c r="L14" s="83">
        <v>1968</v>
      </c>
      <c r="M14" s="83">
        <f t="shared" si="0"/>
        <v>51</v>
      </c>
      <c r="N14" s="83" t="s">
        <v>3</v>
      </c>
      <c r="O14" s="83" t="s">
        <v>1137</v>
      </c>
      <c r="P14" s="84" t="s">
        <v>1139</v>
      </c>
      <c r="Q14" s="83"/>
      <c r="R14" s="84" t="s">
        <v>10</v>
      </c>
    </row>
    <row r="15" spans="2:18" ht="25.5" x14ac:dyDescent="0.2">
      <c r="B15" s="136"/>
      <c r="C15" s="136"/>
      <c r="D15" s="83">
        <v>8</v>
      </c>
      <c r="E15" s="84" t="s">
        <v>1519</v>
      </c>
      <c r="F15" s="83" t="s">
        <v>11</v>
      </c>
      <c r="G15" s="83" t="s">
        <v>894</v>
      </c>
      <c r="H15" s="83" t="s">
        <v>9</v>
      </c>
      <c r="I15" s="83" t="s">
        <v>2</v>
      </c>
      <c r="J15" s="84" t="s">
        <v>1521</v>
      </c>
      <c r="K15" s="85">
        <v>30786</v>
      </c>
      <c r="L15" s="83">
        <v>1984</v>
      </c>
      <c r="M15" s="83">
        <f t="shared" si="0"/>
        <v>35</v>
      </c>
      <c r="N15" s="83" t="s">
        <v>3</v>
      </c>
      <c r="O15" s="83" t="s">
        <v>1137</v>
      </c>
      <c r="P15" s="84" t="s">
        <v>1172</v>
      </c>
      <c r="Q15" s="83"/>
      <c r="R15" s="84" t="s">
        <v>10</v>
      </c>
    </row>
    <row r="16" spans="2:18" ht="25.5" x14ac:dyDescent="0.2">
      <c r="B16" s="136"/>
      <c r="C16" s="136"/>
      <c r="D16" s="83">
        <v>9</v>
      </c>
      <c r="E16" s="84" t="s">
        <v>895</v>
      </c>
      <c r="F16" s="83" t="s">
        <v>17</v>
      </c>
      <c r="G16" s="83" t="s">
        <v>896</v>
      </c>
      <c r="H16" s="83" t="s">
        <v>9</v>
      </c>
      <c r="I16" s="83" t="s">
        <v>14</v>
      </c>
      <c r="J16" s="84" t="s">
        <v>1156</v>
      </c>
      <c r="K16" s="85">
        <v>37909</v>
      </c>
      <c r="L16" s="83">
        <v>2003</v>
      </c>
      <c r="M16" s="83">
        <f t="shared" si="0"/>
        <v>16</v>
      </c>
      <c r="N16" s="83" t="s">
        <v>3</v>
      </c>
      <c r="O16" s="83" t="s">
        <v>1137</v>
      </c>
      <c r="P16" s="84" t="s">
        <v>1139</v>
      </c>
      <c r="Q16" s="83"/>
      <c r="R16" s="84" t="s">
        <v>1140</v>
      </c>
    </row>
    <row r="17" spans="2:18" ht="25.5" x14ac:dyDescent="0.2">
      <c r="B17" s="136"/>
      <c r="C17" s="136"/>
      <c r="D17" s="83">
        <v>10</v>
      </c>
      <c r="E17" s="84" t="s">
        <v>897</v>
      </c>
      <c r="F17" s="83" t="s">
        <v>17</v>
      </c>
      <c r="G17" s="83" t="s">
        <v>1520</v>
      </c>
      <c r="H17" s="83" t="s">
        <v>9</v>
      </c>
      <c r="I17" s="83" t="s">
        <v>14</v>
      </c>
      <c r="J17" s="84" t="s">
        <v>1156</v>
      </c>
      <c r="K17" s="85">
        <v>39821</v>
      </c>
      <c r="L17" s="83">
        <v>2009</v>
      </c>
      <c r="M17" s="83">
        <f t="shared" si="0"/>
        <v>10</v>
      </c>
      <c r="N17" s="83" t="s">
        <v>3</v>
      </c>
      <c r="O17" s="83" t="s">
        <v>1137</v>
      </c>
      <c r="P17" s="84" t="s">
        <v>1139</v>
      </c>
      <c r="Q17" s="83"/>
      <c r="R17" s="84" t="s">
        <v>1140</v>
      </c>
    </row>
    <row r="18" spans="2:18" x14ac:dyDescent="0.2">
      <c r="B18" s="136">
        <v>4</v>
      </c>
      <c r="C18" s="136"/>
      <c r="D18" s="83">
        <v>11</v>
      </c>
      <c r="E18" s="84" t="s">
        <v>898</v>
      </c>
      <c r="F18" s="83" t="s">
        <v>6</v>
      </c>
      <c r="G18" s="83"/>
      <c r="H18" s="83" t="s">
        <v>1</v>
      </c>
      <c r="I18" s="83" t="s">
        <v>14</v>
      </c>
      <c r="J18" s="84"/>
      <c r="K18" s="85">
        <v>28490</v>
      </c>
      <c r="L18" s="83">
        <v>1977</v>
      </c>
      <c r="M18" s="83">
        <f t="shared" si="0"/>
        <v>42</v>
      </c>
      <c r="N18" s="83" t="s">
        <v>3</v>
      </c>
      <c r="O18" s="83"/>
      <c r="P18" s="84" t="s">
        <v>16</v>
      </c>
      <c r="Q18" s="83"/>
      <c r="R18" s="84" t="s">
        <v>109</v>
      </c>
    </row>
    <row r="19" spans="2:18" x14ac:dyDescent="0.2">
      <c r="B19" s="136"/>
      <c r="C19" s="136"/>
      <c r="D19" s="83">
        <v>12</v>
      </c>
      <c r="E19" s="84" t="s">
        <v>899</v>
      </c>
      <c r="F19" s="83" t="s">
        <v>416</v>
      </c>
      <c r="G19" s="83" t="s">
        <v>900</v>
      </c>
      <c r="H19" s="83" t="s">
        <v>1</v>
      </c>
      <c r="I19" s="83" t="s">
        <v>14</v>
      </c>
      <c r="J19" s="84"/>
      <c r="K19" s="85">
        <v>34842</v>
      </c>
      <c r="L19" s="83">
        <v>1995</v>
      </c>
      <c r="M19" s="83">
        <f t="shared" si="0"/>
        <v>24</v>
      </c>
      <c r="N19" s="83" t="s">
        <v>3</v>
      </c>
      <c r="O19" s="83"/>
      <c r="P19" s="84" t="s">
        <v>15</v>
      </c>
      <c r="Q19" s="83"/>
      <c r="R19" s="84" t="s">
        <v>16</v>
      </c>
    </row>
    <row r="20" spans="2:18" ht="25.5" x14ac:dyDescent="0.2">
      <c r="B20" s="136">
        <v>5</v>
      </c>
      <c r="C20" s="136"/>
      <c r="D20" s="83">
        <v>13</v>
      </c>
      <c r="E20" s="84" t="s">
        <v>901</v>
      </c>
      <c r="F20" s="83" t="s">
        <v>6</v>
      </c>
      <c r="G20" s="83" t="s">
        <v>902</v>
      </c>
      <c r="H20" s="83" t="s">
        <v>1</v>
      </c>
      <c r="I20" s="83" t="s">
        <v>2</v>
      </c>
      <c r="J20" s="84"/>
      <c r="K20" s="85">
        <v>16802</v>
      </c>
      <c r="L20" s="83">
        <v>1945</v>
      </c>
      <c r="M20" s="83">
        <f t="shared" si="0"/>
        <v>74</v>
      </c>
      <c r="N20" s="83" t="s">
        <v>3</v>
      </c>
      <c r="O20" s="83"/>
      <c r="P20" s="84" t="s">
        <v>54</v>
      </c>
      <c r="Q20" s="83"/>
      <c r="R20" s="84" t="s">
        <v>88</v>
      </c>
    </row>
    <row r="21" spans="2:18" x14ac:dyDescent="0.2">
      <c r="B21" s="136"/>
      <c r="C21" s="136"/>
      <c r="D21" s="83">
        <v>14</v>
      </c>
      <c r="E21" s="84" t="s">
        <v>903</v>
      </c>
      <c r="F21" s="83" t="s">
        <v>11</v>
      </c>
      <c r="G21" s="83" t="s">
        <v>904</v>
      </c>
      <c r="H21" s="83" t="s">
        <v>9</v>
      </c>
      <c r="I21" s="83" t="s">
        <v>2</v>
      </c>
      <c r="J21" s="84"/>
      <c r="K21" s="85">
        <v>18445</v>
      </c>
      <c r="L21" s="83">
        <v>1950</v>
      </c>
      <c r="M21" s="83">
        <f t="shared" si="0"/>
        <v>69</v>
      </c>
      <c r="N21" s="83" t="s">
        <v>3</v>
      </c>
      <c r="O21" s="83"/>
      <c r="P21" s="84" t="s">
        <v>54</v>
      </c>
      <c r="Q21" s="83"/>
      <c r="R21" s="84" t="s">
        <v>88</v>
      </c>
    </row>
    <row r="22" spans="2:18" ht="38.25" x14ac:dyDescent="0.2">
      <c r="B22" s="136">
        <v>6</v>
      </c>
      <c r="C22" s="136"/>
      <c r="D22" s="83">
        <v>15</v>
      </c>
      <c r="E22" s="84" t="s">
        <v>905</v>
      </c>
      <c r="F22" s="83" t="s">
        <v>6</v>
      </c>
      <c r="G22" s="83" t="s">
        <v>906</v>
      </c>
      <c r="H22" s="83" t="s">
        <v>1</v>
      </c>
      <c r="I22" s="83" t="s">
        <v>2</v>
      </c>
      <c r="J22" s="84"/>
      <c r="K22" s="85">
        <v>28014</v>
      </c>
      <c r="L22" s="83">
        <v>1976</v>
      </c>
      <c r="M22" s="83">
        <f t="shared" si="0"/>
        <v>43</v>
      </c>
      <c r="N22" s="83" t="s">
        <v>3</v>
      </c>
      <c r="O22" s="83"/>
      <c r="P22" s="84" t="s">
        <v>15</v>
      </c>
      <c r="Q22" s="83"/>
      <c r="R22" s="84" t="s">
        <v>10</v>
      </c>
    </row>
    <row r="23" spans="2:18" x14ac:dyDescent="0.2">
      <c r="B23" s="136"/>
      <c r="C23" s="136"/>
      <c r="D23" s="83">
        <v>16</v>
      </c>
      <c r="E23" s="84" t="s">
        <v>907</v>
      </c>
      <c r="F23" s="83" t="s">
        <v>11</v>
      </c>
      <c r="G23" s="83" t="s">
        <v>908</v>
      </c>
      <c r="H23" s="83" t="s">
        <v>9</v>
      </c>
      <c r="I23" s="83" t="s">
        <v>2</v>
      </c>
      <c r="J23" s="84"/>
      <c r="K23" s="85">
        <v>28361</v>
      </c>
      <c r="L23" s="83">
        <v>1977</v>
      </c>
      <c r="M23" s="83">
        <f t="shared" si="0"/>
        <v>42</v>
      </c>
      <c r="N23" s="83" t="s">
        <v>3</v>
      </c>
      <c r="O23" s="83"/>
      <c r="P23" s="84" t="s">
        <v>15</v>
      </c>
      <c r="Q23" s="83"/>
      <c r="R23" s="84" t="s">
        <v>123</v>
      </c>
    </row>
    <row r="24" spans="2:18" x14ac:dyDescent="0.2">
      <c r="B24" s="136"/>
      <c r="C24" s="136"/>
      <c r="D24" s="83">
        <v>17</v>
      </c>
      <c r="E24" s="84" t="s">
        <v>909</v>
      </c>
      <c r="F24" s="83" t="s">
        <v>17</v>
      </c>
      <c r="G24" s="83" t="s">
        <v>910</v>
      </c>
      <c r="H24" s="83" t="s">
        <v>67</v>
      </c>
      <c r="I24" s="83" t="s">
        <v>14</v>
      </c>
      <c r="J24" s="84"/>
      <c r="K24" s="85">
        <v>36279</v>
      </c>
      <c r="L24" s="83">
        <v>1999</v>
      </c>
      <c r="M24" s="83">
        <f t="shared" si="0"/>
        <v>20</v>
      </c>
      <c r="N24" s="83" t="s">
        <v>3</v>
      </c>
      <c r="O24" s="83"/>
      <c r="P24" s="84" t="s">
        <v>27</v>
      </c>
      <c r="Q24" s="83"/>
      <c r="R24" s="84" t="s">
        <v>16</v>
      </c>
    </row>
    <row r="25" spans="2:18" ht="25.5" x14ac:dyDescent="0.2">
      <c r="B25" s="136"/>
      <c r="C25" s="136"/>
      <c r="D25" s="83">
        <v>18</v>
      </c>
      <c r="E25" s="84" t="s">
        <v>57</v>
      </c>
      <c r="F25" s="83" t="s">
        <v>17</v>
      </c>
      <c r="G25" s="83" t="s">
        <v>911</v>
      </c>
      <c r="H25" s="83" t="s">
        <v>1</v>
      </c>
      <c r="I25" s="83" t="s">
        <v>14</v>
      </c>
      <c r="J25" s="84"/>
      <c r="K25" s="85">
        <v>38041</v>
      </c>
      <c r="L25" s="83">
        <v>2004</v>
      </c>
      <c r="M25" s="83">
        <f t="shared" si="0"/>
        <v>15</v>
      </c>
      <c r="N25" s="83" t="s">
        <v>3</v>
      </c>
      <c r="O25" s="83"/>
      <c r="P25" s="84" t="s">
        <v>16</v>
      </c>
      <c r="Q25" s="83"/>
      <c r="R25" s="84" t="s">
        <v>16</v>
      </c>
    </row>
    <row r="26" spans="2:18" x14ac:dyDescent="0.2">
      <c r="B26" s="136"/>
      <c r="C26" s="136"/>
      <c r="D26" s="83">
        <v>19</v>
      </c>
      <c r="E26" s="84" t="s">
        <v>912</v>
      </c>
      <c r="F26" s="83" t="s">
        <v>17</v>
      </c>
      <c r="G26" s="83" t="s">
        <v>913</v>
      </c>
      <c r="H26" s="83" t="s">
        <v>9</v>
      </c>
      <c r="I26" s="83" t="s">
        <v>14</v>
      </c>
      <c r="J26" s="84"/>
      <c r="K26" s="85">
        <v>41176</v>
      </c>
      <c r="L26" s="83">
        <v>2012</v>
      </c>
      <c r="M26" s="83">
        <f t="shared" si="0"/>
        <v>7</v>
      </c>
      <c r="N26" s="83" t="s">
        <v>3</v>
      </c>
      <c r="O26" s="83"/>
      <c r="P26" s="84" t="s">
        <v>16</v>
      </c>
      <c r="Q26" s="83"/>
      <c r="R26" s="84" t="s">
        <v>16</v>
      </c>
    </row>
    <row r="27" spans="2:18" x14ac:dyDescent="0.2">
      <c r="B27" s="136"/>
      <c r="C27" s="136"/>
      <c r="D27" s="83">
        <v>20</v>
      </c>
      <c r="E27" s="84" t="s">
        <v>914</v>
      </c>
      <c r="F27" s="83" t="s">
        <v>416</v>
      </c>
      <c r="G27" s="83" t="s">
        <v>915</v>
      </c>
      <c r="H27" s="83" t="s">
        <v>9</v>
      </c>
      <c r="I27" s="83" t="s">
        <v>2</v>
      </c>
      <c r="J27" s="84"/>
      <c r="K27" s="85">
        <v>23924</v>
      </c>
      <c r="L27" s="83">
        <v>1965</v>
      </c>
      <c r="M27" s="83">
        <f t="shared" si="0"/>
        <v>54</v>
      </c>
      <c r="N27" s="83" t="s">
        <v>3</v>
      </c>
      <c r="O27" s="83"/>
      <c r="P27" s="84" t="s">
        <v>16</v>
      </c>
      <c r="Q27" s="83"/>
      <c r="R27" s="84" t="s">
        <v>123</v>
      </c>
    </row>
    <row r="28" spans="2:18" ht="25.5" x14ac:dyDescent="0.2">
      <c r="B28" s="136">
        <v>7</v>
      </c>
      <c r="C28" s="136" t="s">
        <v>1224</v>
      </c>
      <c r="D28" s="83">
        <v>21</v>
      </c>
      <c r="E28" s="84" t="s">
        <v>916</v>
      </c>
      <c r="F28" s="83" t="s">
        <v>6</v>
      </c>
      <c r="G28" s="83" t="s">
        <v>1225</v>
      </c>
      <c r="H28" s="83" t="s">
        <v>1</v>
      </c>
      <c r="I28" s="83" t="s">
        <v>2</v>
      </c>
      <c r="J28" s="84" t="s">
        <v>1136</v>
      </c>
      <c r="K28" s="85">
        <v>29009</v>
      </c>
      <c r="L28" s="83">
        <v>1979</v>
      </c>
      <c r="M28" s="83">
        <f t="shared" si="0"/>
        <v>40</v>
      </c>
      <c r="N28" s="83" t="s">
        <v>3</v>
      </c>
      <c r="O28" s="83" t="s">
        <v>1137</v>
      </c>
      <c r="P28" s="84" t="s">
        <v>1159</v>
      </c>
      <c r="Q28" s="83"/>
      <c r="R28" s="84" t="s">
        <v>1229</v>
      </c>
    </row>
    <row r="29" spans="2:18" ht="25.5" x14ac:dyDescent="0.2">
      <c r="B29" s="136"/>
      <c r="C29" s="136"/>
      <c r="D29" s="83">
        <v>22</v>
      </c>
      <c r="E29" s="84" t="s">
        <v>917</v>
      </c>
      <c r="F29" s="83" t="s">
        <v>11</v>
      </c>
      <c r="G29" s="83" t="s">
        <v>1226</v>
      </c>
      <c r="H29" s="83" t="s">
        <v>9</v>
      </c>
      <c r="I29" s="83" t="s">
        <v>2</v>
      </c>
      <c r="J29" s="84" t="s">
        <v>1136</v>
      </c>
      <c r="K29" s="85">
        <v>30681</v>
      </c>
      <c r="L29" s="83">
        <v>1983</v>
      </c>
      <c r="M29" s="83">
        <f t="shared" si="0"/>
        <v>36</v>
      </c>
      <c r="N29" s="83" t="s">
        <v>3</v>
      </c>
      <c r="O29" s="83" t="s">
        <v>1137</v>
      </c>
      <c r="P29" s="84" t="s">
        <v>1159</v>
      </c>
      <c r="Q29" s="83"/>
      <c r="R29" s="84" t="s">
        <v>1141</v>
      </c>
    </row>
    <row r="30" spans="2:18" ht="25.5" x14ac:dyDescent="0.2">
      <c r="B30" s="136"/>
      <c r="C30" s="136"/>
      <c r="D30" s="83">
        <v>23</v>
      </c>
      <c r="E30" s="84" t="s">
        <v>918</v>
      </c>
      <c r="F30" s="83" t="s">
        <v>17</v>
      </c>
      <c r="G30" s="83" t="s">
        <v>1227</v>
      </c>
      <c r="H30" s="83" t="s">
        <v>1</v>
      </c>
      <c r="I30" s="83" t="s">
        <v>14</v>
      </c>
      <c r="J30" s="84" t="s">
        <v>1156</v>
      </c>
      <c r="K30" s="85">
        <v>38360</v>
      </c>
      <c r="L30" s="83">
        <v>2005</v>
      </c>
      <c r="M30" s="83">
        <f t="shared" si="0"/>
        <v>14</v>
      </c>
      <c r="N30" s="83" t="s">
        <v>3</v>
      </c>
      <c r="O30" s="83" t="s">
        <v>1137</v>
      </c>
      <c r="P30" s="84" t="s">
        <v>1178</v>
      </c>
      <c r="Q30" s="83"/>
      <c r="R30" s="84" t="s">
        <v>1160</v>
      </c>
    </row>
    <row r="31" spans="2:18" ht="25.5" x14ac:dyDescent="0.2">
      <c r="B31" s="136"/>
      <c r="C31" s="136"/>
      <c r="D31" s="83">
        <v>24</v>
      </c>
      <c r="E31" s="84" t="s">
        <v>1230</v>
      </c>
      <c r="F31" s="83" t="s">
        <v>17</v>
      </c>
      <c r="G31" s="83" t="s">
        <v>1228</v>
      </c>
      <c r="H31" s="83" t="s">
        <v>9</v>
      </c>
      <c r="I31" s="83" t="s">
        <v>14</v>
      </c>
      <c r="J31" s="84" t="s">
        <v>1156</v>
      </c>
      <c r="K31" s="85">
        <v>40671</v>
      </c>
      <c r="L31" s="83">
        <v>2011</v>
      </c>
      <c r="M31" s="83">
        <f t="shared" si="0"/>
        <v>8</v>
      </c>
      <c r="N31" s="83" t="s">
        <v>3</v>
      </c>
      <c r="O31" s="83" t="s">
        <v>1137</v>
      </c>
      <c r="P31" s="84" t="s">
        <v>1139</v>
      </c>
      <c r="Q31" s="83"/>
      <c r="R31" s="84" t="s">
        <v>1140</v>
      </c>
    </row>
    <row r="32" spans="2:18" x14ac:dyDescent="0.2">
      <c r="B32" s="136">
        <v>8</v>
      </c>
      <c r="C32" s="136"/>
      <c r="D32" s="83">
        <v>25</v>
      </c>
      <c r="E32" s="84" t="s">
        <v>919</v>
      </c>
      <c r="F32" s="83" t="s">
        <v>6</v>
      </c>
      <c r="G32" s="83"/>
      <c r="H32" s="83" t="s">
        <v>1</v>
      </c>
      <c r="I32" s="83" t="s">
        <v>2</v>
      </c>
      <c r="J32" s="84"/>
      <c r="K32" s="85">
        <v>15706</v>
      </c>
      <c r="L32" s="83">
        <v>1942</v>
      </c>
      <c r="M32" s="83">
        <f t="shared" si="0"/>
        <v>77</v>
      </c>
      <c r="N32" s="83" t="s">
        <v>3</v>
      </c>
      <c r="O32" s="83"/>
      <c r="P32" s="84" t="s">
        <v>16</v>
      </c>
      <c r="Q32" s="83"/>
      <c r="R32" s="84" t="s">
        <v>109</v>
      </c>
    </row>
    <row r="33" spans="2:18" x14ac:dyDescent="0.2">
      <c r="B33" s="136"/>
      <c r="C33" s="136"/>
      <c r="D33" s="83">
        <v>26</v>
      </c>
      <c r="E33" s="84" t="s">
        <v>920</v>
      </c>
      <c r="F33" s="83" t="s">
        <v>11</v>
      </c>
      <c r="G33" s="83" t="s">
        <v>921</v>
      </c>
      <c r="H33" s="83" t="s">
        <v>9</v>
      </c>
      <c r="I33" s="83" t="s">
        <v>2</v>
      </c>
      <c r="J33" s="84"/>
      <c r="K33" s="85">
        <v>16984</v>
      </c>
      <c r="L33" s="83">
        <v>1946</v>
      </c>
      <c r="M33" s="83">
        <f t="shared" si="0"/>
        <v>73</v>
      </c>
      <c r="N33" s="83" t="s">
        <v>3</v>
      </c>
      <c r="O33" s="83"/>
      <c r="P33" s="84" t="s">
        <v>16</v>
      </c>
      <c r="Q33" s="83"/>
      <c r="R33" s="84" t="s">
        <v>16</v>
      </c>
    </row>
    <row r="34" spans="2:18" x14ac:dyDescent="0.2">
      <c r="B34" s="136"/>
      <c r="C34" s="136"/>
      <c r="D34" s="83">
        <v>27</v>
      </c>
      <c r="E34" s="84" t="s">
        <v>682</v>
      </c>
      <c r="F34" s="83" t="s">
        <v>17</v>
      </c>
      <c r="G34" s="83" t="s">
        <v>922</v>
      </c>
      <c r="H34" s="83" t="s">
        <v>9</v>
      </c>
      <c r="I34" s="83" t="s">
        <v>14</v>
      </c>
      <c r="J34" s="84"/>
      <c r="K34" s="85">
        <v>29403</v>
      </c>
      <c r="L34" s="83">
        <v>1980</v>
      </c>
      <c r="M34" s="83">
        <f t="shared" si="0"/>
        <v>39</v>
      </c>
      <c r="N34" s="83" t="s">
        <v>3</v>
      </c>
      <c r="O34" s="83"/>
      <c r="P34" s="84" t="s">
        <v>16</v>
      </c>
      <c r="Q34" s="83"/>
      <c r="R34" s="84" t="s">
        <v>123</v>
      </c>
    </row>
    <row r="35" spans="2:18" ht="25.5" x14ac:dyDescent="0.2">
      <c r="B35" s="136"/>
      <c r="C35" s="136"/>
      <c r="D35" s="83">
        <v>28</v>
      </c>
      <c r="E35" s="84" t="s">
        <v>923</v>
      </c>
      <c r="F35" s="83" t="s">
        <v>416</v>
      </c>
      <c r="G35" s="83"/>
      <c r="H35" s="83" t="s">
        <v>9</v>
      </c>
      <c r="I35" s="83" t="s">
        <v>14</v>
      </c>
      <c r="J35" s="84"/>
      <c r="K35" s="85">
        <v>35816</v>
      </c>
      <c r="L35" s="83">
        <v>1998</v>
      </c>
      <c r="M35" s="83">
        <f t="shared" si="0"/>
        <v>21</v>
      </c>
      <c r="N35" s="83" t="s">
        <v>3</v>
      </c>
      <c r="O35" s="83"/>
      <c r="P35" s="84" t="s">
        <v>27</v>
      </c>
      <c r="Q35" s="83"/>
      <c r="R35" s="84" t="s">
        <v>16</v>
      </c>
    </row>
    <row r="36" spans="2:18" x14ac:dyDescent="0.2">
      <c r="B36" s="83">
        <v>9</v>
      </c>
      <c r="C36" s="83"/>
      <c r="D36" s="83">
        <v>29</v>
      </c>
      <c r="E36" s="84" t="s">
        <v>924</v>
      </c>
      <c r="F36" s="83" t="s">
        <v>6</v>
      </c>
      <c r="G36" s="83"/>
      <c r="H36" s="83" t="s">
        <v>1</v>
      </c>
      <c r="I36" s="83" t="s">
        <v>321</v>
      </c>
      <c r="J36" s="84"/>
      <c r="K36" s="85">
        <v>28855</v>
      </c>
      <c r="L36" s="83">
        <v>1978</v>
      </c>
      <c r="M36" s="83">
        <f t="shared" si="0"/>
        <v>41</v>
      </c>
      <c r="N36" s="83" t="s">
        <v>3</v>
      </c>
      <c r="O36" s="83"/>
      <c r="P36" s="84" t="s">
        <v>925</v>
      </c>
      <c r="Q36" s="83"/>
      <c r="R36" s="84" t="s">
        <v>16</v>
      </c>
    </row>
    <row r="37" spans="2:18" x14ac:dyDescent="0.2">
      <c r="B37" s="83">
        <v>10</v>
      </c>
      <c r="C37" s="83"/>
      <c r="D37" s="83">
        <v>30</v>
      </c>
      <c r="E37" s="84" t="s">
        <v>469</v>
      </c>
      <c r="F37" s="83" t="s">
        <v>6</v>
      </c>
      <c r="G37" s="83"/>
      <c r="H37" s="83" t="s">
        <v>9</v>
      </c>
      <c r="I37" s="83" t="s">
        <v>24</v>
      </c>
      <c r="J37" s="84"/>
      <c r="K37" s="85">
        <v>17167</v>
      </c>
      <c r="L37" s="83">
        <v>1946</v>
      </c>
      <c r="M37" s="83">
        <f t="shared" si="0"/>
        <v>73</v>
      </c>
      <c r="N37" s="83" t="s">
        <v>3</v>
      </c>
      <c r="O37" s="83"/>
      <c r="P37" s="84" t="s">
        <v>16</v>
      </c>
      <c r="Q37" s="83"/>
      <c r="R37" s="84" t="s">
        <v>16</v>
      </c>
    </row>
    <row r="38" spans="2:18" x14ac:dyDescent="0.2">
      <c r="B38" s="136">
        <v>11</v>
      </c>
      <c r="C38" s="136"/>
      <c r="D38" s="83">
        <v>31</v>
      </c>
      <c r="E38" s="84" t="s">
        <v>926</v>
      </c>
      <c r="F38" s="83" t="s">
        <v>6</v>
      </c>
      <c r="G38" s="83" t="s">
        <v>927</v>
      </c>
      <c r="H38" s="83" t="s">
        <v>1</v>
      </c>
      <c r="I38" s="83" t="s">
        <v>2</v>
      </c>
      <c r="J38" s="84"/>
      <c r="K38" s="85">
        <v>15888</v>
      </c>
      <c r="L38" s="83">
        <v>1943</v>
      </c>
      <c r="M38" s="83">
        <f t="shared" si="0"/>
        <v>76</v>
      </c>
      <c r="N38" s="83" t="s">
        <v>3</v>
      </c>
      <c r="O38" s="83"/>
      <c r="P38" s="84" t="s">
        <v>54</v>
      </c>
      <c r="Q38" s="83"/>
      <c r="R38" s="84" t="s">
        <v>88</v>
      </c>
    </row>
    <row r="39" spans="2:18" x14ac:dyDescent="0.2">
      <c r="B39" s="136"/>
      <c r="C39" s="136"/>
      <c r="D39" s="83">
        <v>32</v>
      </c>
      <c r="E39" s="84" t="s">
        <v>928</v>
      </c>
      <c r="F39" s="83" t="s">
        <v>11</v>
      </c>
      <c r="G39" s="83" t="s">
        <v>929</v>
      </c>
      <c r="H39" s="83" t="s">
        <v>9</v>
      </c>
      <c r="I39" s="83" t="s">
        <v>2</v>
      </c>
      <c r="J39" s="84"/>
      <c r="K39" s="85">
        <v>21732</v>
      </c>
      <c r="L39" s="83">
        <v>1959</v>
      </c>
      <c r="M39" s="83">
        <f t="shared" si="0"/>
        <v>60</v>
      </c>
      <c r="N39" s="83" t="s">
        <v>3</v>
      </c>
      <c r="O39" s="83"/>
      <c r="P39" s="84" t="s">
        <v>54</v>
      </c>
      <c r="Q39" s="83"/>
      <c r="R39" s="84" t="s">
        <v>123</v>
      </c>
    </row>
    <row r="40" spans="2:18" ht="25.5" x14ac:dyDescent="0.2">
      <c r="B40" s="136">
        <v>12</v>
      </c>
      <c r="C40" s="136" t="s">
        <v>1346</v>
      </c>
      <c r="D40" s="83">
        <v>33</v>
      </c>
      <c r="E40" s="84" t="s">
        <v>1345</v>
      </c>
      <c r="F40" s="83" t="s">
        <v>6</v>
      </c>
      <c r="G40" s="83" t="s">
        <v>930</v>
      </c>
      <c r="H40" s="83" t="s">
        <v>1</v>
      </c>
      <c r="I40" s="83" t="s">
        <v>2</v>
      </c>
      <c r="J40" s="84" t="s">
        <v>1136</v>
      </c>
      <c r="K40" s="85">
        <v>21367</v>
      </c>
      <c r="L40" s="83">
        <v>1958</v>
      </c>
      <c r="M40" s="83">
        <f t="shared" ref="M40:M69" si="1">2019-L40</f>
        <v>61</v>
      </c>
      <c r="N40" s="83" t="s">
        <v>3</v>
      </c>
      <c r="O40" s="83" t="s">
        <v>1137</v>
      </c>
      <c r="P40" s="84" t="s">
        <v>1138</v>
      </c>
      <c r="Q40" s="83"/>
      <c r="R40" s="84" t="s">
        <v>1347</v>
      </c>
    </row>
    <row r="41" spans="2:18" ht="25.5" x14ac:dyDescent="0.2">
      <c r="B41" s="136"/>
      <c r="C41" s="136"/>
      <c r="D41" s="83">
        <v>34</v>
      </c>
      <c r="E41" s="84" t="s">
        <v>931</v>
      </c>
      <c r="F41" s="83" t="s">
        <v>11</v>
      </c>
      <c r="G41" s="83" t="s">
        <v>932</v>
      </c>
      <c r="H41" s="83" t="s">
        <v>9</v>
      </c>
      <c r="I41" s="83" t="s">
        <v>2</v>
      </c>
      <c r="J41" s="84" t="s">
        <v>1136</v>
      </c>
      <c r="K41" s="85">
        <v>22828</v>
      </c>
      <c r="L41" s="83">
        <v>1962</v>
      </c>
      <c r="M41" s="83">
        <f t="shared" si="1"/>
        <v>57</v>
      </c>
      <c r="N41" s="83" t="s">
        <v>3</v>
      </c>
      <c r="O41" s="83" t="s">
        <v>1137</v>
      </c>
      <c r="P41" s="84" t="s">
        <v>1138</v>
      </c>
      <c r="Q41" s="83"/>
      <c r="R41" s="84" t="s">
        <v>1223</v>
      </c>
    </row>
    <row r="42" spans="2:18" x14ac:dyDescent="0.2">
      <c r="B42" s="136"/>
      <c r="C42" s="136"/>
      <c r="D42" s="83">
        <v>35</v>
      </c>
      <c r="E42" s="84" t="s">
        <v>933</v>
      </c>
      <c r="F42" s="83" t="s">
        <v>17</v>
      </c>
      <c r="G42" s="83" t="s">
        <v>934</v>
      </c>
      <c r="H42" s="83" t="s">
        <v>1</v>
      </c>
      <c r="I42" s="83" t="s">
        <v>14</v>
      </c>
      <c r="J42" s="84" t="s">
        <v>1156</v>
      </c>
      <c r="K42" s="85">
        <v>32820</v>
      </c>
      <c r="L42" s="83">
        <v>1989</v>
      </c>
      <c r="M42" s="83">
        <f t="shared" si="1"/>
        <v>30</v>
      </c>
      <c r="N42" s="83" t="s">
        <v>3</v>
      </c>
      <c r="O42" s="83" t="s">
        <v>1137</v>
      </c>
      <c r="P42" s="84" t="s">
        <v>1159</v>
      </c>
      <c r="Q42" s="83"/>
      <c r="R42" s="84" t="s">
        <v>1160</v>
      </c>
    </row>
    <row r="43" spans="2:18" ht="25.5" x14ac:dyDescent="0.2">
      <c r="B43" s="136"/>
      <c r="C43" s="136"/>
      <c r="D43" s="83">
        <v>36</v>
      </c>
      <c r="E43" s="84" t="s">
        <v>935</v>
      </c>
      <c r="F43" s="83" t="s">
        <v>17</v>
      </c>
      <c r="G43" s="83" t="s">
        <v>936</v>
      </c>
      <c r="H43" s="83" t="s">
        <v>9</v>
      </c>
      <c r="I43" s="83" t="s">
        <v>14</v>
      </c>
      <c r="J43" s="84" t="s">
        <v>1156</v>
      </c>
      <c r="K43" s="85">
        <v>36973</v>
      </c>
      <c r="L43" s="83">
        <v>2001</v>
      </c>
      <c r="M43" s="83">
        <f t="shared" si="1"/>
        <v>18</v>
      </c>
      <c r="N43" s="83" t="s">
        <v>3</v>
      </c>
      <c r="O43" s="83" t="s">
        <v>1137</v>
      </c>
      <c r="P43" s="84" t="s">
        <v>1138</v>
      </c>
      <c r="Q43" s="83"/>
      <c r="R43" s="84" t="s">
        <v>1160</v>
      </c>
    </row>
    <row r="44" spans="2:18" x14ac:dyDescent="0.2">
      <c r="B44" s="136">
        <v>13</v>
      </c>
      <c r="C44" s="136"/>
      <c r="D44" s="83">
        <v>37</v>
      </c>
      <c r="E44" s="84" t="s">
        <v>937</v>
      </c>
      <c r="F44" s="83" t="s">
        <v>6</v>
      </c>
      <c r="G44" s="83"/>
      <c r="H44" s="83" t="s">
        <v>1</v>
      </c>
      <c r="I44" s="83" t="s">
        <v>2</v>
      </c>
      <c r="J44" s="84"/>
      <c r="K44" s="85">
        <v>31047</v>
      </c>
      <c r="L44" s="83">
        <v>1984</v>
      </c>
      <c r="M44" s="83">
        <f t="shared" si="1"/>
        <v>35</v>
      </c>
      <c r="N44" s="83" t="s">
        <v>3</v>
      </c>
      <c r="O44" s="83"/>
      <c r="P44" s="84" t="s">
        <v>54</v>
      </c>
      <c r="Q44" s="83"/>
      <c r="R44" s="84" t="s">
        <v>109</v>
      </c>
    </row>
    <row r="45" spans="2:18" x14ac:dyDescent="0.2">
      <c r="B45" s="136"/>
      <c r="C45" s="136"/>
      <c r="D45" s="83">
        <v>38</v>
      </c>
      <c r="E45" s="84" t="s">
        <v>938</v>
      </c>
      <c r="F45" s="83" t="s">
        <v>11</v>
      </c>
      <c r="G45" s="83"/>
      <c r="H45" s="83" t="s">
        <v>9</v>
      </c>
      <c r="I45" s="83" t="s">
        <v>14</v>
      </c>
      <c r="J45" s="84"/>
      <c r="K45" s="85">
        <v>31777</v>
      </c>
      <c r="L45" s="83">
        <v>1986</v>
      </c>
      <c r="M45" s="83">
        <f t="shared" si="1"/>
        <v>33</v>
      </c>
      <c r="N45" s="83" t="s">
        <v>3</v>
      </c>
      <c r="O45" s="83"/>
      <c r="P45" s="84" t="s">
        <v>54</v>
      </c>
      <c r="Q45" s="83"/>
      <c r="R45" s="84" t="s">
        <v>16</v>
      </c>
    </row>
    <row r="46" spans="2:18" x14ac:dyDescent="0.2">
      <c r="B46" s="136"/>
      <c r="C46" s="136"/>
      <c r="D46" s="83">
        <v>39</v>
      </c>
      <c r="E46" s="84" t="s">
        <v>939</v>
      </c>
      <c r="F46" s="83" t="s">
        <v>17</v>
      </c>
      <c r="G46" s="83"/>
      <c r="H46" s="83" t="s">
        <v>1</v>
      </c>
      <c r="I46" s="83" t="s">
        <v>14</v>
      </c>
      <c r="J46" s="84"/>
      <c r="K46" s="85">
        <v>40543</v>
      </c>
      <c r="L46" s="83">
        <v>2010</v>
      </c>
      <c r="M46" s="83">
        <f t="shared" si="1"/>
        <v>9</v>
      </c>
      <c r="N46" s="83" t="s">
        <v>3</v>
      </c>
      <c r="O46" s="83"/>
      <c r="P46" s="84" t="s">
        <v>16</v>
      </c>
      <c r="Q46" s="83"/>
      <c r="R46" s="84" t="s">
        <v>16</v>
      </c>
    </row>
    <row r="47" spans="2:18" x14ac:dyDescent="0.2">
      <c r="B47" s="83">
        <v>14</v>
      </c>
      <c r="C47" s="83"/>
      <c r="D47" s="83">
        <v>40</v>
      </c>
      <c r="E47" s="84" t="s">
        <v>940</v>
      </c>
      <c r="F47" s="83" t="s">
        <v>6</v>
      </c>
      <c r="G47" s="83" t="s">
        <v>941</v>
      </c>
      <c r="H47" s="83" t="s">
        <v>1</v>
      </c>
      <c r="I47" s="83" t="s">
        <v>321</v>
      </c>
      <c r="J47" s="84"/>
      <c r="K47" s="85">
        <v>31047</v>
      </c>
      <c r="L47" s="83">
        <v>1984</v>
      </c>
      <c r="M47" s="83">
        <f t="shared" si="1"/>
        <v>35</v>
      </c>
      <c r="N47" s="83" t="s">
        <v>3</v>
      </c>
      <c r="O47" s="83"/>
      <c r="P47" s="84" t="s">
        <v>54</v>
      </c>
      <c r="Q47" s="83"/>
      <c r="R47" s="84" t="s">
        <v>109</v>
      </c>
    </row>
    <row r="48" spans="2:18" ht="25.5" x14ac:dyDescent="0.2">
      <c r="B48" s="136">
        <v>15</v>
      </c>
      <c r="C48" s="136" t="s">
        <v>1133</v>
      </c>
      <c r="D48" s="83">
        <v>41</v>
      </c>
      <c r="E48" s="84" t="s">
        <v>942</v>
      </c>
      <c r="F48" s="83" t="s">
        <v>6</v>
      </c>
      <c r="G48" s="83" t="s">
        <v>943</v>
      </c>
      <c r="H48" s="83" t="s">
        <v>1</v>
      </c>
      <c r="I48" s="83" t="s">
        <v>2</v>
      </c>
      <c r="J48" s="84" t="s">
        <v>1136</v>
      </c>
      <c r="K48" s="85">
        <v>23559</v>
      </c>
      <c r="L48" s="83">
        <v>1964</v>
      </c>
      <c r="M48" s="83">
        <f t="shared" si="1"/>
        <v>55</v>
      </c>
      <c r="N48" s="83" t="s">
        <v>3</v>
      </c>
      <c r="O48" s="83" t="s">
        <v>1137</v>
      </c>
      <c r="P48" s="84" t="s">
        <v>1138</v>
      </c>
      <c r="Q48" s="83"/>
      <c r="R48" s="84" t="s">
        <v>1140</v>
      </c>
    </row>
    <row r="49" spans="2:18" ht="25.5" x14ac:dyDescent="0.2">
      <c r="B49" s="136"/>
      <c r="C49" s="136"/>
      <c r="D49" s="83">
        <v>42</v>
      </c>
      <c r="E49" s="84" t="s">
        <v>1132</v>
      </c>
      <c r="F49" s="83" t="s">
        <v>11</v>
      </c>
      <c r="G49" s="83" t="s">
        <v>944</v>
      </c>
      <c r="H49" s="83" t="s">
        <v>9</v>
      </c>
      <c r="I49" s="83" t="s">
        <v>2</v>
      </c>
      <c r="J49" s="84" t="s">
        <v>1136</v>
      </c>
      <c r="K49" s="85">
        <v>22098</v>
      </c>
      <c r="L49" s="83">
        <v>1960</v>
      </c>
      <c r="M49" s="83">
        <f t="shared" si="1"/>
        <v>59</v>
      </c>
      <c r="N49" s="83" t="s">
        <v>3</v>
      </c>
      <c r="O49" s="83" t="s">
        <v>1137</v>
      </c>
      <c r="P49" s="84" t="s">
        <v>1139</v>
      </c>
      <c r="Q49" s="83"/>
      <c r="R49" s="84" t="s">
        <v>1141</v>
      </c>
    </row>
    <row r="50" spans="2:18" ht="25.5" x14ac:dyDescent="0.2">
      <c r="B50" s="136"/>
      <c r="C50" s="136"/>
      <c r="D50" s="83">
        <v>43</v>
      </c>
      <c r="E50" s="84" t="s">
        <v>1134</v>
      </c>
      <c r="F50" s="83" t="s">
        <v>17</v>
      </c>
      <c r="G50" s="83" t="s">
        <v>1135</v>
      </c>
      <c r="H50" s="83" t="s">
        <v>1</v>
      </c>
      <c r="I50" s="83" t="s">
        <v>14</v>
      </c>
      <c r="J50" s="84" t="s">
        <v>1136</v>
      </c>
      <c r="K50" s="85">
        <v>35977</v>
      </c>
      <c r="L50" s="83">
        <v>1998</v>
      </c>
      <c r="M50" s="83">
        <f t="shared" si="1"/>
        <v>21</v>
      </c>
      <c r="N50" s="83" t="s">
        <v>3</v>
      </c>
      <c r="O50" s="83" t="s">
        <v>1137</v>
      </c>
      <c r="P50" s="84" t="s">
        <v>1139</v>
      </c>
      <c r="Q50" s="83"/>
      <c r="R50" s="84" t="s">
        <v>1140</v>
      </c>
    </row>
    <row r="51" spans="2:18" ht="25.5" x14ac:dyDescent="0.2">
      <c r="B51" s="136">
        <v>16</v>
      </c>
      <c r="C51" s="136" t="s">
        <v>1302</v>
      </c>
      <c r="D51" s="83">
        <v>44</v>
      </c>
      <c r="E51" s="84" t="s">
        <v>945</v>
      </c>
      <c r="F51" s="83" t="s">
        <v>6</v>
      </c>
      <c r="G51" s="83" t="s">
        <v>1303</v>
      </c>
      <c r="H51" s="83" t="s">
        <v>1</v>
      </c>
      <c r="I51" s="83" t="s">
        <v>2</v>
      </c>
      <c r="J51" s="84" t="s">
        <v>1148</v>
      </c>
      <c r="K51" s="85">
        <v>31321</v>
      </c>
      <c r="L51" s="83">
        <v>1985</v>
      </c>
      <c r="M51" s="83">
        <f t="shared" si="1"/>
        <v>34</v>
      </c>
      <c r="N51" s="83" t="s">
        <v>3</v>
      </c>
      <c r="O51" s="83" t="s">
        <v>1137</v>
      </c>
      <c r="P51" s="84" t="s">
        <v>1172</v>
      </c>
      <c r="Q51" s="83"/>
      <c r="R51" s="84" t="s">
        <v>1306</v>
      </c>
    </row>
    <row r="52" spans="2:18" ht="25.5" x14ac:dyDescent="0.2">
      <c r="B52" s="136"/>
      <c r="C52" s="136"/>
      <c r="D52" s="83">
        <v>45</v>
      </c>
      <c r="E52" s="84" t="s">
        <v>946</v>
      </c>
      <c r="F52" s="83" t="s">
        <v>11</v>
      </c>
      <c r="G52" s="83" t="s">
        <v>947</v>
      </c>
      <c r="H52" s="83" t="s">
        <v>9</v>
      </c>
      <c r="I52" s="83" t="s">
        <v>2</v>
      </c>
      <c r="J52" s="84" t="s">
        <v>1305</v>
      </c>
      <c r="K52" s="85">
        <v>33200</v>
      </c>
      <c r="L52" s="83">
        <v>1990</v>
      </c>
      <c r="M52" s="83">
        <f t="shared" si="1"/>
        <v>29</v>
      </c>
      <c r="N52" s="83" t="s">
        <v>3</v>
      </c>
      <c r="O52" s="83" t="s">
        <v>1137</v>
      </c>
      <c r="P52" s="84" t="s">
        <v>1172</v>
      </c>
      <c r="Q52" s="83"/>
      <c r="R52" s="84" t="s">
        <v>10</v>
      </c>
    </row>
    <row r="53" spans="2:18" ht="25.5" x14ac:dyDescent="0.2">
      <c r="B53" s="136"/>
      <c r="C53" s="136"/>
      <c r="D53" s="83">
        <v>46</v>
      </c>
      <c r="E53" s="84" t="s">
        <v>948</v>
      </c>
      <c r="F53" s="83" t="s">
        <v>17</v>
      </c>
      <c r="G53" s="83" t="s">
        <v>949</v>
      </c>
      <c r="H53" s="83" t="s">
        <v>1</v>
      </c>
      <c r="I53" s="83" t="s">
        <v>14</v>
      </c>
      <c r="J53" s="84" t="s">
        <v>1156</v>
      </c>
      <c r="K53" s="85">
        <v>40897</v>
      </c>
      <c r="L53" s="83">
        <v>2011</v>
      </c>
      <c r="M53" s="83">
        <f t="shared" si="1"/>
        <v>8</v>
      </c>
      <c r="N53" s="83" t="s">
        <v>3</v>
      </c>
      <c r="O53" s="83" t="s">
        <v>1137</v>
      </c>
      <c r="P53" s="84" t="s">
        <v>1139</v>
      </c>
      <c r="Q53" s="83"/>
      <c r="R53" s="84" t="s">
        <v>1140</v>
      </c>
    </row>
    <row r="54" spans="2:18" ht="25.5" x14ac:dyDescent="0.2">
      <c r="B54" s="136"/>
      <c r="C54" s="136"/>
      <c r="D54" s="83">
        <v>47</v>
      </c>
      <c r="E54" s="84" t="s">
        <v>1301</v>
      </c>
      <c r="F54" s="83" t="s">
        <v>17</v>
      </c>
      <c r="G54" s="83" t="s">
        <v>1304</v>
      </c>
      <c r="H54" s="83" t="s">
        <v>1</v>
      </c>
      <c r="I54" s="83" t="s">
        <v>14</v>
      </c>
      <c r="J54" s="84" t="s">
        <v>1148</v>
      </c>
      <c r="K54" s="85">
        <v>42436</v>
      </c>
      <c r="L54" s="83">
        <v>2016</v>
      </c>
      <c r="M54" s="83">
        <f t="shared" si="1"/>
        <v>3</v>
      </c>
      <c r="N54" s="83" t="s">
        <v>3</v>
      </c>
      <c r="O54" s="83" t="s">
        <v>1137</v>
      </c>
      <c r="P54" s="84" t="s">
        <v>1139</v>
      </c>
      <c r="Q54" s="83"/>
      <c r="R54" s="84" t="s">
        <v>1140</v>
      </c>
    </row>
    <row r="55" spans="2:18" x14ac:dyDescent="0.2">
      <c r="B55" s="83">
        <v>17</v>
      </c>
      <c r="C55" s="83"/>
      <c r="D55" s="83">
        <v>48</v>
      </c>
      <c r="E55" s="84" t="s">
        <v>920</v>
      </c>
      <c r="F55" s="83" t="s">
        <v>6</v>
      </c>
      <c r="G55" s="83"/>
      <c r="H55" s="83" t="s">
        <v>9</v>
      </c>
      <c r="I55" s="83" t="s">
        <v>24</v>
      </c>
      <c r="J55" s="84"/>
      <c r="K55" s="85">
        <v>16802</v>
      </c>
      <c r="L55" s="83">
        <v>1945</v>
      </c>
      <c r="M55" s="83">
        <f t="shared" si="1"/>
        <v>74</v>
      </c>
      <c r="N55" s="83" t="s">
        <v>3</v>
      </c>
      <c r="O55" s="83"/>
      <c r="P55" s="84" t="s">
        <v>16</v>
      </c>
      <c r="Q55" s="83"/>
      <c r="R55" s="84" t="s">
        <v>16</v>
      </c>
    </row>
    <row r="56" spans="2:18" ht="25.5" x14ac:dyDescent="0.2">
      <c r="B56" s="136">
        <v>18</v>
      </c>
      <c r="C56" s="136" t="s">
        <v>1203</v>
      </c>
      <c r="D56" s="83">
        <v>49</v>
      </c>
      <c r="E56" s="84" t="s">
        <v>950</v>
      </c>
      <c r="F56" s="83" t="s">
        <v>6</v>
      </c>
      <c r="G56" s="83" t="s">
        <v>1205</v>
      </c>
      <c r="H56" s="83" t="s">
        <v>1</v>
      </c>
      <c r="I56" s="83" t="s">
        <v>2</v>
      </c>
      <c r="J56" s="84" t="s">
        <v>1136</v>
      </c>
      <c r="K56" s="85">
        <v>28775</v>
      </c>
      <c r="L56" s="83">
        <v>1978</v>
      </c>
      <c r="M56" s="83">
        <f t="shared" si="1"/>
        <v>41</v>
      </c>
      <c r="N56" s="83" t="s">
        <v>3</v>
      </c>
      <c r="O56" s="83" t="s">
        <v>1137</v>
      </c>
      <c r="P56" s="84" t="s">
        <v>1172</v>
      </c>
      <c r="Q56" s="83"/>
      <c r="R56" s="84" t="s">
        <v>1185</v>
      </c>
    </row>
    <row r="57" spans="2:18" ht="25.5" x14ac:dyDescent="0.2">
      <c r="B57" s="136"/>
      <c r="C57" s="136"/>
      <c r="D57" s="83">
        <v>50</v>
      </c>
      <c r="E57" s="84" t="s">
        <v>951</v>
      </c>
      <c r="F57" s="83" t="s">
        <v>11</v>
      </c>
      <c r="G57" s="83" t="s">
        <v>1206</v>
      </c>
      <c r="H57" s="83" t="s">
        <v>9</v>
      </c>
      <c r="I57" s="83" t="s">
        <v>2</v>
      </c>
      <c r="J57" s="84" t="s">
        <v>1136</v>
      </c>
      <c r="K57" s="85">
        <v>31634</v>
      </c>
      <c r="L57" s="83">
        <v>1986</v>
      </c>
      <c r="M57" s="83">
        <f t="shared" si="1"/>
        <v>33</v>
      </c>
      <c r="N57" s="83" t="s">
        <v>3</v>
      </c>
      <c r="O57" s="83" t="s">
        <v>1137</v>
      </c>
      <c r="P57" s="84" t="s">
        <v>1172</v>
      </c>
      <c r="Q57" s="83"/>
      <c r="R57" s="84" t="s">
        <v>1141</v>
      </c>
    </row>
    <row r="58" spans="2:18" ht="25.5" x14ac:dyDescent="0.2">
      <c r="B58" s="136"/>
      <c r="C58" s="136"/>
      <c r="D58" s="83">
        <v>51</v>
      </c>
      <c r="E58" s="84" t="s">
        <v>952</v>
      </c>
      <c r="F58" s="83" t="s">
        <v>17</v>
      </c>
      <c r="G58" s="83" t="s">
        <v>1207</v>
      </c>
      <c r="H58" s="83" t="s">
        <v>9</v>
      </c>
      <c r="I58" s="83" t="s">
        <v>14</v>
      </c>
      <c r="J58" s="84" t="s">
        <v>1209</v>
      </c>
      <c r="K58" s="85">
        <v>38945</v>
      </c>
      <c r="L58" s="83">
        <v>2006</v>
      </c>
      <c r="M58" s="83">
        <f t="shared" si="1"/>
        <v>13</v>
      </c>
      <c r="N58" s="83" t="s">
        <v>3</v>
      </c>
      <c r="O58" s="83" t="s">
        <v>1137</v>
      </c>
      <c r="P58" s="84" t="s">
        <v>1178</v>
      </c>
      <c r="Q58" s="83"/>
      <c r="R58" s="84" t="s">
        <v>1160</v>
      </c>
    </row>
    <row r="59" spans="2:18" ht="25.5" x14ac:dyDescent="0.2">
      <c r="B59" s="136"/>
      <c r="C59" s="136"/>
      <c r="D59" s="83">
        <v>52</v>
      </c>
      <c r="E59" s="84" t="s">
        <v>1204</v>
      </c>
      <c r="F59" s="83" t="s">
        <v>17</v>
      </c>
      <c r="G59" s="83" t="s">
        <v>1208</v>
      </c>
      <c r="H59" s="83" t="s">
        <v>1</v>
      </c>
      <c r="I59" s="83" t="s">
        <v>14</v>
      </c>
      <c r="J59" s="84" t="s">
        <v>1148</v>
      </c>
      <c r="K59" s="85">
        <v>40668</v>
      </c>
      <c r="L59" s="83">
        <v>2011</v>
      </c>
      <c r="M59" s="83">
        <f t="shared" si="1"/>
        <v>8</v>
      </c>
      <c r="N59" s="83" t="s">
        <v>3</v>
      </c>
      <c r="O59" s="83" t="s">
        <v>1137</v>
      </c>
      <c r="P59" s="84" t="s">
        <v>1139</v>
      </c>
      <c r="Q59" s="83"/>
      <c r="R59" s="84" t="s">
        <v>1140</v>
      </c>
    </row>
    <row r="60" spans="2:18" ht="25.5" x14ac:dyDescent="0.2">
      <c r="B60" s="136">
        <v>19</v>
      </c>
      <c r="C60" s="136" t="s">
        <v>1608</v>
      </c>
      <c r="D60" s="83">
        <v>53</v>
      </c>
      <c r="E60" s="84" t="s">
        <v>553</v>
      </c>
      <c r="F60" s="83" t="s">
        <v>6</v>
      </c>
      <c r="G60" s="83" t="s">
        <v>1609</v>
      </c>
      <c r="H60" s="83" t="s">
        <v>1</v>
      </c>
      <c r="I60" s="83" t="s">
        <v>2</v>
      </c>
      <c r="J60" s="84" t="s">
        <v>1156</v>
      </c>
      <c r="K60" s="85">
        <v>18628</v>
      </c>
      <c r="L60" s="83">
        <v>1950</v>
      </c>
      <c r="M60" s="83">
        <f t="shared" si="1"/>
        <v>69</v>
      </c>
      <c r="N60" s="83" t="s">
        <v>3</v>
      </c>
      <c r="O60" s="83" t="s">
        <v>1137</v>
      </c>
      <c r="P60" s="84" t="s">
        <v>1139</v>
      </c>
      <c r="Q60" s="83"/>
      <c r="R60" s="84" t="s">
        <v>1174</v>
      </c>
    </row>
    <row r="61" spans="2:18" ht="25.5" x14ac:dyDescent="0.2">
      <c r="B61" s="136"/>
      <c r="C61" s="136"/>
      <c r="D61" s="83">
        <v>54</v>
      </c>
      <c r="E61" s="84" t="s">
        <v>953</v>
      </c>
      <c r="F61" s="83" t="s">
        <v>11</v>
      </c>
      <c r="G61" s="83" t="s">
        <v>1610</v>
      </c>
      <c r="H61" s="83" t="s">
        <v>9</v>
      </c>
      <c r="I61" s="83" t="s">
        <v>2</v>
      </c>
      <c r="J61" s="84" t="s">
        <v>1156</v>
      </c>
      <c r="K61" s="85">
        <v>22098</v>
      </c>
      <c r="L61" s="83">
        <v>1960</v>
      </c>
      <c r="M61" s="83">
        <f t="shared" si="1"/>
        <v>59</v>
      </c>
      <c r="N61" s="83" t="s">
        <v>3</v>
      </c>
      <c r="O61" s="83" t="s">
        <v>1137</v>
      </c>
      <c r="P61" s="84" t="s">
        <v>1139</v>
      </c>
      <c r="Q61" s="83"/>
      <c r="R61" s="84" t="s">
        <v>1174</v>
      </c>
    </row>
    <row r="62" spans="2:18" ht="25.5" x14ac:dyDescent="0.2">
      <c r="B62" s="136">
        <v>20</v>
      </c>
      <c r="C62" s="136" t="s">
        <v>1594</v>
      </c>
      <c r="D62" s="83">
        <v>55</v>
      </c>
      <c r="E62" s="84" t="s">
        <v>954</v>
      </c>
      <c r="F62" s="83" t="s">
        <v>6</v>
      </c>
      <c r="G62" s="83" t="s">
        <v>955</v>
      </c>
      <c r="H62" s="83" t="s">
        <v>1</v>
      </c>
      <c r="I62" s="83" t="s">
        <v>2</v>
      </c>
      <c r="J62" s="84" t="s">
        <v>1156</v>
      </c>
      <c r="K62" s="85">
        <v>34125</v>
      </c>
      <c r="L62" s="83">
        <v>1993</v>
      </c>
      <c r="M62" s="83">
        <f t="shared" si="1"/>
        <v>26</v>
      </c>
      <c r="N62" s="83" t="s">
        <v>3</v>
      </c>
      <c r="O62" s="83" t="s">
        <v>1137</v>
      </c>
      <c r="P62" s="84" t="s">
        <v>1138</v>
      </c>
      <c r="Q62" s="83"/>
      <c r="R62" s="84" t="s">
        <v>1174</v>
      </c>
    </row>
    <row r="63" spans="2:18" ht="25.5" x14ac:dyDescent="0.2">
      <c r="B63" s="136"/>
      <c r="C63" s="136"/>
      <c r="D63" s="83">
        <v>56</v>
      </c>
      <c r="E63" s="84" t="s">
        <v>956</v>
      </c>
      <c r="F63" s="83" t="s">
        <v>11</v>
      </c>
      <c r="G63" s="83" t="s">
        <v>1595</v>
      </c>
      <c r="H63" s="83" t="s">
        <v>9</v>
      </c>
      <c r="I63" s="83" t="s">
        <v>2</v>
      </c>
      <c r="J63" s="84" t="s">
        <v>1597</v>
      </c>
      <c r="K63" s="85">
        <v>35501</v>
      </c>
      <c r="L63" s="83">
        <v>1997</v>
      </c>
      <c r="M63" s="83">
        <f t="shared" si="1"/>
        <v>22</v>
      </c>
      <c r="N63" s="83" t="s">
        <v>3</v>
      </c>
      <c r="O63" s="83" t="s">
        <v>1137</v>
      </c>
      <c r="P63" s="84" t="s">
        <v>1172</v>
      </c>
      <c r="Q63" s="83"/>
      <c r="R63" s="84" t="s">
        <v>1160</v>
      </c>
    </row>
    <row r="64" spans="2:18" ht="25.5" x14ac:dyDescent="0.2">
      <c r="B64" s="136"/>
      <c r="C64" s="136"/>
      <c r="D64" s="83">
        <v>57</v>
      </c>
      <c r="E64" s="84" t="s">
        <v>957</v>
      </c>
      <c r="F64" s="83" t="s">
        <v>17</v>
      </c>
      <c r="G64" s="83" t="s">
        <v>1596</v>
      </c>
      <c r="H64" s="83" t="s">
        <v>9</v>
      </c>
      <c r="I64" s="83" t="s">
        <v>14</v>
      </c>
      <c r="J64" s="84" t="s">
        <v>1156</v>
      </c>
      <c r="K64" s="85">
        <v>42030</v>
      </c>
      <c r="L64" s="83">
        <v>2015</v>
      </c>
      <c r="M64" s="83">
        <f t="shared" si="1"/>
        <v>4</v>
      </c>
      <c r="N64" s="83" t="s">
        <v>3</v>
      </c>
      <c r="O64" s="83" t="s">
        <v>1137</v>
      </c>
      <c r="P64" s="84" t="s">
        <v>1139</v>
      </c>
      <c r="Q64" s="83"/>
      <c r="R64" s="84" t="s">
        <v>1140</v>
      </c>
    </row>
    <row r="65" spans="2:18" x14ac:dyDescent="0.2">
      <c r="B65" s="136">
        <v>21</v>
      </c>
      <c r="C65" s="136" t="s">
        <v>1296</v>
      </c>
      <c r="D65" s="83">
        <v>58</v>
      </c>
      <c r="E65" s="84" t="s">
        <v>958</v>
      </c>
      <c r="F65" s="83" t="s">
        <v>6</v>
      </c>
      <c r="G65" s="83" t="s">
        <v>1297</v>
      </c>
      <c r="H65" s="83" t="s">
        <v>1</v>
      </c>
      <c r="I65" s="83" t="s">
        <v>2</v>
      </c>
      <c r="J65" s="84" t="s">
        <v>1156</v>
      </c>
      <c r="K65" s="85">
        <v>30316</v>
      </c>
      <c r="L65" s="83">
        <v>1982</v>
      </c>
      <c r="M65" s="83">
        <f t="shared" si="1"/>
        <v>37</v>
      </c>
      <c r="N65" s="83" t="s">
        <v>3</v>
      </c>
      <c r="O65" s="83" t="s">
        <v>1137</v>
      </c>
      <c r="P65" s="84" t="s">
        <v>1159</v>
      </c>
      <c r="Q65" s="83"/>
      <c r="R65" s="84" t="s">
        <v>10</v>
      </c>
    </row>
    <row r="66" spans="2:18" ht="25.5" x14ac:dyDescent="0.2">
      <c r="B66" s="136"/>
      <c r="C66" s="136"/>
      <c r="D66" s="83">
        <v>59</v>
      </c>
      <c r="E66" s="84" t="s">
        <v>419</v>
      </c>
      <c r="F66" s="83" t="s">
        <v>11</v>
      </c>
      <c r="G66" s="83" t="s">
        <v>959</v>
      </c>
      <c r="H66" s="83" t="s">
        <v>9</v>
      </c>
      <c r="I66" s="83" t="s">
        <v>2</v>
      </c>
      <c r="J66" s="84" t="s">
        <v>1300</v>
      </c>
      <c r="K66" s="85">
        <v>30357</v>
      </c>
      <c r="L66" s="83">
        <v>1983</v>
      </c>
      <c r="M66" s="83">
        <f t="shared" si="1"/>
        <v>36</v>
      </c>
      <c r="N66" s="83" t="s">
        <v>3</v>
      </c>
      <c r="O66" s="83" t="s">
        <v>1137</v>
      </c>
      <c r="P66" s="84" t="s">
        <v>1172</v>
      </c>
      <c r="Q66" s="83"/>
      <c r="R66" s="84" t="s">
        <v>1141</v>
      </c>
    </row>
    <row r="67" spans="2:18" ht="25.5" x14ac:dyDescent="0.2">
      <c r="B67" s="136"/>
      <c r="C67" s="136"/>
      <c r="D67" s="83">
        <v>60</v>
      </c>
      <c r="E67" s="84" t="s">
        <v>960</v>
      </c>
      <c r="F67" s="83" t="s">
        <v>17</v>
      </c>
      <c r="G67" s="83" t="s">
        <v>1298</v>
      </c>
      <c r="H67" s="83" t="s">
        <v>9</v>
      </c>
      <c r="I67" s="83" t="s">
        <v>14</v>
      </c>
      <c r="J67" s="84" t="s">
        <v>1156</v>
      </c>
      <c r="K67" s="85">
        <v>41393</v>
      </c>
      <c r="L67" s="83">
        <v>2013</v>
      </c>
      <c r="M67" s="83">
        <f t="shared" si="1"/>
        <v>6</v>
      </c>
      <c r="N67" s="83" t="s">
        <v>3</v>
      </c>
      <c r="O67" s="83" t="s">
        <v>1137</v>
      </c>
      <c r="P67" s="84" t="s">
        <v>1139</v>
      </c>
      <c r="Q67" s="83"/>
      <c r="R67" s="84" t="s">
        <v>1140</v>
      </c>
    </row>
    <row r="68" spans="2:18" ht="25.5" x14ac:dyDescent="0.2">
      <c r="B68" s="136"/>
      <c r="C68" s="136"/>
      <c r="D68" s="83">
        <v>61</v>
      </c>
      <c r="E68" s="84" t="s">
        <v>1295</v>
      </c>
      <c r="F68" s="83" t="s">
        <v>17</v>
      </c>
      <c r="G68" s="83" t="s">
        <v>1299</v>
      </c>
      <c r="H68" s="83" t="s">
        <v>9</v>
      </c>
      <c r="I68" s="83" t="s">
        <v>14</v>
      </c>
      <c r="J68" s="84" t="s">
        <v>1156</v>
      </c>
      <c r="K68" s="85">
        <v>43147</v>
      </c>
      <c r="L68" s="83">
        <v>2018</v>
      </c>
      <c r="M68" s="83">
        <f t="shared" si="1"/>
        <v>1</v>
      </c>
      <c r="N68" s="83" t="s">
        <v>3</v>
      </c>
      <c r="O68" s="83" t="s">
        <v>1137</v>
      </c>
      <c r="P68" s="84" t="s">
        <v>1139</v>
      </c>
      <c r="Q68" s="83"/>
      <c r="R68" s="84" t="s">
        <v>1140</v>
      </c>
    </row>
    <row r="69" spans="2:18" ht="25.5" x14ac:dyDescent="0.2">
      <c r="B69" s="136">
        <v>22</v>
      </c>
      <c r="C69" s="136" t="s">
        <v>1352</v>
      </c>
      <c r="D69" s="83">
        <v>62</v>
      </c>
      <c r="E69" s="84" t="s">
        <v>961</v>
      </c>
      <c r="F69" s="83" t="s">
        <v>6</v>
      </c>
      <c r="G69" s="83" t="s">
        <v>962</v>
      </c>
      <c r="H69" s="83" t="s">
        <v>1</v>
      </c>
      <c r="I69" s="83" t="s">
        <v>2</v>
      </c>
      <c r="J69" s="84" t="s">
        <v>1156</v>
      </c>
      <c r="K69" s="85">
        <v>21002</v>
      </c>
      <c r="L69" s="83">
        <v>1957</v>
      </c>
      <c r="M69" s="83">
        <f t="shared" si="1"/>
        <v>62</v>
      </c>
      <c r="N69" s="83" t="s">
        <v>3</v>
      </c>
      <c r="O69" s="83" t="s">
        <v>1137</v>
      </c>
      <c r="P69" s="84" t="s">
        <v>1138</v>
      </c>
      <c r="Q69" s="83"/>
      <c r="R69" s="84" t="s">
        <v>1223</v>
      </c>
    </row>
    <row r="70" spans="2:18" ht="25.5" x14ac:dyDescent="0.2">
      <c r="B70" s="136"/>
      <c r="C70" s="136"/>
      <c r="D70" s="83">
        <v>63</v>
      </c>
      <c r="E70" s="84" t="s">
        <v>963</v>
      </c>
      <c r="F70" s="83" t="s">
        <v>11</v>
      </c>
      <c r="G70" s="83" t="s">
        <v>1353</v>
      </c>
      <c r="H70" s="83" t="s">
        <v>9</v>
      </c>
      <c r="I70" s="83" t="s">
        <v>2</v>
      </c>
      <c r="J70" s="84" t="s">
        <v>1156</v>
      </c>
      <c r="K70" s="85">
        <v>24654</v>
      </c>
      <c r="L70" s="83">
        <v>1967</v>
      </c>
      <c r="M70" s="83">
        <f t="shared" ref="M70:M95" si="2">2019-L70</f>
        <v>52</v>
      </c>
      <c r="N70" s="83" t="s">
        <v>3</v>
      </c>
      <c r="O70" s="83" t="s">
        <v>1137</v>
      </c>
      <c r="P70" s="84" t="s">
        <v>1138</v>
      </c>
      <c r="Q70" s="83"/>
      <c r="R70" s="84" t="s">
        <v>1223</v>
      </c>
    </row>
    <row r="71" spans="2:18" ht="25.5" x14ac:dyDescent="0.2">
      <c r="B71" s="136"/>
      <c r="C71" s="136"/>
      <c r="D71" s="83">
        <v>64</v>
      </c>
      <c r="E71" s="84" t="s">
        <v>420</v>
      </c>
      <c r="F71" s="83" t="s">
        <v>17</v>
      </c>
      <c r="G71" s="83" t="s">
        <v>964</v>
      </c>
      <c r="H71" s="83" t="s">
        <v>9</v>
      </c>
      <c r="I71" s="83" t="s">
        <v>14</v>
      </c>
      <c r="J71" s="84" t="s">
        <v>1156</v>
      </c>
      <c r="K71" s="85">
        <v>32099</v>
      </c>
      <c r="L71" s="83">
        <v>1987</v>
      </c>
      <c r="M71" s="83">
        <f t="shared" si="2"/>
        <v>32</v>
      </c>
      <c r="N71" s="83" t="s">
        <v>3</v>
      </c>
      <c r="O71" s="83" t="s">
        <v>1137</v>
      </c>
      <c r="P71" s="84" t="s">
        <v>1172</v>
      </c>
      <c r="Q71" s="83"/>
      <c r="R71" s="84" t="s">
        <v>1174</v>
      </c>
    </row>
    <row r="72" spans="2:18" ht="25.5" x14ac:dyDescent="0.2">
      <c r="B72" s="136"/>
      <c r="C72" s="136"/>
      <c r="D72" s="83">
        <v>65</v>
      </c>
      <c r="E72" s="84" t="s">
        <v>965</v>
      </c>
      <c r="F72" s="83" t="s">
        <v>17</v>
      </c>
      <c r="G72" s="83" t="s">
        <v>966</v>
      </c>
      <c r="H72" s="83" t="s">
        <v>9</v>
      </c>
      <c r="I72" s="83" t="s">
        <v>14</v>
      </c>
      <c r="J72" s="84" t="s">
        <v>1156</v>
      </c>
      <c r="K72" s="85">
        <v>34375</v>
      </c>
      <c r="L72" s="83">
        <v>1994</v>
      </c>
      <c r="M72" s="83">
        <f t="shared" si="2"/>
        <v>25</v>
      </c>
      <c r="N72" s="83" t="s">
        <v>3</v>
      </c>
      <c r="O72" s="83" t="s">
        <v>1137</v>
      </c>
      <c r="P72" s="84" t="s">
        <v>1354</v>
      </c>
      <c r="Q72" s="83"/>
      <c r="R72" s="84" t="s">
        <v>1160</v>
      </c>
    </row>
    <row r="73" spans="2:18" ht="25.5" x14ac:dyDescent="0.2">
      <c r="B73" s="136">
        <v>23</v>
      </c>
      <c r="C73" s="136" t="s">
        <v>1621</v>
      </c>
      <c r="D73" s="83">
        <v>66</v>
      </c>
      <c r="E73" s="84" t="s">
        <v>1622</v>
      </c>
      <c r="F73" s="83" t="s">
        <v>6</v>
      </c>
      <c r="G73" s="83" t="s">
        <v>1625</v>
      </c>
      <c r="H73" s="83" t="s">
        <v>1</v>
      </c>
      <c r="I73" s="83" t="s">
        <v>2</v>
      </c>
      <c r="J73" s="84" t="s">
        <v>1156</v>
      </c>
      <c r="K73" s="85">
        <v>28490</v>
      </c>
      <c r="L73" s="83">
        <v>1977</v>
      </c>
      <c r="M73" s="83">
        <f t="shared" si="2"/>
        <v>42</v>
      </c>
      <c r="N73" s="83" t="s">
        <v>3</v>
      </c>
      <c r="O73" s="83" t="s">
        <v>1137</v>
      </c>
      <c r="P73" s="84" t="s">
        <v>1138</v>
      </c>
      <c r="Q73" s="83"/>
      <c r="R73" s="84" t="s">
        <v>10</v>
      </c>
    </row>
    <row r="74" spans="2:18" ht="25.5" x14ac:dyDescent="0.2">
      <c r="B74" s="136"/>
      <c r="C74" s="136"/>
      <c r="D74" s="83">
        <v>67</v>
      </c>
      <c r="E74" s="84" t="s">
        <v>1623</v>
      </c>
      <c r="F74" s="83" t="s">
        <v>11</v>
      </c>
      <c r="G74" s="83" t="s">
        <v>1626</v>
      </c>
      <c r="H74" s="83" t="s">
        <v>9</v>
      </c>
      <c r="I74" s="83" t="s">
        <v>2</v>
      </c>
      <c r="J74" s="84" t="s">
        <v>1628</v>
      </c>
      <c r="K74" s="85">
        <v>31412</v>
      </c>
      <c r="L74" s="83">
        <v>1985</v>
      </c>
      <c r="M74" s="83">
        <f t="shared" si="2"/>
        <v>34</v>
      </c>
      <c r="N74" s="83" t="s">
        <v>3</v>
      </c>
      <c r="O74" s="83" t="s">
        <v>1137</v>
      </c>
      <c r="P74" s="84" t="s">
        <v>1138</v>
      </c>
      <c r="Q74" s="83"/>
      <c r="R74" s="84" t="s">
        <v>123</v>
      </c>
    </row>
    <row r="75" spans="2:18" ht="25.5" x14ac:dyDescent="0.2">
      <c r="B75" s="136"/>
      <c r="C75" s="136"/>
      <c r="D75" s="83">
        <v>68</v>
      </c>
      <c r="E75" s="84" t="s">
        <v>967</v>
      </c>
      <c r="F75" s="83" t="s">
        <v>17</v>
      </c>
      <c r="G75" s="83" t="s">
        <v>968</v>
      </c>
      <c r="H75" s="83" t="s">
        <v>9</v>
      </c>
      <c r="I75" s="83" t="s">
        <v>14</v>
      </c>
      <c r="J75" s="84" t="s">
        <v>1246</v>
      </c>
      <c r="K75" s="85">
        <v>37635</v>
      </c>
      <c r="L75" s="83">
        <v>2003</v>
      </c>
      <c r="M75" s="83">
        <f t="shared" ref="M75" si="3">2019-L75</f>
        <v>16</v>
      </c>
      <c r="N75" s="83" t="s">
        <v>3</v>
      </c>
      <c r="O75" s="83" t="s">
        <v>1137</v>
      </c>
      <c r="P75" s="84" t="s">
        <v>1138</v>
      </c>
      <c r="Q75" s="83"/>
      <c r="R75" s="84" t="s">
        <v>1160</v>
      </c>
    </row>
    <row r="76" spans="2:18" ht="25.5" x14ac:dyDescent="0.2">
      <c r="B76" s="136"/>
      <c r="C76" s="136"/>
      <c r="D76" s="83">
        <v>69</v>
      </c>
      <c r="E76" s="84" t="s">
        <v>1624</v>
      </c>
      <c r="F76" s="83" t="s">
        <v>17</v>
      </c>
      <c r="G76" s="83" t="s">
        <v>1627</v>
      </c>
      <c r="H76" s="83" t="s">
        <v>9</v>
      </c>
      <c r="I76" s="83" t="s">
        <v>14</v>
      </c>
      <c r="J76" s="84" t="s">
        <v>1156</v>
      </c>
      <c r="K76" s="85">
        <v>40049</v>
      </c>
      <c r="L76" s="83">
        <v>2009</v>
      </c>
      <c r="M76" s="83">
        <f t="shared" si="2"/>
        <v>10</v>
      </c>
      <c r="N76" s="83" t="s">
        <v>3</v>
      </c>
      <c r="O76" s="83" t="s">
        <v>1137</v>
      </c>
      <c r="P76" s="84" t="s">
        <v>1178</v>
      </c>
      <c r="Q76" s="83"/>
      <c r="R76" s="84" t="s">
        <v>1160</v>
      </c>
    </row>
    <row r="77" spans="2:18" ht="25.5" x14ac:dyDescent="0.2">
      <c r="B77" s="136">
        <v>24</v>
      </c>
      <c r="C77" s="136" t="s">
        <v>1643</v>
      </c>
      <c r="D77" s="83">
        <v>70</v>
      </c>
      <c r="E77" s="84" t="s">
        <v>969</v>
      </c>
      <c r="F77" s="83" t="s">
        <v>6</v>
      </c>
      <c r="G77" s="83" t="s">
        <v>971</v>
      </c>
      <c r="H77" s="83" t="s">
        <v>1</v>
      </c>
      <c r="I77" s="83" t="s">
        <v>2</v>
      </c>
      <c r="J77" s="84" t="s">
        <v>1156</v>
      </c>
      <c r="K77" s="85">
        <v>22646</v>
      </c>
      <c r="L77" s="83">
        <v>1961</v>
      </c>
      <c r="M77" s="83">
        <f t="shared" si="2"/>
        <v>58</v>
      </c>
      <c r="N77" s="83" t="s">
        <v>3</v>
      </c>
      <c r="O77" s="83" t="s">
        <v>1137</v>
      </c>
      <c r="P77" s="84" t="s">
        <v>1138</v>
      </c>
      <c r="Q77" s="83"/>
      <c r="R77" s="84" t="s">
        <v>1174</v>
      </c>
    </row>
    <row r="78" spans="2:18" ht="25.5" x14ac:dyDescent="0.2">
      <c r="B78" s="136"/>
      <c r="C78" s="136"/>
      <c r="D78" s="83">
        <v>71</v>
      </c>
      <c r="E78" s="84" t="s">
        <v>688</v>
      </c>
      <c r="F78" s="83" t="s">
        <v>11</v>
      </c>
      <c r="G78" s="83" t="s">
        <v>972</v>
      </c>
      <c r="H78" s="83" t="s">
        <v>9</v>
      </c>
      <c r="I78" s="83" t="s">
        <v>2</v>
      </c>
      <c r="J78" s="84" t="s">
        <v>1156</v>
      </c>
      <c r="K78" s="85">
        <v>25203</v>
      </c>
      <c r="L78" s="83">
        <v>1968</v>
      </c>
      <c r="M78" s="83">
        <f t="shared" si="2"/>
        <v>51</v>
      </c>
      <c r="N78" s="83" t="s">
        <v>3</v>
      </c>
      <c r="O78" s="83" t="s">
        <v>1137</v>
      </c>
      <c r="P78" s="84" t="s">
        <v>1138</v>
      </c>
      <c r="Q78" s="83"/>
      <c r="R78" s="84" t="s">
        <v>1141</v>
      </c>
    </row>
    <row r="79" spans="2:18" ht="25.5" x14ac:dyDescent="0.2">
      <c r="B79" s="136"/>
      <c r="C79" s="136"/>
      <c r="D79" s="83">
        <v>72</v>
      </c>
      <c r="E79" s="84" t="s">
        <v>973</v>
      </c>
      <c r="F79" s="83" t="s">
        <v>17</v>
      </c>
      <c r="G79" s="83" t="s">
        <v>974</v>
      </c>
      <c r="H79" s="83" t="s">
        <v>1</v>
      </c>
      <c r="I79" s="83" t="s">
        <v>14</v>
      </c>
      <c r="J79" s="84" t="s">
        <v>1156</v>
      </c>
      <c r="K79" s="85">
        <v>36722</v>
      </c>
      <c r="L79" s="83">
        <v>2000</v>
      </c>
      <c r="M79" s="83">
        <f t="shared" si="2"/>
        <v>19</v>
      </c>
      <c r="N79" s="83" t="s">
        <v>3</v>
      </c>
      <c r="O79" s="83" t="s">
        <v>1137</v>
      </c>
      <c r="P79" s="84" t="s">
        <v>1172</v>
      </c>
      <c r="Q79" s="83"/>
      <c r="R79" s="84" t="s">
        <v>1160</v>
      </c>
    </row>
    <row r="80" spans="2:18" ht="25.5" x14ac:dyDescent="0.2">
      <c r="B80" s="136"/>
      <c r="C80" s="136"/>
      <c r="D80" s="83">
        <v>73</v>
      </c>
      <c r="E80" s="84" t="s">
        <v>975</v>
      </c>
      <c r="F80" s="83" t="s">
        <v>17</v>
      </c>
      <c r="G80" s="83" t="s">
        <v>976</v>
      </c>
      <c r="H80" s="83" t="s">
        <v>9</v>
      </c>
      <c r="I80" s="83" t="s">
        <v>14</v>
      </c>
      <c r="J80" s="84" t="s">
        <v>1156</v>
      </c>
      <c r="K80" s="85">
        <v>40275</v>
      </c>
      <c r="L80" s="83">
        <v>2010</v>
      </c>
      <c r="M80" s="83">
        <f t="shared" si="2"/>
        <v>9</v>
      </c>
      <c r="N80" s="83" t="s">
        <v>3</v>
      </c>
      <c r="O80" s="83" t="s">
        <v>1137</v>
      </c>
      <c r="P80" s="84" t="s">
        <v>1139</v>
      </c>
      <c r="Q80" s="83"/>
      <c r="R80" s="84" t="s">
        <v>1140</v>
      </c>
    </row>
    <row r="81" spans="2:18" ht="25.5" x14ac:dyDescent="0.2">
      <c r="B81" s="136">
        <v>25</v>
      </c>
      <c r="C81" s="136"/>
      <c r="D81" s="83">
        <v>74</v>
      </c>
      <c r="E81" s="84" t="s">
        <v>977</v>
      </c>
      <c r="F81" s="83" t="s">
        <v>970</v>
      </c>
      <c r="G81" s="83" t="s">
        <v>978</v>
      </c>
      <c r="H81" s="83" t="s">
        <v>1</v>
      </c>
      <c r="I81" s="83" t="s">
        <v>2</v>
      </c>
      <c r="J81" s="84"/>
      <c r="K81" s="85">
        <v>28855</v>
      </c>
      <c r="L81" s="83">
        <v>1978</v>
      </c>
      <c r="M81" s="83">
        <f t="shared" si="2"/>
        <v>41</v>
      </c>
      <c r="N81" s="83" t="s">
        <v>3</v>
      </c>
      <c r="O81" s="83"/>
      <c r="P81" s="84" t="s">
        <v>15</v>
      </c>
      <c r="Q81" s="83"/>
      <c r="R81" s="84" t="s">
        <v>5</v>
      </c>
    </row>
    <row r="82" spans="2:18" x14ac:dyDescent="0.2">
      <c r="B82" s="136"/>
      <c r="C82" s="136"/>
      <c r="D82" s="83">
        <v>75</v>
      </c>
      <c r="E82" s="84" t="s">
        <v>979</v>
      </c>
      <c r="F82" s="83" t="s">
        <v>11</v>
      </c>
      <c r="G82" s="83" t="s">
        <v>980</v>
      </c>
      <c r="H82" s="83" t="s">
        <v>9</v>
      </c>
      <c r="I82" s="83" t="s">
        <v>2</v>
      </c>
      <c r="J82" s="84"/>
      <c r="K82" s="85">
        <v>29438</v>
      </c>
      <c r="L82" s="83">
        <v>1980</v>
      </c>
      <c r="M82" s="83">
        <f t="shared" si="2"/>
        <v>39</v>
      </c>
      <c r="N82" s="83" t="s">
        <v>3</v>
      </c>
      <c r="O82" s="83"/>
      <c r="P82" s="84" t="s">
        <v>15</v>
      </c>
      <c r="Q82" s="83"/>
      <c r="R82" s="84" t="s">
        <v>16</v>
      </c>
    </row>
    <row r="83" spans="2:18" ht="25.5" x14ac:dyDescent="0.2">
      <c r="B83" s="136"/>
      <c r="C83" s="136"/>
      <c r="D83" s="83">
        <v>76</v>
      </c>
      <c r="E83" s="84" t="s">
        <v>981</v>
      </c>
      <c r="F83" s="83" t="s">
        <v>17</v>
      </c>
      <c r="G83" s="83" t="s">
        <v>983</v>
      </c>
      <c r="H83" s="83" t="s">
        <v>9</v>
      </c>
      <c r="I83" s="83" t="s">
        <v>14</v>
      </c>
      <c r="J83" s="84"/>
      <c r="K83" s="85">
        <v>38477</v>
      </c>
      <c r="L83" s="83">
        <v>2005</v>
      </c>
      <c r="M83" s="83">
        <f t="shared" si="2"/>
        <v>14</v>
      </c>
      <c r="N83" s="83" t="s">
        <v>3</v>
      </c>
      <c r="O83" s="83"/>
      <c r="P83" s="84" t="s">
        <v>982</v>
      </c>
      <c r="Q83" s="83"/>
      <c r="R83" s="84" t="s">
        <v>16</v>
      </c>
    </row>
    <row r="84" spans="2:18" ht="25.5" x14ac:dyDescent="0.2">
      <c r="B84" s="136"/>
      <c r="C84" s="136"/>
      <c r="D84" s="83">
        <v>77</v>
      </c>
      <c r="E84" s="84" t="s">
        <v>984</v>
      </c>
      <c r="F84" s="83" t="s">
        <v>17</v>
      </c>
      <c r="G84" s="83" t="s">
        <v>985</v>
      </c>
      <c r="H84" s="83" t="s">
        <v>1</v>
      </c>
      <c r="I84" s="83" t="s">
        <v>14</v>
      </c>
      <c r="J84" s="84"/>
      <c r="K84" s="85">
        <v>39891</v>
      </c>
      <c r="L84" s="83">
        <v>2000</v>
      </c>
      <c r="M84" s="83">
        <f t="shared" si="2"/>
        <v>19</v>
      </c>
      <c r="N84" s="83" t="s">
        <v>3</v>
      </c>
      <c r="O84" s="83"/>
      <c r="P84" s="84" t="s">
        <v>16</v>
      </c>
      <c r="Q84" s="83"/>
      <c r="R84" s="84" t="s">
        <v>16</v>
      </c>
    </row>
    <row r="85" spans="2:18" ht="25.5" x14ac:dyDescent="0.2">
      <c r="B85" s="136">
        <v>26</v>
      </c>
      <c r="C85" s="136" t="s">
        <v>1288</v>
      </c>
      <c r="D85" s="83">
        <v>78</v>
      </c>
      <c r="E85" s="84" t="s">
        <v>1286</v>
      </c>
      <c r="F85" s="83" t="s">
        <v>6</v>
      </c>
      <c r="G85" s="83" t="s">
        <v>986</v>
      </c>
      <c r="H85" s="83" t="s">
        <v>1</v>
      </c>
      <c r="I85" s="83" t="s">
        <v>2</v>
      </c>
      <c r="J85" s="84" t="s">
        <v>1156</v>
      </c>
      <c r="K85" s="85">
        <v>32581</v>
      </c>
      <c r="L85" s="83">
        <v>1989</v>
      </c>
      <c r="M85" s="83">
        <f t="shared" si="2"/>
        <v>30</v>
      </c>
      <c r="N85" s="83" t="s">
        <v>3</v>
      </c>
      <c r="O85" s="83" t="s">
        <v>1137</v>
      </c>
      <c r="P85" s="84" t="s">
        <v>1159</v>
      </c>
      <c r="Q85" s="83"/>
      <c r="R85" s="84" t="s">
        <v>10</v>
      </c>
    </row>
    <row r="86" spans="2:18" ht="25.5" x14ac:dyDescent="0.2">
      <c r="B86" s="136"/>
      <c r="C86" s="136"/>
      <c r="D86" s="83">
        <v>79</v>
      </c>
      <c r="E86" s="84" t="s">
        <v>987</v>
      </c>
      <c r="F86" s="83" t="s">
        <v>11</v>
      </c>
      <c r="G86" s="83" t="s">
        <v>1289</v>
      </c>
      <c r="H86" s="83" t="s">
        <v>9</v>
      </c>
      <c r="I86" s="83" t="s">
        <v>988</v>
      </c>
      <c r="J86" s="84" t="s">
        <v>1293</v>
      </c>
      <c r="K86" s="85">
        <v>34234</v>
      </c>
      <c r="L86" s="83">
        <v>1993</v>
      </c>
      <c r="M86" s="83">
        <f t="shared" si="2"/>
        <v>26</v>
      </c>
      <c r="N86" s="83" t="s">
        <v>3</v>
      </c>
      <c r="O86" s="83" t="s">
        <v>1137</v>
      </c>
      <c r="P86" s="84" t="s">
        <v>1159</v>
      </c>
      <c r="Q86" s="83"/>
      <c r="R86" s="84" t="s">
        <v>1141</v>
      </c>
    </row>
    <row r="87" spans="2:18" ht="25.5" x14ac:dyDescent="0.2">
      <c r="B87" s="136"/>
      <c r="C87" s="136"/>
      <c r="D87" s="83">
        <v>80</v>
      </c>
      <c r="E87" s="84" t="s">
        <v>1287</v>
      </c>
      <c r="F87" s="83" t="s">
        <v>17</v>
      </c>
      <c r="G87" s="83" t="s">
        <v>989</v>
      </c>
      <c r="H87" s="83" t="s">
        <v>1</v>
      </c>
      <c r="I87" s="83" t="s">
        <v>14</v>
      </c>
      <c r="J87" s="84" t="s">
        <v>1156</v>
      </c>
      <c r="K87" s="85">
        <v>41745</v>
      </c>
      <c r="L87" s="83">
        <v>2014</v>
      </c>
      <c r="M87" s="83">
        <f t="shared" si="2"/>
        <v>5</v>
      </c>
      <c r="N87" s="83" t="s">
        <v>3</v>
      </c>
      <c r="O87" s="83" t="s">
        <v>1137</v>
      </c>
      <c r="P87" s="84" t="s">
        <v>1139</v>
      </c>
      <c r="Q87" s="83"/>
      <c r="R87" s="84" t="s">
        <v>1140</v>
      </c>
    </row>
    <row r="88" spans="2:18" ht="25.5" x14ac:dyDescent="0.2">
      <c r="B88" s="136">
        <v>27</v>
      </c>
      <c r="C88" s="136" t="s">
        <v>1363</v>
      </c>
      <c r="D88" s="83">
        <v>81</v>
      </c>
      <c r="E88" s="84" t="s">
        <v>990</v>
      </c>
      <c r="F88" s="83" t="s">
        <v>6</v>
      </c>
      <c r="G88" s="83" t="s">
        <v>991</v>
      </c>
      <c r="H88" s="83" t="s">
        <v>1</v>
      </c>
      <c r="I88" s="83" t="s">
        <v>2</v>
      </c>
      <c r="J88" s="84" t="s">
        <v>1156</v>
      </c>
      <c r="K88" s="85">
        <v>20454</v>
      </c>
      <c r="L88" s="83">
        <v>1955</v>
      </c>
      <c r="M88" s="83">
        <f t="shared" si="2"/>
        <v>64</v>
      </c>
      <c r="N88" s="83" t="s">
        <v>3</v>
      </c>
      <c r="O88" s="83" t="s">
        <v>1137</v>
      </c>
      <c r="P88" s="84" t="s">
        <v>1139</v>
      </c>
      <c r="Q88" s="83"/>
      <c r="R88" s="84" t="s">
        <v>1347</v>
      </c>
    </row>
    <row r="89" spans="2:18" ht="25.5" x14ac:dyDescent="0.2">
      <c r="B89" s="136"/>
      <c r="C89" s="136"/>
      <c r="D89" s="83">
        <v>82</v>
      </c>
      <c r="E89" s="84" t="s">
        <v>1362</v>
      </c>
      <c r="F89" s="83" t="s">
        <v>11</v>
      </c>
      <c r="G89" s="83" t="s">
        <v>1364</v>
      </c>
      <c r="H89" s="83" t="s">
        <v>9</v>
      </c>
      <c r="I89" s="83" t="s">
        <v>2</v>
      </c>
      <c r="J89" s="84" t="s">
        <v>1136</v>
      </c>
      <c r="K89" s="85">
        <v>27576</v>
      </c>
      <c r="L89" s="83">
        <v>1975</v>
      </c>
      <c r="M89" s="83">
        <f t="shared" si="2"/>
        <v>44</v>
      </c>
      <c r="N89" s="83" t="s">
        <v>3</v>
      </c>
      <c r="O89" s="83" t="s">
        <v>1137</v>
      </c>
      <c r="P89" s="84" t="s">
        <v>1138</v>
      </c>
      <c r="Q89" s="83"/>
      <c r="R89" s="84" t="s">
        <v>1223</v>
      </c>
    </row>
    <row r="90" spans="2:18" ht="25.5" x14ac:dyDescent="0.2">
      <c r="B90" s="136">
        <v>28</v>
      </c>
      <c r="C90" s="136" t="s">
        <v>1307</v>
      </c>
      <c r="D90" s="83">
        <v>83</v>
      </c>
      <c r="E90" s="84" t="s">
        <v>992</v>
      </c>
      <c r="F90" s="83" t="s">
        <v>6</v>
      </c>
      <c r="G90" s="83" t="s">
        <v>993</v>
      </c>
      <c r="H90" s="83" t="s">
        <v>1</v>
      </c>
      <c r="I90" s="83" t="s">
        <v>2</v>
      </c>
      <c r="J90" s="84" t="s">
        <v>1308</v>
      </c>
      <c r="K90" s="85">
        <v>27395</v>
      </c>
      <c r="L90" s="83">
        <v>1975</v>
      </c>
      <c r="M90" s="83">
        <f t="shared" si="2"/>
        <v>44</v>
      </c>
      <c r="N90" s="83" t="s">
        <v>3</v>
      </c>
      <c r="O90" s="83"/>
      <c r="P90" s="84" t="s">
        <v>1159</v>
      </c>
      <c r="Q90" s="83"/>
      <c r="R90" s="84" t="s">
        <v>1310</v>
      </c>
    </row>
    <row r="91" spans="2:18" ht="25.5" x14ac:dyDescent="0.2">
      <c r="B91" s="136"/>
      <c r="C91" s="136"/>
      <c r="D91" s="83">
        <v>84</v>
      </c>
      <c r="E91" s="84" t="s">
        <v>994</v>
      </c>
      <c r="F91" s="83" t="s">
        <v>11</v>
      </c>
      <c r="G91" s="83" t="s">
        <v>995</v>
      </c>
      <c r="H91" s="83" t="s">
        <v>9</v>
      </c>
      <c r="I91" s="83" t="s">
        <v>2</v>
      </c>
      <c r="J91" s="84" t="s">
        <v>1309</v>
      </c>
      <c r="K91" s="85">
        <v>29206</v>
      </c>
      <c r="L91" s="83">
        <v>1979</v>
      </c>
      <c r="M91" s="83">
        <f t="shared" si="2"/>
        <v>40</v>
      </c>
      <c r="N91" s="83" t="s">
        <v>3</v>
      </c>
      <c r="O91" s="83"/>
      <c r="P91" s="84" t="s">
        <v>1159</v>
      </c>
      <c r="Q91" s="83"/>
      <c r="R91" s="84" t="s">
        <v>1141</v>
      </c>
    </row>
    <row r="92" spans="2:18" ht="25.5" x14ac:dyDescent="0.2">
      <c r="B92" s="136"/>
      <c r="C92" s="136"/>
      <c r="D92" s="83">
        <v>85</v>
      </c>
      <c r="E92" s="84" t="s">
        <v>996</v>
      </c>
      <c r="F92" s="83" t="s">
        <v>17</v>
      </c>
      <c r="G92" s="83" t="s">
        <v>997</v>
      </c>
      <c r="H92" s="83" t="s">
        <v>9</v>
      </c>
      <c r="I92" s="83" t="s">
        <v>14</v>
      </c>
      <c r="J92" s="84" t="s">
        <v>1308</v>
      </c>
      <c r="K92" s="85">
        <v>36948</v>
      </c>
      <c r="L92" s="83">
        <v>2001</v>
      </c>
      <c r="M92" s="83">
        <f t="shared" si="2"/>
        <v>18</v>
      </c>
      <c r="N92" s="83" t="s">
        <v>3</v>
      </c>
      <c r="O92" s="83"/>
      <c r="P92" s="84" t="s">
        <v>1138</v>
      </c>
      <c r="Q92" s="83"/>
      <c r="R92" s="84" t="s">
        <v>1160</v>
      </c>
    </row>
    <row r="93" spans="2:18" ht="25.5" x14ac:dyDescent="0.2">
      <c r="B93" s="136"/>
      <c r="C93" s="136"/>
      <c r="D93" s="83">
        <v>86</v>
      </c>
      <c r="E93" s="84" t="s">
        <v>998</v>
      </c>
      <c r="F93" s="83" t="s">
        <v>17</v>
      </c>
      <c r="G93" s="83" t="s">
        <v>999</v>
      </c>
      <c r="H93" s="83" t="s">
        <v>1</v>
      </c>
      <c r="I93" s="83" t="s">
        <v>14</v>
      </c>
      <c r="J93" s="84" t="s">
        <v>1309</v>
      </c>
      <c r="K93" s="85">
        <v>38481</v>
      </c>
      <c r="L93" s="83">
        <v>2005</v>
      </c>
      <c r="M93" s="83">
        <f t="shared" si="2"/>
        <v>14</v>
      </c>
      <c r="N93" s="83" t="s">
        <v>3</v>
      </c>
      <c r="O93" s="83"/>
      <c r="P93" s="84" t="s">
        <v>1178</v>
      </c>
      <c r="Q93" s="83"/>
      <c r="R93" s="84" t="s">
        <v>1160</v>
      </c>
    </row>
    <row r="94" spans="2:18" x14ac:dyDescent="0.2">
      <c r="B94" s="136">
        <v>29</v>
      </c>
      <c r="C94" s="136"/>
      <c r="D94" s="83">
        <v>87</v>
      </c>
      <c r="E94" s="84" t="s">
        <v>1000</v>
      </c>
      <c r="F94" s="83" t="s">
        <v>6</v>
      </c>
      <c r="G94" s="83" t="s">
        <v>1001</v>
      </c>
      <c r="H94" s="83" t="s">
        <v>9</v>
      </c>
      <c r="I94" s="83" t="s">
        <v>24</v>
      </c>
      <c r="J94" s="84"/>
      <c r="K94" s="85">
        <v>19906</v>
      </c>
      <c r="L94" s="83">
        <v>1954</v>
      </c>
      <c r="M94" s="83">
        <f t="shared" si="2"/>
        <v>65</v>
      </c>
      <c r="N94" s="83" t="s">
        <v>3</v>
      </c>
      <c r="O94" s="83"/>
      <c r="P94" s="84" t="s">
        <v>54</v>
      </c>
      <c r="Q94" s="83"/>
      <c r="R94" s="84" t="s">
        <v>16</v>
      </c>
    </row>
    <row r="95" spans="2:18" x14ac:dyDescent="0.2">
      <c r="B95" s="136"/>
      <c r="C95" s="136"/>
      <c r="D95" s="83">
        <v>88</v>
      </c>
      <c r="E95" s="84" t="s">
        <v>1002</v>
      </c>
      <c r="F95" s="83" t="s">
        <v>416</v>
      </c>
      <c r="G95" s="83"/>
      <c r="H95" s="83" t="s">
        <v>1</v>
      </c>
      <c r="I95" s="83" t="s">
        <v>14</v>
      </c>
      <c r="J95" s="84"/>
      <c r="K95" s="85">
        <v>18445</v>
      </c>
      <c r="L95" s="83">
        <v>1950</v>
      </c>
      <c r="M95" s="83">
        <f t="shared" si="2"/>
        <v>69</v>
      </c>
      <c r="N95" s="83" t="s">
        <v>3</v>
      </c>
      <c r="O95" s="83"/>
      <c r="P95" s="84" t="s">
        <v>16</v>
      </c>
      <c r="Q95" s="83"/>
      <c r="R95" s="84" t="s">
        <v>16</v>
      </c>
    </row>
    <row r="96" spans="2:18" ht="25.5" x14ac:dyDescent="0.2">
      <c r="B96" s="136">
        <v>30</v>
      </c>
      <c r="C96" s="136" t="s">
        <v>1348</v>
      </c>
      <c r="D96" s="83">
        <v>89</v>
      </c>
      <c r="E96" s="84" t="s">
        <v>1003</v>
      </c>
      <c r="F96" s="83" t="s">
        <v>6</v>
      </c>
      <c r="G96" s="83" t="s">
        <v>1349</v>
      </c>
      <c r="H96" s="83" t="s">
        <v>1</v>
      </c>
      <c r="I96" s="83" t="s">
        <v>2</v>
      </c>
      <c r="J96" s="84" t="s">
        <v>1156</v>
      </c>
      <c r="K96" s="85">
        <v>26298</v>
      </c>
      <c r="L96" s="83">
        <v>1971</v>
      </c>
      <c r="M96" s="83">
        <f t="shared" ref="M96:M126" si="4">2019-L96</f>
        <v>48</v>
      </c>
      <c r="N96" s="83" t="s">
        <v>3</v>
      </c>
      <c r="O96" s="83" t="s">
        <v>1137</v>
      </c>
      <c r="P96" s="84" t="s">
        <v>1138</v>
      </c>
      <c r="Q96" s="83"/>
      <c r="R96" s="84" t="s">
        <v>1174</v>
      </c>
    </row>
    <row r="97" spans="2:18" ht="25.5" x14ac:dyDescent="0.2">
      <c r="B97" s="136"/>
      <c r="C97" s="136"/>
      <c r="D97" s="83">
        <v>90</v>
      </c>
      <c r="E97" s="84" t="s">
        <v>1004</v>
      </c>
      <c r="F97" s="83" t="s">
        <v>11</v>
      </c>
      <c r="G97" s="83" t="s">
        <v>1350</v>
      </c>
      <c r="H97" s="83" t="s">
        <v>9</v>
      </c>
      <c r="I97" s="83" t="s">
        <v>2</v>
      </c>
      <c r="J97" s="84" t="s">
        <v>1156</v>
      </c>
      <c r="K97" s="85">
        <v>27029</v>
      </c>
      <c r="L97" s="83">
        <v>1973</v>
      </c>
      <c r="M97" s="83">
        <f t="shared" si="4"/>
        <v>46</v>
      </c>
      <c r="N97" s="83" t="s">
        <v>3</v>
      </c>
      <c r="O97" s="83" t="s">
        <v>1137</v>
      </c>
      <c r="P97" s="84" t="s">
        <v>1138</v>
      </c>
      <c r="Q97" s="83"/>
      <c r="R97" s="84" t="s">
        <v>1174</v>
      </c>
    </row>
    <row r="98" spans="2:18" ht="25.5" x14ac:dyDescent="0.2">
      <c r="B98" s="136"/>
      <c r="C98" s="136"/>
      <c r="D98" s="83">
        <v>91</v>
      </c>
      <c r="E98" s="84" t="s">
        <v>1005</v>
      </c>
      <c r="F98" s="83" t="s">
        <v>17</v>
      </c>
      <c r="G98" s="83" t="s">
        <v>1006</v>
      </c>
      <c r="H98" s="83" t="s">
        <v>1</v>
      </c>
      <c r="I98" s="83" t="s">
        <v>14</v>
      </c>
      <c r="J98" s="84" t="s">
        <v>1156</v>
      </c>
      <c r="K98" s="85">
        <v>33793</v>
      </c>
      <c r="L98" s="83">
        <v>1992</v>
      </c>
      <c r="M98" s="83">
        <f t="shared" si="4"/>
        <v>27</v>
      </c>
      <c r="N98" s="83" t="s">
        <v>3</v>
      </c>
      <c r="O98" s="83" t="s">
        <v>1137</v>
      </c>
      <c r="P98" s="84" t="s">
        <v>1159</v>
      </c>
      <c r="Q98" s="83"/>
      <c r="R98" s="84" t="s">
        <v>1160</v>
      </c>
    </row>
    <row r="99" spans="2:18" ht="25.5" x14ac:dyDescent="0.2">
      <c r="B99" s="136"/>
      <c r="C99" s="136"/>
      <c r="D99" s="83">
        <v>92</v>
      </c>
      <c r="E99" s="84" t="s">
        <v>1007</v>
      </c>
      <c r="F99" s="83" t="s">
        <v>17</v>
      </c>
      <c r="G99" s="83" t="s">
        <v>1351</v>
      </c>
      <c r="H99" s="83" t="s">
        <v>1</v>
      </c>
      <c r="I99" s="83" t="s">
        <v>14</v>
      </c>
      <c r="J99" s="84" t="s">
        <v>1156</v>
      </c>
      <c r="K99" s="85">
        <v>37340</v>
      </c>
      <c r="L99" s="83">
        <v>2002</v>
      </c>
      <c r="M99" s="83">
        <f t="shared" si="4"/>
        <v>17</v>
      </c>
      <c r="N99" s="83" t="s">
        <v>3</v>
      </c>
      <c r="O99" s="83" t="s">
        <v>1137</v>
      </c>
      <c r="P99" s="84" t="s">
        <v>1138</v>
      </c>
      <c r="Q99" s="83"/>
      <c r="R99" s="84" t="s">
        <v>1160</v>
      </c>
    </row>
    <row r="100" spans="2:18" ht="25.5" x14ac:dyDescent="0.2">
      <c r="B100" s="136">
        <v>31</v>
      </c>
      <c r="C100" s="136" t="s">
        <v>1317</v>
      </c>
      <c r="D100" s="83">
        <v>93</v>
      </c>
      <c r="E100" s="84" t="s">
        <v>926</v>
      </c>
      <c r="F100" s="83" t="s">
        <v>6</v>
      </c>
      <c r="G100" s="83" t="s">
        <v>1008</v>
      </c>
      <c r="H100" s="83" t="s">
        <v>1</v>
      </c>
      <c r="I100" s="83" t="s">
        <v>2</v>
      </c>
      <c r="J100" s="84" t="s">
        <v>1136</v>
      </c>
      <c r="K100" s="85">
        <v>27038</v>
      </c>
      <c r="L100" s="83">
        <v>1974</v>
      </c>
      <c r="M100" s="83">
        <f t="shared" si="4"/>
        <v>45</v>
      </c>
      <c r="N100" s="83" t="s">
        <v>3</v>
      </c>
      <c r="O100" s="83" t="s">
        <v>1137</v>
      </c>
      <c r="P100" s="84" t="s">
        <v>1138</v>
      </c>
      <c r="Q100" s="83"/>
      <c r="R100" s="84" t="s">
        <v>1223</v>
      </c>
    </row>
    <row r="101" spans="2:18" ht="25.5" x14ac:dyDescent="0.2">
      <c r="B101" s="136"/>
      <c r="C101" s="136"/>
      <c r="D101" s="83">
        <v>94</v>
      </c>
      <c r="E101" s="84" t="s">
        <v>1009</v>
      </c>
      <c r="F101" s="83" t="s">
        <v>11</v>
      </c>
      <c r="G101" s="83" t="s">
        <v>1220</v>
      </c>
      <c r="H101" s="83" t="s">
        <v>9</v>
      </c>
      <c r="I101" s="83" t="s">
        <v>2</v>
      </c>
      <c r="J101" s="84" t="s">
        <v>1136</v>
      </c>
      <c r="K101" s="85">
        <v>27576</v>
      </c>
      <c r="L101" s="83">
        <v>1975</v>
      </c>
      <c r="M101" s="83">
        <f t="shared" si="4"/>
        <v>44</v>
      </c>
      <c r="N101" s="83" t="s">
        <v>3</v>
      </c>
      <c r="O101" s="83" t="s">
        <v>1137</v>
      </c>
      <c r="P101" s="84" t="s">
        <v>1138</v>
      </c>
      <c r="Q101" s="83"/>
      <c r="R101" s="84" t="s">
        <v>1223</v>
      </c>
    </row>
    <row r="102" spans="2:18" ht="25.5" x14ac:dyDescent="0.2">
      <c r="B102" s="136"/>
      <c r="C102" s="136"/>
      <c r="D102" s="83">
        <v>95</v>
      </c>
      <c r="E102" s="84" t="s">
        <v>1218</v>
      </c>
      <c r="F102" s="83" t="s">
        <v>17</v>
      </c>
      <c r="G102" s="83" t="s">
        <v>1221</v>
      </c>
      <c r="H102" s="83" t="s">
        <v>1</v>
      </c>
      <c r="I102" s="83" t="s">
        <v>14</v>
      </c>
      <c r="J102" s="84" t="s">
        <v>1156</v>
      </c>
      <c r="K102" s="85">
        <v>35858</v>
      </c>
      <c r="L102" s="83">
        <v>1998</v>
      </c>
      <c r="M102" s="83">
        <f t="shared" si="4"/>
        <v>21</v>
      </c>
      <c r="N102" s="83" t="s">
        <v>3</v>
      </c>
      <c r="O102" s="83" t="s">
        <v>1137</v>
      </c>
      <c r="P102" s="84" t="s">
        <v>1159</v>
      </c>
      <c r="Q102" s="83"/>
      <c r="R102" s="84" t="s">
        <v>1160</v>
      </c>
    </row>
    <row r="103" spans="2:18" ht="25.5" x14ac:dyDescent="0.2">
      <c r="B103" s="136"/>
      <c r="C103" s="136"/>
      <c r="D103" s="83">
        <v>96</v>
      </c>
      <c r="E103" s="84" t="s">
        <v>1219</v>
      </c>
      <c r="F103" s="83" t="s">
        <v>17</v>
      </c>
      <c r="G103" s="83" t="s">
        <v>1222</v>
      </c>
      <c r="H103" s="83" t="s">
        <v>9</v>
      </c>
      <c r="I103" s="83" t="s">
        <v>14</v>
      </c>
      <c r="J103" s="84" t="s">
        <v>1136</v>
      </c>
      <c r="K103" s="85">
        <v>37449</v>
      </c>
      <c r="L103" s="83">
        <v>2002</v>
      </c>
      <c r="M103" s="83">
        <f t="shared" si="4"/>
        <v>17</v>
      </c>
      <c r="N103" s="83" t="s">
        <v>3</v>
      </c>
      <c r="O103" s="83" t="s">
        <v>1137</v>
      </c>
      <c r="P103" s="84" t="s">
        <v>1138</v>
      </c>
      <c r="Q103" s="83"/>
      <c r="R103" s="84" t="s">
        <v>1160</v>
      </c>
    </row>
    <row r="104" spans="2:18" ht="25.5" x14ac:dyDescent="0.2">
      <c r="B104" s="136">
        <v>32</v>
      </c>
      <c r="C104" s="136" t="s">
        <v>1313</v>
      </c>
      <c r="D104" s="83">
        <v>97</v>
      </c>
      <c r="E104" s="84" t="s">
        <v>1012</v>
      </c>
      <c r="F104" s="83" t="s">
        <v>6</v>
      </c>
      <c r="G104" s="83" t="s">
        <v>1314</v>
      </c>
      <c r="H104" s="83" t="s">
        <v>1</v>
      </c>
      <c r="I104" s="83" t="s">
        <v>2</v>
      </c>
      <c r="J104" s="84" t="s">
        <v>1156</v>
      </c>
      <c r="K104" s="85">
        <v>27759</v>
      </c>
      <c r="L104" s="83">
        <v>1975</v>
      </c>
      <c r="M104" s="83">
        <f t="shared" si="4"/>
        <v>44</v>
      </c>
      <c r="N104" s="83" t="s">
        <v>3</v>
      </c>
      <c r="O104" s="83" t="s">
        <v>1137</v>
      </c>
      <c r="P104" s="84" t="s">
        <v>1138</v>
      </c>
      <c r="Q104" s="83"/>
      <c r="R104" s="84" t="s">
        <v>1223</v>
      </c>
    </row>
    <row r="105" spans="2:18" ht="25.5" x14ac:dyDescent="0.2">
      <c r="B105" s="136"/>
      <c r="C105" s="136"/>
      <c r="D105" s="83">
        <v>98</v>
      </c>
      <c r="E105" s="84" t="s">
        <v>1311</v>
      </c>
      <c r="F105" s="83" t="s">
        <v>11</v>
      </c>
      <c r="G105" s="83" t="s">
        <v>1013</v>
      </c>
      <c r="H105" s="83" t="s">
        <v>9</v>
      </c>
      <c r="I105" s="83" t="s">
        <v>2</v>
      </c>
      <c r="J105" s="84" t="s">
        <v>1156</v>
      </c>
      <c r="K105" s="85">
        <v>28855</v>
      </c>
      <c r="L105" s="83">
        <v>1978</v>
      </c>
      <c r="M105" s="83">
        <f t="shared" si="4"/>
        <v>41</v>
      </c>
      <c r="N105" s="83" t="s">
        <v>3</v>
      </c>
      <c r="O105" s="83" t="s">
        <v>1137</v>
      </c>
      <c r="P105" s="84" t="s">
        <v>1138</v>
      </c>
      <c r="Q105" s="83"/>
      <c r="R105" s="84" t="s">
        <v>1223</v>
      </c>
    </row>
    <row r="106" spans="2:18" ht="25.5" x14ac:dyDescent="0.2">
      <c r="B106" s="136"/>
      <c r="C106" s="136"/>
      <c r="D106" s="83">
        <v>99</v>
      </c>
      <c r="E106" s="84" t="s">
        <v>1014</v>
      </c>
      <c r="F106" s="83" t="s">
        <v>17</v>
      </c>
      <c r="G106" s="83" t="s">
        <v>1315</v>
      </c>
      <c r="H106" s="83" t="s">
        <v>9</v>
      </c>
      <c r="I106" s="83" t="s">
        <v>14</v>
      </c>
      <c r="J106" s="84" t="s">
        <v>1156</v>
      </c>
      <c r="K106" s="85">
        <v>38086</v>
      </c>
      <c r="L106" s="83">
        <v>2004</v>
      </c>
      <c r="M106" s="83">
        <f t="shared" si="4"/>
        <v>15</v>
      </c>
      <c r="N106" s="83" t="s">
        <v>3</v>
      </c>
      <c r="O106" s="83" t="s">
        <v>1137</v>
      </c>
      <c r="P106" s="84" t="s">
        <v>1178</v>
      </c>
      <c r="Q106" s="83"/>
      <c r="R106" s="84" t="s">
        <v>1160</v>
      </c>
    </row>
    <row r="107" spans="2:18" ht="25.5" x14ac:dyDescent="0.2">
      <c r="B107" s="136"/>
      <c r="C107" s="136"/>
      <c r="D107" s="83">
        <v>100</v>
      </c>
      <c r="E107" s="84" t="s">
        <v>1015</v>
      </c>
      <c r="F107" s="83" t="s">
        <v>17</v>
      </c>
      <c r="G107" s="83" t="s">
        <v>1016</v>
      </c>
      <c r="H107" s="83" t="s">
        <v>1</v>
      </c>
      <c r="I107" s="83" t="s">
        <v>14</v>
      </c>
      <c r="J107" s="84" t="s">
        <v>1148</v>
      </c>
      <c r="K107" s="85">
        <v>40322</v>
      </c>
      <c r="L107" s="83">
        <v>2010</v>
      </c>
      <c r="M107" s="83">
        <f t="shared" si="4"/>
        <v>9</v>
      </c>
      <c r="N107" s="83" t="s">
        <v>3</v>
      </c>
      <c r="O107" s="83" t="s">
        <v>1137</v>
      </c>
      <c r="P107" s="84" t="s">
        <v>1139</v>
      </c>
      <c r="Q107" s="83"/>
      <c r="R107" s="84" t="s">
        <v>1140</v>
      </c>
    </row>
    <row r="108" spans="2:18" ht="25.5" x14ac:dyDescent="0.2">
      <c r="B108" s="136"/>
      <c r="C108" s="136"/>
      <c r="D108" s="83">
        <v>101</v>
      </c>
      <c r="E108" s="84" t="s">
        <v>1312</v>
      </c>
      <c r="F108" s="83" t="s">
        <v>17</v>
      </c>
      <c r="G108" s="83" t="s">
        <v>1316</v>
      </c>
      <c r="H108" s="83" t="s">
        <v>1</v>
      </c>
      <c r="I108" s="83" t="s">
        <v>14</v>
      </c>
      <c r="J108" s="84" t="s">
        <v>1156</v>
      </c>
      <c r="K108" s="85">
        <v>42241</v>
      </c>
      <c r="L108" s="83">
        <v>2015</v>
      </c>
      <c r="M108" s="83">
        <f t="shared" si="4"/>
        <v>4</v>
      </c>
      <c r="N108" s="83" t="s">
        <v>3</v>
      </c>
      <c r="O108" s="83" t="s">
        <v>1137</v>
      </c>
      <c r="P108" s="84" t="s">
        <v>1139</v>
      </c>
      <c r="Q108" s="83"/>
      <c r="R108" s="84" t="s">
        <v>1140</v>
      </c>
    </row>
    <row r="109" spans="2:18" x14ac:dyDescent="0.2">
      <c r="B109" s="136">
        <v>33</v>
      </c>
      <c r="C109" s="136"/>
      <c r="D109" s="83">
        <v>102</v>
      </c>
      <c r="E109" s="84" t="s">
        <v>1017</v>
      </c>
      <c r="F109" s="83" t="s">
        <v>6</v>
      </c>
      <c r="G109" s="83" t="s">
        <v>1018</v>
      </c>
      <c r="H109" s="83" t="s">
        <v>1</v>
      </c>
      <c r="I109" s="83" t="s">
        <v>2</v>
      </c>
      <c r="J109" s="84"/>
      <c r="K109" s="85">
        <v>13697</v>
      </c>
      <c r="L109" s="83">
        <v>1937</v>
      </c>
      <c r="M109" s="83">
        <f t="shared" si="4"/>
        <v>82</v>
      </c>
      <c r="N109" s="83" t="s">
        <v>3</v>
      </c>
      <c r="O109" s="83"/>
      <c r="P109" s="84" t="s">
        <v>16</v>
      </c>
      <c r="Q109" s="83"/>
      <c r="R109" s="84" t="s">
        <v>109</v>
      </c>
    </row>
    <row r="110" spans="2:18" x14ac:dyDescent="0.2">
      <c r="B110" s="136"/>
      <c r="C110" s="136"/>
      <c r="D110" s="83">
        <v>103</v>
      </c>
      <c r="E110" s="84" t="s">
        <v>1019</v>
      </c>
      <c r="F110" s="83" t="s">
        <v>11</v>
      </c>
      <c r="G110" s="83" t="s">
        <v>1020</v>
      </c>
      <c r="H110" s="83" t="s">
        <v>9</v>
      </c>
      <c r="I110" s="83" t="s">
        <v>2</v>
      </c>
      <c r="J110" s="84"/>
      <c r="K110" s="85">
        <v>17715</v>
      </c>
      <c r="L110" s="83">
        <v>1948</v>
      </c>
      <c r="M110" s="83">
        <f t="shared" si="4"/>
        <v>71</v>
      </c>
      <c r="N110" s="83" t="s">
        <v>3</v>
      </c>
      <c r="O110" s="83"/>
      <c r="P110" s="84" t="s">
        <v>16</v>
      </c>
      <c r="Q110" s="83"/>
      <c r="R110" s="84" t="s">
        <v>109</v>
      </c>
    </row>
    <row r="111" spans="2:18" ht="25.5" x14ac:dyDescent="0.2">
      <c r="B111" s="136">
        <v>34</v>
      </c>
      <c r="C111" s="136" t="s">
        <v>1291</v>
      </c>
      <c r="D111" s="83">
        <v>104</v>
      </c>
      <c r="E111" s="84" t="s">
        <v>1290</v>
      </c>
      <c r="F111" s="83" t="s">
        <v>6</v>
      </c>
      <c r="G111" s="83" t="s">
        <v>1021</v>
      </c>
      <c r="H111" s="83" t="s">
        <v>1</v>
      </c>
      <c r="I111" s="83" t="s">
        <v>2</v>
      </c>
      <c r="J111" s="84" t="s">
        <v>1294</v>
      </c>
      <c r="K111" s="85">
        <v>27426</v>
      </c>
      <c r="L111" s="83">
        <v>1975</v>
      </c>
      <c r="M111" s="83">
        <f t="shared" si="4"/>
        <v>44</v>
      </c>
      <c r="N111" s="83" t="s">
        <v>3</v>
      </c>
      <c r="O111" s="83" t="s">
        <v>1137</v>
      </c>
      <c r="P111" s="84" t="s">
        <v>1159</v>
      </c>
      <c r="Q111" s="83"/>
      <c r="R111" s="84" t="s">
        <v>10</v>
      </c>
    </row>
    <row r="112" spans="2:18" ht="25.5" x14ac:dyDescent="0.2">
      <c r="B112" s="136"/>
      <c r="C112" s="136"/>
      <c r="D112" s="83">
        <v>105</v>
      </c>
      <c r="E112" s="84" t="s">
        <v>1022</v>
      </c>
      <c r="F112" s="83" t="s">
        <v>11</v>
      </c>
      <c r="G112" s="83" t="s">
        <v>1292</v>
      </c>
      <c r="H112" s="83" t="s">
        <v>9</v>
      </c>
      <c r="I112" s="83" t="s">
        <v>2</v>
      </c>
      <c r="J112" s="84" t="s">
        <v>1136</v>
      </c>
      <c r="K112" s="85">
        <v>28173</v>
      </c>
      <c r="L112" s="83">
        <v>1977</v>
      </c>
      <c r="M112" s="83">
        <f t="shared" si="4"/>
        <v>42</v>
      </c>
      <c r="N112" s="83" t="s">
        <v>3</v>
      </c>
      <c r="O112" s="83" t="s">
        <v>1137</v>
      </c>
      <c r="P112" s="84" t="s">
        <v>1138</v>
      </c>
      <c r="Q112" s="83"/>
      <c r="R112" s="84" t="s">
        <v>1223</v>
      </c>
    </row>
    <row r="113" spans="2:18" ht="25.5" x14ac:dyDescent="0.2">
      <c r="B113" s="136"/>
      <c r="C113" s="136"/>
      <c r="D113" s="83">
        <v>106</v>
      </c>
      <c r="E113" s="84" t="s">
        <v>1023</v>
      </c>
      <c r="F113" s="83" t="s">
        <v>17</v>
      </c>
      <c r="G113" s="83" t="s">
        <v>1024</v>
      </c>
      <c r="H113" s="83" t="s">
        <v>9</v>
      </c>
      <c r="I113" s="83" t="s">
        <v>14</v>
      </c>
      <c r="J113" s="84" t="s">
        <v>1136</v>
      </c>
      <c r="K113" s="85">
        <v>37192</v>
      </c>
      <c r="L113" s="83">
        <v>2001</v>
      </c>
      <c r="M113" s="83">
        <f t="shared" si="4"/>
        <v>18</v>
      </c>
      <c r="N113" s="83" t="s">
        <v>3</v>
      </c>
      <c r="O113" s="83" t="s">
        <v>1137</v>
      </c>
      <c r="P113" s="84" t="s">
        <v>1138</v>
      </c>
      <c r="Q113" s="83"/>
      <c r="R113" s="84" t="s">
        <v>1160</v>
      </c>
    </row>
    <row r="114" spans="2:18" ht="25.5" x14ac:dyDescent="0.2">
      <c r="B114" s="136"/>
      <c r="C114" s="136"/>
      <c r="D114" s="83">
        <v>107</v>
      </c>
      <c r="E114" s="84" t="s">
        <v>1025</v>
      </c>
      <c r="F114" s="83" t="s">
        <v>17</v>
      </c>
      <c r="G114" s="83" t="s">
        <v>1027</v>
      </c>
      <c r="H114" s="83" t="s">
        <v>1</v>
      </c>
      <c r="I114" s="83" t="s">
        <v>14</v>
      </c>
      <c r="J114" s="84" t="s">
        <v>1136</v>
      </c>
      <c r="K114" s="85">
        <v>41735</v>
      </c>
      <c r="L114" s="83">
        <v>2014</v>
      </c>
      <c r="M114" s="83">
        <f t="shared" si="4"/>
        <v>5</v>
      </c>
      <c r="N114" s="83" t="s">
        <v>1026</v>
      </c>
      <c r="O114" s="83" t="s">
        <v>1137</v>
      </c>
      <c r="P114" s="84" t="s">
        <v>1139</v>
      </c>
      <c r="Q114" s="83"/>
      <c r="R114" s="84" t="s">
        <v>1140</v>
      </c>
    </row>
    <row r="115" spans="2:18" ht="25.5" x14ac:dyDescent="0.2">
      <c r="B115" s="136">
        <v>35</v>
      </c>
      <c r="C115" s="136"/>
      <c r="D115" s="83">
        <v>108</v>
      </c>
      <c r="E115" s="84" t="s">
        <v>1028</v>
      </c>
      <c r="F115" s="83" t="s">
        <v>6</v>
      </c>
      <c r="G115" s="83" t="s">
        <v>1029</v>
      </c>
      <c r="H115" s="83" t="s">
        <v>1</v>
      </c>
      <c r="I115" s="83" t="s">
        <v>2</v>
      </c>
      <c r="J115" s="84"/>
      <c r="K115" s="85">
        <v>21185</v>
      </c>
      <c r="L115" s="83">
        <v>1957</v>
      </c>
      <c r="M115" s="83">
        <f t="shared" si="4"/>
        <v>62</v>
      </c>
      <c r="N115" s="83" t="s">
        <v>3</v>
      </c>
      <c r="O115" s="83"/>
      <c r="P115" s="84" t="s">
        <v>4</v>
      </c>
      <c r="Q115" s="83"/>
      <c r="R115" s="84" t="s">
        <v>5</v>
      </c>
    </row>
    <row r="116" spans="2:18" x14ac:dyDescent="0.2">
      <c r="B116" s="136"/>
      <c r="C116" s="136"/>
      <c r="D116" s="83">
        <v>109</v>
      </c>
      <c r="E116" s="84" t="s">
        <v>1030</v>
      </c>
      <c r="F116" s="83" t="s">
        <v>11</v>
      </c>
      <c r="G116" s="83" t="s">
        <v>1031</v>
      </c>
      <c r="H116" s="83" t="s">
        <v>9</v>
      </c>
      <c r="I116" s="83" t="s">
        <v>2</v>
      </c>
      <c r="J116" s="84"/>
      <c r="K116" s="85">
        <v>23376</v>
      </c>
      <c r="L116" s="83">
        <v>1963</v>
      </c>
      <c r="M116" s="83">
        <f t="shared" si="4"/>
        <v>56</v>
      </c>
      <c r="N116" s="83" t="s">
        <v>3</v>
      </c>
      <c r="O116" s="83"/>
      <c r="P116" s="84" t="s">
        <v>54</v>
      </c>
      <c r="Q116" s="83"/>
      <c r="R116" s="84" t="s">
        <v>16</v>
      </c>
    </row>
    <row r="117" spans="2:18" x14ac:dyDescent="0.2">
      <c r="B117" s="136"/>
      <c r="C117" s="136"/>
      <c r="D117" s="83">
        <v>110</v>
      </c>
      <c r="E117" s="84" t="s">
        <v>1032</v>
      </c>
      <c r="F117" s="83" t="s">
        <v>17</v>
      </c>
      <c r="G117" s="83" t="s">
        <v>1033</v>
      </c>
      <c r="H117" s="83" t="s">
        <v>9</v>
      </c>
      <c r="I117" s="83" t="s">
        <v>14</v>
      </c>
      <c r="J117" s="84"/>
      <c r="K117" s="85">
        <v>30316</v>
      </c>
      <c r="L117" s="83">
        <v>1982</v>
      </c>
      <c r="M117" s="83">
        <f t="shared" si="4"/>
        <v>37</v>
      </c>
      <c r="N117" s="83" t="s">
        <v>3</v>
      </c>
      <c r="O117" s="83"/>
      <c r="P117" s="84" t="s">
        <v>4</v>
      </c>
      <c r="Q117" s="83"/>
      <c r="R117" s="84" t="s">
        <v>5</v>
      </c>
    </row>
    <row r="118" spans="2:18" ht="25.5" x14ac:dyDescent="0.2">
      <c r="B118" s="136"/>
      <c r="C118" s="136"/>
      <c r="D118" s="83">
        <v>111</v>
      </c>
      <c r="E118" s="84" t="s">
        <v>1034</v>
      </c>
      <c r="F118" s="83" t="s">
        <v>17</v>
      </c>
      <c r="G118" s="83" t="s">
        <v>1036</v>
      </c>
      <c r="H118" s="83" t="s">
        <v>1</v>
      </c>
      <c r="I118" s="83" t="s">
        <v>14</v>
      </c>
      <c r="J118" s="84"/>
      <c r="K118" s="85">
        <v>35430</v>
      </c>
      <c r="L118" s="83">
        <v>1996</v>
      </c>
      <c r="M118" s="83">
        <f t="shared" si="4"/>
        <v>23</v>
      </c>
      <c r="N118" s="83" t="s">
        <v>1035</v>
      </c>
      <c r="O118" s="83"/>
      <c r="P118" s="84" t="s">
        <v>15</v>
      </c>
      <c r="Q118" s="83"/>
      <c r="R118" s="84" t="s">
        <v>16</v>
      </c>
    </row>
    <row r="119" spans="2:18" x14ac:dyDescent="0.2">
      <c r="B119" s="136">
        <v>36</v>
      </c>
      <c r="C119" s="136"/>
      <c r="D119" s="83">
        <v>112</v>
      </c>
      <c r="E119" s="84" t="s">
        <v>338</v>
      </c>
      <c r="F119" s="83" t="s">
        <v>6</v>
      </c>
      <c r="G119" s="83" t="s">
        <v>1037</v>
      </c>
      <c r="H119" s="83" t="s">
        <v>1</v>
      </c>
      <c r="I119" s="83" t="s">
        <v>2</v>
      </c>
      <c r="J119" s="84"/>
      <c r="K119" s="85">
        <v>24654</v>
      </c>
      <c r="L119" s="83">
        <v>1967</v>
      </c>
      <c r="M119" s="83">
        <f t="shared" si="4"/>
        <v>52</v>
      </c>
      <c r="N119" s="83" t="s">
        <v>3</v>
      </c>
      <c r="O119" s="83"/>
      <c r="P119" s="84" t="s">
        <v>54</v>
      </c>
      <c r="Q119" s="83"/>
      <c r="R119" s="84" t="s">
        <v>10</v>
      </c>
    </row>
    <row r="120" spans="2:18" x14ac:dyDescent="0.2">
      <c r="B120" s="136"/>
      <c r="C120" s="136"/>
      <c r="D120" s="83">
        <v>113</v>
      </c>
      <c r="E120" s="84" t="s">
        <v>1038</v>
      </c>
      <c r="F120" s="83" t="s">
        <v>11</v>
      </c>
      <c r="G120" s="83" t="s">
        <v>1039</v>
      </c>
      <c r="H120" s="83" t="s">
        <v>9</v>
      </c>
      <c r="I120" s="83" t="s">
        <v>2</v>
      </c>
      <c r="J120" s="84"/>
      <c r="K120" s="85">
        <v>25933</v>
      </c>
      <c r="L120" s="83">
        <v>1970</v>
      </c>
      <c r="M120" s="83">
        <f t="shared" si="4"/>
        <v>49</v>
      </c>
      <c r="N120" s="83" t="s">
        <v>3</v>
      </c>
      <c r="O120" s="83"/>
      <c r="P120" s="84" t="s">
        <v>54</v>
      </c>
      <c r="Q120" s="83"/>
      <c r="R120" s="84" t="s">
        <v>109</v>
      </c>
    </row>
    <row r="121" spans="2:18" ht="25.5" x14ac:dyDescent="0.2">
      <c r="B121" s="136"/>
      <c r="C121" s="136"/>
      <c r="D121" s="83">
        <v>114</v>
      </c>
      <c r="E121" s="84" t="s">
        <v>1040</v>
      </c>
      <c r="F121" s="83" t="s">
        <v>17</v>
      </c>
      <c r="G121" s="83" t="s">
        <v>1041</v>
      </c>
      <c r="H121" s="83" t="s">
        <v>9</v>
      </c>
      <c r="I121" s="83" t="s">
        <v>14</v>
      </c>
      <c r="J121" s="84"/>
      <c r="K121" s="85">
        <v>35521</v>
      </c>
      <c r="L121" s="83">
        <v>1997</v>
      </c>
      <c r="M121" s="83">
        <f t="shared" si="4"/>
        <v>22</v>
      </c>
      <c r="N121" s="83" t="s">
        <v>3</v>
      </c>
      <c r="O121" s="83"/>
      <c r="P121" s="84" t="s">
        <v>27</v>
      </c>
      <c r="Q121" s="83"/>
      <c r="R121" s="84" t="s">
        <v>16</v>
      </c>
    </row>
    <row r="122" spans="2:18" ht="38.25" x14ac:dyDescent="0.2">
      <c r="B122" s="136"/>
      <c r="C122" s="136"/>
      <c r="D122" s="83">
        <v>115</v>
      </c>
      <c r="E122" s="84" t="s">
        <v>1042</v>
      </c>
      <c r="F122" s="83" t="s">
        <v>17</v>
      </c>
      <c r="G122" s="83" t="s">
        <v>1043</v>
      </c>
      <c r="H122" s="83" t="s">
        <v>1</v>
      </c>
      <c r="I122" s="83" t="s">
        <v>14</v>
      </c>
      <c r="J122" s="84"/>
      <c r="K122" s="85">
        <v>39184</v>
      </c>
      <c r="L122" s="83">
        <v>2007</v>
      </c>
      <c r="M122" s="83">
        <f t="shared" si="4"/>
        <v>12</v>
      </c>
      <c r="N122" s="83" t="s">
        <v>3</v>
      </c>
      <c r="O122" s="83"/>
      <c r="P122" s="84" t="s">
        <v>16</v>
      </c>
      <c r="Q122" s="83"/>
      <c r="R122" s="84" t="s">
        <v>16</v>
      </c>
    </row>
    <row r="123" spans="2:18" x14ac:dyDescent="0.2">
      <c r="B123" s="136">
        <v>37</v>
      </c>
      <c r="C123" s="136"/>
      <c r="D123" s="83">
        <v>116</v>
      </c>
      <c r="E123" s="84" t="s">
        <v>1044</v>
      </c>
      <c r="F123" s="83" t="s">
        <v>6</v>
      </c>
      <c r="G123" s="83" t="s">
        <v>1045</v>
      </c>
      <c r="H123" s="83" t="s">
        <v>9</v>
      </c>
      <c r="I123" s="83" t="s">
        <v>24</v>
      </c>
      <c r="J123" s="84"/>
      <c r="K123" s="85">
        <v>28569</v>
      </c>
      <c r="L123" s="83">
        <v>1978</v>
      </c>
      <c r="M123" s="83">
        <f t="shared" si="4"/>
        <v>41</v>
      </c>
      <c r="N123" s="83" t="s">
        <v>3</v>
      </c>
      <c r="O123" s="83"/>
      <c r="P123" s="84" t="s">
        <v>54</v>
      </c>
      <c r="Q123" s="83"/>
      <c r="R123" s="84" t="s">
        <v>109</v>
      </c>
    </row>
    <row r="124" spans="2:18" x14ac:dyDescent="0.2">
      <c r="B124" s="136"/>
      <c r="C124" s="136"/>
      <c r="D124" s="83">
        <v>117</v>
      </c>
      <c r="E124" s="84" t="s">
        <v>792</v>
      </c>
      <c r="F124" s="83" t="s">
        <v>17</v>
      </c>
      <c r="G124" s="83" t="s">
        <v>1046</v>
      </c>
      <c r="H124" s="83" t="s">
        <v>1</v>
      </c>
      <c r="I124" s="83" t="s">
        <v>14</v>
      </c>
      <c r="J124" s="84"/>
      <c r="K124" s="85">
        <v>34378</v>
      </c>
      <c r="L124" s="83">
        <v>1994</v>
      </c>
      <c r="M124" s="83">
        <f t="shared" si="4"/>
        <v>25</v>
      </c>
      <c r="N124" s="83" t="s">
        <v>3</v>
      </c>
      <c r="O124" s="83"/>
      <c r="P124" s="84" t="s">
        <v>15</v>
      </c>
      <c r="Q124" s="83"/>
      <c r="R124" s="84" t="s">
        <v>16</v>
      </c>
    </row>
    <row r="125" spans="2:18" ht="38.25" x14ac:dyDescent="0.2">
      <c r="B125" s="136">
        <v>38</v>
      </c>
      <c r="C125" s="136"/>
      <c r="D125" s="83">
        <v>118</v>
      </c>
      <c r="E125" s="84" t="s">
        <v>1047</v>
      </c>
      <c r="F125" s="83" t="s">
        <v>6</v>
      </c>
      <c r="G125" s="83" t="s">
        <v>1049</v>
      </c>
      <c r="H125" s="83" t="s">
        <v>1</v>
      </c>
      <c r="I125" s="83" t="s">
        <v>2</v>
      </c>
      <c r="J125" s="84"/>
      <c r="K125" s="85">
        <v>31173</v>
      </c>
      <c r="L125" s="83">
        <v>1985</v>
      </c>
      <c r="M125" s="83">
        <f t="shared" si="4"/>
        <v>34</v>
      </c>
      <c r="N125" s="83" t="s">
        <v>3</v>
      </c>
      <c r="O125" s="83"/>
      <c r="P125" s="84" t="s">
        <v>1048</v>
      </c>
      <c r="Q125" s="83"/>
      <c r="R125" s="84" t="s">
        <v>31</v>
      </c>
    </row>
    <row r="126" spans="2:18" x14ac:dyDescent="0.2">
      <c r="B126" s="136"/>
      <c r="C126" s="136"/>
      <c r="D126" s="83">
        <v>119</v>
      </c>
      <c r="E126" s="84" t="s">
        <v>1050</v>
      </c>
      <c r="F126" s="83" t="s">
        <v>11</v>
      </c>
      <c r="G126" s="83" t="s">
        <v>1051</v>
      </c>
      <c r="H126" s="83" t="s">
        <v>9</v>
      </c>
      <c r="I126" s="83" t="s">
        <v>2</v>
      </c>
      <c r="J126" s="84"/>
      <c r="K126" s="85">
        <v>31412</v>
      </c>
      <c r="L126" s="83">
        <v>1985</v>
      </c>
      <c r="M126" s="83">
        <f t="shared" si="4"/>
        <v>34</v>
      </c>
      <c r="N126" s="83" t="s">
        <v>3</v>
      </c>
      <c r="O126" s="83"/>
      <c r="P126" s="84" t="s">
        <v>1048</v>
      </c>
      <c r="Q126" s="83"/>
      <c r="R126" s="84" t="s">
        <v>10</v>
      </c>
    </row>
    <row r="127" spans="2:18" x14ac:dyDescent="0.2">
      <c r="B127" s="136">
        <v>39</v>
      </c>
      <c r="C127" s="136"/>
      <c r="D127" s="83">
        <v>120</v>
      </c>
      <c r="E127" s="84" t="s">
        <v>417</v>
      </c>
      <c r="F127" s="83" t="s">
        <v>6</v>
      </c>
      <c r="G127" s="83" t="s">
        <v>1052</v>
      </c>
      <c r="H127" s="83" t="s">
        <v>1</v>
      </c>
      <c r="I127" s="83" t="s">
        <v>2</v>
      </c>
      <c r="J127" s="84"/>
      <c r="K127" s="85">
        <v>21649</v>
      </c>
      <c r="L127" s="83">
        <v>1959</v>
      </c>
      <c r="M127" s="83">
        <f t="shared" ref="M127:M158" si="5">2019-L127</f>
        <v>60</v>
      </c>
      <c r="N127" s="83" t="s">
        <v>3</v>
      </c>
      <c r="O127" s="83"/>
      <c r="P127" s="84" t="s">
        <v>15</v>
      </c>
      <c r="Q127" s="83"/>
      <c r="R127" s="84" t="s">
        <v>5</v>
      </c>
    </row>
    <row r="128" spans="2:18" x14ac:dyDescent="0.2">
      <c r="B128" s="136"/>
      <c r="C128" s="136"/>
      <c r="D128" s="83">
        <v>121</v>
      </c>
      <c r="E128" s="84" t="s">
        <v>1053</v>
      </c>
      <c r="F128" s="83" t="s">
        <v>11</v>
      </c>
      <c r="G128" s="83" t="s">
        <v>1054</v>
      </c>
      <c r="H128" s="83" t="s">
        <v>9</v>
      </c>
      <c r="I128" s="83" t="s">
        <v>2</v>
      </c>
      <c r="J128" s="84"/>
      <c r="K128" s="85">
        <v>21664</v>
      </c>
      <c r="L128" s="83">
        <v>1959</v>
      </c>
      <c r="M128" s="83">
        <f t="shared" si="5"/>
        <v>60</v>
      </c>
      <c r="N128" s="83" t="s">
        <v>3</v>
      </c>
      <c r="O128" s="83"/>
      <c r="P128" s="84" t="s">
        <v>54</v>
      </c>
      <c r="Q128" s="83"/>
      <c r="R128" s="84" t="s">
        <v>16</v>
      </c>
    </row>
    <row r="129" spans="2:18" ht="25.5" x14ac:dyDescent="0.2">
      <c r="B129" s="136"/>
      <c r="C129" s="136"/>
      <c r="D129" s="83">
        <v>122</v>
      </c>
      <c r="E129" s="84" t="s">
        <v>1055</v>
      </c>
      <c r="F129" s="83" t="s">
        <v>17</v>
      </c>
      <c r="G129" s="83" t="s">
        <v>1056</v>
      </c>
      <c r="H129" s="83" t="s">
        <v>1</v>
      </c>
      <c r="I129" s="83" t="s">
        <v>14</v>
      </c>
      <c r="J129" s="84"/>
      <c r="K129" s="85">
        <v>34437</v>
      </c>
      <c r="L129" s="83">
        <v>1994</v>
      </c>
      <c r="M129" s="83">
        <f t="shared" si="5"/>
        <v>25</v>
      </c>
      <c r="N129" s="83" t="s">
        <v>3</v>
      </c>
      <c r="O129" s="83"/>
      <c r="P129" s="84" t="s">
        <v>15</v>
      </c>
      <c r="Q129" s="83"/>
      <c r="R129" s="84" t="s">
        <v>16</v>
      </c>
    </row>
    <row r="130" spans="2:18" ht="25.5" x14ac:dyDescent="0.2">
      <c r="B130" s="136">
        <v>40</v>
      </c>
      <c r="C130" s="136" t="s">
        <v>1231</v>
      </c>
      <c r="D130" s="83">
        <v>123</v>
      </c>
      <c r="E130" s="84" t="s">
        <v>1057</v>
      </c>
      <c r="F130" s="83" t="s">
        <v>6</v>
      </c>
      <c r="G130" s="83" t="s">
        <v>1058</v>
      </c>
      <c r="H130" s="83" t="s">
        <v>1</v>
      </c>
      <c r="I130" s="83" t="s">
        <v>1161</v>
      </c>
      <c r="J130" s="84" t="s">
        <v>1156</v>
      </c>
      <c r="K130" s="85">
        <v>24716</v>
      </c>
      <c r="L130" s="83">
        <v>1967</v>
      </c>
      <c r="M130" s="83">
        <f t="shared" si="5"/>
        <v>52</v>
      </c>
      <c r="N130" s="83" t="s">
        <v>3</v>
      </c>
      <c r="O130" s="83" t="s">
        <v>1137</v>
      </c>
      <c r="P130" s="84" t="s">
        <v>1138</v>
      </c>
      <c r="Q130" s="83"/>
      <c r="R130" s="84" t="s">
        <v>1234</v>
      </c>
    </row>
    <row r="131" spans="2:18" ht="25.5" x14ac:dyDescent="0.2">
      <c r="B131" s="136"/>
      <c r="C131" s="136"/>
      <c r="D131" s="83">
        <v>124</v>
      </c>
      <c r="E131" s="84" t="s">
        <v>1059</v>
      </c>
      <c r="F131" s="83" t="s">
        <v>17</v>
      </c>
      <c r="G131" s="83" t="s">
        <v>1060</v>
      </c>
      <c r="H131" s="83" t="s">
        <v>9</v>
      </c>
      <c r="I131" s="83" t="s">
        <v>14</v>
      </c>
      <c r="J131" s="84" t="s">
        <v>1156</v>
      </c>
      <c r="K131" s="85">
        <v>33134</v>
      </c>
      <c r="L131" s="83">
        <v>1990</v>
      </c>
      <c r="M131" s="83">
        <f t="shared" si="5"/>
        <v>29</v>
      </c>
      <c r="N131" s="83" t="s">
        <v>3</v>
      </c>
      <c r="O131" s="83" t="s">
        <v>1137</v>
      </c>
      <c r="P131" s="84" t="s">
        <v>1232</v>
      </c>
      <c r="Q131" s="83"/>
      <c r="R131" s="84" t="s">
        <v>10</v>
      </c>
    </row>
    <row r="132" spans="2:18" ht="25.5" x14ac:dyDescent="0.2">
      <c r="B132" s="136"/>
      <c r="C132" s="136"/>
      <c r="D132" s="83">
        <v>125</v>
      </c>
      <c r="E132" s="84" t="s">
        <v>1061</v>
      </c>
      <c r="F132" s="83" t="s">
        <v>17</v>
      </c>
      <c r="G132" s="83" t="s">
        <v>1062</v>
      </c>
      <c r="H132" s="83" t="s">
        <v>9</v>
      </c>
      <c r="I132" s="83" t="s">
        <v>14</v>
      </c>
      <c r="J132" s="84" t="s">
        <v>1156</v>
      </c>
      <c r="K132" s="85">
        <v>37394</v>
      </c>
      <c r="L132" s="83">
        <v>2002</v>
      </c>
      <c r="M132" s="83">
        <f t="shared" si="5"/>
        <v>17</v>
      </c>
      <c r="N132" s="83" t="s">
        <v>3</v>
      </c>
      <c r="O132" s="83" t="s">
        <v>1137</v>
      </c>
      <c r="P132" s="84" t="s">
        <v>1233</v>
      </c>
      <c r="Q132" s="83"/>
      <c r="R132" s="84" t="s">
        <v>1160</v>
      </c>
    </row>
    <row r="133" spans="2:18" ht="25.5" x14ac:dyDescent="0.2">
      <c r="B133" s="136">
        <v>41</v>
      </c>
      <c r="C133" s="136" t="s">
        <v>1341</v>
      </c>
      <c r="D133" s="83">
        <v>126</v>
      </c>
      <c r="E133" s="84" t="s">
        <v>1063</v>
      </c>
      <c r="F133" s="83" t="s">
        <v>6</v>
      </c>
      <c r="G133" s="83" t="s">
        <v>1342</v>
      </c>
      <c r="H133" s="83" t="s">
        <v>1</v>
      </c>
      <c r="I133" s="83" t="s">
        <v>2</v>
      </c>
      <c r="J133" s="84" t="s">
        <v>1136</v>
      </c>
      <c r="K133" s="85">
        <v>19906</v>
      </c>
      <c r="L133" s="83">
        <v>1954</v>
      </c>
      <c r="M133" s="83">
        <f t="shared" si="5"/>
        <v>65</v>
      </c>
      <c r="N133" s="83" t="s">
        <v>3</v>
      </c>
      <c r="O133" s="83" t="s">
        <v>1137</v>
      </c>
      <c r="P133" s="84" t="s">
        <v>1138</v>
      </c>
      <c r="Q133" s="83"/>
      <c r="R133" s="84" t="s">
        <v>1185</v>
      </c>
    </row>
    <row r="134" spans="2:18" ht="25.5" x14ac:dyDescent="0.2">
      <c r="B134" s="136"/>
      <c r="C134" s="136"/>
      <c r="D134" s="83">
        <v>127</v>
      </c>
      <c r="E134" s="84" t="s">
        <v>1340</v>
      </c>
      <c r="F134" s="83" t="s">
        <v>11</v>
      </c>
      <c r="G134" s="83" t="s">
        <v>1343</v>
      </c>
      <c r="H134" s="83" t="s">
        <v>9</v>
      </c>
      <c r="I134" s="83" t="s">
        <v>2</v>
      </c>
      <c r="J134" s="84" t="s">
        <v>1136</v>
      </c>
      <c r="K134" s="85">
        <v>20637</v>
      </c>
      <c r="L134" s="83">
        <v>1956</v>
      </c>
      <c r="M134" s="83">
        <f t="shared" si="5"/>
        <v>63</v>
      </c>
      <c r="N134" s="83" t="s">
        <v>3</v>
      </c>
      <c r="O134" s="83" t="s">
        <v>1137</v>
      </c>
      <c r="P134" s="84" t="s">
        <v>1138</v>
      </c>
      <c r="Q134" s="83"/>
      <c r="R134" s="84" t="s">
        <v>1141</v>
      </c>
    </row>
    <row r="135" spans="2:18" ht="25.5" x14ac:dyDescent="0.2">
      <c r="B135" s="136"/>
      <c r="C135" s="136"/>
      <c r="D135" s="83">
        <v>128</v>
      </c>
      <c r="E135" s="84" t="s">
        <v>1066</v>
      </c>
      <c r="F135" s="83" t="s">
        <v>17</v>
      </c>
      <c r="G135" s="83" t="s">
        <v>1344</v>
      </c>
      <c r="H135" s="83" t="s">
        <v>9</v>
      </c>
      <c r="I135" s="83" t="s">
        <v>14</v>
      </c>
      <c r="J135" s="84" t="s">
        <v>1136</v>
      </c>
      <c r="K135" s="85">
        <v>31412</v>
      </c>
      <c r="L135" s="83">
        <v>1985</v>
      </c>
      <c r="M135" s="83">
        <f t="shared" si="5"/>
        <v>34</v>
      </c>
      <c r="N135" s="83" t="s">
        <v>3</v>
      </c>
      <c r="O135" s="83" t="s">
        <v>1137</v>
      </c>
      <c r="P135" s="84" t="s">
        <v>1159</v>
      </c>
      <c r="Q135" s="83"/>
      <c r="R135" s="84" t="s">
        <v>1140</v>
      </c>
    </row>
    <row r="136" spans="2:18" x14ac:dyDescent="0.2">
      <c r="B136" s="136">
        <v>42</v>
      </c>
      <c r="C136" s="136"/>
      <c r="D136" s="83">
        <v>129</v>
      </c>
      <c r="E136" s="84" t="s">
        <v>1067</v>
      </c>
      <c r="F136" s="83" t="s">
        <v>970</v>
      </c>
      <c r="G136" s="83"/>
      <c r="H136" s="83" t="s">
        <v>1</v>
      </c>
      <c r="I136" s="83" t="s">
        <v>2</v>
      </c>
      <c r="J136" s="84"/>
      <c r="K136" s="85">
        <v>24837</v>
      </c>
      <c r="L136" s="83">
        <v>1967</v>
      </c>
      <c r="M136" s="83">
        <f t="shared" si="5"/>
        <v>52</v>
      </c>
      <c r="N136" s="83" t="s">
        <v>3</v>
      </c>
      <c r="O136" s="83"/>
      <c r="P136" s="84" t="s">
        <v>4</v>
      </c>
      <c r="Q136" s="83"/>
      <c r="R136" s="84" t="s">
        <v>5</v>
      </c>
    </row>
    <row r="137" spans="2:18" x14ac:dyDescent="0.2">
      <c r="B137" s="136"/>
      <c r="C137" s="136"/>
      <c r="D137" s="83">
        <v>130</v>
      </c>
      <c r="E137" s="84" t="s">
        <v>1068</v>
      </c>
      <c r="F137" s="83" t="s">
        <v>11</v>
      </c>
      <c r="G137" s="83"/>
      <c r="H137" s="83" t="s">
        <v>9</v>
      </c>
      <c r="I137" s="83" t="s">
        <v>2</v>
      </c>
      <c r="J137" s="84"/>
      <c r="K137" s="85">
        <v>28125</v>
      </c>
      <c r="L137" s="83">
        <v>1976</v>
      </c>
      <c r="M137" s="83">
        <f t="shared" si="5"/>
        <v>43</v>
      </c>
      <c r="N137" s="83" t="s">
        <v>3</v>
      </c>
      <c r="O137" s="83"/>
      <c r="P137" s="84" t="s">
        <v>15</v>
      </c>
      <c r="Q137" s="83"/>
      <c r="R137" s="84" t="s">
        <v>16</v>
      </c>
    </row>
    <row r="138" spans="2:18" ht="25.5" x14ac:dyDescent="0.2">
      <c r="B138" s="136"/>
      <c r="C138" s="136"/>
      <c r="D138" s="83">
        <v>131</v>
      </c>
      <c r="E138" s="84" t="s">
        <v>1069</v>
      </c>
      <c r="F138" s="83" t="s">
        <v>17</v>
      </c>
      <c r="G138" s="83"/>
      <c r="H138" s="83" t="s">
        <v>1</v>
      </c>
      <c r="I138" s="83" t="s">
        <v>1070</v>
      </c>
      <c r="J138" s="84"/>
      <c r="K138" s="85">
        <v>33238</v>
      </c>
      <c r="L138" s="83">
        <v>1990</v>
      </c>
      <c r="M138" s="83">
        <f t="shared" si="5"/>
        <v>29</v>
      </c>
      <c r="N138" s="83" t="s">
        <v>3</v>
      </c>
      <c r="O138" s="83"/>
      <c r="P138" s="84" t="s">
        <v>15</v>
      </c>
      <c r="Q138" s="83"/>
      <c r="R138" s="84" t="s">
        <v>16</v>
      </c>
    </row>
    <row r="139" spans="2:18" x14ac:dyDescent="0.2">
      <c r="B139" s="136"/>
      <c r="C139" s="136"/>
      <c r="D139" s="83">
        <v>132</v>
      </c>
      <c r="E139" s="84" t="s">
        <v>807</v>
      </c>
      <c r="F139" s="83" t="s">
        <v>17</v>
      </c>
      <c r="G139" s="83"/>
      <c r="H139" s="83" t="s">
        <v>9</v>
      </c>
      <c r="I139" s="83" t="s">
        <v>14</v>
      </c>
      <c r="J139" s="84"/>
      <c r="K139" s="85">
        <v>33969</v>
      </c>
      <c r="L139" s="83">
        <v>1992</v>
      </c>
      <c r="M139" s="83">
        <f t="shared" si="5"/>
        <v>27</v>
      </c>
      <c r="N139" s="83" t="s">
        <v>3</v>
      </c>
      <c r="O139" s="83"/>
      <c r="P139" s="84" t="s">
        <v>1048</v>
      </c>
      <c r="Q139" s="83"/>
      <c r="R139" s="84" t="s">
        <v>16</v>
      </c>
    </row>
    <row r="140" spans="2:18" x14ac:dyDescent="0.2">
      <c r="B140" s="136">
        <v>43</v>
      </c>
      <c r="C140" s="136"/>
      <c r="D140" s="83">
        <v>133</v>
      </c>
      <c r="E140" s="84" t="s">
        <v>1071</v>
      </c>
      <c r="F140" s="83" t="s">
        <v>6</v>
      </c>
      <c r="G140" s="83" t="s">
        <v>1072</v>
      </c>
      <c r="H140" s="83" t="s">
        <v>1</v>
      </c>
      <c r="I140" s="83" t="s">
        <v>2</v>
      </c>
      <c r="J140" s="84"/>
      <c r="K140" s="85">
        <v>25856</v>
      </c>
      <c r="L140" s="83">
        <v>1970</v>
      </c>
      <c r="M140" s="83">
        <f t="shared" si="5"/>
        <v>49</v>
      </c>
      <c r="N140" s="83" t="s">
        <v>3</v>
      </c>
      <c r="O140" s="83"/>
      <c r="P140" s="84" t="s">
        <v>54</v>
      </c>
      <c r="Q140" s="83"/>
      <c r="R140" s="84" t="s">
        <v>109</v>
      </c>
    </row>
    <row r="141" spans="2:18" x14ac:dyDescent="0.2">
      <c r="B141" s="136"/>
      <c r="C141" s="136"/>
      <c r="D141" s="83">
        <v>134</v>
      </c>
      <c r="E141" s="84" t="s">
        <v>1073</v>
      </c>
      <c r="F141" s="83" t="s">
        <v>11</v>
      </c>
      <c r="G141" s="83" t="s">
        <v>1074</v>
      </c>
      <c r="H141" s="83" t="s">
        <v>9</v>
      </c>
      <c r="I141" s="83" t="s">
        <v>2</v>
      </c>
      <c r="J141" s="84"/>
      <c r="K141" s="85">
        <v>26846</v>
      </c>
      <c r="L141" s="83">
        <v>1973</v>
      </c>
      <c r="M141" s="83">
        <f t="shared" si="5"/>
        <v>46</v>
      </c>
      <c r="N141" s="83" t="s">
        <v>3</v>
      </c>
      <c r="O141" s="83"/>
      <c r="P141" s="84" t="s">
        <v>54</v>
      </c>
      <c r="Q141" s="83"/>
      <c r="R141" s="84" t="s">
        <v>16</v>
      </c>
    </row>
    <row r="142" spans="2:18" ht="25.5" x14ac:dyDescent="0.2">
      <c r="B142" s="136"/>
      <c r="C142" s="136"/>
      <c r="D142" s="83">
        <v>135</v>
      </c>
      <c r="E142" s="84" t="s">
        <v>1075</v>
      </c>
      <c r="F142" s="83" t="s">
        <v>17</v>
      </c>
      <c r="G142" s="83" t="s">
        <v>1076</v>
      </c>
      <c r="H142" s="83" t="s">
        <v>1</v>
      </c>
      <c r="I142" s="83" t="s">
        <v>14</v>
      </c>
      <c r="J142" s="84"/>
      <c r="K142" s="85">
        <v>35837</v>
      </c>
      <c r="L142" s="83">
        <v>1998</v>
      </c>
      <c r="M142" s="83">
        <f t="shared" si="5"/>
        <v>21</v>
      </c>
      <c r="N142" s="83" t="s">
        <v>3</v>
      </c>
      <c r="O142" s="83"/>
      <c r="P142" s="84" t="s">
        <v>16</v>
      </c>
      <c r="Q142" s="83"/>
      <c r="R142" s="84" t="s">
        <v>16</v>
      </c>
    </row>
    <row r="143" spans="2:18" x14ac:dyDescent="0.2">
      <c r="B143" s="136"/>
      <c r="C143" s="136"/>
      <c r="D143" s="83">
        <v>136</v>
      </c>
      <c r="E143" s="84" t="s">
        <v>1077</v>
      </c>
      <c r="F143" s="83" t="s">
        <v>17</v>
      </c>
      <c r="G143" s="83" t="s">
        <v>1078</v>
      </c>
      <c r="H143" s="83" t="s">
        <v>1</v>
      </c>
      <c r="I143" s="83" t="s">
        <v>14</v>
      </c>
      <c r="J143" s="84"/>
      <c r="K143" s="85">
        <v>39130</v>
      </c>
      <c r="L143" s="83">
        <v>2007</v>
      </c>
      <c r="M143" s="83">
        <f t="shared" si="5"/>
        <v>12</v>
      </c>
      <c r="N143" s="83" t="s">
        <v>3</v>
      </c>
      <c r="O143" s="83"/>
      <c r="P143" s="84" t="s">
        <v>16</v>
      </c>
      <c r="Q143" s="83"/>
      <c r="R143" s="84" t="s">
        <v>16</v>
      </c>
    </row>
    <row r="144" spans="2:18" x14ac:dyDescent="0.2">
      <c r="B144" s="136"/>
      <c r="C144" s="136"/>
      <c r="D144" s="83">
        <v>137</v>
      </c>
      <c r="E144" s="84" t="s">
        <v>1079</v>
      </c>
      <c r="F144" s="83" t="s">
        <v>17</v>
      </c>
      <c r="G144" s="83" t="s">
        <v>1080</v>
      </c>
      <c r="H144" s="83" t="s">
        <v>1</v>
      </c>
      <c r="I144" s="83" t="s">
        <v>14</v>
      </c>
      <c r="J144" s="84"/>
      <c r="K144" s="85">
        <v>38301</v>
      </c>
      <c r="L144" s="83">
        <v>2004</v>
      </c>
      <c r="M144" s="83">
        <f t="shared" si="5"/>
        <v>15</v>
      </c>
      <c r="N144" s="83" t="s">
        <v>3</v>
      </c>
      <c r="O144" s="83"/>
      <c r="P144" s="84" t="s">
        <v>16</v>
      </c>
      <c r="Q144" s="83"/>
      <c r="R144" s="84" t="s">
        <v>16</v>
      </c>
    </row>
    <row r="145" spans="2:18" ht="25.5" x14ac:dyDescent="0.2">
      <c r="B145" s="136"/>
      <c r="C145" s="136"/>
      <c r="D145" s="83">
        <v>138</v>
      </c>
      <c r="E145" s="84" t="s">
        <v>1081</v>
      </c>
      <c r="F145" s="83" t="s">
        <v>17</v>
      </c>
      <c r="G145" s="83" t="s">
        <v>1082</v>
      </c>
      <c r="H145" s="83" t="s">
        <v>1</v>
      </c>
      <c r="I145" s="83" t="s">
        <v>14</v>
      </c>
      <c r="J145" s="84"/>
      <c r="K145" s="85">
        <v>40406</v>
      </c>
      <c r="L145" s="83">
        <v>2010</v>
      </c>
      <c r="M145" s="83">
        <f t="shared" si="5"/>
        <v>9</v>
      </c>
      <c r="N145" s="83" t="s">
        <v>3</v>
      </c>
      <c r="O145" s="83"/>
      <c r="P145" s="84" t="s">
        <v>16</v>
      </c>
      <c r="Q145" s="83"/>
      <c r="R145" s="84" t="s">
        <v>16</v>
      </c>
    </row>
    <row r="146" spans="2:18" x14ac:dyDescent="0.2">
      <c r="B146" s="136">
        <v>44</v>
      </c>
      <c r="C146" s="136"/>
      <c r="D146" s="83">
        <v>139</v>
      </c>
      <c r="E146" s="84" t="s">
        <v>1083</v>
      </c>
      <c r="F146" s="83" t="s">
        <v>6</v>
      </c>
      <c r="G146" s="83" t="s">
        <v>1084</v>
      </c>
      <c r="H146" s="83" t="s">
        <v>9</v>
      </c>
      <c r="I146" s="83" t="s">
        <v>24</v>
      </c>
      <c r="J146" s="84"/>
      <c r="K146" s="85">
        <v>33285</v>
      </c>
      <c r="L146" s="83">
        <v>1991</v>
      </c>
      <c r="M146" s="83">
        <f t="shared" si="5"/>
        <v>28</v>
      </c>
      <c r="N146" s="83" t="s">
        <v>3</v>
      </c>
      <c r="O146" s="83"/>
      <c r="P146" s="84" t="s">
        <v>15</v>
      </c>
      <c r="Q146" s="83"/>
      <c r="R146" s="84" t="s">
        <v>10</v>
      </c>
    </row>
    <row r="147" spans="2:18" ht="38.25" x14ac:dyDescent="0.2">
      <c r="B147" s="136"/>
      <c r="C147" s="136"/>
      <c r="D147" s="83">
        <v>140</v>
      </c>
      <c r="E147" s="84" t="s">
        <v>1085</v>
      </c>
      <c r="F147" s="83" t="s">
        <v>17</v>
      </c>
      <c r="G147" s="83" t="s">
        <v>1086</v>
      </c>
      <c r="H147" s="83" t="s">
        <v>9</v>
      </c>
      <c r="I147" s="83" t="s">
        <v>14</v>
      </c>
      <c r="J147" s="84"/>
      <c r="K147" s="85">
        <v>37023</v>
      </c>
      <c r="L147" s="83">
        <v>2001</v>
      </c>
      <c r="M147" s="83">
        <f t="shared" si="5"/>
        <v>18</v>
      </c>
      <c r="N147" s="83" t="s">
        <v>3</v>
      </c>
      <c r="O147" s="83"/>
      <c r="P147" s="84" t="s">
        <v>16</v>
      </c>
      <c r="Q147" s="83"/>
      <c r="R147" s="84" t="s">
        <v>16</v>
      </c>
    </row>
    <row r="148" spans="2:18" x14ac:dyDescent="0.2">
      <c r="B148" s="136">
        <v>45</v>
      </c>
      <c r="C148" s="136"/>
      <c r="D148" s="83">
        <v>141</v>
      </c>
      <c r="E148" s="84" t="s">
        <v>1087</v>
      </c>
      <c r="F148" s="83" t="s">
        <v>6</v>
      </c>
      <c r="G148" s="83" t="s">
        <v>1088</v>
      </c>
      <c r="H148" s="83" t="s">
        <v>1</v>
      </c>
      <c r="I148" s="83" t="s">
        <v>2</v>
      </c>
      <c r="J148" s="84"/>
      <c r="K148" s="85">
        <v>27021</v>
      </c>
      <c r="L148" s="83">
        <v>1973</v>
      </c>
      <c r="M148" s="83">
        <f t="shared" si="5"/>
        <v>46</v>
      </c>
      <c r="N148" s="83" t="s">
        <v>3</v>
      </c>
      <c r="O148" s="83"/>
      <c r="P148" s="84" t="s">
        <v>15</v>
      </c>
      <c r="Q148" s="83"/>
      <c r="R148" s="84" t="s">
        <v>10</v>
      </c>
    </row>
    <row r="149" spans="2:18" x14ac:dyDescent="0.2">
      <c r="B149" s="136"/>
      <c r="C149" s="136"/>
      <c r="D149" s="83">
        <v>142</v>
      </c>
      <c r="E149" s="84" t="s">
        <v>1044</v>
      </c>
      <c r="F149" s="83" t="s">
        <v>11</v>
      </c>
      <c r="G149" s="83" t="s">
        <v>1089</v>
      </c>
      <c r="H149" s="83" t="s">
        <v>9</v>
      </c>
      <c r="I149" s="83" t="s">
        <v>2</v>
      </c>
      <c r="J149" s="84"/>
      <c r="K149" s="85">
        <v>28664</v>
      </c>
      <c r="L149" s="83">
        <v>1978</v>
      </c>
      <c r="M149" s="83">
        <f t="shared" si="5"/>
        <v>41</v>
      </c>
      <c r="N149" s="83" t="s">
        <v>3</v>
      </c>
      <c r="O149" s="83"/>
      <c r="P149" s="84" t="s">
        <v>27</v>
      </c>
      <c r="Q149" s="83"/>
      <c r="R149" s="84" t="s">
        <v>16</v>
      </c>
    </row>
    <row r="150" spans="2:18" ht="25.5" x14ac:dyDescent="0.2">
      <c r="B150" s="136"/>
      <c r="C150" s="136"/>
      <c r="D150" s="83">
        <v>143</v>
      </c>
      <c r="E150" s="84" t="s">
        <v>1090</v>
      </c>
      <c r="F150" s="83" t="s">
        <v>17</v>
      </c>
      <c r="G150" s="83" t="s">
        <v>1091</v>
      </c>
      <c r="H150" s="83" t="s">
        <v>1</v>
      </c>
      <c r="I150" s="83" t="s">
        <v>14</v>
      </c>
      <c r="J150" s="84"/>
      <c r="K150" s="85">
        <v>35840</v>
      </c>
      <c r="L150" s="83">
        <v>1998</v>
      </c>
      <c r="M150" s="83">
        <f t="shared" si="5"/>
        <v>21</v>
      </c>
      <c r="N150" s="83" t="s">
        <v>3</v>
      </c>
      <c r="O150" s="83"/>
      <c r="P150" s="84" t="s">
        <v>27</v>
      </c>
      <c r="Q150" s="83"/>
      <c r="R150" s="84" t="s">
        <v>16</v>
      </c>
    </row>
    <row r="151" spans="2:18" ht="25.5" x14ac:dyDescent="0.2">
      <c r="B151" s="136"/>
      <c r="C151" s="136"/>
      <c r="D151" s="83">
        <v>144</v>
      </c>
      <c r="E151" s="84" t="s">
        <v>1092</v>
      </c>
      <c r="F151" s="83" t="s">
        <v>17</v>
      </c>
      <c r="G151" s="83" t="s">
        <v>1093</v>
      </c>
      <c r="H151" s="83" t="s">
        <v>1</v>
      </c>
      <c r="I151" s="83" t="s">
        <v>14</v>
      </c>
      <c r="J151" s="84"/>
      <c r="K151" s="85">
        <v>36552</v>
      </c>
      <c r="L151" s="83">
        <v>2000</v>
      </c>
      <c r="M151" s="83">
        <f t="shared" si="5"/>
        <v>19</v>
      </c>
      <c r="N151" s="83" t="s">
        <v>3</v>
      </c>
      <c r="O151" s="83"/>
      <c r="P151" s="84" t="s">
        <v>16</v>
      </c>
      <c r="Q151" s="83"/>
      <c r="R151" s="84" t="s">
        <v>16</v>
      </c>
    </row>
    <row r="152" spans="2:18" ht="25.5" x14ac:dyDescent="0.2">
      <c r="B152" s="136"/>
      <c r="C152" s="136"/>
      <c r="D152" s="83">
        <v>145</v>
      </c>
      <c r="E152" s="84" t="s">
        <v>1094</v>
      </c>
      <c r="F152" s="83" t="s">
        <v>17</v>
      </c>
      <c r="G152" s="83" t="s">
        <v>1095</v>
      </c>
      <c r="H152" s="83" t="s">
        <v>1</v>
      </c>
      <c r="I152" s="83" t="s">
        <v>14</v>
      </c>
      <c r="J152" s="84"/>
      <c r="K152" s="85">
        <v>39886</v>
      </c>
      <c r="L152" s="83">
        <v>2009</v>
      </c>
      <c r="M152" s="83">
        <f t="shared" si="5"/>
        <v>10</v>
      </c>
      <c r="N152" s="83" t="s">
        <v>3</v>
      </c>
      <c r="O152" s="83"/>
      <c r="P152" s="84" t="s">
        <v>16</v>
      </c>
      <c r="Q152" s="83"/>
      <c r="R152" s="84" t="s">
        <v>16</v>
      </c>
    </row>
    <row r="153" spans="2:18" ht="25.5" x14ac:dyDescent="0.2">
      <c r="B153" s="136"/>
      <c r="C153" s="136"/>
      <c r="D153" s="83">
        <v>146</v>
      </c>
      <c r="E153" s="84" t="s">
        <v>1096</v>
      </c>
      <c r="F153" s="83" t="s">
        <v>17</v>
      </c>
      <c r="G153" s="83" t="s">
        <v>1097</v>
      </c>
      <c r="H153" s="83" t="s">
        <v>9</v>
      </c>
      <c r="I153" s="83" t="s">
        <v>14</v>
      </c>
      <c r="J153" s="84"/>
      <c r="K153" s="85">
        <v>41406</v>
      </c>
      <c r="L153" s="83">
        <v>2013</v>
      </c>
      <c r="M153" s="83">
        <f t="shared" si="5"/>
        <v>6</v>
      </c>
      <c r="N153" s="83" t="s">
        <v>3</v>
      </c>
      <c r="O153" s="83"/>
      <c r="P153" s="84" t="s">
        <v>16</v>
      </c>
      <c r="Q153" s="83"/>
      <c r="R153" s="84" t="s">
        <v>16</v>
      </c>
    </row>
    <row r="154" spans="2:18" ht="25.5" x14ac:dyDescent="0.2">
      <c r="B154" s="136">
        <v>46</v>
      </c>
      <c r="C154" s="136"/>
      <c r="D154" s="83">
        <v>147</v>
      </c>
      <c r="E154" s="84" t="s">
        <v>1098</v>
      </c>
      <c r="F154" s="83" t="s">
        <v>6</v>
      </c>
      <c r="G154" s="83" t="s">
        <v>1099</v>
      </c>
      <c r="H154" s="83" t="s">
        <v>1</v>
      </c>
      <c r="I154" s="83" t="s">
        <v>2</v>
      </c>
      <c r="J154" s="84"/>
      <c r="K154" s="85">
        <v>26298</v>
      </c>
      <c r="L154" s="83">
        <v>1971</v>
      </c>
      <c r="M154" s="83">
        <f t="shared" si="5"/>
        <v>48</v>
      </c>
      <c r="N154" s="83" t="s">
        <v>3</v>
      </c>
      <c r="O154" s="83"/>
      <c r="P154" s="84" t="s">
        <v>1048</v>
      </c>
      <c r="Q154" s="83"/>
      <c r="R154" s="84" t="s">
        <v>5</v>
      </c>
    </row>
    <row r="155" spans="2:18" ht="25.5" x14ac:dyDescent="0.2">
      <c r="B155" s="136"/>
      <c r="C155" s="136"/>
      <c r="D155" s="83">
        <v>148</v>
      </c>
      <c r="E155" s="84" t="s">
        <v>1100</v>
      </c>
      <c r="F155" s="83" t="s">
        <v>11</v>
      </c>
      <c r="G155" s="83" t="s">
        <v>1101</v>
      </c>
      <c r="H155" s="83" t="s">
        <v>9</v>
      </c>
      <c r="I155" s="83" t="s">
        <v>2</v>
      </c>
      <c r="J155" s="84"/>
      <c r="K155" s="85">
        <v>26523</v>
      </c>
      <c r="L155" s="83">
        <v>1972</v>
      </c>
      <c r="M155" s="83">
        <f t="shared" si="5"/>
        <v>47</v>
      </c>
      <c r="N155" s="83" t="s">
        <v>3</v>
      </c>
      <c r="O155" s="83"/>
      <c r="P155" s="84" t="s">
        <v>4</v>
      </c>
      <c r="Q155" s="83"/>
      <c r="R155" s="84" t="s">
        <v>5</v>
      </c>
    </row>
    <row r="156" spans="2:18" ht="25.5" x14ac:dyDescent="0.2">
      <c r="B156" s="136"/>
      <c r="C156" s="136"/>
      <c r="D156" s="83">
        <v>149</v>
      </c>
      <c r="E156" s="84" t="s">
        <v>1102</v>
      </c>
      <c r="F156" s="83" t="s">
        <v>17</v>
      </c>
      <c r="G156" s="83" t="s">
        <v>1103</v>
      </c>
      <c r="H156" s="83" t="s">
        <v>9</v>
      </c>
      <c r="I156" s="83" t="s">
        <v>14</v>
      </c>
      <c r="J156" s="84"/>
      <c r="K156" s="85">
        <v>34832</v>
      </c>
      <c r="L156" s="83">
        <v>1995</v>
      </c>
      <c r="M156" s="83">
        <f t="shared" si="5"/>
        <v>24</v>
      </c>
      <c r="N156" s="83" t="s">
        <v>3</v>
      </c>
      <c r="O156" s="83"/>
      <c r="P156" s="84" t="s">
        <v>15</v>
      </c>
      <c r="Q156" s="83"/>
      <c r="R156" s="84" t="s">
        <v>16</v>
      </c>
    </row>
    <row r="157" spans="2:18" ht="38.25" x14ac:dyDescent="0.2">
      <c r="B157" s="136"/>
      <c r="C157" s="136"/>
      <c r="D157" s="83">
        <v>150</v>
      </c>
      <c r="E157" s="84" t="s">
        <v>1104</v>
      </c>
      <c r="F157" s="83" t="s">
        <v>17</v>
      </c>
      <c r="G157" s="83" t="s">
        <v>1105</v>
      </c>
      <c r="H157" s="83" t="s">
        <v>1</v>
      </c>
      <c r="I157" s="83" t="s">
        <v>14</v>
      </c>
      <c r="J157" s="84"/>
      <c r="K157" s="85">
        <v>36024</v>
      </c>
      <c r="L157" s="83">
        <v>1998</v>
      </c>
      <c r="M157" s="83">
        <f t="shared" si="5"/>
        <v>21</v>
      </c>
      <c r="N157" s="83" t="s">
        <v>3</v>
      </c>
      <c r="O157" s="83"/>
      <c r="P157" s="84" t="s">
        <v>27</v>
      </c>
      <c r="Q157" s="83"/>
      <c r="R157" s="84"/>
    </row>
    <row r="158" spans="2:18" ht="25.5" x14ac:dyDescent="0.2">
      <c r="B158" s="136"/>
      <c r="C158" s="136"/>
      <c r="D158" s="83">
        <v>151</v>
      </c>
      <c r="E158" s="84" t="s">
        <v>1106</v>
      </c>
      <c r="F158" s="83" t="s">
        <v>17</v>
      </c>
      <c r="G158" s="83"/>
      <c r="H158" s="83" t="s">
        <v>1</v>
      </c>
      <c r="I158" s="83" t="s">
        <v>14</v>
      </c>
      <c r="J158" s="84"/>
      <c r="K158" s="85">
        <v>37877</v>
      </c>
      <c r="L158" s="83">
        <v>2003</v>
      </c>
      <c r="M158" s="83">
        <f t="shared" si="5"/>
        <v>16</v>
      </c>
      <c r="N158" s="83" t="s">
        <v>3</v>
      </c>
      <c r="O158" s="83"/>
      <c r="P158" s="84" t="s">
        <v>16</v>
      </c>
      <c r="Q158" s="83"/>
      <c r="R158" s="84" t="s">
        <v>16</v>
      </c>
    </row>
    <row r="159" spans="2:18" ht="25.5" x14ac:dyDescent="0.2">
      <c r="B159" s="136"/>
      <c r="C159" s="136"/>
      <c r="D159" s="83">
        <v>152</v>
      </c>
      <c r="E159" s="84" t="s">
        <v>1107</v>
      </c>
      <c r="F159" s="83" t="s">
        <v>17</v>
      </c>
      <c r="G159" s="83" t="s">
        <v>1108</v>
      </c>
      <c r="H159" s="83" t="s">
        <v>9</v>
      </c>
      <c r="I159" s="83" t="s">
        <v>14</v>
      </c>
      <c r="J159" s="84"/>
      <c r="K159" s="85">
        <v>38623</v>
      </c>
      <c r="L159" s="83">
        <v>2005</v>
      </c>
      <c r="M159" s="83">
        <f t="shared" ref="M159:M177" si="6">2019-L159</f>
        <v>14</v>
      </c>
      <c r="N159" s="83" t="s">
        <v>3</v>
      </c>
      <c r="O159" s="83"/>
      <c r="P159" s="84" t="s">
        <v>16</v>
      </c>
      <c r="Q159" s="83"/>
      <c r="R159" s="84" t="s">
        <v>16</v>
      </c>
    </row>
    <row r="160" spans="2:18" x14ac:dyDescent="0.2">
      <c r="B160" s="83">
        <v>47</v>
      </c>
      <c r="C160" s="83"/>
      <c r="D160" s="83">
        <v>153</v>
      </c>
      <c r="E160" s="84" t="s">
        <v>1109</v>
      </c>
      <c r="F160" s="83" t="s">
        <v>6</v>
      </c>
      <c r="G160" s="83"/>
      <c r="H160" s="83" t="s">
        <v>1</v>
      </c>
      <c r="I160" s="83" t="s">
        <v>321</v>
      </c>
      <c r="J160" s="84"/>
      <c r="K160" s="85">
        <v>28855</v>
      </c>
      <c r="L160" s="83">
        <v>1978</v>
      </c>
      <c r="M160" s="83">
        <f t="shared" si="6"/>
        <v>41</v>
      </c>
      <c r="N160" s="83" t="s">
        <v>3</v>
      </c>
      <c r="O160" s="83"/>
      <c r="P160" s="84" t="s">
        <v>15</v>
      </c>
      <c r="Q160" s="83"/>
      <c r="R160" s="84" t="s">
        <v>109</v>
      </c>
    </row>
    <row r="161" spans="2:18" x14ac:dyDescent="0.2">
      <c r="B161" s="136">
        <v>48</v>
      </c>
      <c r="C161" s="136" t="s">
        <v>1333</v>
      </c>
      <c r="D161" s="83">
        <v>154</v>
      </c>
      <c r="E161" s="84" t="s">
        <v>1110</v>
      </c>
      <c r="F161" s="83" t="s">
        <v>6</v>
      </c>
      <c r="G161" s="83" t="s">
        <v>1334</v>
      </c>
      <c r="H161" s="83" t="s">
        <v>1</v>
      </c>
      <c r="I161" s="83" t="s">
        <v>2</v>
      </c>
      <c r="J161" s="84" t="s">
        <v>1156</v>
      </c>
      <c r="K161" s="85">
        <v>27576</v>
      </c>
      <c r="L161" s="83">
        <v>1975</v>
      </c>
      <c r="M161" s="83">
        <f t="shared" si="6"/>
        <v>44</v>
      </c>
      <c r="N161" s="83" t="s">
        <v>3</v>
      </c>
      <c r="O161" s="83"/>
      <c r="P161" s="84" t="s">
        <v>1327</v>
      </c>
      <c r="Q161" s="83"/>
      <c r="R161" s="84" t="s">
        <v>10</v>
      </c>
    </row>
    <row r="162" spans="2:18" ht="25.5" x14ac:dyDescent="0.2">
      <c r="B162" s="136"/>
      <c r="C162" s="136"/>
      <c r="D162" s="83">
        <v>155</v>
      </c>
      <c r="E162" s="84" t="s">
        <v>1111</v>
      </c>
      <c r="F162" s="83" t="s">
        <v>11</v>
      </c>
      <c r="G162" s="83" t="s">
        <v>1335</v>
      </c>
      <c r="H162" s="83" t="s">
        <v>9</v>
      </c>
      <c r="I162" s="83" t="s">
        <v>2</v>
      </c>
      <c r="J162" s="84" t="s">
        <v>1339</v>
      </c>
      <c r="K162" s="85">
        <v>28307</v>
      </c>
      <c r="L162" s="83">
        <v>1977</v>
      </c>
      <c r="M162" s="83">
        <f t="shared" si="6"/>
        <v>42</v>
      </c>
      <c r="N162" s="83" t="s">
        <v>3</v>
      </c>
      <c r="O162" s="83"/>
      <c r="P162" s="84" t="s">
        <v>1138</v>
      </c>
      <c r="Q162" s="83"/>
      <c r="R162" s="84" t="s">
        <v>1141</v>
      </c>
    </row>
    <row r="163" spans="2:18" ht="25.5" x14ac:dyDescent="0.2">
      <c r="B163" s="136"/>
      <c r="C163" s="136"/>
      <c r="D163" s="83">
        <v>156</v>
      </c>
      <c r="E163" s="84" t="s">
        <v>1330</v>
      </c>
      <c r="F163" s="83" t="s">
        <v>17</v>
      </c>
      <c r="G163" s="83" t="s">
        <v>1336</v>
      </c>
      <c r="H163" s="83" t="s">
        <v>9</v>
      </c>
      <c r="I163" s="83" t="s">
        <v>1112</v>
      </c>
      <c r="J163" s="84" t="s">
        <v>1339</v>
      </c>
      <c r="K163" s="85">
        <v>39677</v>
      </c>
      <c r="L163" s="83">
        <v>2008</v>
      </c>
      <c r="M163" s="83">
        <f t="shared" si="6"/>
        <v>11</v>
      </c>
      <c r="N163" s="83" t="s">
        <v>3</v>
      </c>
      <c r="O163" s="83"/>
      <c r="P163" s="84" t="s">
        <v>1178</v>
      </c>
      <c r="Q163" s="83"/>
      <c r="R163" s="84" t="s">
        <v>1160</v>
      </c>
    </row>
    <row r="164" spans="2:18" ht="25.5" x14ac:dyDescent="0.2">
      <c r="B164" s="136"/>
      <c r="C164" s="136"/>
      <c r="D164" s="83">
        <v>157</v>
      </c>
      <c r="E164" s="84" t="s">
        <v>1331</v>
      </c>
      <c r="F164" s="83" t="s">
        <v>17</v>
      </c>
      <c r="G164" s="83" t="s">
        <v>1337</v>
      </c>
      <c r="H164" s="83" t="s">
        <v>1</v>
      </c>
      <c r="I164" s="83" t="s">
        <v>14</v>
      </c>
      <c r="J164" s="84" t="s">
        <v>1148</v>
      </c>
      <c r="K164" s="85">
        <v>40625</v>
      </c>
      <c r="L164" s="83">
        <v>2011</v>
      </c>
      <c r="M164" s="83">
        <f t="shared" si="6"/>
        <v>8</v>
      </c>
      <c r="N164" s="83" t="s">
        <v>3</v>
      </c>
      <c r="O164" s="83"/>
      <c r="P164" s="84" t="s">
        <v>1139</v>
      </c>
      <c r="Q164" s="83"/>
      <c r="R164" s="84" t="s">
        <v>1140</v>
      </c>
    </row>
    <row r="165" spans="2:18" ht="25.5" x14ac:dyDescent="0.2">
      <c r="B165" s="136"/>
      <c r="C165" s="136"/>
      <c r="D165" s="83">
        <v>158</v>
      </c>
      <c r="E165" s="84" t="s">
        <v>1332</v>
      </c>
      <c r="F165" s="83" t="s">
        <v>17</v>
      </c>
      <c r="G165" s="83" t="s">
        <v>1338</v>
      </c>
      <c r="H165" s="83" t="s">
        <v>1</v>
      </c>
      <c r="I165" s="83" t="s">
        <v>14</v>
      </c>
      <c r="J165" s="84" t="s">
        <v>1246</v>
      </c>
      <c r="K165" s="85">
        <v>42750</v>
      </c>
      <c r="L165" s="83">
        <v>2017</v>
      </c>
      <c r="M165" s="83">
        <f t="shared" si="6"/>
        <v>2</v>
      </c>
      <c r="N165" s="83" t="s">
        <v>3</v>
      </c>
      <c r="O165" s="83"/>
      <c r="P165" s="84" t="s">
        <v>1139</v>
      </c>
      <c r="Q165" s="83"/>
      <c r="R165" s="84" t="s">
        <v>1140</v>
      </c>
    </row>
    <row r="166" spans="2:18" s="33" customFormat="1" ht="25.5" x14ac:dyDescent="0.25">
      <c r="B166" s="136">
        <v>49</v>
      </c>
      <c r="C166" s="136" t="s">
        <v>1142</v>
      </c>
      <c r="D166" s="83">
        <v>159</v>
      </c>
      <c r="E166" s="84" t="s">
        <v>937</v>
      </c>
      <c r="F166" s="83" t="s">
        <v>6</v>
      </c>
      <c r="G166" s="83" t="s">
        <v>1145</v>
      </c>
      <c r="H166" s="83" t="s">
        <v>1</v>
      </c>
      <c r="I166" s="83" t="s">
        <v>2</v>
      </c>
      <c r="J166" s="84" t="s">
        <v>1148</v>
      </c>
      <c r="K166" s="85">
        <v>29660</v>
      </c>
      <c r="L166" s="83">
        <v>1981</v>
      </c>
      <c r="M166" s="83">
        <f t="shared" si="6"/>
        <v>38</v>
      </c>
      <c r="N166" s="83" t="s">
        <v>3</v>
      </c>
      <c r="O166" s="83" t="s">
        <v>1137</v>
      </c>
      <c r="P166" s="84" t="s">
        <v>1138</v>
      </c>
      <c r="Q166" s="83"/>
      <c r="R166" s="84" t="s">
        <v>10</v>
      </c>
    </row>
    <row r="167" spans="2:18" s="33" customFormat="1" ht="25.5" x14ac:dyDescent="0.25">
      <c r="B167" s="136"/>
      <c r="C167" s="136"/>
      <c r="D167" s="83">
        <v>160</v>
      </c>
      <c r="E167" s="84" t="s">
        <v>1143</v>
      </c>
      <c r="F167" s="83" t="s">
        <v>11</v>
      </c>
      <c r="G167" s="83" t="s">
        <v>1146</v>
      </c>
      <c r="H167" s="83" t="s">
        <v>9</v>
      </c>
      <c r="I167" s="83" t="s">
        <v>2</v>
      </c>
      <c r="J167" s="84" t="s">
        <v>1149</v>
      </c>
      <c r="K167" s="85">
        <v>32508</v>
      </c>
      <c r="L167" s="83">
        <v>1988</v>
      </c>
      <c r="M167" s="83">
        <f t="shared" si="6"/>
        <v>31</v>
      </c>
      <c r="N167" s="83" t="s">
        <v>3</v>
      </c>
      <c r="O167" s="83" t="s">
        <v>1137</v>
      </c>
      <c r="P167" s="84" t="s">
        <v>1138</v>
      </c>
      <c r="Q167" s="83"/>
      <c r="R167" s="84" t="s">
        <v>10</v>
      </c>
    </row>
    <row r="168" spans="2:18" s="33" customFormat="1" ht="25.5" x14ac:dyDescent="0.25">
      <c r="B168" s="136"/>
      <c r="C168" s="136"/>
      <c r="D168" s="83">
        <v>161</v>
      </c>
      <c r="E168" s="84" t="s">
        <v>1144</v>
      </c>
      <c r="F168" s="83" t="s">
        <v>17</v>
      </c>
      <c r="G168" s="83" t="s">
        <v>1147</v>
      </c>
      <c r="H168" s="83" t="s">
        <v>1</v>
      </c>
      <c r="I168" s="83" t="s">
        <v>492</v>
      </c>
      <c r="J168" s="84" t="s">
        <v>1149</v>
      </c>
      <c r="K168" s="85">
        <v>40334</v>
      </c>
      <c r="L168" s="83">
        <v>2010</v>
      </c>
      <c r="M168" s="83">
        <f t="shared" si="6"/>
        <v>9</v>
      </c>
      <c r="N168" s="83" t="s">
        <v>3</v>
      </c>
      <c r="O168" s="83" t="s">
        <v>1137</v>
      </c>
      <c r="P168" s="84" t="s">
        <v>1139</v>
      </c>
      <c r="Q168" s="83"/>
      <c r="R168" s="84" t="s">
        <v>1140</v>
      </c>
    </row>
    <row r="169" spans="2:18" s="33" customFormat="1" ht="25.5" x14ac:dyDescent="0.25">
      <c r="B169" s="136">
        <v>50</v>
      </c>
      <c r="C169" s="136" t="s">
        <v>1210</v>
      </c>
      <c r="D169" s="83">
        <v>162</v>
      </c>
      <c r="E169" s="84" t="s">
        <v>1211</v>
      </c>
      <c r="F169" s="83" t="s">
        <v>6</v>
      </c>
      <c r="G169" s="83" t="s">
        <v>1212</v>
      </c>
      <c r="H169" s="83" t="s">
        <v>1</v>
      </c>
      <c r="I169" s="83" t="s">
        <v>2</v>
      </c>
      <c r="J169" s="84" t="s">
        <v>1216</v>
      </c>
      <c r="K169" s="85">
        <v>29923</v>
      </c>
      <c r="L169" s="83">
        <v>1981</v>
      </c>
      <c r="M169" s="83">
        <f t="shared" si="6"/>
        <v>38</v>
      </c>
      <c r="N169" s="83" t="s">
        <v>3</v>
      </c>
      <c r="O169" s="83" t="s">
        <v>1137</v>
      </c>
      <c r="P169" s="84" t="s">
        <v>1138</v>
      </c>
      <c r="Q169" s="83"/>
      <c r="R169" s="84" t="s">
        <v>10</v>
      </c>
    </row>
    <row r="170" spans="2:18" s="33" customFormat="1" ht="25.5" x14ac:dyDescent="0.25">
      <c r="B170" s="136"/>
      <c r="C170" s="136"/>
      <c r="D170" s="83">
        <v>163</v>
      </c>
      <c r="E170" s="84" t="s">
        <v>738</v>
      </c>
      <c r="F170" s="83" t="s">
        <v>11</v>
      </c>
      <c r="G170" s="83" t="s">
        <v>1213</v>
      </c>
      <c r="H170" s="83" t="s">
        <v>9</v>
      </c>
      <c r="I170" s="83" t="s">
        <v>2</v>
      </c>
      <c r="J170" s="84" t="s">
        <v>1156</v>
      </c>
      <c r="K170" s="85">
        <v>30347</v>
      </c>
      <c r="L170" s="83">
        <v>1983</v>
      </c>
      <c r="M170" s="83">
        <f t="shared" si="6"/>
        <v>36</v>
      </c>
      <c r="N170" s="83" t="s">
        <v>3</v>
      </c>
      <c r="O170" s="83" t="s">
        <v>1137</v>
      </c>
      <c r="P170" s="84" t="s">
        <v>1138</v>
      </c>
      <c r="Q170" s="83"/>
      <c r="R170" s="84" t="s">
        <v>10</v>
      </c>
    </row>
    <row r="171" spans="2:18" s="33" customFormat="1" ht="25.5" x14ac:dyDescent="0.25">
      <c r="B171" s="136"/>
      <c r="C171" s="136"/>
      <c r="D171" s="83">
        <v>164</v>
      </c>
      <c r="E171" s="84" t="s">
        <v>740</v>
      </c>
      <c r="F171" s="83" t="s">
        <v>17</v>
      </c>
      <c r="G171" s="83" t="s">
        <v>1214</v>
      </c>
      <c r="H171" s="83" t="s">
        <v>1</v>
      </c>
      <c r="I171" s="83" t="s">
        <v>492</v>
      </c>
      <c r="J171" s="84" t="s">
        <v>1156</v>
      </c>
      <c r="K171" s="85">
        <v>38487</v>
      </c>
      <c r="L171" s="83">
        <v>2005</v>
      </c>
      <c r="M171" s="83">
        <f t="shared" si="6"/>
        <v>14</v>
      </c>
      <c r="N171" s="83" t="s">
        <v>3</v>
      </c>
      <c r="O171" s="83" t="s">
        <v>1137</v>
      </c>
      <c r="P171" s="84" t="s">
        <v>1178</v>
      </c>
      <c r="Q171" s="83"/>
      <c r="R171" s="84" t="s">
        <v>1160</v>
      </c>
    </row>
    <row r="172" spans="2:18" s="33" customFormat="1" ht="25.5" x14ac:dyDescent="0.25">
      <c r="B172" s="136"/>
      <c r="C172" s="136"/>
      <c r="D172" s="83">
        <v>165</v>
      </c>
      <c r="E172" s="84" t="s">
        <v>742</v>
      </c>
      <c r="F172" s="83" t="s">
        <v>17</v>
      </c>
      <c r="G172" s="83" t="s">
        <v>1215</v>
      </c>
      <c r="H172" s="83" t="s">
        <v>9</v>
      </c>
      <c r="I172" s="83" t="s">
        <v>492</v>
      </c>
      <c r="J172" s="84" t="s">
        <v>1148</v>
      </c>
      <c r="K172" s="85">
        <v>41006</v>
      </c>
      <c r="L172" s="83">
        <v>2012</v>
      </c>
      <c r="M172" s="83">
        <f t="shared" si="6"/>
        <v>7</v>
      </c>
      <c r="N172" s="83" t="s">
        <v>3</v>
      </c>
      <c r="O172" s="83" t="s">
        <v>1137</v>
      </c>
      <c r="P172" s="84" t="s">
        <v>1139</v>
      </c>
      <c r="Q172" s="83"/>
      <c r="R172" s="84" t="s">
        <v>1140</v>
      </c>
    </row>
    <row r="173" spans="2:18" s="33" customFormat="1" ht="38.25" x14ac:dyDescent="0.25">
      <c r="B173" s="136">
        <v>51</v>
      </c>
      <c r="C173" s="136" t="s">
        <v>1235</v>
      </c>
      <c r="D173" s="83">
        <v>166</v>
      </c>
      <c r="E173" s="84" t="s">
        <v>1236</v>
      </c>
      <c r="F173" s="83" t="s">
        <v>6</v>
      </c>
      <c r="G173" s="83" t="s">
        <v>1240</v>
      </c>
      <c r="H173" s="83" t="s">
        <v>1</v>
      </c>
      <c r="I173" s="83" t="s">
        <v>2</v>
      </c>
      <c r="J173" s="84" t="s">
        <v>1244</v>
      </c>
      <c r="K173" s="85">
        <v>33898</v>
      </c>
      <c r="L173" s="83">
        <v>1992</v>
      </c>
      <c r="M173" s="83">
        <f t="shared" si="6"/>
        <v>27</v>
      </c>
      <c r="N173" s="83" t="s">
        <v>3</v>
      </c>
      <c r="O173" s="83"/>
      <c r="P173" s="84" t="s">
        <v>1247</v>
      </c>
      <c r="Q173" s="83"/>
      <c r="R173" s="84" t="s">
        <v>10</v>
      </c>
    </row>
    <row r="174" spans="2:18" s="33" customFormat="1" ht="25.5" x14ac:dyDescent="0.25">
      <c r="B174" s="136"/>
      <c r="C174" s="136"/>
      <c r="D174" s="83">
        <v>167</v>
      </c>
      <c r="E174" s="84" t="s">
        <v>1237</v>
      </c>
      <c r="F174" s="83" t="s">
        <v>11</v>
      </c>
      <c r="G174" s="83" t="s">
        <v>1241</v>
      </c>
      <c r="H174" s="83" t="s">
        <v>9</v>
      </c>
      <c r="I174" s="83" t="s">
        <v>2</v>
      </c>
      <c r="J174" s="84" t="s">
        <v>1245</v>
      </c>
      <c r="K174" s="85">
        <v>33465</v>
      </c>
      <c r="L174" s="83">
        <v>1991</v>
      </c>
      <c r="M174" s="83">
        <f t="shared" si="6"/>
        <v>28</v>
      </c>
      <c r="N174" s="83" t="s">
        <v>3</v>
      </c>
      <c r="O174" s="83" t="s">
        <v>1137</v>
      </c>
      <c r="P174" s="84" t="s">
        <v>1159</v>
      </c>
      <c r="Q174" s="83"/>
      <c r="R174" s="84" t="s">
        <v>1141</v>
      </c>
    </row>
    <row r="175" spans="2:18" s="33" customFormat="1" ht="38.25" x14ac:dyDescent="0.25">
      <c r="B175" s="136"/>
      <c r="C175" s="136"/>
      <c r="D175" s="83">
        <v>168</v>
      </c>
      <c r="E175" s="84" t="s">
        <v>1238</v>
      </c>
      <c r="F175" s="83" t="s">
        <v>17</v>
      </c>
      <c r="G175" s="83" t="s">
        <v>1242</v>
      </c>
      <c r="H175" s="83" t="s">
        <v>9</v>
      </c>
      <c r="I175" s="83" t="s">
        <v>492</v>
      </c>
      <c r="J175" s="84" t="s">
        <v>1246</v>
      </c>
      <c r="K175" s="85">
        <v>42480</v>
      </c>
      <c r="L175" s="83">
        <v>2016</v>
      </c>
      <c r="M175" s="83">
        <f t="shared" si="6"/>
        <v>3</v>
      </c>
      <c r="N175" s="83" t="s">
        <v>3</v>
      </c>
      <c r="O175" s="83" t="s">
        <v>1137</v>
      </c>
      <c r="P175" s="84" t="s">
        <v>1139</v>
      </c>
      <c r="Q175" s="83"/>
      <c r="R175" s="84" t="s">
        <v>1140</v>
      </c>
    </row>
    <row r="176" spans="2:18" s="33" customFormat="1" ht="38.25" x14ac:dyDescent="0.25">
      <c r="B176" s="136"/>
      <c r="C176" s="136"/>
      <c r="D176" s="83">
        <v>169</v>
      </c>
      <c r="E176" s="84" t="s">
        <v>1239</v>
      </c>
      <c r="F176" s="83" t="s">
        <v>17</v>
      </c>
      <c r="G176" s="83" t="s">
        <v>1243</v>
      </c>
      <c r="H176" s="83" t="s">
        <v>1</v>
      </c>
      <c r="I176" s="83" t="s">
        <v>492</v>
      </c>
      <c r="J176" s="84" t="s">
        <v>1156</v>
      </c>
      <c r="K176" s="85">
        <v>43164</v>
      </c>
      <c r="L176" s="83">
        <v>2018</v>
      </c>
      <c r="M176" s="83">
        <f t="shared" si="6"/>
        <v>1</v>
      </c>
      <c r="N176" s="83" t="s">
        <v>3</v>
      </c>
      <c r="O176" s="83" t="s">
        <v>1137</v>
      </c>
      <c r="P176" s="84" t="s">
        <v>1139</v>
      </c>
      <c r="Q176" s="83"/>
      <c r="R176" s="84" t="s">
        <v>1140</v>
      </c>
    </row>
    <row r="177" spans="2:18" x14ac:dyDescent="0.2">
      <c r="B177" s="136">
        <v>52</v>
      </c>
      <c r="C177" s="136" t="s">
        <v>1318</v>
      </c>
      <c r="D177" s="83">
        <v>170</v>
      </c>
      <c r="E177" s="84" t="s">
        <v>1319</v>
      </c>
      <c r="F177" s="50" t="s">
        <v>6</v>
      </c>
      <c r="G177" s="83" t="s">
        <v>1323</v>
      </c>
      <c r="H177" s="50" t="s">
        <v>9</v>
      </c>
      <c r="I177" s="50" t="s">
        <v>1155</v>
      </c>
      <c r="J177" s="87" t="s">
        <v>1326</v>
      </c>
      <c r="K177" s="88">
        <v>33219</v>
      </c>
      <c r="L177" s="50">
        <v>1990</v>
      </c>
      <c r="M177" s="50">
        <f t="shared" si="6"/>
        <v>29</v>
      </c>
      <c r="N177" s="83" t="s">
        <v>3</v>
      </c>
      <c r="O177" s="83" t="s">
        <v>1137</v>
      </c>
      <c r="P177" s="87" t="s">
        <v>1159</v>
      </c>
      <c r="Q177" s="50"/>
      <c r="R177" s="87" t="s">
        <v>10</v>
      </c>
    </row>
    <row r="178" spans="2:18" ht="25.5" x14ac:dyDescent="0.2">
      <c r="B178" s="136"/>
      <c r="C178" s="136"/>
      <c r="D178" s="83">
        <v>171</v>
      </c>
      <c r="E178" s="84" t="s">
        <v>1320</v>
      </c>
      <c r="F178" s="50" t="s">
        <v>17</v>
      </c>
      <c r="G178" s="83" t="s">
        <v>1324</v>
      </c>
      <c r="H178" s="50" t="s">
        <v>9</v>
      </c>
      <c r="I178" s="83" t="s">
        <v>492</v>
      </c>
      <c r="J178" s="87" t="s">
        <v>1326</v>
      </c>
      <c r="K178" s="88">
        <v>41152</v>
      </c>
      <c r="L178" s="50">
        <v>2012</v>
      </c>
      <c r="M178" s="50">
        <f t="shared" ref="M178:M181" si="7">2019-L178</f>
        <v>7</v>
      </c>
      <c r="N178" s="83" t="s">
        <v>3</v>
      </c>
      <c r="O178" s="83" t="s">
        <v>1137</v>
      </c>
      <c r="P178" s="87" t="s">
        <v>1178</v>
      </c>
      <c r="Q178" s="50"/>
      <c r="R178" s="87" t="s">
        <v>1160</v>
      </c>
    </row>
    <row r="179" spans="2:18" ht="25.5" x14ac:dyDescent="0.2">
      <c r="B179" s="136"/>
      <c r="C179" s="136"/>
      <c r="D179" s="83">
        <v>172</v>
      </c>
      <c r="E179" s="84" t="s">
        <v>1321</v>
      </c>
      <c r="F179" s="50" t="s">
        <v>1322</v>
      </c>
      <c r="G179" s="83" t="s">
        <v>1325</v>
      </c>
      <c r="H179" s="50" t="s">
        <v>9</v>
      </c>
      <c r="I179" s="50" t="s">
        <v>1155</v>
      </c>
      <c r="J179" s="87" t="s">
        <v>1136</v>
      </c>
      <c r="K179" s="88">
        <v>19906</v>
      </c>
      <c r="L179" s="50">
        <v>1954</v>
      </c>
      <c r="M179" s="50">
        <f t="shared" si="7"/>
        <v>65</v>
      </c>
      <c r="N179" s="83" t="s">
        <v>3</v>
      </c>
      <c r="O179" s="83" t="s">
        <v>1137</v>
      </c>
      <c r="P179" s="87" t="s">
        <v>1327</v>
      </c>
      <c r="Q179" s="50"/>
      <c r="R179" s="87" t="s">
        <v>1328</v>
      </c>
    </row>
    <row r="180" spans="2:18" ht="25.5" x14ac:dyDescent="0.2">
      <c r="B180" s="136">
        <v>53</v>
      </c>
      <c r="C180" s="136" t="s">
        <v>1355</v>
      </c>
      <c r="D180" s="83">
        <v>173</v>
      </c>
      <c r="E180" s="84" t="s">
        <v>732</v>
      </c>
      <c r="F180" s="50" t="s">
        <v>6</v>
      </c>
      <c r="G180" s="50" t="s">
        <v>1357</v>
      </c>
      <c r="H180" s="50" t="s">
        <v>9</v>
      </c>
      <c r="I180" s="50" t="s">
        <v>1155</v>
      </c>
      <c r="J180" s="87" t="s">
        <v>1136</v>
      </c>
      <c r="K180" s="88">
        <v>26115</v>
      </c>
      <c r="L180" s="50">
        <v>1971</v>
      </c>
      <c r="M180" s="50">
        <f t="shared" si="7"/>
        <v>48</v>
      </c>
      <c r="N180" s="83" t="s">
        <v>3</v>
      </c>
      <c r="O180" s="83" t="s">
        <v>1137</v>
      </c>
      <c r="P180" s="87" t="s">
        <v>1138</v>
      </c>
      <c r="Q180" s="50"/>
      <c r="R180" s="87" t="s">
        <v>1328</v>
      </c>
    </row>
    <row r="181" spans="2:18" x14ac:dyDescent="0.2">
      <c r="B181" s="136"/>
      <c r="C181" s="136"/>
      <c r="D181" s="83">
        <v>174</v>
      </c>
      <c r="E181" s="84" t="s">
        <v>1356</v>
      </c>
      <c r="F181" s="50" t="s">
        <v>17</v>
      </c>
      <c r="G181" s="50" t="s">
        <v>1358</v>
      </c>
      <c r="H181" s="50" t="s">
        <v>9</v>
      </c>
      <c r="I181" s="83" t="s">
        <v>492</v>
      </c>
      <c r="J181" s="84" t="s">
        <v>1156</v>
      </c>
      <c r="K181" s="88">
        <v>36403</v>
      </c>
      <c r="L181" s="50">
        <v>1999</v>
      </c>
      <c r="M181" s="50">
        <f t="shared" si="7"/>
        <v>20</v>
      </c>
      <c r="N181" s="83" t="s">
        <v>3</v>
      </c>
      <c r="O181" s="83" t="s">
        <v>1137</v>
      </c>
      <c r="P181" s="87" t="s">
        <v>1159</v>
      </c>
      <c r="Q181" s="50"/>
      <c r="R181" s="87" t="s">
        <v>1229</v>
      </c>
    </row>
    <row r="182" spans="2:18" s="34" customFormat="1" ht="25.5" x14ac:dyDescent="0.25">
      <c r="B182" s="136">
        <v>54</v>
      </c>
      <c r="C182" s="136" t="s">
        <v>1359</v>
      </c>
      <c r="D182" s="83">
        <v>175</v>
      </c>
      <c r="E182" s="84" t="s">
        <v>655</v>
      </c>
      <c r="F182" s="83" t="s">
        <v>6</v>
      </c>
      <c r="G182" s="83" t="s">
        <v>1360</v>
      </c>
      <c r="H182" s="83" t="s">
        <v>1</v>
      </c>
      <c r="I182" s="83" t="s">
        <v>2</v>
      </c>
      <c r="J182" s="84" t="s">
        <v>1136</v>
      </c>
      <c r="K182" s="85">
        <v>22468</v>
      </c>
      <c r="L182" s="83">
        <v>1961</v>
      </c>
      <c r="M182" s="83">
        <f>2019-L182</f>
        <v>58</v>
      </c>
      <c r="N182" s="83" t="s">
        <v>3</v>
      </c>
      <c r="O182" s="83" t="s">
        <v>1137</v>
      </c>
      <c r="P182" s="84" t="s">
        <v>1139</v>
      </c>
      <c r="Q182" s="83"/>
      <c r="R182" s="84" t="s">
        <v>1328</v>
      </c>
    </row>
    <row r="183" spans="2:18" s="34" customFormat="1" ht="25.5" x14ac:dyDescent="0.25">
      <c r="B183" s="136"/>
      <c r="C183" s="136"/>
      <c r="D183" s="83">
        <v>176</v>
      </c>
      <c r="E183" s="84" t="s">
        <v>825</v>
      </c>
      <c r="F183" s="83" t="s">
        <v>11</v>
      </c>
      <c r="G183" s="83" t="s">
        <v>826</v>
      </c>
      <c r="H183" s="83" t="s">
        <v>9</v>
      </c>
      <c r="I183" s="83" t="s">
        <v>2</v>
      </c>
      <c r="J183" s="84" t="s">
        <v>1361</v>
      </c>
      <c r="K183" s="85">
        <v>23132</v>
      </c>
      <c r="L183" s="83">
        <v>1963</v>
      </c>
      <c r="M183" s="83">
        <f>2019-L183</f>
        <v>56</v>
      </c>
      <c r="N183" s="83" t="s">
        <v>3</v>
      </c>
      <c r="O183" s="83" t="s">
        <v>1137</v>
      </c>
      <c r="P183" s="84" t="s">
        <v>1139</v>
      </c>
      <c r="Q183" s="83"/>
      <c r="R183" s="84" t="s">
        <v>1328</v>
      </c>
    </row>
    <row r="187" spans="2:18" s="99" customFormat="1" ht="15" x14ac:dyDescent="0.25">
      <c r="D187" s="145" t="s">
        <v>1665</v>
      </c>
      <c r="E187" s="145"/>
      <c r="F187" s="145"/>
      <c r="L187" s="115"/>
      <c r="P187" s="100"/>
      <c r="R187" s="100"/>
    </row>
    <row r="188" spans="2:18" s="99" customFormat="1" ht="15" x14ac:dyDescent="0.25">
      <c r="D188" s="145" t="s">
        <v>1666</v>
      </c>
      <c r="E188" s="145"/>
      <c r="F188" s="145"/>
      <c r="L188" s="115"/>
      <c r="P188" s="135" t="s">
        <v>1667</v>
      </c>
      <c r="Q188" s="135"/>
      <c r="R188" s="100"/>
    </row>
    <row r="189" spans="2:18" s="99" customFormat="1" ht="15" x14ac:dyDescent="0.25">
      <c r="D189" s="116"/>
      <c r="E189" s="117"/>
      <c r="F189" s="116"/>
      <c r="L189" s="115"/>
      <c r="P189" s="54"/>
      <c r="Q189" s="55"/>
      <c r="R189" s="100"/>
    </row>
    <row r="190" spans="2:18" s="99" customFormat="1" ht="15" x14ac:dyDescent="0.25">
      <c r="D190" s="116"/>
      <c r="E190" s="117"/>
      <c r="F190" s="116"/>
      <c r="L190" s="115"/>
      <c r="P190" s="54"/>
      <c r="Q190" s="55"/>
      <c r="R190" s="100"/>
    </row>
    <row r="191" spans="2:18" s="99" customFormat="1" ht="14.25" x14ac:dyDescent="0.2">
      <c r="D191" s="146" t="s">
        <v>1668</v>
      </c>
      <c r="E191" s="146"/>
      <c r="F191" s="146"/>
      <c r="L191" s="115"/>
      <c r="P191" s="134" t="s">
        <v>1670</v>
      </c>
      <c r="Q191" s="134"/>
      <c r="R191" s="100"/>
    </row>
    <row r="192" spans="2:18" s="99" customFormat="1" ht="14.25" x14ac:dyDescent="0.2">
      <c r="D192" s="146" t="s">
        <v>1669</v>
      </c>
      <c r="E192" s="146"/>
      <c r="F192" s="146"/>
      <c r="L192" s="115"/>
      <c r="P192" s="100"/>
      <c r="R192" s="100"/>
    </row>
  </sheetData>
  <autoFilter ref="B7:R183"/>
  <mergeCells count="119">
    <mergeCell ref="D187:F187"/>
    <mergeCell ref="D188:F188"/>
    <mergeCell ref="P188:Q188"/>
    <mergeCell ref="D191:F191"/>
    <mergeCell ref="P191:Q191"/>
    <mergeCell ref="D192:F192"/>
    <mergeCell ref="B182:B183"/>
    <mergeCell ref="C182:C183"/>
    <mergeCell ref="B88:B89"/>
    <mergeCell ref="C88:C89"/>
    <mergeCell ref="B177:B179"/>
    <mergeCell ref="C177:C179"/>
    <mergeCell ref="B161:B165"/>
    <mergeCell ref="C161:C165"/>
    <mergeCell ref="B133:B135"/>
    <mergeCell ref="C133:C135"/>
    <mergeCell ref="C169:C172"/>
    <mergeCell ref="B169:B172"/>
    <mergeCell ref="B173:B176"/>
    <mergeCell ref="C173:C176"/>
    <mergeCell ref="C111:C114"/>
    <mergeCell ref="B109:B110"/>
    <mergeCell ref="B180:B181"/>
    <mergeCell ref="C180:C181"/>
    <mergeCell ref="B130:B132"/>
    <mergeCell ref="B154:B159"/>
    <mergeCell ref="B125:B126"/>
    <mergeCell ref="B140:B145"/>
    <mergeCell ref="P5:P6"/>
    <mergeCell ref="Q5:Q6"/>
    <mergeCell ref="R5:R6"/>
    <mergeCell ref="B90:B93"/>
    <mergeCell ref="B94:B95"/>
    <mergeCell ref="O5:O6"/>
    <mergeCell ref="M5:M6"/>
    <mergeCell ref="N5:N6"/>
    <mergeCell ref="J5:L5"/>
    <mergeCell ref="B14:B17"/>
    <mergeCell ref="B18:B19"/>
    <mergeCell ref="B9:B13"/>
    <mergeCell ref="G5:G6"/>
    <mergeCell ref="H5:H6"/>
    <mergeCell ref="I5:I6"/>
    <mergeCell ref="B5:B6"/>
    <mergeCell ref="D5:D6"/>
    <mergeCell ref="E5:E6"/>
    <mergeCell ref="C166:C168"/>
    <mergeCell ref="B123:B124"/>
    <mergeCell ref="B136:B139"/>
    <mergeCell ref="C130:C132"/>
    <mergeCell ref="B127:B129"/>
    <mergeCell ref="B96:B99"/>
    <mergeCell ref="C90:C93"/>
    <mergeCell ref="B111:B114"/>
    <mergeCell ref="B146:B147"/>
    <mergeCell ref="B148:B153"/>
    <mergeCell ref="B166:B168"/>
    <mergeCell ref="C125:C126"/>
    <mergeCell ref="C127:C129"/>
    <mergeCell ref="C136:C139"/>
    <mergeCell ref="C140:C145"/>
    <mergeCell ref="C146:C147"/>
    <mergeCell ref="C123:C124"/>
    <mergeCell ref="C148:C153"/>
    <mergeCell ref="C154:C159"/>
    <mergeCell ref="C109:C110"/>
    <mergeCell ref="C115:C118"/>
    <mergeCell ref="C119:C122"/>
    <mergeCell ref="B115:B118"/>
    <mergeCell ref="B119:B122"/>
    <mergeCell ref="C44:C46"/>
    <mergeCell ref="B48:B50"/>
    <mergeCell ref="C48:C50"/>
    <mergeCell ref="C81:C84"/>
    <mergeCell ref="C94:C95"/>
    <mergeCell ref="F5:F6"/>
    <mergeCell ref="C5:C6"/>
    <mergeCell ref="C28:C31"/>
    <mergeCell ref="B32:B35"/>
    <mergeCell ref="B38:B39"/>
    <mergeCell ref="C14:C17"/>
    <mergeCell ref="B20:B21"/>
    <mergeCell ref="B22:B27"/>
    <mergeCell ref="B28:B31"/>
    <mergeCell ref="B104:B108"/>
    <mergeCell ref="C104:C108"/>
    <mergeCell ref="C96:C99"/>
    <mergeCell ref="B100:B103"/>
    <mergeCell ref="C100:C103"/>
    <mergeCell ref="B77:B80"/>
    <mergeCell ref="B81:B84"/>
    <mergeCell ref="B73:B76"/>
    <mergeCell ref="B56:B59"/>
    <mergeCell ref="B60:B61"/>
    <mergeCell ref="C60:C61"/>
    <mergeCell ref="B1:R1"/>
    <mergeCell ref="B2:R2"/>
    <mergeCell ref="C9:C13"/>
    <mergeCell ref="C18:C19"/>
    <mergeCell ref="C20:C21"/>
    <mergeCell ref="B85:B87"/>
    <mergeCell ref="C69:C72"/>
    <mergeCell ref="C85:C87"/>
    <mergeCell ref="C51:C54"/>
    <mergeCell ref="C56:C59"/>
    <mergeCell ref="C62:C64"/>
    <mergeCell ref="C73:C76"/>
    <mergeCell ref="C77:C80"/>
    <mergeCell ref="B69:B72"/>
    <mergeCell ref="B65:B68"/>
    <mergeCell ref="C65:C68"/>
    <mergeCell ref="B62:B64"/>
    <mergeCell ref="C40:C43"/>
    <mergeCell ref="C22:C27"/>
    <mergeCell ref="C32:C35"/>
    <mergeCell ref="C38:C39"/>
    <mergeCell ref="B44:B46"/>
    <mergeCell ref="B40:B43"/>
    <mergeCell ref="B51:B54"/>
  </mergeCells>
  <pageMargins left="1.37795275590551" right="0.196850393700787" top="0.39370078740157499" bottom="0.643700787" header="0.31496062992126" footer="0.31496062992126"/>
  <pageSetup paperSize="10000" scale="82" orientation="landscape" horizontalDpi="4294967294" verticalDpi="300" r:id="rId1"/>
  <headerFooter>
    <oddFooter>&amp;C&amp;"-,Bold"&amp;12&amp;P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64"/>
  <sheetViews>
    <sheetView zoomScaleNormal="100" workbookViewId="0">
      <pane ySplit="6" topLeftCell="A255" activePane="bottomLeft" state="frozen"/>
      <selection pane="bottomLeft" activeCell="H18" sqref="H18"/>
    </sheetView>
  </sheetViews>
  <sheetFormatPr defaultRowHeight="12.75" x14ac:dyDescent="0.25"/>
  <cols>
    <col min="1" max="1" width="9.140625" style="33"/>
    <col min="2" max="2" width="3.5703125" style="33" bestFit="1" customWidth="1"/>
    <col min="3" max="3" width="15.7109375" style="33" customWidth="1"/>
    <col min="4" max="4" width="6.7109375" style="33" customWidth="1"/>
    <col min="5" max="5" width="12.7109375" style="110" customWidth="1"/>
    <col min="6" max="6" width="9.7109375" style="33" customWidth="1"/>
    <col min="7" max="7" width="15.7109375" style="33" customWidth="1"/>
    <col min="8" max="8" width="7.7109375" style="33" customWidth="1"/>
    <col min="9" max="9" width="10.7109375" style="33" customWidth="1"/>
    <col min="10" max="10" width="13.7109375" style="110" customWidth="1"/>
    <col min="11" max="11" width="15.140625" style="114" bestFit="1" customWidth="1"/>
    <col min="12" max="12" width="6.28515625" style="33" bestFit="1" customWidth="1"/>
    <col min="13" max="13" width="4.85546875" style="33" bestFit="1" customWidth="1"/>
    <col min="14" max="14" width="6.7109375" style="33" bestFit="1" customWidth="1"/>
    <col min="15" max="15" width="5.42578125" style="33" bestFit="1" customWidth="1"/>
    <col min="16" max="16" width="16.7109375" style="110" customWidth="1"/>
    <col min="17" max="17" width="7.7109375" style="33" bestFit="1" customWidth="1"/>
    <col min="18" max="18" width="15.7109375" style="110" customWidth="1"/>
    <col min="19" max="16384" width="9.140625" style="33"/>
  </cols>
  <sheetData>
    <row r="1" spans="2:18" s="53" customFormat="1" ht="15.75" x14ac:dyDescent="0.25">
      <c r="B1" s="140" t="s">
        <v>1656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</row>
    <row r="2" spans="2:18" s="53" customFormat="1" ht="15.75" x14ac:dyDescent="0.25">
      <c r="B2" s="140" t="s">
        <v>1657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</row>
    <row r="3" spans="2:18" s="53" customFormat="1" ht="15.75" x14ac:dyDescent="0.25">
      <c r="B3" s="112" t="s">
        <v>1660</v>
      </c>
      <c r="C3" s="82"/>
      <c r="D3" s="82"/>
      <c r="E3" s="82"/>
      <c r="F3" s="82"/>
      <c r="G3" s="82"/>
      <c r="H3" s="82"/>
      <c r="I3" s="82"/>
      <c r="J3" s="82"/>
      <c r="K3" s="113"/>
      <c r="L3" s="82"/>
      <c r="M3" s="82"/>
      <c r="N3" s="82"/>
      <c r="O3" s="82"/>
      <c r="P3" s="82"/>
      <c r="Q3" s="82"/>
      <c r="R3" s="82"/>
    </row>
    <row r="4" spans="2:18" ht="15.75" x14ac:dyDescent="0.25">
      <c r="B4" s="112" t="s">
        <v>1661</v>
      </c>
      <c r="C4" s="99"/>
      <c r="D4" s="99"/>
      <c r="E4" s="100"/>
      <c r="F4" s="99"/>
      <c r="G4" s="99"/>
      <c r="H4" s="99"/>
      <c r="I4" s="99"/>
      <c r="J4" s="100"/>
      <c r="K4" s="101"/>
      <c r="L4" s="99"/>
      <c r="M4" s="99"/>
      <c r="N4" s="99"/>
      <c r="O4" s="99"/>
      <c r="P4" s="100"/>
      <c r="Q4" s="99"/>
      <c r="R4" s="100"/>
    </row>
    <row r="5" spans="2:18" ht="20.100000000000001" customHeight="1" x14ac:dyDescent="0.25">
      <c r="B5" s="151" t="s">
        <v>407</v>
      </c>
      <c r="C5" s="151" t="s">
        <v>1449</v>
      </c>
      <c r="D5" s="148" t="s">
        <v>1114</v>
      </c>
      <c r="E5" s="148" t="s">
        <v>1129</v>
      </c>
      <c r="F5" s="149" t="s">
        <v>1130</v>
      </c>
      <c r="G5" s="151" t="s">
        <v>415</v>
      </c>
      <c r="H5" s="148" t="s">
        <v>1131</v>
      </c>
      <c r="I5" s="148" t="s">
        <v>410</v>
      </c>
      <c r="J5" s="151" t="s">
        <v>1115</v>
      </c>
      <c r="K5" s="151"/>
      <c r="L5" s="151"/>
      <c r="M5" s="152" t="s">
        <v>1116</v>
      </c>
      <c r="N5" s="151" t="s">
        <v>411</v>
      </c>
      <c r="O5" s="151" t="s">
        <v>1117</v>
      </c>
      <c r="P5" s="148" t="s">
        <v>412</v>
      </c>
      <c r="Q5" s="151" t="s">
        <v>1118</v>
      </c>
      <c r="R5" s="148" t="s">
        <v>413</v>
      </c>
    </row>
    <row r="6" spans="2:18" ht="20.100000000000001" customHeight="1" x14ac:dyDescent="0.25">
      <c r="B6" s="142"/>
      <c r="C6" s="142"/>
      <c r="D6" s="143"/>
      <c r="E6" s="143"/>
      <c r="F6" s="150"/>
      <c r="G6" s="142"/>
      <c r="H6" s="143"/>
      <c r="I6" s="143"/>
      <c r="J6" s="94" t="s">
        <v>1121</v>
      </c>
      <c r="K6" s="95" t="s">
        <v>1122</v>
      </c>
      <c r="L6" s="95" t="s">
        <v>1128</v>
      </c>
      <c r="M6" s="141"/>
      <c r="N6" s="142"/>
      <c r="O6" s="142"/>
      <c r="P6" s="143"/>
      <c r="Q6" s="142"/>
      <c r="R6" s="143"/>
    </row>
    <row r="7" spans="2:18" x14ac:dyDescent="0.25">
      <c r="B7" s="97"/>
      <c r="C7" s="97"/>
      <c r="D7" s="97"/>
      <c r="E7" s="94"/>
      <c r="F7" s="96"/>
      <c r="G7" s="97"/>
      <c r="H7" s="97"/>
      <c r="I7" s="97"/>
      <c r="J7" s="94"/>
      <c r="K7" s="95"/>
      <c r="L7" s="95"/>
      <c r="M7" s="96"/>
      <c r="N7" s="97"/>
      <c r="O7" s="97"/>
      <c r="P7" s="94"/>
      <c r="Q7" s="97"/>
      <c r="R7" s="94"/>
    </row>
    <row r="8" spans="2:18" ht="25.5" x14ac:dyDescent="0.25">
      <c r="B8" s="136">
        <v>1</v>
      </c>
      <c r="C8" s="136"/>
      <c r="D8" s="83">
        <v>1</v>
      </c>
      <c r="E8" s="84" t="s">
        <v>0</v>
      </c>
      <c r="F8" s="83" t="s">
        <v>6</v>
      </c>
      <c r="G8" s="83" t="s">
        <v>7</v>
      </c>
      <c r="H8" s="83" t="s">
        <v>1</v>
      </c>
      <c r="I8" s="83" t="s">
        <v>2</v>
      </c>
      <c r="J8" s="84"/>
      <c r="K8" s="85">
        <v>23375</v>
      </c>
      <c r="L8" s="83">
        <v>1963</v>
      </c>
      <c r="M8" s="83">
        <f t="shared" ref="M8:M39" si="0">2019-L8</f>
        <v>56</v>
      </c>
      <c r="N8" s="83"/>
      <c r="O8" s="83"/>
      <c r="P8" s="84" t="s">
        <v>4</v>
      </c>
      <c r="Q8" s="83"/>
      <c r="R8" s="84" t="s">
        <v>5</v>
      </c>
    </row>
    <row r="9" spans="2:18" x14ac:dyDescent="0.25">
      <c r="B9" s="136"/>
      <c r="C9" s="136"/>
      <c r="D9" s="83">
        <v>2</v>
      </c>
      <c r="E9" s="84" t="s">
        <v>8</v>
      </c>
      <c r="F9" s="83" t="s">
        <v>11</v>
      </c>
      <c r="G9" s="83" t="s">
        <v>12</v>
      </c>
      <c r="H9" s="83" t="s">
        <v>9</v>
      </c>
      <c r="I9" s="83" t="s">
        <v>2</v>
      </c>
      <c r="J9" s="84"/>
      <c r="K9" s="85">
        <v>25712</v>
      </c>
      <c r="L9" s="83">
        <v>1970</v>
      </c>
      <c r="M9" s="83">
        <f t="shared" si="0"/>
        <v>49</v>
      </c>
      <c r="N9" s="83"/>
      <c r="O9" s="83"/>
      <c r="P9" s="84" t="s">
        <v>4</v>
      </c>
      <c r="Q9" s="83"/>
      <c r="R9" s="84" t="s">
        <v>10</v>
      </c>
    </row>
    <row r="10" spans="2:18" ht="38.25" x14ac:dyDescent="0.25">
      <c r="B10" s="136"/>
      <c r="C10" s="136"/>
      <c r="D10" s="83">
        <v>3</v>
      </c>
      <c r="E10" s="84" t="s">
        <v>13</v>
      </c>
      <c r="F10" s="83" t="s">
        <v>17</v>
      </c>
      <c r="G10" s="83" t="s">
        <v>18</v>
      </c>
      <c r="H10" s="83" t="s">
        <v>1</v>
      </c>
      <c r="I10" s="83" t="s">
        <v>14</v>
      </c>
      <c r="J10" s="84"/>
      <c r="K10" s="85">
        <v>33604</v>
      </c>
      <c r="L10" s="83">
        <v>1992</v>
      </c>
      <c r="M10" s="83">
        <f t="shared" si="0"/>
        <v>27</v>
      </c>
      <c r="N10" s="83"/>
      <c r="O10" s="83"/>
      <c r="P10" s="84" t="s">
        <v>15</v>
      </c>
      <c r="Q10" s="83"/>
      <c r="R10" s="84" t="s">
        <v>16</v>
      </c>
    </row>
    <row r="11" spans="2:18" ht="25.5" x14ac:dyDescent="0.25">
      <c r="B11" s="136"/>
      <c r="C11" s="136"/>
      <c r="D11" s="83">
        <v>4</v>
      </c>
      <c r="E11" s="84" t="s">
        <v>19</v>
      </c>
      <c r="F11" s="83" t="s">
        <v>17</v>
      </c>
      <c r="G11" s="83" t="s">
        <v>20</v>
      </c>
      <c r="H11" s="83" t="s">
        <v>9</v>
      </c>
      <c r="I11" s="83" t="s">
        <v>14</v>
      </c>
      <c r="J11" s="84"/>
      <c r="K11" s="85">
        <v>34953</v>
      </c>
      <c r="L11" s="83">
        <v>1995</v>
      </c>
      <c r="M11" s="83">
        <f t="shared" si="0"/>
        <v>24</v>
      </c>
      <c r="N11" s="83"/>
      <c r="O11" s="83"/>
      <c r="P11" s="84" t="s">
        <v>15</v>
      </c>
      <c r="Q11" s="83"/>
      <c r="R11" s="84" t="s">
        <v>16</v>
      </c>
    </row>
    <row r="12" spans="2:18" ht="25.5" x14ac:dyDescent="0.25">
      <c r="B12" s="136"/>
      <c r="C12" s="136"/>
      <c r="D12" s="83">
        <v>5</v>
      </c>
      <c r="E12" s="84" t="s">
        <v>21</v>
      </c>
      <c r="F12" s="83" t="s">
        <v>17</v>
      </c>
      <c r="G12" s="83" t="s">
        <v>22</v>
      </c>
      <c r="H12" s="83" t="s">
        <v>1</v>
      </c>
      <c r="I12" s="83" t="s">
        <v>14</v>
      </c>
      <c r="J12" s="84"/>
      <c r="K12" s="85">
        <v>37622</v>
      </c>
      <c r="L12" s="83">
        <v>2003</v>
      </c>
      <c r="M12" s="83">
        <f t="shared" si="0"/>
        <v>16</v>
      </c>
      <c r="N12" s="83"/>
      <c r="O12" s="83"/>
      <c r="P12" s="84" t="s">
        <v>16</v>
      </c>
      <c r="Q12" s="83"/>
      <c r="R12" s="84" t="s">
        <v>16</v>
      </c>
    </row>
    <row r="13" spans="2:18" x14ac:dyDescent="0.25">
      <c r="B13" s="136"/>
      <c r="C13" s="136"/>
      <c r="D13" s="83">
        <v>6</v>
      </c>
      <c r="E13" s="84" t="s">
        <v>23</v>
      </c>
      <c r="F13" s="83" t="s">
        <v>25</v>
      </c>
      <c r="G13" s="83">
        <v>0</v>
      </c>
      <c r="H13" s="83" t="s">
        <v>9</v>
      </c>
      <c r="I13" s="83" t="s">
        <v>24</v>
      </c>
      <c r="J13" s="84"/>
      <c r="K13" s="85">
        <v>22646</v>
      </c>
      <c r="L13" s="83">
        <v>1961</v>
      </c>
      <c r="M13" s="83">
        <f t="shared" si="0"/>
        <v>58</v>
      </c>
      <c r="N13" s="83"/>
      <c r="O13" s="83"/>
      <c r="P13" s="84" t="s">
        <v>16</v>
      </c>
      <c r="Q13" s="83"/>
      <c r="R13" s="84" t="s">
        <v>16</v>
      </c>
    </row>
    <row r="14" spans="2:18" x14ac:dyDescent="0.25">
      <c r="B14" s="83">
        <v>2</v>
      </c>
      <c r="C14" s="83"/>
      <c r="D14" s="83">
        <v>7</v>
      </c>
      <c r="E14" s="84" t="s">
        <v>26</v>
      </c>
      <c r="F14" s="83" t="s">
        <v>6</v>
      </c>
      <c r="G14" s="83">
        <v>0</v>
      </c>
      <c r="H14" s="83" t="s">
        <v>9</v>
      </c>
      <c r="I14" s="83" t="s">
        <v>24</v>
      </c>
      <c r="J14" s="84"/>
      <c r="K14" s="85">
        <v>26664</v>
      </c>
      <c r="L14" s="83">
        <v>1972</v>
      </c>
      <c r="M14" s="83">
        <f t="shared" si="0"/>
        <v>47</v>
      </c>
      <c r="N14" s="83"/>
      <c r="O14" s="83"/>
      <c r="P14" s="84" t="s">
        <v>27</v>
      </c>
      <c r="Q14" s="83"/>
      <c r="R14" s="84" t="s">
        <v>16</v>
      </c>
    </row>
    <row r="15" spans="2:18" ht="38.25" x14ac:dyDescent="0.25">
      <c r="B15" s="136">
        <v>3</v>
      </c>
      <c r="C15" s="136"/>
      <c r="D15" s="83">
        <v>8</v>
      </c>
      <c r="E15" s="84" t="s">
        <v>28</v>
      </c>
      <c r="F15" s="83" t="s">
        <v>6</v>
      </c>
      <c r="G15" s="83" t="s">
        <v>29</v>
      </c>
      <c r="H15" s="83" t="s">
        <v>1</v>
      </c>
      <c r="I15" s="83" t="s">
        <v>2</v>
      </c>
      <c r="J15" s="84"/>
      <c r="K15" s="85">
        <v>28226</v>
      </c>
      <c r="L15" s="83">
        <v>1977</v>
      </c>
      <c r="M15" s="83">
        <f t="shared" si="0"/>
        <v>42</v>
      </c>
      <c r="N15" s="83"/>
      <c r="O15" s="83"/>
      <c r="P15" s="84" t="s">
        <v>4</v>
      </c>
      <c r="Q15" s="83"/>
      <c r="R15" s="84" t="s">
        <v>5</v>
      </c>
    </row>
    <row r="16" spans="2:18" x14ac:dyDescent="0.25">
      <c r="B16" s="136"/>
      <c r="C16" s="136"/>
      <c r="D16" s="83">
        <v>9</v>
      </c>
      <c r="E16" s="84" t="s">
        <v>30</v>
      </c>
      <c r="F16" s="83" t="s">
        <v>11</v>
      </c>
      <c r="G16" s="83" t="s">
        <v>32</v>
      </c>
      <c r="H16" s="83" t="s">
        <v>9</v>
      </c>
      <c r="I16" s="83" t="s">
        <v>2</v>
      </c>
      <c r="J16" s="84"/>
      <c r="K16" s="85">
        <v>29853</v>
      </c>
      <c r="L16" s="83">
        <v>1981</v>
      </c>
      <c r="M16" s="83">
        <f t="shared" si="0"/>
        <v>38</v>
      </c>
      <c r="N16" s="83"/>
      <c r="O16" s="83"/>
      <c r="P16" s="84" t="s">
        <v>4</v>
      </c>
      <c r="Q16" s="83"/>
      <c r="R16" s="84" t="s">
        <v>31</v>
      </c>
    </row>
    <row r="17" spans="2:18" x14ac:dyDescent="0.25">
      <c r="B17" s="136"/>
      <c r="C17" s="136"/>
      <c r="D17" s="83">
        <v>10</v>
      </c>
      <c r="E17" s="84" t="s">
        <v>33</v>
      </c>
      <c r="F17" s="83" t="s">
        <v>17</v>
      </c>
      <c r="G17" s="83" t="s">
        <v>34</v>
      </c>
      <c r="H17" s="83" t="s">
        <v>1</v>
      </c>
      <c r="I17" s="83" t="s">
        <v>14</v>
      </c>
      <c r="J17" s="84"/>
      <c r="K17" s="85">
        <v>2446</v>
      </c>
      <c r="L17" s="83">
        <v>1996</v>
      </c>
      <c r="M17" s="83">
        <f t="shared" si="0"/>
        <v>23</v>
      </c>
      <c r="N17" s="83"/>
      <c r="O17" s="83"/>
      <c r="P17" s="84" t="s">
        <v>16</v>
      </c>
      <c r="Q17" s="83"/>
      <c r="R17" s="84" t="s">
        <v>16</v>
      </c>
    </row>
    <row r="18" spans="2:18" x14ac:dyDescent="0.25">
      <c r="B18" s="136"/>
      <c r="C18" s="136"/>
      <c r="D18" s="83">
        <v>11</v>
      </c>
      <c r="E18" s="84" t="s">
        <v>35</v>
      </c>
      <c r="F18" s="83" t="s">
        <v>25</v>
      </c>
      <c r="G18" s="83">
        <v>0</v>
      </c>
      <c r="H18" s="83" t="s">
        <v>9</v>
      </c>
      <c r="I18" s="83" t="s">
        <v>24</v>
      </c>
      <c r="J18" s="84"/>
      <c r="K18" s="85">
        <v>13149</v>
      </c>
      <c r="L18" s="83">
        <v>1935</v>
      </c>
      <c r="M18" s="83">
        <f t="shared" si="0"/>
        <v>84</v>
      </c>
      <c r="N18" s="83"/>
      <c r="O18" s="83"/>
      <c r="P18" s="84" t="s">
        <v>16</v>
      </c>
      <c r="Q18" s="83"/>
      <c r="R18" s="84" t="s">
        <v>16</v>
      </c>
    </row>
    <row r="19" spans="2:18" ht="25.5" x14ac:dyDescent="0.25">
      <c r="B19" s="136">
        <v>4</v>
      </c>
      <c r="C19" s="136"/>
      <c r="D19" s="83">
        <v>12</v>
      </c>
      <c r="E19" s="84" t="s">
        <v>36</v>
      </c>
      <c r="F19" s="83" t="s">
        <v>6</v>
      </c>
      <c r="G19" s="83">
        <v>0</v>
      </c>
      <c r="H19" s="83" t="s">
        <v>1</v>
      </c>
      <c r="I19" s="83" t="s">
        <v>2</v>
      </c>
      <c r="J19" s="84"/>
      <c r="K19" s="85">
        <v>27098</v>
      </c>
      <c r="L19" s="83">
        <v>1974</v>
      </c>
      <c r="M19" s="83">
        <f t="shared" si="0"/>
        <v>45</v>
      </c>
      <c r="N19" s="83"/>
      <c r="O19" s="83"/>
      <c r="P19" s="84" t="s">
        <v>4</v>
      </c>
      <c r="Q19" s="83"/>
      <c r="R19" s="84" t="s">
        <v>5</v>
      </c>
    </row>
    <row r="20" spans="2:18" x14ac:dyDescent="0.25">
      <c r="B20" s="136"/>
      <c r="C20" s="136"/>
      <c r="D20" s="83">
        <v>13</v>
      </c>
      <c r="E20" s="84" t="s">
        <v>37</v>
      </c>
      <c r="F20" s="83" t="s">
        <v>11</v>
      </c>
      <c r="G20" s="83">
        <v>0</v>
      </c>
      <c r="H20" s="83" t="s">
        <v>9</v>
      </c>
      <c r="I20" s="83" t="s">
        <v>2</v>
      </c>
      <c r="J20" s="84"/>
      <c r="K20" s="85">
        <v>30116</v>
      </c>
      <c r="L20" s="83">
        <v>1982</v>
      </c>
      <c r="M20" s="83">
        <f t="shared" si="0"/>
        <v>37</v>
      </c>
      <c r="N20" s="83"/>
      <c r="O20" s="83"/>
      <c r="P20" s="84" t="s">
        <v>4</v>
      </c>
      <c r="Q20" s="83"/>
      <c r="R20" s="84" t="s">
        <v>31</v>
      </c>
    </row>
    <row r="21" spans="2:18" ht="25.5" x14ac:dyDescent="0.25">
      <c r="B21" s="136"/>
      <c r="C21" s="136"/>
      <c r="D21" s="83">
        <v>14</v>
      </c>
      <c r="E21" s="84" t="s">
        <v>38</v>
      </c>
      <c r="F21" s="83" t="s">
        <v>17</v>
      </c>
      <c r="G21" s="83">
        <v>0</v>
      </c>
      <c r="H21" s="83" t="s">
        <v>9</v>
      </c>
      <c r="I21" s="83" t="s">
        <v>14</v>
      </c>
      <c r="J21" s="84"/>
      <c r="K21" s="85">
        <v>38705</v>
      </c>
      <c r="L21" s="83">
        <v>2005</v>
      </c>
      <c r="M21" s="83">
        <f t="shared" si="0"/>
        <v>14</v>
      </c>
      <c r="N21" s="83"/>
      <c r="O21" s="83"/>
      <c r="P21" s="84" t="s">
        <v>16</v>
      </c>
      <c r="Q21" s="83"/>
      <c r="R21" s="84" t="s">
        <v>16</v>
      </c>
    </row>
    <row r="22" spans="2:18" x14ac:dyDescent="0.25">
      <c r="B22" s="136"/>
      <c r="C22" s="136"/>
      <c r="D22" s="83">
        <v>15</v>
      </c>
      <c r="E22" s="84" t="s">
        <v>39</v>
      </c>
      <c r="F22" s="83" t="s">
        <v>17</v>
      </c>
      <c r="G22" s="83">
        <v>0</v>
      </c>
      <c r="H22" s="83" t="s">
        <v>9</v>
      </c>
      <c r="I22" s="83" t="s">
        <v>14</v>
      </c>
      <c r="J22" s="84"/>
      <c r="K22" s="85">
        <v>40468</v>
      </c>
      <c r="L22" s="83">
        <v>2010</v>
      </c>
      <c r="M22" s="83">
        <f t="shared" si="0"/>
        <v>9</v>
      </c>
      <c r="N22" s="83"/>
      <c r="O22" s="83"/>
      <c r="P22" s="84" t="s">
        <v>16</v>
      </c>
      <c r="Q22" s="83"/>
      <c r="R22" s="84" t="s">
        <v>16</v>
      </c>
    </row>
    <row r="23" spans="2:18" x14ac:dyDescent="0.25">
      <c r="B23" s="136">
        <v>5</v>
      </c>
      <c r="C23" s="136"/>
      <c r="D23" s="83">
        <v>16</v>
      </c>
      <c r="E23" s="84" t="s">
        <v>40</v>
      </c>
      <c r="F23" s="83" t="s">
        <v>6</v>
      </c>
      <c r="G23" s="83">
        <v>0</v>
      </c>
      <c r="H23" s="83" t="s">
        <v>1</v>
      </c>
      <c r="I23" s="83" t="s">
        <v>2</v>
      </c>
      <c r="J23" s="84"/>
      <c r="K23" s="85">
        <v>14245</v>
      </c>
      <c r="L23" s="83">
        <v>1938</v>
      </c>
      <c r="M23" s="83">
        <f t="shared" si="0"/>
        <v>81</v>
      </c>
      <c r="N23" s="83"/>
      <c r="O23" s="83"/>
      <c r="P23" s="84" t="s">
        <v>15</v>
      </c>
      <c r="Q23" s="83"/>
      <c r="R23" s="84" t="s">
        <v>41</v>
      </c>
    </row>
    <row r="24" spans="2:18" x14ac:dyDescent="0.25">
      <c r="B24" s="136"/>
      <c r="C24" s="136"/>
      <c r="D24" s="83">
        <v>17</v>
      </c>
      <c r="E24" s="84" t="s">
        <v>42</v>
      </c>
      <c r="F24" s="83" t="s">
        <v>11</v>
      </c>
      <c r="G24" s="83">
        <v>0</v>
      </c>
      <c r="H24" s="83" t="s">
        <v>9</v>
      </c>
      <c r="I24" s="83" t="s">
        <v>2</v>
      </c>
      <c r="J24" s="84"/>
      <c r="K24" s="85">
        <v>16802</v>
      </c>
      <c r="L24" s="83">
        <v>1945</v>
      </c>
      <c r="M24" s="83">
        <f t="shared" si="0"/>
        <v>74</v>
      </c>
      <c r="N24" s="83"/>
      <c r="O24" s="83"/>
      <c r="P24" s="84" t="s">
        <v>27</v>
      </c>
      <c r="Q24" s="83"/>
      <c r="R24" s="84" t="s">
        <v>16</v>
      </c>
    </row>
    <row r="25" spans="2:18" x14ac:dyDescent="0.25">
      <c r="B25" s="83">
        <v>6</v>
      </c>
      <c r="C25" s="83"/>
      <c r="D25" s="83">
        <v>18</v>
      </c>
      <c r="E25" s="84" t="s">
        <v>43</v>
      </c>
      <c r="F25" s="83" t="s">
        <v>6</v>
      </c>
      <c r="G25" s="83">
        <v>0</v>
      </c>
      <c r="H25" s="83" t="s">
        <v>9</v>
      </c>
      <c r="I25" s="83" t="s">
        <v>14</v>
      </c>
      <c r="J25" s="84"/>
      <c r="K25" s="85">
        <v>16802</v>
      </c>
      <c r="L25" s="83">
        <v>1945</v>
      </c>
      <c r="M25" s="83">
        <f t="shared" si="0"/>
        <v>74</v>
      </c>
      <c r="N25" s="83"/>
      <c r="O25" s="83"/>
      <c r="P25" s="84" t="s">
        <v>16</v>
      </c>
      <c r="Q25" s="83"/>
      <c r="R25" s="84" t="s">
        <v>16</v>
      </c>
    </row>
    <row r="26" spans="2:18" ht="25.5" x14ac:dyDescent="0.25">
      <c r="B26" s="136">
        <v>7</v>
      </c>
      <c r="C26" s="136"/>
      <c r="D26" s="83">
        <v>19</v>
      </c>
      <c r="E26" s="84" t="s">
        <v>44</v>
      </c>
      <c r="F26" s="83" t="s">
        <v>6</v>
      </c>
      <c r="G26" s="83" t="s">
        <v>45</v>
      </c>
      <c r="H26" s="83" t="s">
        <v>1</v>
      </c>
      <c r="I26" s="83" t="s">
        <v>2</v>
      </c>
      <c r="J26" s="84"/>
      <c r="K26" s="85">
        <v>27616</v>
      </c>
      <c r="L26" s="83">
        <v>1975</v>
      </c>
      <c r="M26" s="83">
        <f t="shared" si="0"/>
        <v>44</v>
      </c>
      <c r="N26" s="83"/>
      <c r="O26" s="83"/>
      <c r="P26" s="84" t="s">
        <v>4</v>
      </c>
      <c r="Q26" s="83"/>
      <c r="R26" s="84" t="s">
        <v>10</v>
      </c>
    </row>
    <row r="27" spans="2:18" x14ac:dyDescent="0.25">
      <c r="B27" s="136"/>
      <c r="C27" s="136"/>
      <c r="D27" s="83">
        <v>20</v>
      </c>
      <c r="E27" s="84" t="s">
        <v>46</v>
      </c>
      <c r="F27" s="83" t="s">
        <v>11</v>
      </c>
      <c r="G27" s="83" t="s">
        <v>47</v>
      </c>
      <c r="H27" s="83" t="s">
        <v>9</v>
      </c>
      <c r="I27" s="83" t="s">
        <v>2</v>
      </c>
      <c r="J27" s="84"/>
      <c r="K27" s="85">
        <v>31777</v>
      </c>
      <c r="L27" s="83">
        <v>1986</v>
      </c>
      <c r="M27" s="83">
        <f t="shared" si="0"/>
        <v>33</v>
      </c>
      <c r="N27" s="83"/>
      <c r="O27" s="83"/>
      <c r="P27" s="84" t="s">
        <v>15</v>
      </c>
      <c r="Q27" s="83"/>
      <c r="R27" s="84" t="s">
        <v>10</v>
      </c>
    </row>
    <row r="28" spans="2:18" ht="25.5" x14ac:dyDescent="0.25">
      <c r="B28" s="136"/>
      <c r="C28" s="136"/>
      <c r="D28" s="83">
        <v>21</v>
      </c>
      <c r="E28" s="84" t="s">
        <v>48</v>
      </c>
      <c r="F28" s="83" t="s">
        <v>17</v>
      </c>
      <c r="G28" s="83" t="s">
        <v>49</v>
      </c>
      <c r="H28" s="83" t="s">
        <v>9</v>
      </c>
      <c r="I28" s="83" t="s">
        <v>14</v>
      </c>
      <c r="J28" s="84"/>
      <c r="K28" s="85">
        <v>39078</v>
      </c>
      <c r="L28" s="83">
        <v>2006</v>
      </c>
      <c r="M28" s="83">
        <f t="shared" si="0"/>
        <v>13</v>
      </c>
      <c r="N28" s="83"/>
      <c r="O28" s="83"/>
      <c r="P28" s="84" t="s">
        <v>16</v>
      </c>
      <c r="Q28" s="83"/>
      <c r="R28" s="84" t="s">
        <v>16</v>
      </c>
    </row>
    <row r="29" spans="2:18" ht="25.5" x14ac:dyDescent="0.25">
      <c r="B29" s="136"/>
      <c r="C29" s="136"/>
      <c r="D29" s="83">
        <v>22</v>
      </c>
      <c r="E29" s="84" t="s">
        <v>50</v>
      </c>
      <c r="F29" s="83" t="s">
        <v>17</v>
      </c>
      <c r="G29" s="83" t="s">
        <v>51</v>
      </c>
      <c r="H29" s="83" t="s">
        <v>9</v>
      </c>
      <c r="I29" s="83" t="s">
        <v>14</v>
      </c>
      <c r="J29" s="84"/>
      <c r="K29" s="85">
        <v>40878</v>
      </c>
      <c r="L29" s="83">
        <v>2011</v>
      </c>
      <c r="M29" s="83">
        <f t="shared" si="0"/>
        <v>8</v>
      </c>
      <c r="N29" s="83"/>
      <c r="O29" s="83"/>
      <c r="P29" s="84" t="s">
        <v>16</v>
      </c>
      <c r="Q29" s="83"/>
      <c r="R29" s="84" t="s">
        <v>16</v>
      </c>
    </row>
    <row r="30" spans="2:18" ht="25.5" x14ac:dyDescent="0.25">
      <c r="B30" s="136">
        <v>8</v>
      </c>
      <c r="C30" s="136"/>
      <c r="D30" s="83">
        <v>23</v>
      </c>
      <c r="E30" s="84" t="s">
        <v>52</v>
      </c>
      <c r="F30" s="83" t="s">
        <v>6</v>
      </c>
      <c r="G30" s="83">
        <v>0</v>
      </c>
      <c r="H30" s="83" t="s">
        <v>1</v>
      </c>
      <c r="I30" s="83" t="s">
        <v>2</v>
      </c>
      <c r="J30" s="84"/>
      <c r="K30" s="85">
        <v>14245</v>
      </c>
      <c r="L30" s="83">
        <v>1938</v>
      </c>
      <c r="M30" s="83">
        <f t="shared" si="0"/>
        <v>81</v>
      </c>
      <c r="N30" s="83"/>
      <c r="O30" s="83"/>
      <c r="P30" s="84" t="s">
        <v>15</v>
      </c>
      <c r="Q30" s="83"/>
      <c r="R30" s="84" t="s">
        <v>41</v>
      </c>
    </row>
    <row r="31" spans="2:18" ht="25.5" x14ac:dyDescent="0.25">
      <c r="B31" s="136"/>
      <c r="C31" s="136"/>
      <c r="D31" s="83">
        <v>24</v>
      </c>
      <c r="E31" s="84" t="s">
        <v>53</v>
      </c>
      <c r="F31" s="83" t="s">
        <v>11</v>
      </c>
      <c r="G31" s="83">
        <v>0</v>
      </c>
      <c r="H31" s="83" t="s">
        <v>9</v>
      </c>
      <c r="I31" s="83" t="s">
        <v>2</v>
      </c>
      <c r="J31" s="84"/>
      <c r="K31" s="85">
        <v>15706</v>
      </c>
      <c r="L31" s="83">
        <v>1942</v>
      </c>
      <c r="M31" s="83">
        <f t="shared" si="0"/>
        <v>77</v>
      </c>
      <c r="N31" s="83"/>
      <c r="O31" s="83"/>
      <c r="P31" s="84" t="s">
        <v>54</v>
      </c>
      <c r="Q31" s="83"/>
      <c r="R31" s="84" t="s">
        <v>16</v>
      </c>
    </row>
    <row r="32" spans="2:18" ht="25.5" x14ac:dyDescent="0.25">
      <c r="B32" s="136">
        <v>9</v>
      </c>
      <c r="C32" s="136"/>
      <c r="D32" s="83">
        <v>25</v>
      </c>
      <c r="E32" s="84" t="s">
        <v>55</v>
      </c>
      <c r="F32" s="83" t="s">
        <v>6</v>
      </c>
      <c r="G32" s="83">
        <v>0</v>
      </c>
      <c r="H32" s="83" t="s">
        <v>1</v>
      </c>
      <c r="I32" s="83" t="s">
        <v>2</v>
      </c>
      <c r="J32" s="84"/>
      <c r="K32" s="85">
        <v>27029</v>
      </c>
      <c r="L32" s="83">
        <v>1973</v>
      </c>
      <c r="M32" s="83">
        <f t="shared" si="0"/>
        <v>46</v>
      </c>
      <c r="N32" s="83"/>
      <c r="O32" s="83"/>
      <c r="P32" s="84" t="s">
        <v>4</v>
      </c>
      <c r="Q32" s="83"/>
      <c r="R32" s="84" t="s">
        <v>5</v>
      </c>
    </row>
    <row r="33" spans="2:18" x14ac:dyDescent="0.25">
      <c r="B33" s="136"/>
      <c r="C33" s="136"/>
      <c r="D33" s="83">
        <v>26</v>
      </c>
      <c r="E33" s="84" t="s">
        <v>56</v>
      </c>
      <c r="F33" s="83" t="s">
        <v>11</v>
      </c>
      <c r="G33" s="83">
        <v>0</v>
      </c>
      <c r="H33" s="83" t="s">
        <v>9</v>
      </c>
      <c r="I33" s="83" t="s">
        <v>2</v>
      </c>
      <c r="J33" s="84"/>
      <c r="K33" s="85">
        <v>27759</v>
      </c>
      <c r="L33" s="83">
        <v>1975</v>
      </c>
      <c r="M33" s="83">
        <f t="shared" si="0"/>
        <v>44</v>
      </c>
      <c r="N33" s="83"/>
      <c r="O33" s="83"/>
      <c r="P33" s="84" t="s">
        <v>4</v>
      </c>
      <c r="Q33" s="83"/>
      <c r="R33" s="84" t="s">
        <v>16</v>
      </c>
    </row>
    <row r="34" spans="2:18" ht="25.5" x14ac:dyDescent="0.25">
      <c r="B34" s="136"/>
      <c r="C34" s="136"/>
      <c r="D34" s="83">
        <v>27</v>
      </c>
      <c r="E34" s="84" t="s">
        <v>57</v>
      </c>
      <c r="F34" s="83" t="s">
        <v>17</v>
      </c>
      <c r="G34" s="83">
        <v>0</v>
      </c>
      <c r="H34" s="83" t="s">
        <v>1</v>
      </c>
      <c r="I34" s="83" t="s">
        <v>14</v>
      </c>
      <c r="J34" s="84"/>
      <c r="K34" s="85">
        <v>38384</v>
      </c>
      <c r="L34" s="83">
        <v>2005</v>
      </c>
      <c r="M34" s="83">
        <f t="shared" si="0"/>
        <v>14</v>
      </c>
      <c r="N34" s="83"/>
      <c r="O34" s="83"/>
      <c r="P34" s="84" t="s">
        <v>16</v>
      </c>
      <c r="Q34" s="83"/>
      <c r="R34" s="84" t="s">
        <v>16</v>
      </c>
    </row>
    <row r="35" spans="2:18" x14ac:dyDescent="0.25">
      <c r="B35" s="136"/>
      <c r="C35" s="136"/>
      <c r="D35" s="83">
        <v>28</v>
      </c>
      <c r="E35" s="84" t="s">
        <v>58</v>
      </c>
      <c r="F35" s="83" t="s">
        <v>17</v>
      </c>
      <c r="G35" s="83">
        <v>0</v>
      </c>
      <c r="H35" s="83" t="s">
        <v>9</v>
      </c>
      <c r="I35" s="83" t="s">
        <v>14</v>
      </c>
      <c r="J35" s="84"/>
      <c r="K35" s="85">
        <v>39098</v>
      </c>
      <c r="L35" s="83">
        <v>2007</v>
      </c>
      <c r="M35" s="83">
        <f t="shared" si="0"/>
        <v>12</v>
      </c>
      <c r="N35" s="83"/>
      <c r="O35" s="83"/>
      <c r="P35" s="84" t="s">
        <v>16</v>
      </c>
      <c r="Q35" s="83"/>
      <c r="R35" s="84" t="s">
        <v>16</v>
      </c>
    </row>
    <row r="36" spans="2:18" ht="25.5" x14ac:dyDescent="0.25">
      <c r="B36" s="136"/>
      <c r="C36" s="136"/>
      <c r="D36" s="83">
        <v>29</v>
      </c>
      <c r="E36" s="84" t="s">
        <v>59</v>
      </c>
      <c r="F36" s="83" t="s">
        <v>17</v>
      </c>
      <c r="G36" s="83">
        <v>0</v>
      </c>
      <c r="H36" s="83" t="s">
        <v>9</v>
      </c>
      <c r="I36" s="83" t="s">
        <v>14</v>
      </c>
      <c r="J36" s="84"/>
      <c r="K36" s="85">
        <v>40982</v>
      </c>
      <c r="L36" s="83">
        <v>2012</v>
      </c>
      <c r="M36" s="83">
        <f t="shared" si="0"/>
        <v>7</v>
      </c>
      <c r="N36" s="83"/>
      <c r="O36" s="83"/>
      <c r="P36" s="84" t="s">
        <v>16</v>
      </c>
      <c r="Q36" s="83"/>
      <c r="R36" s="84" t="s">
        <v>16</v>
      </c>
    </row>
    <row r="37" spans="2:18" ht="25.5" x14ac:dyDescent="0.25">
      <c r="B37" s="136">
        <v>10</v>
      </c>
      <c r="C37" s="136"/>
      <c r="D37" s="83">
        <v>30</v>
      </c>
      <c r="E37" s="84" t="s">
        <v>60</v>
      </c>
      <c r="F37" s="83" t="s">
        <v>6</v>
      </c>
      <c r="G37" s="83" t="s">
        <v>61</v>
      </c>
      <c r="H37" s="83" t="s">
        <v>1</v>
      </c>
      <c r="I37" s="83" t="s">
        <v>2</v>
      </c>
      <c r="J37" s="84"/>
      <c r="K37" s="85">
        <v>25118</v>
      </c>
      <c r="L37" s="83">
        <v>1968</v>
      </c>
      <c r="M37" s="83">
        <f t="shared" si="0"/>
        <v>51</v>
      </c>
      <c r="N37" s="83"/>
      <c r="O37" s="83"/>
      <c r="P37" s="84" t="s">
        <v>4</v>
      </c>
      <c r="Q37" s="83"/>
      <c r="R37" s="84" t="s">
        <v>5</v>
      </c>
    </row>
    <row r="38" spans="2:18" x14ac:dyDescent="0.25">
      <c r="B38" s="136"/>
      <c r="C38" s="136"/>
      <c r="D38" s="83">
        <v>31</v>
      </c>
      <c r="E38" s="84" t="s">
        <v>62</v>
      </c>
      <c r="F38" s="83" t="s">
        <v>11</v>
      </c>
      <c r="G38" s="83" t="s">
        <v>63</v>
      </c>
      <c r="H38" s="83" t="s">
        <v>9</v>
      </c>
      <c r="I38" s="83" t="s">
        <v>2</v>
      </c>
      <c r="J38" s="84"/>
      <c r="K38" s="85">
        <v>28855</v>
      </c>
      <c r="L38" s="83">
        <v>1978</v>
      </c>
      <c r="M38" s="83">
        <f t="shared" si="0"/>
        <v>41</v>
      </c>
      <c r="N38" s="83"/>
      <c r="O38" s="83"/>
      <c r="P38" s="84" t="s">
        <v>54</v>
      </c>
      <c r="Q38" s="83"/>
      <c r="R38" s="84" t="s">
        <v>16</v>
      </c>
    </row>
    <row r="39" spans="2:18" ht="25.5" x14ac:dyDescent="0.25">
      <c r="B39" s="136"/>
      <c r="C39" s="136"/>
      <c r="D39" s="83">
        <v>32</v>
      </c>
      <c r="E39" s="84" t="s">
        <v>64</v>
      </c>
      <c r="F39" s="83" t="s">
        <v>17</v>
      </c>
      <c r="G39" s="83" t="s">
        <v>65</v>
      </c>
      <c r="H39" s="83" t="s">
        <v>9</v>
      </c>
      <c r="I39" s="83" t="s">
        <v>14</v>
      </c>
      <c r="J39" s="84"/>
      <c r="K39" s="85">
        <v>36680</v>
      </c>
      <c r="L39" s="83">
        <v>2000</v>
      </c>
      <c r="M39" s="83">
        <f t="shared" si="0"/>
        <v>19</v>
      </c>
      <c r="N39" s="83"/>
      <c r="O39" s="83"/>
      <c r="P39" s="84" t="s">
        <v>54</v>
      </c>
      <c r="Q39" s="83"/>
      <c r="R39" s="84" t="s">
        <v>16</v>
      </c>
    </row>
    <row r="40" spans="2:18" ht="38.25" x14ac:dyDescent="0.25">
      <c r="B40" s="136"/>
      <c r="C40" s="136"/>
      <c r="D40" s="83">
        <v>33</v>
      </c>
      <c r="E40" s="84" t="s">
        <v>66</v>
      </c>
      <c r="F40" s="83" t="s">
        <v>17</v>
      </c>
      <c r="G40" s="83" t="s">
        <v>68</v>
      </c>
      <c r="H40" s="83" t="s">
        <v>67</v>
      </c>
      <c r="I40" s="83" t="s">
        <v>14</v>
      </c>
      <c r="J40" s="84"/>
      <c r="K40" s="85">
        <v>39228</v>
      </c>
      <c r="L40" s="83">
        <v>2007</v>
      </c>
      <c r="M40" s="83">
        <f t="shared" ref="M40:M70" si="1">2019-L40</f>
        <v>12</v>
      </c>
      <c r="N40" s="83"/>
      <c r="O40" s="83"/>
      <c r="P40" s="84" t="s">
        <v>16</v>
      </c>
      <c r="Q40" s="83"/>
      <c r="R40" s="84" t="s">
        <v>16</v>
      </c>
    </row>
    <row r="41" spans="2:18" ht="25.5" x14ac:dyDescent="0.25">
      <c r="B41" s="83">
        <v>11</v>
      </c>
      <c r="C41" s="83"/>
      <c r="D41" s="83">
        <v>34</v>
      </c>
      <c r="E41" s="84" t="s">
        <v>69</v>
      </c>
      <c r="F41" s="83" t="s">
        <v>6</v>
      </c>
      <c r="G41" s="83">
        <v>0</v>
      </c>
      <c r="H41" s="83" t="s">
        <v>9</v>
      </c>
      <c r="I41" s="83" t="s">
        <v>24</v>
      </c>
      <c r="J41" s="84"/>
      <c r="K41" s="85">
        <v>21550</v>
      </c>
      <c r="L41" s="83">
        <v>1958</v>
      </c>
      <c r="M41" s="83">
        <f t="shared" si="1"/>
        <v>61</v>
      </c>
      <c r="N41" s="83"/>
      <c r="O41" s="83"/>
      <c r="P41" s="84" t="s">
        <v>54</v>
      </c>
      <c r="Q41" s="83"/>
      <c r="R41" s="84" t="s">
        <v>10</v>
      </c>
    </row>
    <row r="42" spans="2:18" x14ac:dyDescent="0.25">
      <c r="B42" s="136">
        <v>12</v>
      </c>
      <c r="C42" s="136"/>
      <c r="D42" s="83">
        <v>35</v>
      </c>
      <c r="E42" s="84" t="s">
        <v>70</v>
      </c>
      <c r="F42" s="83" t="s">
        <v>6</v>
      </c>
      <c r="G42" s="83" t="s">
        <v>71</v>
      </c>
      <c r="H42" s="83" t="s">
        <v>1</v>
      </c>
      <c r="I42" s="83" t="s">
        <v>2</v>
      </c>
      <c r="J42" s="84"/>
      <c r="K42" s="85">
        <v>29768</v>
      </c>
      <c r="L42" s="83">
        <v>1981</v>
      </c>
      <c r="M42" s="83">
        <f t="shared" si="1"/>
        <v>38</v>
      </c>
      <c r="N42" s="83"/>
      <c r="O42" s="83"/>
      <c r="P42" s="84" t="s">
        <v>4</v>
      </c>
      <c r="Q42" s="83"/>
      <c r="R42" s="84" t="s">
        <v>10</v>
      </c>
    </row>
    <row r="43" spans="2:18" ht="25.5" x14ac:dyDescent="0.25">
      <c r="B43" s="136"/>
      <c r="C43" s="136"/>
      <c r="D43" s="83">
        <v>36</v>
      </c>
      <c r="E43" s="84" t="s">
        <v>72</v>
      </c>
      <c r="F43" s="83" t="s">
        <v>11</v>
      </c>
      <c r="G43" s="83" t="s">
        <v>73</v>
      </c>
      <c r="H43" s="83" t="s">
        <v>9</v>
      </c>
      <c r="I43" s="83" t="s">
        <v>2</v>
      </c>
      <c r="J43" s="84"/>
      <c r="K43" s="85">
        <v>29460</v>
      </c>
      <c r="L43" s="83">
        <v>1980</v>
      </c>
      <c r="M43" s="83">
        <f t="shared" si="1"/>
        <v>39</v>
      </c>
      <c r="N43" s="83"/>
      <c r="O43" s="83"/>
      <c r="P43" s="84" t="s">
        <v>4</v>
      </c>
      <c r="Q43" s="83"/>
      <c r="R43" s="84" t="s">
        <v>31</v>
      </c>
    </row>
    <row r="44" spans="2:18" ht="25.5" x14ac:dyDescent="0.25">
      <c r="B44" s="136"/>
      <c r="C44" s="136"/>
      <c r="D44" s="83">
        <v>37</v>
      </c>
      <c r="E44" s="84" t="s">
        <v>74</v>
      </c>
      <c r="F44" s="83" t="s">
        <v>17</v>
      </c>
      <c r="G44" s="83" t="s">
        <v>75</v>
      </c>
      <c r="H44" s="83" t="s">
        <v>9</v>
      </c>
      <c r="I44" s="83" t="s">
        <v>14</v>
      </c>
      <c r="J44" s="84"/>
      <c r="K44" s="85">
        <v>39821</v>
      </c>
      <c r="L44" s="83">
        <v>2009</v>
      </c>
      <c r="M44" s="83">
        <f t="shared" si="1"/>
        <v>10</v>
      </c>
      <c r="N44" s="83"/>
      <c r="O44" s="83"/>
      <c r="P44" s="84" t="s">
        <v>16</v>
      </c>
      <c r="Q44" s="83"/>
      <c r="R44" s="84" t="s">
        <v>16</v>
      </c>
    </row>
    <row r="45" spans="2:18" ht="25.5" x14ac:dyDescent="0.25">
      <c r="B45" s="136"/>
      <c r="C45" s="136"/>
      <c r="D45" s="83">
        <v>38</v>
      </c>
      <c r="E45" s="84" t="s">
        <v>76</v>
      </c>
      <c r="F45" s="83" t="s">
        <v>17</v>
      </c>
      <c r="G45" s="83" t="s">
        <v>77</v>
      </c>
      <c r="H45" s="83" t="s">
        <v>9</v>
      </c>
      <c r="I45" s="83" t="s">
        <v>14</v>
      </c>
      <c r="J45" s="84"/>
      <c r="K45" s="85">
        <v>41549</v>
      </c>
      <c r="L45" s="83">
        <v>2013</v>
      </c>
      <c r="M45" s="83">
        <f t="shared" si="1"/>
        <v>6</v>
      </c>
      <c r="N45" s="83"/>
      <c r="O45" s="83"/>
      <c r="P45" s="84" t="s">
        <v>16</v>
      </c>
      <c r="Q45" s="83"/>
      <c r="R45" s="84" t="s">
        <v>16</v>
      </c>
    </row>
    <row r="46" spans="2:18" x14ac:dyDescent="0.25">
      <c r="B46" s="83">
        <v>13</v>
      </c>
      <c r="C46" s="83"/>
      <c r="D46" s="83">
        <v>39</v>
      </c>
      <c r="E46" s="84" t="s">
        <v>78</v>
      </c>
      <c r="F46" s="83" t="s">
        <v>6</v>
      </c>
      <c r="G46" s="83">
        <v>0</v>
      </c>
      <c r="H46" s="83" t="s">
        <v>9</v>
      </c>
      <c r="I46" s="83" t="s">
        <v>14</v>
      </c>
      <c r="J46" s="84"/>
      <c r="K46" s="85">
        <v>19359</v>
      </c>
      <c r="L46" s="83">
        <v>1952</v>
      </c>
      <c r="M46" s="83">
        <f t="shared" si="1"/>
        <v>67</v>
      </c>
      <c r="N46" s="83"/>
      <c r="O46" s="83"/>
      <c r="P46" s="84" t="s">
        <v>16</v>
      </c>
      <c r="Q46" s="83"/>
      <c r="R46" s="84" t="s">
        <v>79</v>
      </c>
    </row>
    <row r="47" spans="2:18" ht="25.5" x14ac:dyDescent="0.25">
      <c r="B47" s="136">
        <v>14</v>
      </c>
      <c r="C47" s="136" t="s">
        <v>1493</v>
      </c>
      <c r="D47" s="83">
        <v>40</v>
      </c>
      <c r="E47" s="84" t="s">
        <v>80</v>
      </c>
      <c r="F47" s="83" t="s">
        <v>6</v>
      </c>
      <c r="G47" s="83" t="s">
        <v>1497</v>
      </c>
      <c r="H47" s="83" t="s">
        <v>1</v>
      </c>
      <c r="I47" s="83" t="s">
        <v>2</v>
      </c>
      <c r="J47" s="84" t="s">
        <v>1156</v>
      </c>
      <c r="K47" s="85">
        <v>21185</v>
      </c>
      <c r="L47" s="83">
        <v>1957</v>
      </c>
      <c r="M47" s="83">
        <f t="shared" si="1"/>
        <v>62</v>
      </c>
      <c r="N47" s="83" t="s">
        <v>3</v>
      </c>
      <c r="O47" s="83" t="s">
        <v>1137</v>
      </c>
      <c r="P47" s="84" t="s">
        <v>1138</v>
      </c>
      <c r="Q47" s="83"/>
      <c r="R47" s="84" t="s">
        <v>10</v>
      </c>
    </row>
    <row r="48" spans="2:18" ht="25.5" x14ac:dyDescent="0.25">
      <c r="B48" s="136"/>
      <c r="C48" s="136"/>
      <c r="D48" s="83">
        <v>41</v>
      </c>
      <c r="E48" s="84" t="s">
        <v>1494</v>
      </c>
      <c r="F48" s="83" t="s">
        <v>11</v>
      </c>
      <c r="G48" s="83" t="s">
        <v>1496</v>
      </c>
      <c r="H48" s="83" t="s">
        <v>9</v>
      </c>
      <c r="I48" s="83" t="s">
        <v>2</v>
      </c>
      <c r="J48" s="84" t="s">
        <v>1498</v>
      </c>
      <c r="K48" s="85">
        <v>24472</v>
      </c>
      <c r="L48" s="83">
        <v>1966</v>
      </c>
      <c r="M48" s="83">
        <f t="shared" si="1"/>
        <v>53</v>
      </c>
      <c r="N48" s="83" t="s">
        <v>3</v>
      </c>
      <c r="O48" s="83" t="s">
        <v>1137</v>
      </c>
      <c r="P48" s="84" t="s">
        <v>1138</v>
      </c>
      <c r="Q48" s="83"/>
      <c r="R48" s="84" t="s">
        <v>1141</v>
      </c>
    </row>
    <row r="49" spans="2:18" ht="25.5" x14ac:dyDescent="0.25">
      <c r="B49" s="136"/>
      <c r="C49" s="136"/>
      <c r="D49" s="83">
        <v>42</v>
      </c>
      <c r="E49" s="84" t="s">
        <v>83</v>
      </c>
      <c r="F49" s="83" t="s">
        <v>17</v>
      </c>
      <c r="G49" s="83" t="s">
        <v>1495</v>
      </c>
      <c r="H49" s="83" t="s">
        <v>9</v>
      </c>
      <c r="I49" s="83" t="s">
        <v>14</v>
      </c>
      <c r="J49" s="84" t="s">
        <v>1156</v>
      </c>
      <c r="K49" s="85">
        <v>37083</v>
      </c>
      <c r="L49" s="83">
        <v>2001</v>
      </c>
      <c r="M49" s="83">
        <f t="shared" si="1"/>
        <v>18</v>
      </c>
      <c r="N49" s="83" t="s">
        <v>3</v>
      </c>
      <c r="O49" s="83" t="s">
        <v>1137</v>
      </c>
      <c r="P49" s="84" t="s">
        <v>1172</v>
      </c>
      <c r="Q49" s="83"/>
      <c r="R49" s="84" t="s">
        <v>1160</v>
      </c>
    </row>
    <row r="50" spans="2:18" ht="25.5" x14ac:dyDescent="0.25">
      <c r="B50" s="136">
        <v>15</v>
      </c>
      <c r="C50" s="136"/>
      <c r="D50" s="83">
        <v>43</v>
      </c>
      <c r="E50" s="84" t="s">
        <v>84</v>
      </c>
      <c r="F50" s="83" t="s">
        <v>6</v>
      </c>
      <c r="G50" s="83">
        <v>0</v>
      </c>
      <c r="H50" s="83" t="s">
        <v>1</v>
      </c>
      <c r="I50" s="83" t="s">
        <v>2</v>
      </c>
      <c r="J50" s="84"/>
      <c r="K50" s="85">
        <v>30884</v>
      </c>
      <c r="L50" s="83">
        <v>1984</v>
      </c>
      <c r="M50" s="83">
        <f t="shared" si="1"/>
        <v>35</v>
      </c>
      <c r="N50" s="83"/>
      <c r="O50" s="83"/>
      <c r="P50" s="84" t="s">
        <v>4</v>
      </c>
      <c r="Q50" s="83"/>
      <c r="R50" s="84" t="s">
        <v>5</v>
      </c>
    </row>
    <row r="51" spans="2:18" ht="25.5" x14ac:dyDescent="0.25">
      <c r="B51" s="136"/>
      <c r="C51" s="136"/>
      <c r="D51" s="83">
        <v>44</v>
      </c>
      <c r="E51" s="84" t="s">
        <v>85</v>
      </c>
      <c r="F51" s="83" t="s">
        <v>11</v>
      </c>
      <c r="G51" s="83">
        <v>0</v>
      </c>
      <c r="H51" s="83" t="s">
        <v>9</v>
      </c>
      <c r="I51" s="83" t="s">
        <v>2</v>
      </c>
      <c r="J51" s="84"/>
      <c r="K51" s="85">
        <v>31354</v>
      </c>
      <c r="L51" s="83">
        <v>1985</v>
      </c>
      <c r="M51" s="83">
        <f t="shared" si="1"/>
        <v>34</v>
      </c>
      <c r="N51" s="83"/>
      <c r="O51" s="83"/>
      <c r="P51" s="84" t="s">
        <v>4</v>
      </c>
      <c r="Q51" s="83"/>
      <c r="R51" s="84" t="s">
        <v>31</v>
      </c>
    </row>
    <row r="52" spans="2:18" ht="25.5" x14ac:dyDescent="0.25">
      <c r="B52" s="136"/>
      <c r="C52" s="136"/>
      <c r="D52" s="83">
        <v>45</v>
      </c>
      <c r="E52" s="84" t="s">
        <v>86</v>
      </c>
      <c r="F52" s="83" t="s">
        <v>17</v>
      </c>
      <c r="G52" s="83">
        <v>0</v>
      </c>
      <c r="H52" s="83" t="s">
        <v>9</v>
      </c>
      <c r="I52" s="83" t="s">
        <v>14</v>
      </c>
      <c r="J52" s="84"/>
      <c r="K52" s="85">
        <v>41188</v>
      </c>
      <c r="L52" s="83">
        <v>2012</v>
      </c>
      <c r="M52" s="83">
        <f t="shared" si="1"/>
        <v>7</v>
      </c>
      <c r="N52" s="83"/>
      <c r="O52" s="83"/>
      <c r="P52" s="84" t="s">
        <v>16</v>
      </c>
      <c r="Q52" s="83"/>
      <c r="R52" s="84" t="s">
        <v>16</v>
      </c>
    </row>
    <row r="53" spans="2:18" x14ac:dyDescent="0.25">
      <c r="B53" s="136">
        <v>16</v>
      </c>
      <c r="C53" s="136"/>
      <c r="D53" s="83">
        <v>46</v>
      </c>
      <c r="E53" s="84" t="s">
        <v>87</v>
      </c>
      <c r="F53" s="83" t="s">
        <v>6</v>
      </c>
      <c r="G53" s="83" t="s">
        <v>89</v>
      </c>
      <c r="H53" s="83" t="s">
        <v>1</v>
      </c>
      <c r="I53" s="83" t="s">
        <v>2</v>
      </c>
      <c r="J53" s="84"/>
      <c r="K53" s="85">
        <v>20454</v>
      </c>
      <c r="L53" s="83">
        <v>1955</v>
      </c>
      <c r="M53" s="83">
        <f t="shared" si="1"/>
        <v>64</v>
      </c>
      <c r="N53" s="83"/>
      <c r="O53" s="83"/>
      <c r="P53" s="84" t="s">
        <v>54</v>
      </c>
      <c r="Q53" s="83"/>
      <c r="R53" s="84" t="s">
        <v>88</v>
      </c>
    </row>
    <row r="54" spans="2:18" ht="25.5" x14ac:dyDescent="0.25">
      <c r="B54" s="136"/>
      <c r="C54" s="136"/>
      <c r="D54" s="83">
        <v>47</v>
      </c>
      <c r="E54" s="84" t="s">
        <v>90</v>
      </c>
      <c r="F54" s="83" t="s">
        <v>11</v>
      </c>
      <c r="G54" s="83" t="s">
        <v>91</v>
      </c>
      <c r="H54" s="83" t="s">
        <v>9</v>
      </c>
      <c r="I54" s="83" t="s">
        <v>2</v>
      </c>
      <c r="J54" s="84"/>
      <c r="K54" s="85">
        <v>19783</v>
      </c>
      <c r="L54" s="83">
        <v>1954</v>
      </c>
      <c r="M54" s="83">
        <f t="shared" si="1"/>
        <v>65</v>
      </c>
      <c r="N54" s="83"/>
      <c r="O54" s="83"/>
      <c r="P54" s="84" t="s">
        <v>54</v>
      </c>
      <c r="Q54" s="83"/>
      <c r="R54" s="84" t="s">
        <v>88</v>
      </c>
    </row>
    <row r="55" spans="2:18" ht="25.5" x14ac:dyDescent="0.25">
      <c r="B55" s="136">
        <v>17</v>
      </c>
      <c r="C55" s="136"/>
      <c r="D55" s="83">
        <v>48</v>
      </c>
      <c r="E55" s="84" t="s">
        <v>92</v>
      </c>
      <c r="F55" s="83" t="s">
        <v>6</v>
      </c>
      <c r="G55" s="83" t="s">
        <v>94</v>
      </c>
      <c r="H55" s="83" t="s">
        <v>1</v>
      </c>
      <c r="I55" s="83" t="s">
        <v>93</v>
      </c>
      <c r="J55" s="84"/>
      <c r="K55" s="85">
        <v>30785</v>
      </c>
      <c r="L55" s="83">
        <v>1984</v>
      </c>
      <c r="M55" s="83">
        <f t="shared" si="1"/>
        <v>35</v>
      </c>
      <c r="N55" s="83"/>
      <c r="O55" s="83"/>
      <c r="P55" s="84" t="s">
        <v>4</v>
      </c>
      <c r="Q55" s="83"/>
      <c r="R55" s="84" t="s">
        <v>10</v>
      </c>
    </row>
    <row r="56" spans="2:18" x14ac:dyDescent="0.25">
      <c r="B56" s="136"/>
      <c r="C56" s="136"/>
      <c r="D56" s="83">
        <v>49</v>
      </c>
      <c r="E56" s="84" t="s">
        <v>95</v>
      </c>
      <c r="F56" s="83" t="s">
        <v>11</v>
      </c>
      <c r="G56" s="83" t="s">
        <v>96</v>
      </c>
      <c r="H56" s="83" t="s">
        <v>9</v>
      </c>
      <c r="I56" s="83" t="s">
        <v>2</v>
      </c>
      <c r="J56" s="84"/>
      <c r="K56" s="85">
        <v>32716</v>
      </c>
      <c r="L56" s="83">
        <v>1989</v>
      </c>
      <c r="M56" s="83">
        <f t="shared" si="1"/>
        <v>30</v>
      </c>
      <c r="N56" s="83"/>
      <c r="O56" s="83"/>
      <c r="P56" s="84" t="s">
        <v>15</v>
      </c>
      <c r="Q56" s="83"/>
      <c r="R56" s="84" t="s">
        <v>31</v>
      </c>
    </row>
    <row r="57" spans="2:18" ht="25.5" x14ac:dyDescent="0.25">
      <c r="B57" s="136"/>
      <c r="C57" s="136"/>
      <c r="D57" s="83">
        <v>50</v>
      </c>
      <c r="E57" s="84" t="s">
        <v>97</v>
      </c>
      <c r="F57" s="83" t="s">
        <v>17</v>
      </c>
      <c r="G57" s="83" t="s">
        <v>98</v>
      </c>
      <c r="H57" s="83" t="s">
        <v>1</v>
      </c>
      <c r="I57" s="83" t="s">
        <v>14</v>
      </c>
      <c r="J57" s="84"/>
      <c r="K57" s="85">
        <v>40215</v>
      </c>
      <c r="L57" s="83">
        <v>2010</v>
      </c>
      <c r="M57" s="83">
        <f t="shared" si="1"/>
        <v>9</v>
      </c>
      <c r="N57" s="83"/>
      <c r="O57" s="83"/>
      <c r="P57" s="84" t="s">
        <v>16</v>
      </c>
      <c r="Q57" s="83"/>
      <c r="R57" s="84" t="s">
        <v>16</v>
      </c>
    </row>
    <row r="58" spans="2:18" ht="38.25" x14ac:dyDescent="0.25">
      <c r="B58" s="136"/>
      <c r="C58" s="136"/>
      <c r="D58" s="83">
        <v>51</v>
      </c>
      <c r="E58" s="84" t="s">
        <v>99</v>
      </c>
      <c r="F58" s="83" t="s">
        <v>17</v>
      </c>
      <c r="G58" s="83" t="s">
        <v>100</v>
      </c>
      <c r="H58" s="83" t="s">
        <v>1</v>
      </c>
      <c r="I58" s="83" t="s">
        <v>14</v>
      </c>
      <c r="J58" s="84"/>
      <c r="K58" s="85">
        <v>41973</v>
      </c>
      <c r="L58" s="83">
        <v>2014</v>
      </c>
      <c r="M58" s="83">
        <f t="shared" si="1"/>
        <v>5</v>
      </c>
      <c r="N58" s="83"/>
      <c r="O58" s="83"/>
      <c r="P58" s="84" t="s">
        <v>16</v>
      </c>
      <c r="Q58" s="83"/>
      <c r="R58" s="84" t="s">
        <v>16</v>
      </c>
    </row>
    <row r="59" spans="2:18" x14ac:dyDescent="0.25">
      <c r="B59" s="136">
        <v>18</v>
      </c>
      <c r="C59" s="136"/>
      <c r="D59" s="83">
        <v>52</v>
      </c>
      <c r="E59" s="84" t="s">
        <v>101</v>
      </c>
      <c r="F59" s="83" t="s">
        <v>6</v>
      </c>
      <c r="G59" s="83" t="s">
        <v>102</v>
      </c>
      <c r="H59" s="83" t="s">
        <v>1</v>
      </c>
      <c r="I59" s="83" t="s">
        <v>2</v>
      </c>
      <c r="J59" s="84"/>
      <c r="K59" s="85">
        <v>21915</v>
      </c>
      <c r="L59" s="83">
        <v>1959</v>
      </c>
      <c r="M59" s="83">
        <f t="shared" si="1"/>
        <v>60</v>
      </c>
      <c r="N59" s="83"/>
      <c r="O59" s="83"/>
      <c r="P59" s="84" t="s">
        <v>16</v>
      </c>
      <c r="Q59" s="83"/>
      <c r="R59" s="84" t="s">
        <v>88</v>
      </c>
    </row>
    <row r="60" spans="2:18" x14ac:dyDescent="0.25">
      <c r="B60" s="136"/>
      <c r="C60" s="136"/>
      <c r="D60" s="83">
        <v>53</v>
      </c>
      <c r="E60" s="84" t="s">
        <v>78</v>
      </c>
      <c r="F60" s="83" t="s">
        <v>11</v>
      </c>
      <c r="G60" s="83" t="s">
        <v>103</v>
      </c>
      <c r="H60" s="83" t="s">
        <v>9</v>
      </c>
      <c r="I60" s="83" t="s">
        <v>2</v>
      </c>
      <c r="J60" s="84"/>
      <c r="K60" s="85">
        <v>20735</v>
      </c>
      <c r="L60" s="83">
        <v>1956</v>
      </c>
      <c r="M60" s="83">
        <f t="shared" si="1"/>
        <v>63</v>
      </c>
      <c r="N60" s="83"/>
      <c r="O60" s="83"/>
      <c r="P60" s="84" t="s">
        <v>16</v>
      </c>
      <c r="Q60" s="83"/>
      <c r="R60" s="84" t="s">
        <v>88</v>
      </c>
    </row>
    <row r="61" spans="2:18" x14ac:dyDescent="0.25">
      <c r="B61" s="136"/>
      <c r="C61" s="136"/>
      <c r="D61" s="83">
        <v>54</v>
      </c>
      <c r="E61" s="84" t="s">
        <v>104</v>
      </c>
      <c r="F61" s="83" t="s">
        <v>17</v>
      </c>
      <c r="G61" s="83" t="s">
        <v>105</v>
      </c>
      <c r="H61" s="83" t="s">
        <v>9</v>
      </c>
      <c r="I61" s="83" t="s">
        <v>14</v>
      </c>
      <c r="J61" s="84"/>
      <c r="K61" s="85">
        <v>30387</v>
      </c>
      <c r="L61" s="83">
        <v>1983</v>
      </c>
      <c r="M61" s="83">
        <f t="shared" si="1"/>
        <v>36</v>
      </c>
      <c r="N61" s="83"/>
      <c r="O61" s="83"/>
      <c r="P61" s="84" t="s">
        <v>15</v>
      </c>
      <c r="Q61" s="83"/>
      <c r="R61" s="84" t="s">
        <v>10</v>
      </c>
    </row>
    <row r="62" spans="2:18" x14ac:dyDescent="0.25">
      <c r="B62" s="136"/>
      <c r="C62" s="136"/>
      <c r="D62" s="83">
        <v>55</v>
      </c>
      <c r="E62" s="84" t="s">
        <v>106</v>
      </c>
      <c r="F62" s="83" t="s">
        <v>17</v>
      </c>
      <c r="G62" s="83" t="s">
        <v>107</v>
      </c>
      <c r="H62" s="83" t="s">
        <v>9</v>
      </c>
      <c r="I62" s="83" t="s">
        <v>14</v>
      </c>
      <c r="J62" s="84"/>
      <c r="K62" s="85">
        <v>31525</v>
      </c>
      <c r="L62" s="83">
        <v>1986</v>
      </c>
      <c r="M62" s="83">
        <f t="shared" si="1"/>
        <v>33</v>
      </c>
      <c r="N62" s="83"/>
      <c r="O62" s="83"/>
      <c r="P62" s="84" t="s">
        <v>15</v>
      </c>
      <c r="Q62" s="83"/>
      <c r="R62" s="84" t="s">
        <v>10</v>
      </c>
    </row>
    <row r="63" spans="2:18" x14ac:dyDescent="0.25">
      <c r="B63" s="136">
        <v>19</v>
      </c>
      <c r="C63" s="136"/>
      <c r="D63" s="83">
        <v>56</v>
      </c>
      <c r="E63" s="84" t="s">
        <v>108</v>
      </c>
      <c r="F63" s="83" t="s">
        <v>6</v>
      </c>
      <c r="G63" s="83" t="s">
        <v>110</v>
      </c>
      <c r="H63" s="83" t="s">
        <v>1</v>
      </c>
      <c r="I63" s="83" t="s">
        <v>2</v>
      </c>
      <c r="J63" s="84"/>
      <c r="K63" s="85">
        <v>27029</v>
      </c>
      <c r="L63" s="83">
        <v>1973</v>
      </c>
      <c r="M63" s="83">
        <f t="shared" si="1"/>
        <v>46</v>
      </c>
      <c r="N63" s="83"/>
      <c r="O63" s="83"/>
      <c r="P63" s="84" t="s">
        <v>27</v>
      </c>
      <c r="Q63" s="83"/>
      <c r="R63" s="84" t="s">
        <v>109</v>
      </c>
    </row>
    <row r="64" spans="2:18" x14ac:dyDescent="0.25">
      <c r="B64" s="136"/>
      <c r="C64" s="136"/>
      <c r="D64" s="83">
        <v>57</v>
      </c>
      <c r="E64" s="84" t="s">
        <v>111</v>
      </c>
      <c r="F64" s="83" t="s">
        <v>11</v>
      </c>
      <c r="G64" s="83" t="s">
        <v>112</v>
      </c>
      <c r="H64" s="83" t="s">
        <v>9</v>
      </c>
      <c r="I64" s="83" t="s">
        <v>2</v>
      </c>
      <c r="J64" s="84"/>
      <c r="K64" s="85">
        <v>28490</v>
      </c>
      <c r="L64" s="83">
        <v>1977</v>
      </c>
      <c r="M64" s="83">
        <f t="shared" si="1"/>
        <v>42</v>
      </c>
      <c r="N64" s="83"/>
      <c r="O64" s="83"/>
      <c r="P64" s="84" t="s">
        <v>27</v>
      </c>
      <c r="Q64" s="83"/>
      <c r="R64" s="84" t="s">
        <v>109</v>
      </c>
    </row>
    <row r="65" spans="2:18" x14ac:dyDescent="0.25">
      <c r="B65" s="136"/>
      <c r="C65" s="136"/>
      <c r="D65" s="83">
        <v>58</v>
      </c>
      <c r="E65" s="84" t="s">
        <v>113</v>
      </c>
      <c r="F65" s="83" t="s">
        <v>17</v>
      </c>
      <c r="G65" s="83" t="s">
        <v>114</v>
      </c>
      <c r="H65" s="83" t="s">
        <v>1</v>
      </c>
      <c r="I65" s="83" t="s">
        <v>14</v>
      </c>
      <c r="J65" s="84"/>
      <c r="K65" s="85">
        <v>34398</v>
      </c>
      <c r="L65" s="83">
        <v>1994</v>
      </c>
      <c r="M65" s="83">
        <f t="shared" si="1"/>
        <v>25</v>
      </c>
      <c r="N65" s="83"/>
      <c r="O65" s="83"/>
      <c r="P65" s="84" t="s">
        <v>15</v>
      </c>
      <c r="Q65" s="83"/>
      <c r="R65" s="84" t="s">
        <v>16</v>
      </c>
    </row>
    <row r="66" spans="2:18" x14ac:dyDescent="0.25">
      <c r="B66" s="136"/>
      <c r="C66" s="136"/>
      <c r="D66" s="83">
        <v>59</v>
      </c>
      <c r="E66" s="84" t="s">
        <v>115</v>
      </c>
      <c r="F66" s="83" t="s">
        <v>17</v>
      </c>
      <c r="G66" s="83" t="s">
        <v>116</v>
      </c>
      <c r="H66" s="83" t="s">
        <v>9</v>
      </c>
      <c r="I66" s="83" t="s">
        <v>14</v>
      </c>
      <c r="J66" s="84"/>
      <c r="K66" s="85">
        <v>35399</v>
      </c>
      <c r="L66" s="83">
        <v>1996</v>
      </c>
      <c r="M66" s="83">
        <f t="shared" si="1"/>
        <v>23</v>
      </c>
      <c r="N66" s="83"/>
      <c r="O66" s="83"/>
      <c r="P66" s="84" t="s">
        <v>27</v>
      </c>
      <c r="Q66" s="83"/>
      <c r="R66" s="84" t="s">
        <v>16</v>
      </c>
    </row>
    <row r="67" spans="2:18" x14ac:dyDescent="0.25">
      <c r="B67" s="136"/>
      <c r="C67" s="136"/>
      <c r="D67" s="83">
        <v>60</v>
      </c>
      <c r="E67" s="84" t="s">
        <v>117</v>
      </c>
      <c r="F67" s="83" t="s">
        <v>17</v>
      </c>
      <c r="G67" s="83" t="s">
        <v>118</v>
      </c>
      <c r="H67" s="83" t="s">
        <v>9</v>
      </c>
      <c r="I67" s="83" t="s">
        <v>14</v>
      </c>
      <c r="J67" s="84"/>
      <c r="K67" s="85">
        <v>36651</v>
      </c>
      <c r="L67" s="83">
        <v>2000</v>
      </c>
      <c r="M67" s="83">
        <f t="shared" si="1"/>
        <v>19</v>
      </c>
      <c r="N67" s="83"/>
      <c r="O67" s="83"/>
      <c r="P67" s="84" t="s">
        <v>54</v>
      </c>
      <c r="Q67" s="83"/>
      <c r="R67" s="84" t="s">
        <v>16</v>
      </c>
    </row>
    <row r="68" spans="2:18" x14ac:dyDescent="0.25">
      <c r="B68" s="136"/>
      <c r="C68" s="136"/>
      <c r="D68" s="83">
        <v>61</v>
      </c>
      <c r="E68" s="84" t="s">
        <v>119</v>
      </c>
      <c r="F68" s="83" t="s">
        <v>17</v>
      </c>
      <c r="G68" s="83" t="s">
        <v>120</v>
      </c>
      <c r="H68" s="83" t="s">
        <v>9</v>
      </c>
      <c r="I68" s="83" t="s">
        <v>14</v>
      </c>
      <c r="J68" s="84"/>
      <c r="K68" s="85">
        <v>39844</v>
      </c>
      <c r="L68" s="83">
        <v>2009</v>
      </c>
      <c r="M68" s="83">
        <f t="shared" si="1"/>
        <v>10</v>
      </c>
      <c r="N68" s="83"/>
      <c r="O68" s="83"/>
      <c r="P68" s="84" t="s">
        <v>16</v>
      </c>
      <c r="Q68" s="83"/>
      <c r="R68" s="84" t="s">
        <v>16</v>
      </c>
    </row>
    <row r="69" spans="2:18" x14ac:dyDescent="0.25">
      <c r="B69" s="136">
        <v>20</v>
      </c>
      <c r="C69" s="136"/>
      <c r="D69" s="83">
        <v>62</v>
      </c>
      <c r="E69" s="84" t="s">
        <v>121</v>
      </c>
      <c r="F69" s="83" t="s">
        <v>6</v>
      </c>
      <c r="G69" s="83">
        <v>0</v>
      </c>
      <c r="H69" s="83" t="s">
        <v>9</v>
      </c>
      <c r="I69" s="83" t="s">
        <v>24</v>
      </c>
      <c r="J69" s="84"/>
      <c r="K69" s="85">
        <v>14976</v>
      </c>
      <c r="L69" s="83">
        <v>1940</v>
      </c>
      <c r="M69" s="83">
        <f t="shared" si="1"/>
        <v>79</v>
      </c>
      <c r="N69" s="83"/>
      <c r="O69" s="83"/>
      <c r="P69" s="84" t="s">
        <v>16</v>
      </c>
      <c r="Q69" s="83"/>
      <c r="R69" s="84" t="s">
        <v>16</v>
      </c>
    </row>
    <row r="70" spans="2:18" x14ac:dyDescent="0.25">
      <c r="B70" s="136"/>
      <c r="C70" s="136"/>
      <c r="D70" s="83">
        <v>63</v>
      </c>
      <c r="E70" s="84" t="s">
        <v>122</v>
      </c>
      <c r="F70" s="83" t="s">
        <v>17</v>
      </c>
      <c r="G70" s="83">
        <v>0</v>
      </c>
      <c r="H70" s="83" t="s">
        <v>9</v>
      </c>
      <c r="I70" s="83" t="s">
        <v>14</v>
      </c>
      <c r="J70" s="84"/>
      <c r="K70" s="85">
        <v>29220</v>
      </c>
      <c r="L70" s="83">
        <v>1979</v>
      </c>
      <c r="M70" s="83">
        <f t="shared" si="1"/>
        <v>40</v>
      </c>
      <c r="N70" s="83"/>
      <c r="O70" s="83"/>
      <c r="P70" s="84" t="s">
        <v>54</v>
      </c>
      <c r="Q70" s="83"/>
      <c r="R70" s="84" t="s">
        <v>123</v>
      </c>
    </row>
    <row r="71" spans="2:18" x14ac:dyDescent="0.25">
      <c r="B71" s="136">
        <v>21</v>
      </c>
      <c r="C71" s="136"/>
      <c r="D71" s="83">
        <v>64</v>
      </c>
      <c r="E71" s="84" t="s">
        <v>124</v>
      </c>
      <c r="F71" s="83" t="s">
        <v>6</v>
      </c>
      <c r="G71" s="83" t="s">
        <v>125</v>
      </c>
      <c r="H71" s="83" t="s">
        <v>1</v>
      </c>
      <c r="I71" s="83" t="s">
        <v>2</v>
      </c>
      <c r="J71" s="84"/>
      <c r="K71" s="85">
        <v>22281</v>
      </c>
      <c r="L71" s="83">
        <v>1960</v>
      </c>
      <c r="M71" s="83">
        <f t="shared" ref="M71:M101" si="2">2019-L71</f>
        <v>59</v>
      </c>
      <c r="N71" s="83"/>
      <c r="O71" s="83"/>
      <c r="P71" s="84" t="s">
        <v>54</v>
      </c>
      <c r="Q71" s="83"/>
      <c r="R71" s="84" t="s">
        <v>10</v>
      </c>
    </row>
    <row r="72" spans="2:18" x14ac:dyDescent="0.25">
      <c r="B72" s="136"/>
      <c r="C72" s="136"/>
      <c r="D72" s="83">
        <v>65</v>
      </c>
      <c r="E72" s="84" t="s">
        <v>126</v>
      </c>
      <c r="F72" s="83" t="s">
        <v>11</v>
      </c>
      <c r="G72" s="83" t="s">
        <v>127</v>
      </c>
      <c r="H72" s="83" t="s">
        <v>9</v>
      </c>
      <c r="I72" s="83" t="s">
        <v>2</v>
      </c>
      <c r="J72" s="84"/>
      <c r="K72" s="85">
        <v>22646</v>
      </c>
      <c r="L72" s="83">
        <v>1961</v>
      </c>
      <c r="M72" s="83">
        <f t="shared" si="2"/>
        <v>58</v>
      </c>
      <c r="N72" s="83"/>
      <c r="O72" s="83"/>
      <c r="P72" s="84" t="s">
        <v>16</v>
      </c>
      <c r="Q72" s="83"/>
      <c r="R72" s="84" t="s">
        <v>10</v>
      </c>
    </row>
    <row r="73" spans="2:18" x14ac:dyDescent="0.25">
      <c r="B73" s="136"/>
      <c r="C73" s="136"/>
      <c r="D73" s="83">
        <v>66</v>
      </c>
      <c r="E73" s="84" t="s">
        <v>128</v>
      </c>
      <c r="F73" s="83" t="s">
        <v>17</v>
      </c>
      <c r="G73" s="83" t="s">
        <v>129</v>
      </c>
      <c r="H73" s="83" t="s">
        <v>67</v>
      </c>
      <c r="I73" s="83" t="s">
        <v>14</v>
      </c>
      <c r="J73" s="84"/>
      <c r="K73" s="85">
        <v>29579</v>
      </c>
      <c r="L73" s="83">
        <v>1980</v>
      </c>
      <c r="M73" s="83">
        <f t="shared" si="2"/>
        <v>39</v>
      </c>
      <c r="N73" s="83"/>
      <c r="O73" s="83"/>
      <c r="P73" s="84" t="s">
        <v>15</v>
      </c>
      <c r="Q73" s="83"/>
      <c r="R73" s="84" t="s">
        <v>16</v>
      </c>
    </row>
    <row r="74" spans="2:18" ht="38.25" x14ac:dyDescent="0.25">
      <c r="B74" s="136"/>
      <c r="C74" s="136"/>
      <c r="D74" s="83">
        <v>67</v>
      </c>
      <c r="E74" s="84" t="s">
        <v>130</v>
      </c>
      <c r="F74" s="83" t="s">
        <v>17</v>
      </c>
      <c r="G74" s="83" t="s">
        <v>131</v>
      </c>
      <c r="H74" s="83" t="s">
        <v>1</v>
      </c>
      <c r="I74" s="83" t="s">
        <v>14</v>
      </c>
      <c r="J74" s="84"/>
      <c r="K74" s="85">
        <v>35816</v>
      </c>
      <c r="L74" s="83">
        <v>1998</v>
      </c>
      <c r="M74" s="83">
        <f t="shared" si="2"/>
        <v>21</v>
      </c>
      <c r="N74" s="83"/>
      <c r="O74" s="83"/>
      <c r="P74" s="84" t="s">
        <v>27</v>
      </c>
      <c r="Q74" s="83"/>
      <c r="R74" s="84" t="s">
        <v>16</v>
      </c>
    </row>
    <row r="75" spans="2:18" ht="25.5" x14ac:dyDescent="0.25">
      <c r="B75" s="136">
        <v>22</v>
      </c>
      <c r="C75" s="136" t="s">
        <v>1264</v>
      </c>
      <c r="D75" s="83">
        <v>68</v>
      </c>
      <c r="E75" s="84" t="s">
        <v>1261</v>
      </c>
      <c r="F75" s="83" t="s">
        <v>6</v>
      </c>
      <c r="G75" s="83" t="s">
        <v>132</v>
      </c>
      <c r="H75" s="83" t="s">
        <v>1</v>
      </c>
      <c r="I75" s="83" t="s">
        <v>2</v>
      </c>
      <c r="J75" s="84" t="s">
        <v>1136</v>
      </c>
      <c r="K75" s="85">
        <v>30397</v>
      </c>
      <c r="L75" s="83">
        <v>1983</v>
      </c>
      <c r="M75" s="83">
        <f t="shared" si="2"/>
        <v>36</v>
      </c>
      <c r="N75" s="83" t="s">
        <v>3</v>
      </c>
      <c r="O75" s="83" t="s">
        <v>1137</v>
      </c>
      <c r="P75" s="84" t="s">
        <v>1159</v>
      </c>
      <c r="Q75" s="83"/>
      <c r="R75" s="84" t="s">
        <v>10</v>
      </c>
    </row>
    <row r="76" spans="2:18" x14ac:dyDescent="0.25">
      <c r="B76" s="136"/>
      <c r="C76" s="136"/>
      <c r="D76" s="83">
        <v>69</v>
      </c>
      <c r="E76" s="84" t="s">
        <v>133</v>
      </c>
      <c r="F76" s="83" t="s">
        <v>11</v>
      </c>
      <c r="G76" s="83" t="s">
        <v>1265</v>
      </c>
      <c r="H76" s="83" t="s">
        <v>9</v>
      </c>
      <c r="I76" s="83" t="s">
        <v>2</v>
      </c>
      <c r="J76" s="84" t="s">
        <v>1209</v>
      </c>
      <c r="K76" s="85">
        <v>31168</v>
      </c>
      <c r="L76" s="83">
        <v>1985</v>
      </c>
      <c r="M76" s="83">
        <f t="shared" si="2"/>
        <v>34</v>
      </c>
      <c r="N76" s="83" t="s">
        <v>3</v>
      </c>
      <c r="O76" s="83" t="s">
        <v>1137</v>
      </c>
      <c r="P76" s="84" t="s">
        <v>1159</v>
      </c>
      <c r="Q76" s="83"/>
      <c r="R76" s="84" t="s">
        <v>10</v>
      </c>
    </row>
    <row r="77" spans="2:18" ht="38.25" x14ac:dyDescent="0.25">
      <c r="B77" s="136"/>
      <c r="C77" s="136"/>
      <c r="D77" s="83">
        <v>70</v>
      </c>
      <c r="E77" s="84" t="s">
        <v>1262</v>
      </c>
      <c r="F77" s="83" t="s">
        <v>17</v>
      </c>
      <c r="G77" s="83" t="s">
        <v>1266</v>
      </c>
      <c r="H77" s="83" t="s">
        <v>1</v>
      </c>
      <c r="I77" s="83" t="s">
        <v>14</v>
      </c>
      <c r="J77" s="84" t="s">
        <v>1156</v>
      </c>
      <c r="K77" s="85">
        <v>40517</v>
      </c>
      <c r="L77" s="83">
        <v>2010</v>
      </c>
      <c r="M77" s="83">
        <f t="shared" si="2"/>
        <v>9</v>
      </c>
      <c r="N77" s="83" t="s">
        <v>3</v>
      </c>
      <c r="O77" s="83" t="s">
        <v>1137</v>
      </c>
      <c r="P77" s="84" t="s">
        <v>1139</v>
      </c>
      <c r="Q77" s="83"/>
      <c r="R77" s="84" t="s">
        <v>1140</v>
      </c>
    </row>
    <row r="78" spans="2:18" ht="25.5" x14ac:dyDescent="0.25">
      <c r="B78" s="136"/>
      <c r="C78" s="136"/>
      <c r="D78" s="83">
        <v>71</v>
      </c>
      <c r="E78" s="84" t="s">
        <v>1263</v>
      </c>
      <c r="F78" s="83" t="s">
        <v>17</v>
      </c>
      <c r="G78" s="83" t="s">
        <v>1267</v>
      </c>
      <c r="H78" s="83" t="s">
        <v>9</v>
      </c>
      <c r="I78" s="83" t="s">
        <v>14</v>
      </c>
      <c r="J78" s="84" t="s">
        <v>1156</v>
      </c>
      <c r="K78" s="85">
        <v>42314</v>
      </c>
      <c r="L78" s="83">
        <v>2015</v>
      </c>
      <c r="M78" s="83">
        <f t="shared" si="2"/>
        <v>4</v>
      </c>
      <c r="N78" s="83" t="s">
        <v>3</v>
      </c>
      <c r="O78" s="83" t="s">
        <v>1137</v>
      </c>
      <c r="P78" s="84" t="s">
        <v>1139</v>
      </c>
      <c r="Q78" s="83"/>
      <c r="R78" s="84" t="s">
        <v>1258</v>
      </c>
    </row>
    <row r="79" spans="2:18" x14ac:dyDescent="0.25">
      <c r="B79" s="136">
        <v>23</v>
      </c>
      <c r="C79" s="136"/>
      <c r="D79" s="83">
        <v>72</v>
      </c>
      <c r="E79" s="84" t="s">
        <v>134</v>
      </c>
      <c r="F79" s="83" t="s">
        <v>6</v>
      </c>
      <c r="G79" s="83" t="s">
        <v>135</v>
      </c>
      <c r="H79" s="83" t="s">
        <v>1</v>
      </c>
      <c r="I79" s="83" t="s">
        <v>2</v>
      </c>
      <c r="J79" s="84"/>
      <c r="K79" s="85">
        <v>18628</v>
      </c>
      <c r="L79" s="83">
        <v>1950</v>
      </c>
      <c r="M79" s="83">
        <f t="shared" si="2"/>
        <v>69</v>
      </c>
      <c r="N79" s="83"/>
      <c r="O79" s="83"/>
      <c r="P79" s="84" t="s">
        <v>54</v>
      </c>
      <c r="Q79" s="83"/>
      <c r="R79" s="84" t="s">
        <v>10</v>
      </c>
    </row>
    <row r="80" spans="2:18" x14ac:dyDescent="0.25">
      <c r="B80" s="136"/>
      <c r="C80" s="136"/>
      <c r="D80" s="83">
        <v>73</v>
      </c>
      <c r="E80" s="84" t="s">
        <v>136</v>
      </c>
      <c r="F80" s="83" t="s">
        <v>11</v>
      </c>
      <c r="G80" s="83" t="s">
        <v>137</v>
      </c>
      <c r="H80" s="83" t="s">
        <v>9</v>
      </c>
      <c r="I80" s="83" t="s">
        <v>2</v>
      </c>
      <c r="J80" s="84"/>
      <c r="K80" s="85">
        <v>18941</v>
      </c>
      <c r="L80" s="83">
        <v>1951</v>
      </c>
      <c r="M80" s="83">
        <f t="shared" si="2"/>
        <v>68</v>
      </c>
      <c r="N80" s="83"/>
      <c r="O80" s="83"/>
      <c r="P80" s="84" t="s">
        <v>54</v>
      </c>
      <c r="Q80" s="83"/>
      <c r="R80" s="84" t="s">
        <v>123</v>
      </c>
    </row>
    <row r="81" spans="2:18" ht="25.5" x14ac:dyDescent="0.25">
      <c r="B81" s="136"/>
      <c r="C81" s="136"/>
      <c r="D81" s="83">
        <v>74</v>
      </c>
      <c r="E81" s="84" t="s">
        <v>138</v>
      </c>
      <c r="F81" s="83" t="s">
        <v>17</v>
      </c>
      <c r="G81" s="83" t="s">
        <v>139</v>
      </c>
      <c r="H81" s="83" t="s">
        <v>1</v>
      </c>
      <c r="I81" s="83" t="s">
        <v>14</v>
      </c>
      <c r="J81" s="84"/>
      <c r="K81" s="85">
        <v>33067</v>
      </c>
      <c r="L81" s="83">
        <v>1990</v>
      </c>
      <c r="M81" s="83">
        <f t="shared" si="2"/>
        <v>29</v>
      </c>
      <c r="N81" s="83"/>
      <c r="O81" s="83"/>
      <c r="P81" s="84" t="s">
        <v>15</v>
      </c>
      <c r="Q81" s="83"/>
      <c r="R81" s="84" t="s">
        <v>16</v>
      </c>
    </row>
    <row r="82" spans="2:18" x14ac:dyDescent="0.25">
      <c r="B82" s="136"/>
      <c r="C82" s="136"/>
      <c r="D82" s="83">
        <v>75</v>
      </c>
      <c r="E82" s="84" t="s">
        <v>140</v>
      </c>
      <c r="F82" s="83" t="s">
        <v>17</v>
      </c>
      <c r="G82" s="83" t="s">
        <v>141</v>
      </c>
      <c r="H82" s="83" t="s">
        <v>9</v>
      </c>
      <c r="I82" s="83" t="s">
        <v>14</v>
      </c>
      <c r="J82" s="84"/>
      <c r="K82" s="85">
        <v>36987</v>
      </c>
      <c r="L82" s="83">
        <v>2001</v>
      </c>
      <c r="M82" s="83">
        <f t="shared" si="2"/>
        <v>18</v>
      </c>
      <c r="N82" s="83"/>
      <c r="O82" s="83"/>
      <c r="P82" s="84" t="s">
        <v>54</v>
      </c>
      <c r="Q82" s="83"/>
      <c r="R82" s="84" t="s">
        <v>16</v>
      </c>
    </row>
    <row r="83" spans="2:18" ht="25.5" x14ac:dyDescent="0.25">
      <c r="B83" s="136">
        <v>24</v>
      </c>
      <c r="C83" s="136" t="s">
        <v>1517</v>
      </c>
      <c r="D83" s="83">
        <v>76</v>
      </c>
      <c r="E83" s="84" t="s">
        <v>142</v>
      </c>
      <c r="F83" s="83" t="s">
        <v>6</v>
      </c>
      <c r="G83" s="83" t="s">
        <v>143</v>
      </c>
      <c r="H83" s="83" t="s">
        <v>1</v>
      </c>
      <c r="I83" s="83" t="s">
        <v>2</v>
      </c>
      <c r="J83" s="84" t="s">
        <v>1156</v>
      </c>
      <c r="K83" s="85">
        <v>19341</v>
      </c>
      <c r="L83" s="83">
        <v>1952</v>
      </c>
      <c r="M83" s="83">
        <f t="shared" si="2"/>
        <v>67</v>
      </c>
      <c r="N83" s="83" t="s">
        <v>3</v>
      </c>
      <c r="O83" s="83" t="s">
        <v>1137</v>
      </c>
      <c r="P83" s="84" t="s">
        <v>1138</v>
      </c>
      <c r="Q83" s="83"/>
      <c r="R83" s="84" t="s">
        <v>1223</v>
      </c>
    </row>
    <row r="84" spans="2:18" ht="25.5" x14ac:dyDescent="0.25">
      <c r="B84" s="136"/>
      <c r="C84" s="136"/>
      <c r="D84" s="83">
        <v>77</v>
      </c>
      <c r="E84" s="84" t="s">
        <v>144</v>
      </c>
      <c r="F84" s="83" t="s">
        <v>11</v>
      </c>
      <c r="G84" s="83" t="s">
        <v>145</v>
      </c>
      <c r="H84" s="83" t="s">
        <v>9</v>
      </c>
      <c r="I84" s="83" t="s">
        <v>2</v>
      </c>
      <c r="J84" s="84" t="s">
        <v>1156</v>
      </c>
      <c r="K84" s="85">
        <v>20454</v>
      </c>
      <c r="L84" s="83">
        <v>1955</v>
      </c>
      <c r="M84" s="83">
        <f t="shared" si="2"/>
        <v>64</v>
      </c>
      <c r="N84" s="83" t="s">
        <v>3</v>
      </c>
      <c r="O84" s="83" t="s">
        <v>1137</v>
      </c>
      <c r="P84" s="84" t="s">
        <v>1138</v>
      </c>
      <c r="Q84" s="83"/>
      <c r="R84" s="84" t="s">
        <v>1223</v>
      </c>
    </row>
    <row r="85" spans="2:18" ht="25.5" x14ac:dyDescent="0.25">
      <c r="B85" s="136">
        <v>25</v>
      </c>
      <c r="C85" s="136"/>
      <c r="D85" s="83">
        <v>78</v>
      </c>
      <c r="E85" s="84" t="s">
        <v>146</v>
      </c>
      <c r="F85" s="83" t="s">
        <v>6</v>
      </c>
      <c r="G85" s="83">
        <v>0</v>
      </c>
      <c r="H85" s="83" t="s">
        <v>1</v>
      </c>
      <c r="I85" s="83" t="s">
        <v>2</v>
      </c>
      <c r="J85" s="84"/>
      <c r="K85" s="85">
        <v>21550</v>
      </c>
      <c r="L85" s="83">
        <v>1958</v>
      </c>
      <c r="M85" s="83">
        <f t="shared" si="2"/>
        <v>61</v>
      </c>
      <c r="N85" s="83"/>
      <c r="O85" s="83"/>
      <c r="P85" s="84" t="s">
        <v>4</v>
      </c>
      <c r="Q85" s="83"/>
      <c r="R85" s="84" t="s">
        <v>5</v>
      </c>
    </row>
    <row r="86" spans="2:18" ht="38.25" x14ac:dyDescent="0.25">
      <c r="B86" s="136"/>
      <c r="C86" s="136"/>
      <c r="D86" s="83">
        <v>79</v>
      </c>
      <c r="E86" s="84" t="s">
        <v>147</v>
      </c>
      <c r="F86" s="83" t="s">
        <v>11</v>
      </c>
      <c r="G86" s="83">
        <v>0</v>
      </c>
      <c r="H86" s="83" t="s">
        <v>9</v>
      </c>
      <c r="I86" s="83" t="s">
        <v>2</v>
      </c>
      <c r="J86" s="84"/>
      <c r="K86" s="85">
        <v>22281</v>
      </c>
      <c r="L86" s="83">
        <v>1960</v>
      </c>
      <c r="M86" s="83">
        <f t="shared" si="2"/>
        <v>59</v>
      </c>
      <c r="N86" s="83"/>
      <c r="O86" s="83"/>
      <c r="P86" s="84" t="s">
        <v>4</v>
      </c>
      <c r="Q86" s="83"/>
      <c r="R86" s="84" t="s">
        <v>5</v>
      </c>
    </row>
    <row r="87" spans="2:18" ht="25.5" x14ac:dyDescent="0.25">
      <c r="B87" s="136"/>
      <c r="C87" s="136"/>
      <c r="D87" s="83">
        <v>80</v>
      </c>
      <c r="E87" s="84" t="s">
        <v>148</v>
      </c>
      <c r="F87" s="83" t="s">
        <v>17</v>
      </c>
      <c r="G87" s="83">
        <v>0</v>
      </c>
      <c r="H87" s="83" t="s">
        <v>1</v>
      </c>
      <c r="I87" s="83" t="s">
        <v>14</v>
      </c>
      <c r="J87" s="84"/>
      <c r="K87" s="85">
        <v>32873</v>
      </c>
      <c r="L87" s="83">
        <v>1989</v>
      </c>
      <c r="M87" s="83">
        <f t="shared" si="2"/>
        <v>30</v>
      </c>
      <c r="N87" s="83"/>
      <c r="O87" s="83"/>
      <c r="P87" s="84" t="s">
        <v>15</v>
      </c>
      <c r="Q87" s="83"/>
      <c r="R87" s="84" t="s">
        <v>31</v>
      </c>
    </row>
    <row r="88" spans="2:18" ht="25.5" x14ac:dyDescent="0.25">
      <c r="B88" s="136"/>
      <c r="C88" s="136"/>
      <c r="D88" s="83">
        <v>81</v>
      </c>
      <c r="E88" s="84" t="s">
        <v>149</v>
      </c>
      <c r="F88" s="83" t="s">
        <v>17</v>
      </c>
      <c r="G88" s="83">
        <v>0</v>
      </c>
      <c r="H88" s="83" t="s">
        <v>1</v>
      </c>
      <c r="I88" s="83" t="s">
        <v>14</v>
      </c>
      <c r="J88" s="84"/>
      <c r="K88" s="85">
        <v>35064</v>
      </c>
      <c r="L88" s="83">
        <v>1995</v>
      </c>
      <c r="M88" s="83">
        <f t="shared" si="2"/>
        <v>24</v>
      </c>
      <c r="N88" s="83"/>
      <c r="O88" s="83"/>
      <c r="P88" s="84" t="s">
        <v>15</v>
      </c>
      <c r="Q88" s="83"/>
      <c r="R88" s="84" t="s">
        <v>16</v>
      </c>
    </row>
    <row r="89" spans="2:18" ht="25.5" x14ac:dyDescent="0.25">
      <c r="B89" s="136"/>
      <c r="C89" s="136"/>
      <c r="D89" s="83">
        <v>82</v>
      </c>
      <c r="E89" s="84" t="s">
        <v>150</v>
      </c>
      <c r="F89" s="83" t="s">
        <v>17</v>
      </c>
      <c r="G89" s="83">
        <v>0</v>
      </c>
      <c r="H89" s="83" t="s">
        <v>1</v>
      </c>
      <c r="I89" s="83" t="s">
        <v>14</v>
      </c>
      <c r="J89" s="84"/>
      <c r="K89" s="85">
        <v>37673</v>
      </c>
      <c r="L89" s="83">
        <v>2003</v>
      </c>
      <c r="M89" s="83">
        <f t="shared" si="2"/>
        <v>16</v>
      </c>
      <c r="N89" s="83"/>
      <c r="O89" s="83"/>
      <c r="P89" s="84" t="s">
        <v>16</v>
      </c>
      <c r="Q89" s="83"/>
      <c r="R89" s="84" t="s">
        <v>16</v>
      </c>
    </row>
    <row r="90" spans="2:18" ht="25.5" x14ac:dyDescent="0.25">
      <c r="B90" s="136">
        <v>26</v>
      </c>
      <c r="C90" s="136" t="s">
        <v>1269</v>
      </c>
      <c r="D90" s="83">
        <v>83</v>
      </c>
      <c r="E90" s="84" t="s">
        <v>1268</v>
      </c>
      <c r="F90" s="83" t="s">
        <v>6</v>
      </c>
      <c r="G90" s="83" t="s">
        <v>151</v>
      </c>
      <c r="H90" s="83" t="s">
        <v>1</v>
      </c>
      <c r="I90" s="83" t="s">
        <v>2</v>
      </c>
      <c r="J90" s="84" t="s">
        <v>1136</v>
      </c>
      <c r="K90" s="85">
        <v>24654</v>
      </c>
      <c r="L90" s="83">
        <v>1967</v>
      </c>
      <c r="M90" s="83">
        <f t="shared" si="2"/>
        <v>52</v>
      </c>
      <c r="N90" s="83" t="s">
        <v>3</v>
      </c>
      <c r="O90" s="83" t="s">
        <v>1137</v>
      </c>
      <c r="P90" s="84" t="s">
        <v>1172</v>
      </c>
      <c r="Q90" s="83"/>
      <c r="R90" s="84" t="s">
        <v>10</v>
      </c>
    </row>
    <row r="91" spans="2:18" ht="25.5" x14ac:dyDescent="0.25">
      <c r="B91" s="136"/>
      <c r="C91" s="136"/>
      <c r="D91" s="83">
        <v>84</v>
      </c>
      <c r="E91" s="84" t="s">
        <v>152</v>
      </c>
      <c r="F91" s="83" t="s">
        <v>11</v>
      </c>
      <c r="G91" s="83" t="s">
        <v>153</v>
      </c>
      <c r="H91" s="83" t="s">
        <v>9</v>
      </c>
      <c r="I91" s="83" t="s">
        <v>2</v>
      </c>
      <c r="J91" s="84" t="s">
        <v>1148</v>
      </c>
      <c r="K91" s="85">
        <v>25568</v>
      </c>
      <c r="L91" s="83">
        <v>1969</v>
      </c>
      <c r="M91" s="83">
        <f t="shared" si="2"/>
        <v>50</v>
      </c>
      <c r="N91" s="83" t="s">
        <v>3</v>
      </c>
      <c r="O91" s="83" t="s">
        <v>1137</v>
      </c>
      <c r="P91" s="84" t="s">
        <v>1172</v>
      </c>
      <c r="Q91" s="83"/>
      <c r="R91" s="84" t="s">
        <v>1141</v>
      </c>
    </row>
    <row r="92" spans="2:18" x14ac:dyDescent="0.25">
      <c r="B92" s="136"/>
      <c r="C92" s="136"/>
      <c r="D92" s="83">
        <v>85</v>
      </c>
      <c r="E92" s="84" t="s">
        <v>155</v>
      </c>
      <c r="F92" s="83" t="s">
        <v>17</v>
      </c>
      <c r="G92" s="83" t="s">
        <v>156</v>
      </c>
      <c r="H92" s="83" t="s">
        <v>1</v>
      </c>
      <c r="I92" s="83" t="s">
        <v>14</v>
      </c>
      <c r="J92" s="84" t="s">
        <v>1156</v>
      </c>
      <c r="K92" s="85">
        <v>35225</v>
      </c>
      <c r="L92" s="83">
        <v>1996</v>
      </c>
      <c r="M92" s="83">
        <f t="shared" si="2"/>
        <v>23</v>
      </c>
      <c r="N92" s="83" t="s">
        <v>3</v>
      </c>
      <c r="O92" s="83" t="s">
        <v>1137</v>
      </c>
      <c r="P92" s="84" t="s">
        <v>1159</v>
      </c>
      <c r="Q92" s="83"/>
      <c r="R92" s="84" t="s">
        <v>1160</v>
      </c>
    </row>
    <row r="93" spans="2:18" x14ac:dyDescent="0.25">
      <c r="B93" s="136">
        <v>27</v>
      </c>
      <c r="C93" s="136" t="s">
        <v>1248</v>
      </c>
      <c r="D93" s="83">
        <v>86</v>
      </c>
      <c r="E93" s="84" t="s">
        <v>157</v>
      </c>
      <c r="F93" s="83" t="s">
        <v>6</v>
      </c>
      <c r="G93" s="83" t="s">
        <v>1251</v>
      </c>
      <c r="H93" s="83" t="s">
        <v>1</v>
      </c>
      <c r="I93" s="83" t="s">
        <v>2</v>
      </c>
      <c r="J93" s="84" t="s">
        <v>1369</v>
      </c>
      <c r="K93" s="85">
        <v>29108</v>
      </c>
      <c r="L93" s="83">
        <v>1979</v>
      </c>
      <c r="M93" s="83">
        <f t="shared" si="2"/>
        <v>40</v>
      </c>
      <c r="N93" s="83" t="s">
        <v>3</v>
      </c>
      <c r="O93" s="83" t="s">
        <v>1255</v>
      </c>
      <c r="P93" s="84" t="s">
        <v>1172</v>
      </c>
      <c r="Q93" s="83"/>
      <c r="R93" s="84" t="s">
        <v>1257</v>
      </c>
    </row>
    <row r="94" spans="2:18" ht="25.5" x14ac:dyDescent="0.25">
      <c r="B94" s="136"/>
      <c r="C94" s="136"/>
      <c r="D94" s="83">
        <v>87</v>
      </c>
      <c r="E94" s="84" t="s">
        <v>158</v>
      </c>
      <c r="F94" s="83" t="s">
        <v>11</v>
      </c>
      <c r="G94" s="83" t="s">
        <v>1252</v>
      </c>
      <c r="H94" s="83" t="s">
        <v>9</v>
      </c>
      <c r="I94" s="83" t="s">
        <v>2</v>
      </c>
      <c r="J94" s="84" t="s">
        <v>1136</v>
      </c>
      <c r="K94" s="85">
        <v>30864</v>
      </c>
      <c r="L94" s="83">
        <v>1984</v>
      </c>
      <c r="M94" s="83">
        <f t="shared" si="2"/>
        <v>35</v>
      </c>
      <c r="N94" s="83" t="s">
        <v>3</v>
      </c>
      <c r="O94" s="83" t="s">
        <v>1137</v>
      </c>
      <c r="P94" s="84" t="s">
        <v>1172</v>
      </c>
      <c r="Q94" s="83"/>
      <c r="R94" s="84" t="s">
        <v>1141</v>
      </c>
    </row>
    <row r="95" spans="2:18" ht="25.5" x14ac:dyDescent="0.25">
      <c r="B95" s="136"/>
      <c r="C95" s="136"/>
      <c r="D95" s="83">
        <v>88</v>
      </c>
      <c r="E95" s="84" t="s">
        <v>1249</v>
      </c>
      <c r="F95" s="83" t="s">
        <v>17</v>
      </c>
      <c r="G95" s="83" t="s">
        <v>1253</v>
      </c>
      <c r="H95" s="83" t="s">
        <v>9</v>
      </c>
      <c r="I95" s="83" t="s">
        <v>14</v>
      </c>
      <c r="J95" s="84" t="s">
        <v>1209</v>
      </c>
      <c r="K95" s="85">
        <v>39307</v>
      </c>
      <c r="L95" s="83">
        <v>2007</v>
      </c>
      <c r="M95" s="83">
        <f t="shared" si="2"/>
        <v>12</v>
      </c>
      <c r="N95" s="83" t="s">
        <v>3</v>
      </c>
      <c r="O95" s="83" t="s">
        <v>1137</v>
      </c>
      <c r="P95" s="84" t="s">
        <v>1256</v>
      </c>
      <c r="Q95" s="83"/>
      <c r="R95" s="84" t="s">
        <v>1160</v>
      </c>
    </row>
    <row r="96" spans="2:18" ht="25.5" x14ac:dyDescent="0.25">
      <c r="B96" s="136"/>
      <c r="C96" s="136"/>
      <c r="D96" s="83">
        <v>89</v>
      </c>
      <c r="E96" s="84" t="s">
        <v>1250</v>
      </c>
      <c r="F96" s="83" t="s">
        <v>17</v>
      </c>
      <c r="G96" s="83" t="s">
        <v>1254</v>
      </c>
      <c r="H96" s="83" t="s">
        <v>1</v>
      </c>
      <c r="I96" s="83" t="s">
        <v>14</v>
      </c>
      <c r="J96" s="84" t="s">
        <v>1156</v>
      </c>
      <c r="K96" s="85">
        <v>40026</v>
      </c>
      <c r="L96" s="83">
        <v>2009</v>
      </c>
      <c r="M96" s="83">
        <f t="shared" si="2"/>
        <v>10</v>
      </c>
      <c r="N96" s="83" t="s">
        <v>3</v>
      </c>
      <c r="O96" s="83" t="s">
        <v>1137</v>
      </c>
      <c r="P96" s="84" t="s">
        <v>1139</v>
      </c>
      <c r="Q96" s="83"/>
      <c r="R96" s="84" t="s">
        <v>1140</v>
      </c>
    </row>
    <row r="97" spans="2:18" ht="38.25" x14ac:dyDescent="0.25">
      <c r="B97" s="136"/>
      <c r="C97" s="136"/>
      <c r="D97" s="83">
        <v>90</v>
      </c>
      <c r="E97" s="84" t="s">
        <v>1499</v>
      </c>
      <c r="F97" s="83" t="s">
        <v>17</v>
      </c>
      <c r="G97" s="83" t="s">
        <v>1500</v>
      </c>
      <c r="H97" s="83" t="s">
        <v>1</v>
      </c>
      <c r="I97" s="83" t="s">
        <v>14</v>
      </c>
      <c r="J97" s="84" t="s">
        <v>1156</v>
      </c>
      <c r="K97" s="85">
        <v>42990</v>
      </c>
      <c r="L97" s="83">
        <v>2017</v>
      </c>
      <c r="M97" s="83">
        <f t="shared" si="2"/>
        <v>2</v>
      </c>
      <c r="N97" s="83" t="s">
        <v>3</v>
      </c>
      <c r="O97" s="83" t="s">
        <v>1137</v>
      </c>
      <c r="P97" s="84" t="s">
        <v>1139</v>
      </c>
      <c r="Q97" s="83"/>
      <c r="R97" s="84" t="s">
        <v>1140</v>
      </c>
    </row>
    <row r="98" spans="2:18" x14ac:dyDescent="0.25">
      <c r="B98" s="136">
        <v>28</v>
      </c>
      <c r="C98" s="136"/>
      <c r="D98" s="83">
        <v>91</v>
      </c>
      <c r="E98" s="84" t="s">
        <v>160</v>
      </c>
      <c r="F98" s="83" t="s">
        <v>6</v>
      </c>
      <c r="G98" s="83">
        <v>0</v>
      </c>
      <c r="H98" s="83" t="s">
        <v>1</v>
      </c>
      <c r="I98" s="83" t="s">
        <v>2</v>
      </c>
      <c r="J98" s="84"/>
      <c r="K98" s="85">
        <v>22281</v>
      </c>
      <c r="L98" s="83">
        <v>1960</v>
      </c>
      <c r="M98" s="83">
        <f t="shared" si="2"/>
        <v>59</v>
      </c>
      <c r="N98" s="83"/>
      <c r="O98" s="83"/>
      <c r="P98" s="84" t="s">
        <v>4</v>
      </c>
      <c r="Q98" s="83"/>
      <c r="R98" s="84" t="s">
        <v>5</v>
      </c>
    </row>
    <row r="99" spans="2:18" x14ac:dyDescent="0.25">
      <c r="B99" s="136"/>
      <c r="C99" s="136"/>
      <c r="D99" s="83">
        <v>92</v>
      </c>
      <c r="E99" s="84" t="s">
        <v>161</v>
      </c>
      <c r="F99" s="83" t="s">
        <v>11</v>
      </c>
      <c r="G99" s="83">
        <v>0</v>
      </c>
      <c r="H99" s="83" t="s">
        <v>9</v>
      </c>
      <c r="I99" s="83" t="s">
        <v>2</v>
      </c>
      <c r="J99" s="84"/>
      <c r="K99" s="85">
        <v>22281</v>
      </c>
      <c r="L99" s="83">
        <v>1960</v>
      </c>
      <c r="M99" s="83">
        <f t="shared" si="2"/>
        <v>59</v>
      </c>
      <c r="N99" s="83"/>
      <c r="O99" s="83"/>
      <c r="P99" s="84" t="s">
        <v>4</v>
      </c>
      <c r="Q99" s="83"/>
      <c r="R99" s="84" t="s">
        <v>5</v>
      </c>
    </row>
    <row r="100" spans="2:18" x14ac:dyDescent="0.25">
      <c r="B100" s="136"/>
      <c r="C100" s="136"/>
      <c r="D100" s="83">
        <v>93</v>
      </c>
      <c r="E100" s="84" t="s">
        <v>162</v>
      </c>
      <c r="F100" s="83" t="s">
        <v>17</v>
      </c>
      <c r="G100" s="83">
        <v>0</v>
      </c>
      <c r="H100" s="83" t="s">
        <v>1</v>
      </c>
      <c r="I100" s="83" t="s">
        <v>14</v>
      </c>
      <c r="J100" s="84"/>
      <c r="K100" s="85">
        <v>33642</v>
      </c>
      <c r="L100" s="83">
        <v>1992</v>
      </c>
      <c r="M100" s="83">
        <f t="shared" si="2"/>
        <v>27</v>
      </c>
      <c r="N100" s="83"/>
      <c r="O100" s="83"/>
      <c r="P100" s="84" t="s">
        <v>15</v>
      </c>
      <c r="Q100" s="83"/>
      <c r="R100" s="84" t="s">
        <v>16</v>
      </c>
    </row>
    <row r="101" spans="2:18" x14ac:dyDescent="0.25">
      <c r="B101" s="136"/>
      <c r="C101" s="136"/>
      <c r="D101" s="83">
        <v>94</v>
      </c>
      <c r="E101" s="84" t="s">
        <v>163</v>
      </c>
      <c r="F101" s="83" t="s">
        <v>17</v>
      </c>
      <c r="G101" s="83">
        <v>0</v>
      </c>
      <c r="H101" s="83" t="s">
        <v>9</v>
      </c>
      <c r="I101" s="83" t="s">
        <v>14</v>
      </c>
      <c r="J101" s="84"/>
      <c r="K101" s="85">
        <v>34491</v>
      </c>
      <c r="L101" s="83">
        <v>1994</v>
      </c>
      <c r="M101" s="83">
        <f t="shared" si="2"/>
        <v>25</v>
      </c>
      <c r="N101" s="83"/>
      <c r="O101" s="83"/>
      <c r="P101" s="84" t="s">
        <v>15</v>
      </c>
      <c r="Q101" s="83"/>
      <c r="R101" s="84" t="s">
        <v>16</v>
      </c>
    </row>
    <row r="102" spans="2:18" ht="25.5" x14ac:dyDescent="0.25">
      <c r="B102" s="136">
        <v>29</v>
      </c>
      <c r="C102" s="136" t="s">
        <v>1515</v>
      </c>
      <c r="D102" s="83">
        <v>95</v>
      </c>
      <c r="E102" s="84" t="s">
        <v>164</v>
      </c>
      <c r="F102" s="83" t="s">
        <v>6</v>
      </c>
      <c r="G102" s="83" t="s">
        <v>165</v>
      </c>
      <c r="H102" s="83" t="s">
        <v>9</v>
      </c>
      <c r="I102" s="83" t="s">
        <v>1161</v>
      </c>
      <c r="J102" s="84" t="s">
        <v>1516</v>
      </c>
      <c r="K102" s="85">
        <v>30316</v>
      </c>
      <c r="L102" s="83">
        <v>1982</v>
      </c>
      <c r="M102" s="83">
        <f t="shared" ref="M102:M133" si="3">2019-L102</f>
        <v>37</v>
      </c>
      <c r="N102" s="83" t="s">
        <v>3</v>
      </c>
      <c r="O102" s="83" t="s">
        <v>1137</v>
      </c>
      <c r="P102" s="84" t="s">
        <v>1138</v>
      </c>
      <c r="Q102" s="83"/>
      <c r="R102" s="84" t="s">
        <v>1141</v>
      </c>
    </row>
    <row r="103" spans="2:18" ht="25.5" x14ac:dyDescent="0.25">
      <c r="B103" s="136"/>
      <c r="C103" s="136"/>
      <c r="D103" s="83">
        <v>96</v>
      </c>
      <c r="E103" s="84" t="s">
        <v>166</v>
      </c>
      <c r="F103" s="83" t="s">
        <v>17</v>
      </c>
      <c r="G103" s="83" t="s">
        <v>167</v>
      </c>
      <c r="H103" s="83" t="s">
        <v>1</v>
      </c>
      <c r="I103" s="83" t="s">
        <v>14</v>
      </c>
      <c r="J103" s="84" t="s">
        <v>1246</v>
      </c>
      <c r="K103" s="85">
        <v>39635</v>
      </c>
      <c r="L103" s="83">
        <v>2008</v>
      </c>
      <c r="M103" s="83">
        <f t="shared" si="3"/>
        <v>11</v>
      </c>
      <c r="N103" s="83" t="s">
        <v>3</v>
      </c>
      <c r="O103" s="83" t="s">
        <v>1137</v>
      </c>
      <c r="P103" s="84" t="s">
        <v>1139</v>
      </c>
      <c r="Q103" s="83"/>
      <c r="R103" s="84" t="s">
        <v>1140</v>
      </c>
    </row>
    <row r="104" spans="2:18" ht="25.5" x14ac:dyDescent="0.25">
      <c r="B104" s="136"/>
      <c r="C104" s="136"/>
      <c r="D104" s="83">
        <v>97</v>
      </c>
      <c r="E104" s="84" t="s">
        <v>168</v>
      </c>
      <c r="F104" s="83" t="s">
        <v>17</v>
      </c>
      <c r="G104" s="83" t="s">
        <v>169</v>
      </c>
      <c r="H104" s="83" t="s">
        <v>1</v>
      </c>
      <c r="I104" s="83" t="s">
        <v>14</v>
      </c>
      <c r="J104" s="84" t="s">
        <v>1246</v>
      </c>
      <c r="K104" s="85">
        <v>40193</v>
      </c>
      <c r="L104" s="83">
        <v>2010</v>
      </c>
      <c r="M104" s="83">
        <f t="shared" si="3"/>
        <v>9</v>
      </c>
      <c r="N104" s="83" t="s">
        <v>3</v>
      </c>
      <c r="O104" s="83" t="s">
        <v>1137</v>
      </c>
      <c r="P104" s="84" t="s">
        <v>1139</v>
      </c>
      <c r="Q104" s="83"/>
      <c r="R104" s="84" t="s">
        <v>1140</v>
      </c>
    </row>
    <row r="105" spans="2:18" x14ac:dyDescent="0.25">
      <c r="B105" s="136">
        <v>30</v>
      </c>
      <c r="C105" s="136"/>
      <c r="D105" s="83">
        <v>98</v>
      </c>
      <c r="E105" s="84" t="s">
        <v>170</v>
      </c>
      <c r="F105" s="83" t="s">
        <v>6</v>
      </c>
      <c r="G105" s="83" t="s">
        <v>171</v>
      </c>
      <c r="H105" s="83" t="s">
        <v>1</v>
      </c>
      <c r="I105" s="83" t="s">
        <v>2</v>
      </c>
      <c r="J105" s="84"/>
      <c r="K105" s="85">
        <v>27464</v>
      </c>
      <c r="L105" s="83">
        <v>1975</v>
      </c>
      <c r="M105" s="83">
        <f t="shared" si="3"/>
        <v>44</v>
      </c>
      <c r="N105" s="83"/>
      <c r="O105" s="83"/>
      <c r="P105" s="84" t="s">
        <v>15</v>
      </c>
      <c r="Q105" s="83"/>
      <c r="R105" s="84" t="s">
        <v>10</v>
      </c>
    </row>
    <row r="106" spans="2:18" x14ac:dyDescent="0.25">
      <c r="B106" s="136"/>
      <c r="C106" s="136"/>
      <c r="D106" s="83">
        <v>99</v>
      </c>
      <c r="E106" s="84" t="s">
        <v>172</v>
      </c>
      <c r="F106" s="83" t="s">
        <v>11</v>
      </c>
      <c r="G106" s="83" t="s">
        <v>173</v>
      </c>
      <c r="H106" s="83" t="s">
        <v>9</v>
      </c>
      <c r="I106" s="83" t="s">
        <v>2</v>
      </c>
      <c r="J106" s="84"/>
      <c r="K106" s="85">
        <v>30005</v>
      </c>
      <c r="L106" s="83">
        <v>1982</v>
      </c>
      <c r="M106" s="83">
        <f t="shared" si="3"/>
        <v>37</v>
      </c>
      <c r="N106" s="83"/>
      <c r="O106" s="83"/>
      <c r="P106" s="84" t="s">
        <v>15</v>
      </c>
      <c r="Q106" s="83"/>
      <c r="R106" s="84" t="s">
        <v>10</v>
      </c>
    </row>
    <row r="107" spans="2:18" x14ac:dyDescent="0.25">
      <c r="B107" s="136"/>
      <c r="C107" s="136"/>
      <c r="D107" s="83">
        <v>100</v>
      </c>
      <c r="E107" s="84" t="s">
        <v>174</v>
      </c>
      <c r="F107" s="83" t="s">
        <v>17</v>
      </c>
      <c r="G107" s="83" t="s">
        <v>175</v>
      </c>
      <c r="H107" s="83" t="s">
        <v>9</v>
      </c>
      <c r="I107" s="83" t="s">
        <v>14</v>
      </c>
      <c r="J107" s="84"/>
      <c r="K107" s="85">
        <v>38730</v>
      </c>
      <c r="L107" s="83">
        <v>2006</v>
      </c>
      <c r="M107" s="83">
        <f t="shared" si="3"/>
        <v>13</v>
      </c>
      <c r="N107" s="83"/>
      <c r="O107" s="83"/>
      <c r="P107" s="84" t="s">
        <v>16</v>
      </c>
      <c r="Q107" s="83"/>
      <c r="R107" s="84" t="s">
        <v>16</v>
      </c>
    </row>
    <row r="108" spans="2:18" ht="25.5" x14ac:dyDescent="0.25">
      <c r="B108" s="136"/>
      <c r="C108" s="136"/>
      <c r="D108" s="83">
        <v>101</v>
      </c>
      <c r="E108" s="84" t="s">
        <v>176</v>
      </c>
      <c r="F108" s="83" t="s">
        <v>17</v>
      </c>
      <c r="G108" s="83" t="s">
        <v>177</v>
      </c>
      <c r="H108" s="83" t="s">
        <v>1</v>
      </c>
      <c r="I108" s="83" t="s">
        <v>14</v>
      </c>
      <c r="J108" s="84"/>
      <c r="K108" s="85">
        <v>39901</v>
      </c>
      <c r="L108" s="83">
        <v>2009</v>
      </c>
      <c r="M108" s="83">
        <f t="shared" si="3"/>
        <v>10</v>
      </c>
      <c r="N108" s="83"/>
      <c r="O108" s="83"/>
      <c r="P108" s="84" t="s">
        <v>16</v>
      </c>
      <c r="Q108" s="83"/>
      <c r="R108" s="84" t="s">
        <v>16</v>
      </c>
    </row>
    <row r="109" spans="2:18" ht="25.5" x14ac:dyDescent="0.25">
      <c r="B109" s="136"/>
      <c r="C109" s="136"/>
      <c r="D109" s="83">
        <v>102</v>
      </c>
      <c r="E109" s="84" t="s">
        <v>178</v>
      </c>
      <c r="F109" s="83" t="s">
        <v>17</v>
      </c>
      <c r="G109" s="83" t="s">
        <v>179</v>
      </c>
      <c r="H109" s="83" t="s">
        <v>1</v>
      </c>
      <c r="I109" s="83" t="s">
        <v>14</v>
      </c>
      <c r="J109" s="84"/>
      <c r="K109" s="85">
        <v>39901</v>
      </c>
      <c r="L109" s="83">
        <v>2009</v>
      </c>
      <c r="M109" s="83">
        <f t="shared" si="3"/>
        <v>10</v>
      </c>
      <c r="N109" s="83"/>
      <c r="O109" s="83"/>
      <c r="P109" s="84" t="s">
        <v>16</v>
      </c>
      <c r="Q109" s="83"/>
      <c r="R109" s="84" t="s">
        <v>16</v>
      </c>
    </row>
    <row r="110" spans="2:18" ht="25.5" x14ac:dyDescent="0.25">
      <c r="B110" s="136">
        <v>31</v>
      </c>
      <c r="C110" s="136"/>
      <c r="D110" s="83">
        <v>103</v>
      </c>
      <c r="E110" s="84" t="s">
        <v>180</v>
      </c>
      <c r="F110" s="83" t="s">
        <v>6</v>
      </c>
      <c r="G110" s="83" t="s">
        <v>181</v>
      </c>
      <c r="H110" s="83" t="s">
        <v>1</v>
      </c>
      <c r="I110" s="83" t="s">
        <v>2</v>
      </c>
      <c r="J110" s="84"/>
      <c r="K110" s="85">
        <v>29847</v>
      </c>
      <c r="L110" s="83">
        <v>1981</v>
      </c>
      <c r="M110" s="83">
        <f t="shared" si="3"/>
        <v>38</v>
      </c>
      <c r="N110" s="83"/>
      <c r="O110" s="83"/>
      <c r="P110" s="84" t="s">
        <v>15</v>
      </c>
      <c r="Q110" s="83"/>
      <c r="R110" s="84" t="s">
        <v>10</v>
      </c>
    </row>
    <row r="111" spans="2:18" ht="25.5" x14ac:dyDescent="0.25">
      <c r="B111" s="136"/>
      <c r="C111" s="136"/>
      <c r="D111" s="83">
        <v>104</v>
      </c>
      <c r="E111" s="84" t="s">
        <v>182</v>
      </c>
      <c r="F111" s="83" t="s">
        <v>11</v>
      </c>
      <c r="G111" s="83" t="s">
        <v>183</v>
      </c>
      <c r="H111" s="83" t="s">
        <v>9</v>
      </c>
      <c r="I111" s="83" t="s">
        <v>2</v>
      </c>
      <c r="J111" s="84"/>
      <c r="K111" s="85">
        <v>31654</v>
      </c>
      <c r="L111" s="83">
        <v>1986</v>
      </c>
      <c r="M111" s="83">
        <f t="shared" si="3"/>
        <v>33</v>
      </c>
      <c r="N111" s="83"/>
      <c r="O111" s="83"/>
      <c r="P111" s="84" t="s">
        <v>4</v>
      </c>
      <c r="Q111" s="83"/>
      <c r="R111" s="84" t="s">
        <v>10</v>
      </c>
    </row>
    <row r="112" spans="2:18" ht="25.5" x14ac:dyDescent="0.25">
      <c r="B112" s="136"/>
      <c r="C112" s="136"/>
      <c r="D112" s="83">
        <v>105</v>
      </c>
      <c r="E112" s="84" t="s">
        <v>184</v>
      </c>
      <c r="F112" s="83" t="s">
        <v>17</v>
      </c>
      <c r="G112" s="83" t="s">
        <v>185</v>
      </c>
      <c r="H112" s="83" t="s">
        <v>9</v>
      </c>
      <c r="I112" s="83" t="s">
        <v>14</v>
      </c>
      <c r="J112" s="84"/>
      <c r="K112" s="85">
        <v>40260</v>
      </c>
      <c r="L112" s="83">
        <v>2010</v>
      </c>
      <c r="M112" s="83">
        <f t="shared" si="3"/>
        <v>9</v>
      </c>
      <c r="N112" s="83"/>
      <c r="O112" s="83"/>
      <c r="P112" s="84" t="s">
        <v>16</v>
      </c>
      <c r="Q112" s="83"/>
      <c r="R112" s="84" t="s">
        <v>16</v>
      </c>
    </row>
    <row r="113" spans="2:18" ht="25.5" x14ac:dyDescent="0.25">
      <c r="B113" s="136">
        <v>32</v>
      </c>
      <c r="C113" s="136"/>
      <c r="D113" s="83">
        <v>106</v>
      </c>
      <c r="E113" s="84" t="s">
        <v>186</v>
      </c>
      <c r="F113" s="83" t="s">
        <v>6</v>
      </c>
      <c r="G113" s="83" t="s">
        <v>188</v>
      </c>
      <c r="H113" s="83" t="s">
        <v>1</v>
      </c>
      <c r="I113" s="83" t="s">
        <v>2</v>
      </c>
      <c r="J113" s="84"/>
      <c r="K113" s="85">
        <v>31106</v>
      </c>
      <c r="L113" s="83">
        <v>1985</v>
      </c>
      <c r="M113" s="83">
        <f t="shared" si="3"/>
        <v>34</v>
      </c>
      <c r="N113" s="83"/>
      <c r="O113" s="83"/>
      <c r="P113" s="84" t="s">
        <v>187</v>
      </c>
      <c r="Q113" s="83"/>
      <c r="R113" s="84" t="s">
        <v>10</v>
      </c>
    </row>
    <row r="114" spans="2:18" x14ac:dyDescent="0.25">
      <c r="B114" s="136"/>
      <c r="C114" s="136"/>
      <c r="D114" s="83">
        <v>107</v>
      </c>
      <c r="E114" s="84" t="s">
        <v>189</v>
      </c>
      <c r="F114" s="83" t="s">
        <v>11</v>
      </c>
      <c r="G114" s="83" t="s">
        <v>190</v>
      </c>
      <c r="H114" s="83" t="s">
        <v>9</v>
      </c>
      <c r="I114" s="83" t="s">
        <v>2</v>
      </c>
      <c r="J114" s="84"/>
      <c r="K114" s="85">
        <v>31451</v>
      </c>
      <c r="L114" s="83">
        <v>1986</v>
      </c>
      <c r="M114" s="83">
        <f t="shared" si="3"/>
        <v>33</v>
      </c>
      <c r="N114" s="83"/>
      <c r="O114" s="83"/>
      <c r="P114" s="84" t="s">
        <v>187</v>
      </c>
      <c r="Q114" s="83"/>
      <c r="R114" s="84" t="s">
        <v>5</v>
      </c>
    </row>
    <row r="115" spans="2:18" ht="38.25" x14ac:dyDescent="0.25">
      <c r="B115" s="136"/>
      <c r="C115" s="136"/>
      <c r="D115" s="83">
        <v>108</v>
      </c>
      <c r="E115" s="84" t="s">
        <v>191</v>
      </c>
      <c r="F115" s="83" t="s">
        <v>17</v>
      </c>
      <c r="G115" s="83" t="s">
        <v>192</v>
      </c>
      <c r="H115" s="83" t="s">
        <v>1</v>
      </c>
      <c r="I115" s="83" t="s">
        <v>14</v>
      </c>
      <c r="J115" s="84"/>
      <c r="K115" s="85">
        <v>39368</v>
      </c>
      <c r="L115" s="83">
        <v>2007</v>
      </c>
      <c r="M115" s="83">
        <f t="shared" si="3"/>
        <v>12</v>
      </c>
      <c r="N115" s="83"/>
      <c r="O115" s="83"/>
      <c r="P115" s="84" t="s">
        <v>16</v>
      </c>
      <c r="Q115" s="83"/>
      <c r="R115" s="84" t="s">
        <v>16</v>
      </c>
    </row>
    <row r="116" spans="2:18" ht="38.25" x14ac:dyDescent="0.25">
      <c r="B116" s="136"/>
      <c r="C116" s="136"/>
      <c r="D116" s="83">
        <v>109</v>
      </c>
      <c r="E116" s="84" t="s">
        <v>193</v>
      </c>
      <c r="F116" s="83" t="s">
        <v>17</v>
      </c>
      <c r="G116" s="83" t="s">
        <v>194</v>
      </c>
      <c r="H116" s="83" t="s">
        <v>9</v>
      </c>
      <c r="I116" s="83" t="s">
        <v>14</v>
      </c>
      <c r="J116" s="84"/>
      <c r="K116" s="85">
        <v>41218</v>
      </c>
      <c r="L116" s="83">
        <v>2012</v>
      </c>
      <c r="M116" s="83">
        <f t="shared" si="3"/>
        <v>7</v>
      </c>
      <c r="N116" s="83"/>
      <c r="O116" s="83"/>
      <c r="P116" s="84" t="s">
        <v>16</v>
      </c>
      <c r="Q116" s="83"/>
      <c r="R116" s="84" t="s">
        <v>16</v>
      </c>
    </row>
    <row r="117" spans="2:18" x14ac:dyDescent="0.25">
      <c r="B117" s="136">
        <v>33</v>
      </c>
      <c r="C117" s="136"/>
      <c r="D117" s="83">
        <v>110</v>
      </c>
      <c r="E117" s="84" t="s">
        <v>16</v>
      </c>
      <c r="F117" s="83" t="s">
        <v>6</v>
      </c>
      <c r="G117" s="83">
        <v>0</v>
      </c>
      <c r="H117" s="83" t="s">
        <v>1</v>
      </c>
      <c r="I117" s="83" t="s">
        <v>2</v>
      </c>
      <c r="J117" s="84"/>
      <c r="K117" s="85"/>
      <c r="L117" s="83"/>
      <c r="M117" s="83">
        <f t="shared" si="3"/>
        <v>2019</v>
      </c>
      <c r="N117" s="83"/>
      <c r="O117" s="83"/>
      <c r="P117" s="84" t="s">
        <v>15</v>
      </c>
      <c r="Q117" s="83"/>
      <c r="R117" s="84" t="s">
        <v>31</v>
      </c>
    </row>
    <row r="118" spans="2:18" x14ac:dyDescent="0.25">
      <c r="B118" s="136"/>
      <c r="C118" s="136"/>
      <c r="D118" s="83">
        <v>111</v>
      </c>
      <c r="E118" s="84" t="s">
        <v>106</v>
      </c>
      <c r="F118" s="83" t="s">
        <v>11</v>
      </c>
      <c r="G118" s="83">
        <v>0</v>
      </c>
      <c r="H118" s="83" t="s">
        <v>9</v>
      </c>
      <c r="I118" s="83" t="s">
        <v>2</v>
      </c>
      <c r="J118" s="84"/>
      <c r="K118" s="85"/>
      <c r="L118" s="83"/>
      <c r="M118" s="83">
        <f t="shared" si="3"/>
        <v>2019</v>
      </c>
      <c r="N118" s="83"/>
      <c r="O118" s="83"/>
      <c r="P118" s="84" t="s">
        <v>187</v>
      </c>
      <c r="Q118" s="83"/>
      <c r="R118" s="84" t="s">
        <v>5</v>
      </c>
    </row>
    <row r="119" spans="2:18" x14ac:dyDescent="0.25">
      <c r="B119" s="136"/>
      <c r="C119" s="136"/>
      <c r="D119" s="83">
        <v>112</v>
      </c>
      <c r="E119" s="84" t="s">
        <v>16</v>
      </c>
      <c r="F119" s="83" t="s">
        <v>17</v>
      </c>
      <c r="G119" s="83">
        <v>0</v>
      </c>
      <c r="H119" s="83" t="s">
        <v>1</v>
      </c>
      <c r="I119" s="83" t="s">
        <v>14</v>
      </c>
      <c r="J119" s="84"/>
      <c r="K119" s="85"/>
      <c r="L119" s="83"/>
      <c r="M119" s="83">
        <f t="shared" si="3"/>
        <v>2019</v>
      </c>
      <c r="N119" s="83"/>
      <c r="O119" s="83"/>
      <c r="P119" s="84" t="s">
        <v>54</v>
      </c>
      <c r="Q119" s="83"/>
      <c r="R119" s="84" t="s">
        <v>16</v>
      </c>
    </row>
    <row r="120" spans="2:18" x14ac:dyDescent="0.25">
      <c r="B120" s="136"/>
      <c r="C120" s="136"/>
      <c r="D120" s="83">
        <v>113</v>
      </c>
      <c r="E120" s="84" t="s">
        <v>16</v>
      </c>
      <c r="F120" s="83" t="s">
        <v>17</v>
      </c>
      <c r="G120" s="83">
        <v>0</v>
      </c>
      <c r="H120" s="83" t="s">
        <v>9</v>
      </c>
      <c r="I120" s="83" t="s">
        <v>14</v>
      </c>
      <c r="J120" s="84"/>
      <c r="K120" s="85"/>
      <c r="L120" s="83"/>
      <c r="M120" s="83">
        <f t="shared" si="3"/>
        <v>2019</v>
      </c>
      <c r="N120" s="83"/>
      <c r="O120" s="83"/>
      <c r="P120" s="84" t="s">
        <v>16</v>
      </c>
      <c r="Q120" s="83"/>
      <c r="R120" s="84" t="s">
        <v>16</v>
      </c>
    </row>
    <row r="121" spans="2:18" x14ac:dyDescent="0.25">
      <c r="B121" s="83">
        <v>34</v>
      </c>
      <c r="C121" s="83"/>
      <c r="D121" s="83">
        <v>114</v>
      </c>
      <c r="E121" s="84" t="s">
        <v>195</v>
      </c>
      <c r="F121" s="83" t="s">
        <v>6</v>
      </c>
      <c r="G121" s="83">
        <v>0</v>
      </c>
      <c r="H121" s="83" t="s">
        <v>9</v>
      </c>
      <c r="I121" s="83" t="s">
        <v>24</v>
      </c>
      <c r="J121" s="84"/>
      <c r="K121" s="85">
        <v>17532</v>
      </c>
      <c r="L121" s="83">
        <v>1947</v>
      </c>
      <c r="M121" s="83">
        <f t="shared" si="3"/>
        <v>72</v>
      </c>
      <c r="N121" s="83"/>
      <c r="O121" s="83"/>
      <c r="P121" s="84" t="s">
        <v>16</v>
      </c>
      <c r="Q121" s="83"/>
      <c r="R121" s="84" t="s">
        <v>25</v>
      </c>
    </row>
    <row r="122" spans="2:18" x14ac:dyDescent="0.25">
      <c r="B122" s="136">
        <v>35</v>
      </c>
      <c r="C122" s="136"/>
      <c r="D122" s="83">
        <v>115</v>
      </c>
      <c r="E122" s="84" t="s">
        <v>196</v>
      </c>
      <c r="F122" s="83" t="s">
        <v>6</v>
      </c>
      <c r="G122" s="83">
        <v>0</v>
      </c>
      <c r="H122" s="83" t="s">
        <v>1</v>
      </c>
      <c r="I122" s="83" t="s">
        <v>2</v>
      </c>
      <c r="J122" s="84"/>
      <c r="K122" s="85">
        <v>28855</v>
      </c>
      <c r="L122" s="83">
        <v>1978</v>
      </c>
      <c r="M122" s="83">
        <f t="shared" si="3"/>
        <v>41</v>
      </c>
      <c r="N122" s="83"/>
      <c r="O122" s="83"/>
      <c r="P122" s="84" t="s">
        <v>4</v>
      </c>
      <c r="Q122" s="83"/>
      <c r="R122" s="84" t="s">
        <v>10</v>
      </c>
    </row>
    <row r="123" spans="2:18" x14ac:dyDescent="0.25">
      <c r="B123" s="136"/>
      <c r="C123" s="136"/>
      <c r="D123" s="83">
        <v>116</v>
      </c>
      <c r="E123" s="84" t="s">
        <v>197</v>
      </c>
      <c r="F123" s="83" t="s">
        <v>11</v>
      </c>
      <c r="G123" s="83">
        <v>0</v>
      </c>
      <c r="H123" s="83" t="s">
        <v>9</v>
      </c>
      <c r="I123" s="83" t="s">
        <v>2</v>
      </c>
      <c r="J123" s="84"/>
      <c r="K123" s="85">
        <v>28965</v>
      </c>
      <c r="L123" s="83">
        <v>1979</v>
      </c>
      <c r="M123" s="83">
        <f t="shared" si="3"/>
        <v>40</v>
      </c>
      <c r="N123" s="83"/>
      <c r="O123" s="83"/>
      <c r="P123" s="84" t="s">
        <v>15</v>
      </c>
      <c r="Q123" s="83"/>
      <c r="R123" s="84" t="s">
        <v>16</v>
      </c>
    </row>
    <row r="124" spans="2:18" ht="38.25" x14ac:dyDescent="0.25">
      <c r="B124" s="136"/>
      <c r="C124" s="136"/>
      <c r="D124" s="83">
        <v>117</v>
      </c>
      <c r="E124" s="84" t="s">
        <v>198</v>
      </c>
      <c r="F124" s="83" t="s">
        <v>17</v>
      </c>
      <c r="G124" s="83">
        <v>0</v>
      </c>
      <c r="H124" s="83" t="s">
        <v>1</v>
      </c>
      <c r="I124" s="83" t="s">
        <v>14</v>
      </c>
      <c r="J124" s="84"/>
      <c r="K124" s="85">
        <v>39343</v>
      </c>
      <c r="L124" s="83">
        <v>2007</v>
      </c>
      <c r="M124" s="83">
        <f t="shared" si="3"/>
        <v>12</v>
      </c>
      <c r="N124" s="83"/>
      <c r="O124" s="83"/>
      <c r="P124" s="84" t="s">
        <v>16</v>
      </c>
      <c r="Q124" s="83"/>
      <c r="R124" s="84" t="s">
        <v>16</v>
      </c>
    </row>
    <row r="125" spans="2:18" ht="25.5" x14ac:dyDescent="0.25">
      <c r="B125" s="136"/>
      <c r="C125" s="136"/>
      <c r="D125" s="83">
        <v>118</v>
      </c>
      <c r="E125" s="84" t="s">
        <v>199</v>
      </c>
      <c r="F125" s="83" t="s">
        <v>17</v>
      </c>
      <c r="G125" s="83">
        <v>0</v>
      </c>
      <c r="H125" s="83" t="s">
        <v>9</v>
      </c>
      <c r="I125" s="83" t="s">
        <v>14</v>
      </c>
      <c r="J125" s="84"/>
      <c r="K125" s="85">
        <v>40811</v>
      </c>
      <c r="L125" s="83">
        <v>2011</v>
      </c>
      <c r="M125" s="83">
        <f t="shared" si="3"/>
        <v>8</v>
      </c>
      <c r="N125" s="83"/>
      <c r="O125" s="83"/>
      <c r="P125" s="84" t="s">
        <v>16</v>
      </c>
      <c r="Q125" s="83"/>
      <c r="R125" s="84" t="s">
        <v>16</v>
      </c>
    </row>
    <row r="126" spans="2:18" x14ac:dyDescent="0.25">
      <c r="B126" s="136">
        <v>36</v>
      </c>
      <c r="C126" s="136"/>
      <c r="D126" s="83">
        <v>119</v>
      </c>
      <c r="E126" s="84" t="s">
        <v>200</v>
      </c>
      <c r="F126" s="83" t="s">
        <v>6</v>
      </c>
      <c r="G126" s="83">
        <v>0</v>
      </c>
      <c r="H126" s="83" t="s">
        <v>1</v>
      </c>
      <c r="I126" s="83" t="s">
        <v>2</v>
      </c>
      <c r="J126" s="84"/>
      <c r="K126" s="85">
        <v>28207</v>
      </c>
      <c r="L126" s="83">
        <v>1977</v>
      </c>
      <c r="M126" s="83">
        <f t="shared" si="3"/>
        <v>42</v>
      </c>
      <c r="N126" s="83"/>
      <c r="O126" s="83"/>
      <c r="P126" s="84" t="s">
        <v>15</v>
      </c>
      <c r="Q126" s="83"/>
      <c r="R126" s="84" t="s">
        <v>10</v>
      </c>
    </row>
    <row r="127" spans="2:18" ht="25.5" x14ac:dyDescent="0.25">
      <c r="B127" s="136"/>
      <c r="C127" s="136"/>
      <c r="D127" s="83">
        <v>120</v>
      </c>
      <c r="E127" s="84" t="s">
        <v>201</v>
      </c>
      <c r="F127" s="83" t="s">
        <v>11</v>
      </c>
      <c r="G127" s="83">
        <v>0</v>
      </c>
      <c r="H127" s="83" t="s">
        <v>9</v>
      </c>
      <c r="I127" s="83" t="s">
        <v>2</v>
      </c>
      <c r="J127" s="84"/>
      <c r="K127" s="85">
        <v>29524</v>
      </c>
      <c r="L127" s="83">
        <v>1980</v>
      </c>
      <c r="M127" s="83">
        <f t="shared" si="3"/>
        <v>39</v>
      </c>
      <c r="N127" s="83"/>
      <c r="O127" s="83"/>
      <c r="P127" s="84" t="s">
        <v>15</v>
      </c>
      <c r="Q127" s="83"/>
      <c r="R127" s="84" t="s">
        <v>123</v>
      </c>
    </row>
    <row r="128" spans="2:18" x14ac:dyDescent="0.25">
      <c r="B128" s="136"/>
      <c r="C128" s="136"/>
      <c r="D128" s="83">
        <v>121</v>
      </c>
      <c r="E128" s="84" t="s">
        <v>202</v>
      </c>
      <c r="F128" s="83" t="s">
        <v>17</v>
      </c>
      <c r="G128" s="83">
        <v>0</v>
      </c>
      <c r="H128" s="83" t="s">
        <v>1</v>
      </c>
      <c r="I128" s="83" t="s">
        <v>14</v>
      </c>
      <c r="J128" s="84"/>
      <c r="K128" s="85">
        <v>36780</v>
      </c>
      <c r="L128" s="83">
        <v>2000</v>
      </c>
      <c r="M128" s="83">
        <f t="shared" si="3"/>
        <v>19</v>
      </c>
      <c r="N128" s="83"/>
      <c r="O128" s="83"/>
      <c r="P128" s="84" t="s">
        <v>54</v>
      </c>
      <c r="Q128" s="83"/>
      <c r="R128" s="84" t="s">
        <v>16</v>
      </c>
    </row>
    <row r="129" spans="2:18" x14ac:dyDescent="0.25">
      <c r="B129" s="136"/>
      <c r="C129" s="136"/>
      <c r="D129" s="83">
        <v>122</v>
      </c>
      <c r="E129" s="84" t="s">
        <v>203</v>
      </c>
      <c r="F129" s="83" t="s">
        <v>17</v>
      </c>
      <c r="G129" s="83">
        <v>0</v>
      </c>
      <c r="H129" s="83" t="s">
        <v>1</v>
      </c>
      <c r="I129" s="83" t="s">
        <v>14</v>
      </c>
      <c r="J129" s="84"/>
      <c r="K129" s="85">
        <v>37715</v>
      </c>
      <c r="L129" s="83">
        <v>2003</v>
      </c>
      <c r="M129" s="83">
        <f t="shared" si="3"/>
        <v>16</v>
      </c>
      <c r="N129" s="83"/>
      <c r="O129" s="83"/>
      <c r="P129" s="84" t="s">
        <v>16</v>
      </c>
      <c r="Q129" s="83"/>
      <c r="R129" s="84" t="s">
        <v>16</v>
      </c>
    </row>
    <row r="130" spans="2:18" ht="25.5" x14ac:dyDescent="0.25">
      <c r="B130" s="136"/>
      <c r="C130" s="136"/>
      <c r="D130" s="83">
        <v>123</v>
      </c>
      <c r="E130" s="84" t="s">
        <v>204</v>
      </c>
      <c r="F130" s="83" t="s">
        <v>17</v>
      </c>
      <c r="G130" s="83">
        <v>0</v>
      </c>
      <c r="H130" s="83" t="s">
        <v>9</v>
      </c>
      <c r="I130" s="83" t="s">
        <v>14</v>
      </c>
      <c r="J130" s="84"/>
      <c r="K130" s="85">
        <v>40338</v>
      </c>
      <c r="L130" s="83">
        <v>2010</v>
      </c>
      <c r="M130" s="83">
        <f t="shared" si="3"/>
        <v>9</v>
      </c>
      <c r="N130" s="83"/>
      <c r="O130" s="83"/>
      <c r="P130" s="84" t="s">
        <v>16</v>
      </c>
      <c r="Q130" s="83"/>
      <c r="R130" s="84" t="s">
        <v>16</v>
      </c>
    </row>
    <row r="131" spans="2:18" x14ac:dyDescent="0.25">
      <c r="B131" s="136">
        <v>37</v>
      </c>
      <c r="C131" s="136"/>
      <c r="D131" s="83">
        <v>124</v>
      </c>
      <c r="E131" s="84" t="s">
        <v>205</v>
      </c>
      <c r="F131" s="83" t="s">
        <v>6</v>
      </c>
      <c r="G131" s="83" t="s">
        <v>206</v>
      </c>
      <c r="H131" s="83" t="s">
        <v>1</v>
      </c>
      <c r="I131" s="83" t="s">
        <v>2</v>
      </c>
      <c r="J131" s="84"/>
      <c r="K131" s="85">
        <v>25203</v>
      </c>
      <c r="L131" s="83">
        <v>1968</v>
      </c>
      <c r="M131" s="83">
        <f t="shared" si="3"/>
        <v>51</v>
      </c>
      <c r="N131" s="83"/>
      <c r="O131" s="83"/>
      <c r="P131" s="84" t="s">
        <v>15</v>
      </c>
      <c r="Q131" s="83"/>
      <c r="R131" s="84" t="s">
        <v>5</v>
      </c>
    </row>
    <row r="132" spans="2:18" x14ac:dyDescent="0.25">
      <c r="B132" s="136"/>
      <c r="C132" s="136"/>
      <c r="D132" s="83">
        <v>125</v>
      </c>
      <c r="E132" s="84" t="s">
        <v>207</v>
      </c>
      <c r="F132" s="83" t="s">
        <v>11</v>
      </c>
      <c r="G132" s="83" t="s">
        <v>208</v>
      </c>
      <c r="H132" s="83" t="s">
        <v>9</v>
      </c>
      <c r="I132" s="83" t="s">
        <v>2</v>
      </c>
      <c r="J132" s="84"/>
      <c r="K132" s="85">
        <v>28918</v>
      </c>
      <c r="L132" s="83">
        <v>1979</v>
      </c>
      <c r="M132" s="83">
        <f t="shared" si="3"/>
        <v>40</v>
      </c>
      <c r="N132" s="83"/>
      <c r="O132" s="83"/>
      <c r="P132" s="84" t="s">
        <v>15</v>
      </c>
      <c r="Q132" s="83"/>
      <c r="R132" s="84" t="s">
        <v>10</v>
      </c>
    </row>
    <row r="133" spans="2:18" ht="25.5" x14ac:dyDescent="0.25">
      <c r="B133" s="136"/>
      <c r="C133" s="136"/>
      <c r="D133" s="83">
        <v>126</v>
      </c>
      <c r="E133" s="84" t="s">
        <v>209</v>
      </c>
      <c r="F133" s="83" t="s">
        <v>17</v>
      </c>
      <c r="G133" s="83" t="s">
        <v>210</v>
      </c>
      <c r="H133" s="83" t="s">
        <v>9</v>
      </c>
      <c r="I133" s="83" t="s">
        <v>14</v>
      </c>
      <c r="J133" s="84"/>
      <c r="K133" s="85">
        <v>37769</v>
      </c>
      <c r="L133" s="83">
        <v>2003</v>
      </c>
      <c r="M133" s="83">
        <f t="shared" si="3"/>
        <v>16</v>
      </c>
      <c r="N133" s="83"/>
      <c r="O133" s="83"/>
      <c r="P133" s="84" t="s">
        <v>16</v>
      </c>
      <c r="Q133" s="83"/>
      <c r="R133" s="84" t="s">
        <v>16</v>
      </c>
    </row>
    <row r="134" spans="2:18" ht="25.5" x14ac:dyDescent="0.25">
      <c r="B134" s="136"/>
      <c r="C134" s="136"/>
      <c r="D134" s="83">
        <v>127</v>
      </c>
      <c r="E134" s="84" t="s">
        <v>211</v>
      </c>
      <c r="F134" s="83" t="s">
        <v>17</v>
      </c>
      <c r="G134" s="83" t="s">
        <v>212</v>
      </c>
      <c r="H134" s="83" t="s">
        <v>1</v>
      </c>
      <c r="I134" s="83" t="s">
        <v>14</v>
      </c>
      <c r="J134" s="84"/>
      <c r="K134" s="85">
        <v>39260</v>
      </c>
      <c r="L134" s="83">
        <v>2007</v>
      </c>
      <c r="M134" s="83">
        <f t="shared" ref="M134:M165" si="4">2019-L134</f>
        <v>12</v>
      </c>
      <c r="N134" s="83"/>
      <c r="O134" s="83"/>
      <c r="P134" s="84" t="s">
        <v>16</v>
      </c>
      <c r="Q134" s="83"/>
      <c r="R134" s="84" t="s">
        <v>16</v>
      </c>
    </row>
    <row r="135" spans="2:18" ht="25.5" x14ac:dyDescent="0.25">
      <c r="B135" s="136">
        <v>38</v>
      </c>
      <c r="C135" s="136"/>
      <c r="D135" s="83">
        <v>128</v>
      </c>
      <c r="E135" s="84" t="s">
        <v>213</v>
      </c>
      <c r="F135" s="83" t="s">
        <v>6</v>
      </c>
      <c r="G135" s="83" t="s">
        <v>214</v>
      </c>
      <c r="H135" s="83" t="s">
        <v>1</v>
      </c>
      <c r="I135" s="83" t="s">
        <v>2</v>
      </c>
      <c r="J135" s="84"/>
      <c r="K135" s="85">
        <v>22281</v>
      </c>
      <c r="L135" s="83">
        <v>1960</v>
      </c>
      <c r="M135" s="83">
        <f t="shared" si="4"/>
        <v>59</v>
      </c>
      <c r="N135" s="83"/>
      <c r="O135" s="83"/>
      <c r="P135" s="84" t="s">
        <v>4</v>
      </c>
      <c r="Q135" s="83"/>
      <c r="R135" s="84" t="s">
        <v>5</v>
      </c>
    </row>
    <row r="136" spans="2:18" x14ac:dyDescent="0.25">
      <c r="B136" s="136"/>
      <c r="C136" s="136"/>
      <c r="D136" s="83">
        <v>129</v>
      </c>
      <c r="E136" s="84" t="s">
        <v>215</v>
      </c>
      <c r="F136" s="83" t="s">
        <v>11</v>
      </c>
      <c r="G136" s="83" t="s">
        <v>216</v>
      </c>
      <c r="H136" s="83" t="s">
        <v>9</v>
      </c>
      <c r="I136" s="83" t="s">
        <v>2</v>
      </c>
      <c r="J136" s="84"/>
      <c r="K136" s="85">
        <v>27394</v>
      </c>
      <c r="L136" s="83">
        <v>1974</v>
      </c>
      <c r="M136" s="83">
        <f t="shared" si="4"/>
        <v>45</v>
      </c>
      <c r="N136" s="83"/>
      <c r="O136" s="83"/>
      <c r="P136" s="84" t="s">
        <v>15</v>
      </c>
      <c r="Q136" s="83"/>
      <c r="R136" s="84" t="s">
        <v>16</v>
      </c>
    </row>
    <row r="137" spans="2:18" x14ac:dyDescent="0.25">
      <c r="B137" s="136"/>
      <c r="C137" s="136"/>
      <c r="D137" s="83">
        <v>130</v>
      </c>
      <c r="E137" s="84" t="s">
        <v>217</v>
      </c>
      <c r="F137" s="83" t="s">
        <v>17</v>
      </c>
      <c r="G137" s="83" t="s">
        <v>218</v>
      </c>
      <c r="H137" s="83" t="s">
        <v>9</v>
      </c>
      <c r="I137" s="83" t="s">
        <v>14</v>
      </c>
      <c r="J137" s="84"/>
      <c r="K137" s="85">
        <v>34019</v>
      </c>
      <c r="L137" s="83">
        <v>1993</v>
      </c>
      <c r="M137" s="83">
        <f t="shared" si="4"/>
        <v>26</v>
      </c>
      <c r="N137" s="83"/>
      <c r="O137" s="83"/>
      <c r="P137" s="84" t="s">
        <v>15</v>
      </c>
      <c r="Q137" s="83"/>
      <c r="R137" s="84" t="s">
        <v>16</v>
      </c>
    </row>
    <row r="138" spans="2:18" x14ac:dyDescent="0.25">
      <c r="B138" s="136"/>
      <c r="C138" s="136"/>
      <c r="D138" s="83">
        <v>131</v>
      </c>
      <c r="E138" s="84" t="s">
        <v>219</v>
      </c>
      <c r="F138" s="83" t="s">
        <v>17</v>
      </c>
      <c r="G138" s="83" t="s">
        <v>220</v>
      </c>
      <c r="H138" s="83" t="s">
        <v>1</v>
      </c>
      <c r="I138" s="83" t="s">
        <v>14</v>
      </c>
      <c r="J138" s="84"/>
      <c r="K138" s="85">
        <v>36482</v>
      </c>
      <c r="L138" s="83">
        <v>1999</v>
      </c>
      <c r="M138" s="83">
        <f t="shared" si="4"/>
        <v>20</v>
      </c>
      <c r="N138" s="83"/>
      <c r="O138" s="83"/>
      <c r="P138" s="84" t="s">
        <v>54</v>
      </c>
      <c r="Q138" s="83"/>
      <c r="R138" s="84" t="s">
        <v>16</v>
      </c>
    </row>
    <row r="139" spans="2:18" x14ac:dyDescent="0.25">
      <c r="B139" s="136"/>
      <c r="C139" s="136"/>
      <c r="D139" s="83">
        <v>132</v>
      </c>
      <c r="E139" s="84" t="s">
        <v>221</v>
      </c>
      <c r="F139" s="83" t="s">
        <v>17</v>
      </c>
      <c r="G139" s="83" t="s">
        <v>222</v>
      </c>
      <c r="H139" s="83" t="s">
        <v>9</v>
      </c>
      <c r="I139" s="83" t="s">
        <v>14</v>
      </c>
      <c r="J139" s="84"/>
      <c r="K139" s="85">
        <v>38815</v>
      </c>
      <c r="L139" s="83">
        <v>2006</v>
      </c>
      <c r="M139" s="83">
        <f t="shared" si="4"/>
        <v>13</v>
      </c>
      <c r="N139" s="83"/>
      <c r="O139" s="83"/>
      <c r="P139" s="84" t="s">
        <v>16</v>
      </c>
      <c r="Q139" s="83"/>
      <c r="R139" s="84" t="s">
        <v>16</v>
      </c>
    </row>
    <row r="140" spans="2:18" x14ac:dyDescent="0.25">
      <c r="B140" s="136">
        <v>39</v>
      </c>
      <c r="C140" s="136"/>
      <c r="D140" s="83">
        <v>133</v>
      </c>
      <c r="E140" s="84" t="s">
        <v>223</v>
      </c>
      <c r="F140" s="83" t="s">
        <v>6</v>
      </c>
      <c r="G140" s="83" t="s">
        <v>224</v>
      </c>
      <c r="H140" s="83" t="s">
        <v>1</v>
      </c>
      <c r="I140" s="83" t="s">
        <v>2</v>
      </c>
      <c r="J140" s="84"/>
      <c r="K140" s="85">
        <v>25568</v>
      </c>
      <c r="L140" s="83">
        <v>1969</v>
      </c>
      <c r="M140" s="83">
        <f t="shared" si="4"/>
        <v>50</v>
      </c>
      <c r="N140" s="83"/>
      <c r="O140" s="83"/>
      <c r="P140" s="84" t="s">
        <v>15</v>
      </c>
      <c r="Q140" s="83"/>
      <c r="R140" s="84" t="s">
        <v>31</v>
      </c>
    </row>
    <row r="141" spans="2:18" x14ac:dyDescent="0.25">
      <c r="B141" s="136"/>
      <c r="C141" s="136"/>
      <c r="D141" s="83">
        <v>134</v>
      </c>
      <c r="E141" s="84" t="s">
        <v>225</v>
      </c>
      <c r="F141" s="83" t="s">
        <v>11</v>
      </c>
      <c r="G141" s="83" t="s">
        <v>226</v>
      </c>
      <c r="H141" s="83" t="s">
        <v>9</v>
      </c>
      <c r="I141" s="83" t="s">
        <v>2</v>
      </c>
      <c r="J141" s="84"/>
      <c r="K141" s="85">
        <v>27029</v>
      </c>
      <c r="L141" s="83">
        <v>1973</v>
      </c>
      <c r="M141" s="83">
        <f t="shared" si="4"/>
        <v>46</v>
      </c>
      <c r="N141" s="83"/>
      <c r="O141" s="83"/>
      <c r="P141" s="84" t="s">
        <v>27</v>
      </c>
      <c r="Q141" s="83"/>
      <c r="R141" s="84" t="s">
        <v>10</v>
      </c>
    </row>
    <row r="142" spans="2:18" ht="25.5" x14ac:dyDescent="0.25">
      <c r="B142" s="136"/>
      <c r="C142" s="136"/>
      <c r="D142" s="83">
        <v>135</v>
      </c>
      <c r="E142" s="84" t="s">
        <v>227</v>
      </c>
      <c r="F142" s="83" t="s">
        <v>17</v>
      </c>
      <c r="G142" s="83" t="s">
        <v>228</v>
      </c>
      <c r="H142" s="83" t="s">
        <v>1</v>
      </c>
      <c r="I142" s="83" t="s">
        <v>14</v>
      </c>
      <c r="J142" s="84"/>
      <c r="K142" s="85">
        <v>36483</v>
      </c>
      <c r="L142" s="83">
        <v>1999</v>
      </c>
      <c r="M142" s="83">
        <f t="shared" si="4"/>
        <v>20</v>
      </c>
      <c r="N142" s="83"/>
      <c r="O142" s="83"/>
      <c r="P142" s="84" t="s">
        <v>15</v>
      </c>
      <c r="Q142" s="83"/>
      <c r="R142" s="84" t="s">
        <v>16</v>
      </c>
    </row>
    <row r="143" spans="2:18" ht="25.5" x14ac:dyDescent="0.25">
      <c r="B143" s="136"/>
      <c r="C143" s="136"/>
      <c r="D143" s="83">
        <v>136</v>
      </c>
      <c r="E143" s="84" t="s">
        <v>229</v>
      </c>
      <c r="F143" s="83" t="s">
        <v>17</v>
      </c>
      <c r="G143" s="83" t="s">
        <v>230</v>
      </c>
      <c r="H143" s="83" t="s">
        <v>9</v>
      </c>
      <c r="I143" s="83" t="s">
        <v>14</v>
      </c>
      <c r="J143" s="84"/>
      <c r="K143" s="85">
        <v>39811</v>
      </c>
      <c r="L143" s="83">
        <v>2008</v>
      </c>
      <c r="M143" s="83">
        <f t="shared" si="4"/>
        <v>11</v>
      </c>
      <c r="N143" s="83"/>
      <c r="O143" s="83"/>
      <c r="P143" s="84" t="s">
        <v>16</v>
      </c>
      <c r="Q143" s="83"/>
      <c r="R143" s="84" t="s">
        <v>16</v>
      </c>
    </row>
    <row r="144" spans="2:18" x14ac:dyDescent="0.25">
      <c r="B144" s="136">
        <v>40</v>
      </c>
      <c r="C144" s="136"/>
      <c r="D144" s="83">
        <v>137</v>
      </c>
      <c r="E144" s="84" t="s">
        <v>231</v>
      </c>
      <c r="F144" s="83" t="s">
        <v>6</v>
      </c>
      <c r="G144" s="83" t="s">
        <v>232</v>
      </c>
      <c r="H144" s="83" t="s">
        <v>1</v>
      </c>
      <c r="I144" s="83" t="s">
        <v>2</v>
      </c>
      <c r="J144" s="84"/>
      <c r="K144" s="85">
        <v>27029</v>
      </c>
      <c r="L144" s="83">
        <v>1973</v>
      </c>
      <c r="M144" s="83">
        <f t="shared" si="4"/>
        <v>46</v>
      </c>
      <c r="N144" s="83"/>
      <c r="O144" s="83"/>
      <c r="P144" s="84" t="s">
        <v>4</v>
      </c>
      <c r="Q144" s="83"/>
      <c r="R144" s="84" t="s">
        <v>5</v>
      </c>
    </row>
    <row r="145" spans="2:18" x14ac:dyDescent="0.25">
      <c r="B145" s="136"/>
      <c r="C145" s="136"/>
      <c r="D145" s="83">
        <v>138</v>
      </c>
      <c r="E145" s="84" t="s">
        <v>233</v>
      </c>
      <c r="F145" s="83" t="s">
        <v>11</v>
      </c>
      <c r="G145" s="83" t="s">
        <v>234</v>
      </c>
      <c r="H145" s="83" t="s">
        <v>9</v>
      </c>
      <c r="I145" s="83" t="s">
        <v>2</v>
      </c>
      <c r="J145" s="84"/>
      <c r="K145" s="85">
        <v>27171</v>
      </c>
      <c r="L145" s="83">
        <v>1974</v>
      </c>
      <c r="M145" s="83">
        <f t="shared" si="4"/>
        <v>45</v>
      </c>
      <c r="N145" s="83"/>
      <c r="O145" s="83"/>
      <c r="P145" s="84" t="s">
        <v>15</v>
      </c>
      <c r="Q145" s="83"/>
      <c r="R145" s="84" t="s">
        <v>16</v>
      </c>
    </row>
    <row r="146" spans="2:18" ht="25.5" x14ac:dyDescent="0.25">
      <c r="B146" s="136"/>
      <c r="C146" s="136"/>
      <c r="D146" s="83">
        <v>139</v>
      </c>
      <c r="E146" s="84" t="s">
        <v>235</v>
      </c>
      <c r="F146" s="83" t="s">
        <v>17</v>
      </c>
      <c r="G146" s="83" t="s">
        <v>236</v>
      </c>
      <c r="H146" s="83" t="s">
        <v>9</v>
      </c>
      <c r="I146" s="83" t="s">
        <v>14</v>
      </c>
      <c r="J146" s="84"/>
      <c r="K146" s="85">
        <v>37226</v>
      </c>
      <c r="L146" s="83">
        <v>2001</v>
      </c>
      <c r="M146" s="83">
        <f t="shared" si="4"/>
        <v>18</v>
      </c>
      <c r="N146" s="83"/>
      <c r="O146" s="83"/>
      <c r="P146" s="84" t="s">
        <v>27</v>
      </c>
      <c r="Q146" s="83"/>
      <c r="R146" s="84" t="s">
        <v>16</v>
      </c>
    </row>
    <row r="147" spans="2:18" ht="25.5" x14ac:dyDescent="0.25">
      <c r="B147" s="136"/>
      <c r="C147" s="136"/>
      <c r="D147" s="83">
        <v>140</v>
      </c>
      <c r="E147" s="84" t="s">
        <v>237</v>
      </c>
      <c r="F147" s="83" t="s">
        <v>17</v>
      </c>
      <c r="G147" s="83" t="s">
        <v>238</v>
      </c>
      <c r="H147" s="83" t="s">
        <v>1</v>
      </c>
      <c r="I147" s="83" t="s">
        <v>14</v>
      </c>
      <c r="J147" s="84"/>
      <c r="K147" s="85">
        <v>38852</v>
      </c>
      <c r="L147" s="83">
        <v>2006</v>
      </c>
      <c r="M147" s="83">
        <f t="shared" si="4"/>
        <v>13</v>
      </c>
      <c r="N147" s="83"/>
      <c r="O147" s="83"/>
      <c r="P147" s="84" t="s">
        <v>16</v>
      </c>
      <c r="Q147" s="83"/>
      <c r="R147" s="84" t="s">
        <v>16</v>
      </c>
    </row>
    <row r="148" spans="2:18" x14ac:dyDescent="0.25">
      <c r="B148" s="136"/>
      <c r="C148" s="136"/>
      <c r="D148" s="83">
        <v>141</v>
      </c>
      <c r="E148" s="84" t="s">
        <v>239</v>
      </c>
      <c r="F148" s="83" t="s">
        <v>17</v>
      </c>
      <c r="G148" s="83" t="s">
        <v>240</v>
      </c>
      <c r="H148" s="83" t="s">
        <v>9</v>
      </c>
      <c r="I148" s="83" t="s">
        <v>14</v>
      </c>
      <c r="J148" s="84"/>
      <c r="K148" s="85">
        <v>39342</v>
      </c>
      <c r="L148" s="83">
        <v>2007</v>
      </c>
      <c r="M148" s="83">
        <f t="shared" si="4"/>
        <v>12</v>
      </c>
      <c r="N148" s="83"/>
      <c r="O148" s="83"/>
      <c r="P148" s="84" t="s">
        <v>16</v>
      </c>
      <c r="Q148" s="83"/>
      <c r="R148" s="84" t="s">
        <v>16</v>
      </c>
    </row>
    <row r="149" spans="2:18" x14ac:dyDescent="0.25">
      <c r="B149" s="136">
        <v>41</v>
      </c>
      <c r="C149" s="136"/>
      <c r="D149" s="83">
        <v>142</v>
      </c>
      <c r="E149" s="84" t="s">
        <v>241</v>
      </c>
      <c r="F149" s="83" t="s">
        <v>6</v>
      </c>
      <c r="G149" s="83" t="s">
        <v>242</v>
      </c>
      <c r="H149" s="83" t="s">
        <v>1</v>
      </c>
      <c r="I149" s="83" t="s">
        <v>2</v>
      </c>
      <c r="J149" s="84"/>
      <c r="K149" s="85">
        <v>24153</v>
      </c>
      <c r="L149" s="83">
        <v>1966</v>
      </c>
      <c r="M149" s="83">
        <f t="shared" si="4"/>
        <v>53</v>
      </c>
      <c r="N149" s="83"/>
      <c r="O149" s="83"/>
      <c r="P149" s="84" t="s">
        <v>15</v>
      </c>
      <c r="Q149" s="83"/>
      <c r="R149" s="84" t="s">
        <v>31</v>
      </c>
    </row>
    <row r="150" spans="2:18" x14ac:dyDescent="0.25">
      <c r="B150" s="136"/>
      <c r="C150" s="136"/>
      <c r="D150" s="83">
        <v>143</v>
      </c>
      <c r="E150" s="84" t="s">
        <v>243</v>
      </c>
      <c r="F150" s="83" t="s">
        <v>11</v>
      </c>
      <c r="G150" s="83" t="s">
        <v>244</v>
      </c>
      <c r="H150" s="83" t="s">
        <v>9</v>
      </c>
      <c r="I150" s="83" t="s">
        <v>2</v>
      </c>
      <c r="J150" s="84"/>
      <c r="K150" s="85">
        <v>25910</v>
      </c>
      <c r="L150" s="83">
        <v>1970</v>
      </c>
      <c r="M150" s="83">
        <f t="shared" si="4"/>
        <v>49</v>
      </c>
      <c r="N150" s="83"/>
      <c r="O150" s="83"/>
      <c r="P150" s="84" t="s">
        <v>15</v>
      </c>
      <c r="Q150" s="83"/>
      <c r="R150" s="84" t="s">
        <v>123</v>
      </c>
    </row>
    <row r="151" spans="2:18" ht="25.5" x14ac:dyDescent="0.25">
      <c r="B151" s="136"/>
      <c r="C151" s="136"/>
      <c r="D151" s="83">
        <v>144</v>
      </c>
      <c r="E151" s="84" t="s">
        <v>245</v>
      </c>
      <c r="F151" s="83" t="s">
        <v>17</v>
      </c>
      <c r="G151" s="83" t="s">
        <v>246</v>
      </c>
      <c r="H151" s="83" t="s">
        <v>9</v>
      </c>
      <c r="I151" s="83" t="s">
        <v>14</v>
      </c>
      <c r="J151" s="84"/>
      <c r="K151" s="85">
        <v>34469</v>
      </c>
      <c r="L151" s="83">
        <v>1994</v>
      </c>
      <c r="M151" s="83">
        <f t="shared" si="4"/>
        <v>25</v>
      </c>
      <c r="N151" s="83"/>
      <c r="O151" s="83"/>
      <c r="P151" s="84" t="s">
        <v>15</v>
      </c>
      <c r="Q151" s="83"/>
      <c r="R151" s="84" t="s">
        <v>16</v>
      </c>
    </row>
    <row r="152" spans="2:18" ht="25.5" x14ac:dyDescent="0.25">
      <c r="B152" s="136"/>
      <c r="C152" s="136"/>
      <c r="D152" s="83">
        <v>145</v>
      </c>
      <c r="E152" s="84" t="s">
        <v>247</v>
      </c>
      <c r="F152" s="83" t="s">
        <v>17</v>
      </c>
      <c r="G152" s="83" t="s">
        <v>248</v>
      </c>
      <c r="H152" s="83" t="s">
        <v>1</v>
      </c>
      <c r="I152" s="83" t="s">
        <v>14</v>
      </c>
      <c r="J152" s="84"/>
      <c r="K152" s="85">
        <v>37280</v>
      </c>
      <c r="L152" s="83">
        <v>2002</v>
      </c>
      <c r="M152" s="83">
        <f t="shared" si="4"/>
        <v>17</v>
      </c>
      <c r="N152" s="83"/>
      <c r="O152" s="83"/>
      <c r="P152" s="84" t="s">
        <v>54</v>
      </c>
      <c r="Q152" s="83"/>
      <c r="R152" s="84" t="s">
        <v>16</v>
      </c>
    </row>
    <row r="153" spans="2:18" ht="25.5" x14ac:dyDescent="0.25">
      <c r="B153" s="136"/>
      <c r="C153" s="136"/>
      <c r="D153" s="83">
        <v>146</v>
      </c>
      <c r="E153" s="84" t="s">
        <v>249</v>
      </c>
      <c r="F153" s="83" t="s">
        <v>17</v>
      </c>
      <c r="G153" s="83">
        <v>0</v>
      </c>
      <c r="H153" s="83" t="s">
        <v>1</v>
      </c>
      <c r="I153" s="83" t="s">
        <v>14</v>
      </c>
      <c r="J153" s="84"/>
      <c r="K153" s="85">
        <v>39566</v>
      </c>
      <c r="L153" s="83">
        <v>2008</v>
      </c>
      <c r="M153" s="83">
        <f t="shared" si="4"/>
        <v>11</v>
      </c>
      <c r="N153" s="83"/>
      <c r="O153" s="83"/>
      <c r="P153" s="84" t="s">
        <v>16</v>
      </c>
      <c r="Q153" s="83"/>
      <c r="R153" s="84" t="s">
        <v>16</v>
      </c>
    </row>
    <row r="154" spans="2:18" x14ac:dyDescent="0.25">
      <c r="B154" s="136"/>
      <c r="C154" s="136"/>
      <c r="D154" s="83">
        <v>147</v>
      </c>
      <c r="E154" s="84" t="s">
        <v>16</v>
      </c>
      <c r="F154" s="83" t="s">
        <v>25</v>
      </c>
      <c r="G154" s="83">
        <v>0</v>
      </c>
      <c r="H154" s="83" t="s">
        <v>9</v>
      </c>
      <c r="I154" s="83" t="s">
        <v>24</v>
      </c>
      <c r="J154" s="84"/>
      <c r="K154" s="85">
        <v>13149</v>
      </c>
      <c r="L154" s="83">
        <v>1935</v>
      </c>
      <c r="M154" s="83">
        <f t="shared" si="4"/>
        <v>84</v>
      </c>
      <c r="N154" s="83"/>
      <c r="O154" s="83"/>
      <c r="P154" s="84" t="s">
        <v>16</v>
      </c>
      <c r="Q154" s="83"/>
      <c r="R154" s="84" t="s">
        <v>16</v>
      </c>
    </row>
    <row r="155" spans="2:18" ht="25.5" x14ac:dyDescent="0.25">
      <c r="B155" s="136">
        <v>42</v>
      </c>
      <c r="C155" s="136"/>
      <c r="D155" s="83">
        <v>148</v>
      </c>
      <c r="E155" s="84" t="s">
        <v>250</v>
      </c>
      <c r="F155" s="83" t="s">
        <v>6</v>
      </c>
      <c r="G155" s="83" t="s">
        <v>251</v>
      </c>
      <c r="H155" s="83" t="s">
        <v>1</v>
      </c>
      <c r="I155" s="83" t="s">
        <v>2</v>
      </c>
      <c r="J155" s="84"/>
      <c r="K155" s="85">
        <v>31583</v>
      </c>
      <c r="L155" s="83">
        <v>1986</v>
      </c>
      <c r="M155" s="83">
        <f t="shared" si="4"/>
        <v>33</v>
      </c>
      <c r="N155" s="83"/>
      <c r="O155" s="83"/>
      <c r="P155" s="84" t="s">
        <v>4</v>
      </c>
      <c r="Q155" s="83"/>
      <c r="R155" s="84" t="s">
        <v>10</v>
      </c>
    </row>
    <row r="156" spans="2:18" ht="38.25" x14ac:dyDescent="0.25">
      <c r="B156" s="136"/>
      <c r="C156" s="136"/>
      <c r="D156" s="83">
        <v>149</v>
      </c>
      <c r="E156" s="84" t="s">
        <v>252</v>
      </c>
      <c r="F156" s="83" t="s">
        <v>11</v>
      </c>
      <c r="G156" s="83" t="s">
        <v>253</v>
      </c>
      <c r="H156" s="83" t="s">
        <v>9</v>
      </c>
      <c r="I156" s="83" t="s">
        <v>2</v>
      </c>
      <c r="J156" s="84"/>
      <c r="K156" s="85">
        <v>32732</v>
      </c>
      <c r="L156" s="83">
        <v>1989</v>
      </c>
      <c r="M156" s="83">
        <f t="shared" si="4"/>
        <v>30</v>
      </c>
      <c r="N156" s="83"/>
      <c r="O156" s="83"/>
      <c r="P156" s="84" t="s">
        <v>4</v>
      </c>
      <c r="Q156" s="83"/>
      <c r="R156" s="84" t="s">
        <v>10</v>
      </c>
    </row>
    <row r="157" spans="2:18" ht="25.5" x14ac:dyDescent="0.25">
      <c r="B157" s="136"/>
      <c r="C157" s="136"/>
      <c r="D157" s="83">
        <v>150</v>
      </c>
      <c r="E157" s="84" t="s">
        <v>254</v>
      </c>
      <c r="F157" s="83" t="s">
        <v>17</v>
      </c>
      <c r="G157" s="83">
        <v>0</v>
      </c>
      <c r="H157" s="83" t="s">
        <v>9</v>
      </c>
      <c r="I157" s="83" t="s">
        <v>14</v>
      </c>
      <c r="J157" s="84"/>
      <c r="K157" s="85">
        <v>34886</v>
      </c>
      <c r="L157" s="83">
        <v>1995</v>
      </c>
      <c r="M157" s="83">
        <f t="shared" si="4"/>
        <v>24</v>
      </c>
      <c r="N157" s="83"/>
      <c r="O157" s="83"/>
      <c r="P157" s="84" t="s">
        <v>16</v>
      </c>
      <c r="Q157" s="83"/>
      <c r="R157" s="84" t="s">
        <v>16</v>
      </c>
    </row>
    <row r="158" spans="2:18" x14ac:dyDescent="0.25">
      <c r="B158" s="136">
        <v>43</v>
      </c>
      <c r="C158" s="136"/>
      <c r="D158" s="83">
        <v>151</v>
      </c>
      <c r="E158" s="84" t="s">
        <v>255</v>
      </c>
      <c r="F158" s="83" t="s">
        <v>6</v>
      </c>
      <c r="G158" s="83">
        <v>0</v>
      </c>
      <c r="H158" s="83" t="s">
        <v>1</v>
      </c>
      <c r="I158" s="83" t="s">
        <v>2</v>
      </c>
      <c r="J158" s="84"/>
      <c r="K158" s="85">
        <v>26664</v>
      </c>
      <c r="L158" s="83">
        <v>1972</v>
      </c>
      <c r="M158" s="83">
        <f t="shared" si="4"/>
        <v>47</v>
      </c>
      <c r="N158" s="83"/>
      <c r="O158" s="83"/>
      <c r="P158" s="84" t="s">
        <v>15</v>
      </c>
      <c r="Q158" s="83"/>
      <c r="R158" s="84" t="s">
        <v>10</v>
      </c>
    </row>
    <row r="159" spans="2:18" ht="25.5" x14ac:dyDescent="0.25">
      <c r="B159" s="136"/>
      <c r="C159" s="136"/>
      <c r="D159" s="83">
        <v>152</v>
      </c>
      <c r="E159" s="84" t="s">
        <v>256</v>
      </c>
      <c r="F159" s="83" t="s">
        <v>11</v>
      </c>
      <c r="G159" s="83">
        <v>0</v>
      </c>
      <c r="H159" s="83" t="s">
        <v>9</v>
      </c>
      <c r="I159" s="83" t="s">
        <v>2</v>
      </c>
      <c r="J159" s="84"/>
      <c r="K159" s="85">
        <v>29065</v>
      </c>
      <c r="L159" s="83">
        <v>1979</v>
      </c>
      <c r="M159" s="83">
        <f t="shared" si="4"/>
        <v>40</v>
      </c>
      <c r="N159" s="83"/>
      <c r="O159" s="83"/>
      <c r="P159" s="84" t="s">
        <v>15</v>
      </c>
      <c r="Q159" s="83"/>
      <c r="R159" s="84" t="s">
        <v>10</v>
      </c>
    </row>
    <row r="160" spans="2:18" x14ac:dyDescent="0.25">
      <c r="B160" s="136"/>
      <c r="C160" s="136"/>
      <c r="D160" s="83">
        <v>153</v>
      </c>
      <c r="E160" s="84" t="s">
        <v>257</v>
      </c>
      <c r="F160" s="83" t="s">
        <v>17</v>
      </c>
      <c r="G160" s="83">
        <v>0</v>
      </c>
      <c r="H160" s="83" t="s">
        <v>1</v>
      </c>
      <c r="I160" s="83" t="s">
        <v>14</v>
      </c>
      <c r="J160" s="84"/>
      <c r="K160" s="85">
        <v>37815</v>
      </c>
      <c r="L160" s="83">
        <v>2003</v>
      </c>
      <c r="M160" s="83">
        <f t="shared" si="4"/>
        <v>16</v>
      </c>
      <c r="N160" s="83"/>
      <c r="O160" s="83"/>
      <c r="P160" s="84" t="s">
        <v>16</v>
      </c>
      <c r="Q160" s="83"/>
      <c r="R160" s="84" t="s">
        <v>16</v>
      </c>
    </row>
    <row r="161" spans="2:18" ht="25.5" x14ac:dyDescent="0.25">
      <c r="B161" s="136"/>
      <c r="C161" s="136"/>
      <c r="D161" s="83">
        <v>154</v>
      </c>
      <c r="E161" s="84" t="s">
        <v>258</v>
      </c>
      <c r="F161" s="83" t="s">
        <v>17</v>
      </c>
      <c r="G161" s="83">
        <v>0</v>
      </c>
      <c r="H161" s="83" t="s">
        <v>1</v>
      </c>
      <c r="I161" s="83" t="s">
        <v>14</v>
      </c>
      <c r="J161" s="84"/>
      <c r="K161" s="85">
        <v>40385</v>
      </c>
      <c r="L161" s="83">
        <v>2010</v>
      </c>
      <c r="M161" s="83">
        <f t="shared" si="4"/>
        <v>9</v>
      </c>
      <c r="N161" s="83"/>
      <c r="O161" s="83"/>
      <c r="P161" s="84" t="s">
        <v>16</v>
      </c>
      <c r="Q161" s="83"/>
      <c r="R161" s="84" t="s">
        <v>16</v>
      </c>
    </row>
    <row r="162" spans="2:18" ht="25.5" x14ac:dyDescent="0.25">
      <c r="B162" s="136">
        <v>44</v>
      </c>
      <c r="C162" s="136"/>
      <c r="D162" s="83">
        <v>155</v>
      </c>
      <c r="E162" s="84" t="s">
        <v>259</v>
      </c>
      <c r="F162" s="83" t="s">
        <v>6</v>
      </c>
      <c r="G162" s="83" t="s">
        <v>260</v>
      </c>
      <c r="H162" s="83" t="s">
        <v>1</v>
      </c>
      <c r="I162" s="83" t="s">
        <v>2</v>
      </c>
      <c r="J162" s="84"/>
      <c r="K162" s="85">
        <v>29082</v>
      </c>
      <c r="L162" s="83">
        <v>1979</v>
      </c>
      <c r="M162" s="83">
        <f t="shared" si="4"/>
        <v>40</v>
      </c>
      <c r="N162" s="83"/>
      <c r="O162" s="83"/>
      <c r="P162" s="84" t="s">
        <v>15</v>
      </c>
      <c r="Q162" s="83"/>
      <c r="R162" s="84" t="s">
        <v>10</v>
      </c>
    </row>
    <row r="163" spans="2:18" ht="25.5" x14ac:dyDescent="0.25">
      <c r="B163" s="136"/>
      <c r="C163" s="136"/>
      <c r="D163" s="83">
        <v>156</v>
      </c>
      <c r="E163" s="84" t="s">
        <v>261</v>
      </c>
      <c r="F163" s="83" t="s">
        <v>11</v>
      </c>
      <c r="G163" s="83" t="s">
        <v>262</v>
      </c>
      <c r="H163" s="83" t="s">
        <v>9</v>
      </c>
      <c r="I163" s="83" t="s">
        <v>2</v>
      </c>
      <c r="J163" s="84"/>
      <c r="K163" s="85">
        <v>32767</v>
      </c>
      <c r="L163" s="83">
        <v>1989</v>
      </c>
      <c r="M163" s="83">
        <f t="shared" si="4"/>
        <v>30</v>
      </c>
      <c r="N163" s="83"/>
      <c r="O163" s="83"/>
      <c r="P163" s="84" t="s">
        <v>4</v>
      </c>
      <c r="Q163" s="83"/>
      <c r="R163" s="84" t="s">
        <v>10</v>
      </c>
    </row>
    <row r="164" spans="2:18" ht="25.5" x14ac:dyDescent="0.25">
      <c r="B164" s="136"/>
      <c r="C164" s="136"/>
      <c r="D164" s="83">
        <v>157</v>
      </c>
      <c r="E164" s="84" t="s">
        <v>263</v>
      </c>
      <c r="F164" s="83" t="s">
        <v>17</v>
      </c>
      <c r="G164" s="83" t="s">
        <v>264</v>
      </c>
      <c r="H164" s="83" t="s">
        <v>1</v>
      </c>
      <c r="I164" s="83" t="s">
        <v>14</v>
      </c>
      <c r="J164" s="84"/>
      <c r="K164" s="85">
        <v>41448</v>
      </c>
      <c r="L164" s="83">
        <v>2013</v>
      </c>
      <c r="M164" s="83">
        <f t="shared" si="4"/>
        <v>6</v>
      </c>
      <c r="N164" s="83"/>
      <c r="O164" s="83"/>
      <c r="P164" s="84" t="s">
        <v>16</v>
      </c>
      <c r="Q164" s="83"/>
      <c r="R164" s="84" t="s">
        <v>16</v>
      </c>
    </row>
    <row r="165" spans="2:18" x14ac:dyDescent="0.25">
      <c r="B165" s="136">
        <v>45</v>
      </c>
      <c r="C165" s="136"/>
      <c r="D165" s="83">
        <v>158</v>
      </c>
      <c r="E165" s="84" t="s">
        <v>265</v>
      </c>
      <c r="F165" s="83" t="s">
        <v>6</v>
      </c>
      <c r="G165" s="83" t="s">
        <v>266</v>
      </c>
      <c r="H165" s="83" t="s">
        <v>1</v>
      </c>
      <c r="I165" s="83" t="s">
        <v>2</v>
      </c>
      <c r="J165" s="84"/>
      <c r="K165" s="85">
        <v>24732</v>
      </c>
      <c r="L165" s="83">
        <v>1967</v>
      </c>
      <c r="M165" s="83">
        <f t="shared" si="4"/>
        <v>52</v>
      </c>
      <c r="N165" s="83"/>
      <c r="O165" s="83"/>
      <c r="P165" s="84" t="s">
        <v>4</v>
      </c>
      <c r="Q165" s="83"/>
      <c r="R165" s="84" t="s">
        <v>5</v>
      </c>
    </row>
    <row r="166" spans="2:18" x14ac:dyDescent="0.25">
      <c r="B166" s="136"/>
      <c r="C166" s="136"/>
      <c r="D166" s="83">
        <v>159</v>
      </c>
      <c r="E166" s="84" t="s">
        <v>267</v>
      </c>
      <c r="F166" s="83" t="s">
        <v>11</v>
      </c>
      <c r="G166" s="83" t="s">
        <v>268</v>
      </c>
      <c r="H166" s="83" t="s">
        <v>9</v>
      </c>
      <c r="I166" s="83" t="s">
        <v>2</v>
      </c>
      <c r="J166" s="84"/>
      <c r="K166" s="85">
        <v>26991</v>
      </c>
      <c r="L166" s="83">
        <v>1973</v>
      </c>
      <c r="M166" s="83">
        <f t="shared" ref="M166:M197" si="5">2019-L166</f>
        <v>46</v>
      </c>
      <c r="N166" s="83"/>
      <c r="O166" s="83"/>
      <c r="P166" s="84" t="s">
        <v>4</v>
      </c>
      <c r="Q166" s="83"/>
      <c r="R166" s="84" t="s">
        <v>5</v>
      </c>
    </row>
    <row r="167" spans="2:18" x14ac:dyDescent="0.25">
      <c r="B167" s="136"/>
      <c r="C167" s="136"/>
      <c r="D167" s="83">
        <v>160</v>
      </c>
      <c r="E167" s="84" t="s">
        <v>269</v>
      </c>
      <c r="F167" s="83" t="s">
        <v>17</v>
      </c>
      <c r="G167" s="83" t="s">
        <v>270</v>
      </c>
      <c r="H167" s="83" t="s">
        <v>9</v>
      </c>
      <c r="I167" s="83" t="s">
        <v>14</v>
      </c>
      <c r="J167" s="84"/>
      <c r="K167" s="85">
        <v>35587</v>
      </c>
      <c r="L167" s="83">
        <v>1997</v>
      </c>
      <c r="M167" s="83">
        <f t="shared" si="5"/>
        <v>22</v>
      </c>
      <c r="N167" s="83"/>
      <c r="O167" s="83"/>
      <c r="P167" s="84" t="s">
        <v>27</v>
      </c>
      <c r="Q167" s="83"/>
      <c r="R167" s="84" t="s">
        <v>16</v>
      </c>
    </row>
    <row r="168" spans="2:18" ht="25.5" x14ac:dyDescent="0.25">
      <c r="B168" s="136"/>
      <c r="C168" s="136"/>
      <c r="D168" s="83">
        <v>161</v>
      </c>
      <c r="E168" s="84" t="s">
        <v>271</v>
      </c>
      <c r="F168" s="83" t="s">
        <v>17</v>
      </c>
      <c r="G168" s="83" t="s">
        <v>272</v>
      </c>
      <c r="H168" s="83" t="s">
        <v>9</v>
      </c>
      <c r="I168" s="83" t="s">
        <v>14</v>
      </c>
      <c r="J168" s="84"/>
      <c r="K168" s="85">
        <v>36578</v>
      </c>
      <c r="L168" s="83">
        <v>2000</v>
      </c>
      <c r="M168" s="83">
        <f t="shared" si="5"/>
        <v>19</v>
      </c>
      <c r="N168" s="83"/>
      <c r="O168" s="83"/>
      <c r="P168" s="84" t="s">
        <v>27</v>
      </c>
      <c r="Q168" s="83"/>
      <c r="R168" s="84" t="s">
        <v>16</v>
      </c>
    </row>
    <row r="169" spans="2:18" x14ac:dyDescent="0.25">
      <c r="B169" s="136"/>
      <c r="C169" s="136"/>
      <c r="D169" s="83">
        <v>162</v>
      </c>
      <c r="E169" s="84" t="s">
        <v>273</v>
      </c>
      <c r="F169" s="83" t="s">
        <v>17</v>
      </c>
      <c r="G169" s="83" t="s">
        <v>274</v>
      </c>
      <c r="H169" s="83" t="s">
        <v>1</v>
      </c>
      <c r="I169" s="83" t="s">
        <v>14</v>
      </c>
      <c r="J169" s="84"/>
      <c r="K169" s="85">
        <v>38768</v>
      </c>
      <c r="L169" s="83">
        <v>2006</v>
      </c>
      <c r="M169" s="83">
        <f t="shared" si="5"/>
        <v>13</v>
      </c>
      <c r="N169" s="83"/>
      <c r="O169" s="83"/>
      <c r="P169" s="84" t="s">
        <v>16</v>
      </c>
      <c r="Q169" s="83"/>
      <c r="R169" s="84" t="s">
        <v>16</v>
      </c>
    </row>
    <row r="170" spans="2:18" x14ac:dyDescent="0.25">
      <c r="B170" s="136">
        <v>46</v>
      </c>
      <c r="C170" s="136" t="s">
        <v>1281</v>
      </c>
      <c r="D170" s="83">
        <v>163</v>
      </c>
      <c r="E170" s="84" t="s">
        <v>1280</v>
      </c>
      <c r="F170" s="83" t="s">
        <v>6</v>
      </c>
      <c r="G170" s="83" t="s">
        <v>275</v>
      </c>
      <c r="H170" s="83" t="s">
        <v>1</v>
      </c>
      <c r="I170" s="83" t="s">
        <v>2</v>
      </c>
      <c r="J170" s="84" t="s">
        <v>1370</v>
      </c>
      <c r="K170" s="85">
        <v>22837</v>
      </c>
      <c r="L170" s="83">
        <v>1962</v>
      </c>
      <c r="M170" s="83">
        <f t="shared" si="5"/>
        <v>57</v>
      </c>
      <c r="N170" s="83" t="s">
        <v>3</v>
      </c>
      <c r="O170" s="83" t="s">
        <v>1137</v>
      </c>
      <c r="P170" s="84" t="s">
        <v>1283</v>
      </c>
      <c r="Q170" s="83"/>
      <c r="R170" s="84" t="s">
        <v>1285</v>
      </c>
    </row>
    <row r="171" spans="2:18" x14ac:dyDescent="0.25">
      <c r="B171" s="136"/>
      <c r="C171" s="136"/>
      <c r="D171" s="83">
        <v>164</v>
      </c>
      <c r="E171" s="84" t="s">
        <v>276</v>
      </c>
      <c r="F171" s="83" t="s">
        <v>11</v>
      </c>
      <c r="G171" s="83" t="s">
        <v>277</v>
      </c>
      <c r="H171" s="83" t="s">
        <v>9</v>
      </c>
      <c r="I171" s="83" t="s">
        <v>2</v>
      </c>
      <c r="J171" s="84" t="s">
        <v>1156</v>
      </c>
      <c r="K171" s="85">
        <v>23963</v>
      </c>
      <c r="L171" s="83">
        <v>1965</v>
      </c>
      <c r="M171" s="83">
        <f t="shared" si="5"/>
        <v>54</v>
      </c>
      <c r="N171" s="83" t="s">
        <v>3</v>
      </c>
      <c r="O171" s="83" t="s">
        <v>1137</v>
      </c>
      <c r="P171" s="84" t="s">
        <v>1284</v>
      </c>
      <c r="Q171" s="83"/>
      <c r="R171" s="84" t="s">
        <v>1285</v>
      </c>
    </row>
    <row r="172" spans="2:18" ht="25.5" x14ac:dyDescent="0.25">
      <c r="B172" s="136"/>
      <c r="C172" s="136"/>
      <c r="D172" s="83">
        <v>165</v>
      </c>
      <c r="E172" s="84" t="s">
        <v>278</v>
      </c>
      <c r="F172" s="83" t="s">
        <v>17</v>
      </c>
      <c r="G172" s="83" t="s">
        <v>279</v>
      </c>
      <c r="H172" s="83" t="s">
        <v>9</v>
      </c>
      <c r="I172" s="83" t="s">
        <v>14</v>
      </c>
      <c r="J172" s="84" t="s">
        <v>1156</v>
      </c>
      <c r="K172" s="85">
        <v>34299</v>
      </c>
      <c r="L172" s="83">
        <v>1993</v>
      </c>
      <c r="M172" s="83">
        <f t="shared" si="5"/>
        <v>26</v>
      </c>
      <c r="N172" s="83" t="s">
        <v>3</v>
      </c>
      <c r="O172" s="83" t="s">
        <v>1137</v>
      </c>
      <c r="P172" s="84" t="s">
        <v>1159</v>
      </c>
      <c r="Q172" s="83"/>
      <c r="R172" s="84" t="s">
        <v>1160</v>
      </c>
    </row>
    <row r="173" spans="2:18" x14ac:dyDescent="0.25">
      <c r="B173" s="136"/>
      <c r="C173" s="136"/>
      <c r="D173" s="83">
        <v>166</v>
      </c>
      <c r="E173" s="84" t="s">
        <v>280</v>
      </c>
      <c r="F173" s="83" t="s">
        <v>17</v>
      </c>
      <c r="G173" s="83" t="s">
        <v>1282</v>
      </c>
      <c r="H173" s="83" t="s">
        <v>9</v>
      </c>
      <c r="I173" s="83" t="s">
        <v>14</v>
      </c>
      <c r="J173" s="84" t="s">
        <v>1156</v>
      </c>
      <c r="K173" s="85">
        <v>35250</v>
      </c>
      <c r="L173" s="83">
        <v>1996</v>
      </c>
      <c r="M173" s="83">
        <f t="shared" si="5"/>
        <v>23</v>
      </c>
      <c r="N173" s="83" t="s">
        <v>3</v>
      </c>
      <c r="O173" s="83" t="s">
        <v>1137</v>
      </c>
      <c r="P173" s="84" t="s">
        <v>1159</v>
      </c>
      <c r="Q173" s="83"/>
      <c r="R173" s="84" t="s">
        <v>1160</v>
      </c>
    </row>
    <row r="174" spans="2:18" ht="25.5" x14ac:dyDescent="0.25">
      <c r="B174" s="136"/>
      <c r="C174" s="136"/>
      <c r="D174" s="83">
        <v>167</v>
      </c>
      <c r="E174" s="84" t="s">
        <v>281</v>
      </c>
      <c r="F174" s="83" t="s">
        <v>17</v>
      </c>
      <c r="G174" s="83" t="s">
        <v>282</v>
      </c>
      <c r="H174" s="83" t="s">
        <v>9</v>
      </c>
      <c r="I174" s="83" t="s">
        <v>14</v>
      </c>
      <c r="J174" s="84" t="s">
        <v>1308</v>
      </c>
      <c r="K174" s="85">
        <v>39158</v>
      </c>
      <c r="L174" s="83">
        <v>2007</v>
      </c>
      <c r="M174" s="83">
        <f t="shared" si="5"/>
        <v>12</v>
      </c>
      <c r="N174" s="83" t="s">
        <v>3</v>
      </c>
      <c r="O174" s="83" t="s">
        <v>1137</v>
      </c>
      <c r="P174" s="84" t="s">
        <v>1178</v>
      </c>
      <c r="Q174" s="83"/>
      <c r="R174" s="84" t="s">
        <v>1160</v>
      </c>
    </row>
    <row r="175" spans="2:18" ht="38.25" x14ac:dyDescent="0.25">
      <c r="B175" s="136">
        <v>47</v>
      </c>
      <c r="C175" s="136" t="s">
        <v>1373</v>
      </c>
      <c r="D175" s="83">
        <v>168</v>
      </c>
      <c r="E175" s="84" t="s">
        <v>1372</v>
      </c>
      <c r="F175" s="83" t="s">
        <v>6</v>
      </c>
      <c r="G175" s="83" t="s">
        <v>1374</v>
      </c>
      <c r="H175" s="83" t="s">
        <v>9</v>
      </c>
      <c r="I175" s="83" t="s">
        <v>1161</v>
      </c>
      <c r="J175" s="84" t="s">
        <v>1156</v>
      </c>
      <c r="K175" s="85">
        <v>20820</v>
      </c>
      <c r="L175" s="83">
        <v>1956</v>
      </c>
      <c r="M175" s="83">
        <f t="shared" si="5"/>
        <v>63</v>
      </c>
      <c r="N175" s="83" t="s">
        <v>3</v>
      </c>
      <c r="O175" s="83" t="s">
        <v>1137</v>
      </c>
      <c r="P175" s="84" t="s">
        <v>1376</v>
      </c>
      <c r="Q175" s="83"/>
      <c r="R175" s="84" t="s">
        <v>10</v>
      </c>
    </row>
    <row r="176" spans="2:18" ht="25.5" x14ac:dyDescent="0.25">
      <c r="B176" s="136"/>
      <c r="C176" s="136"/>
      <c r="D176" s="83">
        <v>169</v>
      </c>
      <c r="E176" s="84" t="s">
        <v>285</v>
      </c>
      <c r="F176" s="83" t="s">
        <v>17</v>
      </c>
      <c r="G176" s="83" t="s">
        <v>1375</v>
      </c>
      <c r="H176" s="83" t="s">
        <v>1</v>
      </c>
      <c r="I176" s="83" t="s">
        <v>14</v>
      </c>
      <c r="J176" s="84" t="s">
        <v>1156</v>
      </c>
      <c r="K176" s="85">
        <v>34270</v>
      </c>
      <c r="L176" s="83">
        <v>1993</v>
      </c>
      <c r="M176" s="83">
        <f t="shared" si="5"/>
        <v>26</v>
      </c>
      <c r="N176" s="83" t="s">
        <v>3</v>
      </c>
      <c r="O176" s="83" t="s">
        <v>1137</v>
      </c>
      <c r="P176" s="84" t="s">
        <v>15</v>
      </c>
      <c r="Q176" s="83"/>
      <c r="R176" s="84" t="s">
        <v>1160</v>
      </c>
    </row>
    <row r="177" spans="2:18" ht="25.5" x14ac:dyDescent="0.25">
      <c r="B177" s="136">
        <v>48</v>
      </c>
      <c r="C177" s="136"/>
      <c r="D177" s="83">
        <v>170</v>
      </c>
      <c r="E177" s="84" t="s">
        <v>286</v>
      </c>
      <c r="F177" s="83" t="s">
        <v>6</v>
      </c>
      <c r="G177" s="83">
        <v>0</v>
      </c>
      <c r="H177" s="83" t="s">
        <v>1</v>
      </c>
      <c r="I177" s="83" t="s">
        <v>2</v>
      </c>
      <c r="J177" s="84"/>
      <c r="K177" s="85">
        <v>29709</v>
      </c>
      <c r="L177" s="83">
        <v>1981</v>
      </c>
      <c r="M177" s="83">
        <f t="shared" si="5"/>
        <v>38</v>
      </c>
      <c r="N177" s="83"/>
      <c r="O177" s="83"/>
      <c r="P177" s="84" t="s">
        <v>4</v>
      </c>
      <c r="Q177" s="83"/>
      <c r="R177" s="84" t="s">
        <v>10</v>
      </c>
    </row>
    <row r="178" spans="2:18" x14ac:dyDescent="0.25">
      <c r="B178" s="136"/>
      <c r="C178" s="136"/>
      <c r="D178" s="83">
        <v>171</v>
      </c>
      <c r="E178" s="84" t="s">
        <v>287</v>
      </c>
      <c r="F178" s="83" t="s">
        <v>11</v>
      </c>
      <c r="G178" s="83">
        <v>0</v>
      </c>
      <c r="H178" s="83" t="s">
        <v>9</v>
      </c>
      <c r="I178" s="83" t="s">
        <v>2</v>
      </c>
      <c r="J178" s="84"/>
      <c r="K178" s="85">
        <v>31328</v>
      </c>
      <c r="L178" s="83">
        <v>1985</v>
      </c>
      <c r="M178" s="83">
        <f t="shared" si="5"/>
        <v>34</v>
      </c>
      <c r="N178" s="83"/>
      <c r="O178" s="83"/>
      <c r="P178" s="84" t="s">
        <v>4</v>
      </c>
      <c r="Q178" s="83"/>
      <c r="R178" s="84" t="s">
        <v>16</v>
      </c>
    </row>
    <row r="179" spans="2:18" ht="25.5" x14ac:dyDescent="0.25">
      <c r="B179" s="136"/>
      <c r="C179" s="136"/>
      <c r="D179" s="83">
        <v>172</v>
      </c>
      <c r="E179" s="84" t="s">
        <v>288</v>
      </c>
      <c r="F179" s="83" t="s">
        <v>17</v>
      </c>
      <c r="G179" s="83">
        <v>0</v>
      </c>
      <c r="H179" s="83" t="s">
        <v>9</v>
      </c>
      <c r="I179" s="83" t="s">
        <v>14</v>
      </c>
      <c r="J179" s="84"/>
      <c r="K179" s="85">
        <v>41521</v>
      </c>
      <c r="L179" s="83">
        <v>2013</v>
      </c>
      <c r="M179" s="83">
        <f t="shared" si="5"/>
        <v>6</v>
      </c>
      <c r="N179" s="83"/>
      <c r="O179" s="83"/>
      <c r="P179" s="84" t="s">
        <v>16</v>
      </c>
      <c r="Q179" s="83"/>
      <c r="R179" s="84" t="s">
        <v>16</v>
      </c>
    </row>
    <row r="180" spans="2:18" x14ac:dyDescent="0.25">
      <c r="B180" s="136">
        <v>49</v>
      </c>
      <c r="C180" s="136"/>
      <c r="D180" s="83">
        <v>173</v>
      </c>
      <c r="E180" s="84" t="s">
        <v>289</v>
      </c>
      <c r="F180" s="83" t="s">
        <v>6</v>
      </c>
      <c r="G180" s="83" t="s">
        <v>290</v>
      </c>
      <c r="H180" s="83" t="s">
        <v>1</v>
      </c>
      <c r="I180" s="83" t="s">
        <v>2</v>
      </c>
      <c r="J180" s="84"/>
      <c r="K180" s="85">
        <v>20944</v>
      </c>
      <c r="L180" s="83">
        <v>1957</v>
      </c>
      <c r="M180" s="83">
        <f t="shared" si="5"/>
        <v>62</v>
      </c>
      <c r="N180" s="83"/>
      <c r="O180" s="83"/>
      <c r="P180" s="84" t="s">
        <v>4</v>
      </c>
      <c r="Q180" s="83"/>
      <c r="R180" s="84" t="s">
        <v>5</v>
      </c>
    </row>
    <row r="181" spans="2:18" x14ac:dyDescent="0.25">
      <c r="B181" s="136"/>
      <c r="C181" s="136"/>
      <c r="D181" s="83">
        <v>174</v>
      </c>
      <c r="E181" s="84" t="s">
        <v>291</v>
      </c>
      <c r="F181" s="83" t="s">
        <v>11</v>
      </c>
      <c r="G181" s="83" t="s">
        <v>292</v>
      </c>
      <c r="H181" s="83" t="s">
        <v>9</v>
      </c>
      <c r="I181" s="83" t="s">
        <v>2</v>
      </c>
      <c r="J181" s="84"/>
      <c r="K181" s="85">
        <v>21550</v>
      </c>
      <c r="L181" s="83">
        <v>1958</v>
      </c>
      <c r="M181" s="83">
        <f t="shared" si="5"/>
        <v>61</v>
      </c>
      <c r="N181" s="83"/>
      <c r="O181" s="83"/>
      <c r="P181" s="84" t="s">
        <v>54</v>
      </c>
      <c r="Q181" s="83"/>
      <c r="R181" s="84" t="s">
        <v>16</v>
      </c>
    </row>
    <row r="182" spans="2:18" x14ac:dyDescent="0.25">
      <c r="B182" s="136"/>
      <c r="C182" s="136"/>
      <c r="D182" s="83">
        <v>175</v>
      </c>
      <c r="E182" s="84" t="s">
        <v>293</v>
      </c>
      <c r="F182" s="83" t="s">
        <v>17</v>
      </c>
      <c r="G182" s="83" t="s">
        <v>294</v>
      </c>
      <c r="H182" s="83" t="s">
        <v>1</v>
      </c>
      <c r="I182" s="83" t="s">
        <v>14</v>
      </c>
      <c r="J182" s="84"/>
      <c r="K182" s="85">
        <v>30768</v>
      </c>
      <c r="L182" s="83">
        <v>1984</v>
      </c>
      <c r="M182" s="83">
        <f t="shared" si="5"/>
        <v>35</v>
      </c>
      <c r="N182" s="83"/>
      <c r="O182" s="83"/>
      <c r="P182" s="84" t="s">
        <v>4</v>
      </c>
      <c r="Q182" s="83"/>
      <c r="R182" s="84" t="s">
        <v>16</v>
      </c>
    </row>
    <row r="183" spans="2:18" x14ac:dyDescent="0.25">
      <c r="B183" s="136">
        <v>50</v>
      </c>
      <c r="C183" s="136"/>
      <c r="D183" s="83">
        <v>176</v>
      </c>
      <c r="E183" s="84" t="s">
        <v>295</v>
      </c>
      <c r="F183" s="83" t="s">
        <v>6</v>
      </c>
      <c r="G183" s="83" t="s">
        <v>296</v>
      </c>
      <c r="H183" s="83" t="s">
        <v>1</v>
      </c>
      <c r="I183" s="83" t="s">
        <v>2</v>
      </c>
      <c r="J183" s="84"/>
      <c r="K183" s="85">
        <v>27159</v>
      </c>
      <c r="L183" s="83">
        <v>1974</v>
      </c>
      <c r="M183" s="83">
        <f t="shared" si="5"/>
        <v>45</v>
      </c>
      <c r="N183" s="83"/>
      <c r="O183" s="83"/>
      <c r="P183" s="84" t="s">
        <v>15</v>
      </c>
      <c r="Q183" s="83"/>
      <c r="R183" s="84" t="s">
        <v>10</v>
      </c>
    </row>
    <row r="184" spans="2:18" x14ac:dyDescent="0.25">
      <c r="B184" s="136"/>
      <c r="C184" s="136"/>
      <c r="D184" s="83">
        <v>177</v>
      </c>
      <c r="E184" s="84" t="s">
        <v>297</v>
      </c>
      <c r="F184" s="83" t="s">
        <v>11</v>
      </c>
      <c r="G184" s="83" t="s">
        <v>298</v>
      </c>
      <c r="H184" s="83" t="s">
        <v>9</v>
      </c>
      <c r="I184" s="83" t="s">
        <v>2</v>
      </c>
      <c r="J184" s="84"/>
      <c r="K184" s="85">
        <v>31365</v>
      </c>
      <c r="L184" s="83">
        <v>1985</v>
      </c>
      <c r="M184" s="83">
        <f t="shared" si="5"/>
        <v>34</v>
      </c>
      <c r="N184" s="83"/>
      <c r="O184" s="83"/>
      <c r="P184" s="84" t="s">
        <v>4</v>
      </c>
      <c r="Q184" s="83"/>
      <c r="R184" s="84" t="s">
        <v>16</v>
      </c>
    </row>
    <row r="185" spans="2:18" ht="25.5" x14ac:dyDescent="0.25">
      <c r="B185" s="136"/>
      <c r="C185" s="136"/>
      <c r="D185" s="83">
        <v>178</v>
      </c>
      <c r="E185" s="84" t="s">
        <v>299</v>
      </c>
      <c r="F185" s="83" t="s">
        <v>17</v>
      </c>
      <c r="G185" s="83" t="s">
        <v>300</v>
      </c>
      <c r="H185" s="83" t="s">
        <v>1</v>
      </c>
      <c r="I185" s="83" t="s">
        <v>14</v>
      </c>
      <c r="J185" s="84"/>
      <c r="K185" s="85">
        <v>38472</v>
      </c>
      <c r="L185" s="83">
        <v>2005</v>
      </c>
      <c r="M185" s="83">
        <f t="shared" si="5"/>
        <v>14</v>
      </c>
      <c r="N185" s="83"/>
      <c r="O185" s="83"/>
      <c r="P185" s="84" t="s">
        <v>16</v>
      </c>
      <c r="Q185" s="83"/>
      <c r="R185" s="84" t="s">
        <v>16</v>
      </c>
    </row>
    <row r="186" spans="2:18" ht="25.5" x14ac:dyDescent="0.25">
      <c r="B186" s="136"/>
      <c r="C186" s="136"/>
      <c r="D186" s="83">
        <v>179</v>
      </c>
      <c r="E186" s="84" t="s">
        <v>301</v>
      </c>
      <c r="F186" s="83" t="s">
        <v>17</v>
      </c>
      <c r="G186" s="83" t="s">
        <v>302</v>
      </c>
      <c r="H186" s="83" t="s">
        <v>9</v>
      </c>
      <c r="I186" s="83" t="s">
        <v>14</v>
      </c>
      <c r="J186" s="84"/>
      <c r="K186" s="85">
        <v>41973</v>
      </c>
      <c r="L186" s="83">
        <v>2014</v>
      </c>
      <c r="M186" s="83">
        <f t="shared" si="5"/>
        <v>5</v>
      </c>
      <c r="N186" s="83"/>
      <c r="O186" s="83"/>
      <c r="P186" s="84" t="s">
        <v>16</v>
      </c>
      <c r="Q186" s="83"/>
      <c r="R186" s="84" t="s">
        <v>16</v>
      </c>
    </row>
    <row r="187" spans="2:18" ht="25.5" x14ac:dyDescent="0.25">
      <c r="B187" s="136"/>
      <c r="C187" s="136"/>
      <c r="D187" s="83">
        <v>180</v>
      </c>
      <c r="E187" s="84" t="s">
        <v>303</v>
      </c>
      <c r="F187" s="83" t="s">
        <v>25</v>
      </c>
      <c r="G187" s="83">
        <v>0</v>
      </c>
      <c r="H187" s="83" t="s">
        <v>9</v>
      </c>
      <c r="I187" s="83" t="s">
        <v>24</v>
      </c>
      <c r="J187" s="84"/>
      <c r="K187" s="85">
        <v>17167</v>
      </c>
      <c r="L187" s="83">
        <v>1946</v>
      </c>
      <c r="M187" s="83">
        <f t="shared" si="5"/>
        <v>73</v>
      </c>
      <c r="N187" s="83"/>
      <c r="O187" s="83"/>
      <c r="P187" s="84" t="s">
        <v>16</v>
      </c>
      <c r="Q187" s="83"/>
      <c r="R187" s="84" t="s">
        <v>16</v>
      </c>
    </row>
    <row r="188" spans="2:18" ht="38.25" x14ac:dyDescent="0.25">
      <c r="B188" s="136">
        <v>51</v>
      </c>
      <c r="C188" s="136"/>
      <c r="D188" s="83">
        <v>181</v>
      </c>
      <c r="E188" s="84" t="s">
        <v>304</v>
      </c>
      <c r="F188" s="83" t="s">
        <v>6</v>
      </c>
      <c r="G188" s="83" t="s">
        <v>305</v>
      </c>
      <c r="H188" s="83" t="s">
        <v>1</v>
      </c>
      <c r="I188" s="83" t="s">
        <v>2</v>
      </c>
      <c r="J188" s="84"/>
      <c r="K188" s="85">
        <v>26986</v>
      </c>
      <c r="L188" s="83">
        <v>1973</v>
      </c>
      <c r="M188" s="83">
        <f t="shared" si="5"/>
        <v>46</v>
      </c>
      <c r="N188" s="83"/>
      <c r="O188" s="83"/>
      <c r="P188" s="84" t="s">
        <v>4</v>
      </c>
      <c r="Q188" s="83"/>
      <c r="R188" s="84" t="s">
        <v>5</v>
      </c>
    </row>
    <row r="189" spans="2:18" ht="25.5" x14ac:dyDescent="0.25">
      <c r="B189" s="136"/>
      <c r="C189" s="136"/>
      <c r="D189" s="83">
        <v>182</v>
      </c>
      <c r="E189" s="84" t="s">
        <v>306</v>
      </c>
      <c r="F189" s="83" t="s">
        <v>11</v>
      </c>
      <c r="G189" s="83" t="s">
        <v>307</v>
      </c>
      <c r="H189" s="83" t="s">
        <v>9</v>
      </c>
      <c r="I189" s="83" t="s">
        <v>2</v>
      </c>
      <c r="J189" s="84"/>
      <c r="K189" s="85">
        <v>28306</v>
      </c>
      <c r="L189" s="83">
        <v>1977</v>
      </c>
      <c r="M189" s="83">
        <f t="shared" si="5"/>
        <v>42</v>
      </c>
      <c r="N189" s="83"/>
      <c r="O189" s="83"/>
      <c r="P189" s="84" t="s">
        <v>4</v>
      </c>
      <c r="Q189" s="83"/>
      <c r="R189" s="84" t="s">
        <v>5</v>
      </c>
    </row>
    <row r="190" spans="2:18" ht="25.5" x14ac:dyDescent="0.25">
      <c r="B190" s="136"/>
      <c r="C190" s="136"/>
      <c r="D190" s="83">
        <v>183</v>
      </c>
      <c r="E190" s="84" t="s">
        <v>308</v>
      </c>
      <c r="F190" s="83" t="s">
        <v>17</v>
      </c>
      <c r="G190" s="83" t="s">
        <v>309</v>
      </c>
      <c r="H190" s="83" t="s">
        <v>9</v>
      </c>
      <c r="I190" s="83" t="s">
        <v>14</v>
      </c>
      <c r="J190" s="84"/>
      <c r="K190" s="85">
        <v>37215</v>
      </c>
      <c r="L190" s="83">
        <v>2001</v>
      </c>
      <c r="M190" s="83">
        <f t="shared" si="5"/>
        <v>18</v>
      </c>
      <c r="N190" s="83"/>
      <c r="O190" s="83"/>
      <c r="P190" s="84" t="s">
        <v>54</v>
      </c>
      <c r="Q190" s="83"/>
      <c r="R190" s="84" t="s">
        <v>16</v>
      </c>
    </row>
    <row r="191" spans="2:18" ht="25.5" x14ac:dyDescent="0.25">
      <c r="B191" s="136"/>
      <c r="C191" s="136"/>
      <c r="D191" s="83">
        <v>184</v>
      </c>
      <c r="E191" s="84" t="s">
        <v>310</v>
      </c>
      <c r="F191" s="83" t="s">
        <v>17</v>
      </c>
      <c r="G191" s="83" t="s">
        <v>311</v>
      </c>
      <c r="H191" s="83" t="s">
        <v>1</v>
      </c>
      <c r="I191" s="83" t="s">
        <v>14</v>
      </c>
      <c r="J191" s="84"/>
      <c r="K191" s="85">
        <v>40461</v>
      </c>
      <c r="L191" s="83">
        <v>2010</v>
      </c>
      <c r="M191" s="83">
        <f t="shared" si="5"/>
        <v>9</v>
      </c>
      <c r="N191" s="83"/>
      <c r="O191" s="83"/>
      <c r="P191" s="84" t="s">
        <v>16</v>
      </c>
      <c r="Q191" s="83"/>
      <c r="R191" s="84" t="s">
        <v>16</v>
      </c>
    </row>
    <row r="192" spans="2:18" ht="25.5" x14ac:dyDescent="0.25">
      <c r="B192" s="136">
        <v>52</v>
      </c>
      <c r="C192" s="136"/>
      <c r="D192" s="83">
        <v>185</v>
      </c>
      <c r="E192" s="84" t="s">
        <v>312</v>
      </c>
      <c r="F192" s="83" t="s">
        <v>6</v>
      </c>
      <c r="G192" s="83" t="s">
        <v>313</v>
      </c>
      <c r="H192" s="83" t="s">
        <v>1</v>
      </c>
      <c r="I192" s="83" t="s">
        <v>2</v>
      </c>
      <c r="J192" s="84"/>
      <c r="K192" s="85">
        <v>31795</v>
      </c>
      <c r="L192" s="83">
        <v>1987</v>
      </c>
      <c r="M192" s="83">
        <f t="shared" si="5"/>
        <v>32</v>
      </c>
      <c r="N192" s="83"/>
      <c r="O192" s="83"/>
      <c r="P192" s="84" t="s">
        <v>15</v>
      </c>
      <c r="Q192" s="83"/>
      <c r="R192" s="84" t="s">
        <v>10</v>
      </c>
    </row>
    <row r="193" spans="2:18" ht="25.5" x14ac:dyDescent="0.25">
      <c r="B193" s="136"/>
      <c r="C193" s="136"/>
      <c r="D193" s="83">
        <v>186</v>
      </c>
      <c r="E193" s="84" t="s">
        <v>314</v>
      </c>
      <c r="F193" s="83" t="s">
        <v>11</v>
      </c>
      <c r="G193" s="83" t="s">
        <v>315</v>
      </c>
      <c r="H193" s="83" t="s">
        <v>9</v>
      </c>
      <c r="I193" s="83" t="s">
        <v>2</v>
      </c>
      <c r="J193" s="84"/>
      <c r="K193" s="85">
        <v>32480</v>
      </c>
      <c r="L193" s="83">
        <v>1988</v>
      </c>
      <c r="M193" s="83">
        <f t="shared" si="5"/>
        <v>31</v>
      </c>
      <c r="N193" s="83"/>
      <c r="O193" s="83"/>
      <c r="P193" s="84" t="s">
        <v>15</v>
      </c>
      <c r="Q193" s="83"/>
      <c r="R193" s="84" t="s">
        <v>10</v>
      </c>
    </row>
    <row r="194" spans="2:18" ht="25.5" x14ac:dyDescent="0.25">
      <c r="B194" s="136"/>
      <c r="C194" s="136"/>
      <c r="D194" s="83">
        <v>187</v>
      </c>
      <c r="E194" s="84" t="s">
        <v>316</v>
      </c>
      <c r="F194" s="83" t="s">
        <v>17</v>
      </c>
      <c r="G194" s="83" t="s">
        <v>317</v>
      </c>
      <c r="H194" s="83" t="s">
        <v>1</v>
      </c>
      <c r="I194" s="83" t="s">
        <v>14</v>
      </c>
      <c r="J194" s="84"/>
      <c r="K194" s="85">
        <v>40170</v>
      </c>
      <c r="L194" s="83">
        <v>2009</v>
      </c>
      <c r="M194" s="83">
        <f t="shared" si="5"/>
        <v>10</v>
      </c>
      <c r="N194" s="83"/>
      <c r="O194" s="83"/>
      <c r="P194" s="84" t="s">
        <v>16</v>
      </c>
      <c r="Q194" s="83"/>
      <c r="R194" s="84" t="s">
        <v>16</v>
      </c>
    </row>
    <row r="195" spans="2:18" ht="25.5" x14ac:dyDescent="0.25">
      <c r="B195" s="136">
        <v>53</v>
      </c>
      <c r="C195" s="136" t="s">
        <v>1365</v>
      </c>
      <c r="D195" s="83">
        <v>188</v>
      </c>
      <c r="E195" s="84" t="s">
        <v>318</v>
      </c>
      <c r="F195" s="83" t="s">
        <v>6</v>
      </c>
      <c r="G195" s="83" t="s">
        <v>1366</v>
      </c>
      <c r="H195" s="83" t="s">
        <v>9</v>
      </c>
      <c r="I195" s="83" t="s">
        <v>1368</v>
      </c>
      <c r="J195" s="84" t="s">
        <v>1156</v>
      </c>
      <c r="K195" s="85">
        <v>23760</v>
      </c>
      <c r="L195" s="83">
        <v>1965</v>
      </c>
      <c r="M195" s="83">
        <f t="shared" si="5"/>
        <v>54</v>
      </c>
      <c r="N195" s="83" t="s">
        <v>3</v>
      </c>
      <c r="O195" s="83" t="s">
        <v>1137</v>
      </c>
      <c r="P195" s="84" t="s">
        <v>1138</v>
      </c>
      <c r="Q195" s="83"/>
      <c r="R195" s="84" t="s">
        <v>1141</v>
      </c>
    </row>
    <row r="196" spans="2:18" ht="25.5" x14ac:dyDescent="0.25">
      <c r="B196" s="136"/>
      <c r="C196" s="136"/>
      <c r="D196" s="83">
        <v>189</v>
      </c>
      <c r="E196" s="84" t="s">
        <v>319</v>
      </c>
      <c r="F196" s="83" t="s">
        <v>17</v>
      </c>
      <c r="G196" s="83" t="s">
        <v>1367</v>
      </c>
      <c r="H196" s="83" t="s">
        <v>1</v>
      </c>
      <c r="I196" s="83" t="s">
        <v>14</v>
      </c>
      <c r="J196" s="84" t="s">
        <v>1136</v>
      </c>
      <c r="K196" s="85">
        <v>33314</v>
      </c>
      <c r="L196" s="83">
        <v>1991</v>
      </c>
      <c r="M196" s="83">
        <f t="shared" si="5"/>
        <v>28</v>
      </c>
      <c r="N196" s="83" t="s">
        <v>3</v>
      </c>
      <c r="O196" s="83" t="s">
        <v>1137</v>
      </c>
      <c r="P196" s="84" t="s">
        <v>1159</v>
      </c>
      <c r="Q196" s="83"/>
      <c r="R196" s="84" t="s">
        <v>1371</v>
      </c>
    </row>
    <row r="197" spans="2:18" ht="25.5" x14ac:dyDescent="0.25">
      <c r="B197" s="136">
        <v>54</v>
      </c>
      <c r="C197" s="136"/>
      <c r="D197" s="83">
        <v>190</v>
      </c>
      <c r="E197" s="84" t="s">
        <v>320</v>
      </c>
      <c r="F197" s="83" t="s">
        <v>6</v>
      </c>
      <c r="G197" s="83" t="s">
        <v>322</v>
      </c>
      <c r="H197" s="83" t="s">
        <v>1</v>
      </c>
      <c r="I197" s="83" t="s">
        <v>321</v>
      </c>
      <c r="J197" s="84"/>
      <c r="K197" s="85">
        <v>24968</v>
      </c>
      <c r="L197" s="83">
        <v>1968</v>
      </c>
      <c r="M197" s="83">
        <f t="shared" si="5"/>
        <v>51</v>
      </c>
      <c r="N197" s="83"/>
      <c r="O197" s="83"/>
      <c r="P197" s="84" t="s">
        <v>15</v>
      </c>
      <c r="Q197" s="83"/>
      <c r="R197" s="84" t="s">
        <v>10</v>
      </c>
    </row>
    <row r="198" spans="2:18" ht="25.5" x14ac:dyDescent="0.25">
      <c r="B198" s="136"/>
      <c r="C198" s="136"/>
      <c r="D198" s="83">
        <v>191</v>
      </c>
      <c r="E198" s="84" t="s">
        <v>323</v>
      </c>
      <c r="F198" s="83" t="s">
        <v>17</v>
      </c>
      <c r="G198" s="83" t="s">
        <v>324</v>
      </c>
      <c r="H198" s="83" t="s">
        <v>9</v>
      </c>
      <c r="I198" s="83" t="s">
        <v>14</v>
      </c>
      <c r="J198" s="84"/>
      <c r="K198" s="85">
        <v>33916</v>
      </c>
      <c r="L198" s="83">
        <v>1992</v>
      </c>
      <c r="M198" s="83">
        <f t="shared" ref="M198" si="6">2019-L198</f>
        <v>27</v>
      </c>
      <c r="N198" s="83"/>
      <c r="O198" s="83"/>
      <c r="P198" s="84" t="s">
        <v>15</v>
      </c>
      <c r="Q198" s="83"/>
      <c r="R198" s="84" t="s">
        <v>16</v>
      </c>
    </row>
    <row r="199" spans="2:18" ht="25.5" x14ac:dyDescent="0.25">
      <c r="B199" s="136"/>
      <c r="C199" s="136"/>
      <c r="D199" s="83">
        <v>192</v>
      </c>
      <c r="E199" s="84" t="s">
        <v>325</v>
      </c>
      <c r="F199" s="83" t="s">
        <v>17</v>
      </c>
      <c r="G199" s="83" t="s">
        <v>326</v>
      </c>
      <c r="H199" s="83" t="s">
        <v>1</v>
      </c>
      <c r="I199" s="83" t="s">
        <v>14</v>
      </c>
      <c r="J199" s="84"/>
      <c r="K199" s="85">
        <v>36784</v>
      </c>
      <c r="L199" s="83">
        <v>2000</v>
      </c>
      <c r="M199" s="83">
        <f t="shared" ref="M199:M247" si="7">2019-L199</f>
        <v>19</v>
      </c>
      <c r="N199" s="83"/>
      <c r="O199" s="83"/>
      <c r="P199" s="84" t="s">
        <v>54</v>
      </c>
      <c r="Q199" s="83"/>
      <c r="R199" s="84" t="s">
        <v>16</v>
      </c>
    </row>
    <row r="200" spans="2:18" x14ac:dyDescent="0.25">
      <c r="B200" s="136"/>
      <c r="C200" s="136"/>
      <c r="D200" s="83">
        <v>193</v>
      </c>
      <c r="E200" s="84" t="s">
        <v>327</v>
      </c>
      <c r="F200" s="83" t="s">
        <v>17</v>
      </c>
      <c r="G200" s="83" t="s">
        <v>328</v>
      </c>
      <c r="H200" s="83" t="s">
        <v>1</v>
      </c>
      <c r="I200" s="83" t="s">
        <v>14</v>
      </c>
      <c r="J200" s="84"/>
      <c r="K200" s="85">
        <v>38516</v>
      </c>
      <c r="L200" s="83">
        <v>2005</v>
      </c>
      <c r="M200" s="83">
        <f t="shared" si="7"/>
        <v>14</v>
      </c>
      <c r="N200" s="83"/>
      <c r="O200" s="83"/>
      <c r="P200" s="84" t="s">
        <v>16</v>
      </c>
      <c r="Q200" s="83"/>
      <c r="R200" s="84" t="s">
        <v>16</v>
      </c>
    </row>
    <row r="201" spans="2:18" ht="25.5" x14ac:dyDescent="0.25">
      <c r="B201" s="136">
        <v>55</v>
      </c>
      <c r="C201" s="136" t="s">
        <v>1259</v>
      </c>
      <c r="D201" s="83">
        <v>194</v>
      </c>
      <c r="E201" s="84" t="s">
        <v>329</v>
      </c>
      <c r="F201" s="83" t="s">
        <v>6</v>
      </c>
      <c r="G201" s="83" t="s">
        <v>330</v>
      </c>
      <c r="H201" s="83" t="s">
        <v>9</v>
      </c>
      <c r="I201" s="83" t="s">
        <v>1161</v>
      </c>
      <c r="J201" s="84" t="s">
        <v>1156</v>
      </c>
      <c r="K201" s="85">
        <v>24472</v>
      </c>
      <c r="L201" s="83">
        <v>1966</v>
      </c>
      <c r="M201" s="83">
        <f t="shared" si="7"/>
        <v>53</v>
      </c>
      <c r="N201" s="83" t="s">
        <v>3</v>
      </c>
      <c r="O201" s="83" t="s">
        <v>1137</v>
      </c>
      <c r="P201" s="84" t="s">
        <v>1260</v>
      </c>
      <c r="Q201" s="83"/>
      <c r="R201" s="84" t="s">
        <v>1141</v>
      </c>
    </row>
    <row r="202" spans="2:18" ht="25.5" x14ac:dyDescent="0.25">
      <c r="B202" s="136"/>
      <c r="C202" s="136"/>
      <c r="D202" s="83">
        <v>195</v>
      </c>
      <c r="E202" s="84" t="s">
        <v>331</v>
      </c>
      <c r="F202" s="83" t="s">
        <v>17</v>
      </c>
      <c r="G202" s="83" t="s">
        <v>332</v>
      </c>
      <c r="H202" s="83" t="s">
        <v>9</v>
      </c>
      <c r="I202" s="83" t="s">
        <v>14</v>
      </c>
      <c r="J202" s="84" t="s">
        <v>1245</v>
      </c>
      <c r="K202" s="85">
        <v>34443</v>
      </c>
      <c r="L202" s="83">
        <v>1994</v>
      </c>
      <c r="M202" s="83">
        <f t="shared" si="7"/>
        <v>25</v>
      </c>
      <c r="N202" s="83" t="s">
        <v>3</v>
      </c>
      <c r="O202" s="83" t="s">
        <v>1137</v>
      </c>
      <c r="P202" s="84" t="s">
        <v>1159</v>
      </c>
      <c r="Q202" s="83"/>
      <c r="R202" s="84" t="s">
        <v>1140</v>
      </c>
    </row>
    <row r="203" spans="2:18" ht="25.5" x14ac:dyDescent="0.25">
      <c r="B203" s="136"/>
      <c r="C203" s="136"/>
      <c r="D203" s="83">
        <v>196</v>
      </c>
      <c r="E203" s="84" t="s">
        <v>333</v>
      </c>
      <c r="F203" s="83" t="s">
        <v>17</v>
      </c>
      <c r="G203" s="83" t="s">
        <v>334</v>
      </c>
      <c r="H203" s="83" t="s">
        <v>9</v>
      </c>
      <c r="I203" s="83" t="s">
        <v>14</v>
      </c>
      <c r="J203" s="84" t="s">
        <v>1156</v>
      </c>
      <c r="K203" s="85">
        <v>38567</v>
      </c>
      <c r="L203" s="83">
        <v>2005</v>
      </c>
      <c r="M203" s="83">
        <f t="shared" si="7"/>
        <v>14</v>
      </c>
      <c r="N203" s="83" t="s">
        <v>3</v>
      </c>
      <c r="O203" s="83" t="s">
        <v>1137</v>
      </c>
      <c r="P203" s="84" t="s">
        <v>1138</v>
      </c>
      <c r="Q203" s="83"/>
      <c r="R203" s="84" t="s">
        <v>1160</v>
      </c>
    </row>
    <row r="204" spans="2:18" ht="25.5" x14ac:dyDescent="0.25">
      <c r="B204" s="136"/>
      <c r="C204" s="136"/>
      <c r="D204" s="83">
        <v>197</v>
      </c>
      <c r="E204" s="84" t="s">
        <v>335</v>
      </c>
      <c r="F204" s="83" t="s">
        <v>17</v>
      </c>
      <c r="G204" s="83" t="s">
        <v>336</v>
      </c>
      <c r="H204" s="83" t="s">
        <v>9</v>
      </c>
      <c r="I204" s="83" t="s">
        <v>14</v>
      </c>
      <c r="J204" s="84" t="s">
        <v>1156</v>
      </c>
      <c r="K204" s="85">
        <v>39586</v>
      </c>
      <c r="L204" s="83">
        <v>2008</v>
      </c>
      <c r="M204" s="83">
        <f t="shared" si="7"/>
        <v>11</v>
      </c>
      <c r="N204" s="83" t="s">
        <v>3</v>
      </c>
      <c r="O204" s="83" t="s">
        <v>1137</v>
      </c>
      <c r="P204" s="84" t="s">
        <v>1139</v>
      </c>
      <c r="Q204" s="83"/>
      <c r="R204" s="84" t="s">
        <v>1140</v>
      </c>
    </row>
    <row r="205" spans="2:18" x14ac:dyDescent="0.25">
      <c r="B205" s="136"/>
      <c r="C205" s="136"/>
      <c r="D205" s="83">
        <v>198</v>
      </c>
      <c r="E205" s="84" t="s">
        <v>337</v>
      </c>
      <c r="F205" s="83" t="s">
        <v>25</v>
      </c>
      <c r="G205" s="83">
        <v>0</v>
      </c>
      <c r="H205" s="83" t="s">
        <v>9</v>
      </c>
      <c r="I205" s="83" t="s">
        <v>24</v>
      </c>
      <c r="J205" s="84"/>
      <c r="K205" s="85">
        <v>13149</v>
      </c>
      <c r="L205" s="83">
        <v>1935</v>
      </c>
      <c r="M205" s="83">
        <f t="shared" si="7"/>
        <v>84</v>
      </c>
      <c r="N205" s="83"/>
      <c r="O205" s="83"/>
      <c r="P205" s="84" t="s">
        <v>16</v>
      </c>
      <c r="Q205" s="83"/>
      <c r="R205" s="84" t="s">
        <v>16</v>
      </c>
    </row>
    <row r="206" spans="2:18" x14ac:dyDescent="0.25">
      <c r="B206" s="136">
        <v>56</v>
      </c>
      <c r="C206" s="136"/>
      <c r="D206" s="83">
        <v>199</v>
      </c>
      <c r="E206" s="84" t="s">
        <v>338</v>
      </c>
      <c r="F206" s="83" t="s">
        <v>6</v>
      </c>
      <c r="G206" s="83" t="s">
        <v>339</v>
      </c>
      <c r="H206" s="83" t="s">
        <v>1</v>
      </c>
      <c r="I206" s="83" t="s">
        <v>2</v>
      </c>
      <c r="J206" s="84"/>
      <c r="K206" s="85">
        <v>32701</v>
      </c>
      <c r="L206" s="83">
        <v>1989</v>
      </c>
      <c r="M206" s="83">
        <f t="shared" si="7"/>
        <v>30</v>
      </c>
      <c r="N206" s="83"/>
      <c r="O206" s="83"/>
      <c r="P206" s="84" t="s">
        <v>15</v>
      </c>
      <c r="Q206" s="83"/>
      <c r="R206" s="84" t="s">
        <v>10</v>
      </c>
    </row>
    <row r="207" spans="2:18" x14ac:dyDescent="0.25">
      <c r="B207" s="136"/>
      <c r="C207" s="136"/>
      <c r="D207" s="83">
        <v>200</v>
      </c>
      <c r="E207" s="84" t="s">
        <v>340</v>
      </c>
      <c r="F207" s="83" t="s">
        <v>11</v>
      </c>
      <c r="G207" s="83" t="s">
        <v>341</v>
      </c>
      <c r="H207" s="83" t="s">
        <v>9</v>
      </c>
      <c r="I207" s="83" t="s">
        <v>2</v>
      </c>
      <c r="J207" s="84"/>
      <c r="K207" s="85">
        <v>33739</v>
      </c>
      <c r="L207" s="83">
        <v>1992</v>
      </c>
      <c r="M207" s="83">
        <f t="shared" si="7"/>
        <v>27</v>
      </c>
      <c r="N207" s="83"/>
      <c r="O207" s="83"/>
      <c r="P207" s="84" t="s">
        <v>54</v>
      </c>
      <c r="Q207" s="83"/>
      <c r="R207" s="84" t="s">
        <v>16</v>
      </c>
    </row>
    <row r="208" spans="2:18" ht="25.5" x14ac:dyDescent="0.25">
      <c r="B208" s="136"/>
      <c r="C208" s="136"/>
      <c r="D208" s="83">
        <v>201</v>
      </c>
      <c r="E208" s="84" t="s">
        <v>342</v>
      </c>
      <c r="F208" s="83" t="s">
        <v>17</v>
      </c>
      <c r="G208" s="83" t="s">
        <v>343</v>
      </c>
      <c r="H208" s="83" t="s">
        <v>1</v>
      </c>
      <c r="I208" s="83" t="s">
        <v>14</v>
      </c>
      <c r="J208" s="84"/>
      <c r="K208" s="85">
        <v>40959</v>
      </c>
      <c r="L208" s="83">
        <v>2012</v>
      </c>
      <c r="M208" s="83">
        <f t="shared" si="7"/>
        <v>7</v>
      </c>
      <c r="N208" s="83"/>
      <c r="O208" s="83"/>
      <c r="P208" s="84" t="s">
        <v>16</v>
      </c>
      <c r="Q208" s="83"/>
      <c r="R208" s="84" t="s">
        <v>16</v>
      </c>
    </row>
    <row r="209" spans="2:18" x14ac:dyDescent="0.25">
      <c r="B209" s="136">
        <v>57</v>
      </c>
      <c r="C209" s="136"/>
      <c r="D209" s="83">
        <v>202</v>
      </c>
      <c r="E209" s="84" t="s">
        <v>344</v>
      </c>
      <c r="F209" s="83" t="s">
        <v>6</v>
      </c>
      <c r="G209" s="83" t="s">
        <v>346</v>
      </c>
      <c r="H209" s="83" t="s">
        <v>1</v>
      </c>
      <c r="I209" s="83" t="s">
        <v>2</v>
      </c>
      <c r="J209" s="84"/>
      <c r="K209" s="85">
        <v>31113</v>
      </c>
      <c r="L209" s="83">
        <v>1985</v>
      </c>
      <c r="M209" s="83">
        <f t="shared" si="7"/>
        <v>34</v>
      </c>
      <c r="N209" s="83"/>
      <c r="O209" s="83"/>
      <c r="P209" s="84" t="s">
        <v>15</v>
      </c>
      <c r="Q209" s="83"/>
      <c r="R209" s="84" t="s">
        <v>345</v>
      </c>
    </row>
    <row r="210" spans="2:18" ht="25.5" x14ac:dyDescent="0.25">
      <c r="B210" s="136"/>
      <c r="C210" s="136"/>
      <c r="D210" s="83">
        <v>203</v>
      </c>
      <c r="E210" s="84" t="s">
        <v>347</v>
      </c>
      <c r="F210" s="83" t="s">
        <v>11</v>
      </c>
      <c r="G210" s="83" t="s">
        <v>348</v>
      </c>
      <c r="H210" s="83" t="s">
        <v>9</v>
      </c>
      <c r="I210" s="83" t="s">
        <v>2</v>
      </c>
      <c r="J210" s="84"/>
      <c r="K210" s="85">
        <v>32008</v>
      </c>
      <c r="L210" s="83">
        <v>1987</v>
      </c>
      <c r="M210" s="83">
        <f t="shared" si="7"/>
        <v>32</v>
      </c>
      <c r="N210" s="83"/>
      <c r="O210" s="83"/>
      <c r="P210" s="84" t="s">
        <v>4</v>
      </c>
      <c r="Q210" s="83"/>
      <c r="R210" s="84" t="s">
        <v>10</v>
      </c>
    </row>
    <row r="211" spans="2:18" x14ac:dyDescent="0.25">
      <c r="B211" s="136"/>
      <c r="C211" s="136"/>
      <c r="D211" s="83">
        <v>204</v>
      </c>
      <c r="E211" s="84" t="s">
        <v>349</v>
      </c>
      <c r="F211" s="83" t="s">
        <v>17</v>
      </c>
      <c r="G211" s="83" t="s">
        <v>350</v>
      </c>
      <c r="H211" s="83" t="s">
        <v>1</v>
      </c>
      <c r="I211" s="83" t="s">
        <v>14</v>
      </c>
      <c r="J211" s="84"/>
      <c r="K211" s="85">
        <v>40835</v>
      </c>
      <c r="L211" s="83">
        <v>2011</v>
      </c>
      <c r="M211" s="83">
        <f t="shared" si="7"/>
        <v>8</v>
      </c>
      <c r="N211" s="83"/>
      <c r="O211" s="83"/>
      <c r="P211" s="84" t="s">
        <v>16</v>
      </c>
      <c r="Q211" s="83"/>
      <c r="R211" s="84" t="s">
        <v>16</v>
      </c>
    </row>
    <row r="212" spans="2:18" x14ac:dyDescent="0.25">
      <c r="B212" s="136">
        <v>58</v>
      </c>
      <c r="C212" s="136"/>
      <c r="D212" s="83">
        <v>205</v>
      </c>
      <c r="E212" s="84" t="s">
        <v>351</v>
      </c>
      <c r="F212" s="83" t="s">
        <v>6</v>
      </c>
      <c r="G212" s="83">
        <v>0</v>
      </c>
      <c r="H212" s="83" t="s">
        <v>1</v>
      </c>
      <c r="I212" s="83" t="s">
        <v>2</v>
      </c>
      <c r="J212" s="84"/>
      <c r="K212" s="85">
        <v>17532</v>
      </c>
      <c r="L212" s="83">
        <v>1947</v>
      </c>
      <c r="M212" s="83">
        <f t="shared" si="7"/>
        <v>72</v>
      </c>
      <c r="N212" s="83"/>
      <c r="O212" s="83"/>
      <c r="P212" s="84" t="s">
        <v>27</v>
      </c>
      <c r="Q212" s="83"/>
      <c r="R212" s="84" t="s">
        <v>88</v>
      </c>
    </row>
    <row r="213" spans="2:18" x14ac:dyDescent="0.25">
      <c r="B213" s="136"/>
      <c r="C213" s="136"/>
      <c r="D213" s="83">
        <v>206</v>
      </c>
      <c r="E213" s="84" t="s">
        <v>352</v>
      </c>
      <c r="F213" s="83" t="s">
        <v>11</v>
      </c>
      <c r="G213" s="83">
        <v>0</v>
      </c>
      <c r="H213" s="83" t="s">
        <v>9</v>
      </c>
      <c r="I213" s="83" t="s">
        <v>2</v>
      </c>
      <c r="J213" s="84"/>
      <c r="K213" s="85">
        <v>17532</v>
      </c>
      <c r="L213" s="83">
        <v>1947</v>
      </c>
      <c r="M213" s="83">
        <f t="shared" si="7"/>
        <v>72</v>
      </c>
      <c r="N213" s="83"/>
      <c r="O213" s="83"/>
      <c r="P213" s="84" t="s">
        <v>54</v>
      </c>
      <c r="Q213" s="83"/>
      <c r="R213" s="84" t="s">
        <v>16</v>
      </c>
    </row>
    <row r="214" spans="2:18" x14ac:dyDescent="0.25">
      <c r="B214" s="136">
        <v>59</v>
      </c>
      <c r="C214" s="136" t="s">
        <v>1638</v>
      </c>
      <c r="D214" s="83">
        <v>207</v>
      </c>
      <c r="E214" s="84" t="s">
        <v>353</v>
      </c>
      <c r="F214" s="83" t="s">
        <v>6</v>
      </c>
      <c r="G214" s="83" t="s">
        <v>354</v>
      </c>
      <c r="H214" s="83" t="s">
        <v>1</v>
      </c>
      <c r="I214" s="83" t="s">
        <v>2</v>
      </c>
      <c r="J214" s="84" t="s">
        <v>1209</v>
      </c>
      <c r="K214" s="85">
        <v>29641</v>
      </c>
      <c r="L214" s="83">
        <v>1981</v>
      </c>
      <c r="M214" s="83">
        <f t="shared" si="7"/>
        <v>38</v>
      </c>
      <c r="N214" s="83" t="s">
        <v>3</v>
      </c>
      <c r="O214" s="83" t="s">
        <v>1137</v>
      </c>
      <c r="P214" s="84" t="s">
        <v>1159</v>
      </c>
      <c r="Q214" s="83"/>
      <c r="R214" s="84" t="s">
        <v>10</v>
      </c>
    </row>
    <row r="215" spans="2:18" ht="25.5" x14ac:dyDescent="0.25">
      <c r="B215" s="136"/>
      <c r="C215" s="136"/>
      <c r="D215" s="83">
        <v>208</v>
      </c>
      <c r="E215" s="84" t="s">
        <v>355</v>
      </c>
      <c r="F215" s="83" t="s">
        <v>11</v>
      </c>
      <c r="G215" s="83" t="s">
        <v>356</v>
      </c>
      <c r="H215" s="83" t="s">
        <v>9</v>
      </c>
      <c r="I215" s="83" t="s">
        <v>2</v>
      </c>
      <c r="J215" s="84" t="s">
        <v>1641</v>
      </c>
      <c r="K215" s="85">
        <v>30732</v>
      </c>
      <c r="L215" s="83">
        <v>1984</v>
      </c>
      <c r="M215" s="83">
        <f t="shared" si="7"/>
        <v>35</v>
      </c>
      <c r="N215" s="83" t="s">
        <v>3</v>
      </c>
      <c r="O215" s="83" t="s">
        <v>1137</v>
      </c>
      <c r="P215" s="84" t="s">
        <v>1172</v>
      </c>
      <c r="Q215" s="83"/>
      <c r="R215" s="84" t="s">
        <v>1141</v>
      </c>
    </row>
    <row r="216" spans="2:18" ht="25.5" x14ac:dyDescent="0.25">
      <c r="B216" s="136"/>
      <c r="C216" s="136"/>
      <c r="D216" s="83">
        <v>209</v>
      </c>
      <c r="E216" s="84" t="s">
        <v>357</v>
      </c>
      <c r="F216" s="83" t="s">
        <v>17</v>
      </c>
      <c r="G216" s="83" t="s">
        <v>358</v>
      </c>
      <c r="H216" s="83" t="s">
        <v>1</v>
      </c>
      <c r="I216" s="83" t="s">
        <v>14</v>
      </c>
      <c r="J216" s="84" t="s">
        <v>1642</v>
      </c>
      <c r="K216" s="85">
        <v>39989</v>
      </c>
      <c r="L216" s="83">
        <v>2009</v>
      </c>
      <c r="M216" s="83">
        <f t="shared" si="7"/>
        <v>10</v>
      </c>
      <c r="N216" s="83" t="s">
        <v>3</v>
      </c>
      <c r="O216" s="83" t="s">
        <v>1137</v>
      </c>
      <c r="P216" s="84" t="s">
        <v>1178</v>
      </c>
      <c r="Q216" s="83"/>
      <c r="R216" s="84" t="s">
        <v>1160</v>
      </c>
    </row>
    <row r="217" spans="2:18" ht="38.25" x14ac:dyDescent="0.25">
      <c r="B217" s="136"/>
      <c r="C217" s="136"/>
      <c r="D217" s="83">
        <v>210</v>
      </c>
      <c r="E217" s="84" t="s">
        <v>359</v>
      </c>
      <c r="F217" s="83" t="s">
        <v>17</v>
      </c>
      <c r="G217" s="83" t="s">
        <v>360</v>
      </c>
      <c r="H217" s="83" t="s">
        <v>9</v>
      </c>
      <c r="I217" s="83" t="s">
        <v>14</v>
      </c>
      <c r="J217" s="84" t="s">
        <v>1246</v>
      </c>
      <c r="K217" s="85">
        <v>41339</v>
      </c>
      <c r="L217" s="83">
        <v>2013</v>
      </c>
      <c r="M217" s="83">
        <f t="shared" ref="M217" si="8">2019-L217</f>
        <v>6</v>
      </c>
      <c r="N217" s="83" t="s">
        <v>3</v>
      </c>
      <c r="O217" s="83" t="s">
        <v>1137</v>
      </c>
      <c r="P217" s="84" t="s">
        <v>1139</v>
      </c>
      <c r="Q217" s="83"/>
      <c r="R217" s="84" t="s">
        <v>1140</v>
      </c>
    </row>
    <row r="218" spans="2:18" ht="25.5" x14ac:dyDescent="0.25">
      <c r="B218" s="136"/>
      <c r="C218" s="136"/>
      <c r="D218" s="83">
        <v>211</v>
      </c>
      <c r="E218" s="84" t="s">
        <v>1639</v>
      </c>
      <c r="F218" s="83" t="s">
        <v>17</v>
      </c>
      <c r="G218" s="83" t="s">
        <v>1640</v>
      </c>
      <c r="H218" s="83" t="s">
        <v>9</v>
      </c>
      <c r="I218" s="83" t="s">
        <v>14</v>
      </c>
      <c r="J218" s="84" t="s">
        <v>1156</v>
      </c>
      <c r="K218" s="85">
        <v>43412</v>
      </c>
      <c r="L218" s="83">
        <v>2018</v>
      </c>
      <c r="M218" s="83">
        <f t="shared" si="7"/>
        <v>1</v>
      </c>
      <c r="N218" s="83" t="s">
        <v>3</v>
      </c>
      <c r="O218" s="83" t="s">
        <v>1137</v>
      </c>
      <c r="P218" s="84" t="s">
        <v>1139</v>
      </c>
      <c r="Q218" s="83"/>
      <c r="R218" s="84" t="s">
        <v>1140</v>
      </c>
    </row>
    <row r="219" spans="2:18" x14ac:dyDescent="0.25">
      <c r="B219" s="136">
        <v>60</v>
      </c>
      <c r="C219" s="136"/>
      <c r="D219" s="83">
        <v>212</v>
      </c>
      <c r="E219" s="84" t="s">
        <v>361</v>
      </c>
      <c r="F219" s="83" t="s">
        <v>6</v>
      </c>
      <c r="G219" s="83" t="s">
        <v>362</v>
      </c>
      <c r="H219" s="83" t="s">
        <v>1</v>
      </c>
      <c r="I219" s="83" t="s">
        <v>2</v>
      </c>
      <c r="J219" s="84"/>
      <c r="K219" s="85">
        <v>24837</v>
      </c>
      <c r="L219" s="83">
        <v>1967</v>
      </c>
      <c r="M219" s="83">
        <f t="shared" si="7"/>
        <v>52</v>
      </c>
      <c r="N219" s="83"/>
      <c r="O219" s="83"/>
      <c r="P219" s="84" t="s">
        <v>54</v>
      </c>
      <c r="Q219" s="83"/>
      <c r="R219" s="84" t="s">
        <v>10</v>
      </c>
    </row>
    <row r="220" spans="2:18" x14ac:dyDescent="0.25">
      <c r="B220" s="136"/>
      <c r="C220" s="136"/>
      <c r="D220" s="83">
        <v>213</v>
      </c>
      <c r="E220" s="84" t="s">
        <v>363</v>
      </c>
      <c r="F220" s="83" t="s">
        <v>11</v>
      </c>
      <c r="G220" s="83" t="s">
        <v>364</v>
      </c>
      <c r="H220" s="83" t="s">
        <v>9</v>
      </c>
      <c r="I220" s="83" t="s">
        <v>2</v>
      </c>
      <c r="J220" s="84"/>
      <c r="K220" s="85">
        <v>26049</v>
      </c>
      <c r="L220" s="83">
        <v>1971</v>
      </c>
      <c r="M220" s="83">
        <f t="shared" si="7"/>
        <v>48</v>
      </c>
      <c r="N220" s="83"/>
      <c r="O220" s="83"/>
      <c r="P220" s="84" t="s">
        <v>27</v>
      </c>
      <c r="Q220" s="83"/>
      <c r="R220" s="84" t="s">
        <v>123</v>
      </c>
    </row>
    <row r="221" spans="2:18" x14ac:dyDescent="0.25">
      <c r="B221" s="136"/>
      <c r="C221" s="136"/>
      <c r="D221" s="83">
        <v>214</v>
      </c>
      <c r="E221" s="84" t="s">
        <v>365</v>
      </c>
      <c r="F221" s="83" t="s">
        <v>17</v>
      </c>
      <c r="G221" s="83" t="s">
        <v>366</v>
      </c>
      <c r="H221" s="83" t="s">
        <v>1</v>
      </c>
      <c r="I221" s="83" t="s">
        <v>14</v>
      </c>
      <c r="J221" s="84"/>
      <c r="K221" s="85">
        <v>32914</v>
      </c>
      <c r="L221" s="83">
        <v>1990</v>
      </c>
      <c r="M221" s="83">
        <f t="shared" si="7"/>
        <v>29</v>
      </c>
      <c r="N221" s="83"/>
      <c r="O221" s="83"/>
      <c r="P221" s="84" t="s">
        <v>4</v>
      </c>
      <c r="Q221" s="83"/>
      <c r="R221" s="84" t="s">
        <v>16</v>
      </c>
    </row>
    <row r="222" spans="2:18" x14ac:dyDescent="0.25">
      <c r="B222" s="136"/>
      <c r="C222" s="136"/>
      <c r="D222" s="83">
        <v>215</v>
      </c>
      <c r="E222" s="84" t="s">
        <v>367</v>
      </c>
      <c r="F222" s="83" t="s">
        <v>17</v>
      </c>
      <c r="G222" s="83" t="s">
        <v>368</v>
      </c>
      <c r="H222" s="83" t="s">
        <v>9</v>
      </c>
      <c r="I222" s="83" t="s">
        <v>14</v>
      </c>
      <c r="J222" s="84"/>
      <c r="K222" s="85">
        <v>35401</v>
      </c>
      <c r="L222" s="83">
        <v>1996</v>
      </c>
      <c r="M222" s="83">
        <f t="shared" si="7"/>
        <v>23</v>
      </c>
      <c r="N222" s="83"/>
      <c r="O222" s="83"/>
      <c r="P222" s="84" t="s">
        <v>27</v>
      </c>
      <c r="Q222" s="83"/>
      <c r="R222" s="84" t="s">
        <v>16</v>
      </c>
    </row>
    <row r="223" spans="2:18" x14ac:dyDescent="0.25">
      <c r="B223" s="136"/>
      <c r="C223" s="136"/>
      <c r="D223" s="83">
        <v>216</v>
      </c>
      <c r="E223" s="84" t="s">
        <v>369</v>
      </c>
      <c r="F223" s="83" t="s">
        <v>17</v>
      </c>
      <c r="G223" s="83">
        <v>0</v>
      </c>
      <c r="H223" s="83" t="s">
        <v>1</v>
      </c>
      <c r="I223" s="83" t="s">
        <v>14</v>
      </c>
      <c r="J223" s="84"/>
      <c r="K223" s="85">
        <v>36086</v>
      </c>
      <c r="L223" s="83">
        <v>1998</v>
      </c>
      <c r="M223" s="83">
        <f t="shared" si="7"/>
        <v>21</v>
      </c>
      <c r="N223" s="83"/>
      <c r="O223" s="83"/>
      <c r="P223" s="84" t="s">
        <v>27</v>
      </c>
      <c r="Q223" s="83"/>
      <c r="R223" s="84" t="s">
        <v>16</v>
      </c>
    </row>
    <row r="224" spans="2:18" x14ac:dyDescent="0.25">
      <c r="B224" s="136">
        <v>61</v>
      </c>
      <c r="C224" s="136"/>
      <c r="D224" s="83">
        <v>217</v>
      </c>
      <c r="E224" s="84" t="s">
        <v>370</v>
      </c>
      <c r="F224" s="83" t="s">
        <v>6</v>
      </c>
      <c r="G224" s="83" t="s">
        <v>371</v>
      </c>
      <c r="H224" s="83" t="s">
        <v>1</v>
      </c>
      <c r="I224" s="83" t="s">
        <v>2</v>
      </c>
      <c r="J224" s="84"/>
      <c r="K224" s="85">
        <v>24871</v>
      </c>
      <c r="L224" s="83">
        <v>1968</v>
      </c>
      <c r="M224" s="83">
        <f t="shared" si="7"/>
        <v>51</v>
      </c>
      <c r="N224" s="83"/>
      <c r="O224" s="83"/>
      <c r="P224" s="84" t="s">
        <v>15</v>
      </c>
      <c r="Q224" s="83"/>
      <c r="R224" s="84" t="s">
        <v>10</v>
      </c>
    </row>
    <row r="225" spans="2:18" x14ac:dyDescent="0.25">
      <c r="B225" s="136"/>
      <c r="C225" s="136"/>
      <c r="D225" s="83">
        <v>218</v>
      </c>
      <c r="E225" s="84" t="s">
        <v>372</v>
      </c>
      <c r="F225" s="83" t="s">
        <v>11</v>
      </c>
      <c r="G225" s="83" t="s">
        <v>373</v>
      </c>
      <c r="H225" s="83" t="s">
        <v>9</v>
      </c>
      <c r="I225" s="83" t="s">
        <v>2</v>
      </c>
      <c r="J225" s="84"/>
      <c r="K225" s="85">
        <v>29162</v>
      </c>
      <c r="L225" s="83">
        <v>1979</v>
      </c>
      <c r="M225" s="83">
        <f t="shared" si="7"/>
        <v>40</v>
      </c>
      <c r="N225" s="83"/>
      <c r="O225" s="83"/>
      <c r="P225" s="84" t="s">
        <v>54</v>
      </c>
      <c r="Q225" s="83"/>
      <c r="R225" s="84" t="s">
        <v>88</v>
      </c>
    </row>
    <row r="226" spans="2:18" x14ac:dyDescent="0.25">
      <c r="B226" s="136"/>
      <c r="C226" s="136"/>
      <c r="D226" s="83">
        <v>219</v>
      </c>
      <c r="E226" s="84" t="s">
        <v>374</v>
      </c>
      <c r="F226" s="83" t="s">
        <v>17</v>
      </c>
      <c r="G226" s="83" t="s">
        <v>375</v>
      </c>
      <c r="H226" s="83" t="s">
        <v>1</v>
      </c>
      <c r="I226" s="83" t="s">
        <v>14</v>
      </c>
      <c r="J226" s="84"/>
      <c r="K226" s="85">
        <v>38604</v>
      </c>
      <c r="L226" s="83">
        <v>2005</v>
      </c>
      <c r="M226" s="83">
        <f t="shared" si="7"/>
        <v>14</v>
      </c>
      <c r="N226" s="83"/>
      <c r="O226" s="83"/>
      <c r="P226" s="84" t="s">
        <v>16</v>
      </c>
      <c r="Q226" s="83"/>
      <c r="R226" s="84" t="s">
        <v>16</v>
      </c>
    </row>
    <row r="227" spans="2:18" x14ac:dyDescent="0.25">
      <c r="B227" s="136"/>
      <c r="C227" s="136"/>
      <c r="D227" s="83">
        <v>220</v>
      </c>
      <c r="E227" s="84" t="s">
        <v>376</v>
      </c>
      <c r="F227" s="83" t="s">
        <v>17</v>
      </c>
      <c r="G227" s="83" t="s">
        <v>377</v>
      </c>
      <c r="H227" s="83" t="s">
        <v>1</v>
      </c>
      <c r="I227" s="83" t="s">
        <v>14</v>
      </c>
      <c r="J227" s="84"/>
      <c r="K227" s="85">
        <v>36406</v>
      </c>
      <c r="L227" s="83">
        <v>1999</v>
      </c>
      <c r="M227" s="83">
        <f t="shared" si="7"/>
        <v>20</v>
      </c>
      <c r="N227" s="83"/>
      <c r="O227" s="83"/>
      <c r="P227" s="84" t="s">
        <v>16</v>
      </c>
      <c r="Q227" s="83"/>
      <c r="R227" s="84" t="s">
        <v>16</v>
      </c>
    </row>
    <row r="228" spans="2:18" ht="25.5" x14ac:dyDescent="0.25">
      <c r="B228" s="136">
        <v>62</v>
      </c>
      <c r="C228" s="136"/>
      <c r="D228" s="83">
        <v>221</v>
      </c>
      <c r="E228" s="84" t="s">
        <v>1271</v>
      </c>
      <c r="F228" s="83" t="s">
        <v>6</v>
      </c>
      <c r="G228" s="83" t="s">
        <v>1274</v>
      </c>
      <c r="H228" s="83" t="s">
        <v>1</v>
      </c>
      <c r="I228" s="83" t="s">
        <v>2</v>
      </c>
      <c r="J228" s="84" t="s">
        <v>1156</v>
      </c>
      <c r="K228" s="85">
        <v>26231</v>
      </c>
      <c r="L228" s="83">
        <v>1971</v>
      </c>
      <c r="M228" s="83">
        <f t="shared" si="7"/>
        <v>48</v>
      </c>
      <c r="N228" s="83" t="s">
        <v>3</v>
      </c>
      <c r="O228" s="83" t="s">
        <v>1137</v>
      </c>
      <c r="P228" s="84" t="s">
        <v>1159</v>
      </c>
      <c r="Q228" s="83"/>
      <c r="R228" s="84" t="s">
        <v>10</v>
      </c>
    </row>
    <row r="229" spans="2:18" ht="25.5" x14ac:dyDescent="0.25">
      <c r="B229" s="136"/>
      <c r="C229" s="136"/>
      <c r="D229" s="83">
        <v>222</v>
      </c>
      <c r="E229" s="84" t="s">
        <v>1272</v>
      </c>
      <c r="F229" s="83" t="s">
        <v>11</v>
      </c>
      <c r="G229" s="83" t="s">
        <v>1275</v>
      </c>
      <c r="H229" s="83" t="s">
        <v>9</v>
      </c>
      <c r="I229" s="83" t="s">
        <v>2</v>
      </c>
      <c r="J229" s="84" t="s">
        <v>1156</v>
      </c>
      <c r="K229" s="85">
        <v>28723</v>
      </c>
      <c r="L229" s="83">
        <v>1978</v>
      </c>
      <c r="M229" s="83">
        <f t="shared" si="7"/>
        <v>41</v>
      </c>
      <c r="N229" s="83" t="s">
        <v>3</v>
      </c>
      <c r="O229" s="83" t="s">
        <v>1137</v>
      </c>
      <c r="P229" s="84" t="s">
        <v>1159</v>
      </c>
      <c r="Q229" s="83"/>
      <c r="R229" s="84" t="s">
        <v>1141</v>
      </c>
    </row>
    <row r="230" spans="2:18" ht="25.5" x14ac:dyDescent="0.25">
      <c r="B230" s="136"/>
      <c r="C230" s="136"/>
      <c r="D230" s="83">
        <v>223</v>
      </c>
      <c r="E230" s="84" t="s">
        <v>378</v>
      </c>
      <c r="F230" s="83" t="s">
        <v>17</v>
      </c>
      <c r="G230" s="83" t="s">
        <v>1276</v>
      </c>
      <c r="H230" s="83" t="s">
        <v>9</v>
      </c>
      <c r="I230" s="83" t="s">
        <v>14</v>
      </c>
      <c r="J230" s="84" t="s">
        <v>1156</v>
      </c>
      <c r="K230" s="85">
        <v>37622</v>
      </c>
      <c r="L230" s="83">
        <v>2003</v>
      </c>
      <c r="M230" s="83">
        <f t="shared" si="7"/>
        <v>16</v>
      </c>
      <c r="N230" s="83" t="s">
        <v>3</v>
      </c>
      <c r="O230" s="83" t="s">
        <v>1137</v>
      </c>
      <c r="P230" s="84" t="s">
        <v>1172</v>
      </c>
      <c r="Q230" s="83"/>
      <c r="R230" s="84" t="s">
        <v>1160</v>
      </c>
    </row>
    <row r="231" spans="2:18" ht="25.5" x14ac:dyDescent="0.25">
      <c r="B231" s="136"/>
      <c r="C231" s="136"/>
      <c r="D231" s="83">
        <v>224</v>
      </c>
      <c r="E231" s="84" t="s">
        <v>379</v>
      </c>
      <c r="F231" s="83" t="s">
        <v>17</v>
      </c>
      <c r="G231" s="83" t="s">
        <v>1277</v>
      </c>
      <c r="H231" s="83" t="s">
        <v>9</v>
      </c>
      <c r="I231" s="83" t="s">
        <v>14</v>
      </c>
      <c r="J231" s="84" t="s">
        <v>1156</v>
      </c>
      <c r="K231" s="85">
        <v>39472</v>
      </c>
      <c r="L231" s="83">
        <v>2008</v>
      </c>
      <c r="M231" s="83">
        <f t="shared" si="7"/>
        <v>11</v>
      </c>
      <c r="N231" s="83" t="s">
        <v>3</v>
      </c>
      <c r="O231" s="83" t="s">
        <v>1137</v>
      </c>
      <c r="P231" s="84" t="s">
        <v>1178</v>
      </c>
      <c r="Q231" s="83"/>
      <c r="R231" s="84" t="s">
        <v>1160</v>
      </c>
    </row>
    <row r="232" spans="2:18" ht="16.5" customHeight="1" x14ac:dyDescent="0.25">
      <c r="B232" s="136"/>
      <c r="C232" s="136"/>
      <c r="D232" s="83">
        <v>225</v>
      </c>
      <c r="E232" s="84" t="s">
        <v>380</v>
      </c>
      <c r="F232" s="83" t="s">
        <v>17</v>
      </c>
      <c r="G232" s="83" t="s">
        <v>1278</v>
      </c>
      <c r="H232" s="83" t="s">
        <v>9</v>
      </c>
      <c r="I232" s="83" t="s">
        <v>14</v>
      </c>
      <c r="J232" s="84" t="s">
        <v>1156</v>
      </c>
      <c r="K232" s="85">
        <v>40945</v>
      </c>
      <c r="L232" s="83">
        <v>2012</v>
      </c>
      <c r="M232" s="83">
        <f t="shared" si="7"/>
        <v>7</v>
      </c>
      <c r="N232" s="83" t="s">
        <v>3</v>
      </c>
      <c r="O232" s="83" t="s">
        <v>1137</v>
      </c>
      <c r="P232" s="84" t="s">
        <v>1139</v>
      </c>
      <c r="Q232" s="83"/>
      <c r="R232" s="84" t="s">
        <v>1140</v>
      </c>
    </row>
    <row r="233" spans="2:18" ht="16.5" customHeight="1" x14ac:dyDescent="0.25">
      <c r="B233" s="136"/>
      <c r="C233" s="136"/>
      <c r="D233" s="83">
        <v>226</v>
      </c>
      <c r="E233" s="84" t="s">
        <v>1273</v>
      </c>
      <c r="F233" s="83" t="s">
        <v>17</v>
      </c>
      <c r="G233" s="83" t="s">
        <v>1279</v>
      </c>
      <c r="H233" s="83" t="s">
        <v>1</v>
      </c>
      <c r="I233" s="83" t="s">
        <v>14</v>
      </c>
      <c r="J233" s="84" t="s">
        <v>1156</v>
      </c>
      <c r="K233" s="85">
        <v>42737</v>
      </c>
      <c r="L233" s="83">
        <v>2017</v>
      </c>
      <c r="M233" s="83">
        <f t="shared" si="7"/>
        <v>2</v>
      </c>
      <c r="N233" s="83" t="s">
        <v>3</v>
      </c>
      <c r="O233" s="83" t="s">
        <v>1137</v>
      </c>
      <c r="P233" s="84" t="s">
        <v>1139</v>
      </c>
      <c r="Q233" s="83"/>
      <c r="R233" s="84" t="s">
        <v>1140</v>
      </c>
    </row>
    <row r="234" spans="2:18" ht="25.5" x14ac:dyDescent="0.25">
      <c r="B234" s="136">
        <v>63</v>
      </c>
      <c r="C234" s="136"/>
      <c r="D234" s="83">
        <v>227</v>
      </c>
      <c r="E234" s="84" t="s">
        <v>381</v>
      </c>
      <c r="F234" s="83" t="s">
        <v>6</v>
      </c>
      <c r="G234" s="83" t="s">
        <v>382</v>
      </c>
      <c r="H234" s="83" t="s">
        <v>1</v>
      </c>
      <c r="I234" s="83" t="s">
        <v>2</v>
      </c>
      <c r="J234" s="84"/>
      <c r="K234" s="85">
        <v>31504</v>
      </c>
      <c r="L234" s="83">
        <v>1986</v>
      </c>
      <c r="M234" s="83">
        <f t="shared" si="7"/>
        <v>33</v>
      </c>
      <c r="N234" s="83"/>
      <c r="O234" s="83"/>
      <c r="P234" s="84" t="s">
        <v>4</v>
      </c>
      <c r="Q234" s="83"/>
      <c r="R234" s="84" t="s">
        <v>10</v>
      </c>
    </row>
    <row r="235" spans="2:18" x14ac:dyDescent="0.25">
      <c r="B235" s="136"/>
      <c r="C235" s="136"/>
      <c r="D235" s="83">
        <v>228</v>
      </c>
      <c r="E235" s="84" t="s">
        <v>383</v>
      </c>
      <c r="F235" s="83" t="s">
        <v>11</v>
      </c>
      <c r="G235" s="83" t="s">
        <v>384</v>
      </c>
      <c r="H235" s="83" t="s">
        <v>9</v>
      </c>
      <c r="I235" s="83" t="s">
        <v>2</v>
      </c>
      <c r="J235" s="84"/>
      <c r="K235" s="85">
        <v>31637</v>
      </c>
      <c r="L235" s="83">
        <v>1986</v>
      </c>
      <c r="M235" s="83">
        <f t="shared" si="7"/>
        <v>33</v>
      </c>
      <c r="N235" s="83"/>
      <c r="O235" s="83"/>
      <c r="P235" s="84" t="s">
        <v>4</v>
      </c>
      <c r="Q235" s="83"/>
      <c r="R235" s="84" t="s">
        <v>345</v>
      </c>
    </row>
    <row r="236" spans="2:18" ht="25.5" x14ac:dyDescent="0.25">
      <c r="B236" s="136"/>
      <c r="C236" s="136"/>
      <c r="D236" s="83">
        <v>229</v>
      </c>
      <c r="E236" s="84" t="s">
        <v>385</v>
      </c>
      <c r="F236" s="83" t="s">
        <v>17</v>
      </c>
      <c r="G236" s="83" t="s">
        <v>386</v>
      </c>
      <c r="H236" s="83" t="s">
        <v>1</v>
      </c>
      <c r="I236" s="83" t="s">
        <v>14</v>
      </c>
      <c r="J236" s="84"/>
      <c r="K236" s="85">
        <v>40215</v>
      </c>
      <c r="L236" s="83">
        <v>2010</v>
      </c>
      <c r="M236" s="83">
        <f t="shared" si="7"/>
        <v>9</v>
      </c>
      <c r="N236" s="83"/>
      <c r="O236" s="83"/>
      <c r="P236" s="84" t="s">
        <v>16</v>
      </c>
      <c r="Q236" s="83"/>
      <c r="R236" s="84" t="s">
        <v>16</v>
      </c>
    </row>
    <row r="237" spans="2:18" ht="25.5" x14ac:dyDescent="0.25">
      <c r="B237" s="136"/>
      <c r="C237" s="136"/>
      <c r="D237" s="83">
        <v>230</v>
      </c>
      <c r="E237" s="84" t="s">
        <v>387</v>
      </c>
      <c r="F237" s="83" t="s">
        <v>17</v>
      </c>
      <c r="G237" s="83" t="s">
        <v>388</v>
      </c>
      <c r="H237" s="83" t="s">
        <v>1</v>
      </c>
      <c r="I237" s="83" t="s">
        <v>14</v>
      </c>
      <c r="J237" s="84"/>
      <c r="K237" s="85">
        <v>41840</v>
      </c>
      <c r="L237" s="83">
        <v>2014</v>
      </c>
      <c r="M237" s="83">
        <f t="shared" si="7"/>
        <v>5</v>
      </c>
      <c r="N237" s="83"/>
      <c r="O237" s="83"/>
      <c r="P237" s="84" t="s">
        <v>16</v>
      </c>
      <c r="Q237" s="83"/>
      <c r="R237" s="84" t="s">
        <v>16</v>
      </c>
    </row>
    <row r="238" spans="2:18" x14ac:dyDescent="0.25">
      <c r="B238" s="136">
        <v>64</v>
      </c>
      <c r="C238" s="136"/>
      <c r="D238" s="83">
        <v>231</v>
      </c>
      <c r="E238" s="84" t="s">
        <v>389</v>
      </c>
      <c r="F238" s="83" t="s">
        <v>6</v>
      </c>
      <c r="G238" s="83" t="s">
        <v>390</v>
      </c>
      <c r="H238" s="83" t="s">
        <v>1</v>
      </c>
      <c r="I238" s="83" t="s">
        <v>2</v>
      </c>
      <c r="J238" s="84"/>
      <c r="K238" s="85">
        <v>27029</v>
      </c>
      <c r="L238" s="83">
        <v>1973</v>
      </c>
      <c r="M238" s="83">
        <f t="shared" si="7"/>
        <v>46</v>
      </c>
      <c r="N238" s="83"/>
      <c r="O238" s="83"/>
      <c r="P238" s="84" t="s">
        <v>15</v>
      </c>
      <c r="Q238" s="83"/>
      <c r="R238" s="84" t="s">
        <v>10</v>
      </c>
    </row>
    <row r="239" spans="2:18" x14ac:dyDescent="0.25">
      <c r="B239" s="136"/>
      <c r="C239" s="136"/>
      <c r="D239" s="83">
        <v>232</v>
      </c>
      <c r="E239" s="84" t="s">
        <v>391</v>
      </c>
      <c r="F239" s="83" t="s">
        <v>11</v>
      </c>
      <c r="G239" s="83" t="s">
        <v>392</v>
      </c>
      <c r="H239" s="83" t="s">
        <v>9</v>
      </c>
      <c r="I239" s="83" t="s">
        <v>2</v>
      </c>
      <c r="J239" s="84"/>
      <c r="K239" s="85">
        <v>27394</v>
      </c>
      <c r="L239" s="83">
        <v>1974</v>
      </c>
      <c r="M239" s="83">
        <f t="shared" si="7"/>
        <v>45</v>
      </c>
      <c r="N239" s="83"/>
      <c r="O239" s="83"/>
      <c r="P239" s="84" t="s">
        <v>4</v>
      </c>
      <c r="Q239" s="83"/>
      <c r="R239" s="84" t="s">
        <v>10</v>
      </c>
    </row>
    <row r="240" spans="2:18" ht="25.5" x14ac:dyDescent="0.25">
      <c r="B240" s="136"/>
      <c r="C240" s="136"/>
      <c r="D240" s="83">
        <v>233</v>
      </c>
      <c r="E240" s="84" t="s">
        <v>393</v>
      </c>
      <c r="F240" s="83" t="s">
        <v>17</v>
      </c>
      <c r="G240" s="83" t="s">
        <v>394</v>
      </c>
      <c r="H240" s="83" t="s">
        <v>1</v>
      </c>
      <c r="I240" s="83" t="s">
        <v>14</v>
      </c>
      <c r="J240" s="84"/>
      <c r="K240" s="85">
        <v>37715</v>
      </c>
      <c r="L240" s="83">
        <v>2003</v>
      </c>
      <c r="M240" s="83">
        <f t="shared" si="7"/>
        <v>16</v>
      </c>
      <c r="N240" s="83"/>
      <c r="O240" s="83"/>
      <c r="P240" s="84" t="s">
        <v>16</v>
      </c>
      <c r="Q240" s="83"/>
      <c r="R240" s="84" t="s">
        <v>16</v>
      </c>
    </row>
    <row r="241" spans="2:18" ht="25.5" x14ac:dyDescent="0.25">
      <c r="B241" s="136"/>
      <c r="C241" s="136"/>
      <c r="D241" s="83">
        <v>234</v>
      </c>
      <c r="E241" s="84" t="s">
        <v>395</v>
      </c>
      <c r="F241" s="83" t="s">
        <v>17</v>
      </c>
      <c r="G241" s="83" t="s">
        <v>396</v>
      </c>
      <c r="H241" s="83" t="s">
        <v>1</v>
      </c>
      <c r="I241" s="83" t="s">
        <v>14</v>
      </c>
      <c r="J241" s="84"/>
      <c r="K241" s="85">
        <v>39663</v>
      </c>
      <c r="L241" s="83">
        <v>2008</v>
      </c>
      <c r="M241" s="83">
        <f t="shared" si="7"/>
        <v>11</v>
      </c>
      <c r="N241" s="83"/>
      <c r="O241" s="83"/>
      <c r="P241" s="84" t="s">
        <v>16</v>
      </c>
      <c r="Q241" s="83"/>
      <c r="R241" s="84" t="s">
        <v>16</v>
      </c>
    </row>
    <row r="242" spans="2:18" x14ac:dyDescent="0.25">
      <c r="B242" s="136">
        <v>65</v>
      </c>
      <c r="C242" s="136"/>
      <c r="D242" s="83">
        <v>235</v>
      </c>
      <c r="E242" s="84" t="s">
        <v>397</v>
      </c>
      <c r="F242" s="83" t="s">
        <v>6</v>
      </c>
      <c r="G242" s="83" t="s">
        <v>398</v>
      </c>
      <c r="H242" s="83" t="s">
        <v>1</v>
      </c>
      <c r="I242" s="83" t="s">
        <v>2</v>
      </c>
      <c r="J242" s="84"/>
      <c r="K242" s="85">
        <v>28762</v>
      </c>
      <c r="L242" s="83">
        <v>1978</v>
      </c>
      <c r="M242" s="83">
        <f t="shared" si="7"/>
        <v>41</v>
      </c>
      <c r="N242" s="83"/>
      <c r="O242" s="83"/>
      <c r="P242" s="84" t="s">
        <v>15</v>
      </c>
      <c r="Q242" s="83"/>
      <c r="R242" s="84" t="s">
        <v>10</v>
      </c>
    </row>
    <row r="243" spans="2:18" x14ac:dyDescent="0.25">
      <c r="B243" s="136"/>
      <c r="C243" s="136"/>
      <c r="D243" s="83">
        <v>236</v>
      </c>
      <c r="E243" s="84" t="s">
        <v>399</v>
      </c>
      <c r="F243" s="83" t="s">
        <v>11</v>
      </c>
      <c r="G243" s="83" t="s">
        <v>400</v>
      </c>
      <c r="H243" s="83" t="s">
        <v>9</v>
      </c>
      <c r="I243" s="83" t="s">
        <v>2</v>
      </c>
      <c r="J243" s="84"/>
      <c r="K243" s="85">
        <v>31061</v>
      </c>
      <c r="L243" s="83">
        <v>1985</v>
      </c>
      <c r="M243" s="83">
        <f t="shared" si="7"/>
        <v>34</v>
      </c>
      <c r="N243" s="83"/>
      <c r="O243" s="83"/>
      <c r="P243" s="84" t="s">
        <v>15</v>
      </c>
      <c r="Q243" s="83"/>
      <c r="R243" s="84" t="s">
        <v>10</v>
      </c>
    </row>
    <row r="244" spans="2:18" ht="38.25" x14ac:dyDescent="0.25">
      <c r="B244" s="136"/>
      <c r="C244" s="136"/>
      <c r="D244" s="83">
        <v>237</v>
      </c>
      <c r="E244" s="84" t="s">
        <v>401</v>
      </c>
      <c r="F244" s="83" t="s">
        <v>17</v>
      </c>
      <c r="G244" s="83" t="s">
        <v>402</v>
      </c>
      <c r="H244" s="83" t="s">
        <v>1</v>
      </c>
      <c r="I244" s="83" t="s">
        <v>14</v>
      </c>
      <c r="J244" s="84"/>
      <c r="K244" s="85">
        <v>38919</v>
      </c>
      <c r="L244" s="83">
        <v>2006</v>
      </c>
      <c r="M244" s="83">
        <f t="shared" si="7"/>
        <v>13</v>
      </c>
      <c r="N244" s="83"/>
      <c r="O244" s="83"/>
      <c r="P244" s="84" t="s">
        <v>16</v>
      </c>
      <c r="Q244" s="83"/>
      <c r="R244" s="84" t="s">
        <v>16</v>
      </c>
    </row>
    <row r="245" spans="2:18" x14ac:dyDescent="0.25">
      <c r="B245" s="136"/>
      <c r="C245" s="136"/>
      <c r="D245" s="83">
        <v>238</v>
      </c>
      <c r="E245" s="84" t="s">
        <v>403</v>
      </c>
      <c r="F245" s="83" t="s">
        <v>17</v>
      </c>
      <c r="G245" s="83" t="s">
        <v>404</v>
      </c>
      <c r="H245" s="83" t="s">
        <v>1</v>
      </c>
      <c r="I245" s="83" t="s">
        <v>14</v>
      </c>
      <c r="J245" s="84"/>
      <c r="K245" s="85">
        <v>40627</v>
      </c>
      <c r="L245" s="83">
        <v>2011</v>
      </c>
      <c r="M245" s="83">
        <f t="shared" si="7"/>
        <v>8</v>
      </c>
      <c r="N245" s="83"/>
      <c r="O245" s="83"/>
      <c r="P245" s="84" t="s">
        <v>16</v>
      </c>
      <c r="Q245" s="83"/>
      <c r="R245" s="84" t="s">
        <v>16</v>
      </c>
    </row>
    <row r="246" spans="2:18" ht="38.25" x14ac:dyDescent="0.25">
      <c r="B246" s="136">
        <v>66</v>
      </c>
      <c r="C246" s="136"/>
      <c r="D246" s="83">
        <v>239</v>
      </c>
      <c r="E246" s="84" t="s">
        <v>405</v>
      </c>
      <c r="F246" s="83" t="s">
        <v>6</v>
      </c>
      <c r="G246" s="83">
        <v>0</v>
      </c>
      <c r="H246" s="83" t="s">
        <v>1</v>
      </c>
      <c r="I246" s="83" t="s">
        <v>2</v>
      </c>
      <c r="J246" s="84"/>
      <c r="K246" s="85">
        <v>25933</v>
      </c>
      <c r="L246" s="83">
        <v>1970</v>
      </c>
      <c r="M246" s="83">
        <f t="shared" si="7"/>
        <v>49</v>
      </c>
      <c r="N246" s="83"/>
      <c r="O246" s="83"/>
      <c r="P246" s="84" t="s">
        <v>15</v>
      </c>
      <c r="Q246" s="83"/>
      <c r="R246" s="84" t="s">
        <v>10</v>
      </c>
    </row>
    <row r="247" spans="2:18" x14ac:dyDescent="0.25">
      <c r="B247" s="136"/>
      <c r="C247" s="136"/>
      <c r="D247" s="83">
        <v>240</v>
      </c>
      <c r="E247" s="84" t="s">
        <v>406</v>
      </c>
      <c r="F247" s="83" t="s">
        <v>11</v>
      </c>
      <c r="G247" s="83">
        <v>0</v>
      </c>
      <c r="H247" s="83" t="s">
        <v>9</v>
      </c>
      <c r="I247" s="83" t="s">
        <v>2</v>
      </c>
      <c r="J247" s="84"/>
      <c r="K247" s="85">
        <v>26664</v>
      </c>
      <c r="L247" s="83">
        <v>1972</v>
      </c>
      <c r="M247" s="83">
        <f t="shared" si="7"/>
        <v>47</v>
      </c>
      <c r="N247" s="83"/>
      <c r="O247" s="83"/>
      <c r="P247" s="84" t="s">
        <v>15</v>
      </c>
      <c r="Q247" s="83"/>
      <c r="R247" s="84" t="s">
        <v>10</v>
      </c>
    </row>
    <row r="248" spans="2:18" ht="25.5" x14ac:dyDescent="0.25">
      <c r="B248" s="136">
        <v>67</v>
      </c>
      <c r="C248" s="136" t="s">
        <v>1378</v>
      </c>
      <c r="D248" s="83">
        <v>241</v>
      </c>
      <c r="E248" s="84" t="s">
        <v>711</v>
      </c>
      <c r="F248" s="83" t="s">
        <v>6</v>
      </c>
      <c r="G248" s="83" t="s">
        <v>1379</v>
      </c>
      <c r="H248" s="83" t="s">
        <v>1</v>
      </c>
      <c r="I248" s="83" t="s">
        <v>2</v>
      </c>
      <c r="J248" s="84" t="s">
        <v>1136</v>
      </c>
      <c r="K248" s="85">
        <v>23924</v>
      </c>
      <c r="L248" s="83">
        <v>1965</v>
      </c>
      <c r="M248" s="83">
        <f>2019-L248</f>
        <v>54</v>
      </c>
      <c r="N248" s="83" t="s">
        <v>3</v>
      </c>
      <c r="O248" s="83" t="s">
        <v>1137</v>
      </c>
      <c r="P248" s="84" t="s">
        <v>1139</v>
      </c>
      <c r="Q248" s="83"/>
      <c r="R248" s="84" t="s">
        <v>1223</v>
      </c>
    </row>
    <row r="249" spans="2:18" ht="25.5" x14ac:dyDescent="0.25">
      <c r="B249" s="136"/>
      <c r="C249" s="136"/>
      <c r="D249" s="83">
        <v>242</v>
      </c>
      <c r="E249" s="84" t="s">
        <v>1377</v>
      </c>
      <c r="F249" s="83" t="s">
        <v>11</v>
      </c>
      <c r="G249" s="83" t="s">
        <v>1380</v>
      </c>
      <c r="H249" s="83" t="s">
        <v>9</v>
      </c>
      <c r="I249" s="83" t="s">
        <v>2</v>
      </c>
      <c r="J249" s="84" t="s">
        <v>1136</v>
      </c>
      <c r="K249" s="85">
        <v>25568</v>
      </c>
      <c r="L249" s="83">
        <v>1969</v>
      </c>
      <c r="M249" s="83">
        <f>2019-L249</f>
        <v>50</v>
      </c>
      <c r="N249" s="83" t="s">
        <v>3</v>
      </c>
      <c r="O249" s="83" t="s">
        <v>1137</v>
      </c>
      <c r="P249" s="84" t="s">
        <v>1139</v>
      </c>
      <c r="Q249" s="83"/>
      <c r="R249" s="84" t="s">
        <v>1223</v>
      </c>
    </row>
    <row r="250" spans="2:18" ht="25.5" x14ac:dyDescent="0.25">
      <c r="B250" s="136"/>
      <c r="C250" s="136"/>
      <c r="D250" s="83">
        <v>243</v>
      </c>
      <c r="E250" s="84" t="s">
        <v>712</v>
      </c>
      <c r="F250" s="83" t="s">
        <v>17</v>
      </c>
      <c r="G250" s="83" t="s">
        <v>1381</v>
      </c>
      <c r="H250" s="83" t="s">
        <v>9</v>
      </c>
      <c r="I250" s="83" t="s">
        <v>14</v>
      </c>
      <c r="J250" s="84" t="s">
        <v>1136</v>
      </c>
      <c r="K250" s="85">
        <v>33413</v>
      </c>
      <c r="L250" s="83">
        <v>1991</v>
      </c>
      <c r="M250" s="83">
        <f>2019-L250</f>
        <v>28</v>
      </c>
      <c r="N250" s="83" t="s">
        <v>3</v>
      </c>
      <c r="O250" s="83" t="s">
        <v>1137</v>
      </c>
      <c r="P250" s="84" t="s">
        <v>1172</v>
      </c>
      <c r="Q250" s="83"/>
      <c r="R250" s="84" t="s">
        <v>10</v>
      </c>
    </row>
    <row r="251" spans="2:18" ht="25.5" x14ac:dyDescent="0.25">
      <c r="B251" s="136"/>
      <c r="C251" s="136"/>
      <c r="D251" s="83">
        <v>244</v>
      </c>
      <c r="E251" s="84" t="s">
        <v>713</v>
      </c>
      <c r="F251" s="83" t="s">
        <v>17</v>
      </c>
      <c r="G251" s="83" t="s">
        <v>1382</v>
      </c>
      <c r="H251" s="83" t="s">
        <v>1</v>
      </c>
      <c r="I251" s="83" t="s">
        <v>14</v>
      </c>
      <c r="J251" s="84" t="s">
        <v>1136</v>
      </c>
      <c r="K251" s="85">
        <v>34372</v>
      </c>
      <c r="L251" s="83">
        <v>1994</v>
      </c>
      <c r="M251" s="83">
        <f>2019-L251</f>
        <v>25</v>
      </c>
      <c r="N251" s="83" t="s">
        <v>3</v>
      </c>
      <c r="O251" s="83" t="s">
        <v>1137</v>
      </c>
      <c r="P251" s="84" t="s">
        <v>1159</v>
      </c>
      <c r="Q251" s="83"/>
      <c r="R251" s="84" t="s">
        <v>1160</v>
      </c>
    </row>
    <row r="252" spans="2:18" ht="25.5" x14ac:dyDescent="0.25">
      <c r="B252" s="136"/>
      <c r="C252" s="136"/>
      <c r="D252" s="83">
        <v>245</v>
      </c>
      <c r="E252" s="84" t="s">
        <v>714</v>
      </c>
      <c r="F252" s="83" t="s">
        <v>17</v>
      </c>
      <c r="G252" s="83" t="s">
        <v>715</v>
      </c>
      <c r="H252" s="83" t="s">
        <v>9</v>
      </c>
      <c r="I252" s="83" t="s">
        <v>14</v>
      </c>
      <c r="J252" s="84" t="s">
        <v>1136</v>
      </c>
      <c r="K252" s="85">
        <v>36116</v>
      </c>
      <c r="L252" s="83">
        <v>1998</v>
      </c>
      <c r="M252" s="83">
        <f>2019-L252</f>
        <v>21</v>
      </c>
      <c r="N252" s="83" t="s">
        <v>3</v>
      </c>
      <c r="O252" s="83" t="s">
        <v>1137</v>
      </c>
      <c r="P252" s="84" t="s">
        <v>1172</v>
      </c>
      <c r="Q252" s="83"/>
      <c r="R252" s="84" t="s">
        <v>1160</v>
      </c>
    </row>
    <row r="253" spans="2:18" ht="25.5" x14ac:dyDescent="0.25">
      <c r="B253" s="136">
        <v>68</v>
      </c>
      <c r="C253" s="136" t="s">
        <v>1502</v>
      </c>
      <c r="D253" s="83">
        <v>246</v>
      </c>
      <c r="E253" s="84" t="s">
        <v>1503</v>
      </c>
      <c r="F253" s="83" t="s">
        <v>6</v>
      </c>
      <c r="G253" s="83" t="s">
        <v>1508</v>
      </c>
      <c r="H253" s="83" t="s">
        <v>1</v>
      </c>
      <c r="I253" s="83" t="s">
        <v>2</v>
      </c>
      <c r="J253" s="84" t="s">
        <v>1136</v>
      </c>
      <c r="K253" s="85">
        <v>27248</v>
      </c>
      <c r="L253" s="83">
        <v>1974</v>
      </c>
      <c r="M253" s="83">
        <f t="shared" ref="M253:M255" si="9">2019-L253</f>
        <v>45</v>
      </c>
      <c r="N253" s="83" t="s">
        <v>3</v>
      </c>
      <c r="O253" s="83" t="s">
        <v>1137</v>
      </c>
      <c r="P253" s="84" t="s">
        <v>1172</v>
      </c>
      <c r="Q253" s="83"/>
      <c r="R253" s="84" t="s">
        <v>10</v>
      </c>
    </row>
    <row r="254" spans="2:18" ht="38.25" x14ac:dyDescent="0.25">
      <c r="B254" s="136"/>
      <c r="C254" s="136"/>
      <c r="D254" s="83">
        <v>247</v>
      </c>
      <c r="E254" s="84" t="s">
        <v>1504</v>
      </c>
      <c r="F254" s="83" t="s">
        <v>11</v>
      </c>
      <c r="G254" s="83" t="s">
        <v>1507</v>
      </c>
      <c r="H254" s="83" t="s">
        <v>9</v>
      </c>
      <c r="I254" s="83" t="s">
        <v>2</v>
      </c>
      <c r="J254" s="84" t="s">
        <v>1509</v>
      </c>
      <c r="K254" s="85">
        <v>28987</v>
      </c>
      <c r="L254" s="83">
        <v>1979</v>
      </c>
      <c r="M254" s="83">
        <f t="shared" si="9"/>
        <v>40</v>
      </c>
      <c r="N254" s="83" t="s">
        <v>3</v>
      </c>
      <c r="O254" s="83" t="s">
        <v>1137</v>
      </c>
      <c r="P254" s="84" t="s">
        <v>1138</v>
      </c>
      <c r="Q254" s="83"/>
      <c r="R254" s="84" t="s">
        <v>1141</v>
      </c>
    </row>
    <row r="255" spans="2:18" ht="25.5" x14ac:dyDescent="0.25">
      <c r="B255" s="136"/>
      <c r="C255" s="136"/>
      <c r="D255" s="83">
        <v>248</v>
      </c>
      <c r="E255" s="84" t="s">
        <v>1505</v>
      </c>
      <c r="F255" s="83" t="s">
        <v>17</v>
      </c>
      <c r="G255" s="83" t="s">
        <v>1506</v>
      </c>
      <c r="H255" s="83" t="s">
        <v>1</v>
      </c>
      <c r="I255" s="83" t="s">
        <v>14</v>
      </c>
      <c r="J255" s="84" t="s">
        <v>1308</v>
      </c>
      <c r="K255" s="85">
        <v>41682</v>
      </c>
      <c r="L255" s="83">
        <v>2014</v>
      </c>
      <c r="M255" s="83">
        <f t="shared" si="9"/>
        <v>5</v>
      </c>
      <c r="N255" s="83" t="s">
        <v>3</v>
      </c>
      <c r="O255" s="83" t="s">
        <v>1137</v>
      </c>
      <c r="P255" s="84" t="s">
        <v>1139</v>
      </c>
      <c r="Q255" s="83"/>
      <c r="R255" s="84" t="s">
        <v>1140</v>
      </c>
    </row>
    <row r="256" spans="2:18" ht="25.5" x14ac:dyDescent="0.25">
      <c r="B256" s="136">
        <v>69</v>
      </c>
      <c r="C256" s="136" t="s">
        <v>1510</v>
      </c>
      <c r="D256" s="83">
        <v>249</v>
      </c>
      <c r="E256" s="84" t="s">
        <v>1511</v>
      </c>
      <c r="F256" s="83" t="s">
        <v>6</v>
      </c>
      <c r="G256" s="83" t="s">
        <v>1508</v>
      </c>
      <c r="H256" s="83" t="s">
        <v>9</v>
      </c>
      <c r="I256" s="83" t="s">
        <v>1155</v>
      </c>
      <c r="J256" s="84" t="s">
        <v>1512</v>
      </c>
      <c r="K256" s="85">
        <v>25461</v>
      </c>
      <c r="L256" s="83">
        <v>1969</v>
      </c>
      <c r="M256" s="83">
        <f t="shared" ref="M256:M258" si="10">2019-L256</f>
        <v>50</v>
      </c>
      <c r="N256" s="83" t="s">
        <v>3</v>
      </c>
      <c r="O256" s="83" t="s">
        <v>1137</v>
      </c>
      <c r="P256" s="84" t="s">
        <v>1513</v>
      </c>
      <c r="Q256" s="83"/>
      <c r="R256" s="84" t="s">
        <v>1514</v>
      </c>
    </row>
    <row r="257" spans="2:18" ht="25.5" x14ac:dyDescent="0.25">
      <c r="B257" s="136"/>
      <c r="C257" s="136"/>
      <c r="D257" s="83">
        <v>250</v>
      </c>
      <c r="E257" s="84" t="s">
        <v>325</v>
      </c>
      <c r="F257" s="83" t="s">
        <v>17</v>
      </c>
      <c r="G257" s="83" t="s">
        <v>1507</v>
      </c>
      <c r="H257" s="83" t="s">
        <v>1</v>
      </c>
      <c r="I257" s="83" t="s">
        <v>14</v>
      </c>
      <c r="J257" s="84" t="s">
        <v>1156</v>
      </c>
      <c r="K257" s="85">
        <v>36784</v>
      </c>
      <c r="L257" s="83">
        <v>2000</v>
      </c>
      <c r="M257" s="83">
        <f t="shared" si="10"/>
        <v>19</v>
      </c>
      <c r="N257" s="83" t="s">
        <v>3</v>
      </c>
      <c r="O257" s="83" t="s">
        <v>1137</v>
      </c>
      <c r="P257" s="84" t="s">
        <v>1159</v>
      </c>
      <c r="Q257" s="83"/>
      <c r="R257" s="84" t="s">
        <v>10</v>
      </c>
    </row>
    <row r="258" spans="2:18" x14ac:dyDescent="0.25">
      <c r="B258" s="136"/>
      <c r="C258" s="136"/>
      <c r="D258" s="83">
        <v>251</v>
      </c>
      <c r="E258" s="84" t="s">
        <v>327</v>
      </c>
      <c r="F258" s="83" t="s">
        <v>17</v>
      </c>
      <c r="G258" s="83" t="s">
        <v>1506</v>
      </c>
      <c r="H258" s="83" t="s">
        <v>1</v>
      </c>
      <c r="I258" s="83" t="s">
        <v>14</v>
      </c>
      <c r="J258" s="84" t="s">
        <v>1246</v>
      </c>
      <c r="K258" s="85">
        <v>38516</v>
      </c>
      <c r="L258" s="83">
        <v>2005</v>
      </c>
      <c r="M258" s="83">
        <f t="shared" si="10"/>
        <v>14</v>
      </c>
      <c r="N258" s="83" t="s">
        <v>3</v>
      </c>
      <c r="O258" s="83" t="s">
        <v>1137</v>
      </c>
      <c r="P258" s="84" t="s">
        <v>1172</v>
      </c>
      <c r="Q258" s="83"/>
      <c r="R258" s="84" t="s">
        <v>1160</v>
      </c>
    </row>
    <row r="259" spans="2:18" s="99" customFormat="1" ht="15" x14ac:dyDescent="0.25">
      <c r="D259" s="145" t="s">
        <v>1665</v>
      </c>
      <c r="E259" s="145"/>
      <c r="F259" s="145"/>
      <c r="L259" s="115"/>
      <c r="P259" s="100"/>
      <c r="R259" s="100"/>
    </row>
    <row r="260" spans="2:18" s="99" customFormat="1" ht="15" x14ac:dyDescent="0.25">
      <c r="D260" s="145" t="s">
        <v>1666</v>
      </c>
      <c r="E260" s="145"/>
      <c r="F260" s="145"/>
      <c r="L260" s="115"/>
      <c r="P260" s="135" t="s">
        <v>1667</v>
      </c>
      <c r="Q260" s="135"/>
      <c r="R260" s="100"/>
    </row>
    <row r="261" spans="2:18" s="99" customFormat="1" ht="15" x14ac:dyDescent="0.25">
      <c r="D261" s="116"/>
      <c r="E261" s="117"/>
      <c r="F261" s="116"/>
      <c r="L261" s="115"/>
      <c r="P261" s="54"/>
      <c r="Q261" s="55"/>
      <c r="R261" s="100"/>
    </row>
    <row r="262" spans="2:18" s="99" customFormat="1" ht="15" x14ac:dyDescent="0.25">
      <c r="D262" s="116"/>
      <c r="E262" s="117"/>
      <c r="F262" s="116"/>
      <c r="L262" s="115"/>
      <c r="P262" s="54"/>
      <c r="Q262" s="55"/>
      <c r="R262" s="100"/>
    </row>
    <row r="263" spans="2:18" s="99" customFormat="1" ht="14.25" x14ac:dyDescent="0.2">
      <c r="D263" s="146" t="s">
        <v>1668</v>
      </c>
      <c r="E263" s="146"/>
      <c r="F263" s="146"/>
      <c r="L263" s="115"/>
      <c r="P263" s="134" t="s">
        <v>1670</v>
      </c>
      <c r="Q263" s="134"/>
      <c r="R263" s="100"/>
    </row>
    <row r="264" spans="2:18" s="99" customFormat="1" ht="14.25" x14ac:dyDescent="0.2">
      <c r="D264" s="146" t="s">
        <v>1669</v>
      </c>
      <c r="E264" s="146"/>
      <c r="F264" s="146"/>
      <c r="L264" s="115"/>
      <c r="P264" s="100"/>
      <c r="R264" s="100"/>
    </row>
  </sheetData>
  <autoFilter ref="B7:R260"/>
  <mergeCells count="151">
    <mergeCell ref="D259:F259"/>
    <mergeCell ref="D260:F260"/>
    <mergeCell ref="P260:Q260"/>
    <mergeCell ref="D263:F263"/>
    <mergeCell ref="P263:Q263"/>
    <mergeCell ref="D264:F264"/>
    <mergeCell ref="B256:B258"/>
    <mergeCell ref="C256:C258"/>
    <mergeCell ref="C102:C104"/>
    <mergeCell ref="C195:C196"/>
    <mergeCell ref="B175:B176"/>
    <mergeCell ref="C175:C176"/>
    <mergeCell ref="B248:B252"/>
    <mergeCell ref="C248:C252"/>
    <mergeCell ref="B177:B179"/>
    <mergeCell ref="B180:B182"/>
    <mergeCell ref="B183:B187"/>
    <mergeCell ref="B188:B191"/>
    <mergeCell ref="B192:B194"/>
    <mergeCell ref="B224:B227"/>
    <mergeCell ref="C228:C233"/>
    <mergeCell ref="C214:C218"/>
    <mergeCell ref="C170:C174"/>
    <mergeCell ref="C165:C169"/>
    <mergeCell ref="B253:B255"/>
    <mergeCell ref="C253:C255"/>
    <mergeCell ref="B246:B247"/>
    <mergeCell ref="B131:B134"/>
    <mergeCell ref="B219:B223"/>
    <mergeCell ref="B165:B169"/>
    <mergeCell ref="B170:B174"/>
    <mergeCell ref="B234:B237"/>
    <mergeCell ref="B197:B200"/>
    <mergeCell ref="B201:B205"/>
    <mergeCell ref="B206:B208"/>
    <mergeCell ref="C246:C247"/>
    <mergeCell ref="C242:C245"/>
    <mergeCell ref="C238:C241"/>
    <mergeCell ref="C234:C237"/>
    <mergeCell ref="B228:B233"/>
    <mergeCell ref="B155:B157"/>
    <mergeCell ref="B158:B161"/>
    <mergeCell ref="B162:B164"/>
    <mergeCell ref="B93:B97"/>
    <mergeCell ref="C93:C97"/>
    <mergeCell ref="C83:C84"/>
    <mergeCell ref="C79:C82"/>
    <mergeCell ref="B75:B78"/>
    <mergeCell ref="C162:C164"/>
    <mergeCell ref="C113:C116"/>
    <mergeCell ref="C110:C112"/>
    <mergeCell ref="C105:C109"/>
    <mergeCell ref="B126:B130"/>
    <mergeCell ref="B53:B54"/>
    <mergeCell ref="B8:B13"/>
    <mergeCell ref="C75:C78"/>
    <mergeCell ref="C71:C74"/>
    <mergeCell ref="C69:C70"/>
    <mergeCell ref="C63:C68"/>
    <mergeCell ref="C59:C62"/>
    <mergeCell ref="C55:C58"/>
    <mergeCell ref="C53:C54"/>
    <mergeCell ref="C50:C52"/>
    <mergeCell ref="B37:B40"/>
    <mergeCell ref="B42:B45"/>
    <mergeCell ref="B5:B6"/>
    <mergeCell ref="B135:B139"/>
    <mergeCell ref="B140:B143"/>
    <mergeCell ref="B144:B148"/>
    <mergeCell ref="B149:B154"/>
    <mergeCell ref="B102:B104"/>
    <mergeCell ref="B105:B109"/>
    <mergeCell ref="B110:B112"/>
    <mergeCell ref="B113:B116"/>
    <mergeCell ref="B117:B120"/>
    <mergeCell ref="B122:B125"/>
    <mergeCell ref="B98:B101"/>
    <mergeCell ref="B55:B58"/>
    <mergeCell ref="B59:B62"/>
    <mergeCell ref="B63:B68"/>
    <mergeCell ref="B15:B18"/>
    <mergeCell ref="B69:B70"/>
    <mergeCell ref="B71:B74"/>
    <mergeCell ref="B79:B82"/>
    <mergeCell ref="B83:B84"/>
    <mergeCell ref="B85:B89"/>
    <mergeCell ref="B90:B92"/>
    <mergeCell ref="C158:C161"/>
    <mergeCell ref="C155:C157"/>
    <mergeCell ref="C149:C154"/>
    <mergeCell ref="C144:C148"/>
    <mergeCell ref="C140:C143"/>
    <mergeCell ref="C180:C182"/>
    <mergeCell ref="C177:C179"/>
    <mergeCell ref="R5:R6"/>
    <mergeCell ref="J5:L5"/>
    <mergeCell ref="N5:N6"/>
    <mergeCell ref="O5:O6"/>
    <mergeCell ref="P5:P6"/>
    <mergeCell ref="Q5:Q6"/>
    <mergeCell ref="M5:M6"/>
    <mergeCell ref="H5:H6"/>
    <mergeCell ref="I5:I6"/>
    <mergeCell ref="C5:C6"/>
    <mergeCell ref="C47:C49"/>
    <mergeCell ref="C90:C92"/>
    <mergeCell ref="C98:C101"/>
    <mergeCell ref="C85:C89"/>
    <mergeCell ref="C135:C139"/>
    <mergeCell ref="C131:C134"/>
    <mergeCell ref="C126:C130"/>
    <mergeCell ref="B238:B241"/>
    <mergeCell ref="B242:B245"/>
    <mergeCell ref="B195:B196"/>
    <mergeCell ref="C197:C200"/>
    <mergeCell ref="C201:C205"/>
    <mergeCell ref="C192:C194"/>
    <mergeCell ref="C188:C191"/>
    <mergeCell ref="C183:C187"/>
    <mergeCell ref="C224:C227"/>
    <mergeCell ref="C219:C223"/>
    <mergeCell ref="C212:C213"/>
    <mergeCell ref="C209:C211"/>
    <mergeCell ref="C206:C208"/>
    <mergeCell ref="B209:B211"/>
    <mergeCell ref="B212:B213"/>
    <mergeCell ref="B214:B218"/>
    <mergeCell ref="C122:C125"/>
    <mergeCell ref="C117:C120"/>
    <mergeCell ref="C23:C24"/>
    <mergeCell ref="C19:C22"/>
    <mergeCell ref="C15:C18"/>
    <mergeCell ref="C8:C13"/>
    <mergeCell ref="B1:R1"/>
    <mergeCell ref="B2:R2"/>
    <mergeCell ref="C42:C45"/>
    <mergeCell ref="C37:C40"/>
    <mergeCell ref="C32:C36"/>
    <mergeCell ref="C30:C31"/>
    <mergeCell ref="C26:C29"/>
    <mergeCell ref="F5:F6"/>
    <mergeCell ref="G5:G6"/>
    <mergeCell ref="D5:D6"/>
    <mergeCell ref="E5:E6"/>
    <mergeCell ref="B47:B49"/>
    <mergeCell ref="B50:B52"/>
    <mergeCell ref="B19:B22"/>
    <mergeCell ref="B23:B24"/>
    <mergeCell ref="B26:B29"/>
    <mergeCell ref="B30:B31"/>
    <mergeCell ref="B32:B36"/>
  </mergeCells>
  <pageMargins left="1.37795275590551" right="0.196850393700787" top="0.39370078740157499" bottom="0.643700787" header="0.31496062992126" footer="0.31496062992126"/>
  <pageSetup paperSize="10000" scale="82" orientation="landscape" horizontalDpi="300" verticalDpi="300" r:id="rId1"/>
  <headerFooter>
    <oddFooter>&amp;C&amp;"-,Bold"&amp;12&amp;P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1" sqref="C1"/>
    </sheetView>
  </sheetViews>
  <sheetFormatPr defaultRowHeight="15" x14ac:dyDescent="0.25"/>
  <sheetData>
    <row r="1" spans="1:3" x14ac:dyDescent="0.25">
      <c r="A1">
        <v>53</v>
      </c>
      <c r="C1">
        <v>195</v>
      </c>
    </row>
    <row r="2" spans="1:3" x14ac:dyDescent="0.25">
      <c r="A2">
        <v>45</v>
      </c>
      <c r="C2">
        <v>146</v>
      </c>
    </row>
    <row r="3" spans="1:3" x14ac:dyDescent="0.25">
      <c r="A3">
        <v>49</v>
      </c>
      <c r="C3">
        <v>161</v>
      </c>
    </row>
    <row r="4" spans="1:3" x14ac:dyDescent="0.25">
      <c r="A4">
        <v>66</v>
      </c>
      <c r="C4">
        <v>240</v>
      </c>
    </row>
    <row r="5" spans="1:3" x14ac:dyDescent="0.25">
      <c r="A5">
        <f>SUM(A1:A4)</f>
        <v>213</v>
      </c>
      <c r="C5">
        <f>SUM(C1:C4)</f>
        <v>742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A14"/>
  <sheetViews>
    <sheetView workbookViewId="0">
      <selection activeCell="A15" sqref="A15"/>
    </sheetView>
  </sheetViews>
  <sheetFormatPr defaultRowHeight="15" x14ac:dyDescent="0.25"/>
  <cols>
    <col min="1" max="1" width="4.5703125" bestFit="1" customWidth="1"/>
    <col min="2" max="2" width="3.140625" bestFit="1" customWidth="1"/>
    <col min="3" max="3" width="7.140625" bestFit="1" customWidth="1"/>
    <col min="4" max="4" width="10.85546875" bestFit="1" customWidth="1"/>
    <col min="5" max="5" width="22.140625" bestFit="1" customWidth="1"/>
    <col min="6" max="6" width="23.42578125" bestFit="1" customWidth="1"/>
    <col min="7" max="7" width="15.28515625" bestFit="1" customWidth="1"/>
    <col min="8" max="8" width="15.7109375" bestFit="1" customWidth="1"/>
    <col min="9" max="9" width="16" bestFit="1" customWidth="1"/>
    <col min="10" max="10" width="9" bestFit="1" customWidth="1"/>
    <col min="11" max="11" width="10.85546875" bestFit="1" customWidth="1"/>
    <col min="12" max="12" width="6" bestFit="1" customWidth="1"/>
    <col min="13" max="13" width="5" bestFit="1" customWidth="1"/>
    <col min="14" max="14" width="6.42578125" bestFit="1" customWidth="1"/>
    <col min="15" max="15" width="8.7109375" bestFit="1" customWidth="1"/>
    <col min="16" max="16" width="17.85546875" bestFit="1" customWidth="1"/>
    <col min="17" max="17" width="7.5703125" bestFit="1" customWidth="1"/>
    <col min="19" max="19" width="6.42578125" bestFit="1" customWidth="1"/>
    <col min="20" max="20" width="5.140625" bestFit="1" customWidth="1"/>
    <col min="21" max="21" width="3.5703125" bestFit="1" customWidth="1"/>
    <col min="22" max="22" width="8.28515625" bestFit="1" customWidth="1"/>
    <col min="23" max="23" width="11.28515625" bestFit="1" customWidth="1"/>
  </cols>
  <sheetData>
    <row r="2" spans="1:53" s="37" customFormat="1" ht="15" customHeight="1" x14ac:dyDescent="0.2">
      <c r="A2" s="36"/>
      <c r="B2" s="153" t="s">
        <v>407</v>
      </c>
      <c r="C2" s="153" t="s">
        <v>1113</v>
      </c>
      <c r="D2" s="153" t="s">
        <v>1114</v>
      </c>
      <c r="E2" s="153" t="s">
        <v>1129</v>
      </c>
      <c r="F2" s="154" t="s">
        <v>1130</v>
      </c>
      <c r="G2" s="153" t="s">
        <v>415</v>
      </c>
      <c r="H2" s="153" t="s">
        <v>1131</v>
      </c>
      <c r="I2" s="153" t="s">
        <v>410</v>
      </c>
      <c r="J2" s="153" t="s">
        <v>1115</v>
      </c>
      <c r="K2" s="153"/>
      <c r="L2" s="153"/>
      <c r="M2" s="154" t="s">
        <v>1116</v>
      </c>
      <c r="N2" s="153" t="s">
        <v>411</v>
      </c>
      <c r="O2" s="153" t="s">
        <v>1117</v>
      </c>
      <c r="P2" s="153" t="s">
        <v>412</v>
      </c>
      <c r="Q2" s="153" t="s">
        <v>1118</v>
      </c>
      <c r="R2" s="153" t="s">
        <v>413</v>
      </c>
      <c r="S2" s="153" t="s">
        <v>1119</v>
      </c>
      <c r="T2" s="153"/>
      <c r="U2" s="153" t="s">
        <v>1120</v>
      </c>
      <c r="V2" s="153"/>
      <c r="W2" s="153"/>
    </row>
    <row r="3" spans="1:53" s="37" customFormat="1" ht="12.75" x14ac:dyDescent="0.2">
      <c r="A3" s="36"/>
      <c r="B3" s="153"/>
      <c r="C3" s="153"/>
      <c r="D3" s="153"/>
      <c r="E3" s="153"/>
      <c r="F3" s="154"/>
      <c r="G3" s="153"/>
      <c r="H3" s="153"/>
      <c r="I3" s="153"/>
      <c r="J3" s="30" t="s">
        <v>1121</v>
      </c>
      <c r="K3" s="20" t="s">
        <v>1122</v>
      </c>
      <c r="L3" s="7" t="s">
        <v>1128</v>
      </c>
      <c r="M3" s="154"/>
      <c r="N3" s="153"/>
      <c r="O3" s="153"/>
      <c r="P3" s="153"/>
      <c r="Q3" s="153"/>
      <c r="R3" s="153"/>
      <c r="S3" s="30" t="s">
        <v>1124</v>
      </c>
      <c r="T3" s="30" t="s">
        <v>1125</v>
      </c>
      <c r="U3" s="30" t="s">
        <v>6</v>
      </c>
      <c r="V3" s="30" t="s">
        <v>1126</v>
      </c>
      <c r="W3" s="30" t="s">
        <v>1127</v>
      </c>
    </row>
    <row r="4" spans="1:53" s="37" customFormat="1" ht="13.5" thickBot="1" x14ac:dyDescent="0.25">
      <c r="A4" s="36"/>
      <c r="B4" s="30"/>
      <c r="C4" s="30"/>
      <c r="D4" s="30"/>
      <c r="E4" s="30"/>
      <c r="F4" s="31"/>
      <c r="G4" s="30"/>
      <c r="H4" s="30"/>
      <c r="I4" s="30"/>
      <c r="J4" s="30"/>
      <c r="K4" s="20"/>
      <c r="L4" s="7"/>
      <c r="M4" s="31"/>
      <c r="N4" s="30"/>
      <c r="O4" s="30"/>
      <c r="P4" s="30"/>
      <c r="Q4" s="30"/>
      <c r="R4" s="30"/>
      <c r="S4" s="30"/>
      <c r="T4" s="30"/>
      <c r="U4" s="30"/>
      <c r="V4" s="30"/>
      <c r="W4" s="30"/>
    </row>
    <row r="5" spans="1:53" ht="64.5" customHeight="1" thickBot="1" x14ac:dyDescent="0.3">
      <c r="A5" s="8" t="s">
        <v>1188</v>
      </c>
      <c r="B5" s="2"/>
      <c r="C5" s="1">
        <v>43</v>
      </c>
      <c r="D5" s="2" t="s">
        <v>159</v>
      </c>
      <c r="E5" s="2" t="s">
        <v>17</v>
      </c>
      <c r="F5" s="2">
        <v>0</v>
      </c>
      <c r="G5" s="2" t="s">
        <v>1</v>
      </c>
      <c r="H5" s="2" t="s">
        <v>14</v>
      </c>
      <c r="I5" s="2" t="s">
        <v>109</v>
      </c>
      <c r="J5" s="3">
        <v>28125</v>
      </c>
      <c r="K5" s="2"/>
      <c r="L5" s="2"/>
      <c r="M5" s="2" t="s">
        <v>3</v>
      </c>
      <c r="N5" s="2"/>
      <c r="O5" s="2" t="s">
        <v>54</v>
      </c>
      <c r="P5" s="2"/>
      <c r="Q5" s="2"/>
      <c r="R5" s="2"/>
      <c r="S5" s="2"/>
      <c r="T5" s="2"/>
      <c r="U5" s="2"/>
      <c r="V5" s="2"/>
    </row>
    <row r="6" spans="1:53" ht="26.25" thickBot="1" x14ac:dyDescent="0.3">
      <c r="A6" s="6" t="s">
        <v>1187</v>
      </c>
      <c r="B6" s="2"/>
      <c r="C6" s="5">
        <v>49</v>
      </c>
      <c r="D6" s="2" t="s">
        <v>752</v>
      </c>
      <c r="E6" s="2" t="s">
        <v>17</v>
      </c>
      <c r="F6" s="2" t="s">
        <v>753</v>
      </c>
      <c r="G6" s="2" t="s">
        <v>9</v>
      </c>
      <c r="H6" s="2" t="s">
        <v>14</v>
      </c>
      <c r="I6" s="2"/>
      <c r="J6" s="3">
        <v>32601</v>
      </c>
      <c r="K6" s="2"/>
      <c r="L6" s="1">
        <f>2019-K6</f>
        <v>2019</v>
      </c>
      <c r="M6" s="2" t="s">
        <v>3</v>
      </c>
      <c r="N6" s="2"/>
      <c r="O6" s="2" t="s">
        <v>4</v>
      </c>
      <c r="P6" s="2"/>
      <c r="Q6" s="2" t="s">
        <v>31</v>
      </c>
      <c r="R6" s="2"/>
      <c r="S6" s="2"/>
      <c r="T6" s="2"/>
      <c r="U6" s="2"/>
      <c r="V6" s="2"/>
    </row>
    <row r="7" spans="1:53" ht="26.25" thickBot="1" x14ac:dyDescent="0.3">
      <c r="A7" s="8" t="s">
        <v>1217</v>
      </c>
      <c r="B7" s="2"/>
      <c r="C7" s="4">
        <v>94</v>
      </c>
      <c r="D7" s="2" t="s">
        <v>1010</v>
      </c>
      <c r="E7" s="2" t="s">
        <v>17</v>
      </c>
      <c r="F7" s="2" t="s">
        <v>1011</v>
      </c>
      <c r="G7" s="2" t="s">
        <v>1</v>
      </c>
      <c r="H7" s="2" t="s">
        <v>14</v>
      </c>
      <c r="I7" s="2"/>
      <c r="J7" s="3">
        <v>33603</v>
      </c>
      <c r="K7" s="2"/>
      <c r="L7" s="1">
        <f>2019-K7</f>
        <v>2019</v>
      </c>
      <c r="M7" s="2" t="s">
        <v>3</v>
      </c>
      <c r="N7" s="2"/>
      <c r="O7" s="2" t="s">
        <v>15</v>
      </c>
      <c r="P7" s="2"/>
      <c r="Q7" s="2" t="s">
        <v>16</v>
      </c>
      <c r="R7" s="2"/>
      <c r="S7" s="2"/>
      <c r="T7" s="2"/>
      <c r="U7" s="2"/>
      <c r="V7" s="2"/>
    </row>
    <row r="9" spans="1:53" s="37" customFormat="1" x14ac:dyDescent="0.25">
      <c r="A9" s="36"/>
      <c r="B9"/>
      <c r="C9"/>
      <c r="D9" s="35">
        <v>62</v>
      </c>
      <c r="E9" s="35" t="s">
        <v>769</v>
      </c>
      <c r="F9" s="35" t="s">
        <v>17</v>
      </c>
      <c r="G9" s="35" t="s">
        <v>770</v>
      </c>
      <c r="H9" s="35" t="s">
        <v>9</v>
      </c>
      <c r="I9" s="35" t="s">
        <v>14</v>
      </c>
      <c r="J9" s="35"/>
      <c r="K9" s="40">
        <v>36000</v>
      </c>
      <c r="L9" s="35"/>
      <c r="M9" s="35">
        <f t="shared" ref="M9:M14" si="0">2019-L9</f>
        <v>2019</v>
      </c>
      <c r="N9" s="35" t="s">
        <v>3</v>
      </c>
      <c r="O9" s="35"/>
      <c r="P9" s="35" t="s">
        <v>27</v>
      </c>
      <c r="Q9" s="35"/>
      <c r="R9" s="35" t="s">
        <v>16</v>
      </c>
      <c r="S9" s="35"/>
      <c r="T9" s="35"/>
      <c r="U9" s="35"/>
      <c r="V9" s="35"/>
      <c r="W9" s="35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</row>
    <row r="10" spans="1:53" s="49" customFormat="1" x14ac:dyDescent="0.25">
      <c r="A10" s="47"/>
      <c r="B10" s="48"/>
      <c r="C10" s="35"/>
      <c r="D10" s="35">
        <v>42</v>
      </c>
      <c r="E10" s="35" t="s">
        <v>82</v>
      </c>
      <c r="F10" s="35" t="s">
        <v>17</v>
      </c>
      <c r="G10" s="35">
        <v>0</v>
      </c>
      <c r="H10" s="35" t="s">
        <v>9</v>
      </c>
      <c r="I10" s="35" t="s">
        <v>14</v>
      </c>
      <c r="J10" s="35"/>
      <c r="K10" s="17">
        <v>32976</v>
      </c>
      <c r="L10" s="35"/>
      <c r="M10" s="35">
        <f t="shared" si="0"/>
        <v>2019</v>
      </c>
      <c r="N10" s="35"/>
      <c r="O10" s="35"/>
      <c r="P10" s="35" t="s">
        <v>4</v>
      </c>
      <c r="Q10" s="35"/>
      <c r="R10" s="35" t="s">
        <v>16</v>
      </c>
      <c r="S10" s="35"/>
      <c r="T10" s="35"/>
      <c r="U10" s="35"/>
      <c r="V10" s="35"/>
      <c r="W10" s="35"/>
    </row>
    <row r="11" spans="1:53" s="18" customFormat="1" x14ac:dyDescent="0.25">
      <c r="A11" s="33" t="s">
        <v>1501</v>
      </c>
      <c r="B11"/>
      <c r="C11"/>
      <c r="D11" s="35">
        <v>85</v>
      </c>
      <c r="E11" s="35" t="s">
        <v>154</v>
      </c>
      <c r="F11" s="35" t="s">
        <v>17</v>
      </c>
      <c r="G11" s="35" t="s">
        <v>1270</v>
      </c>
      <c r="H11" s="35" t="s">
        <v>1</v>
      </c>
      <c r="I11" s="35" t="s">
        <v>14</v>
      </c>
      <c r="J11" s="35" t="s">
        <v>1136</v>
      </c>
      <c r="K11" s="17">
        <v>32903</v>
      </c>
      <c r="L11" s="35">
        <v>1990</v>
      </c>
      <c r="M11" s="35">
        <f t="shared" si="0"/>
        <v>29</v>
      </c>
      <c r="N11" s="35" t="s">
        <v>3</v>
      </c>
      <c r="O11" s="35" t="s">
        <v>1137</v>
      </c>
      <c r="P11" s="35" t="s">
        <v>1159</v>
      </c>
      <c r="Q11" s="35"/>
      <c r="R11" s="35" t="s">
        <v>1160</v>
      </c>
      <c r="S11" s="35"/>
      <c r="T11" s="35"/>
      <c r="U11" s="35"/>
      <c r="V11" s="35"/>
      <c r="W11" s="35"/>
    </row>
    <row r="12" spans="1:53" s="38" customFormat="1" x14ac:dyDescent="0.25">
      <c r="A12" s="38" t="s">
        <v>1523</v>
      </c>
      <c r="B12" s="9"/>
      <c r="C12" s="39"/>
      <c r="D12" s="39">
        <v>9</v>
      </c>
      <c r="E12" s="39" t="s">
        <v>433</v>
      </c>
      <c r="F12" s="39" t="s">
        <v>17</v>
      </c>
      <c r="G12" s="39" t="s">
        <v>434</v>
      </c>
      <c r="H12" s="39" t="s">
        <v>1</v>
      </c>
      <c r="I12" s="39" t="s">
        <v>14</v>
      </c>
      <c r="J12" s="39"/>
      <c r="K12" s="40">
        <v>35929</v>
      </c>
      <c r="L12" s="39"/>
      <c r="M12" s="39">
        <f t="shared" si="0"/>
        <v>2019</v>
      </c>
      <c r="N12" s="39" t="s">
        <v>3</v>
      </c>
      <c r="O12" s="39"/>
      <c r="P12" s="39" t="s">
        <v>4</v>
      </c>
      <c r="Q12" s="39"/>
      <c r="R12" s="39" t="s">
        <v>16</v>
      </c>
      <c r="S12" s="39"/>
      <c r="T12" s="39"/>
      <c r="U12" s="39"/>
      <c r="V12" s="39"/>
      <c r="W12" s="39"/>
    </row>
    <row r="13" spans="1:53" s="38" customFormat="1" x14ac:dyDescent="0.25">
      <c r="A13" s="36" t="s">
        <v>1523</v>
      </c>
      <c r="B13"/>
      <c r="C13"/>
      <c r="D13" s="39">
        <v>148</v>
      </c>
      <c r="E13" s="39" t="s">
        <v>1181</v>
      </c>
      <c r="F13" s="39" t="s">
        <v>17</v>
      </c>
      <c r="G13" s="39" t="s">
        <v>1184</v>
      </c>
      <c r="H13" s="39" t="s">
        <v>1</v>
      </c>
      <c r="I13" s="39" t="s">
        <v>14</v>
      </c>
      <c r="J13" s="39" t="s">
        <v>1136</v>
      </c>
      <c r="K13" s="40">
        <v>32977</v>
      </c>
      <c r="L13" s="39">
        <v>1990</v>
      </c>
      <c r="M13" s="39">
        <f t="shared" si="0"/>
        <v>29</v>
      </c>
      <c r="N13" s="39" t="s">
        <v>3</v>
      </c>
      <c r="O13" s="39" t="s">
        <v>1137</v>
      </c>
      <c r="P13" s="39" t="s">
        <v>1159</v>
      </c>
      <c r="Q13" s="39"/>
      <c r="R13" s="39" t="s">
        <v>10</v>
      </c>
      <c r="S13" s="39"/>
      <c r="T13" s="39"/>
      <c r="U13" s="39"/>
      <c r="V13" s="39"/>
      <c r="W13" s="39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</row>
    <row r="14" spans="1:53" s="38" customFormat="1" x14ac:dyDescent="0.25">
      <c r="A14" s="38" t="s">
        <v>1187</v>
      </c>
      <c r="B14" s="9"/>
      <c r="C14" s="39"/>
      <c r="D14" s="39">
        <v>12</v>
      </c>
      <c r="E14" s="39" t="s">
        <v>706</v>
      </c>
      <c r="F14" s="39" t="s">
        <v>17</v>
      </c>
      <c r="G14" s="39" t="s">
        <v>707</v>
      </c>
      <c r="H14" s="39" t="s">
        <v>9</v>
      </c>
      <c r="I14" s="39" t="s">
        <v>14</v>
      </c>
      <c r="J14" s="39"/>
      <c r="K14" s="40">
        <v>32421</v>
      </c>
      <c r="L14" s="39"/>
      <c r="M14" s="39">
        <f t="shared" si="0"/>
        <v>2019</v>
      </c>
      <c r="N14" s="39" t="s">
        <v>3</v>
      </c>
      <c r="O14" s="39"/>
      <c r="P14" s="39" t="s">
        <v>15</v>
      </c>
      <c r="Q14" s="39"/>
      <c r="R14" s="39" t="s">
        <v>16</v>
      </c>
      <c r="S14" s="39"/>
      <c r="T14" s="39"/>
      <c r="U14" s="39"/>
      <c r="V14" s="39"/>
      <c r="W14" s="39"/>
    </row>
  </sheetData>
  <mergeCells count="17">
    <mergeCell ref="P2:P3"/>
    <mergeCell ref="Q2:Q3"/>
    <mergeCell ref="R2:R3"/>
    <mergeCell ref="S2:T2"/>
    <mergeCell ref="U2:W2"/>
    <mergeCell ref="O2:O3"/>
    <mergeCell ref="B2:B3"/>
    <mergeCell ref="C2:C3"/>
    <mergeCell ref="D2:D3"/>
    <mergeCell ref="E2:E3"/>
    <mergeCell ref="F2:F3"/>
    <mergeCell ref="G2:G3"/>
    <mergeCell ref="H2:H3"/>
    <mergeCell ref="I2:I3"/>
    <mergeCell ref="J2:L2"/>
    <mergeCell ref="M2:M3"/>
    <mergeCell ref="N2:N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11"/>
  <sheetViews>
    <sheetView workbookViewId="0">
      <selection activeCell="A11" sqref="A11:XFD11"/>
    </sheetView>
  </sheetViews>
  <sheetFormatPr defaultRowHeight="15" x14ac:dyDescent="0.25"/>
  <cols>
    <col min="1" max="1" width="3.140625" bestFit="1" customWidth="1"/>
    <col min="2" max="2" width="7.140625" bestFit="1" customWidth="1"/>
    <col min="3" max="3" width="10.85546875" bestFit="1" customWidth="1"/>
    <col min="4" max="4" width="21.42578125" bestFit="1" customWidth="1"/>
    <col min="5" max="5" width="23" bestFit="1" customWidth="1"/>
    <col min="6" max="6" width="18.42578125" bestFit="1" customWidth="1"/>
    <col min="7" max="7" width="16.85546875" bestFit="1" customWidth="1"/>
    <col min="8" max="8" width="16" bestFit="1" customWidth="1"/>
    <col min="9" max="9" width="23.85546875" bestFit="1" customWidth="1"/>
    <col min="10" max="10" width="11.42578125" bestFit="1" customWidth="1"/>
    <col min="11" max="11" width="5.42578125" bestFit="1" customWidth="1"/>
    <col min="12" max="12" width="4.42578125" bestFit="1" customWidth="1"/>
    <col min="13" max="13" width="6.42578125" bestFit="1" customWidth="1"/>
    <col min="14" max="14" width="6" customWidth="1"/>
    <col min="15" max="15" width="19.140625" bestFit="1" customWidth="1"/>
    <col min="16" max="16" width="7.5703125" bestFit="1" customWidth="1"/>
    <col min="17" max="17" width="11" bestFit="1" customWidth="1"/>
    <col min="18" max="18" width="6.42578125" bestFit="1" customWidth="1"/>
    <col min="19" max="19" width="5.140625" bestFit="1" customWidth="1"/>
    <col min="20" max="20" width="3.5703125" bestFit="1" customWidth="1"/>
    <col min="21" max="21" width="8.28515625" bestFit="1" customWidth="1"/>
    <col min="22" max="22" width="11.28515625" bestFit="1" customWidth="1"/>
  </cols>
  <sheetData>
    <row r="3" spans="1:23" ht="15" customHeight="1" x14ac:dyDescent="0.25">
      <c r="A3" s="155" t="s">
        <v>407</v>
      </c>
      <c r="B3" s="153" t="s">
        <v>1113</v>
      </c>
      <c r="C3" s="153" t="s">
        <v>1114</v>
      </c>
      <c r="D3" s="153" t="s">
        <v>408</v>
      </c>
      <c r="E3" s="153" t="s">
        <v>414</v>
      </c>
      <c r="F3" s="157" t="s">
        <v>415</v>
      </c>
      <c r="G3" s="153" t="s">
        <v>409</v>
      </c>
      <c r="H3" s="153" t="s">
        <v>410</v>
      </c>
      <c r="I3" s="153" t="s">
        <v>1115</v>
      </c>
      <c r="J3" s="153"/>
      <c r="K3" s="153"/>
      <c r="L3" s="154" t="s">
        <v>1116</v>
      </c>
      <c r="M3" s="153" t="s">
        <v>411</v>
      </c>
      <c r="N3" s="153" t="s">
        <v>1117</v>
      </c>
      <c r="O3" s="153" t="s">
        <v>412</v>
      </c>
      <c r="P3" s="153" t="s">
        <v>1118</v>
      </c>
      <c r="Q3" s="153" t="s">
        <v>413</v>
      </c>
      <c r="R3" s="153" t="s">
        <v>1119</v>
      </c>
      <c r="S3" s="153"/>
      <c r="T3" s="153" t="s">
        <v>1120</v>
      </c>
      <c r="U3" s="153"/>
      <c r="V3" s="158"/>
    </row>
    <row r="4" spans="1:23" x14ac:dyDescent="0.25">
      <c r="A4" s="156"/>
      <c r="B4" s="153"/>
      <c r="C4" s="153"/>
      <c r="D4" s="153"/>
      <c r="E4" s="153"/>
      <c r="F4" s="157"/>
      <c r="G4" s="153"/>
      <c r="H4" s="153"/>
      <c r="I4" s="10" t="s">
        <v>1121</v>
      </c>
      <c r="J4" s="7" t="s">
        <v>1122</v>
      </c>
      <c r="K4" s="12" t="s">
        <v>1123</v>
      </c>
      <c r="L4" s="154"/>
      <c r="M4" s="153"/>
      <c r="N4" s="153"/>
      <c r="O4" s="153"/>
      <c r="P4" s="153"/>
      <c r="Q4" s="153"/>
      <c r="R4" s="10" t="s">
        <v>1124</v>
      </c>
      <c r="S4" s="10" t="s">
        <v>1125</v>
      </c>
      <c r="T4" s="10" t="s">
        <v>6</v>
      </c>
      <c r="U4" s="10" t="s">
        <v>1126</v>
      </c>
      <c r="V4" s="11" t="s">
        <v>1127</v>
      </c>
    </row>
    <row r="5" spans="1:23" x14ac:dyDescent="0.25">
      <c r="A5" s="22"/>
      <c r="B5" s="10"/>
      <c r="C5" s="10"/>
      <c r="D5" s="10"/>
      <c r="E5" s="10"/>
      <c r="F5" s="13"/>
      <c r="G5" s="10"/>
      <c r="H5" s="10"/>
      <c r="I5" s="10"/>
      <c r="J5" s="7"/>
      <c r="K5" s="12"/>
      <c r="L5" s="12"/>
      <c r="M5" s="10"/>
      <c r="N5" s="10"/>
      <c r="O5" s="10"/>
      <c r="P5" s="10"/>
      <c r="Q5" s="10"/>
      <c r="R5" s="10"/>
      <c r="S5" s="10"/>
      <c r="T5" s="10"/>
      <c r="U5" s="10"/>
      <c r="V5" s="14"/>
    </row>
    <row r="6" spans="1:23" s="19" customFormat="1" ht="12.75" x14ac:dyDescent="0.2">
      <c r="A6" s="21"/>
      <c r="B6" s="15"/>
      <c r="C6" s="15">
        <v>131</v>
      </c>
      <c r="D6" s="15" t="s">
        <v>1064</v>
      </c>
      <c r="E6" s="15" t="s">
        <v>17</v>
      </c>
      <c r="F6" s="15" t="s">
        <v>1065</v>
      </c>
      <c r="G6" s="15" t="s">
        <v>9</v>
      </c>
      <c r="H6" s="15" t="s">
        <v>14</v>
      </c>
      <c r="I6" s="15"/>
      <c r="J6" s="16">
        <v>29412</v>
      </c>
      <c r="K6" s="15">
        <v>1980</v>
      </c>
      <c r="L6" s="15">
        <f t="shared" ref="L6:L11" si="0">2019-K6</f>
        <v>39</v>
      </c>
      <c r="M6" s="15" t="s">
        <v>3</v>
      </c>
      <c r="N6" s="15"/>
      <c r="O6" s="15" t="s">
        <v>15</v>
      </c>
      <c r="P6" s="15"/>
      <c r="Q6" s="15" t="s">
        <v>10</v>
      </c>
      <c r="R6" s="15"/>
      <c r="S6" s="15"/>
      <c r="T6" s="15"/>
      <c r="U6" s="15"/>
      <c r="V6" s="15"/>
    </row>
    <row r="7" spans="1:23" s="27" customFormat="1" x14ac:dyDescent="0.25">
      <c r="A7" s="28"/>
      <c r="B7" s="28"/>
      <c r="C7" s="23"/>
      <c r="D7" s="23" t="s">
        <v>1194</v>
      </c>
      <c r="E7" s="23" t="s">
        <v>17</v>
      </c>
      <c r="F7" s="23" t="s">
        <v>1196</v>
      </c>
      <c r="G7" s="23" t="s">
        <v>1</v>
      </c>
      <c r="H7" s="23" t="s">
        <v>14</v>
      </c>
      <c r="I7" s="23" t="s">
        <v>1136</v>
      </c>
      <c r="J7" s="24">
        <v>32268</v>
      </c>
      <c r="K7" s="23">
        <v>1988</v>
      </c>
      <c r="L7" s="23">
        <f t="shared" si="0"/>
        <v>31</v>
      </c>
      <c r="M7" s="23" t="s">
        <v>3</v>
      </c>
      <c r="N7" s="23" t="s">
        <v>1137</v>
      </c>
      <c r="O7" s="23" t="s">
        <v>1159</v>
      </c>
      <c r="P7" s="23"/>
      <c r="Q7" s="23" t="s">
        <v>10</v>
      </c>
      <c r="R7" s="23"/>
      <c r="S7" s="23"/>
      <c r="T7" s="23"/>
      <c r="U7" s="23"/>
      <c r="V7" s="23"/>
      <c r="W7" s="26"/>
    </row>
    <row r="8" spans="1:23" s="9" customFormat="1" x14ac:dyDescent="0.25">
      <c r="A8" s="28"/>
      <c r="B8" s="23"/>
      <c r="C8" s="23">
        <v>136</v>
      </c>
      <c r="D8" s="23" t="s">
        <v>620</v>
      </c>
      <c r="E8" s="23" t="s">
        <v>17</v>
      </c>
      <c r="F8" s="23" t="s">
        <v>621</v>
      </c>
      <c r="G8" s="23" t="s">
        <v>9</v>
      </c>
      <c r="H8" s="23" t="s">
        <v>14</v>
      </c>
      <c r="I8" s="23"/>
      <c r="J8" s="24">
        <v>34831</v>
      </c>
      <c r="K8" s="23"/>
      <c r="L8" s="23">
        <f t="shared" si="0"/>
        <v>2019</v>
      </c>
      <c r="M8" s="23" t="s">
        <v>3</v>
      </c>
      <c r="N8" s="23"/>
      <c r="O8" s="23" t="s">
        <v>15</v>
      </c>
      <c r="P8" s="23"/>
      <c r="Q8" s="23" t="s">
        <v>16</v>
      </c>
      <c r="R8" s="23"/>
      <c r="S8" s="23"/>
      <c r="T8" s="23"/>
      <c r="U8" s="23"/>
      <c r="V8" s="23"/>
    </row>
    <row r="9" spans="1:23" s="9" customFormat="1" x14ac:dyDescent="0.25">
      <c r="A9" s="28"/>
      <c r="B9" s="23"/>
      <c r="C9" s="23">
        <v>137</v>
      </c>
      <c r="D9" s="23" t="s">
        <v>622</v>
      </c>
      <c r="E9" s="23" t="s">
        <v>17</v>
      </c>
      <c r="F9" s="23" t="s">
        <v>623</v>
      </c>
      <c r="G9" s="23" t="s">
        <v>9</v>
      </c>
      <c r="H9" s="23" t="s">
        <v>14</v>
      </c>
      <c r="I9" s="23"/>
      <c r="J9" s="24">
        <v>34593</v>
      </c>
      <c r="K9" s="23"/>
      <c r="L9" s="23">
        <f t="shared" si="0"/>
        <v>2019</v>
      </c>
      <c r="M9" s="23" t="s">
        <v>3</v>
      </c>
      <c r="N9" s="23"/>
      <c r="O9" s="23" t="s">
        <v>15</v>
      </c>
      <c r="P9" s="23"/>
      <c r="Q9" s="23" t="s">
        <v>16</v>
      </c>
      <c r="R9" s="23"/>
      <c r="S9" s="23"/>
      <c r="T9" s="23"/>
      <c r="U9" s="23"/>
      <c r="V9" s="23"/>
    </row>
    <row r="10" spans="1:23" s="25" customFormat="1" x14ac:dyDescent="0.25">
      <c r="A10" s="28"/>
      <c r="B10" s="23"/>
      <c r="C10" s="23">
        <v>111</v>
      </c>
      <c r="D10" s="23" t="s">
        <v>505</v>
      </c>
      <c r="E10" s="23" t="s">
        <v>17</v>
      </c>
      <c r="F10" s="23" t="s">
        <v>839</v>
      </c>
      <c r="G10" s="23" t="s">
        <v>9</v>
      </c>
      <c r="H10" s="23" t="s">
        <v>14</v>
      </c>
      <c r="I10" s="23"/>
      <c r="J10" s="24">
        <v>35638</v>
      </c>
      <c r="K10" s="23"/>
      <c r="L10" s="23">
        <f t="shared" si="0"/>
        <v>2019</v>
      </c>
      <c r="M10" s="23" t="s">
        <v>3</v>
      </c>
      <c r="N10" s="23"/>
      <c r="O10" s="23" t="s">
        <v>27</v>
      </c>
      <c r="P10" s="23"/>
      <c r="Q10" s="23" t="s">
        <v>16</v>
      </c>
      <c r="R10" s="23"/>
      <c r="S10" s="23"/>
      <c r="T10" s="23"/>
      <c r="U10" s="23"/>
      <c r="V10" s="23"/>
    </row>
    <row r="11" spans="1:23" s="25" customFormat="1" x14ac:dyDescent="0.25">
      <c r="A11" s="29"/>
      <c r="B11" s="23"/>
      <c r="C11" s="23">
        <v>142</v>
      </c>
      <c r="D11" s="23" t="s">
        <v>876</v>
      </c>
      <c r="E11" s="23" t="s">
        <v>17</v>
      </c>
      <c r="F11" s="23" t="s">
        <v>877</v>
      </c>
      <c r="G11" s="23" t="s">
        <v>9</v>
      </c>
      <c r="H11" s="23" t="s">
        <v>14</v>
      </c>
      <c r="I11" s="23"/>
      <c r="J11" s="24">
        <v>35256</v>
      </c>
      <c r="K11" s="23"/>
      <c r="L11" s="23">
        <f t="shared" si="0"/>
        <v>2019</v>
      </c>
      <c r="M11" s="23" t="s">
        <v>3</v>
      </c>
      <c r="N11" s="23"/>
      <c r="O11" s="23" t="s">
        <v>15</v>
      </c>
      <c r="P11" s="23"/>
      <c r="Q11" s="23" t="s">
        <v>16</v>
      </c>
      <c r="R11" s="23"/>
      <c r="S11" s="23"/>
      <c r="T11" s="23"/>
      <c r="U11" s="23"/>
      <c r="V11" s="23"/>
    </row>
  </sheetData>
  <autoFilter ref="A5:V5"/>
  <mergeCells count="17">
    <mergeCell ref="O3:O4"/>
    <mergeCell ref="P3:P4"/>
    <mergeCell ref="Q3:Q4"/>
    <mergeCell ref="R3:S3"/>
    <mergeCell ref="T3:V3"/>
    <mergeCell ref="N3:N4"/>
    <mergeCell ref="A3:A4"/>
    <mergeCell ref="B3:B4"/>
    <mergeCell ref="C3:C4"/>
    <mergeCell ref="D3:D4"/>
    <mergeCell ref="E3:E4"/>
    <mergeCell ref="F3:F4"/>
    <mergeCell ref="G3:G4"/>
    <mergeCell ref="H3:H4"/>
    <mergeCell ref="I3:K3"/>
    <mergeCell ref="L3:L4"/>
    <mergeCell ref="M3:M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Z6"/>
  <sheetViews>
    <sheetView workbookViewId="0">
      <selection activeCell="A7" sqref="A7"/>
    </sheetView>
  </sheetViews>
  <sheetFormatPr defaultRowHeight="15" x14ac:dyDescent="0.25"/>
  <cols>
    <col min="4" max="4" width="21.42578125" bestFit="1" customWidth="1"/>
    <col min="5" max="5" width="23" bestFit="1" customWidth="1"/>
    <col min="6" max="6" width="15.28515625" bestFit="1" customWidth="1"/>
    <col min="7" max="7" width="16.85546875" bestFit="1" customWidth="1"/>
    <col min="8" max="8" width="16" bestFit="1" customWidth="1"/>
    <col min="10" max="10" width="14.7109375" bestFit="1" customWidth="1"/>
    <col min="15" max="15" width="17.85546875" bestFit="1" customWidth="1"/>
  </cols>
  <sheetData>
    <row r="2" spans="1:52" ht="15" customHeight="1" x14ac:dyDescent="0.25">
      <c r="A2" s="155" t="s">
        <v>407</v>
      </c>
      <c r="B2" s="153" t="s">
        <v>1113</v>
      </c>
      <c r="C2" s="153" t="s">
        <v>1114</v>
      </c>
      <c r="D2" s="153" t="s">
        <v>408</v>
      </c>
      <c r="E2" s="153" t="s">
        <v>414</v>
      </c>
      <c r="F2" s="157" t="s">
        <v>415</v>
      </c>
      <c r="G2" s="153" t="s">
        <v>409</v>
      </c>
      <c r="H2" s="153" t="s">
        <v>410</v>
      </c>
      <c r="I2" s="153" t="s">
        <v>1115</v>
      </c>
      <c r="J2" s="153"/>
      <c r="K2" s="153"/>
      <c r="L2" s="154" t="s">
        <v>1116</v>
      </c>
      <c r="M2" s="153" t="s">
        <v>411</v>
      </c>
      <c r="N2" s="153" t="s">
        <v>1117</v>
      </c>
      <c r="O2" s="153" t="s">
        <v>412</v>
      </c>
      <c r="P2" s="153" t="s">
        <v>1118</v>
      </c>
      <c r="Q2" s="153" t="s">
        <v>413</v>
      </c>
      <c r="R2" s="153" t="s">
        <v>1119</v>
      </c>
      <c r="S2" s="153"/>
      <c r="T2" s="153" t="s">
        <v>1120</v>
      </c>
      <c r="U2" s="153"/>
      <c r="V2" s="158"/>
    </row>
    <row r="3" spans="1:52" x14ac:dyDescent="0.25">
      <c r="A3" s="156"/>
      <c r="B3" s="153"/>
      <c r="C3" s="153"/>
      <c r="D3" s="153"/>
      <c r="E3" s="153"/>
      <c r="F3" s="157"/>
      <c r="G3" s="153"/>
      <c r="H3" s="153"/>
      <c r="I3" s="10" t="s">
        <v>1121</v>
      </c>
      <c r="J3" s="7" t="s">
        <v>1122</v>
      </c>
      <c r="K3" s="12" t="s">
        <v>1123</v>
      </c>
      <c r="L3" s="154"/>
      <c r="M3" s="153"/>
      <c r="N3" s="153"/>
      <c r="O3" s="153"/>
      <c r="P3" s="153"/>
      <c r="Q3" s="153"/>
      <c r="R3" s="10" t="s">
        <v>1124</v>
      </c>
      <c r="S3" s="10" t="s">
        <v>1125</v>
      </c>
      <c r="T3" s="10" t="s">
        <v>6</v>
      </c>
      <c r="U3" s="10" t="s">
        <v>1126</v>
      </c>
      <c r="V3" s="11" t="s">
        <v>1127</v>
      </c>
    </row>
    <row r="4" spans="1:52" x14ac:dyDescent="0.25">
      <c r="A4" s="22"/>
      <c r="B4" s="10"/>
      <c r="C4" s="10"/>
      <c r="D4" s="10"/>
      <c r="E4" s="10"/>
      <c r="F4" s="13"/>
      <c r="G4" s="10"/>
      <c r="H4" s="10"/>
      <c r="I4" s="10"/>
      <c r="J4" s="7"/>
      <c r="K4" s="12"/>
      <c r="L4" s="12"/>
      <c r="M4" s="10"/>
      <c r="N4" s="10"/>
      <c r="O4" s="10"/>
      <c r="P4" s="10"/>
      <c r="Q4" s="10"/>
      <c r="R4" s="10"/>
      <c r="S4" s="10"/>
      <c r="T4" s="10"/>
      <c r="U4" s="10"/>
      <c r="V4" s="14"/>
    </row>
    <row r="5" spans="1:52" x14ac:dyDescent="0.25">
      <c r="B5" s="15"/>
      <c r="C5" s="15">
        <v>169</v>
      </c>
      <c r="D5" s="15" t="s">
        <v>283</v>
      </c>
      <c r="E5" s="15" t="s">
        <v>6</v>
      </c>
      <c r="F5" s="15" t="s">
        <v>284</v>
      </c>
      <c r="G5" s="15" t="s">
        <v>1</v>
      </c>
      <c r="H5" s="15" t="s">
        <v>2</v>
      </c>
      <c r="I5" s="15"/>
      <c r="J5" s="16">
        <v>19724</v>
      </c>
      <c r="K5" s="15"/>
      <c r="L5" s="15">
        <f>2019-K5</f>
        <v>2019</v>
      </c>
      <c r="M5" s="15"/>
      <c r="N5" s="15"/>
      <c r="O5" s="15" t="s">
        <v>4</v>
      </c>
      <c r="P5" s="15"/>
      <c r="Q5" s="15" t="s">
        <v>41</v>
      </c>
      <c r="R5" s="15"/>
      <c r="S5" s="15"/>
      <c r="T5" s="15"/>
      <c r="U5" s="15"/>
      <c r="V5" s="15"/>
    </row>
    <row r="6" spans="1:52" s="38" customFormat="1" x14ac:dyDescent="0.25">
      <c r="A6" s="36" t="s">
        <v>1523</v>
      </c>
      <c r="B6"/>
      <c r="C6"/>
      <c r="D6" s="39">
        <v>147</v>
      </c>
      <c r="E6" s="39" t="s">
        <v>633</v>
      </c>
      <c r="F6" s="39" t="s">
        <v>11</v>
      </c>
      <c r="G6" s="39" t="s">
        <v>1183</v>
      </c>
      <c r="H6" s="39" t="s">
        <v>9</v>
      </c>
      <c r="I6" s="39" t="s">
        <v>2</v>
      </c>
      <c r="J6" s="39" t="s">
        <v>1136</v>
      </c>
      <c r="K6" s="40">
        <v>22098</v>
      </c>
      <c r="L6" s="39">
        <v>1960</v>
      </c>
      <c r="M6" s="39">
        <f t="shared" ref="M6" si="0">2019-L6</f>
        <v>59</v>
      </c>
      <c r="N6" s="39" t="s">
        <v>3</v>
      </c>
      <c r="O6" s="39" t="s">
        <v>1137</v>
      </c>
      <c r="P6" s="39" t="s">
        <v>1138</v>
      </c>
      <c r="Q6" s="39"/>
      <c r="R6" s="39" t="s">
        <v>1141</v>
      </c>
      <c r="S6" s="39"/>
      <c r="T6" s="39"/>
      <c r="U6" s="39"/>
      <c r="V6" s="39"/>
      <c r="W6" s="39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</row>
  </sheetData>
  <autoFilter ref="A4:V4"/>
  <mergeCells count="17">
    <mergeCell ref="O2:O3"/>
    <mergeCell ref="P2:P3"/>
    <mergeCell ref="Q2:Q3"/>
    <mergeCell ref="R2:S2"/>
    <mergeCell ref="T2:V2"/>
    <mergeCell ref="N2:N3"/>
    <mergeCell ref="A2:A3"/>
    <mergeCell ref="B2:B3"/>
    <mergeCell ref="C2:C3"/>
    <mergeCell ref="D2:D3"/>
    <mergeCell ref="E2:E3"/>
    <mergeCell ref="F2:F3"/>
    <mergeCell ref="G2:G3"/>
    <mergeCell ref="H2:H3"/>
    <mergeCell ref="I2:K2"/>
    <mergeCell ref="L2:L3"/>
    <mergeCell ref="M2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Rekap</vt:lpstr>
      <vt:lpstr>RT 01</vt:lpstr>
      <vt:lpstr>RT 02</vt:lpstr>
      <vt:lpstr>RT 03</vt:lpstr>
      <vt:lpstr>RT 04</vt:lpstr>
      <vt:lpstr>Sheet1</vt:lpstr>
      <vt:lpstr>pindah keluar</vt:lpstr>
      <vt:lpstr>Sheet2</vt:lpstr>
      <vt:lpstr>meninggal</vt:lpstr>
      <vt:lpstr>Rekap!Print_Area</vt:lpstr>
      <vt:lpstr>'RT 01'!Print_Area</vt:lpstr>
      <vt:lpstr>'RT 02'!Print_Area</vt:lpstr>
      <vt:lpstr>'RT 03'!Print_Area</vt:lpstr>
      <vt:lpstr>'RT 04'!Print_Area</vt:lpstr>
      <vt:lpstr>'RT 01'!Print_Titles</vt:lpstr>
      <vt:lpstr>'RT 02'!Print_Titles</vt:lpstr>
      <vt:lpstr>'RT 03'!Print_Titles</vt:lpstr>
      <vt:lpstr>'RT 04'!Print_Titles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cp:lastPrinted>2019-08-30T15:35:36Z</cp:lastPrinted>
  <dcterms:created xsi:type="dcterms:W3CDTF">2015-10-08T01:29:10Z</dcterms:created>
  <dcterms:modified xsi:type="dcterms:W3CDTF">2019-08-30T22:20:42Z</dcterms:modified>
</cp:coreProperties>
</file>