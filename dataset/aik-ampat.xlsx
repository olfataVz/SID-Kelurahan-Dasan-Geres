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penduduk exsel\"/>
    </mc:Choice>
  </mc:AlternateContent>
  <bookViews>
    <workbookView xWindow="240" yWindow="75" windowWidth="20115" windowHeight="7995" tabRatio="620"/>
  </bookViews>
  <sheets>
    <sheet name="Rekap" sheetId="9" r:id="rId1"/>
    <sheet name="RT 01" sheetId="2" r:id="rId2"/>
    <sheet name="RT 02" sheetId="1" r:id="rId3"/>
    <sheet name="RT 03" sheetId="3" r:id="rId4"/>
    <sheet name="RT 04" sheetId="4" r:id="rId5"/>
    <sheet name="Sheet1" sheetId="6" r:id="rId6"/>
    <sheet name="Pindah Keluar" sheetId="7" r:id="rId7"/>
    <sheet name="Meninggal" sheetId="8" r:id="rId8"/>
  </sheets>
  <definedNames>
    <definedName name="_xlnm._FilterDatabase" localSheetId="7" hidden="1">Meninggal!$A$4:$AB$4</definedName>
    <definedName name="_xlnm._FilterDatabase" localSheetId="6" hidden="1">'Pindah Keluar'!$A$4:$AC$4</definedName>
    <definedName name="_xlnm._FilterDatabase" localSheetId="1" hidden="1">'RT 01'!$B$7:$R$287</definedName>
    <definedName name="_xlnm._FilterDatabase" localSheetId="2" hidden="1">'RT 02'!$B$7:$R$263</definedName>
    <definedName name="_xlnm._FilterDatabase" localSheetId="3" hidden="1">'RT 03'!$B$7:$R$315</definedName>
    <definedName name="_xlnm._FilterDatabase" localSheetId="4" hidden="1">'RT 04'!$B$7:$R$241</definedName>
    <definedName name="_xlnm._FilterDatabase" localSheetId="5" hidden="1">Sheet1!$A$4:$W$4</definedName>
    <definedName name="_xlnm.Print_Area" localSheetId="0">Rekap!$B$2:$N$20</definedName>
    <definedName name="_xlnm.Print_Area" localSheetId="1">'RT 01'!$B$1:$R$297</definedName>
    <definedName name="_xlnm.Print_Area" localSheetId="2">'RT 02'!$B$1:$R$273</definedName>
    <definedName name="_xlnm.Print_Area" localSheetId="3">'RT 03'!$B$1:$R$325</definedName>
    <definedName name="_xlnm.Print_Area" localSheetId="4">'RT 04'!$B$1:$R$251</definedName>
    <definedName name="_xlnm.Print_Titles" localSheetId="1">'RT 01'!$1:$7</definedName>
    <definedName name="_xlnm.Print_Titles" localSheetId="2">'RT 02'!$1:$7</definedName>
    <definedName name="_xlnm.Print_Titles" localSheetId="3">'RT 03'!$1:$7</definedName>
    <definedName name="_xlnm.Print_Titles" localSheetId="4">'RT 04'!$1:$7</definedName>
  </definedNames>
  <calcPr calcId="162913"/>
</workbook>
</file>

<file path=xl/calcChain.xml><?xml version="1.0" encoding="utf-8"?>
<calcChain xmlns="http://schemas.openxmlformats.org/spreadsheetml/2006/main">
  <c r="J9" i="9" l="1"/>
  <c r="J8" i="9"/>
  <c r="J7" i="9"/>
  <c r="J6" i="9"/>
  <c r="I9" i="9"/>
  <c r="I8" i="9"/>
  <c r="I7" i="9"/>
  <c r="I6" i="9"/>
  <c r="L301" i="3" l="1"/>
  <c r="M301" i="3" s="1"/>
  <c r="L300" i="3"/>
  <c r="M300" i="3" s="1"/>
  <c r="L299" i="3"/>
  <c r="M299" i="3" s="1"/>
  <c r="L298" i="3"/>
  <c r="M298" i="3" s="1"/>
  <c r="L297" i="3"/>
  <c r="M297" i="3" s="1"/>
  <c r="L296" i="3"/>
  <c r="M296" i="3" s="1"/>
  <c r="L295" i="3"/>
  <c r="M295" i="3" s="1"/>
  <c r="L294" i="3"/>
  <c r="M294" i="3" s="1"/>
  <c r="L293" i="3"/>
  <c r="M293" i="3" s="1"/>
  <c r="L292" i="3"/>
  <c r="M292" i="3" s="1"/>
  <c r="L291" i="3"/>
  <c r="M291" i="3" s="1"/>
  <c r="L290" i="3"/>
  <c r="M290" i="3" s="1"/>
  <c r="L289" i="3"/>
  <c r="M289" i="3" s="1"/>
  <c r="L288" i="3"/>
  <c r="M288" i="3" s="1"/>
  <c r="L287" i="3"/>
  <c r="M287" i="3" s="1"/>
  <c r="L286" i="3"/>
  <c r="M286" i="3" s="1"/>
  <c r="L281" i="3"/>
  <c r="M281" i="3" s="1"/>
  <c r="L280" i="3"/>
  <c r="M280" i="3" s="1"/>
  <c r="L279" i="3"/>
  <c r="M279" i="3" s="1"/>
  <c r="L278" i="3"/>
  <c r="M278" i="3" s="1"/>
  <c r="L277" i="3"/>
  <c r="M277" i="3" s="1"/>
  <c r="L276" i="3"/>
  <c r="M276" i="3" s="1"/>
  <c r="L275" i="3"/>
  <c r="M275" i="3" s="1"/>
  <c r="L274" i="3"/>
  <c r="M274" i="3" s="1"/>
  <c r="L273" i="3"/>
  <c r="M273" i="3" s="1"/>
  <c r="L272" i="3"/>
  <c r="M272" i="3" s="1"/>
  <c r="L271" i="3"/>
  <c r="M271" i="3" s="1"/>
  <c r="L266" i="3"/>
  <c r="M266" i="3" s="1"/>
  <c r="L265" i="3"/>
  <c r="M265" i="3" s="1"/>
  <c r="L264" i="3"/>
  <c r="M264" i="3" s="1"/>
  <c r="L263" i="3"/>
  <c r="M263" i="3" s="1"/>
  <c r="L262" i="3"/>
  <c r="M262" i="3" s="1"/>
  <c r="L261" i="3"/>
  <c r="M261" i="3" s="1"/>
  <c r="L255" i="3"/>
  <c r="M255" i="3" s="1"/>
  <c r="L254" i="3"/>
  <c r="M254" i="3" s="1"/>
  <c r="L253" i="3"/>
  <c r="M253" i="3" s="1"/>
  <c r="L229" i="3"/>
  <c r="M229" i="3" s="1"/>
  <c r="L228" i="3"/>
  <c r="M228" i="3" s="1"/>
  <c r="L227" i="3"/>
  <c r="M227" i="3" s="1"/>
  <c r="L226" i="3"/>
  <c r="M226" i="3" s="1"/>
  <c r="L225" i="3"/>
  <c r="M225" i="3" s="1"/>
  <c r="L208" i="3"/>
  <c r="M208" i="3" s="1"/>
  <c r="L207" i="3"/>
  <c r="M207" i="3" s="1"/>
  <c r="L189" i="3"/>
  <c r="M189" i="3" s="1"/>
  <c r="L188" i="3"/>
  <c r="M188" i="3" s="1"/>
  <c r="L175" i="3"/>
  <c r="M175" i="3" s="1"/>
  <c r="L174" i="3"/>
  <c r="M174" i="3" s="1"/>
  <c r="L173" i="3"/>
  <c r="M173" i="3" s="1"/>
  <c r="L172" i="3"/>
  <c r="M172" i="3" s="1"/>
  <c r="L171" i="3"/>
  <c r="M171" i="3" s="1"/>
  <c r="L170" i="3"/>
  <c r="M170" i="3" s="1"/>
  <c r="L164" i="3"/>
  <c r="M164" i="3" s="1"/>
  <c r="L163" i="3"/>
  <c r="M163" i="3" s="1"/>
  <c r="L162" i="3"/>
  <c r="M162" i="3" s="1"/>
  <c r="L161" i="3"/>
  <c r="M161" i="3" s="1"/>
  <c r="L145" i="3"/>
  <c r="M145" i="3" s="1"/>
  <c r="L136" i="3"/>
  <c r="M136" i="3" s="1"/>
  <c r="L135" i="3"/>
  <c r="M135" i="3" s="1"/>
  <c r="L134" i="3"/>
  <c r="M134" i="3" s="1"/>
  <c r="L133" i="3"/>
  <c r="M133" i="3" s="1"/>
  <c r="L132" i="3"/>
  <c r="M132" i="3" s="1"/>
  <c r="L129" i="3"/>
  <c r="M129" i="3" s="1"/>
  <c r="L128" i="3"/>
  <c r="M128" i="3" s="1"/>
  <c r="L127" i="3"/>
  <c r="M127" i="3" s="1"/>
  <c r="L106" i="3"/>
  <c r="M106" i="3" s="1"/>
  <c r="L105" i="3"/>
  <c r="M105" i="3" s="1"/>
  <c r="L104" i="3"/>
  <c r="M104" i="3" s="1"/>
  <c r="L103" i="3"/>
  <c r="M103" i="3" s="1"/>
  <c r="L95" i="3"/>
  <c r="M95" i="3" s="1"/>
  <c r="L94" i="3"/>
  <c r="M94" i="3" s="1"/>
  <c r="L93" i="3"/>
  <c r="M93" i="3" s="1"/>
  <c r="L92" i="3"/>
  <c r="M92" i="3" s="1"/>
  <c r="L91" i="3"/>
  <c r="M91" i="3" s="1"/>
  <c r="L90" i="3"/>
  <c r="M90" i="3" s="1"/>
  <c r="L89" i="3"/>
  <c r="M89" i="3" s="1"/>
  <c r="L88" i="3"/>
  <c r="M88" i="3" s="1"/>
  <c r="L87" i="3"/>
  <c r="M87" i="3" s="1"/>
  <c r="L86" i="3"/>
  <c r="M86" i="3" s="1"/>
  <c r="L85" i="3"/>
  <c r="M85" i="3" s="1"/>
  <c r="L84" i="3"/>
  <c r="M84" i="3" s="1"/>
  <c r="L83" i="3"/>
  <c r="M83" i="3" s="1"/>
  <c r="L64" i="3"/>
  <c r="M64" i="3" s="1"/>
  <c r="L63" i="3"/>
  <c r="M63" i="3" s="1"/>
  <c r="L62" i="3"/>
  <c r="M62" i="3" s="1"/>
  <c r="L61" i="3"/>
  <c r="M61" i="3" s="1"/>
  <c r="L60" i="3"/>
  <c r="M60" i="3" s="1"/>
  <c r="L59" i="3"/>
  <c r="M59" i="3" s="1"/>
  <c r="L58" i="3"/>
  <c r="M58" i="3" s="1"/>
  <c r="L57" i="3"/>
  <c r="M57" i="3" s="1"/>
  <c r="L56" i="3"/>
  <c r="M56" i="3" s="1"/>
  <c r="L55" i="3"/>
  <c r="M55" i="3" s="1"/>
  <c r="L54" i="3"/>
  <c r="M54" i="3" s="1"/>
  <c r="L53" i="3"/>
  <c r="M53" i="3" s="1"/>
  <c r="L52" i="3"/>
  <c r="M52" i="3" s="1"/>
  <c r="L51" i="3"/>
  <c r="M51" i="3" s="1"/>
  <c r="L50" i="3"/>
  <c r="M50" i="3" s="1"/>
  <c r="L49" i="3"/>
  <c r="M49" i="3" s="1"/>
  <c r="L48" i="3"/>
  <c r="M48" i="3" s="1"/>
  <c r="L47" i="3"/>
  <c r="M47" i="3" s="1"/>
  <c r="L46" i="3"/>
  <c r="M46" i="3" s="1"/>
  <c r="L45" i="3"/>
  <c r="M45" i="3" s="1"/>
  <c r="L44" i="3"/>
  <c r="M44" i="3" s="1"/>
  <c r="L36" i="3"/>
  <c r="M36" i="3" s="1"/>
  <c r="L35" i="3"/>
  <c r="M35" i="3" s="1"/>
  <c r="L34" i="3"/>
  <c r="M34" i="3" s="1"/>
  <c r="L27" i="3"/>
  <c r="M27" i="3" s="1"/>
  <c r="L26" i="3"/>
  <c r="M26" i="3" s="1"/>
  <c r="L25" i="3"/>
  <c r="M25" i="3" s="1"/>
  <c r="L24" i="3"/>
  <c r="M24" i="3" s="1"/>
  <c r="L23" i="3"/>
  <c r="M23" i="3" s="1"/>
  <c r="L22" i="3"/>
  <c r="M22" i="3" s="1"/>
  <c r="L21" i="3"/>
  <c r="M21" i="3" s="1"/>
  <c r="L20" i="3"/>
  <c r="M20" i="3" s="1"/>
  <c r="L16" i="3"/>
  <c r="M16" i="3" s="1"/>
  <c r="L15" i="3"/>
  <c r="M15" i="3" s="1"/>
  <c r="L14" i="3"/>
  <c r="M14" i="3" s="1"/>
  <c r="L13" i="3"/>
  <c r="M13" i="3" s="1"/>
  <c r="L12" i="3"/>
  <c r="M12" i="3" s="1"/>
  <c r="L11" i="3"/>
  <c r="M11" i="3" s="1"/>
  <c r="L10" i="3"/>
  <c r="M10" i="3" s="1"/>
  <c r="L9" i="3"/>
  <c r="M9" i="3" s="1"/>
  <c r="L8" i="3"/>
  <c r="L189" i="1"/>
  <c r="L176" i="1"/>
  <c r="L175" i="1"/>
  <c r="L174" i="1"/>
  <c r="L165" i="1"/>
  <c r="L160" i="1"/>
  <c r="L159" i="1"/>
  <c r="L158" i="1"/>
  <c r="L157" i="1"/>
  <c r="L156" i="1"/>
  <c r="L155" i="1"/>
  <c r="L154" i="1"/>
  <c r="L153" i="1"/>
  <c r="L152" i="1"/>
  <c r="L151" i="1"/>
  <c r="L150" i="1"/>
  <c r="L144" i="1"/>
  <c r="L143" i="1"/>
  <c r="L138" i="1"/>
  <c r="L131" i="1"/>
  <c r="L130" i="1"/>
  <c r="L124" i="1"/>
  <c r="L123" i="1"/>
  <c r="L122" i="1"/>
  <c r="L121" i="1"/>
  <c r="L120" i="1"/>
  <c r="L119" i="1"/>
  <c r="L118" i="1"/>
  <c r="L117" i="1"/>
  <c r="L116" i="1"/>
  <c r="L115" i="1"/>
  <c r="L114" i="1"/>
  <c r="L110" i="1"/>
  <c r="L109" i="1"/>
  <c r="L108" i="1"/>
  <c r="L107" i="1"/>
  <c r="L106" i="1"/>
  <c r="L105" i="1"/>
  <c r="L104" i="1"/>
  <c r="L103" i="1"/>
  <c r="L102" i="1"/>
  <c r="L97" i="1"/>
  <c r="L86" i="1"/>
  <c r="L81" i="1"/>
  <c r="L80" i="1"/>
  <c r="L79" i="1"/>
  <c r="L78" i="1"/>
  <c r="L77" i="1"/>
  <c r="L73" i="1"/>
  <c r="L72" i="1"/>
  <c r="L69" i="1"/>
  <c r="L68" i="1"/>
  <c r="L62" i="1"/>
  <c r="L47" i="1"/>
  <c r="L46" i="1"/>
  <c r="L23" i="1"/>
  <c r="L22" i="1"/>
  <c r="L21" i="1"/>
  <c r="L20" i="1"/>
  <c r="L19" i="1"/>
  <c r="L232" i="2"/>
  <c r="L231" i="2"/>
  <c r="L230" i="2"/>
  <c r="L202" i="2"/>
  <c r="L201" i="2"/>
  <c r="L200" i="2"/>
  <c r="L199" i="2"/>
  <c r="L190" i="2"/>
  <c r="L189" i="2"/>
  <c r="L182" i="2"/>
  <c r="L150" i="2"/>
  <c r="L149" i="2"/>
  <c r="L148" i="2"/>
  <c r="L130" i="2"/>
  <c r="L129" i="2"/>
  <c r="L128" i="2"/>
  <c r="L121" i="2"/>
  <c r="L120" i="2"/>
  <c r="L119" i="2"/>
  <c r="L100" i="2"/>
  <c r="L90" i="2"/>
  <c r="L79" i="2"/>
  <c r="L78" i="2"/>
  <c r="L77" i="2"/>
  <c r="L76" i="2"/>
  <c r="L75" i="2"/>
  <c r="L74" i="2"/>
  <c r="L73" i="2"/>
  <c r="L72" i="2"/>
  <c r="L70" i="2"/>
  <c r="L69" i="2"/>
  <c r="L68" i="2"/>
  <c r="L67" i="2"/>
  <c r="L62" i="2"/>
  <c r="L61" i="2"/>
  <c r="L60" i="2"/>
  <c r="L59" i="2"/>
  <c r="L56" i="2"/>
  <c r="L55" i="2"/>
  <c r="L54" i="2"/>
  <c r="L50" i="2"/>
  <c r="L49" i="2"/>
  <c r="L44" i="2"/>
  <c r="L42" i="2"/>
  <c r="L37" i="2"/>
  <c r="L35" i="2"/>
  <c r="L34" i="2"/>
  <c r="L33" i="2"/>
  <c r="L32" i="2"/>
  <c r="L25" i="2"/>
  <c r="L16" i="2"/>
  <c r="L15" i="2"/>
  <c r="L14" i="2"/>
  <c r="L201" i="4"/>
  <c r="L200" i="4"/>
  <c r="L199" i="4"/>
  <c r="L198" i="4"/>
  <c r="L197" i="4"/>
  <c r="L196" i="4"/>
  <c r="L195" i="4"/>
  <c r="L189" i="4"/>
  <c r="L188" i="4"/>
  <c r="L187" i="4"/>
  <c r="L182" i="4"/>
  <c r="M182" i="4" s="1"/>
  <c r="L176" i="4"/>
  <c r="L175" i="4"/>
  <c r="L174" i="4"/>
  <c r="L169" i="4"/>
  <c r="L168" i="4"/>
  <c r="L167" i="4"/>
  <c r="L163" i="4"/>
  <c r="L162" i="4"/>
  <c r="L161" i="4"/>
  <c r="L160" i="4"/>
  <c r="L148" i="4"/>
  <c r="L147" i="4"/>
  <c r="L146" i="4"/>
  <c r="L145" i="4"/>
  <c r="L132" i="4"/>
  <c r="L131" i="4"/>
  <c r="L130" i="4"/>
  <c r="L126" i="4"/>
  <c r="L117" i="4"/>
  <c r="L111" i="4"/>
  <c r="L110" i="4"/>
  <c r="L109" i="4"/>
  <c r="L108" i="4"/>
  <c r="L107" i="4"/>
  <c r="L106" i="4"/>
  <c r="L105" i="4"/>
  <c r="L104" i="4"/>
  <c r="L103" i="4"/>
  <c r="L102" i="4"/>
  <c r="L94" i="4"/>
  <c r="L93" i="4"/>
  <c r="L92" i="4"/>
  <c r="M287" i="2" l="1"/>
  <c r="M286" i="2"/>
  <c r="M285" i="2"/>
  <c r="M284" i="2"/>
  <c r="M283" i="2"/>
  <c r="M282" i="2"/>
  <c r="M314" i="3"/>
  <c r="M315" i="3"/>
  <c r="M313" i="3"/>
  <c r="M263" i="1"/>
  <c r="M262" i="1"/>
  <c r="M261" i="1"/>
  <c r="M260" i="1"/>
  <c r="M259" i="1"/>
  <c r="M312" i="3"/>
  <c r="M311" i="3"/>
  <c r="L10" i="9"/>
  <c r="M10" i="9"/>
  <c r="F9" i="9" l="1"/>
  <c r="G9" i="9"/>
  <c r="G8" i="9"/>
  <c r="F8" i="9"/>
  <c r="G7" i="9"/>
  <c r="F7" i="9"/>
  <c r="G6" i="9"/>
  <c r="F6" i="9"/>
  <c r="D9" i="9"/>
  <c r="D8" i="9"/>
  <c r="D7" i="9"/>
  <c r="D6" i="9"/>
  <c r="C9" i="9"/>
  <c r="C8" i="9"/>
  <c r="C7" i="9"/>
  <c r="C6" i="9"/>
  <c r="N7" i="9"/>
  <c r="N8" i="9"/>
  <c r="N9" i="9"/>
  <c r="N6" i="9"/>
  <c r="J10" i="9" l="1"/>
  <c r="I10" i="9"/>
  <c r="G10" i="9"/>
  <c r="N10" i="9"/>
  <c r="C10" i="9"/>
  <c r="F10" i="9"/>
  <c r="D10" i="9"/>
  <c r="K9" i="9"/>
  <c r="K8" i="9"/>
  <c r="K7" i="9"/>
  <c r="H9" i="9"/>
  <c r="H8" i="9"/>
  <c r="H7" i="9"/>
  <c r="H6" i="9"/>
  <c r="E7" i="9"/>
  <c r="E8" i="9"/>
  <c r="E9" i="9"/>
  <c r="K6" i="9"/>
  <c r="M257" i="1"/>
  <c r="M258" i="1"/>
  <c r="M256" i="1"/>
  <c r="M255" i="1"/>
  <c r="M254" i="1"/>
  <c r="M28" i="1"/>
  <c r="M30" i="1"/>
  <c r="M29" i="1"/>
  <c r="M27" i="1"/>
  <c r="M26" i="1"/>
  <c r="M31" i="1"/>
  <c r="M64" i="4"/>
  <c r="M52" i="1"/>
  <c r="M281" i="2"/>
  <c r="M280" i="2"/>
  <c r="M279" i="2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2" i="1"/>
  <c r="M221" i="1"/>
  <c r="M220" i="1"/>
  <c r="M219" i="1"/>
  <c r="M218" i="1"/>
  <c r="M217" i="1"/>
  <c r="M216" i="1"/>
  <c r="M215" i="1"/>
  <c r="M211" i="1"/>
  <c r="M210" i="1"/>
  <c r="M209" i="1"/>
  <c r="M208" i="1"/>
  <c r="M202" i="1"/>
  <c r="M201" i="1"/>
  <c r="M200" i="1"/>
  <c r="M199" i="1"/>
  <c r="M198" i="1"/>
  <c r="M197" i="1"/>
  <c r="M253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K10" i="9" l="1"/>
  <c r="H10" i="9"/>
  <c r="E6" i="9"/>
  <c r="E10" i="9" s="1"/>
  <c r="M131" i="3"/>
  <c r="M191" i="3" l="1"/>
  <c r="M180" i="2"/>
  <c r="M5" i="8"/>
  <c r="M242" i="3"/>
  <c r="M307" i="3"/>
  <c r="M308" i="3"/>
  <c r="M309" i="3"/>
  <c r="M310" i="3"/>
  <c r="M70" i="3"/>
  <c r="M71" i="3"/>
  <c r="M72" i="3"/>
  <c r="M73" i="3"/>
  <c r="M275" i="2"/>
  <c r="M276" i="2"/>
  <c r="M277" i="2"/>
  <c r="M278" i="2"/>
  <c r="M274" i="2"/>
  <c r="M282" i="3"/>
  <c r="M283" i="3"/>
  <c r="M284" i="3"/>
  <c r="M285" i="3"/>
  <c r="M234" i="3"/>
  <c r="M205" i="3"/>
  <c r="M206" i="3"/>
  <c r="M304" i="3" l="1"/>
  <c r="M305" i="3"/>
  <c r="M306" i="3"/>
  <c r="M303" i="3"/>
  <c r="M302" i="3"/>
  <c r="L10" i="7"/>
  <c r="L9" i="7"/>
  <c r="M267" i="3"/>
  <c r="M268" i="3"/>
  <c r="M269" i="3"/>
  <c r="M270" i="3"/>
  <c r="M17" i="3"/>
  <c r="M18" i="3"/>
  <c r="M19" i="3"/>
  <c r="M28" i="3"/>
  <c r="M29" i="3"/>
  <c r="M30" i="3"/>
  <c r="M31" i="3"/>
  <c r="M32" i="3"/>
  <c r="M33" i="3"/>
  <c r="M37" i="3"/>
  <c r="M38" i="3"/>
  <c r="M39" i="3"/>
  <c r="M40" i="3"/>
  <c r="M41" i="3"/>
  <c r="M42" i="3"/>
  <c r="M43" i="3"/>
  <c r="M65" i="3"/>
  <c r="M66" i="3"/>
  <c r="M67" i="3"/>
  <c r="M68" i="3"/>
  <c r="M69" i="3"/>
  <c r="M74" i="3"/>
  <c r="M75" i="3"/>
  <c r="M76" i="3"/>
  <c r="M77" i="3"/>
  <c r="M78" i="3"/>
  <c r="M79" i="3"/>
  <c r="M80" i="3"/>
  <c r="M81" i="3"/>
  <c r="M82" i="3"/>
  <c r="M96" i="3"/>
  <c r="M97" i="3"/>
  <c r="M98" i="3"/>
  <c r="M99" i="3"/>
  <c r="M100" i="3"/>
  <c r="M101" i="3"/>
  <c r="M102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30" i="3"/>
  <c r="M137" i="3"/>
  <c r="M138" i="3"/>
  <c r="M139" i="3"/>
  <c r="M140" i="3"/>
  <c r="M141" i="3"/>
  <c r="M142" i="3"/>
  <c r="M143" i="3"/>
  <c r="M144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5" i="3"/>
  <c r="M166" i="3"/>
  <c r="M167" i="3"/>
  <c r="M168" i="3"/>
  <c r="M169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90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30" i="3"/>
  <c r="M231" i="3"/>
  <c r="M232" i="3"/>
  <c r="M233" i="3"/>
  <c r="M235" i="3"/>
  <c r="M236" i="3"/>
  <c r="M237" i="3"/>
  <c r="M238" i="3"/>
  <c r="M239" i="3"/>
  <c r="M240" i="3"/>
  <c r="M241" i="3"/>
  <c r="M243" i="3"/>
  <c r="M244" i="3"/>
  <c r="M245" i="3"/>
  <c r="M246" i="3"/>
  <c r="M247" i="3"/>
  <c r="M248" i="3"/>
  <c r="M260" i="3"/>
  <c r="M259" i="3"/>
  <c r="M258" i="3"/>
  <c r="M257" i="3"/>
  <c r="M256" i="3"/>
  <c r="M250" i="3"/>
  <c r="M251" i="3"/>
  <c r="M252" i="3"/>
  <c r="M249" i="3"/>
  <c r="M273" i="2"/>
  <c r="M272" i="2"/>
  <c r="M271" i="2"/>
  <c r="M270" i="2"/>
  <c r="M269" i="2"/>
  <c r="M268" i="2"/>
  <c r="M267" i="2"/>
  <c r="M266" i="2"/>
  <c r="M263" i="2"/>
  <c r="M264" i="2"/>
  <c r="M265" i="2"/>
  <c r="M262" i="2"/>
  <c r="M261" i="2"/>
  <c r="M260" i="2"/>
  <c r="M259" i="2"/>
  <c r="M258" i="2"/>
  <c r="M257" i="2"/>
  <c r="M256" i="2"/>
  <c r="M107" i="2"/>
  <c r="M255" i="2"/>
  <c r="M254" i="2"/>
  <c r="M253" i="2"/>
  <c r="M252" i="2"/>
  <c r="M228" i="2"/>
  <c r="M224" i="2"/>
  <c r="M8" i="3"/>
  <c r="M197" i="2"/>
  <c r="M196" i="2"/>
  <c r="L8" i="7"/>
  <c r="M123" i="2"/>
  <c r="L7" i="7"/>
  <c r="L6" i="7"/>
  <c r="M249" i="2"/>
  <c r="M250" i="2"/>
  <c r="M251" i="2"/>
  <c r="L5" i="7"/>
  <c r="M245" i="2"/>
  <c r="M246" i="2"/>
  <c r="M247" i="2"/>
  <c r="M248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5" i="2"/>
  <c r="M226" i="2"/>
  <c r="M227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8" i="2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M146" i="2"/>
</calcChain>
</file>

<file path=xl/sharedStrings.xml><?xml version="1.0" encoding="utf-8"?>
<sst xmlns="http://schemas.openxmlformats.org/spreadsheetml/2006/main" count="10833" uniqueCount="2354">
  <si>
    <t>Haji Muhamad Rosihin Junaidi</t>
  </si>
  <si>
    <t>L</t>
  </si>
  <si>
    <t>Kawin</t>
  </si>
  <si>
    <t>Islam</t>
  </si>
  <si>
    <t>SD/MI</t>
  </si>
  <si>
    <t>Wiraswasta</t>
  </si>
  <si>
    <t>KK</t>
  </si>
  <si>
    <t>520101 0505720002</t>
  </si>
  <si>
    <t>Hajjah Nurul Aini</t>
  </si>
  <si>
    <t>P</t>
  </si>
  <si>
    <t>Lainnya</t>
  </si>
  <si>
    <t>Istri</t>
  </si>
  <si>
    <t>520101 5108780001</t>
  </si>
  <si>
    <t>Belum kawin</t>
  </si>
  <si>
    <t>SLTP/MTSN</t>
  </si>
  <si>
    <t>-</t>
  </si>
  <si>
    <t>Anak</t>
  </si>
  <si>
    <t>520101 7108000003</t>
  </si>
  <si>
    <t>520101 1210110001</t>
  </si>
  <si>
    <t>Janda</t>
  </si>
  <si>
    <t>Lain-lain</t>
  </si>
  <si>
    <t>Wiraswata</t>
  </si>
  <si>
    <t>520101 0707660131</t>
  </si>
  <si>
    <t>Salmin</t>
  </si>
  <si>
    <t>520101 4107670857</t>
  </si>
  <si>
    <t>PT/Akademi</t>
  </si>
  <si>
    <t>520101 4112808004</t>
  </si>
  <si>
    <t>Abdul Ramsi</t>
  </si>
  <si>
    <t>SLTA/MA</t>
  </si>
  <si>
    <t>520101 2605010001</t>
  </si>
  <si>
    <t>Hiswatun Robiah</t>
  </si>
  <si>
    <t>520101 5408050001</t>
  </si>
  <si>
    <t>Sahnim</t>
  </si>
  <si>
    <t>p</t>
  </si>
  <si>
    <t>Pekerja lepas</t>
  </si>
  <si>
    <t>520101 4107600077</t>
  </si>
  <si>
    <t>Masnun</t>
  </si>
  <si>
    <t>520101 3112770001</t>
  </si>
  <si>
    <t>Talaah</t>
  </si>
  <si>
    <t>520101 5704840001</t>
  </si>
  <si>
    <t>Rosihin</t>
  </si>
  <si>
    <t>520101 301010001</t>
  </si>
  <si>
    <t>Rohdatun Wahidah</t>
  </si>
  <si>
    <t>520101 509050001</t>
  </si>
  <si>
    <t>Haji Ulul Azmi</t>
  </si>
  <si>
    <t>Petani</t>
  </si>
  <si>
    <t>520101 0101710007</t>
  </si>
  <si>
    <t>Ayani</t>
  </si>
  <si>
    <t>Hafizurrahman</t>
  </si>
  <si>
    <t>520101 0403140001</t>
  </si>
  <si>
    <t>Mahariah</t>
  </si>
  <si>
    <t>520101 5001600001</t>
  </si>
  <si>
    <t>Ripaah</t>
  </si>
  <si>
    <t>520101 5003951001</t>
  </si>
  <si>
    <t>Quratulaini</t>
  </si>
  <si>
    <t>520101 4308101001</t>
  </si>
  <si>
    <t>520101 0107700447</t>
  </si>
  <si>
    <t>Nurul</t>
  </si>
  <si>
    <t>520101 0406010002</t>
  </si>
  <si>
    <t>520101 0704060002</t>
  </si>
  <si>
    <t>Lukman</t>
  </si>
  <si>
    <t>520101 3112800062</t>
  </si>
  <si>
    <t>Ramni</t>
  </si>
  <si>
    <t>520101 7112620822</t>
  </si>
  <si>
    <t>Hikmatul Aini</t>
  </si>
  <si>
    <t>520101 7112970525</t>
  </si>
  <si>
    <t>520101 0201940001</t>
  </si>
  <si>
    <t>Sorihanik</t>
  </si>
  <si>
    <t>520101 4707940001</t>
  </si>
  <si>
    <t>Sukri</t>
  </si>
  <si>
    <t>520101 0107600024</t>
  </si>
  <si>
    <t>Salmah</t>
  </si>
  <si>
    <t>520101 4107660159</t>
  </si>
  <si>
    <t>Mukinah</t>
  </si>
  <si>
    <t>520101 4107390049</t>
  </si>
  <si>
    <t>Ahmad</t>
  </si>
  <si>
    <t>520101 3112820217</t>
  </si>
  <si>
    <t>520101 7112880208</t>
  </si>
  <si>
    <t>Muhammad Adnan</t>
  </si>
  <si>
    <t>520101 1502090001</t>
  </si>
  <si>
    <t>520101 5209120002</t>
  </si>
  <si>
    <t>Rusni</t>
  </si>
  <si>
    <t>520101 0107760191</t>
  </si>
  <si>
    <t>Misnah</t>
  </si>
  <si>
    <t>520101 4107780390</t>
  </si>
  <si>
    <t>Muhamad Sohimin</t>
  </si>
  <si>
    <t>520101 1612000001</t>
  </si>
  <si>
    <t>520101 2604080002</t>
  </si>
  <si>
    <t>520101 1812740001</t>
  </si>
  <si>
    <t>Rukmin</t>
  </si>
  <si>
    <t>520101 4107770534</t>
  </si>
  <si>
    <t>Parnawati</t>
  </si>
  <si>
    <t>520101 5510961001</t>
  </si>
  <si>
    <t>Laeli Usmita</t>
  </si>
  <si>
    <t>Jamaludin</t>
  </si>
  <si>
    <t>Duda</t>
  </si>
  <si>
    <t>Badrun</t>
  </si>
  <si>
    <t>Mujmal</t>
  </si>
  <si>
    <t>Helmiati</t>
  </si>
  <si>
    <t>Annida</t>
  </si>
  <si>
    <t>Kemah</t>
  </si>
  <si>
    <t>Kenan</t>
  </si>
  <si>
    <t>520101 4107700258</t>
  </si>
  <si>
    <t>Badariah</t>
  </si>
  <si>
    <t>520101 0107480012</t>
  </si>
  <si>
    <t>Rahmat Hidayat</t>
  </si>
  <si>
    <t>520101 0507920002</t>
  </si>
  <si>
    <t>520101 7112720059</t>
  </si>
  <si>
    <t>Risma Febriani</t>
  </si>
  <si>
    <t>520101 5802001001</t>
  </si>
  <si>
    <t>520101 0707101001</t>
  </si>
  <si>
    <t>Raodah</t>
  </si>
  <si>
    <t>520101 7112790070</t>
  </si>
  <si>
    <t>M. Edwin</t>
  </si>
  <si>
    <t>520101 3112040011</t>
  </si>
  <si>
    <t>Muridin</t>
  </si>
  <si>
    <t>520101 3112840147</t>
  </si>
  <si>
    <t>Paisah</t>
  </si>
  <si>
    <t>520101 7112990086</t>
  </si>
  <si>
    <t>M. Rijal</t>
  </si>
  <si>
    <t>520101 0804110003</t>
  </si>
  <si>
    <t>520101 3112590109</t>
  </si>
  <si>
    <t>Masrah</t>
  </si>
  <si>
    <t>Sukardi</t>
  </si>
  <si>
    <t>520101 0504810003</t>
  </si>
  <si>
    <t>Candra Wijaya</t>
  </si>
  <si>
    <t>520101 0703000007</t>
  </si>
  <si>
    <t>Nasri</t>
  </si>
  <si>
    <t>Saharudin</t>
  </si>
  <si>
    <t>520101 1005070002</t>
  </si>
  <si>
    <t>Hajjah Ria</t>
  </si>
  <si>
    <t>520101 4104890001</t>
  </si>
  <si>
    <t>Yasmin Khairunnisa</t>
  </si>
  <si>
    <t>520101 5905131002</t>
  </si>
  <si>
    <t>520101 3112511001</t>
  </si>
  <si>
    <t>520101 4107600070</t>
  </si>
  <si>
    <t>Muhae</t>
  </si>
  <si>
    <t>520101 2405870001</t>
  </si>
  <si>
    <t>520101 1712040001</t>
  </si>
  <si>
    <t>520101 5204090005</t>
  </si>
  <si>
    <t>Dibyan Aby Aufana</t>
  </si>
  <si>
    <t>520101 2702110003</t>
  </si>
  <si>
    <t>Udin</t>
  </si>
  <si>
    <t>520101 3112720008</t>
  </si>
  <si>
    <t>Minerah</t>
  </si>
  <si>
    <t>520101 7112780017</t>
  </si>
  <si>
    <t>Siti Pauarni</t>
  </si>
  <si>
    <t>520101 5812980001</t>
  </si>
  <si>
    <t>Inaq Inah</t>
  </si>
  <si>
    <t>Muhalil</t>
  </si>
  <si>
    <t>520101 1210880002</t>
  </si>
  <si>
    <t>Muriah</t>
  </si>
  <si>
    <t>Siti Windiana</t>
  </si>
  <si>
    <t>520101 6105110002</t>
  </si>
  <si>
    <t>Suhaimi</t>
  </si>
  <si>
    <t>520101 2280677001</t>
  </si>
  <si>
    <t>Murni</t>
  </si>
  <si>
    <t>520101 7112790097</t>
  </si>
  <si>
    <t>Ika Wati</t>
  </si>
  <si>
    <t>520101 6206081001</t>
  </si>
  <si>
    <t>Hajjah Anisah</t>
  </si>
  <si>
    <t>520101 4107420019</t>
  </si>
  <si>
    <t>Aniswati</t>
  </si>
  <si>
    <t>520101 5704960004</t>
  </si>
  <si>
    <t>Haji Khalifatu Mukmin</t>
  </si>
  <si>
    <t>520101 3112660039</t>
  </si>
  <si>
    <t>Mias</t>
  </si>
  <si>
    <t>520101 7112870021</t>
  </si>
  <si>
    <t>Nurlaelani</t>
  </si>
  <si>
    <t>520101 4410990002</t>
  </si>
  <si>
    <t>Vitaloka</t>
  </si>
  <si>
    <t>520101 4107940163</t>
  </si>
  <si>
    <t>520101 4107910043</t>
  </si>
  <si>
    <t>Zahrana Ahmad</t>
  </si>
  <si>
    <t>520101 4606140001</t>
  </si>
  <si>
    <t>Sapni</t>
  </si>
  <si>
    <t>520101 1311700002</t>
  </si>
  <si>
    <t>Budiah</t>
  </si>
  <si>
    <t>520101 4511350001</t>
  </si>
  <si>
    <t>Baharudin</t>
  </si>
  <si>
    <t>Maah</t>
  </si>
  <si>
    <t>Nurdin</t>
  </si>
  <si>
    <t>Isah</t>
  </si>
  <si>
    <t>520101 4512000001</t>
  </si>
  <si>
    <t>Nurhayati</t>
  </si>
  <si>
    <t>Sahdi</t>
  </si>
  <si>
    <t>520101 3112880135</t>
  </si>
  <si>
    <t>Ayuningsih</t>
  </si>
  <si>
    <t>520101 6504920002</t>
  </si>
  <si>
    <t>Eka Diantari</t>
  </si>
  <si>
    <t>520101 5504110001</t>
  </si>
  <si>
    <t>Mudahar</t>
  </si>
  <si>
    <t>Kicah</t>
  </si>
  <si>
    <t>520101 0107530012</t>
  </si>
  <si>
    <t>Jumisah</t>
  </si>
  <si>
    <t>520101 0702700002</t>
  </si>
  <si>
    <t>Sariah</t>
  </si>
  <si>
    <t>Suhaili</t>
  </si>
  <si>
    <t>Munawarah</t>
  </si>
  <si>
    <t>Zaman</t>
  </si>
  <si>
    <t>Mulut</t>
  </si>
  <si>
    <t>Muslehudin</t>
  </si>
  <si>
    <t>520101 1210930006</t>
  </si>
  <si>
    <t>Ima Widiarti</t>
  </si>
  <si>
    <t>520101 5312960001</t>
  </si>
  <si>
    <t>Gusli</t>
  </si>
  <si>
    <t>Hamidah</t>
  </si>
  <si>
    <t>Muhamad Jaelani</t>
  </si>
  <si>
    <t>Simin</t>
  </si>
  <si>
    <t>Zulkifli</t>
  </si>
  <si>
    <t>520101 1309820001</t>
  </si>
  <si>
    <t>Sipakyah</t>
  </si>
  <si>
    <t>520101 7112840029</t>
  </si>
  <si>
    <t>520101 5110040001</t>
  </si>
  <si>
    <t>520101 5008120002</t>
  </si>
  <si>
    <t>Minah</t>
  </si>
  <si>
    <t>520101 4107440023</t>
  </si>
  <si>
    <t>Ruslan</t>
  </si>
  <si>
    <t>Nasrah</t>
  </si>
  <si>
    <t>520101 0107320043</t>
  </si>
  <si>
    <t>520101 4107661009</t>
  </si>
  <si>
    <t>520101 6803961001</t>
  </si>
  <si>
    <t>Robiah</t>
  </si>
  <si>
    <t>520101 4107690055</t>
  </si>
  <si>
    <t>Saean</t>
  </si>
  <si>
    <t>520101 7012600006</t>
  </si>
  <si>
    <t>Rapiah</t>
  </si>
  <si>
    <t>Faisin</t>
  </si>
  <si>
    <t>520101 3112580004</t>
  </si>
  <si>
    <t>Munisah</t>
  </si>
  <si>
    <t>520101 7112620005</t>
  </si>
  <si>
    <t>Fitriani</t>
  </si>
  <si>
    <t>520101 5104000001</t>
  </si>
  <si>
    <t>Mahyani</t>
  </si>
  <si>
    <t>520101 6812931001</t>
  </si>
  <si>
    <t>Hilfiana Nazura</t>
  </si>
  <si>
    <t>520101 5101101001</t>
  </si>
  <si>
    <t>Samariah</t>
  </si>
  <si>
    <t>520101 7012700018</t>
  </si>
  <si>
    <t>Diana</t>
  </si>
  <si>
    <t>520101 4101030008</t>
  </si>
  <si>
    <t>Patiah</t>
  </si>
  <si>
    <t>520101 4412040002</t>
  </si>
  <si>
    <t>Iskandar</t>
  </si>
  <si>
    <t>520101 1309020003</t>
  </si>
  <si>
    <t>M Hambali</t>
  </si>
  <si>
    <t>520101 0301122001</t>
  </si>
  <si>
    <t>Haji Suhaimi</t>
  </si>
  <si>
    <t>520101 2602580001</t>
  </si>
  <si>
    <t>Jaminah</t>
  </si>
  <si>
    <t>Jumaisin</t>
  </si>
  <si>
    <t>520101 2606911001</t>
  </si>
  <si>
    <t>Ramedan</t>
  </si>
  <si>
    <t>520101 3112850046</t>
  </si>
  <si>
    <t>Maryam</t>
  </si>
  <si>
    <t>520101 7101910004</t>
  </si>
  <si>
    <t>Siti Kholifatun Nurjanah</t>
  </si>
  <si>
    <t>Jalaludin</t>
  </si>
  <si>
    <t>520101 2802801001</t>
  </si>
  <si>
    <t>Suniah</t>
  </si>
  <si>
    <t>520101 5505850002</t>
  </si>
  <si>
    <t>Mahyi</t>
  </si>
  <si>
    <t>Marhamah</t>
  </si>
  <si>
    <t>520101 4107951003</t>
  </si>
  <si>
    <t>Sayadi</t>
  </si>
  <si>
    <t>Saridah</t>
  </si>
  <si>
    <t>Saparudin</t>
  </si>
  <si>
    <t>Muhibah</t>
  </si>
  <si>
    <t>520101 2504130001</t>
  </si>
  <si>
    <t>Seneh</t>
  </si>
  <si>
    <t>520101 0707700326</t>
  </si>
  <si>
    <t>520101 1002910001</t>
  </si>
  <si>
    <t>Sinerah</t>
  </si>
  <si>
    <t>Sinarah</t>
  </si>
  <si>
    <t>Hamdi</t>
  </si>
  <si>
    <t>520101 3112761014</t>
  </si>
  <si>
    <t>Mujiah</t>
  </si>
  <si>
    <t>520101 6611811001</t>
  </si>
  <si>
    <t>Junaedy</t>
  </si>
  <si>
    <t>520101 0501991001</t>
  </si>
  <si>
    <t>520101 0903111001</t>
  </si>
  <si>
    <t>520101 0107450118</t>
  </si>
  <si>
    <t>Sahman</t>
  </si>
  <si>
    <t>520101 5210880001</t>
  </si>
  <si>
    <t>Inaq Kaceh</t>
  </si>
  <si>
    <t>520101 0107470234</t>
  </si>
  <si>
    <t>Sahbudin</t>
  </si>
  <si>
    <t>520101 0107700569</t>
  </si>
  <si>
    <t>520101 5110851001</t>
  </si>
  <si>
    <t>520101 6404130001</t>
  </si>
  <si>
    <t>Pedagang</t>
  </si>
  <si>
    <t>Sahabudin</t>
  </si>
  <si>
    <t>Mahsun</t>
  </si>
  <si>
    <t>520101 1604610001</t>
  </si>
  <si>
    <t>Kasilah</t>
  </si>
  <si>
    <t>520101 4712650001</t>
  </si>
  <si>
    <t>Hardi Nata</t>
  </si>
  <si>
    <t>520101 4112880005</t>
  </si>
  <si>
    <t>Multasam</t>
  </si>
  <si>
    <t>520101 2812840001</t>
  </si>
  <si>
    <t>Sadiah</t>
  </si>
  <si>
    <t>520101 6704910001</t>
  </si>
  <si>
    <t>Muhammad Riswan Hakki</t>
  </si>
  <si>
    <t>520101 1609110001</t>
  </si>
  <si>
    <t>Nawisin</t>
  </si>
  <si>
    <t>520101 0112600003</t>
  </si>
  <si>
    <t>Indu Hayati</t>
  </si>
  <si>
    <t>520101 4903690001</t>
  </si>
  <si>
    <t>Hary Irawan</t>
  </si>
  <si>
    <t>520101 4508900001</t>
  </si>
  <si>
    <t>Sri Wulan Wati</t>
  </si>
  <si>
    <t>520101 6404950001</t>
  </si>
  <si>
    <t>Agi Anthy Humaira Putri</t>
  </si>
  <si>
    <t>520101 5603150002</t>
  </si>
  <si>
    <t>Mustamin</t>
  </si>
  <si>
    <t>520101 0401770001</t>
  </si>
  <si>
    <t>520101 6710820001</t>
  </si>
  <si>
    <t>Nirmalawati</t>
  </si>
  <si>
    <t>520101 5709030001</t>
  </si>
  <si>
    <t>520101 2602140002</t>
  </si>
  <si>
    <t>Masjudin</t>
  </si>
  <si>
    <t>Marlina</t>
  </si>
  <si>
    <t>Widia Riska</t>
  </si>
  <si>
    <t>Ridwan</t>
  </si>
  <si>
    <t>520101 0406720001</t>
  </si>
  <si>
    <t>Naini</t>
  </si>
  <si>
    <t>520101 4801770001</t>
  </si>
  <si>
    <t>Erwin</t>
  </si>
  <si>
    <t>520101 0408930003</t>
  </si>
  <si>
    <t>Erfina Nurpadila</t>
  </si>
  <si>
    <t>520101 6611960002</t>
  </si>
  <si>
    <t>Muhamad Tamzil</t>
  </si>
  <si>
    <t>520101 0602141003</t>
  </si>
  <si>
    <t>Junaidi</t>
  </si>
  <si>
    <t>520101 3112890029</t>
  </si>
  <si>
    <t>520101 4505950005</t>
  </si>
  <si>
    <t>520101 6909140003</t>
  </si>
  <si>
    <t>Muhsinin</t>
  </si>
  <si>
    <t>520101 1907570001</t>
  </si>
  <si>
    <t>Mukminin</t>
  </si>
  <si>
    <t>520101 4107720458</t>
  </si>
  <si>
    <t>Sobirin</t>
  </si>
  <si>
    <t>520101 0201991001</t>
  </si>
  <si>
    <t>Marsini</t>
  </si>
  <si>
    <t>520101 7112680123</t>
  </si>
  <si>
    <t>Hajjah Siti Juhaini</t>
  </si>
  <si>
    <t>520101 7112801039</t>
  </si>
  <si>
    <t>No</t>
  </si>
  <si>
    <t>Nama Lengkap/panggilan</t>
  </si>
  <si>
    <t>Jenis Kelamin (L/P)</t>
  </si>
  <si>
    <t>Status Perkawinan</t>
  </si>
  <si>
    <t>Agama</t>
  </si>
  <si>
    <t>Pendidikan Terakhir</t>
  </si>
  <si>
    <t>Pekerjaan</t>
  </si>
  <si>
    <t>Kedudukan dalam Keluarga</t>
  </si>
  <si>
    <t>NIK</t>
  </si>
  <si>
    <t>Abdul Haris</t>
  </si>
  <si>
    <t>Surni</t>
  </si>
  <si>
    <t>Hartini</t>
  </si>
  <si>
    <t>Herudin</t>
  </si>
  <si>
    <t>Wiwin Haryani</t>
  </si>
  <si>
    <t>Arman Hardiatulloh</t>
  </si>
  <si>
    <t>Ulumudin</t>
  </si>
  <si>
    <t>Habibulloh</t>
  </si>
  <si>
    <t>TGR Haji Murad Hamimi</t>
  </si>
  <si>
    <t>520101 3112500028</t>
  </si>
  <si>
    <t>Rohibul Puad</t>
  </si>
  <si>
    <t>Pegawai swasta</t>
  </si>
  <si>
    <t>520101 1011881001</t>
  </si>
  <si>
    <t>Faoziah</t>
  </si>
  <si>
    <t>Riadhatun Nufus</t>
  </si>
  <si>
    <t>520101 7005131001</t>
  </si>
  <si>
    <t>Mujahidin</t>
  </si>
  <si>
    <t>520101 2009720001</t>
  </si>
  <si>
    <t>Suharni</t>
  </si>
  <si>
    <t>520101 7112800007</t>
  </si>
  <si>
    <t>Ernawati</t>
  </si>
  <si>
    <t>520101 6010980001</t>
  </si>
  <si>
    <t>Aprido Arasid</t>
  </si>
  <si>
    <t>520101 2404070001</t>
  </si>
  <si>
    <t>Mahmud</t>
  </si>
  <si>
    <t>Pns/tni/polri</t>
  </si>
  <si>
    <t>Sadeli</t>
  </si>
  <si>
    <t>520101 0107730079</t>
  </si>
  <si>
    <t>Maisah</t>
  </si>
  <si>
    <t>520101 4107750133</t>
  </si>
  <si>
    <t>Harmoniati</t>
  </si>
  <si>
    <t>Juandi</t>
  </si>
  <si>
    <t>Majni</t>
  </si>
  <si>
    <t>Hamzah</t>
  </si>
  <si>
    <t>520101 3012301001</t>
  </si>
  <si>
    <t>Rabiah</t>
  </si>
  <si>
    <t>520101 7012351001</t>
  </si>
  <si>
    <t>Mustakim</t>
  </si>
  <si>
    <t>520101 1206881001</t>
  </si>
  <si>
    <t>Rodi Gunawan</t>
  </si>
  <si>
    <t>520101 6505910001</t>
  </si>
  <si>
    <t>Pawait</t>
  </si>
  <si>
    <t>Husniawati</t>
  </si>
  <si>
    <t>M Khairul Ishaq</t>
  </si>
  <si>
    <t>Jamali</t>
  </si>
  <si>
    <t>520101 1208710001</t>
  </si>
  <si>
    <t>520101 4107770576</t>
  </si>
  <si>
    <t>Hikmawati</t>
  </si>
  <si>
    <t>520101 0208010002</t>
  </si>
  <si>
    <t>Sulhandani</t>
  </si>
  <si>
    <t>520101 2628116001</t>
  </si>
  <si>
    <t>Sanisah</t>
  </si>
  <si>
    <t>Patmawati</t>
  </si>
  <si>
    <t>520101 6003000001</t>
  </si>
  <si>
    <t>Rupawan</t>
  </si>
  <si>
    <t>Muhtar</t>
  </si>
  <si>
    <t>Hilman</t>
  </si>
  <si>
    <t>520101 2608070001</t>
  </si>
  <si>
    <t>Sahuri</t>
  </si>
  <si>
    <t>Sahwir</t>
  </si>
  <si>
    <t xml:space="preserve">Petani </t>
  </si>
  <si>
    <t>520101 3012761001</t>
  </si>
  <si>
    <t>Munairi</t>
  </si>
  <si>
    <t>520101 6210810001</t>
  </si>
  <si>
    <t>Hopi Hidayah</t>
  </si>
  <si>
    <t>520101 6404971001</t>
  </si>
  <si>
    <t>Sri Wahyuni</t>
  </si>
  <si>
    <t>520101 5708001002</t>
  </si>
  <si>
    <t>Silpi Hayani</t>
  </si>
  <si>
    <t>520101 6405111001</t>
  </si>
  <si>
    <t>Hamdi Rizki</t>
  </si>
  <si>
    <t>520101 0506760002</t>
  </si>
  <si>
    <t>Horiah</t>
  </si>
  <si>
    <t>520101 4107851015</t>
  </si>
  <si>
    <t>Zivatul Wahidah</t>
  </si>
  <si>
    <t>520101 5610131002</t>
  </si>
  <si>
    <t>Marsuni</t>
  </si>
  <si>
    <t>520101 1212700002</t>
  </si>
  <si>
    <t>Rohan</t>
  </si>
  <si>
    <t>Rosanti</t>
  </si>
  <si>
    <t>520101 3112990008</t>
  </si>
  <si>
    <t>520101 7112050005</t>
  </si>
  <si>
    <t>Hajjah Hotimah</t>
  </si>
  <si>
    <t>Tohri</t>
  </si>
  <si>
    <t>Juniati</t>
  </si>
  <si>
    <t>520101 5606790001</t>
  </si>
  <si>
    <t>520101 2007120002</t>
  </si>
  <si>
    <t>Mahyan</t>
  </si>
  <si>
    <t>Linda Sulastri</t>
  </si>
  <si>
    <t>Muhajirin</t>
  </si>
  <si>
    <t>Rabitah</t>
  </si>
  <si>
    <t>Sahidin</t>
  </si>
  <si>
    <t>Marwahidah</t>
  </si>
  <si>
    <t>Fathul Aziz</t>
  </si>
  <si>
    <t>Yani Noviani</t>
  </si>
  <si>
    <t>520101 0251990001</t>
  </si>
  <si>
    <t>Maksiah</t>
  </si>
  <si>
    <t>520101 4403490001</t>
  </si>
  <si>
    <t>Marzuki</t>
  </si>
  <si>
    <t>520101 2610700001</t>
  </si>
  <si>
    <t>Masni</t>
  </si>
  <si>
    <t>520101 4311980002</t>
  </si>
  <si>
    <t>Sufianah</t>
  </si>
  <si>
    <t>520101 7108050001</t>
  </si>
  <si>
    <t>Mahira Lidia putri</t>
  </si>
  <si>
    <t>Nahar</t>
  </si>
  <si>
    <t>520101 3112780005</t>
  </si>
  <si>
    <t>Hilmi</t>
  </si>
  <si>
    <t>520101 7112800114</t>
  </si>
  <si>
    <t>Mujiburahman</t>
  </si>
  <si>
    <t>520101 3112920033</t>
  </si>
  <si>
    <t>520101 3112550061</t>
  </si>
  <si>
    <t>Ramlah</t>
  </si>
  <si>
    <t>520101 7011600001</t>
  </si>
  <si>
    <t>Rohaini</t>
  </si>
  <si>
    <t>520101 3009950001</t>
  </si>
  <si>
    <t>520101 4402000001</t>
  </si>
  <si>
    <t>Sahlan</t>
  </si>
  <si>
    <t>520101 1009900003</t>
  </si>
  <si>
    <t>Suriyanti</t>
  </si>
  <si>
    <t>520101 5812870001</t>
  </si>
  <si>
    <t>Simun</t>
  </si>
  <si>
    <t>Ahmad Muliadi</t>
  </si>
  <si>
    <t>Samsiah</t>
  </si>
  <si>
    <t>Rawiyah</t>
  </si>
  <si>
    <t>Makyah</t>
  </si>
  <si>
    <t>Haji Muhajirin Adnan</t>
  </si>
  <si>
    <t>520101 0107700006</t>
  </si>
  <si>
    <t>Misaah</t>
  </si>
  <si>
    <t>520101 5508900001</t>
  </si>
  <si>
    <t>Zainul Majdi</t>
  </si>
  <si>
    <t>520101 1801090001</t>
  </si>
  <si>
    <t>Hamira</t>
  </si>
  <si>
    <t>Mupasirin</t>
  </si>
  <si>
    <t>520101 0104800001</t>
  </si>
  <si>
    <t>Hidayati</t>
  </si>
  <si>
    <t>520101 0207820001</t>
  </si>
  <si>
    <t>Wardatun Nazia</t>
  </si>
  <si>
    <t>520101 6905030002</t>
  </si>
  <si>
    <t>Sudi Harji</t>
  </si>
  <si>
    <t>520101 0905100001</t>
  </si>
  <si>
    <t>Lizda Aulia</t>
  </si>
  <si>
    <t>520101 6503140001</t>
  </si>
  <si>
    <t>Haji Adnan</t>
  </si>
  <si>
    <t>Haji Hilman</t>
  </si>
  <si>
    <t>Sumarni</t>
  </si>
  <si>
    <t>520101 4112800005</t>
  </si>
  <si>
    <t>Inaq Melah</t>
  </si>
  <si>
    <t>520101 7112430007</t>
  </si>
  <si>
    <t>Masem</t>
  </si>
  <si>
    <t>Aldi Saputra</t>
  </si>
  <si>
    <t>520101 0701041001</t>
  </si>
  <si>
    <t>Slamet Riadi</t>
  </si>
  <si>
    <t>520101 0511061002</t>
  </si>
  <si>
    <t>Sahirin</t>
  </si>
  <si>
    <t>520101 0712670002</t>
  </si>
  <si>
    <t>Perok</t>
  </si>
  <si>
    <t>520101 4101770001</t>
  </si>
  <si>
    <t>Zulhadi</t>
  </si>
  <si>
    <t>520101 4307870001</t>
  </si>
  <si>
    <t>Yusup</t>
  </si>
  <si>
    <t>520101 1207770001</t>
  </si>
  <si>
    <t>Sumini</t>
  </si>
  <si>
    <t>520101 4108780003</t>
  </si>
  <si>
    <t>Husni Tamrin</t>
  </si>
  <si>
    <t>520101 0603001001</t>
  </si>
  <si>
    <t>Izmi</t>
  </si>
  <si>
    <t>520101 5011091001</t>
  </si>
  <si>
    <t>520101 7112680040</t>
  </si>
  <si>
    <t>520101 1305900003</t>
  </si>
  <si>
    <t>Muhamad Rezal Maulana</t>
  </si>
  <si>
    <t>Mahrip</t>
  </si>
  <si>
    <t>Rumisah</t>
  </si>
  <si>
    <t>520101 7112580039</t>
  </si>
  <si>
    <t>Wahyudi</t>
  </si>
  <si>
    <t>Ira Dewi Saputri</t>
  </si>
  <si>
    <t>Johandi</t>
  </si>
  <si>
    <t>520101 3112850167</t>
  </si>
  <si>
    <t>Nila Nurunin</t>
  </si>
  <si>
    <t>520101 4606970002</t>
  </si>
  <si>
    <t>Aulia Oktiara</t>
  </si>
  <si>
    <t>Inaq Meh</t>
  </si>
  <si>
    <t>520101 0708790002</t>
  </si>
  <si>
    <t>520101 4102760002</t>
  </si>
  <si>
    <t>Samenah</t>
  </si>
  <si>
    <t>Sahdan</t>
  </si>
  <si>
    <t>520101 2408820001</t>
  </si>
  <si>
    <t>Sri Handayani</t>
  </si>
  <si>
    <t>Hardianti</t>
  </si>
  <si>
    <t>520101 5805090001</t>
  </si>
  <si>
    <t>Joriawan</t>
  </si>
  <si>
    <t>Burhan</t>
  </si>
  <si>
    <t>520101 3010780001</t>
  </si>
  <si>
    <t>520101 6008810001</t>
  </si>
  <si>
    <t>Faosan</t>
  </si>
  <si>
    <t>520101 0312980001</t>
  </si>
  <si>
    <t>Rahmatun Umah</t>
  </si>
  <si>
    <t>Mahnun</t>
  </si>
  <si>
    <t>Hulniati</t>
  </si>
  <si>
    <t>Akmaludin</t>
  </si>
  <si>
    <t>Hernawati</t>
  </si>
  <si>
    <t>Neli Citra Dewi</t>
  </si>
  <si>
    <t>Heriawan</t>
  </si>
  <si>
    <t>Mukyah</t>
  </si>
  <si>
    <t>M Rizki</t>
  </si>
  <si>
    <t>Ayu Utari</t>
  </si>
  <si>
    <t>520101 0308490001</t>
  </si>
  <si>
    <t>Halil</t>
  </si>
  <si>
    <t>520101 4409890001</t>
  </si>
  <si>
    <t>Kinok</t>
  </si>
  <si>
    <t>520101 1208590001</t>
  </si>
  <si>
    <t>Enah</t>
  </si>
  <si>
    <t>520101 4209570001</t>
  </si>
  <si>
    <t>Salimah</t>
  </si>
  <si>
    <t>520101 4108590001</t>
  </si>
  <si>
    <t>Azna Muhairun</t>
  </si>
  <si>
    <t>520101 4802071001</t>
  </si>
  <si>
    <t>Selamah</t>
  </si>
  <si>
    <t>Cinta Kaila Putri</t>
  </si>
  <si>
    <t>Deli</t>
  </si>
  <si>
    <t>520101 3112670079</t>
  </si>
  <si>
    <t>Sakmah</t>
  </si>
  <si>
    <t>520101 4204690001</t>
  </si>
  <si>
    <t>520101 0107850090</t>
  </si>
  <si>
    <t>520101 0303010002</t>
  </si>
  <si>
    <t>Siti Hindani</t>
  </si>
  <si>
    <t>520101 6010070003</t>
  </si>
  <si>
    <t>Inaq Munah</t>
  </si>
  <si>
    <t>Rimah</t>
  </si>
  <si>
    <t>Ini</t>
  </si>
  <si>
    <t>Kedan</t>
  </si>
  <si>
    <t>520101 2809610001</t>
  </si>
  <si>
    <t>Supardi</t>
  </si>
  <si>
    <t>520101 4703650001</t>
  </si>
  <si>
    <t>520101 2504880001</t>
  </si>
  <si>
    <t>Inaq Kayah</t>
  </si>
  <si>
    <t>520101 3112371027</t>
  </si>
  <si>
    <t>Meneh</t>
  </si>
  <si>
    <t>520101 4182561026</t>
  </si>
  <si>
    <t>Siti Rodah</t>
  </si>
  <si>
    <t>520101 4510070001</t>
  </si>
  <si>
    <t>Muhamad</t>
  </si>
  <si>
    <t>Pensiunan</t>
  </si>
  <si>
    <t>520101 0107500100</t>
  </si>
  <si>
    <t>Fatimah</t>
  </si>
  <si>
    <t>520101 4107530088</t>
  </si>
  <si>
    <t>Syahmi</t>
  </si>
  <si>
    <t>520101 1108400001</t>
  </si>
  <si>
    <t>520101 4107840023</t>
  </si>
  <si>
    <t>Ahmad Sibawaeh</t>
  </si>
  <si>
    <t>520101 1409040001</t>
  </si>
  <si>
    <t>Muhamad Baehaqi Ishaq</t>
  </si>
  <si>
    <t>520101 2109100001</t>
  </si>
  <si>
    <t>520101 2001951001</t>
  </si>
  <si>
    <t>520101 2601041001</t>
  </si>
  <si>
    <t>Janaah</t>
  </si>
  <si>
    <t>520101 0107730057</t>
  </si>
  <si>
    <t>Nasrullah</t>
  </si>
  <si>
    <t>520101 2903031001</t>
  </si>
  <si>
    <t>Hadijah</t>
  </si>
  <si>
    <t>Mustiah</t>
  </si>
  <si>
    <t>520101 3112690195</t>
  </si>
  <si>
    <t>Nurilah</t>
  </si>
  <si>
    <t>520101 7112660091</t>
  </si>
  <si>
    <t>Riskawati</t>
  </si>
  <si>
    <t>520101 7112990024</t>
  </si>
  <si>
    <t>Siti Aisah</t>
  </si>
  <si>
    <t>520101 5612000001</t>
  </si>
  <si>
    <t>520101 3112830096</t>
  </si>
  <si>
    <t>Sapinah</t>
  </si>
  <si>
    <t>Masirah</t>
  </si>
  <si>
    <t>Mardani</t>
  </si>
  <si>
    <t>Haji Mursit Adanan</t>
  </si>
  <si>
    <t>520101 0402600003</t>
  </si>
  <si>
    <t>Muslimah</t>
  </si>
  <si>
    <t>520101 5210670001</t>
  </si>
  <si>
    <t>Muhamad Hakimin</t>
  </si>
  <si>
    <t>520101 0904030002</t>
  </si>
  <si>
    <t>520101 1507850001</t>
  </si>
  <si>
    <t>520101 4107830188</t>
  </si>
  <si>
    <t>520101 1505140005</t>
  </si>
  <si>
    <t>520101 2912870001</t>
  </si>
  <si>
    <t>520101 4409920004</t>
  </si>
  <si>
    <t>520101 5005120001</t>
  </si>
  <si>
    <t>520101 3112700321</t>
  </si>
  <si>
    <t>520101 7112720204</t>
  </si>
  <si>
    <t>Abdul Muis</t>
  </si>
  <si>
    <t>520101 2501960001</t>
  </si>
  <si>
    <t>Rohibul Hidayat</t>
  </si>
  <si>
    <t>520101 7507910004</t>
  </si>
  <si>
    <t>Masriati</t>
  </si>
  <si>
    <t>520101 7112900230</t>
  </si>
  <si>
    <t>Sabirin</t>
  </si>
  <si>
    <t>520101 3004730002</t>
  </si>
  <si>
    <t>Nurul Hidayah</t>
  </si>
  <si>
    <t>520101 5703800001</t>
  </si>
  <si>
    <t>Sobiatun Mudiah</t>
  </si>
  <si>
    <t>520101 6310020003</t>
  </si>
  <si>
    <t>Muhamad Sopil</t>
  </si>
  <si>
    <t>520101 0602120004</t>
  </si>
  <si>
    <t>Awaludin</t>
  </si>
  <si>
    <t>520101 3112790030</t>
  </si>
  <si>
    <t>Amenah</t>
  </si>
  <si>
    <t>520101 6512840002</t>
  </si>
  <si>
    <t>Muhamad Harkan</t>
  </si>
  <si>
    <t>520101 2802100004</t>
  </si>
  <si>
    <t>Mastar</t>
  </si>
  <si>
    <t>520101 0107790277</t>
  </si>
  <si>
    <t>Siti Rohnunun</t>
  </si>
  <si>
    <t>520101 4503800005</t>
  </si>
  <si>
    <t>Sailah</t>
  </si>
  <si>
    <t>Zohri</t>
  </si>
  <si>
    <t>Sapii</t>
  </si>
  <si>
    <t>Sukmah</t>
  </si>
  <si>
    <t>Saknah</t>
  </si>
  <si>
    <t>520101 0112640002</t>
  </si>
  <si>
    <t>520101 4107670607</t>
  </si>
  <si>
    <t>Samsul Rizal</t>
  </si>
  <si>
    <t>Nurmah</t>
  </si>
  <si>
    <t>Mahsin</t>
  </si>
  <si>
    <t>520101 0107701025</t>
  </si>
  <si>
    <t>Mahini</t>
  </si>
  <si>
    <t>Hardini</t>
  </si>
  <si>
    <t>Widia</t>
  </si>
  <si>
    <t>520101 4707071001</t>
  </si>
  <si>
    <t>520101 0708700003</t>
  </si>
  <si>
    <t>520101 5205820002</t>
  </si>
  <si>
    <t>Supriadi</t>
  </si>
  <si>
    <t>Hirsadul Hibad</t>
  </si>
  <si>
    <t>520101 1302100003</t>
  </si>
  <si>
    <t>520101 5209550002</t>
  </si>
  <si>
    <t>Haji Burhan</t>
  </si>
  <si>
    <t>520101 3112820158</t>
  </si>
  <si>
    <t>Salmiah</t>
  </si>
  <si>
    <t>520101 7112850314</t>
  </si>
  <si>
    <t>Muhamad Ali</t>
  </si>
  <si>
    <t>520101 1202080003</t>
  </si>
  <si>
    <t>Nursipa</t>
  </si>
  <si>
    <t>520101 8210120002</t>
  </si>
  <si>
    <t>Haji Husni</t>
  </si>
  <si>
    <t>Hajjah Parmawati</t>
  </si>
  <si>
    <t>Muhamad Hendra</t>
  </si>
  <si>
    <t>Sahwan</t>
  </si>
  <si>
    <t>520101 1011680004</t>
  </si>
  <si>
    <t>Zaenab</t>
  </si>
  <si>
    <t>520101 7112780181</t>
  </si>
  <si>
    <t>Joni Pranata</t>
  </si>
  <si>
    <t>520101 2103930003</t>
  </si>
  <si>
    <t>Muhamad Alik</t>
  </si>
  <si>
    <t>520101 5802970003</t>
  </si>
  <si>
    <t>Olivia Rosalina</t>
  </si>
  <si>
    <t>520101 5111110004</t>
  </si>
  <si>
    <t>Dimas Maulana</t>
  </si>
  <si>
    <t>520101 0602130005</t>
  </si>
  <si>
    <t>Mahdim</t>
  </si>
  <si>
    <t>Saerah</t>
  </si>
  <si>
    <t>520101 4503880003</t>
  </si>
  <si>
    <t>Lalu Fahrul Rosi</t>
  </si>
  <si>
    <t>Lain-Lain</t>
  </si>
  <si>
    <t>520101 0404951001</t>
  </si>
  <si>
    <t>Pariah</t>
  </si>
  <si>
    <t>520101 5110950004</t>
  </si>
  <si>
    <t>520101 7012131001</t>
  </si>
  <si>
    <t>Sahrip</t>
  </si>
  <si>
    <t>520101 0107740153</t>
  </si>
  <si>
    <t>520101 4107760058</t>
  </si>
  <si>
    <t>Istiqomah</t>
  </si>
  <si>
    <t>520101 6208020003</t>
  </si>
  <si>
    <t>Muhamad Aburiski</t>
  </si>
  <si>
    <t>520101 8510064915</t>
  </si>
  <si>
    <t>Sanep</t>
  </si>
  <si>
    <t>520101 4107650339</t>
  </si>
  <si>
    <t>Duduk</t>
  </si>
  <si>
    <t>Muhamad Wira</t>
  </si>
  <si>
    <t>520101 0910050002</t>
  </si>
  <si>
    <t>Munaah</t>
  </si>
  <si>
    <t>520101 4507870007</t>
  </si>
  <si>
    <t>520101 2312050001</t>
  </si>
  <si>
    <t>520101 0912410003</t>
  </si>
  <si>
    <t>Murad</t>
  </si>
  <si>
    <t>520101 1510700001</t>
  </si>
  <si>
    <t>Keni</t>
  </si>
  <si>
    <t>520101 6001730001</t>
  </si>
  <si>
    <t>520101 5312070002</t>
  </si>
  <si>
    <t>Riky Wahyudi</t>
  </si>
  <si>
    <t>520101 1504010001</t>
  </si>
  <si>
    <t>Siti Zahratul Aini</t>
  </si>
  <si>
    <t>Marwan</t>
  </si>
  <si>
    <t>520101 3112740020</t>
  </si>
  <si>
    <t>520101 5701760091</t>
  </si>
  <si>
    <t>Nurul Hikmah</t>
  </si>
  <si>
    <t>520101 710100009</t>
  </si>
  <si>
    <t>Marni</t>
  </si>
  <si>
    <t>520101 7112681008</t>
  </si>
  <si>
    <t>Muhamad Haris</t>
  </si>
  <si>
    <t>520101 3112981002</t>
  </si>
  <si>
    <t>Haji Marsuki</t>
  </si>
  <si>
    <t>Bohari</t>
  </si>
  <si>
    <t>520101 0107400103</t>
  </si>
  <si>
    <t>520101 2004008580</t>
  </si>
  <si>
    <t>Sumiati</t>
  </si>
  <si>
    <t>520101 1200400737</t>
  </si>
  <si>
    <t>Budi Ha RTo No</t>
  </si>
  <si>
    <t>520101 3112730070</t>
  </si>
  <si>
    <t>Miskiah</t>
  </si>
  <si>
    <t>520101 7112750351</t>
  </si>
  <si>
    <t>Haji Hudairi</t>
  </si>
  <si>
    <t>520101 0203700004</t>
  </si>
  <si>
    <t>Hajjah Riska</t>
  </si>
  <si>
    <t>520101 4107760060</t>
  </si>
  <si>
    <t>Ismayani</t>
  </si>
  <si>
    <t>520101 6211920003</t>
  </si>
  <si>
    <t>520101 6001940008</t>
  </si>
  <si>
    <t>Alfin Huda</t>
  </si>
  <si>
    <t>520101 2103050002</t>
  </si>
  <si>
    <t>Mustaman</t>
  </si>
  <si>
    <t>520101 0107880319</t>
  </si>
  <si>
    <t>520101 4411911001</t>
  </si>
  <si>
    <t>520101 4610131001</t>
  </si>
  <si>
    <t>Hajjah Nur Aini</t>
  </si>
  <si>
    <t>520101 4107550126</t>
  </si>
  <si>
    <t>Herman</t>
  </si>
  <si>
    <t>520101 3005820001</t>
  </si>
  <si>
    <t>520101 4502150002</t>
  </si>
  <si>
    <t>520101 0107520273</t>
  </si>
  <si>
    <t>Mukminah</t>
  </si>
  <si>
    <t>520101 4107540081</t>
  </si>
  <si>
    <t>520101 0107640082</t>
  </si>
  <si>
    <t>520101 4107650349</t>
  </si>
  <si>
    <t>520101 2903890001</t>
  </si>
  <si>
    <t>520101 0107470249</t>
  </si>
  <si>
    <t>Senah</t>
  </si>
  <si>
    <t>520101 6309521001</t>
  </si>
  <si>
    <t>Amnah</t>
  </si>
  <si>
    <t>520101 7108770001</t>
  </si>
  <si>
    <t>520101 7112831011</t>
  </si>
  <si>
    <t>Amak Cebah</t>
  </si>
  <si>
    <t>Idaham</t>
  </si>
  <si>
    <t>520101 2712710001</t>
  </si>
  <si>
    <t>Rofiah</t>
  </si>
  <si>
    <t>520101 6903881001</t>
  </si>
  <si>
    <t>Izam Hakkiki</t>
  </si>
  <si>
    <t>520101 3011131004</t>
  </si>
  <si>
    <t>Sahdu</t>
  </si>
  <si>
    <t>520101 0107750463</t>
  </si>
  <si>
    <t>Sapaah</t>
  </si>
  <si>
    <t>520101 4107880142</t>
  </si>
  <si>
    <t>Riski Ilham</t>
  </si>
  <si>
    <t>520101 0507050001</t>
  </si>
  <si>
    <t>Siti Sulvia</t>
  </si>
  <si>
    <t>Amaq Kevi</t>
  </si>
  <si>
    <t>520101 0707401002</t>
  </si>
  <si>
    <t>Sahnan</t>
  </si>
  <si>
    <t>520101 7112831017</t>
  </si>
  <si>
    <t>520101 6202001003</t>
  </si>
  <si>
    <t>Ida Royani</t>
  </si>
  <si>
    <t>520101 5008001001</t>
  </si>
  <si>
    <t>Riamah</t>
  </si>
  <si>
    <t>520101 4505021001</t>
  </si>
  <si>
    <t>Iwan</t>
  </si>
  <si>
    <t>Saniah</t>
  </si>
  <si>
    <t>520101 7112830054</t>
  </si>
  <si>
    <t>520101 1508120002</t>
  </si>
  <si>
    <t>Suryah</t>
  </si>
  <si>
    <t>Siti Azizah</t>
  </si>
  <si>
    <t>520101 3112591009</t>
  </si>
  <si>
    <t>520101 7112651022</t>
  </si>
  <si>
    <t>Sulaimi</t>
  </si>
  <si>
    <t>520101 7112851031</t>
  </si>
  <si>
    <t>Herjan</t>
  </si>
  <si>
    <t>Haji Amin</t>
  </si>
  <si>
    <t>520101 0707370159</t>
  </si>
  <si>
    <t>Hajjah Raodah</t>
  </si>
  <si>
    <t>520101 7112800195</t>
  </si>
  <si>
    <t>520101 7112690039</t>
  </si>
  <si>
    <t>520101 0112690004</t>
  </si>
  <si>
    <t>520101 4107700237</t>
  </si>
  <si>
    <t>Masne</t>
  </si>
  <si>
    <t>520101 0112510001</t>
  </si>
  <si>
    <t>520101 4107550137</t>
  </si>
  <si>
    <t>520101 6311780001</t>
  </si>
  <si>
    <t>520101 3112800048</t>
  </si>
  <si>
    <t>Khairunnisak</t>
  </si>
  <si>
    <t>520101 2512140002</t>
  </si>
  <si>
    <t>Bahri</t>
  </si>
  <si>
    <t>Nyumin</t>
  </si>
  <si>
    <t>Muhamad Rozi</t>
  </si>
  <si>
    <t>Hajjah Rakmah</t>
  </si>
  <si>
    <t>520101 4107810002</t>
  </si>
  <si>
    <t>Wiranto</t>
  </si>
  <si>
    <t>Mahariyah</t>
  </si>
  <si>
    <t>Haji Jaelani</t>
  </si>
  <si>
    <t>520101 2103730004</t>
  </si>
  <si>
    <t>520101 5010760002</t>
  </si>
  <si>
    <t>Ahmad Rijilan</t>
  </si>
  <si>
    <t>520101 1506940004</t>
  </si>
  <si>
    <t>Muhamad Harkan Herlangga</t>
  </si>
  <si>
    <t>520101 2912110001</t>
  </si>
  <si>
    <t>Haji Musleh</t>
  </si>
  <si>
    <t>520101 1207550001</t>
  </si>
  <si>
    <t>Hajjah Pariah</t>
  </si>
  <si>
    <t>520101 4407770577</t>
  </si>
  <si>
    <t>Mindari</t>
  </si>
  <si>
    <t>520101 4304930001</t>
  </si>
  <si>
    <t>520101 0107750455</t>
  </si>
  <si>
    <t>520101 4107810161</t>
  </si>
  <si>
    <t>520101 5505000011</t>
  </si>
  <si>
    <t>520101 4611130001</t>
  </si>
  <si>
    <t>Rusd/Miin</t>
  </si>
  <si>
    <t>520101 4906690001</t>
  </si>
  <si>
    <t>Subaer</t>
  </si>
  <si>
    <t>520101 5207980001</t>
  </si>
  <si>
    <t>Hamzan</t>
  </si>
  <si>
    <t>520101 6207980001</t>
  </si>
  <si>
    <t>Inak Isah</t>
  </si>
  <si>
    <t>520101 0107400095</t>
  </si>
  <si>
    <t>Haji Ahyar</t>
  </si>
  <si>
    <t>520101 0107830025</t>
  </si>
  <si>
    <t>Haji Sukran</t>
  </si>
  <si>
    <t>520101 0107590164</t>
  </si>
  <si>
    <t>520101 4107670833</t>
  </si>
  <si>
    <t>520101 0307910002</t>
  </si>
  <si>
    <t>Siti Marlina</t>
  </si>
  <si>
    <t>Ishak</t>
  </si>
  <si>
    <t>520101 0107770809</t>
  </si>
  <si>
    <t>520101 7112820155</t>
  </si>
  <si>
    <t>Muhimah</t>
  </si>
  <si>
    <t>520101 7112010007</t>
  </si>
  <si>
    <t>Muhamad Faizal</t>
  </si>
  <si>
    <t>520101 0802420002</t>
  </si>
  <si>
    <t>Pasah</t>
  </si>
  <si>
    <t>520101 0107530122</t>
  </si>
  <si>
    <t>520101 4107550125</t>
  </si>
  <si>
    <t>520101 4306900001</t>
  </si>
  <si>
    <t>520101 6102000001</t>
  </si>
  <si>
    <t>Sabri</t>
  </si>
  <si>
    <t>Kawin kawin</t>
  </si>
  <si>
    <t>520101 1103870004</t>
  </si>
  <si>
    <t>520101 2112833111</t>
  </si>
  <si>
    <t>Sarfiani</t>
  </si>
  <si>
    <t>520101 5094120204</t>
  </si>
  <si>
    <t>Haji Turmuzi</t>
  </si>
  <si>
    <t>520101 3112700007</t>
  </si>
  <si>
    <t>Hajjah Kurniati</t>
  </si>
  <si>
    <t>520101 7112710005</t>
  </si>
  <si>
    <t xml:space="preserve">Kurniawati </t>
  </si>
  <si>
    <t>520101 0112990003</t>
  </si>
  <si>
    <t>Rina Rahmawati</t>
  </si>
  <si>
    <t>520101 0505890003</t>
  </si>
  <si>
    <t>520101 4505890001</t>
  </si>
  <si>
    <t>Osil</t>
  </si>
  <si>
    <t>520101 7112990003</t>
  </si>
  <si>
    <t>520101 4506801001</t>
  </si>
  <si>
    <t>520101 4503041001</t>
  </si>
  <si>
    <t>Inak Sal</t>
  </si>
  <si>
    <t>520101 0107880298</t>
  </si>
  <si>
    <t>Kamariah</t>
  </si>
  <si>
    <t>520101 4107910418</t>
  </si>
  <si>
    <t>Naharudin</t>
  </si>
  <si>
    <t>520101 0103780001</t>
  </si>
  <si>
    <t>Harlina</t>
  </si>
  <si>
    <t>520101 8803040003</t>
  </si>
  <si>
    <t>Haji Tanahar</t>
  </si>
  <si>
    <t>520101 0107330031</t>
  </si>
  <si>
    <t>Haji Harun</t>
  </si>
  <si>
    <t>520101 0107780376</t>
  </si>
  <si>
    <t>Marsuki S.H</t>
  </si>
  <si>
    <t>520101 3112800159</t>
  </si>
  <si>
    <t>Tursiah</t>
  </si>
  <si>
    <t>520101 4619890005</t>
  </si>
  <si>
    <t>Febrianti</t>
  </si>
  <si>
    <t>520101 4502100005</t>
  </si>
  <si>
    <t>Musahar</t>
  </si>
  <si>
    <t>520101 0112740001</t>
  </si>
  <si>
    <t>520101 4507790003</t>
  </si>
  <si>
    <t>Handriani</t>
  </si>
  <si>
    <t>520101 7112990013</t>
  </si>
  <si>
    <t>520101 3112040002</t>
  </si>
  <si>
    <t>Muhamad Hanafi</t>
  </si>
  <si>
    <t>Alia</t>
  </si>
  <si>
    <t>Junaedi</t>
  </si>
  <si>
    <t>Para Hardianti</t>
  </si>
  <si>
    <t>Riana</t>
  </si>
  <si>
    <t>520101 5508950002</t>
  </si>
  <si>
    <t>Hamka Safaris</t>
  </si>
  <si>
    <t>520101 1501120006</t>
  </si>
  <si>
    <t>Bayu Kusuma</t>
  </si>
  <si>
    <t>Haji Muhadisin</t>
  </si>
  <si>
    <t>520101 3112730112</t>
  </si>
  <si>
    <t>Hajjah Hikmah</t>
  </si>
  <si>
    <t>520101 7112740555</t>
  </si>
  <si>
    <t>Sammuharin</t>
  </si>
  <si>
    <t>520101 3085960905</t>
  </si>
  <si>
    <t>Radiatun Hasanah</t>
  </si>
  <si>
    <t>520101 6494050553</t>
  </si>
  <si>
    <t>Mahnan</t>
  </si>
  <si>
    <t>520101 4107590168</t>
  </si>
  <si>
    <t>Winda Safitri</t>
  </si>
  <si>
    <t>Inak Kenah</t>
  </si>
  <si>
    <t>Kadri</t>
  </si>
  <si>
    <t>520101 3112560026</t>
  </si>
  <si>
    <t>520101 7112610009</t>
  </si>
  <si>
    <t>520101 3112860077</t>
  </si>
  <si>
    <t>Suriani</t>
  </si>
  <si>
    <t>520101 7112870076</t>
  </si>
  <si>
    <t>Miswatun Hasanah</t>
  </si>
  <si>
    <t>520101 105880003</t>
  </si>
  <si>
    <t>Madani</t>
  </si>
  <si>
    <t>520101 4108800003</t>
  </si>
  <si>
    <t>Jaswan Albuqori</t>
  </si>
  <si>
    <t>520101 290413001</t>
  </si>
  <si>
    <t>Inaq Miah</t>
  </si>
  <si>
    <t>520101 010743052</t>
  </si>
  <si>
    <t>Makniah</t>
  </si>
  <si>
    <t>520101 4107680312</t>
  </si>
  <si>
    <t>520101 0107680063</t>
  </si>
  <si>
    <t>Maknah</t>
  </si>
  <si>
    <t>520101 4107700230</t>
  </si>
  <si>
    <t>Napisah</t>
  </si>
  <si>
    <t>520101 0107600027</t>
  </si>
  <si>
    <t>520101 560387001</t>
  </si>
  <si>
    <t>520101 6912890002</t>
  </si>
  <si>
    <t>Siti Hindati</t>
  </si>
  <si>
    <t>520101 550711101</t>
  </si>
  <si>
    <t>520101 711264059</t>
  </si>
  <si>
    <t>520101 3112970008</t>
  </si>
  <si>
    <t>Agusalim</t>
  </si>
  <si>
    <t>Basarudin</t>
  </si>
  <si>
    <t>520101 3112570009</t>
  </si>
  <si>
    <t>Batiah</t>
  </si>
  <si>
    <t>M.Subaidi Idham</t>
  </si>
  <si>
    <t>520101 0312070002</t>
  </si>
  <si>
    <t>520101 0107590108</t>
  </si>
  <si>
    <t>Alemah</t>
  </si>
  <si>
    <t>520101 4107600072</t>
  </si>
  <si>
    <t>520101 4107810114</t>
  </si>
  <si>
    <t>Zaedon</t>
  </si>
  <si>
    <t>520101 0308860002</t>
  </si>
  <si>
    <t>Ervani</t>
  </si>
  <si>
    <t>Wahyuni</t>
  </si>
  <si>
    <t>Zahedon</t>
  </si>
  <si>
    <t>Abdul Hari</t>
  </si>
  <si>
    <t>Inaq Kenin</t>
  </si>
  <si>
    <t>Ayub</t>
  </si>
  <si>
    <t>Ema Safitri</t>
  </si>
  <si>
    <t>520101 4107510115</t>
  </si>
  <si>
    <t>Saedon</t>
  </si>
  <si>
    <t>Hajjah Sarah</t>
  </si>
  <si>
    <t>520101 4107780072</t>
  </si>
  <si>
    <t>Aza Maulida</t>
  </si>
  <si>
    <t>Sarni</t>
  </si>
  <si>
    <t>Muainingsih</t>
  </si>
  <si>
    <t>Nurisah</t>
  </si>
  <si>
    <t>520101 4107680328</t>
  </si>
  <si>
    <t xml:space="preserve">Inaq Selemah </t>
  </si>
  <si>
    <t>520101 4107400008</t>
  </si>
  <si>
    <t>520101 311290183</t>
  </si>
  <si>
    <t>Sopi</t>
  </si>
  <si>
    <t>520101 4107920190</t>
  </si>
  <si>
    <t>Muhamad Hamit</t>
  </si>
  <si>
    <t>Ulniati Hajjah</t>
  </si>
  <si>
    <t>Suherman</t>
  </si>
  <si>
    <t>520101 0112780002</t>
  </si>
  <si>
    <t>520101 430584001</t>
  </si>
  <si>
    <t>520101 5206020003</t>
  </si>
  <si>
    <t>Mohli</t>
  </si>
  <si>
    <t>520101 3112670003</t>
  </si>
  <si>
    <t>Sonah</t>
  </si>
  <si>
    <t>520101 711269011</t>
  </si>
  <si>
    <t>M. Fikri</t>
  </si>
  <si>
    <t>520101 260293001</t>
  </si>
  <si>
    <t>520101 541200001</t>
  </si>
  <si>
    <t xml:space="preserve">Hajjah Hadijah </t>
  </si>
  <si>
    <t>520101 601162001</t>
  </si>
  <si>
    <t>520101 3112840009</t>
  </si>
  <si>
    <t>Parizal</t>
  </si>
  <si>
    <t>520101 0107850252</t>
  </si>
  <si>
    <t>Huriyah</t>
  </si>
  <si>
    <t>Mursin</t>
  </si>
  <si>
    <t>520101 3112700004</t>
  </si>
  <si>
    <t>Raehan</t>
  </si>
  <si>
    <t>520101 7112720003</t>
  </si>
  <si>
    <t>Ahmad Fahmi</t>
  </si>
  <si>
    <t>520101 101292001</t>
  </si>
  <si>
    <t>Usmawati Dewi</t>
  </si>
  <si>
    <t>520101 410200001</t>
  </si>
  <si>
    <t>Suhdi</t>
  </si>
  <si>
    <t>520101 0107740021</t>
  </si>
  <si>
    <t>520101 4404140002</t>
  </si>
  <si>
    <t>Mugni</t>
  </si>
  <si>
    <t>520101 5310880002</t>
  </si>
  <si>
    <t>520101 6910940003</t>
  </si>
  <si>
    <t>M.Hamzan</t>
  </si>
  <si>
    <t>520101 1207140003</t>
  </si>
  <si>
    <t>Muhsini</t>
  </si>
  <si>
    <t>Haeriah</t>
  </si>
  <si>
    <t>Holidi</t>
  </si>
  <si>
    <t>Suhaebon</t>
  </si>
  <si>
    <t>520101 3112900034</t>
  </si>
  <si>
    <t>Rohimah</t>
  </si>
  <si>
    <t>Ilham</t>
  </si>
  <si>
    <t>520101 3112840186</t>
  </si>
  <si>
    <t>520101 4312880002</t>
  </si>
  <si>
    <t>Sahnam</t>
  </si>
  <si>
    <t>520101 5505000002</t>
  </si>
  <si>
    <t>Sarbini</t>
  </si>
  <si>
    <t>520101 1912920003</t>
  </si>
  <si>
    <t>Asyam Wadzimmiy</t>
  </si>
  <si>
    <t>520101 0602130002</t>
  </si>
  <si>
    <t>520101 0107700308</t>
  </si>
  <si>
    <t>520101 4107780377</t>
  </si>
  <si>
    <t>M Asril Mahendra</t>
  </si>
  <si>
    <t>520101 0204030002</t>
  </si>
  <si>
    <t>Johaeratun</t>
  </si>
  <si>
    <t>520101 4107820324</t>
  </si>
  <si>
    <t>Muhlis</t>
  </si>
  <si>
    <t>520101 3112901008</t>
  </si>
  <si>
    <t>Nia Septiana</t>
  </si>
  <si>
    <t>Nalisa Septiana</t>
  </si>
  <si>
    <t>Rahim</t>
  </si>
  <si>
    <t>520101 271168001</t>
  </si>
  <si>
    <t>Juminah</t>
  </si>
  <si>
    <t>520101 711288005</t>
  </si>
  <si>
    <t>Andika</t>
  </si>
  <si>
    <t>520101 100908001</t>
  </si>
  <si>
    <t>520101 270480101</t>
  </si>
  <si>
    <t xml:space="preserve">Haji Suhaili </t>
  </si>
  <si>
    <t>Sadi</t>
  </si>
  <si>
    <t>520101 3112690123</t>
  </si>
  <si>
    <t>Sanipah</t>
  </si>
  <si>
    <t>520101 601073001</t>
  </si>
  <si>
    <t>Inaq Kaye</t>
  </si>
  <si>
    <t>520101 2511810002</t>
  </si>
  <si>
    <t>Rosalia</t>
  </si>
  <si>
    <t>520101 5707050002</t>
  </si>
  <si>
    <t>520101 5104140004</t>
  </si>
  <si>
    <t>520101 1505330003</t>
  </si>
  <si>
    <t>520101 5512800002</t>
  </si>
  <si>
    <t>Karim</t>
  </si>
  <si>
    <t>Nam</t>
  </si>
  <si>
    <t>M Hanawi</t>
  </si>
  <si>
    <t>Siti Hamdani</t>
  </si>
  <si>
    <t>520101 711297005</t>
  </si>
  <si>
    <t>Kartini</t>
  </si>
  <si>
    <t>520101 7112910007</t>
  </si>
  <si>
    <t>520101 5002110002</t>
  </si>
  <si>
    <t>Mah</t>
  </si>
  <si>
    <t>520101 0107610130</t>
  </si>
  <si>
    <t>520101 4107620282</t>
  </si>
  <si>
    <t>Tahsan</t>
  </si>
  <si>
    <t>Jenok</t>
  </si>
  <si>
    <t>Kamarudin</t>
  </si>
  <si>
    <t>520101 4107820111</t>
  </si>
  <si>
    <t>520101 010101005</t>
  </si>
  <si>
    <t>520101 460505001</t>
  </si>
  <si>
    <t>520101 4505100004</t>
  </si>
  <si>
    <t>520101 130812001</t>
  </si>
  <si>
    <t>520101 3112730026</t>
  </si>
  <si>
    <t>520101 4107900462</t>
  </si>
  <si>
    <t>Keyi</t>
  </si>
  <si>
    <t>520101 3112540002</t>
  </si>
  <si>
    <t>Dah</t>
  </si>
  <si>
    <t>520101 4107580069</t>
  </si>
  <si>
    <t>520101 1010870003</t>
  </si>
  <si>
    <t>Husen</t>
  </si>
  <si>
    <t>Mahrim</t>
  </si>
  <si>
    <t>Haji Fathul Aziz</t>
  </si>
  <si>
    <t>520101 2109120002</t>
  </si>
  <si>
    <t>520101 7101890003</t>
  </si>
  <si>
    <t>Udi</t>
  </si>
  <si>
    <t>Suryadi</t>
  </si>
  <si>
    <t>520101 1011800004</t>
  </si>
  <si>
    <t>Darowan</t>
  </si>
  <si>
    <t>520101 0107660328</t>
  </si>
  <si>
    <t>520101 4107780451</t>
  </si>
  <si>
    <t>Rumeni</t>
  </si>
  <si>
    <t>520101 4107840139</t>
  </si>
  <si>
    <t>Ayuni</t>
  </si>
  <si>
    <t>Bagus Suparlan</t>
  </si>
  <si>
    <t>520101 1708060002</t>
  </si>
  <si>
    <t>520101 3003010002</t>
  </si>
  <si>
    <t>Harlan</t>
  </si>
  <si>
    <t>520101 0102110002</t>
  </si>
  <si>
    <t xml:space="preserve">Inaq Kui </t>
  </si>
  <si>
    <t>Haji Helmi</t>
  </si>
  <si>
    <t>Suriah</t>
  </si>
  <si>
    <t>Kurniati</t>
  </si>
  <si>
    <t>520101 4208000004</t>
  </si>
  <si>
    <t>Khairunomami</t>
  </si>
  <si>
    <t>Merah</t>
  </si>
  <si>
    <t>520101 0107580152</t>
  </si>
  <si>
    <t>Fatmawati</t>
  </si>
  <si>
    <t>520101 4104940003</t>
  </si>
  <si>
    <t>Turmuzi</t>
  </si>
  <si>
    <t>520101 0411770003</t>
  </si>
  <si>
    <t>Khoriah</t>
  </si>
  <si>
    <t>Burhanudin</t>
  </si>
  <si>
    <t>520101 0902810002</t>
  </si>
  <si>
    <t>Sudeh</t>
  </si>
  <si>
    <t>520101 7112820027</t>
  </si>
  <si>
    <t>Naufal Hidayatulloh</t>
  </si>
  <si>
    <t>520101 030607005</t>
  </si>
  <si>
    <t>Napsari</t>
  </si>
  <si>
    <t>Septirawan</t>
  </si>
  <si>
    <t>Munawir</t>
  </si>
  <si>
    <t>Dewi Roh</t>
  </si>
  <si>
    <t>520101 7112860009</t>
  </si>
  <si>
    <t>M.Khaekal Edwir</t>
  </si>
  <si>
    <t>Hartina</t>
  </si>
  <si>
    <t>520101 6012980004</t>
  </si>
  <si>
    <t>Harjan</t>
  </si>
  <si>
    <t>520101 1009020003</t>
  </si>
  <si>
    <t>520101 0607840003</t>
  </si>
  <si>
    <t>Rukanah</t>
  </si>
  <si>
    <t>Divayana</t>
  </si>
  <si>
    <t>Dian Safitri</t>
  </si>
  <si>
    <t>Hakam Bahrul Ulum</t>
  </si>
  <si>
    <t>520101 0107700027</t>
  </si>
  <si>
    <t>520101 7112730004</t>
  </si>
  <si>
    <t>Siti Atika</t>
  </si>
  <si>
    <t>520101 6508990002</t>
  </si>
  <si>
    <t>Siti Habibah</t>
  </si>
  <si>
    <t>520101 6602070004</t>
  </si>
  <si>
    <t>Nurjanah</t>
  </si>
  <si>
    <t>520101 7112850129</t>
  </si>
  <si>
    <t>Jumaita Putri Lestari</t>
  </si>
  <si>
    <t>Aisah</t>
  </si>
  <si>
    <t>Siti Nurkamila</t>
  </si>
  <si>
    <t>520101 3112810103</t>
  </si>
  <si>
    <t xml:space="preserve">TGR Haji Akmad Makki </t>
  </si>
  <si>
    <t>520101 3112520026</t>
  </si>
  <si>
    <t xml:space="preserve">HajjahMarhamlah </t>
  </si>
  <si>
    <t>520101 4107080080</t>
  </si>
  <si>
    <t>Hudairi</t>
  </si>
  <si>
    <t>520101 1007940003</t>
  </si>
  <si>
    <t>520101 3112770201</t>
  </si>
  <si>
    <t>520101 7112820208</t>
  </si>
  <si>
    <t>Irtoni</t>
  </si>
  <si>
    <t>520101 3112920009</t>
  </si>
  <si>
    <t>520101 4204840003</t>
  </si>
  <si>
    <t>Indra Holnaen</t>
  </si>
  <si>
    <t>M Ilyas Holnaen</t>
  </si>
  <si>
    <t>520101 3006120002</t>
  </si>
  <si>
    <t>Sudirman</t>
  </si>
  <si>
    <t>Suriati</t>
  </si>
  <si>
    <t>520101 7112840076</t>
  </si>
  <si>
    <t>520101 1410080002</t>
  </si>
  <si>
    <t>Alvin Oktomania</t>
  </si>
  <si>
    <t>520101 2710110002</t>
  </si>
  <si>
    <t>Nadia Febrianti</t>
  </si>
  <si>
    <t>520101 4702141002</t>
  </si>
  <si>
    <t>Lahir</t>
  </si>
  <si>
    <t>Tempat</t>
  </si>
  <si>
    <t>Tanggal</t>
  </si>
  <si>
    <t>tahun</t>
  </si>
  <si>
    <t>Etnis</t>
  </si>
  <si>
    <t>Jurusan</t>
  </si>
  <si>
    <t>NOMOR KK</t>
  </si>
  <si>
    <t>JUMLAH JIWA</t>
  </si>
  <si>
    <t xml:space="preserve">Tempat </t>
  </si>
  <si>
    <t>Tahun</t>
  </si>
  <si>
    <t>Usia</t>
  </si>
  <si>
    <t>Fisik</t>
  </si>
  <si>
    <t>Mental</t>
  </si>
  <si>
    <t>Cacat</t>
  </si>
  <si>
    <t>Ada/tidak</t>
  </si>
  <si>
    <t>KTP/KIA</t>
  </si>
  <si>
    <t>Buku Niikah</t>
  </si>
  <si>
    <t>Nomor KK</t>
  </si>
  <si>
    <t>Jumlah Jiwa</t>
  </si>
  <si>
    <t>Lahi</t>
  </si>
  <si>
    <t>Juusan</t>
  </si>
  <si>
    <t>AIK AMPAT</t>
  </si>
  <si>
    <t>Sasak</t>
  </si>
  <si>
    <t xml:space="preserve">Darwan </t>
  </si>
  <si>
    <t>520101 3112680180</t>
  </si>
  <si>
    <t>Aik Ampat</t>
  </si>
  <si>
    <t>TAMAT SD/SEDERAJAT</t>
  </si>
  <si>
    <t>WIRASWASTA</t>
  </si>
  <si>
    <t xml:space="preserve">Minrah </t>
  </si>
  <si>
    <t>Ariawan</t>
  </si>
  <si>
    <t>520101 711700239</t>
  </si>
  <si>
    <t>520101 2107880001</t>
  </si>
  <si>
    <t>520101 2104980003</t>
  </si>
  <si>
    <t>Muhadisin</t>
  </si>
  <si>
    <t>520101 2506010003</t>
  </si>
  <si>
    <t>Khaerani</t>
  </si>
  <si>
    <t>520101 0112020005</t>
  </si>
  <si>
    <t>Belum Kawin</t>
  </si>
  <si>
    <t>Bawak Gunung</t>
  </si>
  <si>
    <t>SLTP/SEDERAJAT</t>
  </si>
  <si>
    <t>BELUM TAMAT SD/SEDERAJAT</t>
  </si>
  <si>
    <t>MENGURUS RUMAH TANGGA</t>
  </si>
  <si>
    <t>PELAJAR/MAHASISWA</t>
  </si>
  <si>
    <t>Muliaten</t>
  </si>
  <si>
    <t>Mayanita</t>
  </si>
  <si>
    <t>M.Hanafi</t>
  </si>
  <si>
    <t>520101 1508120013</t>
  </si>
  <si>
    <t>520101 1104771001</t>
  </si>
  <si>
    <t>520101 6004871001</t>
  </si>
  <si>
    <t>520101 4303101001</t>
  </si>
  <si>
    <t>520101 0805111001</t>
  </si>
  <si>
    <t>TIDAK/BELUM SEKOLAH</t>
  </si>
  <si>
    <t>BURUH HARIAN LEPAS</t>
  </si>
  <si>
    <t>BELUM/TIDAK BEKERJA</t>
  </si>
  <si>
    <t>520101 0812110043</t>
  </si>
  <si>
    <t>Mawardi</t>
  </si>
  <si>
    <t>Saenal</t>
  </si>
  <si>
    <t>Muhamad Azis</t>
  </si>
  <si>
    <t>Rizaldi</t>
  </si>
  <si>
    <t>520101 3112600161</t>
  </si>
  <si>
    <t>520101 7112730111</t>
  </si>
  <si>
    <t>520101 3112840140</t>
  </si>
  <si>
    <t>520101 1010980001</t>
  </si>
  <si>
    <t>SLTA/SEDERAJAT</t>
  </si>
  <si>
    <t>520101 1308090008</t>
  </si>
  <si>
    <t xml:space="preserve">Amin </t>
  </si>
  <si>
    <t>Dedi</t>
  </si>
  <si>
    <t>Aini</t>
  </si>
  <si>
    <t>520101 1804540001</t>
  </si>
  <si>
    <t xml:space="preserve"> 520101 4309580001</t>
  </si>
  <si>
    <t xml:space="preserve"> 520101 0512840001</t>
  </si>
  <si>
    <t xml:space="preserve"> 520101 6505980001</t>
  </si>
  <si>
    <t>BURUH TANI/PERKEBUNAN</t>
  </si>
  <si>
    <t>520101 0603120017</t>
  </si>
  <si>
    <t>Senun</t>
  </si>
  <si>
    <t>Mairah</t>
  </si>
  <si>
    <t xml:space="preserve">Nan </t>
  </si>
  <si>
    <t>Nasrulah</t>
  </si>
  <si>
    <t xml:space="preserve">520101 2011560002  </t>
  </si>
  <si>
    <t xml:space="preserve"> 520101 4603600001</t>
  </si>
  <si>
    <t>520101 0808850004</t>
  </si>
  <si>
    <t xml:space="preserve"> 520101 2307950001</t>
  </si>
  <si>
    <t>TIDAK/BELUM BEKERJA</t>
  </si>
  <si>
    <t>520101 1409120004</t>
  </si>
  <si>
    <t>Misa'ah</t>
  </si>
  <si>
    <t>Dedi Hartono</t>
  </si>
  <si>
    <t xml:space="preserve"> 520101 7112620139</t>
  </si>
  <si>
    <t xml:space="preserve"> 520101 7112910058</t>
  </si>
  <si>
    <t xml:space="preserve"> 520101 3112930067</t>
  </si>
  <si>
    <t>Cerai Mati</t>
  </si>
  <si>
    <t>F</t>
  </si>
  <si>
    <t xml:space="preserve"> 520101 1403120017</t>
  </si>
  <si>
    <t>Inaq Bah</t>
  </si>
  <si>
    <t>Lia Izmi</t>
  </si>
  <si>
    <t>Cucu</t>
  </si>
  <si>
    <t>520101 410740007</t>
  </si>
  <si>
    <t xml:space="preserve"> 520101 5903991001</t>
  </si>
  <si>
    <t xml:space="preserve"> 520101 6908071001</t>
  </si>
  <si>
    <t xml:space="preserve"> 520101 1506120014</t>
  </si>
  <si>
    <t>Muhammadun</t>
  </si>
  <si>
    <t>Muhamad Cahyadi Putra</t>
  </si>
  <si>
    <t>Muhammad Nuralfaridzi</t>
  </si>
  <si>
    <t>Salsabila Norma Seftiana</t>
  </si>
  <si>
    <t xml:space="preserve"> 520101 1009700001</t>
  </si>
  <si>
    <t xml:space="preserve"> 520101 6104700001</t>
  </si>
  <si>
    <t xml:space="preserve"> 520101 0603950001</t>
  </si>
  <si>
    <t xml:space="preserve"> 520101 0302990001</t>
  </si>
  <si>
    <t xml:space="preserve"> 520101 6609050001</t>
  </si>
  <si>
    <t>Denpasar</t>
  </si>
  <si>
    <t>Dasan Geres</t>
  </si>
  <si>
    <t>PEDAGANG</t>
  </si>
  <si>
    <t>520101 0503085761</t>
  </si>
  <si>
    <t>520101 1211580001</t>
  </si>
  <si>
    <t>TIDAK/BLM SEKOLAH</t>
  </si>
  <si>
    <t>Muhli</t>
  </si>
  <si>
    <t>Sunah</t>
  </si>
  <si>
    <t>520101 5004600001</t>
  </si>
  <si>
    <t>Muhammad Fikri</t>
  </si>
  <si>
    <t>520101 6602930002</t>
  </si>
  <si>
    <t>Pelajar / Mahasiswa</t>
  </si>
  <si>
    <t>Muhimmah</t>
  </si>
  <si>
    <t>520101 5412000001</t>
  </si>
  <si>
    <t>520101 0212140007</t>
  </si>
  <si>
    <t>Buruh Harian Lepas</t>
  </si>
  <si>
    <t>Orang Tua</t>
  </si>
  <si>
    <t>Belum / Tidak Bekerja</t>
  </si>
  <si>
    <t>520101 0503085653</t>
  </si>
  <si>
    <t>520101 0107810185</t>
  </si>
  <si>
    <t>Siti Raudatul Ulmiah</t>
  </si>
  <si>
    <t>520101 6012040001</t>
  </si>
  <si>
    <t>Halika Sukma Jati</t>
  </si>
  <si>
    <t>520101 5811120001</t>
  </si>
  <si>
    <t>520101 1411110038</t>
  </si>
  <si>
    <t>520101 3112901005</t>
  </si>
  <si>
    <t>520101 4611961001</t>
  </si>
  <si>
    <t>Muamaiah</t>
  </si>
  <si>
    <t>520101 3009120041</t>
  </si>
  <si>
    <t>Puasi</t>
  </si>
  <si>
    <t>Muhammad Anawi</t>
  </si>
  <si>
    <t>520101 3112020018</t>
  </si>
  <si>
    <t>520101 0503085741</t>
  </si>
  <si>
    <t>Herliadi Ramdani</t>
  </si>
  <si>
    <t>520101 5211030001</t>
  </si>
  <si>
    <t>520101 0503085676</t>
  </si>
  <si>
    <t>520101 0107700310</t>
  </si>
  <si>
    <t>520101 5801920001</t>
  </si>
  <si>
    <t>520101 0503085344</t>
  </si>
  <si>
    <t>520101 2708120017</t>
  </si>
  <si>
    <t>520101 5402000013</t>
  </si>
  <si>
    <t>BILE KEDIT</t>
  </si>
  <si>
    <t>Belum /Tidak Bekerja</t>
  </si>
  <si>
    <t>520101 4202090001</t>
  </si>
  <si>
    <t>Ghaidat Syuraya</t>
  </si>
  <si>
    <t>Mengurus Rumah Tangga</t>
  </si>
  <si>
    <t>520101 5809890002</t>
  </si>
  <si>
    <t>Rosita Dewi</t>
  </si>
  <si>
    <t>520101 2707790001</t>
  </si>
  <si>
    <t>Sar’i</t>
  </si>
  <si>
    <t>520101 2511090003</t>
  </si>
  <si>
    <t>520101 0503086224</t>
  </si>
  <si>
    <t>Sahar</t>
  </si>
  <si>
    <t>Muhamad Solim</t>
  </si>
  <si>
    <t>520101 1006051001</t>
  </si>
  <si>
    <t>Petani / Pekebun</t>
  </si>
  <si>
    <t>Buruh Tani / Perkebunan</t>
  </si>
  <si>
    <t>520101 0112090044</t>
  </si>
  <si>
    <t>520101 7112720019</t>
  </si>
  <si>
    <t>520101 0602150013</t>
  </si>
  <si>
    <t>Ainiyah</t>
  </si>
  <si>
    <t>DASAN GERES</t>
  </si>
  <si>
    <t>520101 2505180008</t>
  </si>
  <si>
    <t>Muhammad Rafa Padlan</t>
  </si>
  <si>
    <t>520101 2809110001</t>
  </si>
  <si>
    <t>Suma'il</t>
  </si>
  <si>
    <t>520101 0503085637</t>
  </si>
  <si>
    <t>Siti Alpina</t>
  </si>
  <si>
    <t>520101 4910131001</t>
  </si>
  <si>
    <t>520101 0405170003</t>
  </si>
  <si>
    <t>520101 3008120029</t>
  </si>
  <si>
    <t>Sukran</t>
  </si>
  <si>
    <t>Waridah</t>
  </si>
  <si>
    <t>Rina Sahara</t>
  </si>
  <si>
    <t>Ulan Mawati</t>
  </si>
  <si>
    <t>520208 4107800499</t>
  </si>
  <si>
    <t>520101 6108060002</t>
  </si>
  <si>
    <t>520101 5005080005</t>
  </si>
  <si>
    <t>KARANG IDE II</t>
  </si>
  <si>
    <t>520101 2909120056</t>
  </si>
  <si>
    <t>520101 1510750001</t>
  </si>
  <si>
    <t>520101 5202780001</t>
  </si>
  <si>
    <t>520101 0503086064</t>
  </si>
  <si>
    <t>520101 1203650001</t>
  </si>
  <si>
    <t>520101 1711670031</t>
  </si>
  <si>
    <t>520101 3112970035</t>
  </si>
  <si>
    <t>520101 2609170012</t>
  </si>
  <si>
    <t>Napsah</t>
  </si>
  <si>
    <t>Arwin</t>
  </si>
  <si>
    <t>520101 4208740003</t>
  </si>
  <si>
    <t>520101 0503086077</t>
  </si>
  <si>
    <t>520101 4604860001</t>
  </si>
  <si>
    <t>520101 0908120013</t>
  </si>
  <si>
    <t>Rohmatun Sibyana</t>
  </si>
  <si>
    <t>520101 3808110001</t>
  </si>
  <si>
    <t>520101 501890001</t>
  </si>
  <si>
    <t>Muhammad Nabil Azhar</t>
  </si>
  <si>
    <t>520101 3004140002</t>
  </si>
  <si>
    <t>Haji Yusuf</t>
  </si>
  <si>
    <t>Hj. Zaetun</t>
  </si>
  <si>
    <t>520101 0503085780</t>
  </si>
  <si>
    <t>520101 0107760179</t>
  </si>
  <si>
    <t>520101 5104051001</t>
  </si>
  <si>
    <t>520101 0702120004</t>
  </si>
  <si>
    <t>Famili Lain</t>
  </si>
  <si>
    <t>520101 4107950086</t>
  </si>
  <si>
    <t>Cerai Hidup</t>
  </si>
  <si>
    <t>520101 2705130005</t>
  </si>
  <si>
    <t>Alfandi Sudirajati</t>
  </si>
  <si>
    <t>520101 2110820001</t>
  </si>
  <si>
    <t>Sopir</t>
  </si>
  <si>
    <t>520101 0503085334</t>
  </si>
  <si>
    <t>Habibbulloh</t>
  </si>
  <si>
    <t>Muhamad Torib</t>
  </si>
  <si>
    <t>520101 0107770277</t>
  </si>
  <si>
    <t>520101 4107790309</t>
  </si>
  <si>
    <t>520101 2002910002</t>
  </si>
  <si>
    <t>520101 0208080007</t>
  </si>
  <si>
    <t>520101 0503086049</t>
  </si>
  <si>
    <t>Saepul Aziz</t>
  </si>
  <si>
    <t>Azza Riva</t>
  </si>
  <si>
    <t>520101 4312120001</t>
  </si>
  <si>
    <t>520101 1809810001</t>
  </si>
  <si>
    <t>520101 2903820001</t>
  </si>
  <si>
    <t>520101 0605000001</t>
  </si>
  <si>
    <t>520101 0503085201</t>
  </si>
  <si>
    <t>Yakkub</t>
  </si>
  <si>
    <t>M. Syafi'i</t>
  </si>
  <si>
    <t>Muhammad Hanafi</t>
  </si>
  <si>
    <t>520101 1107660001</t>
  </si>
  <si>
    <t>520101 6306700001</t>
  </si>
  <si>
    <t>520101 6211900002</t>
  </si>
  <si>
    <t>520101 5604980001</t>
  </si>
  <si>
    <t>520101 0503086203</t>
  </si>
  <si>
    <t>520101 2301150012</t>
  </si>
  <si>
    <t>Hilmida</t>
  </si>
  <si>
    <t>520101 6404150002</t>
  </si>
  <si>
    <t>BAWAK GUNUNG</t>
  </si>
  <si>
    <t>520101 0603089765</t>
  </si>
  <si>
    <t>Muhamad Urijal</t>
  </si>
  <si>
    <t>520101 0106770003</t>
  </si>
  <si>
    <t>520101 4401790001</t>
  </si>
  <si>
    <t>520101 1680070001</t>
  </si>
  <si>
    <t>520101 1204170001</t>
  </si>
  <si>
    <t>DASAN TAPEN</t>
  </si>
  <si>
    <t>520101 1105120033</t>
  </si>
  <si>
    <t>Roviatun Hawawiah</t>
  </si>
  <si>
    <t>Muhamad Zainul Apdi</t>
  </si>
  <si>
    <t>520101 1503180002</t>
  </si>
  <si>
    <t>520101 4509870001</t>
  </si>
  <si>
    <t>520101 5501090001</t>
  </si>
  <si>
    <t>GERUNG</t>
  </si>
  <si>
    <t>520101 0503085669</t>
  </si>
  <si>
    <t>Zaenap</t>
  </si>
  <si>
    <t>Siti Huriatul Hasanah</t>
  </si>
  <si>
    <t>Hamida</t>
  </si>
  <si>
    <t>520101 7112790005</t>
  </si>
  <si>
    <t>520101 4507050001</t>
  </si>
  <si>
    <t>520101 0607110046</t>
  </si>
  <si>
    <t>520101 5708770001</t>
  </si>
  <si>
    <t>520101 5801060001</t>
  </si>
  <si>
    <t>520101 5303100001</t>
  </si>
  <si>
    <t>520101 0301120047</t>
  </si>
  <si>
    <t>520101 4050200001</t>
  </si>
  <si>
    <t>520101 3112430001</t>
  </si>
  <si>
    <t>520101 7112650100</t>
  </si>
  <si>
    <t>Tukang Kayu</t>
  </si>
  <si>
    <t>520101 0806120017</t>
  </si>
  <si>
    <t>520101 3112800190</t>
  </si>
  <si>
    <t>M. Harun</t>
  </si>
  <si>
    <t>Fajriah</t>
  </si>
  <si>
    <t>Sofiana</t>
  </si>
  <si>
    <t>M. Hadis</t>
  </si>
  <si>
    <t>520101 2604110002</t>
  </si>
  <si>
    <t>520101 3007830001</t>
  </si>
  <si>
    <t>520101 4105110005</t>
  </si>
  <si>
    <t>Haji Saleh Husni</t>
  </si>
  <si>
    <t xml:space="preserve">Hajjah Siti Atika </t>
  </si>
  <si>
    <t>520101 1710110042</t>
  </si>
  <si>
    <t>LUWUK</t>
  </si>
  <si>
    <t>520101 2305120020</t>
  </si>
  <si>
    <t>520101 5609940001</t>
  </si>
  <si>
    <t>SEDAYU</t>
  </si>
  <si>
    <t>520101 1703150023</t>
  </si>
  <si>
    <t>520101 4101520001</t>
  </si>
  <si>
    <t>Moh. Faisal Ismail</t>
  </si>
  <si>
    <t>520101 1703150022</t>
  </si>
  <si>
    <t>520101 0901150001</t>
  </si>
  <si>
    <t>520101 1703150024</t>
  </si>
  <si>
    <t>520101 2311120022</t>
  </si>
  <si>
    <t>Muhammad Darwan</t>
  </si>
  <si>
    <t>Naufal Yusuf Al-Afif</t>
  </si>
  <si>
    <t>520101 2003130002</t>
  </si>
  <si>
    <t>520101 5304930008</t>
  </si>
  <si>
    <t>520101 3112810074</t>
  </si>
  <si>
    <t>520101 2602150015</t>
  </si>
  <si>
    <t>520101 0107400122</t>
  </si>
  <si>
    <t>520101 2310120023</t>
  </si>
  <si>
    <t>Ahmad Fahrorrozi Al-Fikrillah</t>
  </si>
  <si>
    <t>520101 3112860053</t>
  </si>
  <si>
    <t>520101 1907120015</t>
  </si>
  <si>
    <t>520101 1607780001</t>
  </si>
  <si>
    <t>520101 1309030001</t>
  </si>
  <si>
    <t>520101 0309140021</t>
  </si>
  <si>
    <t>520101 4202960001</t>
  </si>
  <si>
    <t>DASAN BAWAK RUMAK</t>
  </si>
  <si>
    <t>Zamroni Putra</t>
  </si>
  <si>
    <t>Muhammad Mugni</t>
  </si>
  <si>
    <t>520101 0503085801</t>
  </si>
  <si>
    <t>520101 1209820001</t>
  </si>
  <si>
    <t>520101 47704840001</t>
  </si>
  <si>
    <t>520101 0806080003</t>
  </si>
  <si>
    <t>MENANG</t>
  </si>
  <si>
    <t>520101 0807100036</t>
  </si>
  <si>
    <t>520101 0106000001</t>
  </si>
  <si>
    <t>520101 2608150007</t>
  </si>
  <si>
    <t>520101 6601131001</t>
  </si>
  <si>
    <t>520101 7012951001</t>
  </si>
  <si>
    <t>520101 0503085301</t>
  </si>
  <si>
    <t>Harmuniati</t>
  </si>
  <si>
    <t>520101 4107770541</t>
  </si>
  <si>
    <t>520101 0107730238</t>
  </si>
  <si>
    <t>TELOTOK</t>
  </si>
  <si>
    <t>520101 0607180005</t>
  </si>
  <si>
    <t>Johari</t>
  </si>
  <si>
    <t>Hajjah Maesarah</t>
  </si>
  <si>
    <t>520101 3112770113</t>
  </si>
  <si>
    <t>520102 26008790002</t>
  </si>
  <si>
    <t>KEDIRI</t>
  </si>
  <si>
    <t>520101 2811180009</t>
  </si>
  <si>
    <t>Saedun</t>
  </si>
  <si>
    <t>520101 2410880001</t>
  </si>
  <si>
    <t>520101 0503086218</t>
  </si>
  <si>
    <t>Amizar Jiddan</t>
  </si>
  <si>
    <t>520101 2812170001</t>
  </si>
  <si>
    <t>520101 0808140005</t>
  </si>
  <si>
    <t>Siti Ropika</t>
  </si>
  <si>
    <t>520101 1412170009</t>
  </si>
  <si>
    <t>Nuribah</t>
  </si>
  <si>
    <t>Abdul Haeri</t>
  </si>
  <si>
    <t>520101 4107500045</t>
  </si>
  <si>
    <t>520101 0101921001</t>
  </si>
  <si>
    <t>520101 0107620076</t>
  </si>
  <si>
    <t>520101 1303730001</t>
  </si>
  <si>
    <t>520101 6009760001</t>
  </si>
  <si>
    <t>520101 0503085317</t>
  </si>
  <si>
    <t>520101 1002150037</t>
  </si>
  <si>
    <t>520101 2507900101</t>
  </si>
  <si>
    <t>520102 7112900230</t>
  </si>
  <si>
    <t>520101 0610150001</t>
  </si>
  <si>
    <t>BANYUMULEK</t>
  </si>
  <si>
    <t>buruh</t>
  </si>
  <si>
    <t>Muhammad Furqon</t>
  </si>
  <si>
    <t>520101 1209120017</t>
  </si>
  <si>
    <t>M. Fahlan</t>
  </si>
  <si>
    <t>520101 3112500128</t>
  </si>
  <si>
    <t>520101 4107700231</t>
  </si>
  <si>
    <t>520101 2006120003</t>
  </si>
  <si>
    <t>520101 3102040002</t>
  </si>
  <si>
    <t>520101 0503084999</t>
  </si>
  <si>
    <t>M. Abu Riski</t>
  </si>
  <si>
    <t>520101 0104080001</t>
  </si>
  <si>
    <t>SUMBAWA</t>
  </si>
  <si>
    <t>520101 0503085412</t>
  </si>
  <si>
    <t>H Turmuzi</t>
  </si>
  <si>
    <t>Hj. Kurniati</t>
  </si>
  <si>
    <t>Osil Farais</t>
  </si>
  <si>
    <t>520101 0112700007</t>
  </si>
  <si>
    <t>520101 4112710001</t>
  </si>
  <si>
    <t>520101 4112990001</t>
  </si>
  <si>
    <t>520101 0101150008</t>
  </si>
  <si>
    <t>AKADEMI/DIPLOMA II/SARJANA MUDA</t>
  </si>
  <si>
    <t>Karyawan Honorer</t>
  </si>
  <si>
    <t>Ibe</t>
  </si>
  <si>
    <t>520101 7112280002</t>
  </si>
  <si>
    <t>520101 1912180010</t>
  </si>
  <si>
    <t>520101 1702150002</t>
  </si>
  <si>
    <t>Nursidin</t>
  </si>
  <si>
    <t>Khalimatussadiah</t>
  </si>
  <si>
    <t>M. Riyan</t>
  </si>
  <si>
    <t>520101 3112800348</t>
  </si>
  <si>
    <t>520101 7112800031</t>
  </si>
  <si>
    <t>520101 5507020004</t>
  </si>
  <si>
    <t>520101 0503085124</t>
  </si>
  <si>
    <t>KARANG MIDANG</t>
  </si>
  <si>
    <t>520101 1012140017</t>
  </si>
  <si>
    <t>Khairul Syifa</t>
  </si>
  <si>
    <t>520102 7101840005</t>
  </si>
  <si>
    <t>520101 6807150002</t>
  </si>
  <si>
    <t>520101 0503085347</t>
  </si>
  <si>
    <t>520101 1309110037</t>
  </si>
  <si>
    <t>520101 0107810028</t>
  </si>
  <si>
    <t>DASAN BARU</t>
  </si>
  <si>
    <t>Eli Hilmawati</t>
  </si>
  <si>
    <t>Haji Muslim</t>
  </si>
  <si>
    <t>520101 0503084919</t>
  </si>
  <si>
    <t>520101 2105120018</t>
  </si>
  <si>
    <t>Miftahhurrizkina Auliya</t>
  </si>
  <si>
    <t>Fathina Halwatuzzahra</t>
  </si>
  <si>
    <t>520101 5910180001</t>
  </si>
  <si>
    <t>MEMUNGGU</t>
  </si>
  <si>
    <t>520101 0503084910</t>
  </si>
  <si>
    <t>Ya'kup</t>
  </si>
  <si>
    <t>520101 0107720199</t>
  </si>
  <si>
    <t>520101 4107750140</t>
  </si>
  <si>
    <t>520101 1011940001</t>
  </si>
  <si>
    <t>520101 4107100015</t>
  </si>
  <si>
    <t>Muna'ah</t>
  </si>
  <si>
    <t>Muhamat Imam Romail</t>
  </si>
  <si>
    <t>Elisa Aulia</t>
  </si>
  <si>
    <t>520101 0112890009</t>
  </si>
  <si>
    <t>520101 2612971011</t>
  </si>
  <si>
    <t>520101 0503085563</t>
  </si>
  <si>
    <t>H. Muhajirin</t>
  </si>
  <si>
    <t>Habibullah</t>
  </si>
  <si>
    <t>520101 5509920001</t>
  </si>
  <si>
    <t>520101 5505050002</t>
  </si>
  <si>
    <t>520101 0503085397</t>
  </si>
  <si>
    <t>520101 0304130003</t>
  </si>
  <si>
    <t>Muhammad Khairun Nizam</t>
  </si>
  <si>
    <t>520101 3112830062</t>
  </si>
  <si>
    <t>520101 0503085549</t>
  </si>
  <si>
    <t>520101 0107680074</t>
  </si>
  <si>
    <t>520101 4107730288</t>
  </si>
  <si>
    <t>520101 3103040002</t>
  </si>
  <si>
    <t>Tiwi Muliana</t>
  </si>
  <si>
    <t>Dea Sabrina</t>
  </si>
  <si>
    <t>520101 4107650359</t>
  </si>
  <si>
    <t>520101 4107900038</t>
  </si>
  <si>
    <t>520101 4107060200</t>
  </si>
  <si>
    <t>BEREMI</t>
  </si>
  <si>
    <t>520101 3001150000</t>
  </si>
  <si>
    <t>H. Muhammad Amin</t>
  </si>
  <si>
    <t>520101 3112760020</t>
  </si>
  <si>
    <t>Kawin Belum Tercatat</t>
  </si>
  <si>
    <t>520101 1309160002</t>
  </si>
  <si>
    <t>Jusminah</t>
  </si>
  <si>
    <t>Muhamad Ahkam</t>
  </si>
  <si>
    <t>520101 1305880003</t>
  </si>
  <si>
    <t>520425 6107840001</t>
  </si>
  <si>
    <t>520101 3110160002</t>
  </si>
  <si>
    <t>AI PAYA</t>
  </si>
  <si>
    <t>520101 0503085375</t>
  </si>
  <si>
    <t>520101 3112500016</t>
  </si>
  <si>
    <t>520101 4112680001</t>
  </si>
  <si>
    <t>520101 0104900002</t>
  </si>
  <si>
    <t>520101 0201120045</t>
  </si>
  <si>
    <t>Kamariah S.Pd.</t>
  </si>
  <si>
    <t>Mashir S.Si.</t>
  </si>
  <si>
    <t>Fathir Rijalul Khafifi</t>
  </si>
  <si>
    <t>M. Aqil Ulul Azmi</t>
  </si>
  <si>
    <t>Hana Nurul Fauziah</t>
  </si>
  <si>
    <t>520101 6702160002</t>
  </si>
  <si>
    <t>520101 1912100003</t>
  </si>
  <si>
    <t>520101 3112810095</t>
  </si>
  <si>
    <t>520101 7112850183</t>
  </si>
  <si>
    <t>520101 2910060003</t>
  </si>
  <si>
    <t>DIPLOMA IV/STRATA I</t>
  </si>
  <si>
    <t>Guru</t>
  </si>
  <si>
    <t>520101 0503084929</t>
  </si>
  <si>
    <t>Haji Mahdin</t>
  </si>
  <si>
    <t>HJ. Sahinip</t>
  </si>
  <si>
    <t>Didi Darmadi</t>
  </si>
  <si>
    <t>520101 1611090018</t>
  </si>
  <si>
    <t>520101 4107720493</t>
  </si>
  <si>
    <t>520101 1701950002</t>
  </si>
  <si>
    <t>520101 2405130018</t>
  </si>
  <si>
    <t>Siti Ulmaoza</t>
  </si>
  <si>
    <t>M. Reza</t>
  </si>
  <si>
    <t>520101 0503085113</t>
  </si>
  <si>
    <t>520101 1903141011</t>
  </si>
  <si>
    <t>Sapi'in</t>
  </si>
  <si>
    <t>520101 01040410001</t>
  </si>
  <si>
    <t>520101 3112961009</t>
  </si>
  <si>
    <t>520101 0503084940</t>
  </si>
  <si>
    <t>Rianah</t>
  </si>
  <si>
    <t>520101 0107400100</t>
  </si>
  <si>
    <t>520101 0503085166</t>
  </si>
  <si>
    <t>Rusdin</t>
  </si>
  <si>
    <t>Afrilia</t>
  </si>
  <si>
    <t>M. Zaenal Abidin Maftuh</t>
  </si>
  <si>
    <t>Muhamad Failu</t>
  </si>
  <si>
    <t>520101 0107600036</t>
  </si>
  <si>
    <t>520101 4112700001</t>
  </si>
  <si>
    <t>520101 6404030001</t>
  </si>
  <si>
    <t>520101 1310090002</t>
  </si>
  <si>
    <t>520101 4303150002</t>
  </si>
  <si>
    <t>520101 2606180001</t>
  </si>
  <si>
    <t>520101 2604110034</t>
  </si>
  <si>
    <t>520101 0503084945</t>
  </si>
  <si>
    <t>520101 6202001002</t>
  </si>
  <si>
    <t>520101 0503085588</t>
  </si>
  <si>
    <t>520101 1901040002</t>
  </si>
  <si>
    <t>520101 3011090023</t>
  </si>
  <si>
    <t>Haji Muhaimin</t>
  </si>
  <si>
    <t>Masni Muhiddah</t>
  </si>
  <si>
    <t>Azhar Muddin</t>
  </si>
  <si>
    <t>520101 0203750001</t>
  </si>
  <si>
    <t>520101 4603790001</t>
  </si>
  <si>
    <t>520101 6608940001</t>
  </si>
  <si>
    <t>520101 6003020001</t>
  </si>
  <si>
    <t>520101 2005020001</t>
  </si>
  <si>
    <t>520101 0404120010</t>
  </si>
  <si>
    <t>520101 2105150015</t>
  </si>
  <si>
    <t>Ruka'yah</t>
  </si>
  <si>
    <t>520101 6710020001</t>
  </si>
  <si>
    <t>520101 2608131004</t>
  </si>
  <si>
    <t>Jumedah</t>
  </si>
  <si>
    <t>520101 0303781001</t>
  </si>
  <si>
    <t>520101 5203841001</t>
  </si>
  <si>
    <t>520101 4107081001</t>
  </si>
  <si>
    <t>520101 0503085003</t>
  </si>
  <si>
    <t>Ramli</t>
  </si>
  <si>
    <t>Muhamad Damil Musabbili</t>
  </si>
  <si>
    <t>Muhamad Ali Adwan</t>
  </si>
  <si>
    <t>520101 0107860193</t>
  </si>
  <si>
    <t>SELODONG</t>
  </si>
  <si>
    <t>520101 0503085705</t>
  </si>
  <si>
    <t>M. Deni Samsul Hakim</t>
  </si>
  <si>
    <t>520101 0107650054</t>
  </si>
  <si>
    <t>520101 1212050002</t>
  </si>
  <si>
    <t>520101 0503085386</t>
  </si>
  <si>
    <t>520101 1511160028</t>
  </si>
  <si>
    <t>I. Nurilah</t>
  </si>
  <si>
    <t>520101 0503085539</t>
  </si>
  <si>
    <t>520101 4704000003</t>
  </si>
  <si>
    <t>520101 0506130006</t>
  </si>
  <si>
    <t>Haji Bahrul Ulum Ahmad</t>
  </si>
  <si>
    <t>Yanuarizki Wofi Amalia</t>
  </si>
  <si>
    <t>Hatim Bahrul Ulum</t>
  </si>
  <si>
    <t>520101 2306820002</t>
  </si>
  <si>
    <t>520101 4901910002</t>
  </si>
  <si>
    <t>520101 0909110003</t>
  </si>
  <si>
    <t>520101 0509120005</t>
  </si>
  <si>
    <t>JEMBER</t>
  </si>
  <si>
    <t>520101 1911120005</t>
  </si>
  <si>
    <t>Muhrisin</t>
  </si>
  <si>
    <t>Nabila Zahra</t>
  </si>
  <si>
    <t>520101 5011040003</t>
  </si>
  <si>
    <t>BONTAGE</t>
  </si>
  <si>
    <t>520101 1605140008</t>
  </si>
  <si>
    <t>Fadlah</t>
  </si>
  <si>
    <t>Abdul Rasyid</t>
  </si>
  <si>
    <t>520101 1811160017</t>
  </si>
  <si>
    <t>Sakrah</t>
  </si>
  <si>
    <t>520101 4107540079</t>
  </si>
  <si>
    <t>520101 1209120010</t>
  </si>
  <si>
    <t>Hulaifi S.H.</t>
  </si>
  <si>
    <t>Ema Nuryeni</t>
  </si>
  <si>
    <t>Haifa Hessa Julia Nida</t>
  </si>
  <si>
    <t>Hayatul Husna Alfathunnisa</t>
  </si>
  <si>
    <t>520101 3112840191</t>
  </si>
  <si>
    <t>520101 4610880002</t>
  </si>
  <si>
    <t>520101 4907110002</t>
  </si>
  <si>
    <t>520101 4907160001</t>
  </si>
  <si>
    <t>SUKABUMI</t>
  </si>
  <si>
    <t>MATARAM</t>
  </si>
  <si>
    <t>LOMBOK BARAT</t>
  </si>
  <si>
    <t>Karyawan Swasta</t>
  </si>
  <si>
    <t>Pegawai Negeri Sipil</t>
  </si>
  <si>
    <t>520101 0602141008</t>
  </si>
  <si>
    <t>Bai'ah</t>
  </si>
  <si>
    <t>Adiva Khanza Oktamara</t>
  </si>
  <si>
    <t>520101 0503084854</t>
  </si>
  <si>
    <t>Riska Januarti</t>
  </si>
  <si>
    <t>520101 0209080002</t>
  </si>
  <si>
    <t>Haerun Nisa Agustina</t>
  </si>
  <si>
    <t>520101 0708960003</t>
  </si>
  <si>
    <t>520101 0503085012</t>
  </si>
  <si>
    <t>Mis'ah</t>
  </si>
  <si>
    <t>520101 4512110005</t>
  </si>
  <si>
    <t>520101 7112700100</t>
  </si>
  <si>
    <t>520101 0107700301</t>
  </si>
  <si>
    <t>520101 0712090036</t>
  </si>
  <si>
    <t>Rabi'ah</t>
  </si>
  <si>
    <t>520101 0503085452</t>
  </si>
  <si>
    <t>Arbain</t>
  </si>
  <si>
    <t>Siti Sulaeha</t>
  </si>
  <si>
    <t>Syamimi Padila</t>
  </si>
  <si>
    <t>520101 0503084920</t>
  </si>
  <si>
    <t>Kepik</t>
  </si>
  <si>
    <t>Ameneh</t>
  </si>
  <si>
    <t>MENANG TIMUR</t>
  </si>
  <si>
    <t>520101 1508160000</t>
  </si>
  <si>
    <t>M. Saleh</t>
  </si>
  <si>
    <t>Maya Aprilia</t>
  </si>
  <si>
    <t>Murihatun Hasanah</t>
  </si>
  <si>
    <t>Lulu Ulmaknun</t>
  </si>
  <si>
    <t>520101 3112767020</t>
  </si>
  <si>
    <t>520101 4107780038</t>
  </si>
  <si>
    <t>Muhammad</t>
  </si>
  <si>
    <t>Nurhikmah</t>
  </si>
  <si>
    <t>520108 4101840003</t>
  </si>
  <si>
    <t>DATAR</t>
  </si>
  <si>
    <t>Saminah</t>
  </si>
  <si>
    <t>Hanafi</t>
  </si>
  <si>
    <t>Roni Awan</t>
  </si>
  <si>
    <t>520101 0107630100</t>
  </si>
  <si>
    <t>520101 5109961001</t>
  </si>
  <si>
    <t>520101 2612120004</t>
  </si>
  <si>
    <t>Petani/Pekebun</t>
  </si>
  <si>
    <t>520101 4607800002</t>
  </si>
  <si>
    <t>Senayan</t>
  </si>
  <si>
    <t>Gerung</t>
  </si>
  <si>
    <t>Belum/Tidak Bekerja</t>
  </si>
  <si>
    <t>520101 2511090012</t>
  </si>
  <si>
    <t>520101 3112550033</t>
  </si>
  <si>
    <t>Pelajar/Mahasiswa</t>
  </si>
  <si>
    <t>Quratun aini</t>
  </si>
  <si>
    <t>520101 1503110010</t>
  </si>
  <si>
    <t>H. Hasbi</t>
  </si>
  <si>
    <t>520101 4107900664</t>
  </si>
  <si>
    <t>Muhammad Asrol</t>
  </si>
  <si>
    <t>Moh. Goni</t>
  </si>
  <si>
    <t>520101 0503084732</t>
  </si>
  <si>
    <t>520101 2301150015</t>
  </si>
  <si>
    <t>Muzaki</t>
  </si>
  <si>
    <t>Gapuk</t>
  </si>
  <si>
    <t>Mengurus Rumah Tanggs</t>
  </si>
  <si>
    <t>Miftahul Azkia</t>
  </si>
  <si>
    <t>520101 4505150002</t>
  </si>
  <si>
    <t>520101 0503084813</t>
  </si>
  <si>
    <t>520101 1212120011</t>
  </si>
  <si>
    <t>Mahuni</t>
  </si>
  <si>
    <t>Silvi Cahaya Wahyuningsih</t>
  </si>
  <si>
    <t>Belum/Tidak bekeja</t>
  </si>
  <si>
    <t>TiDAK/BELUM SEKOLAH</t>
  </si>
  <si>
    <t>Muhammad Thohir</t>
  </si>
  <si>
    <t>520101 1106120015</t>
  </si>
  <si>
    <t>520101 3112550106</t>
  </si>
  <si>
    <t>Pajri</t>
  </si>
  <si>
    <t>520101 7112580064</t>
  </si>
  <si>
    <t>520101 0503085856</t>
  </si>
  <si>
    <t>520101 2210790001</t>
  </si>
  <si>
    <t>520101 4505110004</t>
  </si>
  <si>
    <t>520101 0503084891</t>
  </si>
  <si>
    <t>520101 5702950001</t>
  </si>
  <si>
    <t>520101 0212100010</t>
  </si>
  <si>
    <t>Raonah</t>
  </si>
  <si>
    <t>M. Zaen Al fahmi</t>
  </si>
  <si>
    <t>520101 0503084900</t>
  </si>
  <si>
    <t>520101 7112700130</t>
  </si>
  <si>
    <t>520101 2502141008</t>
  </si>
  <si>
    <t>M. Hardanil</t>
  </si>
  <si>
    <t>Zilla An'naufani</t>
  </si>
  <si>
    <t>Kebon Jurang</t>
  </si>
  <si>
    <t>520101 0710090007</t>
  </si>
  <si>
    <t>520101  2405130020</t>
  </si>
  <si>
    <t>520101 4107860098</t>
  </si>
  <si>
    <t xml:space="preserve">Suci Wulandari </t>
  </si>
  <si>
    <t xml:space="preserve"> 520101 7010170001</t>
  </si>
  <si>
    <t>520101 2509140013</t>
  </si>
  <si>
    <t>Ahmad Fauzan</t>
  </si>
  <si>
    <t>Siti Fatimatun Zah'rah</t>
  </si>
  <si>
    <t>Beloro</t>
  </si>
  <si>
    <t>520101 0503084714</t>
  </si>
  <si>
    <t>Buruh Tani/Perkebunan</t>
  </si>
  <si>
    <t>520101 3110120086</t>
  </si>
  <si>
    <t>520101 7112730005</t>
  </si>
  <si>
    <t>520101 3112930001</t>
  </si>
  <si>
    <t>520101 4511940002</t>
  </si>
  <si>
    <t xml:space="preserve"> </t>
  </si>
  <si>
    <t>520101 2210140009</t>
  </si>
  <si>
    <t>Pesanggrahan</t>
  </si>
  <si>
    <t>Aziza anggraini syafitri</t>
  </si>
  <si>
    <t>520101 5007160003</t>
  </si>
  <si>
    <t>520101 0601100013</t>
  </si>
  <si>
    <t xml:space="preserve">Jonggat </t>
  </si>
  <si>
    <t>Evalia</t>
  </si>
  <si>
    <t>Siti Rosmida</t>
  </si>
  <si>
    <t>520101 0503088160</t>
  </si>
  <si>
    <t>Mida'ah</t>
  </si>
  <si>
    <t>Hijriah</t>
  </si>
  <si>
    <t>520101 1702150007</t>
  </si>
  <si>
    <t>Famili lain</t>
  </si>
  <si>
    <t>520101 0503086001</t>
  </si>
  <si>
    <t>520101 4107600451</t>
  </si>
  <si>
    <t>Ramdan</t>
  </si>
  <si>
    <t>520101 311850098</t>
  </si>
  <si>
    <t>520101 0901150004</t>
  </si>
  <si>
    <t>Siti maryam</t>
  </si>
  <si>
    <t xml:space="preserve">Kerangkang </t>
  </si>
  <si>
    <t>520101 6601150004</t>
  </si>
  <si>
    <t>Belum/Tidak Bekeja</t>
  </si>
  <si>
    <t>520101 20031150008</t>
  </si>
  <si>
    <t>Lombok Barat</t>
  </si>
  <si>
    <t>Elda meza azura</t>
  </si>
  <si>
    <t>520101 6105150001</t>
  </si>
  <si>
    <t>520101 0503084950</t>
  </si>
  <si>
    <t>520101 4107650357</t>
  </si>
  <si>
    <t>520101 0503086040</t>
  </si>
  <si>
    <t>520101 0107500167</t>
  </si>
  <si>
    <t>Muhibbah</t>
  </si>
  <si>
    <t>520101 4107760052</t>
  </si>
  <si>
    <t>Sapta Irawan Saputra</t>
  </si>
  <si>
    <t>520101 14506990002</t>
  </si>
  <si>
    <t>M. Faizal Fiqri</t>
  </si>
  <si>
    <t>520101 1206150003</t>
  </si>
  <si>
    <t>520101  1311131017</t>
  </si>
  <si>
    <t>M Dawaen</t>
  </si>
  <si>
    <t>520101 0503085847</t>
  </si>
  <si>
    <t>520101 2705111410</t>
  </si>
  <si>
    <t>Latifah</t>
  </si>
  <si>
    <t>Hesti Pebrianti</t>
  </si>
  <si>
    <t>520101 5602040009</t>
  </si>
  <si>
    <t>Aziratul Umaira</t>
  </si>
  <si>
    <t>520101 0503085209</t>
  </si>
  <si>
    <t>Munasip</t>
  </si>
  <si>
    <t>520101 0507630001</t>
  </si>
  <si>
    <t>520101 4107600071</t>
  </si>
  <si>
    <t>Alwi Dahlan</t>
  </si>
  <si>
    <t xml:space="preserve"> 520101 5011890001</t>
  </si>
  <si>
    <t>10 november 1989</t>
  </si>
  <si>
    <t>Saheron</t>
  </si>
  <si>
    <t>520101 5905920001</t>
  </si>
  <si>
    <t>520101 5809940001</t>
  </si>
  <si>
    <t>520101 0503085158</t>
  </si>
  <si>
    <t>16 Apil 1961</t>
  </si>
  <si>
    <t>520101 0503089335</t>
  </si>
  <si>
    <t>M Diky Saputra</t>
  </si>
  <si>
    <t>520101 0602150045</t>
  </si>
  <si>
    <t>Nurul Mawati</t>
  </si>
  <si>
    <t>Kuripan</t>
  </si>
  <si>
    <t>Adelia Widi Septiana</t>
  </si>
  <si>
    <t>520101 0503084964</t>
  </si>
  <si>
    <t>520101 1304770002</t>
  </si>
  <si>
    <t>Minaah</t>
  </si>
  <si>
    <t>520101 6101780001</t>
  </si>
  <si>
    <t xml:space="preserve">Siti Paharni </t>
  </si>
  <si>
    <t>520101 5011000001</t>
  </si>
  <si>
    <t>520101 0503085994</t>
  </si>
  <si>
    <t>H. Umar</t>
  </si>
  <si>
    <t>Juliah</t>
  </si>
  <si>
    <t>520101 2606180007</t>
  </si>
  <si>
    <t xml:space="preserve">Hj. Salwa </t>
  </si>
  <si>
    <t>520101 711680047</t>
  </si>
  <si>
    <t xml:space="preserve">Hj. Siti Juhani </t>
  </si>
  <si>
    <t>520101 7112801030</t>
  </si>
  <si>
    <t xml:space="preserve">Sahidin </t>
  </si>
  <si>
    <t>520101 3112940147</t>
  </si>
  <si>
    <t>Faisah</t>
  </si>
  <si>
    <t xml:space="preserve"> 520101 7112990085</t>
  </si>
  <si>
    <t>Muhammad Rizal</t>
  </si>
  <si>
    <t>520101 0804150004</t>
  </si>
  <si>
    <t>Suadi</t>
  </si>
  <si>
    <t>520101 1509900001</t>
  </si>
  <si>
    <t>Hanipah</t>
  </si>
  <si>
    <t>520102 4107850190</t>
  </si>
  <si>
    <t>Rumak</t>
  </si>
  <si>
    <t>Uratul Haspia</t>
  </si>
  <si>
    <t>520101 6102160005</t>
  </si>
  <si>
    <t>520803 2002150006</t>
  </si>
  <si>
    <t>Nursan</t>
  </si>
  <si>
    <t>520803 2110850001</t>
  </si>
  <si>
    <t>kawin</t>
  </si>
  <si>
    <t>Muhamad Zulkarnaen</t>
  </si>
  <si>
    <t>520803 0603150000</t>
  </si>
  <si>
    <t>Tanjung</t>
  </si>
  <si>
    <t>520101 0503084729</t>
  </si>
  <si>
    <t>Saimin</t>
  </si>
  <si>
    <t>520101 4107400094</t>
  </si>
  <si>
    <t>520101 0503084954</t>
  </si>
  <si>
    <t>Mahramah</t>
  </si>
  <si>
    <t>520101 0812170006</t>
  </si>
  <si>
    <t>Kawin tercatat</t>
  </si>
  <si>
    <t xml:space="preserve">Nuraini </t>
  </si>
  <si>
    <t>520101 6505980002</t>
  </si>
  <si>
    <t>Kaila Ardini</t>
  </si>
  <si>
    <t>520101 5607180001</t>
  </si>
  <si>
    <t>520101 7112610088</t>
  </si>
  <si>
    <t>Joni pranata</t>
  </si>
  <si>
    <t xml:space="preserve"> 520101 0107800269</t>
  </si>
  <si>
    <t xml:space="preserve">  520101 0509860002</t>
  </si>
  <si>
    <t>520101 0503085286</t>
  </si>
  <si>
    <t>520101 1211790002</t>
  </si>
  <si>
    <t>Suryani</t>
  </si>
  <si>
    <t>520101 1311830001</t>
  </si>
  <si>
    <t>TIDAK.BELUM SEKOLAH</t>
  </si>
  <si>
    <t>520101 5408040005</t>
  </si>
  <si>
    <t xml:space="preserve">  520101 1406170005</t>
  </si>
  <si>
    <t>Zulkarnaen, S.Pd.I</t>
  </si>
  <si>
    <t>520101 5005910001</t>
  </si>
  <si>
    <t>Siti Aminah, S.Pd.I</t>
  </si>
  <si>
    <t xml:space="preserve">  520207 4502920004</t>
  </si>
  <si>
    <t>Torekat</t>
  </si>
  <si>
    <t>Lu'luil Maknun</t>
  </si>
  <si>
    <t xml:space="preserve">  520101 5409170003</t>
  </si>
  <si>
    <t xml:space="preserve"> 520101 1809131010</t>
  </si>
  <si>
    <t>520101 5212880001</t>
  </si>
  <si>
    <t>AKADEMI/DIPLOMA III/SARJANA MUDA</t>
  </si>
  <si>
    <t>Muhammad Ihda Al-husnayaini</t>
  </si>
  <si>
    <t>520101 2912160001</t>
  </si>
  <si>
    <t>520101 1911090052</t>
  </si>
  <si>
    <t>Kebun Randu Mantang</t>
  </si>
  <si>
    <t>TIDAK TAMAT SD/SEDERAJAT</t>
  </si>
  <si>
    <t xml:space="preserve"> 520101 2507070002</t>
  </si>
  <si>
    <t xml:space="preserve"> 520101 3112790025</t>
  </si>
  <si>
    <t>Niswatul Hosiroh</t>
  </si>
  <si>
    <t xml:space="preserve"> 520101 7112790026</t>
  </si>
  <si>
    <t xml:space="preserve"> 520101 0503085249</t>
  </si>
  <si>
    <t>Majeni</t>
  </si>
  <si>
    <t>520101 1508930003</t>
  </si>
  <si>
    <t xml:space="preserve"> 520101 5302990010</t>
  </si>
  <si>
    <t xml:space="preserve"> 520101 2005150007</t>
  </si>
  <si>
    <t>520101 4612890002</t>
  </si>
  <si>
    <t>520115 6001920000</t>
  </si>
  <si>
    <t>0520101 1003150002</t>
  </si>
  <si>
    <t xml:space="preserve"> 520101 2411090052</t>
  </si>
  <si>
    <t>520101 050308575</t>
  </si>
  <si>
    <t>520101 0112700005</t>
  </si>
  <si>
    <t>Sanisah Kende</t>
  </si>
  <si>
    <t>520101 7112780318</t>
  </si>
  <si>
    <t>520101 3112890015</t>
  </si>
  <si>
    <t xml:space="preserve"> 520101 1507990003</t>
  </si>
  <si>
    <t>Warid Al Junaid</t>
  </si>
  <si>
    <t xml:space="preserve"> 520101 0707080001</t>
  </si>
  <si>
    <t>520101 0903120006</t>
  </si>
  <si>
    <t>520101 0412070018</t>
  </si>
  <si>
    <t>520101 7112750024</t>
  </si>
  <si>
    <t>520101 1909120020</t>
  </si>
  <si>
    <t>520101 0806780005</t>
  </si>
  <si>
    <t>Reyan</t>
  </si>
  <si>
    <t>Hulmawati</t>
  </si>
  <si>
    <t>520101 5008000005</t>
  </si>
  <si>
    <t>M.Khairul Fikri</t>
  </si>
  <si>
    <t>520101 0503084770</t>
  </si>
  <si>
    <t>Hajir</t>
  </si>
  <si>
    <t>520101 0107780086</t>
  </si>
  <si>
    <t>520101 4107820067</t>
  </si>
  <si>
    <t>Haekal Fikri</t>
  </si>
  <si>
    <t>520101 1703001001</t>
  </si>
  <si>
    <t>Hairil Hisbul Waton</t>
  </si>
  <si>
    <t>520101 1303150001</t>
  </si>
  <si>
    <t>Haji Qodirun</t>
  </si>
  <si>
    <t>520101 0107201001</t>
  </si>
  <si>
    <t>520101 1209120018</t>
  </si>
  <si>
    <t>520101 3112700297</t>
  </si>
  <si>
    <t>520101 7112780190</t>
  </si>
  <si>
    <t>520101 4407970002</t>
  </si>
  <si>
    <t>520101 2209120089</t>
  </si>
  <si>
    <t>520101 7112820198</t>
  </si>
  <si>
    <t>520101 0703110006</t>
  </si>
  <si>
    <t>Siti Ramlah</t>
  </si>
  <si>
    <t>Rohainatul Aini</t>
  </si>
  <si>
    <t>Nurlaela</t>
  </si>
  <si>
    <t>520101 1203150003</t>
  </si>
  <si>
    <t>Muhamad Man'haj</t>
  </si>
  <si>
    <t xml:space="preserve"> 520101 2109150001</t>
  </si>
  <si>
    <t>520101 0503084796</t>
  </si>
  <si>
    <t>Pohdana</t>
  </si>
  <si>
    <t>520101 3004120015</t>
  </si>
  <si>
    <t>520101 0309820001</t>
  </si>
  <si>
    <t xml:space="preserve"> 520101 5003890003</t>
  </si>
  <si>
    <t xml:space="preserve"> 520101 6104130001</t>
  </si>
  <si>
    <t>Tidak/Belum Bekerja</t>
  </si>
  <si>
    <t>520101 0503084793</t>
  </si>
  <si>
    <t>H. Munawir</t>
  </si>
  <si>
    <t>520101 1708770003</t>
  </si>
  <si>
    <t>Jami'ah</t>
  </si>
  <si>
    <t>Azhar Pirdaus</t>
  </si>
  <si>
    <t>520101 0410970001</t>
  </si>
  <si>
    <t>Alfin Royan</t>
  </si>
  <si>
    <t>520101 080080002</t>
  </si>
  <si>
    <t>Naylatul Has'na</t>
  </si>
  <si>
    <t xml:space="preserve"> 520101 4208130002</t>
  </si>
  <si>
    <t>520101 2803141008</t>
  </si>
  <si>
    <t>520101 7112801055</t>
  </si>
  <si>
    <t>520101 0603089759</t>
  </si>
  <si>
    <t>520101 0703110007</t>
  </si>
  <si>
    <t>520101 1210150006</t>
  </si>
  <si>
    <t>Dani Topan</t>
  </si>
  <si>
    <t xml:space="preserve"> 520101 4107990269</t>
  </si>
  <si>
    <t xml:space="preserve"> 520101 1409140002</t>
  </si>
  <si>
    <t xml:space="preserve"> 520101 1804070008</t>
  </si>
  <si>
    <t>520101 3112560001</t>
  </si>
  <si>
    <t>520101 7112850042</t>
  </si>
  <si>
    <t xml:space="preserve"> 520101 3112860046</t>
  </si>
  <si>
    <t>520101 0503085859</t>
  </si>
  <si>
    <t xml:space="preserve">  520101 0503084806</t>
  </si>
  <si>
    <t xml:space="preserve">  520101 5608860001</t>
  </si>
  <si>
    <t>Muhamad Solihin</t>
  </si>
  <si>
    <t xml:space="preserve">  520101 28040710001</t>
  </si>
  <si>
    <t>520101 0503085904</t>
  </si>
  <si>
    <t>520101 4809890002</t>
  </si>
  <si>
    <t>520101 2711120003</t>
  </si>
  <si>
    <t>520101 3112700386</t>
  </si>
  <si>
    <t>520101 4102760009</t>
  </si>
  <si>
    <t>520101 1202090002</t>
  </si>
  <si>
    <t>Maesaratul Aini</t>
  </si>
  <si>
    <t>520101 5611060005</t>
  </si>
  <si>
    <t>520101 2003120013</t>
  </si>
  <si>
    <t>520101 1011680002</t>
  </si>
  <si>
    <t>520101 7112700191</t>
  </si>
  <si>
    <t>520101 1001840003</t>
  </si>
  <si>
    <t>aik Ampat</t>
  </si>
  <si>
    <t>520101 2511090037</t>
  </si>
  <si>
    <t>Haji Suherlan</t>
  </si>
  <si>
    <t>520101 1504660001</t>
  </si>
  <si>
    <t>Siti Patimah</t>
  </si>
  <si>
    <t>520101 4201700001</t>
  </si>
  <si>
    <t>Tukang Jahit</t>
  </si>
  <si>
    <t>Dedikusuma</t>
  </si>
  <si>
    <t>520101 5301810001</t>
  </si>
  <si>
    <t>520101 4407010001</t>
  </si>
  <si>
    <t>520101 0312150019</t>
  </si>
  <si>
    <t>520101 6007820001</t>
  </si>
  <si>
    <t>520101 4107940174</t>
  </si>
  <si>
    <t>Qonita Rahayu</t>
  </si>
  <si>
    <t>520101 4203160002</t>
  </si>
  <si>
    <t>520101 0503085933</t>
  </si>
  <si>
    <t>Munirah</t>
  </si>
  <si>
    <t>Rakmah</t>
  </si>
  <si>
    <t>520101 050384810</t>
  </si>
  <si>
    <t>520101 0804150001</t>
  </si>
  <si>
    <t>520101 2112110003</t>
  </si>
  <si>
    <t>Muhammad Suhakki</t>
  </si>
  <si>
    <t>520101 0106160016</t>
  </si>
  <si>
    <t xml:space="preserve">Herman </t>
  </si>
  <si>
    <t>527101 0107850008</t>
  </si>
  <si>
    <t>Kebon Talo Jaya</t>
  </si>
  <si>
    <t>Transportasi</t>
  </si>
  <si>
    <t>Raehun</t>
  </si>
  <si>
    <t>520101 1310800001</t>
  </si>
  <si>
    <t>Yazid Isa Mahendra</t>
  </si>
  <si>
    <t>520101 1109010004</t>
  </si>
  <si>
    <t>Aqila Najmul Hayah</t>
  </si>
  <si>
    <t xml:space="preserve"> 520101 6405160002</t>
  </si>
  <si>
    <t>520101 1808090007</t>
  </si>
  <si>
    <t>H.Mashur</t>
  </si>
  <si>
    <t>520101 1412610001</t>
  </si>
  <si>
    <t>Hj. Hadijah</t>
  </si>
  <si>
    <t xml:space="preserve"> 520101 6011620001</t>
  </si>
  <si>
    <t>Taharudin</t>
  </si>
  <si>
    <t xml:space="preserve"> 520101 3112840009</t>
  </si>
  <si>
    <t>Huriah</t>
  </si>
  <si>
    <t xml:space="preserve"> 520101 4404890001</t>
  </si>
  <si>
    <t>520101 10503085637</t>
  </si>
  <si>
    <t xml:space="preserve"> 520101 4107780377</t>
  </si>
  <si>
    <t>M. Asril Mahendra</t>
  </si>
  <si>
    <t xml:space="preserve"> 520101 004030002</t>
  </si>
  <si>
    <t>Siti Al Pina</t>
  </si>
  <si>
    <t xml:space="preserve"> 520101 4910131001</t>
  </si>
  <si>
    <t>520101 0706170008</t>
  </si>
  <si>
    <t>520101 0301910001</t>
  </si>
  <si>
    <t>Nur Aisyah</t>
  </si>
  <si>
    <t>520109 4106960006</t>
  </si>
  <si>
    <t>Penimbung</t>
  </si>
  <si>
    <t>Aqila Habisya Septin</t>
  </si>
  <si>
    <t xml:space="preserve"> 520101 5409170004</t>
  </si>
  <si>
    <t>520101 2810160011</t>
  </si>
  <si>
    <t xml:space="preserve"> 520101 0311160009</t>
  </si>
  <si>
    <t>Masiah</t>
  </si>
  <si>
    <t xml:space="preserve"> 520101 4403490001</t>
  </si>
  <si>
    <t>520101 0503085289</t>
  </si>
  <si>
    <t>H. Murad Tamimi</t>
  </si>
  <si>
    <t>520101 0112500001</t>
  </si>
  <si>
    <t xml:space="preserve"> 520101 1504130004</t>
  </si>
  <si>
    <t>H. Sahwin</t>
  </si>
  <si>
    <t xml:space="preserve"> 520101 1509780001</t>
  </si>
  <si>
    <t>Tukang Batu</t>
  </si>
  <si>
    <t>520101 4107770250</t>
  </si>
  <si>
    <t>Lintak Buwur</t>
  </si>
  <si>
    <t>Budi Kusuma Wardani</t>
  </si>
  <si>
    <t>520101 0107040175</t>
  </si>
  <si>
    <t xml:space="preserve"> 520101 3010180015</t>
  </si>
  <si>
    <t xml:space="preserve"> 520101 0107850062</t>
  </si>
  <si>
    <t>Sahram</t>
  </si>
  <si>
    <t xml:space="preserve">  520101 4107850019</t>
  </si>
  <si>
    <t>Cemare Karang Tengak</t>
  </si>
  <si>
    <t>520101 2001100008</t>
  </si>
  <si>
    <t>Ancah</t>
  </si>
  <si>
    <t>520101 3112400005</t>
  </si>
  <si>
    <t xml:space="preserve"> 520101 7112430003</t>
  </si>
  <si>
    <t xml:space="preserve"> 520101 3112800045</t>
  </si>
  <si>
    <t>Sahnun</t>
  </si>
  <si>
    <t xml:space="preserve">  520101 7112840039</t>
  </si>
  <si>
    <t xml:space="preserve"> 520101 71128600025</t>
  </si>
  <si>
    <t xml:space="preserve"> 520101 3112880024</t>
  </si>
  <si>
    <t>520101 1011910003</t>
  </si>
  <si>
    <t>Haji Nasip</t>
  </si>
  <si>
    <t>520101 4105110004</t>
  </si>
  <si>
    <t>Muhammad Khalik</t>
  </si>
  <si>
    <t>520101 1711150013</t>
  </si>
  <si>
    <t>520101 2912211068</t>
  </si>
  <si>
    <t>520101 0503084720</t>
  </si>
  <si>
    <t>Kebon Talo</t>
  </si>
  <si>
    <t>Nasir</t>
  </si>
  <si>
    <t>Haji Saprah</t>
  </si>
  <si>
    <t>Prendi Kuswara</t>
  </si>
  <si>
    <t>Ainil Yumna</t>
  </si>
  <si>
    <t>520101 0503089160</t>
  </si>
  <si>
    <t>Samnah</t>
  </si>
  <si>
    <t>Novianti</t>
  </si>
  <si>
    <t>Jeny Hardianto</t>
  </si>
  <si>
    <t>520101 1712791001</t>
  </si>
  <si>
    <t xml:space="preserve"> 520101 4812800003</t>
  </si>
  <si>
    <t xml:space="preserve"> 520101 5111981001</t>
  </si>
  <si>
    <t xml:space="preserve">  520101 0505070001</t>
  </si>
  <si>
    <t>520101 1804160008</t>
  </si>
  <si>
    <t>Sapardi</t>
  </si>
  <si>
    <t>Elsa Royanti</t>
  </si>
  <si>
    <t>Rizqi Hamzan</t>
  </si>
  <si>
    <t xml:space="preserve"> 520101 4805900001</t>
  </si>
  <si>
    <t xml:space="preserve"> 520102 5210950003</t>
  </si>
  <si>
    <t>520101 1611160001</t>
  </si>
  <si>
    <t>Montong Are Timur</t>
  </si>
  <si>
    <t>520101 0805150001</t>
  </si>
  <si>
    <t>Ulfiana Novita Dewi</t>
  </si>
  <si>
    <t>520101 5911120004</t>
  </si>
  <si>
    <t xml:space="preserve"> 520101 3112850070</t>
  </si>
  <si>
    <t xml:space="preserve"> 520102 5011910102</t>
  </si>
  <si>
    <t>520101 1209170011</t>
  </si>
  <si>
    <t>Huriiah</t>
  </si>
  <si>
    <t>M. Tahwir Jan'nua</t>
  </si>
  <si>
    <t>520101 3112870110</t>
  </si>
  <si>
    <t>520101 5409880001</t>
  </si>
  <si>
    <t>520101 0504130004</t>
  </si>
  <si>
    <t>Sengkol</t>
  </si>
  <si>
    <t>Murisin</t>
  </si>
  <si>
    <t>520101 0503084882</t>
  </si>
  <si>
    <t>520101 6110091001</t>
  </si>
  <si>
    <t xml:space="preserve">Belum / Tidak Bekerja </t>
  </si>
  <si>
    <t>520101 0503085172</t>
  </si>
  <si>
    <t>Hirman</t>
  </si>
  <si>
    <t>Salman Tahir S.T.</t>
  </si>
  <si>
    <t>Pemangket</t>
  </si>
  <si>
    <t>Nurul Sa'adatul Ummah</t>
  </si>
  <si>
    <t>520101 6912150001</t>
  </si>
  <si>
    <t>Muhamad Romi</t>
  </si>
  <si>
    <t>520101 0507880004</t>
  </si>
  <si>
    <t>520101 0107250008</t>
  </si>
  <si>
    <t>Barak Bokong</t>
  </si>
  <si>
    <t>Khaerunnisa</t>
  </si>
  <si>
    <t>520101 0107140007</t>
  </si>
  <si>
    <t>520101 2603740001</t>
  </si>
  <si>
    <t>SESAIT</t>
  </si>
  <si>
    <t>Suryati</t>
  </si>
  <si>
    <t>Siti Mulhimah</t>
  </si>
  <si>
    <t>520101 0503085119</t>
  </si>
  <si>
    <t>Hendra Muslim</t>
  </si>
  <si>
    <t>Yanti Hermayati</t>
  </si>
  <si>
    <t>Safira</t>
  </si>
  <si>
    <t>Muhamad Wildan</t>
  </si>
  <si>
    <t>Muhamad Taufiqurrahman</t>
  </si>
  <si>
    <t>520803 1508010003</t>
  </si>
  <si>
    <t>520101 4506030001</t>
  </si>
  <si>
    <t>520101 5803070002</t>
  </si>
  <si>
    <t>520101 0207070001</t>
  </si>
  <si>
    <t>520101 0407180004</t>
  </si>
  <si>
    <t>Boyotan Proyek</t>
  </si>
  <si>
    <t>Mataram</t>
  </si>
  <si>
    <t>Beremi</t>
  </si>
  <si>
    <t>Hajjah Saibah Ilhami</t>
  </si>
  <si>
    <t>Putri Rosdiana</t>
  </si>
  <si>
    <t>Katrunnada Rosihin</t>
  </si>
  <si>
    <t>Muhammad Hadwan Rosihin</t>
  </si>
  <si>
    <t>520101 7112850262</t>
  </si>
  <si>
    <t>520101 6907080002</t>
  </si>
  <si>
    <t>Kawo Loteng</t>
  </si>
  <si>
    <t>520101 0903110039</t>
  </si>
  <si>
    <t>520101 0503089470</t>
  </si>
  <si>
    <t>Sulawesi Selatan</t>
  </si>
  <si>
    <t>Malaysia</t>
  </si>
  <si>
    <t>Dasan Tapen</t>
  </si>
  <si>
    <t>520101 2708180002</t>
  </si>
  <si>
    <t>Lilis Mayanti</t>
  </si>
  <si>
    <t>520107 4607030003</t>
  </si>
  <si>
    <t>Bengkang</t>
  </si>
  <si>
    <t>520101 0509120004</t>
  </si>
  <si>
    <t>520101 1409110001</t>
  </si>
  <si>
    <t>520101 5808920004</t>
  </si>
  <si>
    <t>520101 2004840003</t>
  </si>
  <si>
    <t>Tempos</t>
  </si>
  <si>
    <t>520101 2502141009</t>
  </si>
  <si>
    <t>Murat</t>
  </si>
  <si>
    <t>Mardiah</t>
  </si>
  <si>
    <t>Muhammad Hasbulloh</t>
  </si>
  <si>
    <t>Karman Ishak Maulana</t>
  </si>
  <si>
    <t>520101 0203820005</t>
  </si>
  <si>
    <t xml:space="preserve"> 520101 6706880002</t>
  </si>
  <si>
    <t xml:space="preserve">  520101 0608070001</t>
  </si>
  <si>
    <t xml:space="preserve">  520101 1905131001</t>
  </si>
  <si>
    <t>RT 1</t>
  </si>
  <si>
    <t>RT 2</t>
  </si>
  <si>
    <t>RT 3</t>
  </si>
  <si>
    <t>RT 4</t>
  </si>
  <si>
    <t>Jumlah Penduduk</t>
  </si>
  <si>
    <t>Jumlah KK</t>
  </si>
  <si>
    <t>Jumlah Duda / Janda</t>
  </si>
  <si>
    <t>Jumlah Lansia ( =&gt;60 )</t>
  </si>
  <si>
    <t>Total</t>
  </si>
  <si>
    <t>JUMLAH TOTAL</t>
  </si>
  <si>
    <t>LINGKUNGAN AIK AMPAT</t>
  </si>
  <si>
    <t>520101 1804180009</t>
  </si>
  <si>
    <t>Hirtoni</t>
  </si>
  <si>
    <t>Muliani</t>
  </si>
  <si>
    <t>Muhammad Khairul Azam</t>
  </si>
  <si>
    <t>520101 3112920099</t>
  </si>
  <si>
    <t>520107 7112900115</t>
  </si>
  <si>
    <t>520101 1110160003</t>
  </si>
  <si>
    <t>SEKOTONG</t>
  </si>
  <si>
    <t>520101 2908180027</t>
  </si>
  <si>
    <t>Multazam</t>
  </si>
  <si>
    <t>Siti Sakdiah</t>
  </si>
  <si>
    <t>Muhammad Rizwan Hakiki</t>
  </si>
  <si>
    <t>520101 2512840001</t>
  </si>
  <si>
    <t>520107 4107770205</t>
  </si>
  <si>
    <t>520101 1609110003</t>
  </si>
  <si>
    <t>Berambang</t>
  </si>
  <si>
    <t>520101 1206150002</t>
  </si>
  <si>
    <t>Inaq Serah</t>
  </si>
  <si>
    <t>520101 4107500114</t>
  </si>
  <si>
    <t>520101 4107650240</t>
  </si>
  <si>
    <t>520101 2408170019</t>
  </si>
  <si>
    <t>Rafi'i</t>
  </si>
  <si>
    <t>Deni Yuliati</t>
  </si>
  <si>
    <t>M. Alfhatid Wahyudha Utama</t>
  </si>
  <si>
    <t>520101 3012860010</t>
  </si>
  <si>
    <t>520101 5207930003</t>
  </si>
  <si>
    <t>520101 1607121001</t>
  </si>
  <si>
    <t>Nursanti</t>
  </si>
  <si>
    <t>Azka Aulia Patina</t>
  </si>
  <si>
    <t>520101 5011980004</t>
  </si>
  <si>
    <t>BELUM SEKOLAH</t>
  </si>
  <si>
    <t>DATA INDUK PENDUDUK KELURAHAN DASAN GERES</t>
  </si>
  <si>
    <t>TAHUN 2019</t>
  </si>
  <si>
    <t>Nama Lengkap/ Panggilan</t>
  </si>
  <si>
    <t>RT 04</t>
  </si>
  <si>
    <t>RT 01</t>
  </si>
  <si>
    <t>RT 02</t>
  </si>
  <si>
    <t>RT 03</t>
  </si>
  <si>
    <t>Mengetahui</t>
  </si>
  <si>
    <t>Lurah Dasan Geres</t>
  </si>
  <si>
    <t>Kepala Lingkungan</t>
  </si>
  <si>
    <t>Hulaifi, S.H.</t>
  </si>
  <si>
    <t>NIP. 19841231 201101 1 023</t>
  </si>
  <si>
    <t>REKAP DATA PENDUDUK</t>
  </si>
  <si>
    <t>RT</t>
  </si>
  <si>
    <t>520107 1128502040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</si>
</sst>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21]dd\ mmmm\ yyyy;@"/>
  </numFmts>
  <fonts count="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</fills>
  <borders count="4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3" borderId="4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" fontId="3" fillId="3" borderId="0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3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vertical="center"/>
    </xf>
    <xf numFmtId="164" fontId="3" fillId="3" borderId="0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0" fillId="4" borderId="0" xfId="0" applyFill="1"/>
    <xf numFmtId="0" fontId="2" fillId="4" borderId="4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4" borderId="4" xfId="0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/>
    <xf numFmtId="0" fontId="2" fillId="4" borderId="12" xfId="0" applyFont="1" applyFill="1" applyBorder="1" applyAlignment="1">
      <alignment vertical="center"/>
    </xf>
    <xf numFmtId="0" fontId="2" fillId="4" borderId="11" xfId="0" applyFont="1" applyFill="1" applyBorder="1" applyAlignment="1">
      <alignment vertical="center"/>
    </xf>
    <xf numFmtId="0" fontId="2" fillId="0" borderId="4" xfId="0" applyNumberFormat="1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1" fontId="2" fillId="0" borderId="4" xfId="0" applyNumberFormat="1" applyFont="1" applyBorder="1" applyAlignment="1">
      <alignment horizontal="center" vertical="center"/>
    </xf>
    <xf numFmtId="0" fontId="2" fillId="0" borderId="0" xfId="0" applyFont="1" applyFill="1" applyBorder="1"/>
    <xf numFmtId="0" fontId="2" fillId="0" borderId="0" xfId="0" applyFont="1" applyFill="1" applyAlignment="1">
      <alignment horizontal="center" vertical="center"/>
    </xf>
    <xf numFmtId="0" fontId="2" fillId="4" borderId="21" xfId="0" applyFont="1" applyFill="1" applyBorder="1" applyAlignment="1">
      <alignment vertical="center"/>
    </xf>
    <xf numFmtId="0" fontId="3" fillId="3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0" xfId="0" applyFont="1" applyFill="1"/>
    <xf numFmtId="0" fontId="4" fillId="0" borderId="0" xfId="0" applyFont="1"/>
    <xf numFmtId="0" fontId="2" fillId="0" borderId="0" xfId="0" applyFont="1"/>
    <xf numFmtId="0" fontId="2" fillId="0" borderId="4" xfId="0" applyFont="1" applyFill="1" applyBorder="1" applyAlignment="1">
      <alignment horizontal="center" vertical="center"/>
    </xf>
    <xf numFmtId="16" fontId="2" fillId="0" borderId="4" xfId="0" applyNumberFormat="1" applyFont="1" applyBorder="1" applyAlignment="1">
      <alignment horizontal="center" vertical="center"/>
    </xf>
    <xf numFmtId="0" fontId="2" fillId="0" borderId="4" xfId="0" applyFont="1" applyBorder="1"/>
    <xf numFmtId="16" fontId="2" fillId="0" borderId="4" xfId="0" applyNumberFormat="1" applyFont="1" applyFill="1" applyBorder="1" applyAlignment="1">
      <alignment horizontal="center" vertical="center"/>
    </xf>
    <xf numFmtId="3" fontId="4" fillId="0" borderId="0" xfId="0" applyNumberFormat="1" applyFont="1"/>
    <xf numFmtId="3" fontId="4" fillId="0" borderId="4" xfId="0" applyNumberFormat="1" applyFont="1" applyBorder="1" applyAlignment="1">
      <alignment horizontal="center" vertical="center"/>
    </xf>
    <xf numFmtId="3" fontId="0" fillId="0" borderId="0" xfId="0" applyNumberFormat="1"/>
    <xf numFmtId="3" fontId="5" fillId="0" borderId="17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3" fontId="4" fillId="0" borderId="26" xfId="0" applyNumberFormat="1" applyFont="1" applyBorder="1" applyAlignment="1">
      <alignment horizontal="center" vertical="center"/>
    </xf>
    <xf numFmtId="3" fontId="4" fillId="0" borderId="16" xfId="0" applyNumberFormat="1" applyFont="1" applyBorder="1" applyAlignment="1">
      <alignment horizontal="center" vertical="center"/>
    </xf>
    <xf numFmtId="3" fontId="5" fillId="0" borderId="28" xfId="0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3" fontId="4" fillId="0" borderId="20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5" fillId="0" borderId="30" xfId="0" applyNumberFormat="1" applyFont="1" applyBorder="1" applyAlignment="1">
      <alignment horizontal="center" vertical="center"/>
    </xf>
    <xf numFmtId="3" fontId="4" fillId="0" borderId="31" xfId="0" applyNumberFormat="1" applyFont="1" applyBorder="1" applyAlignment="1">
      <alignment horizontal="center" vertical="center"/>
    </xf>
    <xf numFmtId="3" fontId="5" fillId="0" borderId="32" xfId="0" applyNumberFormat="1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3" fontId="6" fillId="0" borderId="34" xfId="0" applyNumberFormat="1" applyFont="1" applyBorder="1" applyAlignment="1">
      <alignment horizontal="center" vertical="center"/>
    </xf>
    <xf numFmtId="3" fontId="6" fillId="0" borderId="35" xfId="0" applyNumberFormat="1" applyFont="1" applyBorder="1" applyAlignment="1">
      <alignment horizontal="center" vertical="center"/>
    </xf>
    <xf numFmtId="3" fontId="6" fillId="0" borderId="36" xfId="0" applyNumberFormat="1" applyFont="1" applyBorder="1" applyAlignment="1">
      <alignment horizontal="center" vertical="center"/>
    </xf>
    <xf numFmtId="3" fontId="6" fillId="0" borderId="37" xfId="0" applyNumberFormat="1" applyFont="1" applyBorder="1" applyAlignment="1">
      <alignment horizontal="center" vertical="center"/>
    </xf>
    <xf numFmtId="3" fontId="6" fillId="0" borderId="38" xfId="0" applyNumberFormat="1" applyFont="1" applyBorder="1" applyAlignment="1">
      <alignment horizontal="center" vertical="center"/>
    </xf>
    <xf numFmtId="0" fontId="2" fillId="0" borderId="0" xfId="0" applyFont="1" applyFill="1" applyBorder="1" applyAlignment="1"/>
    <xf numFmtId="0" fontId="7" fillId="0" borderId="0" xfId="0" applyFont="1" applyFill="1"/>
    <xf numFmtId="0" fontId="2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164" fontId="2" fillId="0" borderId="4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 wrapText="1"/>
    </xf>
    <xf numFmtId="1" fontId="2" fillId="0" borderId="4" xfId="0" applyNumberFormat="1" applyFont="1" applyFill="1" applyBorder="1" applyAlignment="1">
      <alignment horizontal="center" vertical="center"/>
    </xf>
    <xf numFmtId="14" fontId="2" fillId="0" borderId="4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164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164" fontId="3" fillId="5" borderId="4" xfId="0" applyNumberFormat="1" applyFont="1" applyFill="1" applyBorder="1" applyAlignment="1">
      <alignment horizontal="center" vertical="center"/>
    </xf>
    <xf numFmtId="0" fontId="3" fillId="5" borderId="4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1" fontId="3" fillId="5" borderId="4" xfId="0" applyNumberFormat="1" applyFont="1" applyFill="1" applyBorder="1" applyAlignment="1">
      <alignment horizontal="center" vertical="center"/>
    </xf>
    <xf numFmtId="0" fontId="3" fillId="5" borderId="4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wrapText="1"/>
    </xf>
    <xf numFmtId="0" fontId="2" fillId="0" borderId="16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164" fontId="2" fillId="0" borderId="9" xfId="0" applyNumberFormat="1" applyFont="1" applyFill="1" applyBorder="1" applyAlignment="1">
      <alignment horizontal="center" vertical="center"/>
    </xf>
    <xf numFmtId="0" fontId="2" fillId="0" borderId="9" xfId="0" applyNumberFormat="1" applyFont="1" applyFill="1" applyBorder="1" applyAlignment="1">
      <alignment horizontal="center" vertical="center"/>
    </xf>
    <xf numFmtId="15" fontId="2" fillId="0" borderId="4" xfId="0" applyNumberFormat="1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164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2" fillId="0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Fill="1"/>
    <xf numFmtId="0" fontId="2" fillId="0" borderId="19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/>
    </xf>
    <xf numFmtId="164" fontId="2" fillId="0" borderId="19" xfId="0" applyNumberFormat="1" applyFont="1" applyFill="1" applyBorder="1" applyAlignment="1">
      <alignment horizontal="center" vertical="center"/>
    </xf>
    <xf numFmtId="0" fontId="2" fillId="0" borderId="19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6" fillId="0" borderId="3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3" fontId="5" fillId="0" borderId="15" xfId="0" applyNumberFormat="1" applyFont="1" applyBorder="1" applyAlignment="1">
      <alignment horizontal="center" vertical="center"/>
    </xf>
    <xf numFmtId="3" fontId="5" fillId="0" borderId="17" xfId="0" applyNumberFormat="1" applyFont="1" applyBorder="1" applyAlignment="1">
      <alignment horizontal="center" vertical="center"/>
    </xf>
    <xf numFmtId="3" fontId="5" fillId="0" borderId="27" xfId="0" applyNumberFormat="1" applyFont="1" applyBorder="1" applyAlignment="1">
      <alignment horizontal="center" vertical="center"/>
    </xf>
    <xf numFmtId="3" fontId="5" fillId="0" borderId="28" xfId="0" applyNumberFormat="1" applyFont="1" applyBorder="1" applyAlignment="1">
      <alignment horizontal="center" vertical="center"/>
    </xf>
    <xf numFmtId="3" fontId="5" fillId="0" borderId="13" xfId="0" applyNumberFormat="1" applyFont="1" applyBorder="1" applyAlignment="1">
      <alignment horizontal="center" vertical="center"/>
    </xf>
    <xf numFmtId="3" fontId="5" fillId="0" borderId="14" xfId="0" applyNumberFormat="1" applyFont="1" applyBorder="1" applyAlignment="1">
      <alignment horizontal="center" vertical="center"/>
    </xf>
    <xf numFmtId="3" fontId="5" fillId="0" borderId="25" xfId="0" applyNumberFormat="1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5" borderId="4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2" fillId="0" borderId="4" xfId="0" applyFont="1" applyFill="1" applyBorder="1"/>
    <xf numFmtId="0" fontId="3" fillId="5" borderId="4" xfId="0" applyNumberFormat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1" fontId="3" fillId="5" borderId="4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 wrapText="1"/>
    </xf>
    <xf numFmtId="1" fontId="2" fillId="0" borderId="4" xfId="0" applyNumberFormat="1" applyFont="1" applyFill="1" applyBorder="1" applyAlignment="1">
      <alignment horizontal="center" vertical="center"/>
    </xf>
    <xf numFmtId="1" fontId="2" fillId="0" borderId="9" xfId="0" applyNumberFormat="1" applyFont="1" applyFill="1" applyBorder="1" applyAlignment="1">
      <alignment horizontal="center" vertical="center"/>
    </xf>
    <xf numFmtId="1" fontId="2" fillId="0" borderId="12" xfId="0" applyNumberFormat="1" applyFont="1" applyFill="1" applyBorder="1" applyAlignment="1">
      <alignment horizontal="center" vertical="center"/>
    </xf>
    <xf numFmtId="1" fontId="2" fillId="0" borderId="11" xfId="0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14" xfId="0" applyNumberFormat="1" applyFont="1" applyFill="1" applyBorder="1" applyAlignment="1">
      <alignment horizontal="center" vertical="center"/>
    </xf>
    <xf numFmtId="1" fontId="3" fillId="5" borderId="14" xfId="0" applyNumberFormat="1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3" fillId="3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1" fillId="0" borderId="6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1" fontId="3" fillId="3" borderId="9" xfId="0" applyNumberFormat="1" applyFont="1" applyFill="1" applyBorder="1" applyAlignment="1">
      <alignment horizontal="center" vertical="center"/>
    </xf>
    <xf numFmtId="1" fontId="3" fillId="3" borderId="10" xfId="0" applyNumberFormat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33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3" fontId="4" fillId="0" borderId="0" xfId="0" applyNumberFormat="1" applyFont="1" applyBorder="1"/>
    <xf numFmtId="0" fontId="4" fillId="0" borderId="0" xfId="0" applyFont="1" applyBorder="1"/>
    <xf numFmtId="0" fontId="6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0"/>
  <sheetViews>
    <sheetView tabSelected="1" workbookViewId="0">
      <selection activeCell="K11" sqref="K11"/>
    </sheetView>
  </sheetViews>
  <sheetFormatPr defaultRowHeight="15" x14ac:dyDescent="0.25"/>
  <cols>
    <col min="1" max="1" width="9.140625" style="42"/>
    <col min="2" max="2" width="19.140625" style="42" bestFit="1" customWidth="1"/>
    <col min="3" max="4" width="9.7109375" style="48" customWidth="1"/>
    <col min="5" max="8" width="8.7109375" style="48" customWidth="1"/>
    <col min="9" max="10" width="10.7109375" style="48" customWidth="1"/>
    <col min="11" max="11" width="9.7109375" style="48" customWidth="1"/>
    <col min="12" max="13" width="11.7109375" style="48" customWidth="1"/>
    <col min="14" max="15" width="9.140625" style="48"/>
    <col min="16" max="16384" width="9.140625" style="42"/>
  </cols>
  <sheetData>
    <row r="1" spans="2:15" ht="15.75" thickBot="1" x14ac:dyDescent="0.3"/>
    <row r="2" spans="2:15" ht="15.75" thickBot="1" x14ac:dyDescent="0.3">
      <c r="B2" s="159" t="s">
        <v>2351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1"/>
    </row>
    <row r="3" spans="2:15" ht="15.75" thickBot="1" x14ac:dyDescent="0.3">
      <c r="B3" s="108" t="s">
        <v>2307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10"/>
    </row>
    <row r="4" spans="2:15" ht="15.75" x14ac:dyDescent="0.25">
      <c r="B4" s="162" t="s">
        <v>2352</v>
      </c>
      <c r="C4" s="115" t="s">
        <v>2301</v>
      </c>
      <c r="D4" s="116"/>
      <c r="E4" s="111" t="s">
        <v>2305</v>
      </c>
      <c r="F4" s="117" t="s">
        <v>2302</v>
      </c>
      <c r="G4" s="116"/>
      <c r="H4" s="113" t="s">
        <v>2305</v>
      </c>
      <c r="I4" s="115" t="s">
        <v>2303</v>
      </c>
      <c r="J4" s="116"/>
      <c r="K4" s="111" t="s">
        <v>2305</v>
      </c>
      <c r="L4" s="117" t="s">
        <v>2304</v>
      </c>
      <c r="M4" s="116"/>
      <c r="N4" s="111" t="s">
        <v>2305</v>
      </c>
    </row>
    <row r="5" spans="2:15" x14ac:dyDescent="0.25">
      <c r="B5" s="163"/>
      <c r="C5" s="54" t="s">
        <v>1</v>
      </c>
      <c r="D5" s="49" t="s">
        <v>9</v>
      </c>
      <c r="E5" s="112"/>
      <c r="F5" s="53" t="s">
        <v>1</v>
      </c>
      <c r="G5" s="49" t="s">
        <v>9</v>
      </c>
      <c r="H5" s="114"/>
      <c r="I5" s="54" t="s">
        <v>1</v>
      </c>
      <c r="J5" s="49" t="s">
        <v>9</v>
      </c>
      <c r="K5" s="112"/>
      <c r="L5" s="53" t="s">
        <v>1</v>
      </c>
      <c r="M5" s="49" t="s">
        <v>9</v>
      </c>
      <c r="N5" s="112"/>
    </row>
    <row r="6" spans="2:15" ht="15.75" x14ac:dyDescent="0.25">
      <c r="B6" s="52" t="s">
        <v>2297</v>
      </c>
      <c r="C6" s="54">
        <f>COUNTIF('RT 01'!$H$8:$H$281,"L")</f>
        <v>135</v>
      </c>
      <c r="D6" s="49">
        <f>COUNTIF('RT 01'!$H$8:$H$281,"P")</f>
        <v>139</v>
      </c>
      <c r="E6" s="51">
        <f>SUM(C6:D6)</f>
        <v>274</v>
      </c>
      <c r="F6" s="53">
        <f>COUNTIFS('RT 01'!$F$8:$F$281,"KK",'RT 01'!$H$8:$H$281,"L")</f>
        <v>70</v>
      </c>
      <c r="G6" s="49">
        <f>COUNTIFS('RT 01'!$F$8:$F$281,"KK",'RT 01'!$H$8:$H$281,"P")</f>
        <v>23</v>
      </c>
      <c r="H6" s="55">
        <f>SUM(F6:G6)</f>
        <v>93</v>
      </c>
      <c r="I6" s="54">
        <f>COUNTIFS('RT 01'!$I$8:$I$281,"Cerai Mati",'RT 01'!$H$8:$H$281,"L")+COUNTIFS('RT 01'!$I$8:$I$281,"Cerai Hidup",'RT 01'!$H$8:$H$281,"L")+COUNTIFS('RT 01'!$I$8:$I$281,"Duda",'RT 01'!$H$8:$H$281,"L")</f>
        <v>5</v>
      </c>
      <c r="J6" s="49">
        <f>COUNTIFS('RT 01'!$I$8:$I$281,"Cerai Mati",'RT 01'!$H$8:$H$281,"P")+COUNTIFS('RT 01'!$I$8:$I$281,"Cerai Hidup",'RT 01'!$H$8:$H$281,"P")+COUNTIFS('RT 01'!$I$8:$I$281,"Janda",'RT 01'!$H$8:$H$281,"P")</f>
        <v>23</v>
      </c>
      <c r="K6" s="51">
        <f>SUM(I6:J6)</f>
        <v>28</v>
      </c>
      <c r="L6" s="53">
        <v>10</v>
      </c>
      <c r="M6" s="49">
        <v>11</v>
      </c>
      <c r="N6" s="51">
        <f>SUM(L6:M6)</f>
        <v>21</v>
      </c>
    </row>
    <row r="7" spans="2:15" ht="15.75" x14ac:dyDescent="0.25">
      <c r="B7" s="52" t="s">
        <v>2298</v>
      </c>
      <c r="C7" s="54">
        <f>COUNTIF('RT 02'!$H$8:$H$258,"L")</f>
        <v>109</v>
      </c>
      <c r="D7" s="49">
        <f>COUNTIF('RT 02'!$H$8:$H$258,"P")</f>
        <v>142</v>
      </c>
      <c r="E7" s="51">
        <f t="shared" ref="E7:E9" si="0">SUM(C7:D7)</f>
        <v>251</v>
      </c>
      <c r="F7" s="53">
        <f>COUNTIFS('RT 02'!$F$8:$F$258,"KK",'RT 02'!$H$8:$H$258,"L")</f>
        <v>63</v>
      </c>
      <c r="G7" s="49">
        <f>COUNTIFS('RT 02'!$F$8:$F$258,"KK",'RT 02'!$H$8:$H$258,"P")</f>
        <v>25</v>
      </c>
      <c r="H7" s="55">
        <f t="shared" ref="H7:H9" si="1">SUM(F7:G7)</f>
        <v>88</v>
      </c>
      <c r="I7" s="54">
        <f>COUNTIFS('RT 02'!$I$8:$I$258,"Cerai Mati",'RT 02'!$H$8:$H$258,"L")+COUNTIFS('RT 02'!$I$8:$I$258,"Cerai Hidup",'RT 02'!$H$8:$H$258,"L")+COUNTIFS('RT 02'!$I$8:$I$258,"Duda",'RT 02'!$H$8:$H$258,"L")</f>
        <v>4</v>
      </c>
      <c r="J7" s="49">
        <f>COUNTIFS('RT 02'!$I$8:$I$258,"Cerai Mati",'RT 02'!$H$8:$H$258,"P")+COUNTIFS('RT 02'!$I$8:$I$258,"Cerai Hidup",'RT 02'!$H$8:$H$258,"P")+COUNTIFS('RT 02'!$I$8:$I$258,"Janda",'RT 02'!$H$8:$H$258,"P")</f>
        <v>26</v>
      </c>
      <c r="K7" s="51">
        <f t="shared" ref="K7:K9" si="2">SUM(I7:J7)</f>
        <v>30</v>
      </c>
      <c r="L7" s="53">
        <v>8</v>
      </c>
      <c r="M7" s="49">
        <v>12</v>
      </c>
      <c r="N7" s="51">
        <f t="shared" ref="N7:N9" si="3">SUM(L7:M7)</f>
        <v>20</v>
      </c>
    </row>
    <row r="8" spans="2:15" ht="15.75" x14ac:dyDescent="0.25">
      <c r="B8" s="52" t="s">
        <v>2299</v>
      </c>
      <c r="C8" s="54">
        <f>COUNTIF('RT 03'!$H$8:$H$310,"L")</f>
        <v>151</v>
      </c>
      <c r="D8" s="49">
        <f>COUNTIF('RT 03'!$H$8:$H$310,"P")</f>
        <v>152</v>
      </c>
      <c r="E8" s="51">
        <f t="shared" si="0"/>
        <v>303</v>
      </c>
      <c r="F8" s="53">
        <f>COUNTIFS('RT 03'!$F$8:$F$310,"KK",'RT 03'!$H$8:$H$310,"L")</f>
        <v>81</v>
      </c>
      <c r="G8" s="49">
        <f>COUNTIFS('RT 03'!$F$8:$F$310,"KK",'RT 03'!$H$8:$H$310,"P")</f>
        <v>16</v>
      </c>
      <c r="H8" s="55">
        <f t="shared" si="1"/>
        <v>97</v>
      </c>
      <c r="I8" s="54">
        <f>COUNTIFS('RT 03'!$I$8:$I$307,"Cerai Mati",'RT 03'!$H$8:$H$307,"L")+COUNTIFS('RT 03'!$I$8:$I$307,"Cerai Hidup",'RT 03'!$H$8:$H$307,"L")+COUNTIFS('RT 03'!$I$8:$I$307,"Duda",'RT 03'!$H$8:$H$307,"L")</f>
        <v>9</v>
      </c>
      <c r="J8" s="49">
        <f>COUNTIFS('RT 03'!$I$8:$I$307,"Cerai Mati",'RT 03'!$H$8:$H$307,"P")+COUNTIFS('RT 03'!$I$8:$I$307,"Cerai Hidup",'RT 03'!$H$8:$H$307,"P")+COUNTIFS('RT 03'!$I$8:$I$307,"Janda",'RT 03'!$H$8:$H$307,"P")</f>
        <v>17</v>
      </c>
      <c r="K8" s="51">
        <f t="shared" si="2"/>
        <v>26</v>
      </c>
      <c r="L8" s="53">
        <v>19</v>
      </c>
      <c r="M8" s="49">
        <v>14</v>
      </c>
      <c r="N8" s="51">
        <f t="shared" si="3"/>
        <v>33</v>
      </c>
    </row>
    <row r="9" spans="2:15" ht="16.5" thickBot="1" x14ac:dyDescent="0.3">
      <c r="B9" s="56" t="s">
        <v>2300</v>
      </c>
      <c r="C9" s="57">
        <f>COUNTIF('RT 04'!$H$8:$H$241,"L")</f>
        <v>115</v>
      </c>
      <c r="D9" s="58">
        <f>COUNTIF('RT 04'!$H$8:$H$241,"P")</f>
        <v>119</v>
      </c>
      <c r="E9" s="59">
        <f t="shared" si="0"/>
        <v>234</v>
      </c>
      <c r="F9" s="60">
        <f>COUNTIFS('RT 04'!$F$8:$F$241,"KK",'RT 04'!$H$8:$H$241,"P")</f>
        <v>18</v>
      </c>
      <c r="G9" s="58">
        <f>COUNTIFS('RT 04'!$F$8:$F$241,"KK",'RT 04'!$H$8:$H$241,"L")</f>
        <v>63</v>
      </c>
      <c r="H9" s="61">
        <f t="shared" si="1"/>
        <v>81</v>
      </c>
      <c r="I9" s="57">
        <f>COUNTIFS('RT 04'!$I$8:$I$241,"Cerai Mati",'RT 04'!$H$8:$H$241,"L")+COUNTIFS('RT 04'!$I$8:$I$241,"Cerai Hidup",'RT 04'!$H$8:$H$241,"L")+COUNTIFS('RT 04'!$I$8:$I$241,"Duda",'RT 04'!$H$8:$H$241,"L")</f>
        <v>7</v>
      </c>
      <c r="J9" s="58">
        <f>COUNTIFS('RT 04'!$I$8:$I$241,"Cerai Mati",'RT 04'!$H$8:$H$241,"P")+COUNTIFS('RT 04'!$I$8:$I$241,"Cerai Hidup",'RT 04'!$H$8:$H$241,"P")+COUNTIFS('RT 04'!$I$8:$I$241,"Janda",'RT 04'!$H$8:$H$241,"P")</f>
        <v>17</v>
      </c>
      <c r="K9" s="59">
        <f t="shared" si="2"/>
        <v>24</v>
      </c>
      <c r="L9" s="60">
        <v>11</v>
      </c>
      <c r="M9" s="58">
        <v>18</v>
      </c>
      <c r="N9" s="59">
        <f t="shared" si="3"/>
        <v>29</v>
      </c>
    </row>
    <row r="10" spans="2:15" customFormat="1" ht="16.5" thickBot="1" x14ac:dyDescent="0.3">
      <c r="B10" s="62" t="s">
        <v>2306</v>
      </c>
      <c r="C10" s="63">
        <f>SUM(C6:C9)</f>
        <v>510</v>
      </c>
      <c r="D10" s="64">
        <f t="shared" ref="D10:N10" si="4">SUM(D6:D9)</f>
        <v>552</v>
      </c>
      <c r="E10" s="65">
        <f t="shared" si="4"/>
        <v>1062</v>
      </c>
      <c r="F10" s="66">
        <f t="shared" si="4"/>
        <v>232</v>
      </c>
      <c r="G10" s="64">
        <f t="shared" si="4"/>
        <v>127</v>
      </c>
      <c r="H10" s="67">
        <f t="shared" si="4"/>
        <v>359</v>
      </c>
      <c r="I10" s="63">
        <f t="shared" si="4"/>
        <v>25</v>
      </c>
      <c r="J10" s="64">
        <f t="shared" si="4"/>
        <v>83</v>
      </c>
      <c r="K10" s="65">
        <f t="shared" si="4"/>
        <v>108</v>
      </c>
      <c r="L10" s="66">
        <f t="shared" si="4"/>
        <v>48</v>
      </c>
      <c r="M10" s="64">
        <f t="shared" si="4"/>
        <v>55</v>
      </c>
      <c r="N10" s="65">
        <f t="shared" si="4"/>
        <v>103</v>
      </c>
      <c r="O10" s="50"/>
    </row>
    <row r="14" spans="2:15" x14ac:dyDescent="0.25">
      <c r="C14" s="157" t="s">
        <v>2346</v>
      </c>
      <c r="D14" s="157"/>
      <c r="E14" s="157"/>
      <c r="K14" s="157"/>
      <c r="L14" s="157"/>
      <c r="O14" s="42"/>
    </row>
    <row r="15" spans="2:15" x14ac:dyDescent="0.25">
      <c r="C15" s="157" t="s">
        <v>2347</v>
      </c>
      <c r="D15" s="157"/>
      <c r="E15" s="157"/>
      <c r="K15" s="157" t="s">
        <v>2348</v>
      </c>
      <c r="L15" s="157"/>
      <c r="O15" s="42"/>
    </row>
    <row r="16" spans="2:15" x14ac:dyDescent="0.25">
      <c r="D16" s="42"/>
      <c r="K16" s="42"/>
      <c r="O16" s="42"/>
    </row>
    <row r="17" spans="3:15" x14ac:dyDescent="0.25">
      <c r="D17" s="42"/>
      <c r="K17" s="42"/>
      <c r="O17" s="42"/>
    </row>
    <row r="18" spans="3:15" x14ac:dyDescent="0.25">
      <c r="D18" s="42"/>
      <c r="K18" s="42"/>
      <c r="O18" s="42"/>
    </row>
    <row r="19" spans="3:15" x14ac:dyDescent="0.25">
      <c r="C19" s="158" t="s">
        <v>2349</v>
      </c>
      <c r="D19" s="158"/>
      <c r="E19" s="158"/>
      <c r="K19" s="158" t="s">
        <v>128</v>
      </c>
      <c r="L19" s="158"/>
      <c r="O19" s="42"/>
    </row>
    <row r="20" spans="3:15" x14ac:dyDescent="0.25">
      <c r="C20" s="158" t="s">
        <v>2350</v>
      </c>
      <c r="D20" s="158"/>
      <c r="E20" s="158"/>
      <c r="K20" s="158"/>
      <c r="L20" s="158"/>
      <c r="O20" s="42"/>
    </row>
  </sheetData>
  <mergeCells count="19">
    <mergeCell ref="C20:E20"/>
    <mergeCell ref="K20:L20"/>
    <mergeCell ref="B2:N2"/>
    <mergeCell ref="B3:N3"/>
    <mergeCell ref="C14:E14"/>
    <mergeCell ref="K14:L14"/>
    <mergeCell ref="C15:E15"/>
    <mergeCell ref="K15:L15"/>
    <mergeCell ref="C19:E19"/>
    <mergeCell ref="K19:L19"/>
    <mergeCell ref="B4:B5"/>
    <mergeCell ref="E4:E5"/>
    <mergeCell ref="H4:H5"/>
    <mergeCell ref="K4:K5"/>
    <mergeCell ref="N4:N5"/>
    <mergeCell ref="C4:D4"/>
    <mergeCell ref="F4:G4"/>
    <mergeCell ref="I4:J4"/>
    <mergeCell ref="L4:M4"/>
  </mergeCells>
  <printOptions horizontalCentered="1" verticalCentered="1"/>
  <pageMargins left="1.37795275590551" right="0.39370078740157499" top="0.78740157480314998" bottom="0.78740157480314998" header="0.31496062992126" footer="0.31496062992126"/>
  <pageSetup paperSize="10000" scale="105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297"/>
  <sheetViews>
    <sheetView zoomScaleNormal="100" workbookViewId="0">
      <pane ySplit="6" topLeftCell="A7" activePane="bottomLeft" state="frozen"/>
      <selection pane="bottomLeft" activeCell="H7" sqref="H7"/>
    </sheetView>
  </sheetViews>
  <sheetFormatPr defaultRowHeight="12.75" x14ac:dyDescent="0.2"/>
  <cols>
    <col min="1" max="1" width="9.140625" style="31"/>
    <col min="2" max="2" width="3.28515625" style="77" bestFit="1" customWidth="1"/>
    <col min="3" max="3" width="15.7109375" style="78" customWidth="1"/>
    <col min="4" max="4" width="6.7109375" style="77" customWidth="1"/>
    <col min="5" max="5" width="12.7109375" style="79" customWidth="1"/>
    <col min="6" max="6" width="9.7109375" style="77" customWidth="1"/>
    <col min="7" max="7" width="15.7109375" style="77" customWidth="1"/>
    <col min="8" max="8" width="7.7109375" style="77" customWidth="1"/>
    <col min="9" max="9" width="10.7109375" style="77" customWidth="1"/>
    <col min="10" max="10" width="13.7109375" style="79" customWidth="1"/>
    <col min="11" max="11" width="16.28515625" style="80" bestFit="1" customWidth="1"/>
    <col min="12" max="12" width="6.28515625" style="81" customWidth="1"/>
    <col min="13" max="13" width="4.7109375" style="81" customWidth="1"/>
    <col min="14" max="14" width="6.7109375" style="77" customWidth="1"/>
    <col min="15" max="15" width="5.28515625" style="77" customWidth="1"/>
    <col min="16" max="16" width="16.7109375" style="82" customWidth="1"/>
    <col min="17" max="17" width="7.7109375" style="77" bestFit="1" customWidth="1"/>
    <col min="18" max="18" width="15.7109375" style="79" customWidth="1"/>
    <col min="19" max="16384" width="9.140625" style="31"/>
  </cols>
  <sheetData>
    <row r="1" spans="2:24" s="69" customFormat="1" ht="15.75" x14ac:dyDescent="0.25">
      <c r="B1" s="118" t="s">
        <v>2339</v>
      </c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</row>
    <row r="2" spans="2:24" s="69" customFormat="1" ht="15.75" x14ac:dyDescent="0.25">
      <c r="B2" s="118" t="s">
        <v>2340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</row>
    <row r="3" spans="2:24" s="69" customFormat="1" ht="15.75" x14ac:dyDescent="0.25">
      <c r="B3" s="107" t="s">
        <v>2307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</row>
    <row r="4" spans="2:24" ht="15.75" x14ac:dyDescent="0.2">
      <c r="B4" s="107" t="s">
        <v>2343</v>
      </c>
    </row>
    <row r="5" spans="2:24" ht="21.95" customHeight="1" x14ac:dyDescent="0.2">
      <c r="B5" s="121" t="s">
        <v>347</v>
      </c>
      <c r="C5" s="125" t="s">
        <v>1224</v>
      </c>
      <c r="D5" s="124" t="s">
        <v>1225</v>
      </c>
      <c r="E5" s="124" t="s">
        <v>348</v>
      </c>
      <c r="F5" s="124" t="s">
        <v>354</v>
      </c>
      <c r="G5" s="125" t="s">
        <v>355</v>
      </c>
      <c r="H5" s="124" t="s">
        <v>349</v>
      </c>
      <c r="I5" s="124" t="s">
        <v>350</v>
      </c>
      <c r="J5" s="121" t="s">
        <v>1207</v>
      </c>
      <c r="K5" s="121"/>
      <c r="L5" s="121"/>
      <c r="M5" s="120" t="s">
        <v>1217</v>
      </c>
      <c r="N5" s="121" t="s">
        <v>351</v>
      </c>
      <c r="O5" s="121" t="s">
        <v>1211</v>
      </c>
      <c r="P5" s="123" t="s">
        <v>352</v>
      </c>
      <c r="Q5" s="121" t="s">
        <v>1212</v>
      </c>
      <c r="R5" s="124" t="s">
        <v>353</v>
      </c>
    </row>
    <row r="6" spans="2:24" ht="21.95" customHeight="1" x14ac:dyDescent="0.2">
      <c r="B6" s="121"/>
      <c r="C6" s="125"/>
      <c r="D6" s="124"/>
      <c r="E6" s="124"/>
      <c r="F6" s="124"/>
      <c r="G6" s="125"/>
      <c r="H6" s="124"/>
      <c r="I6" s="124"/>
      <c r="J6" s="83" t="s">
        <v>1215</v>
      </c>
      <c r="K6" s="84" t="s">
        <v>1209</v>
      </c>
      <c r="L6" s="85" t="s">
        <v>1216</v>
      </c>
      <c r="M6" s="120"/>
      <c r="N6" s="121"/>
      <c r="O6" s="121"/>
      <c r="P6" s="123"/>
      <c r="Q6" s="121"/>
      <c r="R6" s="124"/>
    </row>
    <row r="7" spans="2:24" x14ac:dyDescent="0.2">
      <c r="B7" s="86"/>
      <c r="C7" s="87"/>
      <c r="D7" s="86"/>
      <c r="E7" s="83"/>
      <c r="F7" s="86"/>
      <c r="G7" s="87"/>
      <c r="H7" s="86"/>
      <c r="I7" s="86"/>
      <c r="J7" s="83"/>
      <c r="K7" s="84"/>
      <c r="L7" s="85"/>
      <c r="M7" s="85"/>
      <c r="N7" s="86"/>
      <c r="O7" s="86"/>
      <c r="P7" s="88"/>
      <c r="Q7" s="86"/>
      <c r="R7" s="83"/>
    </row>
    <row r="8" spans="2:24" ht="15" customHeight="1" x14ac:dyDescent="0.2">
      <c r="B8" s="119">
        <v>1</v>
      </c>
      <c r="C8" s="119" t="s">
        <v>1339</v>
      </c>
      <c r="D8" s="44">
        <v>1</v>
      </c>
      <c r="E8" s="72" t="s">
        <v>955</v>
      </c>
      <c r="F8" s="44" t="s">
        <v>6</v>
      </c>
      <c r="G8" s="44" t="s">
        <v>956</v>
      </c>
      <c r="H8" s="44" t="s">
        <v>1</v>
      </c>
      <c r="I8" s="44" t="s">
        <v>2</v>
      </c>
      <c r="J8" s="72" t="s">
        <v>1228</v>
      </c>
      <c r="K8" s="73">
        <v>20820</v>
      </c>
      <c r="L8" s="30">
        <v>1956</v>
      </c>
      <c r="M8" s="30">
        <f t="shared" ref="M8:M39" si="0">2019-L8</f>
        <v>63</v>
      </c>
      <c r="N8" s="44" t="s">
        <v>3</v>
      </c>
      <c r="O8" s="44" t="s">
        <v>1229</v>
      </c>
      <c r="P8" s="74" t="s">
        <v>1233</v>
      </c>
      <c r="Q8" s="44"/>
      <c r="R8" s="72" t="s">
        <v>5</v>
      </c>
      <c r="S8" s="126"/>
      <c r="T8" s="126"/>
      <c r="U8" s="126"/>
      <c r="V8" s="126"/>
      <c r="W8" s="126"/>
      <c r="X8" s="126"/>
    </row>
    <row r="9" spans="2:24" ht="15" customHeight="1" x14ac:dyDescent="0.2">
      <c r="B9" s="119"/>
      <c r="C9" s="119"/>
      <c r="D9" s="44">
        <v>2</v>
      </c>
      <c r="E9" s="72" t="s">
        <v>808</v>
      </c>
      <c r="F9" s="44" t="s">
        <v>11</v>
      </c>
      <c r="G9" s="44" t="s">
        <v>957</v>
      </c>
      <c r="H9" s="44" t="s">
        <v>9</v>
      </c>
      <c r="I9" s="44" t="s">
        <v>2</v>
      </c>
      <c r="J9" s="72" t="s">
        <v>1228</v>
      </c>
      <c r="K9" s="73">
        <v>22646</v>
      </c>
      <c r="L9" s="30">
        <v>1961</v>
      </c>
      <c r="M9" s="30">
        <f t="shared" si="0"/>
        <v>58</v>
      </c>
      <c r="N9" s="44" t="s">
        <v>3</v>
      </c>
      <c r="O9" s="44" t="s">
        <v>1229</v>
      </c>
      <c r="P9" s="74" t="s">
        <v>1233</v>
      </c>
      <c r="Q9" s="44"/>
      <c r="R9" s="72" t="s">
        <v>5</v>
      </c>
      <c r="S9" s="126"/>
      <c r="T9" s="126"/>
      <c r="U9" s="126"/>
      <c r="V9" s="126"/>
      <c r="W9" s="126"/>
      <c r="X9" s="126"/>
    </row>
    <row r="10" spans="2:24" ht="15" customHeight="1" x14ac:dyDescent="0.2">
      <c r="B10" s="119"/>
      <c r="C10" s="119"/>
      <c r="D10" s="44">
        <v>3</v>
      </c>
      <c r="E10" s="72" t="s">
        <v>1342</v>
      </c>
      <c r="F10" s="44" t="s">
        <v>16</v>
      </c>
      <c r="G10" s="44" t="s">
        <v>958</v>
      </c>
      <c r="H10" s="44" t="s">
        <v>9</v>
      </c>
      <c r="I10" s="44" t="s">
        <v>13</v>
      </c>
      <c r="J10" s="72" t="s">
        <v>1228</v>
      </c>
      <c r="K10" s="73">
        <v>31777</v>
      </c>
      <c r="L10" s="30">
        <v>1986</v>
      </c>
      <c r="M10" s="30">
        <f t="shared" si="0"/>
        <v>33</v>
      </c>
      <c r="N10" s="44" t="s">
        <v>3</v>
      </c>
      <c r="O10" s="44" t="s">
        <v>1229</v>
      </c>
      <c r="P10" s="74" t="s">
        <v>1233</v>
      </c>
      <c r="Q10" s="44"/>
      <c r="R10" s="72" t="s">
        <v>5</v>
      </c>
      <c r="S10" s="126"/>
      <c r="T10" s="126"/>
      <c r="U10" s="126"/>
      <c r="V10" s="126"/>
      <c r="W10" s="126"/>
      <c r="X10" s="126"/>
    </row>
    <row r="11" spans="2:24" ht="15" customHeight="1" x14ac:dyDescent="0.2">
      <c r="B11" s="119"/>
      <c r="C11" s="119"/>
      <c r="D11" s="44">
        <v>4</v>
      </c>
      <c r="E11" s="72" t="s">
        <v>959</v>
      </c>
      <c r="F11" s="44" t="s">
        <v>16</v>
      </c>
      <c r="G11" s="44" t="s">
        <v>960</v>
      </c>
      <c r="H11" s="44" t="s">
        <v>9</v>
      </c>
      <c r="I11" s="44" t="s">
        <v>13</v>
      </c>
      <c r="J11" s="72" t="s">
        <v>1228</v>
      </c>
      <c r="K11" s="73">
        <v>32142</v>
      </c>
      <c r="L11" s="30">
        <v>1987</v>
      </c>
      <c r="M11" s="30">
        <f t="shared" si="0"/>
        <v>32</v>
      </c>
      <c r="N11" s="44" t="s">
        <v>3</v>
      </c>
      <c r="O11" s="44" t="s">
        <v>1229</v>
      </c>
      <c r="P11" s="74" t="s">
        <v>1233</v>
      </c>
      <c r="Q11" s="44"/>
      <c r="R11" s="72" t="s">
        <v>5</v>
      </c>
      <c r="S11" s="126"/>
      <c r="T11" s="126"/>
      <c r="U11" s="126"/>
      <c r="V11" s="126"/>
      <c r="W11" s="126"/>
      <c r="X11" s="126"/>
    </row>
    <row r="12" spans="2:24" ht="15" customHeight="1" x14ac:dyDescent="0.2">
      <c r="B12" s="119"/>
      <c r="C12" s="119"/>
      <c r="D12" s="44">
        <v>5</v>
      </c>
      <c r="E12" s="72" t="s">
        <v>217</v>
      </c>
      <c r="F12" s="44" t="s">
        <v>16</v>
      </c>
      <c r="G12" s="44" t="s">
        <v>1340</v>
      </c>
      <c r="H12" s="44" t="s">
        <v>1</v>
      </c>
      <c r="I12" s="44" t="s">
        <v>13</v>
      </c>
      <c r="J12" s="72" t="s">
        <v>1228</v>
      </c>
      <c r="K12" s="73">
        <v>33238</v>
      </c>
      <c r="L12" s="30">
        <v>1990</v>
      </c>
      <c r="M12" s="30">
        <f t="shared" si="0"/>
        <v>29</v>
      </c>
      <c r="N12" s="44" t="s">
        <v>3</v>
      </c>
      <c r="O12" s="44" t="s">
        <v>1229</v>
      </c>
      <c r="P12" s="74" t="s">
        <v>1246</v>
      </c>
      <c r="Q12" s="44"/>
      <c r="R12" s="72" t="s">
        <v>5</v>
      </c>
      <c r="S12" s="126"/>
      <c r="T12" s="126"/>
      <c r="U12" s="126"/>
      <c r="V12" s="126"/>
      <c r="W12" s="126"/>
      <c r="X12" s="126"/>
    </row>
    <row r="13" spans="2:24" ht="15" customHeight="1" x14ac:dyDescent="0.2">
      <c r="B13" s="119"/>
      <c r="C13" s="119"/>
      <c r="D13" s="44">
        <v>6</v>
      </c>
      <c r="E13" s="72" t="s">
        <v>961</v>
      </c>
      <c r="F13" s="44" t="s">
        <v>16</v>
      </c>
      <c r="G13" s="44" t="s">
        <v>1341</v>
      </c>
      <c r="H13" s="44" t="s">
        <v>9</v>
      </c>
      <c r="I13" s="44" t="s">
        <v>13</v>
      </c>
      <c r="J13" s="72" t="s">
        <v>1228</v>
      </c>
      <c r="K13" s="73">
        <v>35375</v>
      </c>
      <c r="L13" s="30">
        <v>1996</v>
      </c>
      <c r="M13" s="30">
        <f t="shared" si="0"/>
        <v>23</v>
      </c>
      <c r="N13" s="44" t="s">
        <v>3</v>
      </c>
      <c r="O13" s="44" t="s">
        <v>1229</v>
      </c>
      <c r="P13" s="74" t="s">
        <v>1270</v>
      </c>
      <c r="Q13" s="44"/>
      <c r="R13" s="72" t="s">
        <v>1332</v>
      </c>
      <c r="S13" s="126"/>
      <c r="T13" s="126"/>
      <c r="U13" s="126"/>
      <c r="V13" s="126"/>
      <c r="W13" s="126"/>
      <c r="X13" s="126"/>
    </row>
    <row r="14" spans="2:24" ht="15" customHeight="1" x14ac:dyDescent="0.2">
      <c r="B14" s="119">
        <v>2</v>
      </c>
      <c r="C14" s="119"/>
      <c r="D14" s="44">
        <v>7</v>
      </c>
      <c r="E14" s="72" t="s">
        <v>698</v>
      </c>
      <c r="F14" s="44" t="s">
        <v>6</v>
      </c>
      <c r="G14" s="44" t="s">
        <v>962</v>
      </c>
      <c r="H14" s="44" t="s">
        <v>1</v>
      </c>
      <c r="I14" s="44" t="s">
        <v>2</v>
      </c>
      <c r="J14" s="72"/>
      <c r="K14" s="73">
        <v>32273</v>
      </c>
      <c r="L14" s="30">
        <f>YEAR(K14)</f>
        <v>1988</v>
      </c>
      <c r="M14" s="30">
        <f t="shared" si="0"/>
        <v>31</v>
      </c>
      <c r="N14" s="44" t="s">
        <v>3</v>
      </c>
      <c r="O14" s="44"/>
      <c r="P14" s="74" t="s">
        <v>4</v>
      </c>
      <c r="Q14" s="44"/>
      <c r="R14" s="72" t="s">
        <v>34</v>
      </c>
      <c r="S14" s="126"/>
      <c r="T14" s="126"/>
      <c r="U14" s="126"/>
      <c r="V14" s="126"/>
      <c r="W14" s="126"/>
      <c r="X14" s="126"/>
    </row>
    <row r="15" spans="2:24" ht="15" customHeight="1" x14ac:dyDescent="0.2">
      <c r="B15" s="119"/>
      <c r="C15" s="119"/>
      <c r="D15" s="44">
        <v>8</v>
      </c>
      <c r="E15" s="72" t="s">
        <v>963</v>
      </c>
      <c r="F15" s="44" t="s">
        <v>11</v>
      </c>
      <c r="G15" s="44" t="s">
        <v>964</v>
      </c>
      <c r="H15" s="44" t="s">
        <v>9</v>
      </c>
      <c r="I15" s="44" t="s">
        <v>2</v>
      </c>
      <c r="J15" s="72"/>
      <c r="K15" s="73">
        <v>32356</v>
      </c>
      <c r="L15" s="30">
        <f t="shared" ref="L15:L16" si="1">YEAR(K15)</f>
        <v>1988</v>
      </c>
      <c r="M15" s="30">
        <f t="shared" si="0"/>
        <v>31</v>
      </c>
      <c r="N15" s="44" t="s">
        <v>3</v>
      </c>
      <c r="O15" s="44"/>
      <c r="P15" s="74" t="s">
        <v>4</v>
      </c>
      <c r="Q15" s="44"/>
      <c r="R15" s="72" t="s">
        <v>290</v>
      </c>
      <c r="S15" s="126"/>
      <c r="T15" s="126"/>
      <c r="U15" s="126"/>
      <c r="V15" s="126"/>
      <c r="W15" s="126"/>
      <c r="X15" s="126"/>
    </row>
    <row r="16" spans="2:24" ht="15" customHeight="1" x14ac:dyDescent="0.2">
      <c r="B16" s="119"/>
      <c r="C16" s="119"/>
      <c r="D16" s="44">
        <v>9</v>
      </c>
      <c r="E16" s="72" t="s">
        <v>965</v>
      </c>
      <c r="F16" s="44" t="s">
        <v>16</v>
      </c>
      <c r="G16" s="44" t="s">
        <v>966</v>
      </c>
      <c r="H16" s="44" t="s">
        <v>1</v>
      </c>
      <c r="I16" s="44" t="s">
        <v>13</v>
      </c>
      <c r="J16" s="72"/>
      <c r="K16" s="73">
        <v>41393</v>
      </c>
      <c r="L16" s="30">
        <f t="shared" si="1"/>
        <v>2013</v>
      </c>
      <c r="M16" s="30">
        <f t="shared" si="0"/>
        <v>6</v>
      </c>
      <c r="N16" s="44" t="s">
        <v>3</v>
      </c>
      <c r="O16" s="44"/>
      <c r="P16" s="74" t="s">
        <v>15</v>
      </c>
      <c r="Q16" s="44"/>
      <c r="R16" s="72" t="s">
        <v>15</v>
      </c>
      <c r="S16" s="126"/>
      <c r="T16" s="126"/>
      <c r="U16" s="126"/>
      <c r="V16" s="126"/>
      <c r="W16" s="126"/>
      <c r="X16" s="126"/>
    </row>
    <row r="17" spans="2:24" ht="25.5" x14ac:dyDescent="0.2">
      <c r="B17" s="119">
        <v>3</v>
      </c>
      <c r="C17" s="119" t="s">
        <v>1547</v>
      </c>
      <c r="D17" s="44">
        <v>10</v>
      </c>
      <c r="E17" s="72" t="s">
        <v>967</v>
      </c>
      <c r="F17" s="44" t="s">
        <v>6</v>
      </c>
      <c r="G17" s="44" t="s">
        <v>968</v>
      </c>
      <c r="H17" s="44" t="s">
        <v>9</v>
      </c>
      <c r="I17" s="44" t="s">
        <v>1296</v>
      </c>
      <c r="J17" s="72" t="s">
        <v>1228</v>
      </c>
      <c r="K17" s="73">
        <v>15888</v>
      </c>
      <c r="L17" s="30">
        <v>1943</v>
      </c>
      <c r="M17" s="30">
        <f t="shared" si="0"/>
        <v>76</v>
      </c>
      <c r="N17" s="44" t="s">
        <v>3</v>
      </c>
      <c r="O17" s="44" t="s">
        <v>1229</v>
      </c>
      <c r="P17" s="74" t="s">
        <v>1320</v>
      </c>
      <c r="Q17" s="44"/>
      <c r="R17" s="72" t="s">
        <v>1330</v>
      </c>
      <c r="S17" s="126"/>
      <c r="T17" s="126"/>
      <c r="U17" s="126"/>
      <c r="V17" s="126"/>
      <c r="W17" s="126"/>
      <c r="X17" s="126"/>
    </row>
    <row r="18" spans="2:24" ht="15" customHeight="1" x14ac:dyDescent="0.2">
      <c r="B18" s="119"/>
      <c r="C18" s="119"/>
      <c r="D18" s="44">
        <v>11</v>
      </c>
      <c r="E18" s="72" t="s">
        <v>969</v>
      </c>
      <c r="F18" s="44" t="s">
        <v>16</v>
      </c>
      <c r="G18" s="44" t="s">
        <v>970</v>
      </c>
      <c r="H18" s="44" t="s">
        <v>9</v>
      </c>
      <c r="I18" s="44" t="s">
        <v>13</v>
      </c>
      <c r="J18" s="72" t="s">
        <v>1228</v>
      </c>
      <c r="K18" s="73">
        <v>25020</v>
      </c>
      <c r="L18" s="30">
        <v>1968</v>
      </c>
      <c r="M18" s="30">
        <f t="shared" si="0"/>
        <v>51</v>
      </c>
      <c r="N18" s="44" t="s">
        <v>3</v>
      </c>
      <c r="O18" s="44" t="s">
        <v>1229</v>
      </c>
      <c r="P18" s="74" t="s">
        <v>1320</v>
      </c>
      <c r="Q18" s="44"/>
      <c r="R18" s="72" t="s">
        <v>1330</v>
      </c>
      <c r="S18" s="126"/>
      <c r="T18" s="126"/>
      <c r="U18" s="126"/>
      <c r="V18" s="126"/>
      <c r="W18" s="126"/>
      <c r="X18" s="126"/>
    </row>
    <row r="19" spans="2:24" ht="15" customHeight="1" x14ac:dyDescent="0.2">
      <c r="B19" s="119">
        <v>4</v>
      </c>
      <c r="C19" s="119" t="s">
        <v>1366</v>
      </c>
      <c r="D19" s="44">
        <v>12</v>
      </c>
      <c r="E19" s="72" t="s">
        <v>1367</v>
      </c>
      <c r="F19" s="44" t="s">
        <v>6</v>
      </c>
      <c r="G19" s="44" t="s">
        <v>971</v>
      </c>
      <c r="H19" s="44" t="s">
        <v>1</v>
      </c>
      <c r="I19" s="44" t="s">
        <v>2</v>
      </c>
      <c r="J19" s="72" t="s">
        <v>1228</v>
      </c>
      <c r="K19" s="73">
        <v>25020</v>
      </c>
      <c r="L19" s="30">
        <v>1968</v>
      </c>
      <c r="M19" s="30">
        <f t="shared" si="0"/>
        <v>51</v>
      </c>
      <c r="N19" s="44" t="s">
        <v>3</v>
      </c>
      <c r="O19" s="44" t="s">
        <v>1229</v>
      </c>
      <c r="P19" s="74" t="s">
        <v>1320</v>
      </c>
      <c r="Q19" s="44"/>
      <c r="R19" s="72" t="s">
        <v>1370</v>
      </c>
      <c r="S19" s="126"/>
      <c r="T19" s="126"/>
      <c r="U19" s="126"/>
      <c r="V19" s="126"/>
      <c r="W19" s="126"/>
      <c r="X19" s="126"/>
    </row>
    <row r="20" spans="2:24" ht="15" customHeight="1" x14ac:dyDescent="0.2">
      <c r="B20" s="119"/>
      <c r="C20" s="119"/>
      <c r="D20" s="44">
        <v>13</v>
      </c>
      <c r="E20" s="72" t="s">
        <v>972</v>
      </c>
      <c r="F20" s="44" t="s">
        <v>11</v>
      </c>
      <c r="G20" s="44" t="s">
        <v>973</v>
      </c>
      <c r="H20" s="44" t="s">
        <v>9</v>
      </c>
      <c r="I20" s="44" t="s">
        <v>2</v>
      </c>
      <c r="J20" s="72" t="s">
        <v>1228</v>
      </c>
      <c r="K20" s="73">
        <v>25750</v>
      </c>
      <c r="L20" s="30">
        <v>1970</v>
      </c>
      <c r="M20" s="30">
        <f t="shared" si="0"/>
        <v>49</v>
      </c>
      <c r="N20" s="44" t="s">
        <v>3</v>
      </c>
      <c r="O20" s="44" t="s">
        <v>1229</v>
      </c>
      <c r="P20" s="74" t="s">
        <v>1320</v>
      </c>
      <c r="Q20" s="44"/>
      <c r="R20" s="72" t="s">
        <v>1371</v>
      </c>
      <c r="S20" s="126"/>
      <c r="T20" s="126"/>
      <c r="U20" s="126"/>
      <c r="V20" s="126"/>
      <c r="W20" s="126"/>
      <c r="X20" s="126"/>
    </row>
    <row r="21" spans="2:24" ht="15" customHeight="1" x14ac:dyDescent="0.2">
      <c r="B21" s="119"/>
      <c r="C21" s="119"/>
      <c r="D21" s="44">
        <v>14</v>
      </c>
      <c r="E21" s="72" t="s">
        <v>1368</v>
      </c>
      <c r="F21" s="44" t="s">
        <v>16</v>
      </c>
      <c r="G21" s="44" t="s">
        <v>1369</v>
      </c>
      <c r="H21" s="44" t="s">
        <v>1</v>
      </c>
      <c r="I21" s="44" t="s">
        <v>13</v>
      </c>
      <c r="J21" s="72" t="s">
        <v>1228</v>
      </c>
      <c r="K21" s="73">
        <v>38513</v>
      </c>
      <c r="L21" s="30">
        <v>2005</v>
      </c>
      <c r="M21" s="30">
        <f t="shared" si="0"/>
        <v>14</v>
      </c>
      <c r="N21" s="44" t="s">
        <v>3</v>
      </c>
      <c r="O21" s="44" t="s">
        <v>1229</v>
      </c>
      <c r="P21" s="74" t="s">
        <v>1247</v>
      </c>
      <c r="Q21" s="44"/>
      <c r="R21" s="72" t="s">
        <v>1326</v>
      </c>
      <c r="S21" s="126"/>
      <c r="T21" s="126"/>
      <c r="U21" s="126"/>
      <c r="V21" s="126"/>
      <c r="W21" s="126"/>
      <c r="X21" s="126"/>
    </row>
    <row r="22" spans="2:24" ht="25.5" x14ac:dyDescent="0.2">
      <c r="B22" s="119">
        <v>5</v>
      </c>
      <c r="C22" s="119" t="s">
        <v>1448</v>
      </c>
      <c r="D22" s="44">
        <v>15</v>
      </c>
      <c r="E22" s="72" t="s">
        <v>974</v>
      </c>
      <c r="F22" s="44" t="s">
        <v>6</v>
      </c>
      <c r="G22" s="44" t="s">
        <v>975</v>
      </c>
      <c r="H22" s="44" t="s">
        <v>9</v>
      </c>
      <c r="I22" s="44" t="s">
        <v>1296</v>
      </c>
      <c r="J22" s="72" t="s">
        <v>1228</v>
      </c>
      <c r="K22" s="73">
        <v>25203</v>
      </c>
      <c r="L22" s="30">
        <v>1968</v>
      </c>
      <c r="M22" s="30">
        <f t="shared" si="0"/>
        <v>51</v>
      </c>
      <c r="N22" s="44" t="s">
        <v>3</v>
      </c>
      <c r="O22" s="44" t="s">
        <v>1229</v>
      </c>
      <c r="P22" s="74" t="s">
        <v>1320</v>
      </c>
      <c r="Q22" s="44"/>
      <c r="R22" s="72" t="s">
        <v>1370</v>
      </c>
      <c r="S22" s="126"/>
      <c r="T22" s="126"/>
      <c r="U22" s="126"/>
      <c r="V22" s="126"/>
      <c r="W22" s="126"/>
      <c r="X22" s="126"/>
    </row>
    <row r="23" spans="2:24" ht="15" customHeight="1" x14ac:dyDescent="0.2">
      <c r="B23" s="119"/>
      <c r="C23" s="119"/>
      <c r="D23" s="44">
        <v>16</v>
      </c>
      <c r="E23" s="72" t="s">
        <v>337</v>
      </c>
      <c r="F23" s="44" t="s">
        <v>16</v>
      </c>
      <c r="G23" s="44" t="s">
        <v>976</v>
      </c>
      <c r="H23" s="44" t="s">
        <v>1</v>
      </c>
      <c r="I23" s="44" t="s">
        <v>13</v>
      </c>
      <c r="J23" s="72" t="s">
        <v>1228</v>
      </c>
      <c r="K23" s="73">
        <v>32244</v>
      </c>
      <c r="L23" s="30">
        <v>1988</v>
      </c>
      <c r="M23" s="30">
        <f t="shared" si="0"/>
        <v>31</v>
      </c>
      <c r="N23" s="44" t="s">
        <v>3</v>
      </c>
      <c r="O23" s="44" t="s">
        <v>1229</v>
      </c>
      <c r="P23" s="74" t="s">
        <v>1233</v>
      </c>
      <c r="Q23" s="44"/>
      <c r="R23" s="72" t="s">
        <v>5</v>
      </c>
      <c r="S23" s="126"/>
      <c r="T23" s="126"/>
      <c r="U23" s="126"/>
      <c r="V23" s="126"/>
      <c r="W23" s="126"/>
      <c r="X23" s="126"/>
    </row>
    <row r="24" spans="2:24" ht="15" customHeight="1" x14ac:dyDescent="0.2">
      <c r="B24" s="119">
        <v>6</v>
      </c>
      <c r="C24" s="119"/>
      <c r="D24" s="44">
        <v>17</v>
      </c>
      <c r="E24" s="72" t="s">
        <v>622</v>
      </c>
      <c r="F24" s="44" t="s">
        <v>6</v>
      </c>
      <c r="G24" s="44" t="s">
        <v>977</v>
      </c>
      <c r="H24" s="44" t="s">
        <v>9</v>
      </c>
      <c r="I24" s="44" t="s">
        <v>19</v>
      </c>
      <c r="J24" s="72"/>
      <c r="K24" s="73">
        <v>32871</v>
      </c>
      <c r="L24" s="30">
        <v>1989</v>
      </c>
      <c r="M24" s="30">
        <f t="shared" si="0"/>
        <v>30</v>
      </c>
      <c r="N24" s="44" t="s">
        <v>3</v>
      </c>
      <c r="O24" s="44"/>
      <c r="P24" s="74" t="s">
        <v>15</v>
      </c>
      <c r="Q24" s="44"/>
      <c r="R24" s="72" t="s">
        <v>34</v>
      </c>
      <c r="S24" s="126"/>
      <c r="T24" s="126"/>
      <c r="U24" s="126"/>
      <c r="V24" s="126"/>
      <c r="W24" s="126"/>
      <c r="X24" s="126"/>
    </row>
    <row r="25" spans="2:24" ht="15" customHeight="1" x14ac:dyDescent="0.2">
      <c r="B25" s="119"/>
      <c r="C25" s="119"/>
      <c r="D25" s="44">
        <v>18</v>
      </c>
      <c r="E25" s="72" t="s">
        <v>978</v>
      </c>
      <c r="F25" s="44" t="s">
        <v>16</v>
      </c>
      <c r="G25" s="44" t="s">
        <v>979</v>
      </c>
      <c r="H25" s="44" t="s">
        <v>9</v>
      </c>
      <c r="I25" s="44" t="s">
        <v>13</v>
      </c>
      <c r="J25" s="72"/>
      <c r="K25" s="73">
        <v>40739</v>
      </c>
      <c r="L25" s="30">
        <f>YEAR(K25)</f>
        <v>2011</v>
      </c>
      <c r="M25" s="30">
        <f t="shared" si="0"/>
        <v>8</v>
      </c>
      <c r="N25" s="44" t="s">
        <v>3</v>
      </c>
      <c r="O25" s="44"/>
      <c r="P25" s="74" t="s">
        <v>15</v>
      </c>
      <c r="Q25" s="44"/>
      <c r="R25" s="72" t="s">
        <v>15</v>
      </c>
      <c r="S25" s="126"/>
      <c r="T25" s="126"/>
      <c r="U25" s="126"/>
      <c r="V25" s="126"/>
      <c r="W25" s="126"/>
      <c r="X25" s="126"/>
    </row>
    <row r="26" spans="2:24" ht="25.5" x14ac:dyDescent="0.2">
      <c r="B26" s="119">
        <v>7</v>
      </c>
      <c r="C26" s="119" t="s">
        <v>1418</v>
      </c>
      <c r="D26" s="44">
        <v>19</v>
      </c>
      <c r="E26" s="72" t="s">
        <v>272</v>
      </c>
      <c r="F26" s="44" t="s">
        <v>6</v>
      </c>
      <c r="G26" s="44" t="s">
        <v>980</v>
      </c>
      <c r="H26" s="44" t="s">
        <v>9</v>
      </c>
      <c r="I26" s="44" t="s">
        <v>1421</v>
      </c>
      <c r="J26" s="72" t="s">
        <v>1228</v>
      </c>
      <c r="K26" s="73">
        <v>23742</v>
      </c>
      <c r="L26" s="30">
        <v>1964</v>
      </c>
      <c r="M26" s="30">
        <f t="shared" si="0"/>
        <v>55</v>
      </c>
      <c r="N26" s="44" t="s">
        <v>3</v>
      </c>
      <c r="O26" s="44" t="s">
        <v>1229</v>
      </c>
      <c r="P26" s="74" t="s">
        <v>1233</v>
      </c>
      <c r="Q26" s="44"/>
      <c r="R26" s="72" t="s">
        <v>1330</v>
      </c>
      <c r="S26" s="126"/>
      <c r="T26" s="126"/>
      <c r="U26" s="126"/>
      <c r="V26" s="126"/>
      <c r="W26" s="126"/>
      <c r="X26" s="126"/>
    </row>
    <row r="27" spans="2:24" ht="15" customHeight="1" x14ac:dyDescent="0.2">
      <c r="B27" s="119"/>
      <c r="C27" s="119"/>
      <c r="D27" s="44">
        <v>20</v>
      </c>
      <c r="E27" s="72" t="s">
        <v>547</v>
      </c>
      <c r="F27" s="44" t="s">
        <v>16</v>
      </c>
      <c r="G27" s="44" t="s">
        <v>981</v>
      </c>
      <c r="H27" s="44" t="s">
        <v>1</v>
      </c>
      <c r="I27" s="44" t="s">
        <v>13</v>
      </c>
      <c r="J27" s="72" t="s">
        <v>1228</v>
      </c>
      <c r="K27" s="73">
        <v>35376</v>
      </c>
      <c r="L27" s="30">
        <v>1996</v>
      </c>
      <c r="M27" s="30">
        <f t="shared" si="0"/>
        <v>23</v>
      </c>
      <c r="N27" s="44" t="s">
        <v>3</v>
      </c>
      <c r="O27" s="44" t="s">
        <v>1229</v>
      </c>
      <c r="P27" s="74" t="s">
        <v>1233</v>
      </c>
      <c r="Q27" s="44"/>
      <c r="R27" s="72" t="s">
        <v>1332</v>
      </c>
      <c r="S27" s="126"/>
      <c r="T27" s="126"/>
      <c r="U27" s="126"/>
      <c r="V27" s="126"/>
      <c r="W27" s="126"/>
      <c r="X27" s="126"/>
    </row>
    <row r="28" spans="2:24" ht="15" customHeight="1" x14ac:dyDescent="0.2">
      <c r="B28" s="119"/>
      <c r="C28" s="119"/>
      <c r="D28" s="44">
        <v>21</v>
      </c>
      <c r="E28" s="72" t="s">
        <v>1801</v>
      </c>
      <c r="F28" s="44" t="s">
        <v>1419</v>
      </c>
      <c r="G28" s="44" t="s">
        <v>1420</v>
      </c>
      <c r="H28" s="44" t="s">
        <v>9</v>
      </c>
      <c r="I28" s="44" t="s">
        <v>13</v>
      </c>
      <c r="J28" s="72" t="s">
        <v>1228</v>
      </c>
      <c r="K28" s="73">
        <v>34881</v>
      </c>
      <c r="L28" s="30">
        <v>1995</v>
      </c>
      <c r="M28" s="30">
        <f t="shared" si="0"/>
        <v>24</v>
      </c>
      <c r="N28" s="44" t="s">
        <v>3</v>
      </c>
      <c r="O28" s="44" t="s">
        <v>1229</v>
      </c>
      <c r="P28" s="74" t="s">
        <v>1270</v>
      </c>
      <c r="Q28" s="44"/>
      <c r="R28" s="72" t="s">
        <v>1330</v>
      </c>
      <c r="S28" s="126"/>
      <c r="T28" s="126"/>
      <c r="U28" s="126"/>
      <c r="V28" s="126"/>
      <c r="W28" s="126"/>
      <c r="X28" s="126"/>
    </row>
    <row r="29" spans="2:24" ht="15" customHeight="1" x14ac:dyDescent="0.2">
      <c r="B29" s="119">
        <v>8</v>
      </c>
      <c r="C29" s="119" t="s">
        <v>1372</v>
      </c>
      <c r="D29" s="44">
        <v>22</v>
      </c>
      <c r="E29" s="72" t="s">
        <v>983</v>
      </c>
      <c r="F29" s="44" t="s">
        <v>6</v>
      </c>
      <c r="G29" s="44" t="s">
        <v>984</v>
      </c>
      <c r="H29" s="44" t="s">
        <v>1</v>
      </c>
      <c r="I29" s="44" t="s">
        <v>2</v>
      </c>
      <c r="J29" s="72" t="s">
        <v>1228</v>
      </c>
      <c r="K29" s="73">
        <v>21185</v>
      </c>
      <c r="L29" s="30">
        <v>1957</v>
      </c>
      <c r="M29" s="30">
        <f t="shared" si="0"/>
        <v>62</v>
      </c>
      <c r="N29" s="44" t="s">
        <v>3</v>
      </c>
      <c r="O29" s="44" t="s">
        <v>1229</v>
      </c>
      <c r="P29" s="74" t="s">
        <v>1233</v>
      </c>
      <c r="Q29" s="44"/>
      <c r="R29" s="72" t="s">
        <v>290</v>
      </c>
      <c r="S29" s="126"/>
      <c r="T29" s="126"/>
      <c r="U29" s="126"/>
      <c r="V29" s="126"/>
      <c r="W29" s="126"/>
      <c r="X29" s="126"/>
    </row>
    <row r="30" spans="2:24" ht="15" customHeight="1" x14ac:dyDescent="0.2">
      <c r="B30" s="119"/>
      <c r="C30" s="119"/>
      <c r="D30" s="44">
        <v>23</v>
      </c>
      <c r="E30" s="72" t="s">
        <v>985</v>
      </c>
      <c r="F30" s="44" t="s">
        <v>11</v>
      </c>
      <c r="G30" s="44" t="s">
        <v>1373</v>
      </c>
      <c r="H30" s="44" t="s">
        <v>9</v>
      </c>
      <c r="I30" s="44" t="s">
        <v>2</v>
      </c>
      <c r="J30" s="72" t="s">
        <v>1228</v>
      </c>
      <c r="K30" s="73">
        <v>26664</v>
      </c>
      <c r="L30" s="30">
        <v>1972</v>
      </c>
      <c r="M30" s="30">
        <f t="shared" si="0"/>
        <v>47</v>
      </c>
      <c r="N30" s="44" t="s">
        <v>3</v>
      </c>
      <c r="O30" s="44" t="s">
        <v>1229</v>
      </c>
      <c r="P30" s="74" t="s">
        <v>1233</v>
      </c>
      <c r="Q30" s="44"/>
      <c r="R30" s="72" t="s">
        <v>290</v>
      </c>
      <c r="S30" s="126"/>
      <c r="T30" s="126"/>
      <c r="U30" s="126"/>
      <c r="V30" s="126"/>
      <c r="W30" s="126"/>
      <c r="X30" s="126"/>
    </row>
    <row r="31" spans="2:24" ht="15" customHeight="1" x14ac:dyDescent="0.2">
      <c r="B31" s="119"/>
      <c r="C31" s="119"/>
      <c r="D31" s="44">
        <v>24</v>
      </c>
      <c r="E31" s="72" t="s">
        <v>986</v>
      </c>
      <c r="F31" s="44" t="s">
        <v>16</v>
      </c>
      <c r="G31" s="44" t="s">
        <v>987</v>
      </c>
      <c r="H31" s="44" t="s">
        <v>1</v>
      </c>
      <c r="I31" s="44" t="s">
        <v>13</v>
      </c>
      <c r="J31" s="72" t="s">
        <v>1228</v>
      </c>
      <c r="K31" s="73">
        <v>39419</v>
      </c>
      <c r="L31" s="30">
        <v>2007</v>
      </c>
      <c r="M31" s="30">
        <f t="shared" si="0"/>
        <v>12</v>
      </c>
      <c r="N31" s="44" t="s">
        <v>3</v>
      </c>
      <c r="O31" s="44" t="s">
        <v>1229</v>
      </c>
      <c r="P31" s="74" t="s">
        <v>1320</v>
      </c>
      <c r="Q31" s="44"/>
      <c r="R31" s="72" t="s">
        <v>1332</v>
      </c>
      <c r="S31" s="126"/>
      <c r="T31" s="126"/>
      <c r="U31" s="126"/>
      <c r="V31" s="126"/>
      <c r="W31" s="126"/>
      <c r="X31" s="126"/>
    </row>
    <row r="32" spans="2:24" ht="15" customHeight="1" x14ac:dyDescent="0.2">
      <c r="B32" s="119">
        <v>9</v>
      </c>
      <c r="C32" s="119"/>
      <c r="D32" s="44">
        <v>25</v>
      </c>
      <c r="E32" s="72" t="s">
        <v>840</v>
      </c>
      <c r="F32" s="44" t="s">
        <v>6</v>
      </c>
      <c r="G32" s="44" t="s">
        <v>988</v>
      </c>
      <c r="H32" s="44" t="s">
        <v>1</v>
      </c>
      <c r="I32" s="44" t="s">
        <v>2</v>
      </c>
      <c r="J32" s="72"/>
      <c r="K32" s="73">
        <v>23175</v>
      </c>
      <c r="L32" s="30">
        <f t="shared" ref="L32:L35" si="2">YEAR(K32)</f>
        <v>1963</v>
      </c>
      <c r="M32" s="30">
        <f t="shared" si="0"/>
        <v>56</v>
      </c>
      <c r="N32" s="44" t="s">
        <v>3</v>
      </c>
      <c r="O32" s="44"/>
      <c r="P32" s="74" t="s">
        <v>15</v>
      </c>
      <c r="Q32" s="44"/>
      <c r="R32" s="72" t="s">
        <v>34</v>
      </c>
      <c r="S32" s="126"/>
      <c r="T32" s="126"/>
      <c r="U32" s="126"/>
      <c r="V32" s="126"/>
      <c r="W32" s="126"/>
      <c r="X32" s="126"/>
    </row>
    <row r="33" spans="2:24" ht="15" customHeight="1" x14ac:dyDescent="0.2">
      <c r="B33" s="119"/>
      <c r="C33" s="119"/>
      <c r="D33" s="44">
        <v>26</v>
      </c>
      <c r="E33" s="72" t="s">
        <v>989</v>
      </c>
      <c r="F33" s="44" t="s">
        <v>11</v>
      </c>
      <c r="G33" s="44" t="s">
        <v>990</v>
      </c>
      <c r="H33" s="44" t="s">
        <v>9</v>
      </c>
      <c r="I33" s="44" t="s">
        <v>2</v>
      </c>
      <c r="J33" s="72"/>
      <c r="K33" s="73">
        <v>23534</v>
      </c>
      <c r="L33" s="30">
        <f t="shared" si="2"/>
        <v>1964</v>
      </c>
      <c r="M33" s="30">
        <f t="shared" si="0"/>
        <v>55</v>
      </c>
      <c r="N33" s="44" t="s">
        <v>3</v>
      </c>
      <c r="O33" s="44"/>
      <c r="P33" s="74" t="s">
        <v>15</v>
      </c>
      <c r="Q33" s="44"/>
      <c r="R33" s="72" t="s">
        <v>15</v>
      </c>
      <c r="S33" s="126"/>
      <c r="T33" s="126"/>
      <c r="U33" s="126"/>
      <c r="V33" s="126"/>
      <c r="W33" s="126"/>
      <c r="X33" s="126"/>
    </row>
    <row r="34" spans="2:24" ht="15" customHeight="1" x14ac:dyDescent="0.2">
      <c r="B34" s="119"/>
      <c r="C34" s="119"/>
      <c r="D34" s="44">
        <v>27</v>
      </c>
      <c r="E34" s="72" t="s">
        <v>380</v>
      </c>
      <c r="F34" s="44" t="s">
        <v>16</v>
      </c>
      <c r="G34" s="44" t="s">
        <v>991</v>
      </c>
      <c r="H34" s="44" t="s">
        <v>1</v>
      </c>
      <c r="I34" s="44" t="s">
        <v>13</v>
      </c>
      <c r="J34" s="72"/>
      <c r="K34" s="73">
        <v>31394</v>
      </c>
      <c r="L34" s="30">
        <f t="shared" si="2"/>
        <v>1985</v>
      </c>
      <c r="M34" s="30">
        <f t="shared" si="0"/>
        <v>34</v>
      </c>
      <c r="N34" s="44" t="s">
        <v>3</v>
      </c>
      <c r="O34" s="44"/>
      <c r="P34" s="74" t="s">
        <v>14</v>
      </c>
      <c r="Q34" s="44"/>
      <c r="R34" s="72" t="s">
        <v>34</v>
      </c>
      <c r="S34" s="126"/>
      <c r="T34" s="126"/>
      <c r="U34" s="126"/>
      <c r="V34" s="126"/>
      <c r="W34" s="126"/>
      <c r="X34" s="126"/>
    </row>
    <row r="35" spans="2:24" ht="15" customHeight="1" x14ac:dyDescent="0.2">
      <c r="B35" s="119"/>
      <c r="C35" s="119"/>
      <c r="D35" s="44">
        <v>28</v>
      </c>
      <c r="E35" s="72" t="s">
        <v>992</v>
      </c>
      <c r="F35" s="44" t="s">
        <v>16</v>
      </c>
      <c r="G35" s="44">
        <v>0</v>
      </c>
      <c r="H35" s="44" t="s">
        <v>1</v>
      </c>
      <c r="I35" s="44" t="s">
        <v>13</v>
      </c>
      <c r="J35" s="72"/>
      <c r="K35" s="73">
        <v>32440</v>
      </c>
      <c r="L35" s="30">
        <f t="shared" si="2"/>
        <v>1988</v>
      </c>
      <c r="M35" s="30">
        <f t="shared" si="0"/>
        <v>31</v>
      </c>
      <c r="N35" s="44" t="s">
        <v>3</v>
      </c>
      <c r="O35" s="44"/>
      <c r="P35" s="74" t="s">
        <v>14</v>
      </c>
      <c r="Q35" s="44"/>
      <c r="R35" s="72" t="s">
        <v>15</v>
      </c>
      <c r="S35" s="126"/>
      <c r="T35" s="126"/>
      <c r="U35" s="126"/>
      <c r="V35" s="126"/>
      <c r="W35" s="126"/>
      <c r="X35" s="126"/>
    </row>
    <row r="36" spans="2:24" ht="15" customHeight="1" x14ac:dyDescent="0.2">
      <c r="B36" s="119">
        <v>10</v>
      </c>
      <c r="C36" s="119"/>
      <c r="D36" s="44">
        <v>29</v>
      </c>
      <c r="E36" s="72" t="s">
        <v>292</v>
      </c>
      <c r="F36" s="44" t="s">
        <v>6</v>
      </c>
      <c r="G36" s="44" t="s">
        <v>993</v>
      </c>
      <c r="H36" s="44" t="s">
        <v>1</v>
      </c>
      <c r="I36" s="44" t="s">
        <v>19</v>
      </c>
      <c r="J36" s="72"/>
      <c r="K36" s="73">
        <v>33238</v>
      </c>
      <c r="L36" s="30">
        <v>1990</v>
      </c>
      <c r="M36" s="30">
        <f t="shared" si="0"/>
        <v>29</v>
      </c>
      <c r="N36" s="44" t="s">
        <v>3</v>
      </c>
      <c r="O36" s="44"/>
      <c r="P36" s="74" t="s">
        <v>14</v>
      </c>
      <c r="Q36" s="44"/>
      <c r="R36" s="72" t="s">
        <v>34</v>
      </c>
      <c r="S36" s="126"/>
      <c r="T36" s="126"/>
      <c r="U36" s="126"/>
      <c r="V36" s="126"/>
      <c r="W36" s="126"/>
      <c r="X36" s="126"/>
    </row>
    <row r="37" spans="2:24" ht="15" customHeight="1" x14ac:dyDescent="0.2">
      <c r="B37" s="119"/>
      <c r="C37" s="119"/>
      <c r="D37" s="44">
        <v>30</v>
      </c>
      <c r="E37" s="72" t="s">
        <v>994</v>
      </c>
      <c r="F37" s="44" t="s">
        <v>16</v>
      </c>
      <c r="G37" s="44">
        <v>0</v>
      </c>
      <c r="H37" s="44" t="s">
        <v>9</v>
      </c>
      <c r="I37" s="44" t="s">
        <v>13</v>
      </c>
      <c r="J37" s="72"/>
      <c r="K37" s="73">
        <v>40569</v>
      </c>
      <c r="L37" s="30">
        <f>YEAR(K37)</f>
        <v>2011</v>
      </c>
      <c r="M37" s="30">
        <f t="shared" si="0"/>
        <v>8</v>
      </c>
      <c r="N37" s="44" t="s">
        <v>3</v>
      </c>
      <c r="O37" s="44"/>
      <c r="P37" s="74" t="s">
        <v>15</v>
      </c>
      <c r="Q37" s="44"/>
      <c r="R37" s="72" t="s">
        <v>10</v>
      </c>
      <c r="S37" s="126"/>
      <c r="T37" s="126"/>
      <c r="U37" s="126"/>
      <c r="V37" s="126"/>
      <c r="W37" s="126"/>
      <c r="X37" s="126"/>
    </row>
    <row r="38" spans="2:24" ht="15" customHeight="1" x14ac:dyDescent="0.2">
      <c r="B38" s="119">
        <v>11</v>
      </c>
      <c r="C38" s="119" t="s">
        <v>1523</v>
      </c>
      <c r="D38" s="44">
        <v>31</v>
      </c>
      <c r="E38" s="72" t="s">
        <v>1522</v>
      </c>
      <c r="F38" s="44" t="s">
        <v>6</v>
      </c>
      <c r="G38" s="44" t="s">
        <v>1524</v>
      </c>
      <c r="H38" s="44" t="s">
        <v>1</v>
      </c>
      <c r="I38" s="44" t="s">
        <v>2</v>
      </c>
      <c r="J38" s="72" t="s">
        <v>1228</v>
      </c>
      <c r="K38" s="73">
        <v>30937</v>
      </c>
      <c r="L38" s="30">
        <v>1984</v>
      </c>
      <c r="M38" s="30">
        <f t="shared" si="0"/>
        <v>35</v>
      </c>
      <c r="N38" s="44" t="s">
        <v>3</v>
      </c>
      <c r="O38" s="44" t="s">
        <v>1229</v>
      </c>
      <c r="P38" s="74" t="s">
        <v>1246</v>
      </c>
      <c r="Q38" s="44"/>
      <c r="R38" s="72" t="s">
        <v>290</v>
      </c>
      <c r="S38" s="126"/>
      <c r="T38" s="126"/>
      <c r="U38" s="126"/>
      <c r="V38" s="126"/>
      <c r="W38" s="126"/>
      <c r="X38" s="126"/>
    </row>
    <row r="39" spans="2:24" ht="15" customHeight="1" x14ac:dyDescent="0.2">
      <c r="B39" s="119"/>
      <c r="C39" s="119"/>
      <c r="D39" s="44">
        <v>32</v>
      </c>
      <c r="E39" s="72" t="s">
        <v>995</v>
      </c>
      <c r="F39" s="44" t="s">
        <v>11</v>
      </c>
      <c r="G39" s="44" t="s">
        <v>1525</v>
      </c>
      <c r="H39" s="44" t="s">
        <v>9</v>
      </c>
      <c r="I39" s="44" t="s">
        <v>2</v>
      </c>
      <c r="J39" s="72" t="s">
        <v>1527</v>
      </c>
      <c r="K39" s="73">
        <v>31412</v>
      </c>
      <c r="L39" s="30">
        <v>1985</v>
      </c>
      <c r="M39" s="30">
        <f t="shared" si="0"/>
        <v>34</v>
      </c>
      <c r="N39" s="44" t="s">
        <v>3</v>
      </c>
      <c r="O39" s="44" t="s">
        <v>1229</v>
      </c>
      <c r="P39" s="74" t="s">
        <v>1246</v>
      </c>
      <c r="Q39" s="44"/>
      <c r="R39" s="72" t="s">
        <v>290</v>
      </c>
      <c r="S39" s="126"/>
      <c r="T39" s="126"/>
      <c r="U39" s="126"/>
      <c r="V39" s="126"/>
      <c r="W39" s="126"/>
      <c r="X39" s="126"/>
    </row>
    <row r="40" spans="2:24" ht="15" customHeight="1" x14ac:dyDescent="0.2">
      <c r="B40" s="119"/>
      <c r="C40" s="119"/>
      <c r="D40" s="44">
        <v>33</v>
      </c>
      <c r="E40" s="72" t="s">
        <v>1521</v>
      </c>
      <c r="F40" s="44" t="s">
        <v>16</v>
      </c>
      <c r="G40" s="44" t="s">
        <v>1526</v>
      </c>
      <c r="H40" s="44" t="s">
        <v>1</v>
      </c>
      <c r="I40" s="44" t="s">
        <v>13</v>
      </c>
      <c r="J40" s="72" t="s">
        <v>1466</v>
      </c>
      <c r="K40" s="73">
        <v>39607</v>
      </c>
      <c r="L40" s="30">
        <v>2008</v>
      </c>
      <c r="M40" s="30">
        <f t="shared" ref="M40:M71" si="3">2019-L40</f>
        <v>11</v>
      </c>
      <c r="N40" s="44" t="s">
        <v>3</v>
      </c>
      <c r="O40" s="44" t="s">
        <v>1229</v>
      </c>
      <c r="P40" s="74" t="s">
        <v>1247</v>
      </c>
      <c r="Q40" s="44"/>
      <c r="R40" s="72" t="s">
        <v>1326</v>
      </c>
      <c r="S40" s="126"/>
      <c r="T40" s="126"/>
      <c r="U40" s="126"/>
      <c r="V40" s="126"/>
      <c r="W40" s="126"/>
      <c r="X40" s="126"/>
    </row>
    <row r="41" spans="2:24" ht="15" customHeight="1" x14ac:dyDescent="0.2">
      <c r="B41" s="119">
        <v>12</v>
      </c>
      <c r="C41" s="119"/>
      <c r="D41" s="44">
        <v>34</v>
      </c>
      <c r="E41" s="72" t="s">
        <v>996</v>
      </c>
      <c r="F41" s="44" t="s">
        <v>6</v>
      </c>
      <c r="G41" s="44">
        <v>0</v>
      </c>
      <c r="H41" s="44" t="s">
        <v>1</v>
      </c>
      <c r="I41" s="44" t="s">
        <v>95</v>
      </c>
      <c r="J41" s="72"/>
      <c r="K41" s="73">
        <v>24107</v>
      </c>
      <c r="L41" s="30">
        <v>1965</v>
      </c>
      <c r="M41" s="30">
        <f t="shared" si="3"/>
        <v>54</v>
      </c>
      <c r="N41" s="44" t="s">
        <v>3</v>
      </c>
      <c r="O41" s="44"/>
      <c r="P41" s="74" t="s">
        <v>15</v>
      </c>
      <c r="Q41" s="44"/>
      <c r="R41" s="72" t="s">
        <v>34</v>
      </c>
      <c r="S41" s="126"/>
      <c r="T41" s="126"/>
      <c r="U41" s="126"/>
      <c r="V41" s="126"/>
      <c r="W41" s="126"/>
      <c r="X41" s="126"/>
    </row>
    <row r="42" spans="2:24" ht="15" customHeight="1" x14ac:dyDescent="0.2">
      <c r="B42" s="119"/>
      <c r="C42" s="119"/>
      <c r="D42" s="44">
        <v>35</v>
      </c>
      <c r="E42" s="72" t="s">
        <v>997</v>
      </c>
      <c r="F42" s="44" t="s">
        <v>16</v>
      </c>
      <c r="G42" s="44">
        <v>0</v>
      </c>
      <c r="H42" s="44" t="s">
        <v>1</v>
      </c>
      <c r="I42" s="44" t="s">
        <v>13</v>
      </c>
      <c r="J42" s="72"/>
      <c r="K42" s="73">
        <v>35247</v>
      </c>
      <c r="L42" s="30">
        <f>YEAR(K42)</f>
        <v>1996</v>
      </c>
      <c r="M42" s="30">
        <f t="shared" si="3"/>
        <v>23</v>
      </c>
      <c r="N42" s="44" t="s">
        <v>3</v>
      </c>
      <c r="O42" s="44"/>
      <c r="P42" s="74" t="s">
        <v>15</v>
      </c>
      <c r="Q42" s="44"/>
      <c r="R42" s="72" t="s">
        <v>34</v>
      </c>
      <c r="S42" s="126"/>
      <c r="T42" s="126"/>
      <c r="U42" s="126"/>
      <c r="V42" s="126"/>
      <c r="W42" s="126"/>
      <c r="X42" s="126"/>
    </row>
    <row r="43" spans="2:24" ht="15" customHeight="1" x14ac:dyDescent="0.2">
      <c r="B43" s="119">
        <v>13</v>
      </c>
      <c r="C43" s="119"/>
      <c r="D43" s="44">
        <v>36</v>
      </c>
      <c r="E43" s="72" t="s">
        <v>998</v>
      </c>
      <c r="F43" s="44" t="s">
        <v>6</v>
      </c>
      <c r="G43" s="44">
        <v>0</v>
      </c>
      <c r="H43" s="44" t="s">
        <v>9</v>
      </c>
      <c r="I43" s="44" t="s">
        <v>19</v>
      </c>
      <c r="J43" s="72"/>
      <c r="K43" s="73">
        <v>25933</v>
      </c>
      <c r="L43" s="30">
        <v>1970</v>
      </c>
      <c r="M43" s="30">
        <f t="shared" si="3"/>
        <v>49</v>
      </c>
      <c r="N43" s="44" t="s">
        <v>3</v>
      </c>
      <c r="O43" s="44"/>
      <c r="P43" s="74" t="s">
        <v>15</v>
      </c>
      <c r="Q43" s="44"/>
      <c r="R43" s="72" t="s">
        <v>15</v>
      </c>
      <c r="S43" s="126"/>
      <c r="T43" s="126"/>
      <c r="U43" s="126"/>
      <c r="V43" s="126"/>
      <c r="W43" s="126"/>
      <c r="X43" s="126"/>
    </row>
    <row r="44" spans="2:24" ht="15" customHeight="1" x14ac:dyDescent="0.2">
      <c r="B44" s="119"/>
      <c r="C44" s="119"/>
      <c r="D44" s="44">
        <v>37</v>
      </c>
      <c r="E44" s="72" t="s">
        <v>999</v>
      </c>
      <c r="F44" s="44" t="s">
        <v>16</v>
      </c>
      <c r="G44" s="44">
        <v>0</v>
      </c>
      <c r="H44" s="44" t="s">
        <v>1</v>
      </c>
      <c r="I44" s="44" t="s">
        <v>13</v>
      </c>
      <c r="J44" s="72"/>
      <c r="K44" s="73">
        <v>35064</v>
      </c>
      <c r="L44" s="30">
        <f>YEAR(K44)</f>
        <v>1995</v>
      </c>
      <c r="M44" s="30">
        <f t="shared" si="3"/>
        <v>24</v>
      </c>
      <c r="N44" s="44" t="s">
        <v>3</v>
      </c>
      <c r="O44" s="44"/>
      <c r="P44" s="74" t="s">
        <v>14</v>
      </c>
      <c r="Q44" s="44"/>
      <c r="R44" s="72" t="s">
        <v>34</v>
      </c>
      <c r="S44" s="126"/>
      <c r="T44" s="126"/>
      <c r="U44" s="126"/>
      <c r="V44" s="126"/>
      <c r="W44" s="126"/>
      <c r="X44" s="126"/>
    </row>
    <row r="45" spans="2:24" ht="15" customHeight="1" x14ac:dyDescent="0.2">
      <c r="B45" s="119">
        <v>14</v>
      </c>
      <c r="C45" s="119" t="s">
        <v>1504</v>
      </c>
      <c r="D45" s="44">
        <v>38</v>
      </c>
      <c r="E45" s="72" t="s">
        <v>1505</v>
      </c>
      <c r="F45" s="44" t="s">
        <v>6</v>
      </c>
      <c r="G45" s="44" t="s">
        <v>1509</v>
      </c>
      <c r="H45" s="44" t="s">
        <v>1</v>
      </c>
      <c r="I45" s="44" t="s">
        <v>2</v>
      </c>
      <c r="J45" s="72" t="s">
        <v>1228</v>
      </c>
      <c r="K45" s="73">
        <v>29951</v>
      </c>
      <c r="L45" s="30">
        <v>1981</v>
      </c>
      <c r="M45" s="30">
        <f t="shared" si="3"/>
        <v>38</v>
      </c>
      <c r="N45" s="44" t="s">
        <v>3</v>
      </c>
      <c r="O45" s="44" t="s">
        <v>1229</v>
      </c>
      <c r="P45" s="74" t="s">
        <v>1233</v>
      </c>
      <c r="Q45" s="44"/>
      <c r="R45" s="72" t="s">
        <v>1330</v>
      </c>
      <c r="S45" s="126"/>
      <c r="T45" s="126"/>
      <c r="U45" s="126"/>
      <c r="V45" s="126"/>
      <c r="W45" s="126"/>
      <c r="X45" s="126"/>
    </row>
    <row r="46" spans="2:24" ht="15" customHeight="1" x14ac:dyDescent="0.2">
      <c r="B46" s="119"/>
      <c r="C46" s="119"/>
      <c r="D46" s="44">
        <v>39</v>
      </c>
      <c r="E46" s="72" t="s">
        <v>1000</v>
      </c>
      <c r="F46" s="44" t="s">
        <v>11</v>
      </c>
      <c r="G46" s="44" t="s">
        <v>1508</v>
      </c>
      <c r="H46" s="44" t="s">
        <v>9</v>
      </c>
      <c r="I46" s="44" t="s">
        <v>2</v>
      </c>
      <c r="J46" s="72" t="s">
        <v>1452</v>
      </c>
      <c r="K46" s="73">
        <v>30419</v>
      </c>
      <c r="L46" s="30">
        <v>1983</v>
      </c>
      <c r="M46" s="30">
        <f t="shared" si="3"/>
        <v>36</v>
      </c>
      <c r="N46" s="44" t="s">
        <v>3</v>
      </c>
      <c r="O46" s="44" t="s">
        <v>1229</v>
      </c>
      <c r="P46" s="74" t="s">
        <v>1270</v>
      </c>
      <c r="Q46" s="44"/>
      <c r="R46" s="72" t="s">
        <v>1360</v>
      </c>
      <c r="S46" s="126"/>
      <c r="T46" s="126"/>
      <c r="U46" s="126"/>
      <c r="V46" s="126"/>
      <c r="W46" s="126"/>
      <c r="X46" s="126"/>
    </row>
    <row r="47" spans="2:24" ht="15" customHeight="1" thickBot="1" x14ac:dyDescent="0.25">
      <c r="B47" s="119"/>
      <c r="C47" s="119"/>
      <c r="D47" s="44">
        <v>40</v>
      </c>
      <c r="E47" s="72" t="s">
        <v>1506</v>
      </c>
      <c r="F47" s="44" t="s">
        <v>16</v>
      </c>
      <c r="G47" s="44" t="s">
        <v>1507</v>
      </c>
      <c r="H47" s="44" t="s">
        <v>1</v>
      </c>
      <c r="I47" s="44" t="s">
        <v>13</v>
      </c>
      <c r="J47" s="72" t="s">
        <v>1228</v>
      </c>
      <c r="K47" s="73">
        <v>41353</v>
      </c>
      <c r="L47" s="30">
        <v>2013</v>
      </c>
      <c r="M47" s="30">
        <f t="shared" si="3"/>
        <v>6</v>
      </c>
      <c r="N47" s="44" t="s">
        <v>3</v>
      </c>
      <c r="O47" s="44" t="s">
        <v>1229</v>
      </c>
      <c r="P47" s="74" t="s">
        <v>1320</v>
      </c>
      <c r="Q47" s="44"/>
      <c r="R47" s="72" t="s">
        <v>1332</v>
      </c>
      <c r="S47" s="126"/>
      <c r="T47" s="126"/>
      <c r="U47" s="126"/>
      <c r="V47" s="126"/>
      <c r="W47" s="126"/>
      <c r="X47" s="126"/>
    </row>
    <row r="48" spans="2:24" ht="15" customHeight="1" x14ac:dyDescent="0.2">
      <c r="B48" s="44">
        <v>15</v>
      </c>
      <c r="C48" s="75"/>
      <c r="D48" s="44">
        <v>41</v>
      </c>
      <c r="E48" s="72" t="s">
        <v>261</v>
      </c>
      <c r="F48" s="44" t="s">
        <v>6</v>
      </c>
      <c r="G48" s="44" t="s">
        <v>1001</v>
      </c>
      <c r="H48" s="44" t="s">
        <v>1</v>
      </c>
      <c r="I48" s="44" t="s">
        <v>95</v>
      </c>
      <c r="J48" s="72"/>
      <c r="K48" s="73">
        <v>18810</v>
      </c>
      <c r="L48" s="30">
        <v>1951</v>
      </c>
      <c r="M48" s="30">
        <f t="shared" si="3"/>
        <v>68</v>
      </c>
      <c r="N48" s="44" t="s">
        <v>3</v>
      </c>
      <c r="O48" s="44"/>
      <c r="P48" s="74" t="s">
        <v>15</v>
      </c>
      <c r="Q48" s="44"/>
      <c r="R48" s="72" t="s">
        <v>15</v>
      </c>
      <c r="S48" s="131"/>
      <c r="T48" s="131"/>
      <c r="U48" s="131"/>
      <c r="V48" s="131"/>
      <c r="W48" s="131"/>
      <c r="X48" s="131"/>
    </row>
    <row r="49" spans="2:24" ht="15" customHeight="1" x14ac:dyDescent="0.2">
      <c r="B49" s="119">
        <v>16</v>
      </c>
      <c r="C49" s="119"/>
      <c r="D49" s="44">
        <v>42</v>
      </c>
      <c r="E49" s="72" t="s">
        <v>1002</v>
      </c>
      <c r="F49" s="44" t="s">
        <v>6</v>
      </c>
      <c r="G49" s="44">
        <v>0</v>
      </c>
      <c r="H49" s="44" t="s">
        <v>1</v>
      </c>
      <c r="I49" s="44" t="s">
        <v>2</v>
      </c>
      <c r="J49" s="72"/>
      <c r="K49" s="73">
        <v>27029</v>
      </c>
      <c r="L49" s="30">
        <f t="shared" ref="L49:L50" si="4">YEAR(K49)</f>
        <v>1973</v>
      </c>
      <c r="M49" s="30">
        <f t="shared" si="3"/>
        <v>46</v>
      </c>
      <c r="N49" s="44" t="s">
        <v>3</v>
      </c>
      <c r="O49" s="44"/>
      <c r="P49" s="74" t="s">
        <v>15</v>
      </c>
      <c r="Q49" s="44"/>
      <c r="R49" s="72" t="s">
        <v>34</v>
      </c>
      <c r="S49" s="126"/>
      <c r="T49" s="126"/>
      <c r="U49" s="126"/>
      <c r="V49" s="126"/>
      <c r="W49" s="126"/>
      <c r="X49" s="126"/>
    </row>
    <row r="50" spans="2:24" ht="15" customHeight="1" x14ac:dyDescent="0.2">
      <c r="B50" s="119"/>
      <c r="C50" s="119"/>
      <c r="D50" s="44">
        <v>43</v>
      </c>
      <c r="E50" s="72" t="s">
        <v>1003</v>
      </c>
      <c r="F50" s="44" t="s">
        <v>2</v>
      </c>
      <c r="G50" s="76"/>
      <c r="H50" s="44" t="s">
        <v>9</v>
      </c>
      <c r="I50" s="44" t="s">
        <v>2</v>
      </c>
      <c r="J50" s="72"/>
      <c r="K50" s="73">
        <v>28125</v>
      </c>
      <c r="L50" s="30">
        <f t="shared" si="4"/>
        <v>1976</v>
      </c>
      <c r="M50" s="30">
        <f t="shared" si="3"/>
        <v>43</v>
      </c>
      <c r="N50" s="44" t="s">
        <v>3</v>
      </c>
      <c r="O50" s="44"/>
      <c r="P50" s="74" t="s">
        <v>14</v>
      </c>
      <c r="Q50" s="44"/>
      <c r="R50" s="72">
        <v>16</v>
      </c>
      <c r="S50" s="126"/>
      <c r="T50" s="126"/>
      <c r="U50" s="126"/>
      <c r="V50" s="126"/>
      <c r="W50" s="126"/>
      <c r="X50" s="126"/>
    </row>
    <row r="51" spans="2:24" ht="15" customHeight="1" x14ac:dyDescent="0.2">
      <c r="B51" s="119">
        <v>17</v>
      </c>
      <c r="C51" s="119" t="s">
        <v>1415</v>
      </c>
      <c r="D51" s="44">
        <v>44</v>
      </c>
      <c r="E51" s="72" t="s">
        <v>81</v>
      </c>
      <c r="F51" s="44" t="s">
        <v>2</v>
      </c>
      <c r="G51" s="76" t="s">
        <v>1416</v>
      </c>
      <c r="H51" s="44" t="s">
        <v>1</v>
      </c>
      <c r="I51" s="44" t="s">
        <v>2</v>
      </c>
      <c r="J51" s="72" t="s">
        <v>1228</v>
      </c>
      <c r="K51" s="73">
        <v>27942</v>
      </c>
      <c r="L51" s="30">
        <v>1976</v>
      </c>
      <c r="M51" s="30">
        <f t="shared" si="3"/>
        <v>43</v>
      </c>
      <c r="N51" s="44" t="s">
        <v>3</v>
      </c>
      <c r="O51" s="44" t="s">
        <v>1229</v>
      </c>
      <c r="P51" s="74" t="s">
        <v>1320</v>
      </c>
      <c r="Q51" s="44"/>
      <c r="R51" s="72" t="s">
        <v>1330</v>
      </c>
      <c r="S51" s="126"/>
      <c r="T51" s="126"/>
      <c r="U51" s="126"/>
      <c r="V51" s="126"/>
      <c r="W51" s="126"/>
      <c r="X51" s="126"/>
    </row>
    <row r="52" spans="2:24" ht="15" customHeight="1" x14ac:dyDescent="0.2">
      <c r="B52" s="119"/>
      <c r="C52" s="119"/>
      <c r="D52" s="44">
        <v>45</v>
      </c>
      <c r="E52" s="72" t="s">
        <v>456</v>
      </c>
      <c r="F52" s="44" t="s">
        <v>11</v>
      </c>
      <c r="G52" s="44" t="s">
        <v>1004</v>
      </c>
      <c r="H52" s="44" t="s">
        <v>9</v>
      </c>
      <c r="I52" s="44" t="s">
        <v>2</v>
      </c>
      <c r="J52" s="72" t="s">
        <v>1228</v>
      </c>
      <c r="K52" s="73">
        <v>28672</v>
      </c>
      <c r="L52" s="30">
        <v>1978</v>
      </c>
      <c r="M52" s="30">
        <f t="shared" si="3"/>
        <v>41</v>
      </c>
      <c r="N52" s="44" t="s">
        <v>3</v>
      </c>
      <c r="O52" s="44" t="s">
        <v>1229</v>
      </c>
      <c r="P52" s="74" t="s">
        <v>1320</v>
      </c>
      <c r="Q52" s="44"/>
      <c r="R52" s="72" t="s">
        <v>1330</v>
      </c>
      <c r="S52" s="126"/>
      <c r="T52" s="126"/>
      <c r="U52" s="126"/>
      <c r="V52" s="126"/>
      <c r="W52" s="126"/>
      <c r="X52" s="126"/>
    </row>
    <row r="53" spans="2:24" ht="15" customHeight="1" x14ac:dyDescent="0.2">
      <c r="B53" s="119"/>
      <c r="C53" s="119"/>
      <c r="D53" s="44">
        <v>46</v>
      </c>
      <c r="E53" s="72" t="s">
        <v>1005</v>
      </c>
      <c r="F53" s="44" t="s">
        <v>16</v>
      </c>
      <c r="G53" s="44" t="s">
        <v>1417</v>
      </c>
      <c r="H53" s="44" t="s">
        <v>9</v>
      </c>
      <c r="I53" s="44" t="s">
        <v>13</v>
      </c>
      <c r="J53" s="72" t="s">
        <v>1228</v>
      </c>
      <c r="K53" s="73">
        <v>38453</v>
      </c>
      <c r="L53" s="30">
        <v>2005</v>
      </c>
      <c r="M53" s="30">
        <f t="shared" si="3"/>
        <v>14</v>
      </c>
      <c r="N53" s="44" t="s">
        <v>3</v>
      </c>
      <c r="O53" s="44" t="s">
        <v>1229</v>
      </c>
      <c r="P53" s="74" t="s">
        <v>1246</v>
      </c>
      <c r="Q53" s="44"/>
      <c r="R53" s="72" t="s">
        <v>1326</v>
      </c>
      <c r="S53" s="126"/>
      <c r="T53" s="126"/>
      <c r="U53" s="126"/>
      <c r="V53" s="126"/>
      <c r="W53" s="126"/>
      <c r="X53" s="126"/>
    </row>
    <row r="54" spans="2:24" ht="15" customHeight="1" x14ac:dyDescent="0.2">
      <c r="B54" s="119">
        <v>18</v>
      </c>
      <c r="C54" s="119"/>
      <c r="D54" s="44">
        <v>47</v>
      </c>
      <c r="E54" s="72" t="s">
        <v>642</v>
      </c>
      <c r="F54" s="44" t="s">
        <v>6</v>
      </c>
      <c r="G54" s="44">
        <v>0</v>
      </c>
      <c r="H54" s="44" t="s">
        <v>1</v>
      </c>
      <c r="I54" s="44" t="s">
        <v>2</v>
      </c>
      <c r="J54" s="72"/>
      <c r="K54" s="73">
        <v>32905</v>
      </c>
      <c r="L54" s="30">
        <f t="shared" ref="L54:L56" si="5">YEAR(K54)</f>
        <v>1990</v>
      </c>
      <c r="M54" s="30">
        <f t="shared" si="3"/>
        <v>29</v>
      </c>
      <c r="N54" s="44" t="s">
        <v>3</v>
      </c>
      <c r="O54" s="44"/>
      <c r="P54" s="74" t="s">
        <v>15</v>
      </c>
      <c r="Q54" s="44"/>
      <c r="R54" s="72" t="s">
        <v>34</v>
      </c>
      <c r="S54" s="126"/>
      <c r="T54" s="126"/>
      <c r="U54" s="126"/>
      <c r="V54" s="126"/>
      <c r="W54" s="126"/>
      <c r="X54" s="126"/>
    </row>
    <row r="55" spans="2:24" ht="15" customHeight="1" x14ac:dyDescent="0.2">
      <c r="B55" s="119"/>
      <c r="C55" s="119"/>
      <c r="D55" s="44">
        <v>48</v>
      </c>
      <c r="E55" s="72" t="s">
        <v>1006</v>
      </c>
      <c r="F55" s="44" t="s">
        <v>11</v>
      </c>
      <c r="G55" s="44">
        <v>0</v>
      </c>
      <c r="H55" s="44" t="s">
        <v>9</v>
      </c>
      <c r="I55" s="44" t="s">
        <v>2</v>
      </c>
      <c r="J55" s="72"/>
      <c r="K55" s="73">
        <v>31047</v>
      </c>
      <c r="L55" s="30">
        <f t="shared" si="5"/>
        <v>1984</v>
      </c>
      <c r="M55" s="30">
        <f t="shared" si="3"/>
        <v>35</v>
      </c>
      <c r="N55" s="44" t="s">
        <v>3</v>
      </c>
      <c r="O55" s="44"/>
      <c r="P55" s="74" t="s">
        <v>4</v>
      </c>
      <c r="Q55" s="44"/>
      <c r="R55" s="72" t="s">
        <v>34</v>
      </c>
      <c r="S55" s="126"/>
      <c r="T55" s="126"/>
      <c r="U55" s="126"/>
      <c r="V55" s="126"/>
      <c r="W55" s="126"/>
      <c r="X55" s="126"/>
    </row>
    <row r="56" spans="2:24" ht="15" customHeight="1" x14ac:dyDescent="0.2">
      <c r="B56" s="119"/>
      <c r="C56" s="119"/>
      <c r="D56" s="44">
        <v>49</v>
      </c>
      <c r="E56" s="72" t="s">
        <v>1007</v>
      </c>
      <c r="F56" s="44" t="s">
        <v>16</v>
      </c>
      <c r="G56" s="44">
        <v>0</v>
      </c>
      <c r="H56" s="44" t="s">
        <v>9</v>
      </c>
      <c r="I56" s="44" t="s">
        <v>13</v>
      </c>
      <c r="J56" s="72"/>
      <c r="K56" s="73">
        <v>41342</v>
      </c>
      <c r="L56" s="30">
        <f t="shared" si="5"/>
        <v>2013</v>
      </c>
      <c r="M56" s="30">
        <f t="shared" si="3"/>
        <v>6</v>
      </c>
      <c r="N56" s="44" t="s">
        <v>3</v>
      </c>
      <c r="O56" s="44"/>
      <c r="P56" s="74" t="s">
        <v>15</v>
      </c>
      <c r="Q56" s="44"/>
      <c r="R56" s="72" t="s">
        <v>15</v>
      </c>
      <c r="S56" s="126"/>
      <c r="T56" s="126"/>
      <c r="U56" s="126"/>
      <c r="V56" s="126"/>
      <c r="W56" s="126"/>
      <c r="X56" s="126"/>
    </row>
    <row r="57" spans="2:24" ht="15" customHeight="1" x14ac:dyDescent="0.2">
      <c r="B57" s="119">
        <v>19</v>
      </c>
      <c r="C57" s="119" t="s">
        <v>1329</v>
      </c>
      <c r="D57" s="44">
        <v>50</v>
      </c>
      <c r="E57" s="72" t="s">
        <v>1008</v>
      </c>
      <c r="F57" s="44" t="s">
        <v>6</v>
      </c>
      <c r="G57" s="44" t="s">
        <v>1009</v>
      </c>
      <c r="H57" s="44" t="s">
        <v>9</v>
      </c>
      <c r="I57" s="44" t="s">
        <v>13</v>
      </c>
      <c r="J57" s="72" t="s">
        <v>1228</v>
      </c>
      <c r="K57" s="73">
        <v>25020</v>
      </c>
      <c r="L57" s="30">
        <v>1968</v>
      </c>
      <c r="M57" s="30">
        <f t="shared" si="3"/>
        <v>51</v>
      </c>
      <c r="N57" s="44" t="s">
        <v>3</v>
      </c>
      <c r="O57" s="44" t="s">
        <v>1229</v>
      </c>
      <c r="P57" s="74" t="s">
        <v>1320</v>
      </c>
      <c r="Q57" s="44"/>
      <c r="R57" s="72" t="s">
        <v>1330</v>
      </c>
      <c r="S57" s="126"/>
      <c r="T57" s="126"/>
      <c r="U57" s="126"/>
      <c r="V57" s="126"/>
      <c r="W57" s="126"/>
      <c r="X57" s="126"/>
    </row>
    <row r="58" spans="2:24" ht="25.5" x14ac:dyDescent="0.2">
      <c r="B58" s="119"/>
      <c r="C58" s="119"/>
      <c r="D58" s="44">
        <v>51</v>
      </c>
      <c r="E58" s="72" t="s">
        <v>1010</v>
      </c>
      <c r="F58" s="44" t="s">
        <v>1331</v>
      </c>
      <c r="G58" s="44" t="s">
        <v>1011</v>
      </c>
      <c r="H58" s="44" t="s">
        <v>9</v>
      </c>
      <c r="I58" s="44" t="s">
        <v>1296</v>
      </c>
      <c r="J58" s="72" t="s">
        <v>1228</v>
      </c>
      <c r="K58" s="73">
        <v>14793</v>
      </c>
      <c r="L58" s="30">
        <v>1940</v>
      </c>
      <c r="M58" s="30">
        <f t="shared" si="3"/>
        <v>79</v>
      </c>
      <c r="N58" s="44" t="s">
        <v>3</v>
      </c>
      <c r="O58" s="44" t="s">
        <v>1229</v>
      </c>
      <c r="P58" s="74" t="s">
        <v>1320</v>
      </c>
      <c r="Q58" s="44"/>
      <c r="R58" s="72" t="s">
        <v>1332</v>
      </c>
      <c r="S58" s="126"/>
      <c r="T58" s="126"/>
      <c r="U58" s="126"/>
      <c r="V58" s="126"/>
      <c r="W58" s="126"/>
      <c r="X58" s="126"/>
    </row>
    <row r="59" spans="2:24" ht="15" customHeight="1" x14ac:dyDescent="0.2">
      <c r="B59" s="119">
        <v>20</v>
      </c>
      <c r="C59" s="119"/>
      <c r="D59" s="44">
        <v>52</v>
      </c>
      <c r="E59" s="72" t="s">
        <v>588</v>
      </c>
      <c r="F59" s="44" t="s">
        <v>6</v>
      </c>
      <c r="G59" s="44" t="s">
        <v>1012</v>
      </c>
      <c r="H59" s="44" t="s">
        <v>1</v>
      </c>
      <c r="I59" s="44" t="s">
        <v>2</v>
      </c>
      <c r="J59" s="72"/>
      <c r="K59" s="73">
        <v>33238</v>
      </c>
      <c r="L59" s="30">
        <f t="shared" ref="L59:L62" si="6">YEAR(K59)</f>
        <v>1990</v>
      </c>
      <c r="M59" s="30">
        <f t="shared" si="3"/>
        <v>29</v>
      </c>
      <c r="N59" s="44" t="s">
        <v>3</v>
      </c>
      <c r="O59" s="44"/>
      <c r="P59" s="74" t="s">
        <v>15</v>
      </c>
      <c r="Q59" s="44"/>
      <c r="R59" s="72" t="s">
        <v>34</v>
      </c>
      <c r="S59" s="126"/>
      <c r="T59" s="126"/>
      <c r="U59" s="126"/>
      <c r="V59" s="126"/>
      <c r="W59" s="126"/>
      <c r="X59" s="126"/>
    </row>
    <row r="60" spans="2:24" ht="15" customHeight="1" x14ac:dyDescent="0.2">
      <c r="B60" s="119"/>
      <c r="C60" s="119"/>
      <c r="D60" s="44">
        <v>53</v>
      </c>
      <c r="E60" s="72" t="s">
        <v>1013</v>
      </c>
      <c r="F60" s="44" t="s">
        <v>11</v>
      </c>
      <c r="G60" s="44" t="s">
        <v>1014</v>
      </c>
      <c r="H60" s="44" t="s">
        <v>9</v>
      </c>
      <c r="I60" s="44" t="s">
        <v>2</v>
      </c>
      <c r="J60" s="72"/>
      <c r="K60" s="73">
        <v>34710</v>
      </c>
      <c r="L60" s="30">
        <f t="shared" si="6"/>
        <v>1995</v>
      </c>
      <c r="M60" s="30">
        <f t="shared" si="3"/>
        <v>24</v>
      </c>
      <c r="N60" s="44" t="s">
        <v>3</v>
      </c>
      <c r="O60" s="44"/>
      <c r="P60" s="74" t="s">
        <v>4</v>
      </c>
      <c r="Q60" s="44"/>
      <c r="R60" s="72" t="s">
        <v>15</v>
      </c>
      <c r="S60" s="126"/>
      <c r="T60" s="126"/>
      <c r="U60" s="126"/>
      <c r="V60" s="126"/>
      <c r="W60" s="126"/>
      <c r="X60" s="126"/>
    </row>
    <row r="61" spans="2:24" ht="15" customHeight="1" x14ac:dyDescent="0.2">
      <c r="B61" s="119"/>
      <c r="C61" s="119"/>
      <c r="D61" s="44">
        <v>54</v>
      </c>
      <c r="E61" s="72" t="s">
        <v>1015</v>
      </c>
      <c r="F61" s="44" t="s">
        <v>16</v>
      </c>
      <c r="G61" s="44">
        <v>0</v>
      </c>
      <c r="H61" s="44" t="s">
        <v>1</v>
      </c>
      <c r="I61" s="44" t="s">
        <v>13</v>
      </c>
      <c r="J61" s="72"/>
      <c r="K61" s="73">
        <v>42127</v>
      </c>
      <c r="L61" s="30">
        <f t="shared" si="6"/>
        <v>2015</v>
      </c>
      <c r="M61" s="30">
        <f t="shared" si="3"/>
        <v>4</v>
      </c>
      <c r="N61" s="44" t="s">
        <v>3</v>
      </c>
      <c r="O61" s="44"/>
      <c r="P61" s="74" t="s">
        <v>15</v>
      </c>
      <c r="Q61" s="44"/>
      <c r="R61" s="72" t="s">
        <v>15</v>
      </c>
      <c r="S61" s="126"/>
      <c r="T61" s="126"/>
      <c r="U61" s="126"/>
      <c r="V61" s="126"/>
      <c r="W61" s="126"/>
      <c r="X61" s="126"/>
    </row>
    <row r="62" spans="2:24" ht="15" customHeight="1" x14ac:dyDescent="0.2">
      <c r="B62" s="44">
        <v>21</v>
      </c>
      <c r="C62" s="75"/>
      <c r="D62" s="44">
        <v>55</v>
      </c>
      <c r="E62" s="72" t="s">
        <v>1016</v>
      </c>
      <c r="F62" s="44" t="s">
        <v>6</v>
      </c>
      <c r="G62" s="44">
        <v>0</v>
      </c>
      <c r="H62" s="44" t="s">
        <v>1</v>
      </c>
      <c r="I62" s="44" t="s">
        <v>13</v>
      </c>
      <c r="J62" s="72"/>
      <c r="K62" s="73">
        <v>27759</v>
      </c>
      <c r="L62" s="30">
        <f t="shared" si="6"/>
        <v>1975</v>
      </c>
      <c r="M62" s="30">
        <f t="shared" si="3"/>
        <v>44</v>
      </c>
      <c r="N62" s="44" t="s">
        <v>3</v>
      </c>
      <c r="O62" s="44"/>
      <c r="P62" s="74" t="s">
        <v>14</v>
      </c>
      <c r="Q62" s="44"/>
      <c r="R62" s="72" t="s">
        <v>290</v>
      </c>
      <c r="S62" s="126"/>
      <c r="T62" s="126"/>
      <c r="U62" s="126"/>
      <c r="V62" s="126"/>
      <c r="W62" s="126"/>
      <c r="X62" s="126"/>
    </row>
    <row r="63" spans="2:24" ht="15" customHeight="1" x14ac:dyDescent="0.2">
      <c r="B63" s="119">
        <v>22</v>
      </c>
      <c r="C63" s="119" t="s">
        <v>1347</v>
      </c>
      <c r="D63" s="44">
        <v>56</v>
      </c>
      <c r="E63" s="72" t="s">
        <v>1017</v>
      </c>
      <c r="F63" s="44" t="s">
        <v>6</v>
      </c>
      <c r="G63" s="44" t="s">
        <v>1018</v>
      </c>
      <c r="H63" s="44" t="s">
        <v>1</v>
      </c>
      <c r="I63" s="44" t="s">
        <v>2</v>
      </c>
      <c r="J63" s="72" t="s">
        <v>1228</v>
      </c>
      <c r="K63" s="73">
        <v>28825</v>
      </c>
      <c r="L63" s="30">
        <v>1978</v>
      </c>
      <c r="M63" s="30">
        <f t="shared" si="3"/>
        <v>41</v>
      </c>
      <c r="N63" s="44" t="s">
        <v>3</v>
      </c>
      <c r="O63" s="44" t="s">
        <v>1229</v>
      </c>
      <c r="P63" s="74" t="s">
        <v>1270</v>
      </c>
      <c r="Q63" s="44"/>
      <c r="R63" s="72" t="s">
        <v>5</v>
      </c>
      <c r="S63" s="126"/>
      <c r="T63" s="126"/>
      <c r="U63" s="126"/>
      <c r="V63" s="126"/>
      <c r="W63" s="126"/>
      <c r="X63" s="126"/>
    </row>
    <row r="64" spans="2:24" ht="15" customHeight="1" x14ac:dyDescent="0.2">
      <c r="B64" s="119"/>
      <c r="C64" s="119"/>
      <c r="D64" s="44">
        <v>57</v>
      </c>
      <c r="E64" s="72" t="s">
        <v>912</v>
      </c>
      <c r="F64" s="44" t="s">
        <v>11</v>
      </c>
      <c r="G64" s="44" t="s">
        <v>1019</v>
      </c>
      <c r="H64" s="44" t="s">
        <v>9</v>
      </c>
      <c r="I64" s="44" t="s">
        <v>2</v>
      </c>
      <c r="J64" s="72" t="s">
        <v>1228</v>
      </c>
      <c r="K64" s="73">
        <v>30805</v>
      </c>
      <c r="L64" s="30">
        <v>1984</v>
      </c>
      <c r="M64" s="30">
        <f t="shared" si="3"/>
        <v>35</v>
      </c>
      <c r="N64" s="44" t="s">
        <v>3</v>
      </c>
      <c r="O64" s="44" t="s">
        <v>1229</v>
      </c>
      <c r="P64" s="74" t="s">
        <v>1246</v>
      </c>
      <c r="Q64" s="44"/>
      <c r="R64" s="72" t="s">
        <v>290</v>
      </c>
      <c r="S64" s="126"/>
      <c r="T64" s="126"/>
      <c r="U64" s="126"/>
      <c r="V64" s="126"/>
      <c r="W64" s="126"/>
      <c r="X64" s="126"/>
    </row>
    <row r="65" spans="2:24" ht="15" customHeight="1" x14ac:dyDescent="0.2">
      <c r="B65" s="119"/>
      <c r="C65" s="119"/>
      <c r="D65" s="44">
        <v>58</v>
      </c>
      <c r="E65" s="72" t="s">
        <v>1802</v>
      </c>
      <c r="F65" s="44" t="s">
        <v>16</v>
      </c>
      <c r="G65" s="44" t="s">
        <v>1020</v>
      </c>
      <c r="H65" s="44" t="s">
        <v>9</v>
      </c>
      <c r="I65" s="44" t="s">
        <v>13</v>
      </c>
      <c r="J65" s="72" t="s">
        <v>1228</v>
      </c>
      <c r="K65" s="73">
        <v>37126</v>
      </c>
      <c r="L65" s="30">
        <v>2001</v>
      </c>
      <c r="M65" s="30">
        <f t="shared" si="3"/>
        <v>18</v>
      </c>
      <c r="N65" s="44" t="s">
        <v>3</v>
      </c>
      <c r="O65" s="44" t="s">
        <v>1229</v>
      </c>
      <c r="P65" s="74" t="s">
        <v>1246</v>
      </c>
      <c r="Q65" s="44"/>
      <c r="R65" s="72" t="s">
        <v>1326</v>
      </c>
      <c r="S65" s="126"/>
      <c r="T65" s="126"/>
      <c r="U65" s="126"/>
      <c r="V65" s="126"/>
      <c r="W65" s="126"/>
      <c r="X65" s="126"/>
    </row>
    <row r="66" spans="2:24" ht="15" customHeight="1" x14ac:dyDescent="0.2">
      <c r="B66" s="119"/>
      <c r="C66" s="119"/>
      <c r="D66" s="44">
        <v>59</v>
      </c>
      <c r="E66" s="72" t="s">
        <v>1348</v>
      </c>
      <c r="F66" s="44" t="s">
        <v>16</v>
      </c>
      <c r="G66" s="44" t="s">
        <v>1349</v>
      </c>
      <c r="H66" s="44" t="s">
        <v>1</v>
      </c>
      <c r="I66" s="44" t="s">
        <v>13</v>
      </c>
      <c r="J66" s="72" t="s">
        <v>1228</v>
      </c>
      <c r="K66" s="73">
        <v>38253</v>
      </c>
      <c r="L66" s="30">
        <v>2004</v>
      </c>
      <c r="M66" s="30">
        <f t="shared" si="3"/>
        <v>15</v>
      </c>
      <c r="N66" s="44" t="s">
        <v>3</v>
      </c>
      <c r="O66" s="44" t="s">
        <v>1229</v>
      </c>
      <c r="P66" s="74" t="s">
        <v>1233</v>
      </c>
      <c r="Q66" s="44"/>
      <c r="R66" s="72" t="s">
        <v>1326</v>
      </c>
      <c r="S66" s="126"/>
      <c r="T66" s="126"/>
      <c r="U66" s="126"/>
      <c r="V66" s="126"/>
      <c r="W66" s="126"/>
      <c r="X66" s="126"/>
    </row>
    <row r="67" spans="2:24" ht="15" customHeight="1" x14ac:dyDescent="0.2">
      <c r="B67" s="119">
        <v>23</v>
      </c>
      <c r="C67" s="119"/>
      <c r="D67" s="44">
        <v>60</v>
      </c>
      <c r="E67" s="72" t="s">
        <v>1021</v>
      </c>
      <c r="F67" s="44" t="s">
        <v>6</v>
      </c>
      <c r="G67" s="44" t="s">
        <v>1022</v>
      </c>
      <c r="H67" s="44" t="s">
        <v>1</v>
      </c>
      <c r="I67" s="44" t="s">
        <v>2</v>
      </c>
      <c r="J67" s="72"/>
      <c r="K67" s="73">
        <v>21915</v>
      </c>
      <c r="L67" s="30">
        <f t="shared" ref="L67:L70" si="7">YEAR(K67)</f>
        <v>1959</v>
      </c>
      <c r="M67" s="30">
        <f t="shared" si="3"/>
        <v>60</v>
      </c>
      <c r="N67" s="44" t="s">
        <v>3</v>
      </c>
      <c r="O67" s="44"/>
      <c r="P67" s="74" t="s">
        <v>15</v>
      </c>
      <c r="Q67" s="44"/>
      <c r="R67" s="72" t="s">
        <v>34</v>
      </c>
      <c r="S67" s="126"/>
      <c r="T67" s="126"/>
      <c r="U67" s="126"/>
      <c r="V67" s="126"/>
      <c r="W67" s="126"/>
      <c r="X67" s="126"/>
    </row>
    <row r="68" spans="2:24" ht="15" customHeight="1" x14ac:dyDescent="0.2">
      <c r="B68" s="119"/>
      <c r="C68" s="119"/>
      <c r="D68" s="44">
        <v>61</v>
      </c>
      <c r="E68" s="72" t="s">
        <v>1023</v>
      </c>
      <c r="F68" s="44" t="s">
        <v>11</v>
      </c>
      <c r="G68" s="44" t="s">
        <v>1024</v>
      </c>
      <c r="H68" s="44" t="s">
        <v>9</v>
      </c>
      <c r="I68" s="44" t="s">
        <v>2</v>
      </c>
      <c r="J68" s="72"/>
      <c r="K68" s="73">
        <v>21915</v>
      </c>
      <c r="L68" s="30">
        <f t="shared" si="7"/>
        <v>1959</v>
      </c>
      <c r="M68" s="30">
        <f t="shared" si="3"/>
        <v>60</v>
      </c>
      <c r="N68" s="44" t="s">
        <v>3</v>
      </c>
      <c r="O68" s="44"/>
      <c r="P68" s="74" t="s">
        <v>15</v>
      </c>
      <c r="Q68" s="44"/>
      <c r="R68" s="72" t="s">
        <v>34</v>
      </c>
      <c r="S68" s="126"/>
      <c r="T68" s="126"/>
      <c r="U68" s="126"/>
      <c r="V68" s="126"/>
      <c r="W68" s="126"/>
      <c r="X68" s="126"/>
    </row>
    <row r="69" spans="2:24" ht="15" customHeight="1" x14ac:dyDescent="0.2">
      <c r="B69" s="119"/>
      <c r="C69" s="119"/>
      <c r="D69" s="44">
        <v>62</v>
      </c>
      <c r="E69" s="72" t="s">
        <v>1025</v>
      </c>
      <c r="F69" s="44" t="s">
        <v>16</v>
      </c>
      <c r="G69" s="44" t="s">
        <v>1026</v>
      </c>
      <c r="H69" s="44" t="s">
        <v>1</v>
      </c>
      <c r="I69" s="44" t="s">
        <v>13</v>
      </c>
      <c r="J69" s="72"/>
      <c r="K69" s="73">
        <v>34026</v>
      </c>
      <c r="L69" s="30">
        <f t="shared" si="7"/>
        <v>1993</v>
      </c>
      <c r="M69" s="30">
        <f t="shared" si="3"/>
        <v>26</v>
      </c>
      <c r="N69" s="44" t="s">
        <v>3</v>
      </c>
      <c r="O69" s="44"/>
      <c r="P69" s="74" t="s">
        <v>25</v>
      </c>
      <c r="Q69" s="44"/>
      <c r="R69" s="72" t="s">
        <v>15</v>
      </c>
      <c r="S69" s="126"/>
      <c r="T69" s="126"/>
      <c r="U69" s="126"/>
      <c r="V69" s="126"/>
      <c r="W69" s="126"/>
      <c r="X69" s="126"/>
    </row>
    <row r="70" spans="2:24" ht="15" customHeight="1" x14ac:dyDescent="0.2">
      <c r="B70" s="119"/>
      <c r="C70" s="119"/>
      <c r="D70" s="44">
        <v>63</v>
      </c>
      <c r="E70" s="72" t="s">
        <v>882</v>
      </c>
      <c r="F70" s="44" t="s">
        <v>16</v>
      </c>
      <c r="G70" s="44" t="s">
        <v>1027</v>
      </c>
      <c r="H70" s="44" t="s">
        <v>9</v>
      </c>
      <c r="I70" s="44" t="s">
        <v>13</v>
      </c>
      <c r="J70" s="72"/>
      <c r="K70" s="73">
        <v>36874</v>
      </c>
      <c r="L70" s="30">
        <f t="shared" si="7"/>
        <v>2000</v>
      </c>
      <c r="M70" s="30">
        <f t="shared" si="3"/>
        <v>19</v>
      </c>
      <c r="N70" s="44" t="s">
        <v>3</v>
      </c>
      <c r="O70" s="44"/>
      <c r="P70" s="74" t="s">
        <v>4</v>
      </c>
      <c r="Q70" s="44"/>
      <c r="R70" s="72" t="s">
        <v>15</v>
      </c>
      <c r="S70" s="126"/>
      <c r="T70" s="126"/>
      <c r="U70" s="126"/>
      <c r="V70" s="126"/>
      <c r="W70" s="126"/>
      <c r="X70" s="126"/>
    </row>
    <row r="71" spans="2:24" ht="15" customHeight="1" x14ac:dyDescent="0.2">
      <c r="B71" s="119">
        <v>24</v>
      </c>
      <c r="C71" s="119"/>
      <c r="D71" s="44">
        <v>64</v>
      </c>
      <c r="E71" s="72" t="s">
        <v>1028</v>
      </c>
      <c r="F71" s="44" t="s">
        <v>6</v>
      </c>
      <c r="G71" s="44" t="s">
        <v>1029</v>
      </c>
      <c r="H71" s="44" t="s">
        <v>9</v>
      </c>
      <c r="I71" s="44" t="s">
        <v>19</v>
      </c>
      <c r="J71" s="72"/>
      <c r="K71" s="73">
        <v>22970</v>
      </c>
      <c r="L71" s="30">
        <v>1962</v>
      </c>
      <c r="M71" s="30">
        <f t="shared" si="3"/>
        <v>57</v>
      </c>
      <c r="N71" s="44" t="s">
        <v>3</v>
      </c>
      <c r="O71" s="44"/>
      <c r="P71" s="74" t="s">
        <v>15</v>
      </c>
      <c r="Q71" s="44"/>
      <c r="R71" s="72" t="s">
        <v>10</v>
      </c>
      <c r="S71" s="126"/>
      <c r="T71" s="126"/>
      <c r="U71" s="126"/>
      <c r="V71" s="126"/>
      <c r="W71" s="126"/>
      <c r="X71" s="126"/>
    </row>
    <row r="72" spans="2:24" ht="15" customHeight="1" x14ac:dyDescent="0.2">
      <c r="B72" s="119"/>
      <c r="C72" s="119"/>
      <c r="D72" s="44">
        <v>65</v>
      </c>
      <c r="E72" s="72" t="s">
        <v>447</v>
      </c>
      <c r="F72" s="44" t="s">
        <v>16</v>
      </c>
      <c r="G72" s="44" t="s">
        <v>1030</v>
      </c>
      <c r="H72" s="44" t="s">
        <v>1</v>
      </c>
      <c r="I72" s="44" t="s">
        <v>13</v>
      </c>
      <c r="J72" s="72"/>
      <c r="K72" s="73">
        <v>31047</v>
      </c>
      <c r="L72" s="30">
        <f t="shared" ref="L72:L79" si="8">YEAR(K72)</f>
        <v>1984</v>
      </c>
      <c r="M72" s="30">
        <f t="shared" ref="M72:M103" si="9">2019-L72</f>
        <v>35</v>
      </c>
      <c r="N72" s="44" t="s">
        <v>3</v>
      </c>
      <c r="O72" s="44"/>
      <c r="P72" s="74" t="s">
        <v>15</v>
      </c>
      <c r="Q72" s="44"/>
      <c r="R72" s="72" t="s">
        <v>34</v>
      </c>
      <c r="S72" s="126"/>
      <c r="T72" s="126"/>
      <c r="U72" s="126"/>
      <c r="V72" s="126"/>
      <c r="W72" s="126"/>
      <c r="X72" s="126"/>
    </row>
    <row r="73" spans="2:24" ht="15" customHeight="1" x14ac:dyDescent="0.2">
      <c r="B73" s="119">
        <v>25</v>
      </c>
      <c r="C73" s="119"/>
      <c r="D73" s="44">
        <v>66</v>
      </c>
      <c r="E73" s="72" t="s">
        <v>1031</v>
      </c>
      <c r="F73" s="44" t="s">
        <v>6</v>
      </c>
      <c r="G73" s="44" t="s">
        <v>1032</v>
      </c>
      <c r="H73" s="44" t="s">
        <v>1</v>
      </c>
      <c r="I73" s="44" t="s">
        <v>2</v>
      </c>
      <c r="J73" s="72"/>
      <c r="K73" s="73">
        <v>31229</v>
      </c>
      <c r="L73" s="30">
        <f t="shared" si="8"/>
        <v>1985</v>
      </c>
      <c r="M73" s="30">
        <f t="shared" si="9"/>
        <v>34</v>
      </c>
      <c r="N73" s="44" t="s">
        <v>3</v>
      </c>
      <c r="O73" s="44"/>
      <c r="P73" s="74" t="s">
        <v>4</v>
      </c>
      <c r="Q73" s="44"/>
      <c r="R73" s="72" t="s">
        <v>34</v>
      </c>
      <c r="S73" s="126"/>
      <c r="T73" s="126"/>
      <c r="U73" s="126"/>
      <c r="V73" s="126"/>
      <c r="W73" s="126"/>
      <c r="X73" s="126"/>
    </row>
    <row r="74" spans="2:24" ht="15" customHeight="1" x14ac:dyDescent="0.2">
      <c r="B74" s="119"/>
      <c r="C74" s="119"/>
      <c r="D74" s="44">
        <v>67</v>
      </c>
      <c r="E74" s="72" t="s">
        <v>1033</v>
      </c>
      <c r="F74" s="44" t="s">
        <v>16</v>
      </c>
      <c r="G74" s="44" t="s">
        <v>2353</v>
      </c>
      <c r="H74" s="44" t="s">
        <v>9</v>
      </c>
      <c r="I74" s="44" t="s">
        <v>2</v>
      </c>
      <c r="J74" s="72"/>
      <c r="K74" s="73">
        <v>31412</v>
      </c>
      <c r="L74" s="30">
        <f t="shared" si="8"/>
        <v>1985</v>
      </c>
      <c r="M74" s="30">
        <f t="shared" si="9"/>
        <v>34</v>
      </c>
      <c r="N74" s="44" t="s">
        <v>3</v>
      </c>
      <c r="O74" s="44"/>
      <c r="P74" s="74" t="s">
        <v>4</v>
      </c>
      <c r="Q74" s="44"/>
      <c r="R74" s="72" t="s">
        <v>34</v>
      </c>
      <c r="S74" s="126"/>
      <c r="T74" s="126"/>
      <c r="U74" s="126"/>
      <c r="V74" s="126"/>
      <c r="W74" s="126"/>
      <c r="X74" s="126"/>
    </row>
    <row r="75" spans="2:24" ht="15" customHeight="1" x14ac:dyDescent="0.2">
      <c r="B75" s="119">
        <v>26</v>
      </c>
      <c r="C75" s="119"/>
      <c r="D75" s="44">
        <v>68</v>
      </c>
      <c r="E75" s="72" t="s">
        <v>1034</v>
      </c>
      <c r="F75" s="44" t="s">
        <v>6</v>
      </c>
      <c r="G75" s="44" t="s">
        <v>1035</v>
      </c>
      <c r="H75" s="44" t="s">
        <v>1</v>
      </c>
      <c r="I75" s="44" t="s">
        <v>2</v>
      </c>
      <c r="J75" s="72"/>
      <c r="K75" s="73">
        <v>25933</v>
      </c>
      <c r="L75" s="30">
        <f t="shared" si="8"/>
        <v>1970</v>
      </c>
      <c r="M75" s="30">
        <f t="shared" si="9"/>
        <v>49</v>
      </c>
      <c r="N75" s="44" t="s">
        <v>3</v>
      </c>
      <c r="O75" s="44"/>
      <c r="P75" s="74" t="s">
        <v>15</v>
      </c>
      <c r="Q75" s="44"/>
      <c r="R75" s="72" t="s">
        <v>34</v>
      </c>
      <c r="S75" s="126"/>
      <c r="T75" s="126"/>
      <c r="U75" s="126"/>
      <c r="V75" s="126"/>
      <c r="W75" s="126"/>
      <c r="X75" s="126"/>
    </row>
    <row r="76" spans="2:24" ht="15" customHeight="1" x14ac:dyDescent="0.2">
      <c r="B76" s="119"/>
      <c r="C76" s="119"/>
      <c r="D76" s="44">
        <v>69</v>
      </c>
      <c r="E76" s="72" t="s">
        <v>1036</v>
      </c>
      <c r="F76" s="44" t="s">
        <v>11</v>
      </c>
      <c r="G76" s="44" t="s">
        <v>1037</v>
      </c>
      <c r="H76" s="44" t="s">
        <v>9</v>
      </c>
      <c r="I76" s="44" t="s">
        <v>2</v>
      </c>
      <c r="J76" s="72"/>
      <c r="K76" s="73">
        <v>26664</v>
      </c>
      <c r="L76" s="30">
        <f t="shared" si="8"/>
        <v>1972</v>
      </c>
      <c r="M76" s="30">
        <f t="shared" si="9"/>
        <v>47</v>
      </c>
      <c r="N76" s="44" t="s">
        <v>3</v>
      </c>
      <c r="O76" s="44"/>
      <c r="P76" s="74" t="s">
        <v>15</v>
      </c>
      <c r="Q76" s="44"/>
      <c r="R76" s="72" t="s">
        <v>34</v>
      </c>
      <c r="S76" s="126"/>
      <c r="T76" s="126"/>
      <c r="U76" s="126"/>
      <c r="V76" s="126"/>
      <c r="W76" s="126"/>
      <c r="X76" s="126"/>
    </row>
    <row r="77" spans="2:24" ht="15" customHeight="1" x14ac:dyDescent="0.2">
      <c r="B77" s="119"/>
      <c r="C77" s="119"/>
      <c r="D77" s="44">
        <v>70</v>
      </c>
      <c r="E77" s="72" t="s">
        <v>1038</v>
      </c>
      <c r="F77" s="44" t="s">
        <v>16</v>
      </c>
      <c r="G77" s="44" t="s">
        <v>1039</v>
      </c>
      <c r="H77" s="44" t="s">
        <v>1</v>
      </c>
      <c r="I77" s="44" t="s">
        <v>13</v>
      </c>
      <c r="J77" s="72"/>
      <c r="K77" s="73">
        <v>33948</v>
      </c>
      <c r="L77" s="30">
        <f t="shared" si="8"/>
        <v>1992</v>
      </c>
      <c r="M77" s="30">
        <f t="shared" si="9"/>
        <v>27</v>
      </c>
      <c r="N77" s="44" t="s">
        <v>3</v>
      </c>
      <c r="O77" s="44"/>
      <c r="P77" s="74" t="s">
        <v>4</v>
      </c>
      <c r="Q77" s="44"/>
      <c r="R77" s="72" t="s">
        <v>15</v>
      </c>
      <c r="S77" s="126"/>
      <c r="T77" s="126"/>
      <c r="U77" s="126"/>
      <c r="V77" s="126"/>
      <c r="W77" s="126"/>
      <c r="X77" s="126"/>
    </row>
    <row r="78" spans="2:24" ht="15" customHeight="1" x14ac:dyDescent="0.2">
      <c r="B78" s="119"/>
      <c r="C78" s="119"/>
      <c r="D78" s="44">
        <v>71</v>
      </c>
      <c r="E78" s="72" t="s">
        <v>1040</v>
      </c>
      <c r="F78" s="44" t="s">
        <v>16</v>
      </c>
      <c r="G78" s="44" t="s">
        <v>1041</v>
      </c>
      <c r="H78" s="44" t="s">
        <v>9</v>
      </c>
      <c r="I78" s="44" t="s">
        <v>13</v>
      </c>
      <c r="J78" s="72"/>
      <c r="K78" s="73">
        <v>36557</v>
      </c>
      <c r="L78" s="30">
        <f t="shared" si="8"/>
        <v>2000</v>
      </c>
      <c r="M78" s="30">
        <f t="shared" si="9"/>
        <v>19</v>
      </c>
      <c r="N78" s="44" t="s">
        <v>3</v>
      </c>
      <c r="O78" s="44"/>
      <c r="P78" s="74" t="s">
        <v>4</v>
      </c>
      <c r="Q78" s="44"/>
      <c r="R78" s="72" t="s">
        <v>15</v>
      </c>
      <c r="S78" s="126"/>
      <c r="T78" s="126"/>
      <c r="U78" s="126"/>
      <c r="V78" s="126"/>
      <c r="W78" s="126"/>
      <c r="X78" s="126"/>
    </row>
    <row r="79" spans="2:24" ht="15" customHeight="1" x14ac:dyDescent="0.2">
      <c r="B79" s="44">
        <v>27</v>
      </c>
      <c r="C79" s="75"/>
      <c r="D79" s="44">
        <v>72</v>
      </c>
      <c r="E79" s="72" t="s">
        <v>1042</v>
      </c>
      <c r="F79" s="44" t="s">
        <v>6</v>
      </c>
      <c r="G79" s="44">
        <v>0</v>
      </c>
      <c r="H79" s="44" t="s">
        <v>1</v>
      </c>
      <c r="I79" s="44" t="s">
        <v>13</v>
      </c>
      <c r="J79" s="72"/>
      <c r="K79" s="73">
        <v>27759</v>
      </c>
      <c r="L79" s="30">
        <f t="shared" si="8"/>
        <v>1975</v>
      </c>
      <c r="M79" s="30">
        <f t="shared" si="9"/>
        <v>44</v>
      </c>
      <c r="N79" s="44" t="s">
        <v>3</v>
      </c>
      <c r="O79" s="44"/>
      <c r="P79" s="74" t="s">
        <v>15</v>
      </c>
      <c r="Q79" s="44"/>
      <c r="R79" s="72" t="s">
        <v>34</v>
      </c>
      <c r="S79" s="126"/>
      <c r="T79" s="126"/>
      <c r="U79" s="126"/>
      <c r="V79" s="126"/>
      <c r="W79" s="126"/>
      <c r="X79" s="126"/>
    </row>
    <row r="80" spans="2:24" ht="15" customHeight="1" x14ac:dyDescent="0.2">
      <c r="B80" s="119">
        <v>28</v>
      </c>
      <c r="C80" s="119" t="s">
        <v>1467</v>
      </c>
      <c r="D80" s="44">
        <v>73</v>
      </c>
      <c r="E80" s="72" t="s">
        <v>94</v>
      </c>
      <c r="F80" s="44" t="s">
        <v>6</v>
      </c>
      <c r="G80" s="44" t="s">
        <v>1043</v>
      </c>
      <c r="H80" s="44" t="s">
        <v>1</v>
      </c>
      <c r="I80" s="44" t="s">
        <v>2</v>
      </c>
      <c r="J80" s="72" t="s">
        <v>1228</v>
      </c>
      <c r="K80" s="73">
        <v>27211</v>
      </c>
      <c r="L80" s="30">
        <v>1974</v>
      </c>
      <c r="M80" s="30">
        <f t="shared" si="9"/>
        <v>45</v>
      </c>
      <c r="N80" s="44" t="s">
        <v>3</v>
      </c>
      <c r="O80" s="44" t="s">
        <v>1229</v>
      </c>
      <c r="P80" s="74" t="s">
        <v>1320</v>
      </c>
      <c r="Q80" s="44"/>
      <c r="R80" s="72" t="s">
        <v>1330</v>
      </c>
      <c r="S80" s="126"/>
      <c r="T80" s="126"/>
      <c r="U80" s="126"/>
      <c r="V80" s="126"/>
      <c r="W80" s="126"/>
      <c r="X80" s="126"/>
    </row>
    <row r="81" spans="2:24" ht="15" customHeight="1" x14ac:dyDescent="0.2">
      <c r="B81" s="119"/>
      <c r="C81" s="119"/>
      <c r="D81" s="44">
        <v>74</v>
      </c>
      <c r="E81" s="72" t="s">
        <v>1468</v>
      </c>
      <c r="F81" s="44" t="s">
        <v>11</v>
      </c>
      <c r="G81" s="44" t="s">
        <v>1471</v>
      </c>
      <c r="H81" s="44" t="s">
        <v>9</v>
      </c>
      <c r="I81" s="44" t="s">
        <v>2</v>
      </c>
      <c r="J81" s="72" t="s">
        <v>1228</v>
      </c>
      <c r="K81" s="73">
        <v>29220</v>
      </c>
      <c r="L81" s="30">
        <v>1979</v>
      </c>
      <c r="M81" s="30">
        <f t="shared" si="9"/>
        <v>40</v>
      </c>
      <c r="N81" s="44" t="s">
        <v>3</v>
      </c>
      <c r="O81" s="44" t="s">
        <v>1229</v>
      </c>
      <c r="P81" s="74" t="s">
        <v>1233</v>
      </c>
      <c r="Q81" s="44"/>
      <c r="R81" s="72" t="s">
        <v>1330</v>
      </c>
      <c r="S81" s="126"/>
      <c r="T81" s="126"/>
      <c r="U81" s="126"/>
      <c r="V81" s="126"/>
      <c r="W81" s="126"/>
      <c r="X81" s="126"/>
    </row>
    <row r="82" spans="2:24" ht="15" customHeight="1" x14ac:dyDescent="0.2">
      <c r="B82" s="119"/>
      <c r="C82" s="119"/>
      <c r="D82" s="44">
        <v>75</v>
      </c>
      <c r="E82" s="72" t="s">
        <v>1469</v>
      </c>
      <c r="F82" s="44" t="s">
        <v>16</v>
      </c>
      <c r="G82" s="44" t="s">
        <v>1472</v>
      </c>
      <c r="H82" s="44" t="s">
        <v>9</v>
      </c>
      <c r="I82" s="44" t="s">
        <v>13</v>
      </c>
      <c r="J82" s="72" t="s">
        <v>1228</v>
      </c>
      <c r="K82" s="73">
        <v>38538</v>
      </c>
      <c r="L82" s="30">
        <v>2005</v>
      </c>
      <c r="M82" s="30">
        <f t="shared" si="9"/>
        <v>14</v>
      </c>
      <c r="N82" s="44" t="s">
        <v>3</v>
      </c>
      <c r="O82" s="44" t="s">
        <v>1229</v>
      </c>
      <c r="P82" s="74" t="s">
        <v>1320</v>
      </c>
      <c r="Q82" s="44"/>
      <c r="R82" s="72" t="s">
        <v>1332</v>
      </c>
      <c r="S82" s="126"/>
      <c r="T82" s="126"/>
      <c r="U82" s="126"/>
      <c r="V82" s="126"/>
      <c r="W82" s="126"/>
      <c r="X82" s="126"/>
    </row>
    <row r="83" spans="2:24" ht="15" customHeight="1" x14ac:dyDescent="0.2">
      <c r="B83" s="119"/>
      <c r="C83" s="119"/>
      <c r="D83" s="44">
        <v>76</v>
      </c>
      <c r="E83" s="72" t="s">
        <v>1470</v>
      </c>
      <c r="F83" s="44" t="s">
        <v>16</v>
      </c>
      <c r="G83" s="44" t="s">
        <v>1044</v>
      </c>
      <c r="H83" s="44" t="s">
        <v>9</v>
      </c>
      <c r="I83" s="44" t="s">
        <v>13</v>
      </c>
      <c r="J83" s="72" t="s">
        <v>1228</v>
      </c>
      <c r="K83" s="73">
        <v>41733</v>
      </c>
      <c r="L83" s="30">
        <v>2014</v>
      </c>
      <c r="M83" s="30">
        <f t="shared" si="9"/>
        <v>5</v>
      </c>
      <c r="N83" s="44" t="s">
        <v>3</v>
      </c>
      <c r="O83" s="44" t="s">
        <v>1229</v>
      </c>
      <c r="P83" s="74" t="s">
        <v>1320</v>
      </c>
      <c r="Q83" s="44"/>
      <c r="R83" s="72" t="s">
        <v>1332</v>
      </c>
      <c r="S83" s="126"/>
      <c r="T83" s="126"/>
      <c r="U83" s="126"/>
      <c r="V83" s="126"/>
      <c r="W83" s="126"/>
      <c r="X83" s="126"/>
    </row>
    <row r="84" spans="2:24" ht="15" customHeight="1" x14ac:dyDescent="0.2">
      <c r="B84" s="119">
        <v>29</v>
      </c>
      <c r="C84" s="119" t="s">
        <v>1374</v>
      </c>
      <c r="D84" s="44">
        <v>77</v>
      </c>
      <c r="E84" s="72" t="s">
        <v>1045</v>
      </c>
      <c r="F84" s="44" t="s">
        <v>6</v>
      </c>
      <c r="G84" s="44" t="s">
        <v>1046</v>
      </c>
      <c r="H84" s="44" t="s">
        <v>1</v>
      </c>
      <c r="I84" s="44" t="s">
        <v>2</v>
      </c>
      <c r="J84" s="72" t="s">
        <v>1228</v>
      </c>
      <c r="K84" s="73">
        <v>32508</v>
      </c>
      <c r="L84" s="30">
        <v>1988</v>
      </c>
      <c r="M84" s="30">
        <f t="shared" si="9"/>
        <v>31</v>
      </c>
      <c r="N84" s="44" t="s">
        <v>3</v>
      </c>
      <c r="O84" s="44" t="s">
        <v>1229</v>
      </c>
      <c r="P84" s="74" t="s">
        <v>1233</v>
      </c>
      <c r="Q84" s="44"/>
      <c r="R84" s="72" t="s">
        <v>5</v>
      </c>
      <c r="S84" s="126"/>
      <c r="T84" s="126"/>
      <c r="U84" s="126"/>
      <c r="V84" s="126"/>
      <c r="W84" s="126"/>
      <c r="X84" s="126"/>
    </row>
    <row r="85" spans="2:24" ht="15" customHeight="1" x14ac:dyDescent="0.2">
      <c r="B85" s="119"/>
      <c r="C85" s="119"/>
      <c r="D85" s="44">
        <v>78</v>
      </c>
      <c r="E85" s="72" t="s">
        <v>1375</v>
      </c>
      <c r="F85" s="44" t="s">
        <v>11</v>
      </c>
      <c r="G85" s="44" t="s">
        <v>1047</v>
      </c>
      <c r="H85" s="44" t="s">
        <v>9</v>
      </c>
      <c r="I85" s="44" t="s">
        <v>2</v>
      </c>
      <c r="J85" s="72" t="s">
        <v>1376</v>
      </c>
      <c r="K85" s="73">
        <v>34636</v>
      </c>
      <c r="L85" s="30">
        <v>1994</v>
      </c>
      <c r="M85" s="30">
        <f t="shared" si="9"/>
        <v>25</v>
      </c>
      <c r="N85" s="44" t="s">
        <v>3</v>
      </c>
      <c r="O85" s="44" t="s">
        <v>1229</v>
      </c>
      <c r="P85" s="74" t="s">
        <v>1233</v>
      </c>
      <c r="Q85" s="44"/>
      <c r="R85" s="72" t="s">
        <v>1326</v>
      </c>
      <c r="S85" s="126"/>
      <c r="T85" s="126"/>
      <c r="U85" s="126"/>
      <c r="V85" s="126"/>
      <c r="W85" s="126"/>
      <c r="X85" s="126"/>
    </row>
    <row r="86" spans="2:24" ht="15" customHeight="1" x14ac:dyDescent="0.2">
      <c r="B86" s="119"/>
      <c r="C86" s="119"/>
      <c r="D86" s="44">
        <v>79</v>
      </c>
      <c r="E86" s="72" t="s">
        <v>1048</v>
      </c>
      <c r="F86" s="44" t="s">
        <v>16</v>
      </c>
      <c r="G86" s="44" t="s">
        <v>1049</v>
      </c>
      <c r="H86" s="44" t="s">
        <v>1</v>
      </c>
      <c r="I86" s="44" t="s">
        <v>13</v>
      </c>
      <c r="J86" s="72" t="s">
        <v>1228</v>
      </c>
      <c r="K86" s="73">
        <v>41832</v>
      </c>
      <c r="L86" s="30">
        <v>2014</v>
      </c>
      <c r="M86" s="30">
        <f t="shared" si="9"/>
        <v>5</v>
      </c>
      <c r="N86" s="44" t="s">
        <v>3</v>
      </c>
      <c r="O86" s="44" t="s">
        <v>1229</v>
      </c>
      <c r="P86" s="74" t="s">
        <v>1320</v>
      </c>
      <c r="Q86" s="44"/>
      <c r="R86" s="72" t="s">
        <v>1332</v>
      </c>
      <c r="S86" s="126"/>
      <c r="T86" s="126"/>
      <c r="U86" s="126"/>
      <c r="V86" s="126"/>
      <c r="W86" s="126"/>
      <c r="X86" s="126"/>
    </row>
    <row r="87" spans="2:24" ht="25.5" x14ac:dyDescent="0.2">
      <c r="B87" s="119">
        <v>30</v>
      </c>
      <c r="C87" s="119" t="s">
        <v>1350</v>
      </c>
      <c r="D87" s="44">
        <v>80</v>
      </c>
      <c r="E87" s="72" t="s">
        <v>156</v>
      </c>
      <c r="F87" s="44" t="s">
        <v>6</v>
      </c>
      <c r="G87" s="44" t="s">
        <v>1351</v>
      </c>
      <c r="H87" s="44" t="s">
        <v>9</v>
      </c>
      <c r="I87" s="44" t="s">
        <v>1296</v>
      </c>
      <c r="J87" s="72" t="s">
        <v>1228</v>
      </c>
      <c r="K87" s="73">
        <v>25750</v>
      </c>
      <c r="L87" s="30">
        <v>1970</v>
      </c>
      <c r="M87" s="30">
        <f t="shared" si="9"/>
        <v>49</v>
      </c>
      <c r="N87" s="44" t="s">
        <v>3</v>
      </c>
      <c r="O87" s="44" t="s">
        <v>1229</v>
      </c>
      <c r="P87" s="74" t="s">
        <v>1320</v>
      </c>
      <c r="Q87" s="44"/>
      <c r="R87" s="72" t="s">
        <v>1330</v>
      </c>
      <c r="S87" s="126"/>
      <c r="T87" s="126"/>
      <c r="U87" s="126"/>
      <c r="V87" s="126"/>
      <c r="W87" s="126"/>
      <c r="X87" s="126"/>
    </row>
    <row r="88" spans="2:24" ht="15" customHeight="1" x14ac:dyDescent="0.2">
      <c r="B88" s="119"/>
      <c r="C88" s="119"/>
      <c r="D88" s="44">
        <v>81</v>
      </c>
      <c r="E88" s="72" t="s">
        <v>1050</v>
      </c>
      <c r="F88" s="44" t="s">
        <v>16</v>
      </c>
      <c r="G88" s="44" t="s">
        <v>1352</v>
      </c>
      <c r="H88" s="44" t="s">
        <v>1</v>
      </c>
      <c r="I88" s="44" t="s">
        <v>13</v>
      </c>
      <c r="J88" s="72" t="s">
        <v>1228</v>
      </c>
      <c r="K88" s="73">
        <v>33161</v>
      </c>
      <c r="L88" s="30">
        <v>1990</v>
      </c>
      <c r="M88" s="30">
        <f t="shared" si="9"/>
        <v>29</v>
      </c>
      <c r="N88" s="44" t="s">
        <v>3</v>
      </c>
      <c r="O88" s="44" t="s">
        <v>1229</v>
      </c>
      <c r="P88" s="74" t="s">
        <v>1233</v>
      </c>
      <c r="Q88" s="44"/>
      <c r="R88" s="72" t="s">
        <v>1330</v>
      </c>
      <c r="S88" s="126"/>
      <c r="T88" s="126"/>
      <c r="U88" s="126"/>
      <c r="V88" s="126"/>
      <c r="W88" s="126"/>
      <c r="X88" s="126"/>
    </row>
    <row r="89" spans="2:24" ht="15" customHeight="1" x14ac:dyDescent="0.2">
      <c r="B89" s="119">
        <v>31</v>
      </c>
      <c r="C89" s="119"/>
      <c r="D89" s="44">
        <v>82</v>
      </c>
      <c r="E89" s="72" t="s">
        <v>1051</v>
      </c>
      <c r="F89" s="44" t="s">
        <v>6</v>
      </c>
      <c r="G89" s="44">
        <v>0</v>
      </c>
      <c r="H89" s="44" t="s">
        <v>9</v>
      </c>
      <c r="I89" s="44" t="s">
        <v>19</v>
      </c>
      <c r="J89" s="72"/>
      <c r="K89" s="73">
        <v>25933</v>
      </c>
      <c r="L89" s="30">
        <v>1970</v>
      </c>
      <c r="M89" s="30">
        <f t="shared" si="9"/>
        <v>49</v>
      </c>
      <c r="N89" s="44" t="s">
        <v>3</v>
      </c>
      <c r="O89" s="44"/>
      <c r="P89" s="74" t="s">
        <v>15</v>
      </c>
      <c r="Q89" s="44"/>
      <c r="R89" s="72" t="s">
        <v>34</v>
      </c>
      <c r="S89" s="126"/>
      <c r="T89" s="126"/>
      <c r="U89" s="126"/>
      <c r="V89" s="126"/>
      <c r="W89" s="126"/>
      <c r="X89" s="126"/>
    </row>
    <row r="90" spans="2:24" ht="15" customHeight="1" x14ac:dyDescent="0.2">
      <c r="B90" s="119"/>
      <c r="C90" s="119"/>
      <c r="D90" s="44">
        <v>83</v>
      </c>
      <c r="E90" s="72" t="s">
        <v>1052</v>
      </c>
      <c r="F90" s="44" t="s">
        <v>16</v>
      </c>
      <c r="G90" s="44">
        <v>0</v>
      </c>
      <c r="H90" s="44" t="s">
        <v>1</v>
      </c>
      <c r="I90" s="44" t="s">
        <v>13</v>
      </c>
      <c r="J90" s="72"/>
      <c r="K90" s="73">
        <v>32690</v>
      </c>
      <c r="L90" s="30">
        <f>YEAR(K90)</f>
        <v>1989</v>
      </c>
      <c r="M90" s="30">
        <f t="shared" si="9"/>
        <v>30</v>
      </c>
      <c r="N90" s="44" t="s">
        <v>3</v>
      </c>
      <c r="O90" s="44"/>
      <c r="P90" s="74" t="s">
        <v>14</v>
      </c>
      <c r="Q90" s="44"/>
      <c r="R90" s="72" t="s">
        <v>34</v>
      </c>
      <c r="S90" s="126"/>
      <c r="T90" s="126"/>
      <c r="U90" s="126"/>
      <c r="V90" s="126"/>
      <c r="W90" s="126"/>
      <c r="X90" s="126"/>
    </row>
    <row r="91" spans="2:24" ht="15" customHeight="1" x14ac:dyDescent="0.2">
      <c r="B91" s="119">
        <v>32</v>
      </c>
      <c r="C91" s="119" t="s">
        <v>1518</v>
      </c>
      <c r="D91" s="44">
        <v>84</v>
      </c>
      <c r="E91" s="72" t="s">
        <v>1053</v>
      </c>
      <c r="F91" s="44" t="s">
        <v>6</v>
      </c>
      <c r="G91" s="44" t="s">
        <v>1054</v>
      </c>
      <c r="H91" s="44" t="s">
        <v>1</v>
      </c>
      <c r="I91" s="44" t="s">
        <v>2</v>
      </c>
      <c r="J91" s="72" t="s">
        <v>1228</v>
      </c>
      <c r="K91" s="73">
        <v>33238</v>
      </c>
      <c r="L91" s="30">
        <v>1990</v>
      </c>
      <c r="M91" s="30">
        <f t="shared" si="9"/>
        <v>29</v>
      </c>
      <c r="N91" s="44" t="s">
        <v>3</v>
      </c>
      <c r="O91" s="44" t="s">
        <v>1229</v>
      </c>
      <c r="P91" s="74" t="s">
        <v>1270</v>
      </c>
      <c r="Q91" s="44"/>
      <c r="R91" s="72" t="s">
        <v>1330</v>
      </c>
      <c r="S91" s="126"/>
      <c r="T91" s="126"/>
      <c r="U91" s="126"/>
      <c r="V91" s="126"/>
      <c r="W91" s="126"/>
      <c r="X91" s="126"/>
    </row>
    <row r="92" spans="2:24" ht="15" customHeight="1" x14ac:dyDescent="0.2">
      <c r="B92" s="119"/>
      <c r="C92" s="119"/>
      <c r="D92" s="44">
        <v>85</v>
      </c>
      <c r="E92" s="72" t="s">
        <v>262</v>
      </c>
      <c r="F92" s="44" t="s">
        <v>11</v>
      </c>
      <c r="G92" s="44" t="s">
        <v>1519</v>
      </c>
      <c r="H92" s="44" t="s">
        <v>9</v>
      </c>
      <c r="I92" s="44" t="s">
        <v>2</v>
      </c>
      <c r="J92" s="72" t="s">
        <v>1520</v>
      </c>
      <c r="K92" s="73">
        <v>35097</v>
      </c>
      <c r="L92" s="30">
        <v>1996</v>
      </c>
      <c r="M92" s="30">
        <f t="shared" si="9"/>
        <v>23</v>
      </c>
      <c r="N92" s="44" t="s">
        <v>3</v>
      </c>
      <c r="O92" s="44" t="s">
        <v>1229</v>
      </c>
      <c r="P92" s="74" t="s">
        <v>1233</v>
      </c>
      <c r="Q92" s="44"/>
      <c r="R92" s="72" t="s">
        <v>1360</v>
      </c>
      <c r="S92" s="126"/>
      <c r="T92" s="126"/>
      <c r="U92" s="126"/>
      <c r="V92" s="126"/>
      <c r="W92" s="126"/>
      <c r="X92" s="126"/>
    </row>
    <row r="93" spans="2:24" ht="15" customHeight="1" x14ac:dyDescent="0.2">
      <c r="B93" s="119">
        <v>33</v>
      </c>
      <c r="C93" s="119" t="s">
        <v>1433</v>
      </c>
      <c r="D93" s="44">
        <v>86</v>
      </c>
      <c r="E93" s="72" t="s">
        <v>445</v>
      </c>
      <c r="F93" s="44" t="s">
        <v>6</v>
      </c>
      <c r="G93" s="44" t="s">
        <v>1437</v>
      </c>
      <c r="H93" s="44" t="s">
        <v>1</v>
      </c>
      <c r="I93" s="44" t="s">
        <v>2</v>
      </c>
      <c r="J93" s="72" t="s">
        <v>1228</v>
      </c>
      <c r="K93" s="73">
        <v>29816</v>
      </c>
      <c r="L93" s="30">
        <v>1981</v>
      </c>
      <c r="M93" s="30">
        <f t="shared" si="9"/>
        <v>38</v>
      </c>
      <c r="N93" s="44" t="s">
        <v>3</v>
      </c>
      <c r="O93" s="44" t="s">
        <v>1229</v>
      </c>
      <c r="P93" s="74" t="s">
        <v>1233</v>
      </c>
      <c r="Q93" s="44"/>
      <c r="R93" s="72" t="s">
        <v>1370</v>
      </c>
      <c r="S93" s="126"/>
      <c r="T93" s="126"/>
      <c r="U93" s="126"/>
      <c r="V93" s="126"/>
      <c r="W93" s="126"/>
      <c r="X93" s="126"/>
    </row>
    <row r="94" spans="2:24" ht="15" customHeight="1" x14ac:dyDescent="0.2">
      <c r="B94" s="119"/>
      <c r="C94" s="119"/>
      <c r="D94" s="44">
        <v>87</v>
      </c>
      <c r="E94" s="72" t="s">
        <v>1055</v>
      </c>
      <c r="F94" s="44" t="s">
        <v>11</v>
      </c>
      <c r="G94" s="44" t="s">
        <v>1438</v>
      </c>
      <c r="H94" s="44" t="s">
        <v>9</v>
      </c>
      <c r="I94" s="44" t="s">
        <v>2</v>
      </c>
      <c r="J94" s="72" t="s">
        <v>1228</v>
      </c>
      <c r="K94" s="73">
        <v>30039</v>
      </c>
      <c r="L94" s="30">
        <v>1982</v>
      </c>
      <c r="M94" s="30">
        <f t="shared" si="9"/>
        <v>37</v>
      </c>
      <c r="N94" s="44" t="s">
        <v>3</v>
      </c>
      <c r="O94" s="44" t="s">
        <v>1229</v>
      </c>
      <c r="P94" s="74" t="s">
        <v>1233</v>
      </c>
      <c r="Q94" s="44"/>
      <c r="R94" s="72" t="s">
        <v>1370</v>
      </c>
      <c r="S94" s="126"/>
      <c r="T94" s="126"/>
      <c r="U94" s="126"/>
      <c r="V94" s="126"/>
      <c r="W94" s="126"/>
      <c r="X94" s="126"/>
    </row>
    <row r="95" spans="2:24" ht="15" customHeight="1" x14ac:dyDescent="0.2">
      <c r="B95" s="119"/>
      <c r="C95" s="119"/>
      <c r="D95" s="44">
        <v>88</v>
      </c>
      <c r="E95" s="72" t="s">
        <v>1434</v>
      </c>
      <c r="F95" s="44" t="s">
        <v>16</v>
      </c>
      <c r="G95" s="44" t="s">
        <v>1439</v>
      </c>
      <c r="H95" s="44" t="s">
        <v>1</v>
      </c>
      <c r="I95" s="44" t="s">
        <v>13</v>
      </c>
      <c r="J95" s="72" t="s">
        <v>1228</v>
      </c>
      <c r="K95" s="73">
        <v>36652</v>
      </c>
      <c r="L95" s="30">
        <v>2000</v>
      </c>
      <c r="M95" s="30">
        <f t="shared" si="9"/>
        <v>19</v>
      </c>
      <c r="N95" s="44" t="s">
        <v>3</v>
      </c>
      <c r="O95" s="44" t="s">
        <v>1229</v>
      </c>
      <c r="P95" s="74" t="s">
        <v>1233</v>
      </c>
      <c r="Q95" s="44"/>
      <c r="R95" s="72" t="s">
        <v>1326</v>
      </c>
      <c r="S95" s="126"/>
      <c r="T95" s="126"/>
      <c r="U95" s="126"/>
      <c r="V95" s="126"/>
      <c r="W95" s="126"/>
      <c r="X95" s="126"/>
    </row>
    <row r="96" spans="2:24" ht="15" customHeight="1" x14ac:dyDescent="0.2">
      <c r="B96" s="119"/>
      <c r="C96" s="119"/>
      <c r="D96" s="44">
        <v>89</v>
      </c>
      <c r="E96" s="72" t="s">
        <v>1435</v>
      </c>
      <c r="F96" s="44" t="s">
        <v>16</v>
      </c>
      <c r="G96" s="44" t="s">
        <v>1436</v>
      </c>
      <c r="H96" s="44" t="s">
        <v>9</v>
      </c>
      <c r="I96" s="44" t="s">
        <v>13</v>
      </c>
      <c r="J96" s="72" t="s">
        <v>1228</v>
      </c>
      <c r="K96" s="73">
        <v>41246</v>
      </c>
      <c r="L96" s="30">
        <v>2012</v>
      </c>
      <c r="M96" s="30">
        <f t="shared" si="9"/>
        <v>7</v>
      </c>
      <c r="N96" s="44" t="s">
        <v>3</v>
      </c>
      <c r="O96" s="44" t="s">
        <v>1229</v>
      </c>
      <c r="P96" s="74" t="s">
        <v>1320</v>
      </c>
      <c r="Q96" s="44"/>
      <c r="R96" s="72" t="s">
        <v>1332</v>
      </c>
      <c r="S96" s="126"/>
      <c r="T96" s="126"/>
      <c r="U96" s="126"/>
      <c r="V96" s="126"/>
      <c r="W96" s="126"/>
      <c r="X96" s="126"/>
    </row>
    <row r="97" spans="2:24" ht="15" customHeight="1" x14ac:dyDescent="0.2">
      <c r="B97" s="119">
        <v>34</v>
      </c>
      <c r="C97" s="119" t="s">
        <v>1501</v>
      </c>
      <c r="D97" s="44">
        <v>90</v>
      </c>
      <c r="E97" s="72" t="s">
        <v>1056</v>
      </c>
      <c r="F97" s="44" t="s">
        <v>6</v>
      </c>
      <c r="G97" s="44" t="s">
        <v>1057</v>
      </c>
      <c r="H97" s="44" t="s">
        <v>1</v>
      </c>
      <c r="I97" s="44" t="s">
        <v>2</v>
      </c>
      <c r="J97" s="72" t="s">
        <v>1228</v>
      </c>
      <c r="K97" s="73">
        <v>31047</v>
      </c>
      <c r="L97" s="30">
        <v>1984</v>
      </c>
      <c r="M97" s="30">
        <f t="shared" si="9"/>
        <v>35</v>
      </c>
      <c r="N97" s="44" t="s">
        <v>3</v>
      </c>
      <c r="O97" s="44" t="s">
        <v>1229</v>
      </c>
      <c r="P97" s="74" t="s">
        <v>1233</v>
      </c>
      <c r="Q97" s="44"/>
      <c r="R97" s="72" t="s">
        <v>1330</v>
      </c>
      <c r="S97" s="126"/>
      <c r="T97" s="126"/>
      <c r="U97" s="126"/>
      <c r="V97" s="126"/>
      <c r="W97" s="126"/>
      <c r="X97" s="126"/>
    </row>
    <row r="98" spans="2:24" ht="15" customHeight="1" x14ac:dyDescent="0.2">
      <c r="B98" s="119"/>
      <c r="C98" s="119"/>
      <c r="D98" s="44">
        <v>91</v>
      </c>
      <c r="E98" s="72" t="s">
        <v>369</v>
      </c>
      <c r="F98" s="44" t="s">
        <v>11</v>
      </c>
      <c r="G98" s="44" t="s">
        <v>1058</v>
      </c>
      <c r="H98" s="44" t="s">
        <v>9</v>
      </c>
      <c r="I98" s="44" t="s">
        <v>2</v>
      </c>
      <c r="J98" s="72" t="s">
        <v>1228</v>
      </c>
      <c r="K98" s="73">
        <v>32628</v>
      </c>
      <c r="L98" s="30">
        <v>1989</v>
      </c>
      <c r="M98" s="30">
        <f t="shared" si="9"/>
        <v>30</v>
      </c>
      <c r="N98" s="44" t="s">
        <v>3</v>
      </c>
      <c r="O98" s="44" t="s">
        <v>1229</v>
      </c>
      <c r="P98" s="74" t="s">
        <v>1233</v>
      </c>
      <c r="Q98" s="44"/>
      <c r="R98" s="72" t="s">
        <v>1330</v>
      </c>
      <c r="S98" s="126"/>
      <c r="T98" s="126"/>
      <c r="U98" s="126"/>
      <c r="V98" s="126"/>
      <c r="W98" s="126"/>
      <c r="X98" s="126"/>
    </row>
    <row r="99" spans="2:24" ht="15" customHeight="1" x14ac:dyDescent="0.2">
      <c r="B99" s="119"/>
      <c r="C99" s="119"/>
      <c r="D99" s="44">
        <v>92</v>
      </c>
      <c r="E99" s="72" t="s">
        <v>1500</v>
      </c>
      <c r="F99" s="44" t="s">
        <v>16</v>
      </c>
      <c r="G99" s="44" t="s">
        <v>1502</v>
      </c>
      <c r="H99" s="44" t="s">
        <v>1</v>
      </c>
      <c r="I99" s="44" t="s">
        <v>13</v>
      </c>
      <c r="J99" s="72" t="s">
        <v>1228</v>
      </c>
      <c r="K99" s="73">
        <v>42013</v>
      </c>
      <c r="L99" s="30">
        <v>2015</v>
      </c>
      <c r="M99" s="30">
        <f t="shared" si="9"/>
        <v>4</v>
      </c>
      <c r="N99" s="44" t="s">
        <v>3</v>
      </c>
      <c r="O99" s="44" t="s">
        <v>1229</v>
      </c>
      <c r="P99" s="74" t="s">
        <v>1320</v>
      </c>
      <c r="Q99" s="44"/>
      <c r="R99" s="72" t="s">
        <v>1332</v>
      </c>
      <c r="S99" s="126"/>
      <c r="T99" s="126"/>
      <c r="U99" s="126"/>
      <c r="V99" s="126"/>
      <c r="W99" s="126"/>
      <c r="X99" s="126"/>
    </row>
    <row r="100" spans="2:24" ht="15" customHeight="1" x14ac:dyDescent="0.2">
      <c r="B100" s="44">
        <v>35</v>
      </c>
      <c r="C100" s="75"/>
      <c r="D100" s="44">
        <v>93</v>
      </c>
      <c r="E100" s="72" t="s">
        <v>314</v>
      </c>
      <c r="F100" s="44" t="s">
        <v>6</v>
      </c>
      <c r="G100" s="44">
        <v>0</v>
      </c>
      <c r="H100" s="44" t="s">
        <v>1</v>
      </c>
      <c r="I100" s="44" t="s">
        <v>95</v>
      </c>
      <c r="J100" s="72"/>
      <c r="K100" s="73">
        <v>25933</v>
      </c>
      <c r="L100" s="30">
        <f>YEAR(K100)</f>
        <v>1970</v>
      </c>
      <c r="M100" s="30">
        <f t="shared" si="9"/>
        <v>49</v>
      </c>
      <c r="N100" s="44" t="s">
        <v>3</v>
      </c>
      <c r="O100" s="44"/>
      <c r="P100" s="74" t="s">
        <v>15</v>
      </c>
      <c r="Q100" s="44"/>
      <c r="R100" s="72" t="s">
        <v>10</v>
      </c>
      <c r="S100" s="126"/>
      <c r="T100" s="126"/>
      <c r="U100" s="126"/>
      <c r="V100" s="126"/>
      <c r="W100" s="126"/>
      <c r="X100" s="126"/>
    </row>
    <row r="101" spans="2:24" ht="15" customHeight="1" x14ac:dyDescent="0.2">
      <c r="B101" s="119">
        <v>36</v>
      </c>
      <c r="C101" s="119" t="s">
        <v>1533</v>
      </c>
      <c r="D101" s="44">
        <v>94</v>
      </c>
      <c r="E101" s="72" t="s">
        <v>771</v>
      </c>
      <c r="F101" s="44" t="s">
        <v>6</v>
      </c>
      <c r="G101" s="44" t="s">
        <v>1536</v>
      </c>
      <c r="H101" s="44" t="s">
        <v>1</v>
      </c>
      <c r="I101" s="44" t="s">
        <v>2</v>
      </c>
      <c r="J101" s="72" t="s">
        <v>1228</v>
      </c>
      <c r="K101" s="73">
        <v>26846</v>
      </c>
      <c r="L101" s="30">
        <v>1973</v>
      </c>
      <c r="M101" s="30">
        <f t="shared" si="9"/>
        <v>46</v>
      </c>
      <c r="N101" s="44" t="s">
        <v>3</v>
      </c>
      <c r="O101" s="44" t="s">
        <v>1229</v>
      </c>
      <c r="P101" s="74" t="s">
        <v>1320</v>
      </c>
      <c r="Q101" s="44"/>
      <c r="R101" s="72" t="s">
        <v>1330</v>
      </c>
      <c r="S101" s="126"/>
      <c r="T101" s="126"/>
      <c r="U101" s="126"/>
      <c r="V101" s="126"/>
      <c r="W101" s="126"/>
      <c r="X101" s="126"/>
    </row>
    <row r="102" spans="2:24" ht="15" customHeight="1" x14ac:dyDescent="0.2">
      <c r="B102" s="119"/>
      <c r="C102" s="119"/>
      <c r="D102" s="44">
        <v>95</v>
      </c>
      <c r="E102" s="72" t="s">
        <v>1059</v>
      </c>
      <c r="F102" s="44" t="s">
        <v>11</v>
      </c>
      <c r="G102" s="44" t="s">
        <v>1535</v>
      </c>
      <c r="H102" s="44" t="s">
        <v>9</v>
      </c>
      <c r="I102" s="44" t="s">
        <v>2</v>
      </c>
      <c r="J102" s="72" t="s">
        <v>1537</v>
      </c>
      <c r="K102" s="73">
        <v>28307</v>
      </c>
      <c r="L102" s="30">
        <v>1977</v>
      </c>
      <c r="M102" s="30">
        <f t="shared" si="9"/>
        <v>42</v>
      </c>
      <c r="N102" s="44" t="s">
        <v>3</v>
      </c>
      <c r="O102" s="44" t="s">
        <v>1229</v>
      </c>
      <c r="P102" s="74" t="s">
        <v>1320</v>
      </c>
      <c r="Q102" s="44"/>
      <c r="R102" s="72" t="s">
        <v>1330</v>
      </c>
      <c r="S102" s="126"/>
      <c r="T102" s="126"/>
      <c r="U102" s="126"/>
      <c r="V102" s="126"/>
      <c r="W102" s="126"/>
      <c r="X102" s="126"/>
    </row>
    <row r="103" spans="2:24" ht="15" customHeight="1" x14ac:dyDescent="0.2">
      <c r="B103" s="119"/>
      <c r="C103" s="119"/>
      <c r="D103" s="44">
        <v>96</v>
      </c>
      <c r="E103" s="72" t="s">
        <v>1534</v>
      </c>
      <c r="F103" s="44" t="s">
        <v>16</v>
      </c>
      <c r="G103" s="44" t="s">
        <v>1060</v>
      </c>
      <c r="H103" s="44" t="s">
        <v>1</v>
      </c>
      <c r="I103" s="44" t="s">
        <v>13</v>
      </c>
      <c r="J103" s="72" t="s">
        <v>1228</v>
      </c>
      <c r="K103" s="73">
        <v>36661</v>
      </c>
      <c r="L103" s="30">
        <v>2000</v>
      </c>
      <c r="M103" s="30">
        <f t="shared" si="9"/>
        <v>19</v>
      </c>
      <c r="N103" s="44" t="s">
        <v>3</v>
      </c>
      <c r="O103" s="44" t="s">
        <v>1229</v>
      </c>
      <c r="P103" s="74" t="s">
        <v>1246</v>
      </c>
      <c r="Q103" s="44"/>
      <c r="R103" s="72" t="s">
        <v>1326</v>
      </c>
      <c r="S103" s="126"/>
      <c r="T103" s="126"/>
      <c r="U103" s="126"/>
      <c r="V103" s="126"/>
      <c r="W103" s="126"/>
      <c r="X103" s="126"/>
    </row>
    <row r="104" spans="2:24" ht="15" customHeight="1" x14ac:dyDescent="0.2">
      <c r="B104" s="119">
        <v>37</v>
      </c>
      <c r="C104" s="119" t="s">
        <v>1495</v>
      </c>
      <c r="D104" s="44">
        <v>97</v>
      </c>
      <c r="E104" s="72" t="s">
        <v>1061</v>
      </c>
      <c r="F104" s="44" t="s">
        <v>6</v>
      </c>
      <c r="G104" s="44" t="s">
        <v>1062</v>
      </c>
      <c r="H104" s="44" t="s">
        <v>1</v>
      </c>
      <c r="I104" s="44" t="s">
        <v>2</v>
      </c>
      <c r="J104" s="72" t="s">
        <v>1228</v>
      </c>
      <c r="K104" s="73">
        <v>33957</v>
      </c>
      <c r="L104" s="30">
        <v>1992</v>
      </c>
      <c r="M104" s="30">
        <f t="shared" ref="M104:M135" si="10">2019-L104</f>
        <v>27</v>
      </c>
      <c r="N104" s="44" t="s">
        <v>3</v>
      </c>
      <c r="O104" s="44" t="s">
        <v>1229</v>
      </c>
      <c r="P104" s="74" t="s">
        <v>1270</v>
      </c>
      <c r="Q104" s="44"/>
      <c r="R104" s="72" t="s">
        <v>5</v>
      </c>
      <c r="S104" s="126"/>
      <c r="T104" s="126"/>
      <c r="U104" s="126"/>
      <c r="V104" s="126"/>
      <c r="W104" s="126"/>
      <c r="X104" s="126"/>
    </row>
    <row r="105" spans="2:24" ht="15" customHeight="1" x14ac:dyDescent="0.2">
      <c r="B105" s="119"/>
      <c r="C105" s="119"/>
      <c r="D105" s="44">
        <v>98</v>
      </c>
      <c r="E105" s="72" t="s">
        <v>556</v>
      </c>
      <c r="F105" s="44" t="s">
        <v>11</v>
      </c>
      <c r="G105" s="44" t="s">
        <v>1496</v>
      </c>
      <c r="H105" s="44" t="s">
        <v>9</v>
      </c>
      <c r="I105" s="44" t="s">
        <v>2</v>
      </c>
      <c r="J105" s="72" t="s">
        <v>1376</v>
      </c>
      <c r="K105" s="73">
        <v>34593</v>
      </c>
      <c r="L105" s="30">
        <v>1994</v>
      </c>
      <c r="M105" s="30">
        <f t="shared" si="10"/>
        <v>25</v>
      </c>
      <c r="N105" s="44" t="s">
        <v>3</v>
      </c>
      <c r="O105" s="44" t="s">
        <v>1229</v>
      </c>
      <c r="P105" s="74" t="s">
        <v>1270</v>
      </c>
      <c r="Q105" s="44"/>
      <c r="R105" s="72" t="s">
        <v>1360</v>
      </c>
      <c r="S105" s="126"/>
      <c r="T105" s="126"/>
      <c r="U105" s="126"/>
      <c r="V105" s="126"/>
      <c r="W105" s="126"/>
      <c r="X105" s="126"/>
    </row>
    <row r="106" spans="2:24" ht="15" customHeight="1" x14ac:dyDescent="0.2">
      <c r="B106" s="119"/>
      <c r="C106" s="119"/>
      <c r="D106" s="44">
        <v>99</v>
      </c>
      <c r="E106" s="72" t="s">
        <v>1063</v>
      </c>
      <c r="F106" s="44" t="s">
        <v>16</v>
      </c>
      <c r="G106" s="44" t="s">
        <v>1064</v>
      </c>
      <c r="H106" s="44" t="s">
        <v>1</v>
      </c>
      <c r="I106" s="44" t="s">
        <v>13</v>
      </c>
      <c r="J106" s="72" t="s">
        <v>1497</v>
      </c>
      <c r="K106" s="73">
        <v>41311</v>
      </c>
      <c r="L106" s="30">
        <v>2013</v>
      </c>
      <c r="M106" s="30">
        <f t="shared" si="10"/>
        <v>6</v>
      </c>
      <c r="N106" s="44" t="s">
        <v>3</v>
      </c>
      <c r="O106" s="44" t="s">
        <v>1229</v>
      </c>
      <c r="P106" s="74" t="s">
        <v>1320</v>
      </c>
      <c r="Q106" s="44"/>
      <c r="R106" s="72" t="s">
        <v>1332</v>
      </c>
      <c r="S106" s="126"/>
      <c r="T106" s="126"/>
      <c r="U106" s="126"/>
      <c r="V106" s="126"/>
      <c r="W106" s="126"/>
      <c r="X106" s="126"/>
    </row>
    <row r="107" spans="2:24" ht="15" customHeight="1" x14ac:dyDescent="0.2">
      <c r="B107" s="119"/>
      <c r="C107" s="119"/>
      <c r="D107" s="44">
        <v>100</v>
      </c>
      <c r="E107" s="72" t="s">
        <v>1548</v>
      </c>
      <c r="F107" s="44" t="s">
        <v>16</v>
      </c>
      <c r="G107" s="44" t="s">
        <v>1549</v>
      </c>
      <c r="H107" s="44" t="s">
        <v>1</v>
      </c>
      <c r="I107" s="44" t="s">
        <v>13</v>
      </c>
      <c r="J107" s="72" t="s">
        <v>1376</v>
      </c>
      <c r="K107" s="73">
        <v>43097</v>
      </c>
      <c r="L107" s="30">
        <v>2017</v>
      </c>
      <c r="M107" s="30">
        <f t="shared" si="10"/>
        <v>2</v>
      </c>
      <c r="N107" s="44" t="s">
        <v>3</v>
      </c>
      <c r="O107" s="44" t="s">
        <v>1229</v>
      </c>
      <c r="P107" s="74" t="s">
        <v>1320</v>
      </c>
      <c r="Q107" s="44"/>
      <c r="R107" s="72" t="s">
        <v>1332</v>
      </c>
      <c r="S107" s="70"/>
      <c r="T107" s="70"/>
      <c r="U107" s="70"/>
      <c r="V107" s="70"/>
      <c r="W107" s="70"/>
      <c r="X107" s="70"/>
    </row>
    <row r="108" spans="2:24" ht="15" customHeight="1" x14ac:dyDescent="0.2">
      <c r="B108" s="119">
        <v>38</v>
      </c>
      <c r="C108" s="119" t="s">
        <v>1381</v>
      </c>
      <c r="D108" s="44">
        <v>101</v>
      </c>
      <c r="E108" s="72" t="s">
        <v>1380</v>
      </c>
      <c r="F108" s="44" t="s">
        <v>6</v>
      </c>
      <c r="G108" s="44" t="s">
        <v>1065</v>
      </c>
      <c r="H108" s="44" t="s">
        <v>1</v>
      </c>
      <c r="I108" s="44" t="s">
        <v>2</v>
      </c>
      <c r="J108" s="72" t="s">
        <v>1228</v>
      </c>
      <c r="K108" s="73">
        <v>25750</v>
      </c>
      <c r="L108" s="30">
        <v>1970</v>
      </c>
      <c r="M108" s="30">
        <f t="shared" si="10"/>
        <v>49</v>
      </c>
      <c r="N108" s="44" t="s">
        <v>3</v>
      </c>
      <c r="O108" s="44" t="s">
        <v>1229</v>
      </c>
      <c r="P108" s="74" t="s">
        <v>1320</v>
      </c>
      <c r="Q108" s="44"/>
      <c r="R108" s="72" t="s">
        <v>1330</v>
      </c>
      <c r="S108" s="126"/>
      <c r="T108" s="126"/>
      <c r="U108" s="126"/>
      <c r="V108" s="126"/>
      <c r="W108" s="126"/>
      <c r="X108" s="126"/>
    </row>
    <row r="109" spans="2:24" ht="15" customHeight="1" x14ac:dyDescent="0.2">
      <c r="B109" s="119"/>
      <c r="C109" s="119"/>
      <c r="D109" s="44">
        <v>102</v>
      </c>
      <c r="E109" s="72" t="s">
        <v>600</v>
      </c>
      <c r="F109" s="44" t="s">
        <v>11</v>
      </c>
      <c r="G109" s="44" t="s">
        <v>1066</v>
      </c>
      <c r="H109" s="44" t="s">
        <v>9</v>
      </c>
      <c r="I109" s="44" t="s">
        <v>2</v>
      </c>
      <c r="J109" s="72" t="s">
        <v>1228</v>
      </c>
      <c r="K109" s="73">
        <v>28672</v>
      </c>
      <c r="L109" s="30">
        <v>1978</v>
      </c>
      <c r="M109" s="30">
        <f t="shared" si="10"/>
        <v>41</v>
      </c>
      <c r="N109" s="44" t="s">
        <v>3</v>
      </c>
      <c r="O109" s="44" t="s">
        <v>1229</v>
      </c>
      <c r="P109" s="74" t="s">
        <v>1320</v>
      </c>
      <c r="Q109" s="44"/>
      <c r="R109" s="72" t="s">
        <v>1371</v>
      </c>
      <c r="S109" s="126"/>
      <c r="T109" s="126"/>
      <c r="U109" s="126"/>
      <c r="V109" s="126"/>
      <c r="W109" s="126"/>
      <c r="X109" s="126"/>
    </row>
    <row r="110" spans="2:24" ht="15" customHeight="1" x14ac:dyDescent="0.2">
      <c r="B110" s="119"/>
      <c r="C110" s="119"/>
      <c r="D110" s="44">
        <v>103</v>
      </c>
      <c r="E110" s="72" t="s">
        <v>1067</v>
      </c>
      <c r="F110" s="44" t="s">
        <v>16</v>
      </c>
      <c r="G110" s="44" t="s">
        <v>1068</v>
      </c>
      <c r="H110" s="44" t="s">
        <v>1</v>
      </c>
      <c r="I110" s="44" t="s">
        <v>13</v>
      </c>
      <c r="J110" s="72" t="s">
        <v>1228</v>
      </c>
      <c r="K110" s="73">
        <v>37713</v>
      </c>
      <c r="L110" s="30">
        <v>2003</v>
      </c>
      <c r="M110" s="30">
        <f t="shared" si="10"/>
        <v>16</v>
      </c>
      <c r="N110" s="44" t="s">
        <v>3</v>
      </c>
      <c r="O110" s="44" t="s">
        <v>1229</v>
      </c>
      <c r="P110" s="74" t="s">
        <v>1247</v>
      </c>
      <c r="Q110" s="44"/>
      <c r="R110" s="72" t="s">
        <v>1326</v>
      </c>
      <c r="S110" s="126"/>
      <c r="T110" s="126"/>
      <c r="U110" s="126"/>
      <c r="V110" s="126"/>
      <c r="W110" s="126"/>
      <c r="X110" s="126"/>
    </row>
    <row r="111" spans="2:24" ht="15" customHeight="1" x14ac:dyDescent="0.2">
      <c r="B111" s="119"/>
      <c r="C111" s="119"/>
      <c r="D111" s="44">
        <v>104</v>
      </c>
      <c r="E111" s="72" t="s">
        <v>1382</v>
      </c>
      <c r="F111" s="44" t="s">
        <v>16</v>
      </c>
      <c r="G111" s="44" t="s">
        <v>1383</v>
      </c>
      <c r="H111" s="44" t="s">
        <v>9</v>
      </c>
      <c r="I111" s="44" t="s">
        <v>13</v>
      </c>
      <c r="J111" s="72" t="s">
        <v>1228</v>
      </c>
      <c r="K111" s="73">
        <v>41556</v>
      </c>
      <c r="L111" s="30">
        <v>2013</v>
      </c>
      <c r="M111" s="30">
        <f t="shared" si="10"/>
        <v>6</v>
      </c>
      <c r="N111" s="44" t="s">
        <v>3</v>
      </c>
      <c r="O111" s="44" t="s">
        <v>1229</v>
      </c>
      <c r="P111" s="74" t="s">
        <v>1320</v>
      </c>
      <c r="Q111" s="44"/>
      <c r="R111" s="72" t="s">
        <v>1332</v>
      </c>
      <c r="S111" s="126"/>
      <c r="T111" s="126"/>
      <c r="U111" s="126"/>
      <c r="V111" s="126"/>
      <c r="W111" s="126"/>
      <c r="X111" s="126"/>
    </row>
    <row r="112" spans="2:24" ht="15" customHeight="1" x14ac:dyDescent="0.2">
      <c r="B112" s="119">
        <v>39</v>
      </c>
      <c r="C112" s="119" t="s">
        <v>1333</v>
      </c>
      <c r="D112" s="44">
        <v>105</v>
      </c>
      <c r="E112" s="72" t="s">
        <v>415</v>
      </c>
      <c r="F112" s="44" t="s">
        <v>6</v>
      </c>
      <c r="G112" s="44" t="s">
        <v>1334</v>
      </c>
      <c r="H112" s="44" t="s">
        <v>1</v>
      </c>
      <c r="I112" s="44" t="s">
        <v>2</v>
      </c>
      <c r="J112" s="72" t="s">
        <v>1228</v>
      </c>
      <c r="K112" s="73">
        <v>30864</v>
      </c>
      <c r="L112" s="30">
        <v>1984</v>
      </c>
      <c r="M112" s="30">
        <f t="shared" si="10"/>
        <v>35</v>
      </c>
      <c r="N112" s="44" t="s">
        <v>3</v>
      </c>
      <c r="O112" s="44" t="s">
        <v>1229</v>
      </c>
      <c r="P112" s="74" t="s">
        <v>1246</v>
      </c>
      <c r="Q112" s="44"/>
      <c r="R112" s="72" t="s">
        <v>1330</v>
      </c>
      <c r="S112" s="126"/>
      <c r="T112" s="126"/>
      <c r="U112" s="126"/>
      <c r="V112" s="126"/>
      <c r="W112" s="126"/>
      <c r="X112" s="126"/>
    </row>
    <row r="113" spans="2:24" ht="15" customHeight="1" x14ac:dyDescent="0.2">
      <c r="B113" s="119"/>
      <c r="C113" s="119"/>
      <c r="D113" s="44">
        <v>106</v>
      </c>
      <c r="E113" s="72" t="s">
        <v>1069</v>
      </c>
      <c r="F113" s="44" t="s">
        <v>11</v>
      </c>
      <c r="G113" s="44" t="s">
        <v>1070</v>
      </c>
      <c r="H113" s="44" t="s">
        <v>9</v>
      </c>
      <c r="I113" s="44" t="s">
        <v>2</v>
      </c>
      <c r="J113" s="72" t="s">
        <v>1228</v>
      </c>
      <c r="K113" s="73">
        <v>30133</v>
      </c>
      <c r="L113" s="30">
        <v>1982</v>
      </c>
      <c r="M113" s="30">
        <f t="shared" si="10"/>
        <v>37</v>
      </c>
      <c r="N113" s="44" t="s">
        <v>3</v>
      </c>
      <c r="O113" s="44" t="s">
        <v>1229</v>
      </c>
      <c r="P113" s="74" t="s">
        <v>1246</v>
      </c>
      <c r="Q113" s="44"/>
      <c r="R113" s="72" t="s">
        <v>290</v>
      </c>
      <c r="S113" s="126"/>
      <c r="T113" s="126"/>
      <c r="U113" s="126"/>
      <c r="V113" s="126"/>
      <c r="W113" s="126"/>
      <c r="X113" s="126"/>
    </row>
    <row r="114" spans="2:24" ht="15" customHeight="1" x14ac:dyDescent="0.2">
      <c r="B114" s="119"/>
      <c r="C114" s="119"/>
      <c r="D114" s="44">
        <v>107</v>
      </c>
      <c r="E114" s="72" t="s">
        <v>1335</v>
      </c>
      <c r="F114" s="44" t="s">
        <v>16</v>
      </c>
      <c r="G114" s="44" t="s">
        <v>1336</v>
      </c>
      <c r="H114" s="44" t="s">
        <v>9</v>
      </c>
      <c r="I114" s="44" t="s">
        <v>13</v>
      </c>
      <c r="J114" s="72" t="s">
        <v>1228</v>
      </c>
      <c r="K114" s="73">
        <v>38341</v>
      </c>
      <c r="L114" s="30">
        <v>2004</v>
      </c>
      <c r="M114" s="30">
        <f t="shared" si="10"/>
        <v>15</v>
      </c>
      <c r="N114" s="44" t="s">
        <v>3</v>
      </c>
      <c r="O114" s="44" t="s">
        <v>1229</v>
      </c>
      <c r="P114" s="74" t="s">
        <v>1247</v>
      </c>
      <c r="Q114" s="44"/>
      <c r="R114" s="72" t="s">
        <v>1326</v>
      </c>
      <c r="S114" s="126"/>
      <c r="T114" s="126"/>
      <c r="U114" s="126"/>
      <c r="V114" s="126"/>
      <c r="W114" s="126"/>
      <c r="X114" s="126"/>
    </row>
    <row r="115" spans="2:24" ht="15" customHeight="1" x14ac:dyDescent="0.2">
      <c r="B115" s="119"/>
      <c r="C115" s="119"/>
      <c r="D115" s="44">
        <v>108</v>
      </c>
      <c r="E115" s="72" t="s">
        <v>1337</v>
      </c>
      <c r="F115" s="44" t="s">
        <v>16</v>
      </c>
      <c r="G115" s="44" t="s">
        <v>1338</v>
      </c>
      <c r="H115" s="44" t="s">
        <v>9</v>
      </c>
      <c r="I115" s="44" t="s">
        <v>13</v>
      </c>
      <c r="J115" s="72" t="s">
        <v>1228</v>
      </c>
      <c r="K115" s="73">
        <v>41231</v>
      </c>
      <c r="L115" s="30">
        <v>2012</v>
      </c>
      <c r="M115" s="30">
        <f t="shared" si="10"/>
        <v>7</v>
      </c>
      <c r="N115" s="44" t="s">
        <v>3</v>
      </c>
      <c r="O115" s="44" t="s">
        <v>1229</v>
      </c>
      <c r="P115" s="74" t="s">
        <v>1320</v>
      </c>
      <c r="Q115" s="44"/>
      <c r="R115" s="72" t="s">
        <v>1332</v>
      </c>
      <c r="S115" s="126"/>
      <c r="T115" s="126"/>
      <c r="U115" s="126"/>
      <c r="V115" s="126"/>
      <c r="W115" s="126"/>
      <c r="X115" s="126"/>
    </row>
    <row r="116" spans="2:24" ht="15" customHeight="1" x14ac:dyDescent="0.2">
      <c r="B116" s="119">
        <v>40</v>
      </c>
      <c r="C116" s="119" t="s">
        <v>1530</v>
      </c>
      <c r="D116" s="44">
        <v>109</v>
      </c>
      <c r="E116" s="72" t="s">
        <v>1071</v>
      </c>
      <c r="F116" s="44" t="s">
        <v>6</v>
      </c>
      <c r="G116" s="44" t="s">
        <v>1072</v>
      </c>
      <c r="H116" s="44" t="s">
        <v>1</v>
      </c>
      <c r="I116" s="44" t="s">
        <v>2</v>
      </c>
      <c r="J116" s="72" t="s">
        <v>1228</v>
      </c>
      <c r="K116" s="73">
        <v>33238</v>
      </c>
      <c r="L116" s="30">
        <v>1990</v>
      </c>
      <c r="M116" s="30">
        <f t="shared" si="10"/>
        <v>29</v>
      </c>
      <c r="N116" s="44" t="s">
        <v>3</v>
      </c>
      <c r="O116" s="44" t="s">
        <v>1229</v>
      </c>
      <c r="P116" s="74" t="s">
        <v>1246</v>
      </c>
      <c r="Q116" s="44"/>
      <c r="R116" s="72" t="s">
        <v>1330</v>
      </c>
      <c r="S116" s="126"/>
      <c r="T116" s="126"/>
      <c r="U116" s="126"/>
      <c r="V116" s="126"/>
      <c r="W116" s="126"/>
      <c r="X116" s="126"/>
    </row>
    <row r="117" spans="2:24" ht="15" customHeight="1" x14ac:dyDescent="0.2">
      <c r="B117" s="119"/>
      <c r="C117" s="119"/>
      <c r="D117" s="44">
        <v>110</v>
      </c>
      <c r="E117" s="72" t="s">
        <v>1073</v>
      </c>
      <c r="F117" s="44" t="s">
        <v>11</v>
      </c>
      <c r="G117" s="44" t="s">
        <v>1532</v>
      </c>
      <c r="H117" s="44" t="s">
        <v>9</v>
      </c>
      <c r="I117" s="44" t="s">
        <v>2</v>
      </c>
      <c r="J117" s="72" t="s">
        <v>1228</v>
      </c>
      <c r="K117" s="73">
        <v>35063</v>
      </c>
      <c r="L117" s="30">
        <v>1995</v>
      </c>
      <c r="M117" s="30">
        <f t="shared" si="10"/>
        <v>24</v>
      </c>
      <c r="N117" s="44" t="s">
        <v>3</v>
      </c>
      <c r="O117" s="44" t="s">
        <v>1229</v>
      </c>
      <c r="P117" s="74" t="s">
        <v>1246</v>
      </c>
      <c r="Q117" s="44"/>
      <c r="R117" s="72" t="s">
        <v>1360</v>
      </c>
      <c r="S117" s="126"/>
      <c r="T117" s="126"/>
      <c r="U117" s="126"/>
      <c r="V117" s="126"/>
      <c r="W117" s="126"/>
      <c r="X117" s="126"/>
    </row>
    <row r="118" spans="2:24" ht="15" customHeight="1" x14ac:dyDescent="0.2">
      <c r="B118" s="119"/>
      <c r="C118" s="119"/>
      <c r="D118" s="44">
        <v>111</v>
      </c>
      <c r="E118" s="72" t="s">
        <v>1074</v>
      </c>
      <c r="F118" s="44" t="s">
        <v>16</v>
      </c>
      <c r="G118" s="44" t="s">
        <v>1531</v>
      </c>
      <c r="H118" s="44" t="s">
        <v>9</v>
      </c>
      <c r="I118" s="44" t="s">
        <v>13</v>
      </c>
      <c r="J118" s="72" t="s">
        <v>1228</v>
      </c>
      <c r="K118" s="73">
        <v>41300</v>
      </c>
      <c r="L118" s="30">
        <v>2013</v>
      </c>
      <c r="M118" s="30">
        <f t="shared" si="10"/>
        <v>6</v>
      </c>
      <c r="N118" s="44" t="s">
        <v>3</v>
      </c>
      <c r="O118" s="44" t="s">
        <v>1229</v>
      </c>
      <c r="P118" s="74" t="s">
        <v>1320</v>
      </c>
      <c r="Q118" s="44"/>
      <c r="R118" s="72" t="s">
        <v>1332</v>
      </c>
      <c r="S118" s="126"/>
      <c r="T118" s="126"/>
      <c r="U118" s="126"/>
      <c r="V118" s="126"/>
      <c r="W118" s="126"/>
      <c r="X118" s="126"/>
    </row>
    <row r="119" spans="2:24" ht="15" customHeight="1" x14ac:dyDescent="0.2">
      <c r="B119" s="44">
        <v>41</v>
      </c>
      <c r="C119" s="75"/>
      <c r="D119" s="44">
        <v>112</v>
      </c>
      <c r="E119" s="72" t="s">
        <v>1075</v>
      </c>
      <c r="F119" s="44" t="s">
        <v>6</v>
      </c>
      <c r="G119" s="44" t="s">
        <v>1076</v>
      </c>
      <c r="H119" s="44" t="s">
        <v>1</v>
      </c>
      <c r="I119" s="44" t="s">
        <v>95</v>
      </c>
      <c r="J119" s="72"/>
      <c r="K119" s="73">
        <v>25169</v>
      </c>
      <c r="L119" s="30">
        <f t="shared" ref="L119:L121" si="11">YEAR(K119)</f>
        <v>1968</v>
      </c>
      <c r="M119" s="30">
        <f t="shared" si="10"/>
        <v>51</v>
      </c>
      <c r="N119" s="44" t="s">
        <v>3</v>
      </c>
      <c r="O119" s="44"/>
      <c r="P119" s="74" t="s">
        <v>15</v>
      </c>
      <c r="Q119" s="44"/>
      <c r="R119" s="72" t="s">
        <v>34</v>
      </c>
      <c r="S119" s="126"/>
      <c r="T119" s="126"/>
      <c r="U119" s="126"/>
      <c r="V119" s="126"/>
      <c r="W119" s="126"/>
      <c r="X119" s="126"/>
    </row>
    <row r="120" spans="2:24" ht="15" customHeight="1" x14ac:dyDescent="0.2">
      <c r="B120" s="119">
        <v>42</v>
      </c>
      <c r="C120" s="119"/>
      <c r="D120" s="44">
        <v>113</v>
      </c>
      <c r="E120" s="72" t="s">
        <v>1077</v>
      </c>
      <c r="F120" s="44" t="s">
        <v>6</v>
      </c>
      <c r="G120" s="44" t="s">
        <v>1078</v>
      </c>
      <c r="H120" s="44" t="s">
        <v>9</v>
      </c>
      <c r="I120" s="44" t="s">
        <v>19</v>
      </c>
      <c r="J120" s="72"/>
      <c r="K120" s="73">
        <v>32508</v>
      </c>
      <c r="L120" s="30">
        <f t="shared" si="11"/>
        <v>1988</v>
      </c>
      <c r="M120" s="30">
        <f t="shared" si="10"/>
        <v>31</v>
      </c>
      <c r="N120" s="44" t="s">
        <v>3</v>
      </c>
      <c r="O120" s="44"/>
      <c r="P120" s="74" t="s">
        <v>28</v>
      </c>
      <c r="Q120" s="44"/>
      <c r="R120" s="72" t="s">
        <v>34</v>
      </c>
      <c r="S120" s="126"/>
      <c r="T120" s="126"/>
      <c r="U120" s="126"/>
      <c r="V120" s="126"/>
      <c r="W120" s="126"/>
      <c r="X120" s="126"/>
    </row>
    <row r="121" spans="2:24" ht="15" customHeight="1" x14ac:dyDescent="0.2">
      <c r="B121" s="119"/>
      <c r="C121" s="119"/>
      <c r="D121" s="44">
        <v>114</v>
      </c>
      <c r="E121" s="72" t="s">
        <v>1079</v>
      </c>
      <c r="F121" s="44" t="s">
        <v>16</v>
      </c>
      <c r="G121" s="44" t="s">
        <v>1080</v>
      </c>
      <c r="H121" s="44" t="s">
        <v>1</v>
      </c>
      <c r="I121" s="44" t="s">
        <v>13</v>
      </c>
      <c r="J121" s="72"/>
      <c r="K121" s="73">
        <v>39701</v>
      </c>
      <c r="L121" s="30">
        <f t="shared" si="11"/>
        <v>2008</v>
      </c>
      <c r="M121" s="30">
        <f t="shared" si="10"/>
        <v>11</v>
      </c>
      <c r="N121" s="44" t="s">
        <v>3</v>
      </c>
      <c r="O121" s="44"/>
      <c r="P121" s="74" t="s">
        <v>15</v>
      </c>
      <c r="Q121" s="44"/>
      <c r="R121" s="72" t="s">
        <v>15</v>
      </c>
      <c r="S121" s="126"/>
      <c r="T121" s="126"/>
      <c r="U121" s="126"/>
      <c r="V121" s="126"/>
      <c r="W121" s="126"/>
      <c r="X121" s="126"/>
    </row>
    <row r="122" spans="2:24" ht="15" customHeight="1" x14ac:dyDescent="0.2">
      <c r="B122" s="119">
        <v>43</v>
      </c>
      <c r="C122" s="119" t="s">
        <v>1412</v>
      </c>
      <c r="D122" s="44">
        <v>115</v>
      </c>
      <c r="E122" s="72" t="s">
        <v>1413</v>
      </c>
      <c r="F122" s="44" t="s">
        <v>6</v>
      </c>
      <c r="G122" s="44" t="s">
        <v>1081</v>
      </c>
      <c r="H122" s="44" t="s">
        <v>1</v>
      </c>
      <c r="I122" s="44" t="s">
        <v>2</v>
      </c>
      <c r="J122" s="72" t="s">
        <v>1228</v>
      </c>
      <c r="K122" s="73">
        <v>29338</v>
      </c>
      <c r="L122" s="30">
        <v>1980</v>
      </c>
      <c r="M122" s="30">
        <f t="shared" si="10"/>
        <v>39</v>
      </c>
      <c r="N122" s="44" t="s">
        <v>3</v>
      </c>
      <c r="O122" s="44" t="s">
        <v>1229</v>
      </c>
      <c r="P122" s="74" t="s">
        <v>1233</v>
      </c>
      <c r="Q122" s="44"/>
      <c r="R122" s="72" t="s">
        <v>5</v>
      </c>
      <c r="S122" s="126"/>
      <c r="T122" s="126"/>
      <c r="U122" s="126"/>
      <c r="V122" s="126"/>
      <c r="W122" s="126"/>
      <c r="X122" s="126"/>
    </row>
    <row r="123" spans="2:24" ht="15" customHeight="1" x14ac:dyDescent="0.2">
      <c r="B123" s="119"/>
      <c r="C123" s="119"/>
      <c r="D123" s="44">
        <v>116</v>
      </c>
      <c r="E123" s="72" t="s">
        <v>1414</v>
      </c>
      <c r="F123" s="44" t="s">
        <v>11</v>
      </c>
      <c r="G123" s="44" t="s">
        <v>1410</v>
      </c>
      <c r="H123" s="44" t="s">
        <v>9</v>
      </c>
      <c r="I123" s="44" t="s">
        <v>2</v>
      </c>
      <c r="J123" s="72" t="s">
        <v>1228</v>
      </c>
      <c r="K123" s="73">
        <v>32763</v>
      </c>
      <c r="L123" s="30">
        <v>1989</v>
      </c>
      <c r="M123" s="30">
        <f t="shared" si="10"/>
        <v>30</v>
      </c>
      <c r="N123" s="44" t="s">
        <v>3</v>
      </c>
      <c r="O123" s="44" t="s">
        <v>1229</v>
      </c>
      <c r="P123" s="74" t="s">
        <v>1270</v>
      </c>
      <c r="Q123" s="44"/>
      <c r="R123" s="72" t="s">
        <v>1360</v>
      </c>
      <c r="S123" s="126"/>
      <c r="T123" s="126"/>
      <c r="U123" s="126"/>
      <c r="V123" s="126"/>
      <c r="W123" s="126"/>
      <c r="X123" s="126"/>
    </row>
    <row r="124" spans="2:24" ht="15" customHeight="1" x14ac:dyDescent="0.2">
      <c r="B124" s="119"/>
      <c r="C124" s="119"/>
      <c r="D124" s="44">
        <v>117</v>
      </c>
      <c r="E124" s="72" t="s">
        <v>1411</v>
      </c>
      <c r="F124" s="44" t="s">
        <v>11</v>
      </c>
      <c r="G124" s="44" t="s">
        <v>1410</v>
      </c>
      <c r="H124" s="44" t="s">
        <v>1</v>
      </c>
      <c r="I124" s="44" t="s">
        <v>13</v>
      </c>
      <c r="J124" s="72" t="s">
        <v>1228</v>
      </c>
      <c r="K124" s="73">
        <v>42255</v>
      </c>
      <c r="L124" s="30">
        <v>2015</v>
      </c>
      <c r="M124" s="30">
        <f t="shared" si="10"/>
        <v>4</v>
      </c>
      <c r="N124" s="44" t="s">
        <v>3</v>
      </c>
      <c r="O124" s="44" t="s">
        <v>1229</v>
      </c>
      <c r="P124" s="74" t="s">
        <v>1320</v>
      </c>
      <c r="Q124" s="44"/>
      <c r="R124" s="72" t="s">
        <v>1332</v>
      </c>
      <c r="S124" s="126"/>
      <c r="T124" s="126"/>
      <c r="U124" s="126"/>
      <c r="V124" s="126"/>
      <c r="W124" s="126"/>
      <c r="X124" s="126"/>
    </row>
    <row r="125" spans="2:24" ht="15" customHeight="1" x14ac:dyDescent="0.2">
      <c r="B125" s="119">
        <v>44</v>
      </c>
      <c r="C125" s="119"/>
      <c r="D125" s="44">
        <v>118</v>
      </c>
      <c r="E125" s="72" t="s">
        <v>1082</v>
      </c>
      <c r="F125" s="44" t="s">
        <v>6</v>
      </c>
      <c r="G125" s="44" t="s">
        <v>1812</v>
      </c>
      <c r="H125" s="44" t="s">
        <v>1</v>
      </c>
      <c r="I125" s="44" t="s">
        <v>2</v>
      </c>
      <c r="J125" s="72" t="s">
        <v>1228</v>
      </c>
      <c r="K125" s="73">
        <v>23193</v>
      </c>
      <c r="L125" s="30">
        <v>1963</v>
      </c>
      <c r="M125" s="30">
        <f t="shared" si="10"/>
        <v>56</v>
      </c>
      <c r="N125" s="44" t="s">
        <v>3</v>
      </c>
      <c r="O125" s="44" t="s">
        <v>1229</v>
      </c>
      <c r="P125" s="74" t="s">
        <v>1320</v>
      </c>
      <c r="Q125" s="44"/>
      <c r="R125" s="72" t="s">
        <v>5</v>
      </c>
      <c r="S125" s="126"/>
      <c r="T125" s="126"/>
      <c r="U125" s="126"/>
      <c r="V125" s="126"/>
      <c r="W125" s="126"/>
      <c r="X125" s="126"/>
    </row>
    <row r="126" spans="2:24" ht="15" customHeight="1" x14ac:dyDescent="0.2">
      <c r="B126" s="119"/>
      <c r="C126" s="119"/>
      <c r="D126" s="44">
        <v>119</v>
      </c>
      <c r="E126" s="72" t="s">
        <v>273</v>
      </c>
      <c r="F126" s="44" t="s">
        <v>11</v>
      </c>
      <c r="G126" s="44" t="s">
        <v>15</v>
      </c>
      <c r="H126" s="44" t="s">
        <v>9</v>
      </c>
      <c r="I126" s="44" t="s">
        <v>2</v>
      </c>
      <c r="J126" s="72" t="s">
        <v>1228</v>
      </c>
      <c r="K126" s="73">
        <v>25917</v>
      </c>
      <c r="L126" s="30">
        <v>1970</v>
      </c>
      <c r="M126" s="30">
        <f t="shared" si="10"/>
        <v>49</v>
      </c>
      <c r="N126" s="44" t="s">
        <v>3</v>
      </c>
      <c r="O126" s="44" t="s">
        <v>1229</v>
      </c>
      <c r="P126" s="74" t="s">
        <v>1320</v>
      </c>
      <c r="Q126" s="44"/>
      <c r="R126" s="72" t="s">
        <v>290</v>
      </c>
      <c r="S126" s="126"/>
      <c r="T126" s="126"/>
      <c r="U126" s="126"/>
      <c r="V126" s="126"/>
      <c r="W126" s="126"/>
      <c r="X126" s="126"/>
    </row>
    <row r="127" spans="2:24" ht="15" customHeight="1" x14ac:dyDescent="0.2">
      <c r="B127" s="119"/>
      <c r="C127" s="119"/>
      <c r="D127" s="44">
        <v>120</v>
      </c>
      <c r="E127" s="72" t="s">
        <v>674</v>
      </c>
      <c r="F127" s="44" t="s">
        <v>16</v>
      </c>
      <c r="G127" s="44" t="s">
        <v>1813</v>
      </c>
      <c r="H127" s="44" t="s">
        <v>9</v>
      </c>
      <c r="I127" s="44" t="s">
        <v>13</v>
      </c>
      <c r="J127" s="72" t="s">
        <v>1228</v>
      </c>
      <c r="K127" s="73">
        <v>35319</v>
      </c>
      <c r="L127" s="30">
        <v>1996</v>
      </c>
      <c r="M127" s="30">
        <f t="shared" si="10"/>
        <v>23</v>
      </c>
      <c r="N127" s="44" t="s">
        <v>3</v>
      </c>
      <c r="O127" s="44" t="s">
        <v>1229</v>
      </c>
      <c r="P127" s="74" t="s">
        <v>1246</v>
      </c>
      <c r="Q127" s="44"/>
      <c r="R127" s="72" t="s">
        <v>1773</v>
      </c>
      <c r="S127" s="126"/>
      <c r="T127" s="126"/>
      <c r="U127" s="126"/>
      <c r="V127" s="126"/>
      <c r="W127" s="126"/>
      <c r="X127" s="126"/>
    </row>
    <row r="128" spans="2:24" ht="15" customHeight="1" x14ac:dyDescent="0.2">
      <c r="B128" s="119">
        <v>45</v>
      </c>
      <c r="C128" s="119"/>
      <c r="D128" s="44">
        <v>121</v>
      </c>
      <c r="E128" s="72" t="s">
        <v>1083</v>
      </c>
      <c r="F128" s="44" t="s">
        <v>6</v>
      </c>
      <c r="G128" s="44" t="s">
        <v>1084</v>
      </c>
      <c r="H128" s="44" t="s">
        <v>1</v>
      </c>
      <c r="I128" s="44" t="s">
        <v>2</v>
      </c>
      <c r="J128" s="72"/>
      <c r="K128" s="73">
        <v>25568</v>
      </c>
      <c r="L128" s="30">
        <f t="shared" ref="L128:L130" si="12">YEAR(K128)</f>
        <v>1969</v>
      </c>
      <c r="M128" s="30">
        <f t="shared" si="10"/>
        <v>50</v>
      </c>
      <c r="N128" s="44" t="s">
        <v>3</v>
      </c>
      <c r="O128" s="44"/>
      <c r="P128" s="74" t="s">
        <v>4</v>
      </c>
      <c r="Q128" s="44"/>
      <c r="R128" s="72" t="s">
        <v>34</v>
      </c>
      <c r="S128" s="126"/>
      <c r="T128" s="126"/>
      <c r="U128" s="126"/>
      <c r="V128" s="126"/>
      <c r="W128" s="126"/>
      <c r="X128" s="126"/>
    </row>
    <row r="129" spans="2:24" ht="15" customHeight="1" x14ac:dyDescent="0.2">
      <c r="B129" s="119"/>
      <c r="C129" s="119"/>
      <c r="D129" s="44">
        <v>122</v>
      </c>
      <c r="E129" s="72" t="s">
        <v>1085</v>
      </c>
      <c r="F129" s="44" t="s">
        <v>11</v>
      </c>
      <c r="G129" s="44" t="s">
        <v>1086</v>
      </c>
      <c r="H129" s="44" t="s">
        <v>9</v>
      </c>
      <c r="I129" s="44" t="s">
        <v>2</v>
      </c>
      <c r="J129" s="72"/>
      <c r="K129" s="73">
        <v>26957</v>
      </c>
      <c r="L129" s="30">
        <f t="shared" si="12"/>
        <v>1973</v>
      </c>
      <c r="M129" s="30">
        <f t="shared" si="10"/>
        <v>46</v>
      </c>
      <c r="N129" s="44" t="s">
        <v>3</v>
      </c>
      <c r="O129" s="44"/>
      <c r="P129" s="74" t="s">
        <v>4</v>
      </c>
      <c r="Q129" s="44"/>
      <c r="R129" s="72" t="s">
        <v>34</v>
      </c>
      <c r="S129" s="126"/>
      <c r="T129" s="126"/>
      <c r="U129" s="126"/>
      <c r="V129" s="126"/>
      <c r="W129" s="126"/>
      <c r="X129" s="126"/>
    </row>
    <row r="130" spans="2:24" ht="15" customHeight="1" x14ac:dyDescent="0.2">
      <c r="B130" s="119"/>
      <c r="C130" s="119"/>
      <c r="D130" s="44">
        <v>123</v>
      </c>
      <c r="E130" s="72" t="s">
        <v>1087</v>
      </c>
      <c r="F130" s="44" t="s">
        <v>10</v>
      </c>
      <c r="G130" s="44">
        <v>0</v>
      </c>
      <c r="H130" s="44" t="s">
        <v>9</v>
      </c>
      <c r="I130" s="44" t="s">
        <v>19</v>
      </c>
      <c r="J130" s="72"/>
      <c r="K130" s="73">
        <v>16802</v>
      </c>
      <c r="L130" s="30">
        <f t="shared" si="12"/>
        <v>1945</v>
      </c>
      <c r="M130" s="30">
        <f t="shared" si="10"/>
        <v>74</v>
      </c>
      <c r="N130" s="44" t="s">
        <v>3</v>
      </c>
      <c r="O130" s="44"/>
      <c r="P130" s="74" t="s">
        <v>15</v>
      </c>
      <c r="Q130" s="44"/>
      <c r="R130" s="72" t="s">
        <v>15</v>
      </c>
      <c r="S130" s="126"/>
      <c r="T130" s="126"/>
      <c r="U130" s="126"/>
      <c r="V130" s="126"/>
      <c r="W130" s="126"/>
      <c r="X130" s="126"/>
    </row>
    <row r="131" spans="2:24" ht="15" customHeight="1" x14ac:dyDescent="0.2">
      <c r="B131" s="119">
        <v>46</v>
      </c>
      <c r="C131" s="119" t="s">
        <v>1405</v>
      </c>
      <c r="D131" s="44">
        <v>124</v>
      </c>
      <c r="E131" s="72" t="s">
        <v>1799</v>
      </c>
      <c r="F131" s="44" t="s">
        <v>6</v>
      </c>
      <c r="G131" s="44" t="s">
        <v>1088</v>
      </c>
      <c r="H131" s="44" t="s">
        <v>1</v>
      </c>
      <c r="I131" s="44" t="s">
        <v>2</v>
      </c>
      <c r="J131" s="72" t="s">
        <v>1228</v>
      </c>
      <c r="K131" s="73">
        <v>29915</v>
      </c>
      <c r="L131" s="30">
        <v>1981</v>
      </c>
      <c r="M131" s="30">
        <f t="shared" si="10"/>
        <v>38</v>
      </c>
      <c r="N131" s="44" t="s">
        <v>3</v>
      </c>
      <c r="O131" s="44" t="s">
        <v>1229</v>
      </c>
      <c r="P131" s="74" t="s">
        <v>1233</v>
      </c>
      <c r="Q131" s="44"/>
      <c r="R131" s="72" t="s">
        <v>1330</v>
      </c>
      <c r="S131" s="126"/>
      <c r="T131" s="126"/>
      <c r="U131" s="126"/>
      <c r="V131" s="126"/>
      <c r="W131" s="126"/>
      <c r="X131" s="126"/>
    </row>
    <row r="132" spans="2:24" ht="15" customHeight="1" x14ac:dyDescent="0.2">
      <c r="B132" s="119"/>
      <c r="C132" s="119"/>
      <c r="D132" s="44">
        <v>125</v>
      </c>
      <c r="E132" s="72" t="s">
        <v>1055</v>
      </c>
      <c r="F132" s="44" t="s">
        <v>11</v>
      </c>
      <c r="G132" s="44" t="s">
        <v>1406</v>
      </c>
      <c r="H132" s="44" t="s">
        <v>9</v>
      </c>
      <c r="I132" s="44" t="s">
        <v>2</v>
      </c>
      <c r="J132" s="72" t="s">
        <v>1228</v>
      </c>
      <c r="K132" s="73">
        <v>31508</v>
      </c>
      <c r="L132" s="30">
        <v>1986</v>
      </c>
      <c r="M132" s="30">
        <f t="shared" si="10"/>
        <v>33</v>
      </c>
      <c r="N132" s="44" t="s">
        <v>3</v>
      </c>
      <c r="O132" s="44" t="s">
        <v>1229</v>
      </c>
      <c r="P132" s="74" t="s">
        <v>1233</v>
      </c>
      <c r="Q132" s="44"/>
      <c r="R132" s="72" t="s">
        <v>1330</v>
      </c>
      <c r="S132" s="126"/>
      <c r="T132" s="126"/>
      <c r="U132" s="126"/>
      <c r="V132" s="126"/>
      <c r="W132" s="126"/>
      <c r="X132" s="126"/>
    </row>
    <row r="133" spans="2:24" ht="15" customHeight="1" x14ac:dyDescent="0.2">
      <c r="B133" s="119"/>
      <c r="C133" s="119"/>
      <c r="D133" s="44">
        <v>126</v>
      </c>
      <c r="E133" s="72" t="s">
        <v>1089</v>
      </c>
      <c r="F133" s="44" t="s">
        <v>16</v>
      </c>
      <c r="G133" s="44" t="s">
        <v>1090</v>
      </c>
      <c r="H133" s="44" t="s">
        <v>9</v>
      </c>
      <c r="I133" s="44" t="s">
        <v>13</v>
      </c>
      <c r="J133" s="72" t="s">
        <v>1376</v>
      </c>
      <c r="K133" s="73">
        <v>38550</v>
      </c>
      <c r="L133" s="30">
        <v>2005</v>
      </c>
      <c r="M133" s="30">
        <f t="shared" si="10"/>
        <v>14</v>
      </c>
      <c r="N133" s="44" t="s">
        <v>3</v>
      </c>
      <c r="O133" s="44" t="s">
        <v>1229</v>
      </c>
      <c r="P133" s="74" t="s">
        <v>1247</v>
      </c>
      <c r="Q133" s="44"/>
      <c r="R133" s="72" t="s">
        <v>1326</v>
      </c>
      <c r="S133" s="126"/>
      <c r="T133" s="126"/>
      <c r="U133" s="126"/>
      <c r="V133" s="126"/>
      <c r="W133" s="126"/>
      <c r="X133" s="126"/>
    </row>
    <row r="134" spans="2:24" ht="15" customHeight="1" x14ac:dyDescent="0.2">
      <c r="B134" s="119"/>
      <c r="C134" s="119"/>
      <c r="D134" s="44">
        <v>127</v>
      </c>
      <c r="E134" s="72" t="s">
        <v>1800</v>
      </c>
      <c r="F134" s="44" t="s">
        <v>16</v>
      </c>
      <c r="G134" s="44" t="s">
        <v>1091</v>
      </c>
      <c r="H134" s="44" t="s">
        <v>9</v>
      </c>
      <c r="I134" s="44" t="s">
        <v>13</v>
      </c>
      <c r="J134" s="72" t="s">
        <v>1228</v>
      </c>
      <c r="K134" s="73">
        <v>41740</v>
      </c>
      <c r="L134" s="30">
        <v>2014</v>
      </c>
      <c r="M134" s="30">
        <f t="shared" si="10"/>
        <v>5</v>
      </c>
      <c r="N134" s="44" t="s">
        <v>3</v>
      </c>
      <c r="O134" s="44" t="s">
        <v>1229</v>
      </c>
      <c r="P134" s="74" t="s">
        <v>1320</v>
      </c>
      <c r="Q134" s="44"/>
      <c r="R134" s="72" t="s">
        <v>1332</v>
      </c>
      <c r="S134" s="126"/>
      <c r="T134" s="126"/>
      <c r="U134" s="126"/>
      <c r="V134" s="126"/>
      <c r="W134" s="126"/>
      <c r="X134" s="126"/>
    </row>
    <row r="135" spans="2:24" ht="15" customHeight="1" x14ac:dyDescent="0.2">
      <c r="B135" s="119">
        <v>47</v>
      </c>
      <c r="C135" s="119" t="s">
        <v>1407</v>
      </c>
      <c r="D135" s="44">
        <v>128</v>
      </c>
      <c r="E135" s="72" t="s">
        <v>597</v>
      </c>
      <c r="F135" s="44" t="s">
        <v>6</v>
      </c>
      <c r="G135" s="44" t="s">
        <v>1092</v>
      </c>
      <c r="H135" s="44" t="s">
        <v>1</v>
      </c>
      <c r="I135" s="44" t="s">
        <v>2</v>
      </c>
      <c r="J135" s="72" t="s">
        <v>1228</v>
      </c>
      <c r="K135" s="73">
        <v>30454</v>
      </c>
      <c r="L135" s="30">
        <v>1983</v>
      </c>
      <c r="M135" s="30">
        <f t="shared" si="10"/>
        <v>36</v>
      </c>
      <c r="N135" s="44" t="s">
        <v>3</v>
      </c>
      <c r="O135" s="44" t="s">
        <v>1229</v>
      </c>
      <c r="P135" s="74" t="s">
        <v>1246</v>
      </c>
      <c r="Q135" s="44"/>
      <c r="R135" s="72" t="s">
        <v>5</v>
      </c>
      <c r="S135" s="126"/>
      <c r="T135" s="126"/>
      <c r="U135" s="126"/>
      <c r="V135" s="126"/>
      <c r="W135" s="126"/>
      <c r="X135" s="126"/>
    </row>
    <row r="136" spans="2:24" ht="15" customHeight="1" x14ac:dyDescent="0.2">
      <c r="B136" s="119"/>
      <c r="C136" s="119"/>
      <c r="D136" s="44">
        <v>129</v>
      </c>
      <c r="E136" s="72" t="s">
        <v>98</v>
      </c>
      <c r="F136" s="44" t="s">
        <v>11</v>
      </c>
      <c r="G136" s="44" t="s">
        <v>1093</v>
      </c>
      <c r="H136" s="44" t="s">
        <v>9</v>
      </c>
      <c r="I136" s="44" t="s">
        <v>2</v>
      </c>
      <c r="J136" s="72" t="s">
        <v>1228</v>
      </c>
      <c r="K136" s="73">
        <v>33222</v>
      </c>
      <c r="L136" s="30">
        <v>1990</v>
      </c>
      <c r="M136" s="30">
        <f t="shared" ref="M136:M167" si="13">2019-L136</f>
        <v>29</v>
      </c>
      <c r="N136" s="44" t="s">
        <v>3</v>
      </c>
      <c r="O136" s="44" t="s">
        <v>1229</v>
      </c>
      <c r="P136" s="74" t="s">
        <v>1246</v>
      </c>
      <c r="Q136" s="44"/>
      <c r="R136" s="72" t="s">
        <v>1360</v>
      </c>
      <c r="S136" s="126"/>
      <c r="T136" s="126"/>
      <c r="U136" s="126"/>
      <c r="V136" s="126"/>
      <c r="W136" s="126"/>
      <c r="X136" s="126"/>
    </row>
    <row r="137" spans="2:24" ht="15" customHeight="1" x14ac:dyDescent="0.2">
      <c r="B137" s="119"/>
      <c r="C137" s="119"/>
      <c r="D137" s="44">
        <v>130</v>
      </c>
      <c r="E137" s="72" t="s">
        <v>1408</v>
      </c>
      <c r="F137" s="44" t="s">
        <v>16</v>
      </c>
      <c r="G137" s="44" t="s">
        <v>1409</v>
      </c>
      <c r="H137" s="44" t="s">
        <v>9</v>
      </c>
      <c r="I137" s="44" t="s">
        <v>13</v>
      </c>
      <c r="J137" s="72" t="s">
        <v>1228</v>
      </c>
      <c r="K137" s="73">
        <v>40773</v>
      </c>
      <c r="L137" s="30">
        <v>2011</v>
      </c>
      <c r="M137" s="30">
        <f t="shared" si="13"/>
        <v>8</v>
      </c>
      <c r="N137" s="44" t="s">
        <v>3</v>
      </c>
      <c r="O137" s="44" t="s">
        <v>1229</v>
      </c>
      <c r="P137" s="74" t="s">
        <v>1320</v>
      </c>
      <c r="Q137" s="44"/>
      <c r="R137" s="72" t="s">
        <v>1332</v>
      </c>
      <c r="S137" s="126"/>
      <c r="T137" s="126"/>
      <c r="U137" s="126"/>
      <c r="V137" s="126"/>
      <c r="W137" s="126"/>
      <c r="X137" s="126"/>
    </row>
    <row r="138" spans="2:24" ht="15" customHeight="1" x14ac:dyDescent="0.2">
      <c r="B138" s="119">
        <v>48</v>
      </c>
      <c r="C138" s="119" t="s">
        <v>1397</v>
      </c>
      <c r="D138" s="44">
        <v>131</v>
      </c>
      <c r="E138" s="72" t="s">
        <v>1094</v>
      </c>
      <c r="F138" s="44" t="s">
        <v>6</v>
      </c>
      <c r="G138" s="44" t="s">
        <v>1398</v>
      </c>
      <c r="H138" s="44" t="s">
        <v>1</v>
      </c>
      <c r="I138" s="44" t="s">
        <v>2</v>
      </c>
      <c r="J138" s="72" t="s">
        <v>1228</v>
      </c>
      <c r="K138" s="73">
        <v>24107</v>
      </c>
      <c r="L138" s="30">
        <v>1965</v>
      </c>
      <c r="M138" s="30">
        <f t="shared" si="13"/>
        <v>54</v>
      </c>
      <c r="N138" s="44" t="s">
        <v>3</v>
      </c>
      <c r="O138" s="44" t="s">
        <v>1229</v>
      </c>
      <c r="P138" s="74" t="s">
        <v>1320</v>
      </c>
      <c r="Q138" s="44"/>
      <c r="R138" s="72" t="s">
        <v>1330</v>
      </c>
      <c r="S138" s="126"/>
      <c r="T138" s="126"/>
      <c r="U138" s="126"/>
      <c r="V138" s="126"/>
      <c r="W138" s="126"/>
      <c r="X138" s="126"/>
    </row>
    <row r="139" spans="2:24" ht="15" customHeight="1" x14ac:dyDescent="0.2">
      <c r="B139" s="119"/>
      <c r="C139" s="119"/>
      <c r="D139" s="44">
        <v>132</v>
      </c>
      <c r="E139" s="72" t="s">
        <v>1095</v>
      </c>
      <c r="F139" s="44" t="s">
        <v>11</v>
      </c>
      <c r="G139" s="44" t="s">
        <v>1399</v>
      </c>
      <c r="H139" s="44" t="s">
        <v>9</v>
      </c>
      <c r="I139" s="44" t="s">
        <v>2</v>
      </c>
      <c r="J139" s="72" t="s">
        <v>1228</v>
      </c>
      <c r="K139" s="73">
        <v>24837</v>
      </c>
      <c r="L139" s="30">
        <v>1967</v>
      </c>
      <c r="M139" s="30">
        <f t="shared" si="13"/>
        <v>52</v>
      </c>
      <c r="N139" s="44" t="s">
        <v>3</v>
      </c>
      <c r="O139" s="44" t="s">
        <v>1229</v>
      </c>
      <c r="P139" s="74" t="s">
        <v>1320</v>
      </c>
      <c r="Q139" s="44"/>
      <c r="R139" s="72" t="s">
        <v>1330</v>
      </c>
      <c r="S139" s="126"/>
      <c r="T139" s="126"/>
      <c r="U139" s="126"/>
      <c r="V139" s="126"/>
      <c r="W139" s="126"/>
      <c r="X139" s="126"/>
    </row>
    <row r="140" spans="2:24" ht="15" customHeight="1" x14ac:dyDescent="0.2">
      <c r="B140" s="119"/>
      <c r="C140" s="119"/>
      <c r="D140" s="44">
        <v>133</v>
      </c>
      <c r="E140" s="72" t="s">
        <v>1096</v>
      </c>
      <c r="F140" s="44" t="s">
        <v>16</v>
      </c>
      <c r="G140" s="44" t="s">
        <v>1400</v>
      </c>
      <c r="H140" s="44" t="s">
        <v>1</v>
      </c>
      <c r="I140" s="44" t="s">
        <v>13</v>
      </c>
      <c r="J140" s="72" t="s">
        <v>1228</v>
      </c>
      <c r="K140" s="73">
        <v>35795</v>
      </c>
      <c r="L140" s="30">
        <v>1997</v>
      </c>
      <c r="M140" s="30">
        <f t="shared" si="13"/>
        <v>22</v>
      </c>
      <c r="N140" s="44" t="s">
        <v>3</v>
      </c>
      <c r="O140" s="44" t="s">
        <v>1229</v>
      </c>
      <c r="P140" s="74" t="s">
        <v>1246</v>
      </c>
      <c r="Q140" s="44"/>
      <c r="R140" s="72" t="s">
        <v>1330</v>
      </c>
      <c r="S140" s="126"/>
      <c r="T140" s="126"/>
      <c r="U140" s="126"/>
      <c r="V140" s="126"/>
      <c r="W140" s="126"/>
      <c r="X140" s="126"/>
    </row>
    <row r="141" spans="2:24" ht="25.5" x14ac:dyDescent="0.2">
      <c r="B141" s="44">
        <v>49</v>
      </c>
      <c r="C141" s="75" t="s">
        <v>1590</v>
      </c>
      <c r="D141" s="44">
        <v>134</v>
      </c>
      <c r="E141" s="72" t="s">
        <v>1588</v>
      </c>
      <c r="F141" s="44" t="s">
        <v>6</v>
      </c>
      <c r="G141" s="44" t="s">
        <v>1589</v>
      </c>
      <c r="H141" s="44" t="s">
        <v>9</v>
      </c>
      <c r="I141" s="44" t="s">
        <v>1296</v>
      </c>
      <c r="J141" s="72" t="s">
        <v>1228</v>
      </c>
      <c r="K141" s="73">
        <v>10593</v>
      </c>
      <c r="L141" s="30">
        <v>1928</v>
      </c>
      <c r="M141" s="30">
        <f t="shared" si="13"/>
        <v>91</v>
      </c>
      <c r="N141" s="44" t="s">
        <v>3</v>
      </c>
      <c r="O141" s="44" t="s">
        <v>1229</v>
      </c>
      <c r="P141" s="74" t="s">
        <v>1320</v>
      </c>
      <c r="Q141" s="44"/>
      <c r="R141" s="72" t="s">
        <v>1332</v>
      </c>
      <c r="S141" s="126"/>
      <c r="T141" s="126"/>
      <c r="U141" s="126"/>
      <c r="V141" s="126"/>
      <c r="W141" s="126"/>
      <c r="X141" s="126"/>
    </row>
    <row r="142" spans="2:24" ht="25.5" x14ac:dyDescent="0.2">
      <c r="B142" s="119">
        <v>50</v>
      </c>
      <c r="C142" s="127" t="s">
        <v>1550</v>
      </c>
      <c r="D142" s="44">
        <v>135</v>
      </c>
      <c r="E142" s="72" t="s">
        <v>1099</v>
      </c>
      <c r="F142" s="44" t="s">
        <v>6</v>
      </c>
      <c r="G142" s="44" t="s">
        <v>1100</v>
      </c>
      <c r="H142" s="44" t="s">
        <v>9</v>
      </c>
      <c r="I142" s="44" t="s">
        <v>1421</v>
      </c>
      <c r="J142" s="72" t="s">
        <v>1228</v>
      </c>
      <c r="K142" s="73">
        <v>34102</v>
      </c>
      <c r="L142" s="30">
        <v>1993</v>
      </c>
      <c r="M142" s="30">
        <f t="shared" si="13"/>
        <v>26</v>
      </c>
      <c r="N142" s="44" t="s">
        <v>3</v>
      </c>
      <c r="O142" s="44" t="s">
        <v>1229</v>
      </c>
      <c r="P142" s="74" t="s">
        <v>1233</v>
      </c>
      <c r="Q142" s="44"/>
      <c r="R142" s="72" t="s">
        <v>1330</v>
      </c>
      <c r="S142" s="126"/>
      <c r="T142" s="126"/>
      <c r="U142" s="126"/>
      <c r="V142" s="126"/>
      <c r="W142" s="126"/>
      <c r="X142" s="126"/>
    </row>
    <row r="143" spans="2:24" ht="15" customHeight="1" x14ac:dyDescent="0.2">
      <c r="B143" s="119"/>
      <c r="C143" s="127"/>
      <c r="D143" s="44">
        <v>136</v>
      </c>
      <c r="E143" s="72" t="s">
        <v>1551</v>
      </c>
      <c r="F143" s="44" t="s">
        <v>16</v>
      </c>
      <c r="G143" s="44" t="s">
        <v>1101</v>
      </c>
      <c r="H143" s="44" t="s">
        <v>9</v>
      </c>
      <c r="I143" s="44" t="s">
        <v>13</v>
      </c>
      <c r="J143" s="72" t="s">
        <v>1228</v>
      </c>
      <c r="K143" s="73">
        <v>40575</v>
      </c>
      <c r="L143" s="30">
        <v>2011</v>
      </c>
      <c r="M143" s="30">
        <f t="shared" si="13"/>
        <v>8</v>
      </c>
      <c r="N143" s="44" t="s">
        <v>3</v>
      </c>
      <c r="O143" s="44" t="s">
        <v>1229</v>
      </c>
      <c r="P143" s="74" t="s">
        <v>1247</v>
      </c>
      <c r="Q143" s="44"/>
      <c r="R143" s="72" t="s">
        <v>1326</v>
      </c>
      <c r="S143" s="126"/>
      <c r="T143" s="126"/>
      <c r="U143" s="126"/>
      <c r="V143" s="126"/>
      <c r="W143" s="126"/>
      <c r="X143" s="126"/>
    </row>
    <row r="144" spans="2:24" ht="15" customHeight="1" x14ac:dyDescent="0.2">
      <c r="B144" s="119">
        <v>50</v>
      </c>
      <c r="C144" s="119" t="s">
        <v>1560</v>
      </c>
      <c r="D144" s="44">
        <v>137</v>
      </c>
      <c r="E144" s="72" t="s">
        <v>142</v>
      </c>
      <c r="F144" s="44" t="s">
        <v>6</v>
      </c>
      <c r="G144" s="44" t="s">
        <v>1558</v>
      </c>
      <c r="H144" s="44" t="s">
        <v>1</v>
      </c>
      <c r="I144" s="44" t="s">
        <v>2</v>
      </c>
      <c r="J144" s="72" t="s">
        <v>1228</v>
      </c>
      <c r="K144" s="73">
        <v>26736</v>
      </c>
      <c r="L144" s="30">
        <v>1973</v>
      </c>
      <c r="M144" s="30">
        <f t="shared" si="13"/>
        <v>46</v>
      </c>
      <c r="N144" s="44" t="s">
        <v>3</v>
      </c>
      <c r="O144" s="44" t="s">
        <v>1229</v>
      </c>
      <c r="P144" s="74" t="s">
        <v>1320</v>
      </c>
      <c r="Q144" s="44"/>
      <c r="R144" s="72" t="s">
        <v>1330</v>
      </c>
      <c r="S144" s="126"/>
      <c r="T144" s="126"/>
      <c r="U144" s="126"/>
      <c r="V144" s="126"/>
      <c r="W144" s="126"/>
      <c r="X144" s="126"/>
    </row>
    <row r="145" spans="2:24" ht="15" customHeight="1" x14ac:dyDescent="0.2">
      <c r="B145" s="119"/>
      <c r="C145" s="119"/>
      <c r="D145" s="44">
        <v>138</v>
      </c>
      <c r="E145" s="72" t="s">
        <v>1102</v>
      </c>
      <c r="F145" s="44" t="s">
        <v>11</v>
      </c>
      <c r="G145" s="44" t="s">
        <v>1559</v>
      </c>
      <c r="H145" s="44" t="s">
        <v>9</v>
      </c>
      <c r="I145" s="44" t="s">
        <v>2</v>
      </c>
      <c r="J145" s="72" t="s">
        <v>1228</v>
      </c>
      <c r="K145" s="73">
        <v>28023</v>
      </c>
      <c r="L145" s="30">
        <v>1976</v>
      </c>
      <c r="M145" s="30">
        <f t="shared" si="13"/>
        <v>43</v>
      </c>
      <c r="N145" s="44" t="s">
        <v>3</v>
      </c>
      <c r="O145" s="44" t="s">
        <v>1229</v>
      </c>
      <c r="P145" s="74" t="s">
        <v>1247</v>
      </c>
      <c r="Q145" s="44"/>
      <c r="R145" s="72" t="s">
        <v>1330</v>
      </c>
      <c r="S145" s="126"/>
      <c r="T145" s="126"/>
      <c r="U145" s="126"/>
      <c r="V145" s="126"/>
      <c r="W145" s="126"/>
      <c r="X145" s="126"/>
    </row>
    <row r="146" spans="2:24" ht="25.5" x14ac:dyDescent="0.2">
      <c r="B146" s="44">
        <v>51</v>
      </c>
      <c r="C146" s="75" t="s">
        <v>1353</v>
      </c>
      <c r="D146" s="44">
        <v>139</v>
      </c>
      <c r="E146" s="72" t="s">
        <v>577</v>
      </c>
      <c r="F146" s="44" t="s">
        <v>6</v>
      </c>
      <c r="G146" s="44" t="s">
        <v>1103</v>
      </c>
      <c r="H146" s="44" t="s">
        <v>9</v>
      </c>
      <c r="I146" s="44" t="s">
        <v>1296</v>
      </c>
      <c r="J146" s="72" t="s">
        <v>1228</v>
      </c>
      <c r="K146" s="73">
        <v>22463</v>
      </c>
      <c r="L146" s="30">
        <v>1961</v>
      </c>
      <c r="M146" s="30">
        <f t="shared" si="13"/>
        <v>58</v>
      </c>
      <c r="N146" s="44" t="s">
        <v>3</v>
      </c>
      <c r="O146" s="44" t="s">
        <v>1229</v>
      </c>
      <c r="P146" s="74" t="s">
        <v>1320</v>
      </c>
      <c r="Q146" s="44"/>
      <c r="R146" s="72" t="s">
        <v>1371</v>
      </c>
      <c r="S146" s="126"/>
      <c r="T146" s="126"/>
      <c r="U146" s="126"/>
      <c r="V146" s="126"/>
      <c r="W146" s="126"/>
      <c r="X146" s="126"/>
    </row>
    <row r="147" spans="2:24" ht="25.5" x14ac:dyDescent="0.2">
      <c r="B147" s="44">
        <v>52</v>
      </c>
      <c r="C147" s="75" t="s">
        <v>1384</v>
      </c>
      <c r="D147" s="44">
        <v>140</v>
      </c>
      <c r="E147" s="72" t="s">
        <v>23</v>
      </c>
      <c r="F147" s="44" t="s">
        <v>6</v>
      </c>
      <c r="G147" s="44" t="s">
        <v>1104</v>
      </c>
      <c r="H147" s="44" t="s">
        <v>9</v>
      </c>
      <c r="I147" s="44" t="s">
        <v>1296</v>
      </c>
      <c r="J147" s="72" t="s">
        <v>1228</v>
      </c>
      <c r="K147" s="73">
        <v>22828</v>
      </c>
      <c r="L147" s="30">
        <v>1962</v>
      </c>
      <c r="M147" s="30">
        <f t="shared" si="13"/>
        <v>57</v>
      </c>
      <c r="N147" s="44" t="s">
        <v>3</v>
      </c>
      <c r="O147" s="44" t="s">
        <v>1229</v>
      </c>
      <c r="P147" s="74" t="s">
        <v>1320</v>
      </c>
      <c r="Q147" s="44"/>
      <c r="R147" s="72" t="s">
        <v>1370</v>
      </c>
      <c r="S147" s="126"/>
      <c r="T147" s="126"/>
      <c r="U147" s="126"/>
      <c r="V147" s="126"/>
      <c r="W147" s="126"/>
      <c r="X147" s="126"/>
    </row>
    <row r="148" spans="2:24" ht="15" customHeight="1" x14ac:dyDescent="0.2">
      <c r="B148" s="119">
        <v>53</v>
      </c>
      <c r="C148" s="128" t="s">
        <v>1550</v>
      </c>
      <c r="D148" s="44">
        <v>141</v>
      </c>
      <c r="E148" s="72" t="s">
        <v>1105</v>
      </c>
      <c r="F148" s="44" t="s">
        <v>6</v>
      </c>
      <c r="G148" s="44">
        <v>0</v>
      </c>
      <c r="H148" s="44" t="s">
        <v>1</v>
      </c>
      <c r="I148" s="44" t="s">
        <v>2</v>
      </c>
      <c r="J148" s="72"/>
      <c r="K148" s="73">
        <v>30670</v>
      </c>
      <c r="L148" s="30">
        <f t="shared" ref="L148:L150" si="14">YEAR(K148)</f>
        <v>1983</v>
      </c>
      <c r="M148" s="30">
        <f t="shared" si="13"/>
        <v>36</v>
      </c>
      <c r="N148" s="44" t="s">
        <v>3</v>
      </c>
      <c r="O148" s="44"/>
      <c r="P148" s="74" t="s">
        <v>15</v>
      </c>
      <c r="Q148" s="44"/>
      <c r="R148" s="72" t="s">
        <v>34</v>
      </c>
      <c r="S148" s="126"/>
      <c r="T148" s="126"/>
      <c r="U148" s="126"/>
      <c r="V148" s="126"/>
      <c r="W148" s="126"/>
      <c r="X148" s="126"/>
    </row>
    <row r="149" spans="2:24" ht="15" customHeight="1" x14ac:dyDescent="0.2">
      <c r="B149" s="119"/>
      <c r="C149" s="129"/>
      <c r="D149" s="44">
        <v>142</v>
      </c>
      <c r="E149" s="72" t="s">
        <v>1099</v>
      </c>
      <c r="F149" s="44" t="s">
        <v>11</v>
      </c>
      <c r="G149" s="44">
        <v>0</v>
      </c>
      <c r="H149" s="44" t="s">
        <v>9</v>
      </c>
      <c r="I149" s="44" t="s">
        <v>2</v>
      </c>
      <c r="J149" s="72"/>
      <c r="K149" s="73">
        <v>33238</v>
      </c>
      <c r="L149" s="30">
        <f t="shared" si="14"/>
        <v>1990</v>
      </c>
      <c r="M149" s="30">
        <f t="shared" si="13"/>
        <v>29</v>
      </c>
      <c r="N149" s="44" t="s">
        <v>3</v>
      </c>
      <c r="O149" s="44"/>
      <c r="P149" s="74" t="s">
        <v>15</v>
      </c>
      <c r="Q149" s="44"/>
      <c r="R149" s="72" t="s">
        <v>34</v>
      </c>
      <c r="S149" s="126"/>
      <c r="T149" s="126"/>
      <c r="U149" s="126"/>
      <c r="V149" s="126"/>
      <c r="W149" s="126"/>
      <c r="X149" s="126"/>
    </row>
    <row r="150" spans="2:24" ht="15" customHeight="1" x14ac:dyDescent="0.2">
      <c r="B150" s="119"/>
      <c r="C150" s="130"/>
      <c r="D150" s="44">
        <v>143</v>
      </c>
      <c r="E150" s="72" t="s">
        <v>1551</v>
      </c>
      <c r="F150" s="44" t="s">
        <v>16</v>
      </c>
      <c r="G150" s="44">
        <v>0</v>
      </c>
      <c r="H150" s="44" t="s">
        <v>9</v>
      </c>
      <c r="I150" s="44" t="s">
        <v>13</v>
      </c>
      <c r="J150" s="72"/>
      <c r="K150" s="73">
        <v>40887</v>
      </c>
      <c r="L150" s="30">
        <f t="shared" si="14"/>
        <v>2011</v>
      </c>
      <c r="M150" s="30">
        <f t="shared" si="13"/>
        <v>8</v>
      </c>
      <c r="N150" s="44" t="s">
        <v>3</v>
      </c>
      <c r="O150" s="44"/>
      <c r="P150" s="74" t="s">
        <v>15</v>
      </c>
      <c r="Q150" s="44"/>
      <c r="R150" s="72" t="s">
        <v>15</v>
      </c>
      <c r="S150" s="126"/>
      <c r="T150" s="126"/>
      <c r="U150" s="126"/>
      <c r="V150" s="126"/>
      <c r="W150" s="126"/>
      <c r="X150" s="126"/>
    </row>
    <row r="151" spans="2:24" ht="25.5" x14ac:dyDescent="0.2">
      <c r="B151" s="44">
        <v>54</v>
      </c>
      <c r="C151" s="75" t="s">
        <v>1510</v>
      </c>
      <c r="D151" s="44">
        <v>144</v>
      </c>
      <c r="E151" s="72" t="s">
        <v>1106</v>
      </c>
      <c r="F151" s="44" t="s">
        <v>6</v>
      </c>
      <c r="G151" s="44" t="s">
        <v>1511</v>
      </c>
      <c r="H151" s="44" t="s">
        <v>9</v>
      </c>
      <c r="I151" s="44" t="s">
        <v>1296</v>
      </c>
      <c r="J151" s="72" t="s">
        <v>1228</v>
      </c>
      <c r="K151" s="73">
        <v>14793</v>
      </c>
      <c r="L151" s="30">
        <v>1940</v>
      </c>
      <c r="M151" s="30">
        <f t="shared" si="13"/>
        <v>79</v>
      </c>
      <c r="N151" s="44" t="s">
        <v>3</v>
      </c>
      <c r="O151" s="44" t="s">
        <v>1229</v>
      </c>
      <c r="P151" s="74" t="s">
        <v>1320</v>
      </c>
      <c r="Q151" s="44"/>
      <c r="R151" s="72" t="s">
        <v>1371</v>
      </c>
      <c r="S151" s="126"/>
      <c r="T151" s="126"/>
      <c r="U151" s="126"/>
      <c r="V151" s="126"/>
      <c r="W151" s="126"/>
      <c r="X151" s="126"/>
    </row>
    <row r="152" spans="2:24" ht="15" customHeight="1" x14ac:dyDescent="0.2">
      <c r="B152" s="119">
        <v>55</v>
      </c>
      <c r="C152" s="127" t="s">
        <v>1482</v>
      </c>
      <c r="D152" s="44">
        <v>145</v>
      </c>
      <c r="E152" s="72" t="s">
        <v>1107</v>
      </c>
      <c r="F152" s="44" t="s">
        <v>6</v>
      </c>
      <c r="G152" s="44" t="s">
        <v>1483</v>
      </c>
      <c r="H152" s="44" t="s">
        <v>1</v>
      </c>
      <c r="I152" s="44" t="s">
        <v>2</v>
      </c>
      <c r="J152" s="72" t="s">
        <v>1228</v>
      </c>
      <c r="K152" s="73">
        <v>29586</v>
      </c>
      <c r="L152" s="30">
        <v>1980</v>
      </c>
      <c r="M152" s="30">
        <f t="shared" si="13"/>
        <v>39</v>
      </c>
      <c r="N152" s="44" t="s">
        <v>3</v>
      </c>
      <c r="O152" s="44" t="s">
        <v>1229</v>
      </c>
      <c r="P152" s="74" t="s">
        <v>1233</v>
      </c>
      <c r="Q152" s="44"/>
      <c r="R152" s="72" t="s">
        <v>1330</v>
      </c>
      <c r="S152" s="126"/>
      <c r="T152" s="126"/>
      <c r="U152" s="126"/>
      <c r="V152" s="126"/>
      <c r="W152" s="126"/>
      <c r="X152" s="126"/>
    </row>
    <row r="153" spans="2:24" ht="15" customHeight="1" x14ac:dyDescent="0.2">
      <c r="B153" s="119"/>
      <c r="C153" s="127"/>
      <c r="D153" s="44">
        <v>146</v>
      </c>
      <c r="E153" s="72" t="s">
        <v>196</v>
      </c>
      <c r="F153" s="44" t="s">
        <v>11</v>
      </c>
      <c r="G153" s="44" t="s">
        <v>1108</v>
      </c>
      <c r="H153" s="44" t="s">
        <v>9</v>
      </c>
      <c r="I153" s="44" t="s">
        <v>2</v>
      </c>
      <c r="J153" s="72" t="s">
        <v>1228</v>
      </c>
      <c r="K153" s="73">
        <v>30133</v>
      </c>
      <c r="L153" s="30">
        <v>1982</v>
      </c>
      <c r="M153" s="30">
        <f t="shared" si="13"/>
        <v>37</v>
      </c>
      <c r="N153" s="44" t="s">
        <v>3</v>
      </c>
      <c r="O153" s="44" t="s">
        <v>1229</v>
      </c>
      <c r="P153" s="74" t="s">
        <v>1233</v>
      </c>
      <c r="Q153" s="44"/>
      <c r="R153" s="72" t="s">
        <v>1330</v>
      </c>
      <c r="S153" s="126"/>
      <c r="T153" s="126"/>
      <c r="U153" s="126"/>
      <c r="V153" s="126"/>
      <c r="W153" s="126"/>
      <c r="X153" s="126"/>
    </row>
    <row r="154" spans="2:24" ht="15" customHeight="1" x14ac:dyDescent="0.2">
      <c r="B154" s="119"/>
      <c r="C154" s="127"/>
      <c r="D154" s="44">
        <v>147</v>
      </c>
      <c r="E154" s="72" t="s">
        <v>1484</v>
      </c>
      <c r="F154" s="44" t="s">
        <v>16</v>
      </c>
      <c r="G154" s="44" t="s">
        <v>1109</v>
      </c>
      <c r="H154" s="44" t="s">
        <v>1</v>
      </c>
      <c r="I154" s="44" t="s">
        <v>13</v>
      </c>
      <c r="J154" s="72" t="s">
        <v>1228</v>
      </c>
      <c r="K154" s="73">
        <v>36892</v>
      </c>
      <c r="L154" s="30">
        <v>2001</v>
      </c>
      <c r="M154" s="30">
        <f t="shared" si="13"/>
        <v>18</v>
      </c>
      <c r="N154" s="44" t="s">
        <v>3</v>
      </c>
      <c r="O154" s="44" t="s">
        <v>1229</v>
      </c>
      <c r="P154" s="74" t="s">
        <v>1247</v>
      </c>
      <c r="Q154" s="44"/>
      <c r="R154" s="72" t="s">
        <v>1326</v>
      </c>
      <c r="S154" s="126"/>
      <c r="T154" s="126"/>
      <c r="U154" s="126"/>
      <c r="V154" s="126"/>
      <c r="W154" s="126"/>
      <c r="X154" s="126"/>
    </row>
    <row r="155" spans="2:24" ht="15" customHeight="1" x14ac:dyDescent="0.2">
      <c r="B155" s="119"/>
      <c r="C155" s="127"/>
      <c r="D155" s="44">
        <v>148</v>
      </c>
      <c r="E155" s="72" t="s">
        <v>1485</v>
      </c>
      <c r="F155" s="44" t="s">
        <v>16</v>
      </c>
      <c r="G155" s="44" t="s">
        <v>1110</v>
      </c>
      <c r="H155" s="44" t="s">
        <v>9</v>
      </c>
      <c r="I155" s="44" t="s">
        <v>13</v>
      </c>
      <c r="J155" s="72" t="s">
        <v>1228</v>
      </c>
      <c r="K155" s="73">
        <v>38478</v>
      </c>
      <c r="L155" s="30">
        <v>2005</v>
      </c>
      <c r="M155" s="30">
        <f t="shared" si="13"/>
        <v>14</v>
      </c>
      <c r="N155" s="44" t="s">
        <v>3</v>
      </c>
      <c r="O155" s="44" t="s">
        <v>1229</v>
      </c>
      <c r="P155" s="74" t="s">
        <v>1247</v>
      </c>
      <c r="Q155" s="44"/>
      <c r="R155" s="72" t="s">
        <v>1326</v>
      </c>
      <c r="S155" s="126"/>
      <c r="T155" s="126"/>
      <c r="U155" s="126"/>
      <c r="V155" s="126"/>
      <c r="W155" s="126"/>
      <c r="X155" s="126"/>
    </row>
    <row r="156" spans="2:24" ht="15" customHeight="1" x14ac:dyDescent="0.2">
      <c r="B156" s="119"/>
      <c r="C156" s="127"/>
      <c r="D156" s="44">
        <v>149</v>
      </c>
      <c r="E156" s="72" t="s">
        <v>1486</v>
      </c>
      <c r="F156" s="44" t="s">
        <v>16</v>
      </c>
      <c r="G156" s="44" t="s">
        <v>1111</v>
      </c>
      <c r="H156" s="44" t="s">
        <v>9</v>
      </c>
      <c r="I156" s="44" t="s">
        <v>13</v>
      </c>
      <c r="J156" s="72" t="s">
        <v>1228</v>
      </c>
      <c r="K156" s="73">
        <v>40335</v>
      </c>
      <c r="L156" s="30">
        <v>2010</v>
      </c>
      <c r="M156" s="30">
        <f t="shared" si="13"/>
        <v>9</v>
      </c>
      <c r="N156" s="44" t="s">
        <v>3</v>
      </c>
      <c r="O156" s="44" t="s">
        <v>1229</v>
      </c>
      <c r="P156" s="74" t="s">
        <v>1320</v>
      </c>
      <c r="Q156" s="44"/>
      <c r="R156" s="72" t="s">
        <v>1332</v>
      </c>
      <c r="S156" s="126"/>
      <c r="T156" s="126"/>
      <c r="U156" s="126"/>
      <c r="V156" s="126"/>
      <c r="W156" s="126"/>
      <c r="X156" s="126"/>
    </row>
    <row r="157" spans="2:24" ht="15" customHeight="1" x14ac:dyDescent="0.2">
      <c r="B157" s="119"/>
      <c r="C157" s="127"/>
      <c r="D157" s="44">
        <v>150</v>
      </c>
      <c r="E157" s="72" t="s">
        <v>1487</v>
      </c>
      <c r="F157" s="44" t="s">
        <v>16</v>
      </c>
      <c r="G157" s="44" t="s">
        <v>1112</v>
      </c>
      <c r="H157" s="44" t="s">
        <v>1</v>
      </c>
      <c r="I157" s="44" t="s">
        <v>13</v>
      </c>
      <c r="J157" s="72" t="s">
        <v>1228</v>
      </c>
      <c r="K157" s="73">
        <v>41134</v>
      </c>
      <c r="L157" s="30">
        <v>2012</v>
      </c>
      <c r="M157" s="30">
        <f t="shared" si="13"/>
        <v>7</v>
      </c>
      <c r="N157" s="44" t="s">
        <v>3</v>
      </c>
      <c r="O157" s="44" t="s">
        <v>1229</v>
      </c>
      <c r="P157" s="74" t="s">
        <v>1320</v>
      </c>
      <c r="Q157" s="44"/>
      <c r="R157" s="72" t="s">
        <v>1332</v>
      </c>
      <c r="S157" s="126"/>
      <c r="T157" s="126"/>
      <c r="U157" s="126"/>
      <c r="V157" s="126"/>
      <c r="W157" s="126"/>
      <c r="X157" s="126"/>
    </row>
    <row r="158" spans="2:24" ht="15" customHeight="1" x14ac:dyDescent="0.2">
      <c r="B158" s="119">
        <v>56</v>
      </c>
      <c r="C158" s="119" t="s">
        <v>1449</v>
      </c>
      <c r="D158" s="44">
        <v>151</v>
      </c>
      <c r="E158" s="72" t="s">
        <v>94</v>
      </c>
      <c r="F158" s="44" t="s">
        <v>6</v>
      </c>
      <c r="G158" s="44" t="s">
        <v>1113</v>
      </c>
      <c r="H158" s="44" t="s">
        <v>1</v>
      </c>
      <c r="I158" s="44" t="s">
        <v>2</v>
      </c>
      <c r="J158" s="72" t="s">
        <v>1228</v>
      </c>
      <c r="K158" s="73">
        <v>27029</v>
      </c>
      <c r="L158" s="30">
        <v>1973</v>
      </c>
      <c r="M158" s="30">
        <f t="shared" si="13"/>
        <v>46</v>
      </c>
      <c r="N158" s="44" t="s">
        <v>3</v>
      </c>
      <c r="O158" s="44" t="s">
        <v>1229</v>
      </c>
      <c r="P158" s="74" t="s">
        <v>1233</v>
      </c>
      <c r="Q158" s="44"/>
      <c r="R158" s="72" t="s">
        <v>1330</v>
      </c>
      <c r="S158" s="126"/>
      <c r="T158" s="126"/>
      <c r="U158" s="126"/>
      <c r="V158" s="126"/>
      <c r="W158" s="126"/>
      <c r="X158" s="126"/>
    </row>
    <row r="159" spans="2:24" ht="15" customHeight="1" x14ac:dyDescent="0.2">
      <c r="B159" s="119"/>
      <c r="C159" s="119"/>
      <c r="D159" s="44">
        <v>152</v>
      </c>
      <c r="E159" s="72" t="s">
        <v>1036</v>
      </c>
      <c r="F159" s="44" t="s">
        <v>11</v>
      </c>
      <c r="G159" s="44" t="s">
        <v>1114</v>
      </c>
      <c r="H159" s="44" t="s">
        <v>9</v>
      </c>
      <c r="I159" s="44" t="s">
        <v>2</v>
      </c>
      <c r="J159" s="72" t="s">
        <v>1452</v>
      </c>
      <c r="K159" s="73">
        <v>33055</v>
      </c>
      <c r="L159" s="30">
        <v>1990</v>
      </c>
      <c r="M159" s="30">
        <f t="shared" si="13"/>
        <v>29</v>
      </c>
      <c r="N159" s="44" t="s">
        <v>3</v>
      </c>
      <c r="O159" s="44" t="s">
        <v>1229</v>
      </c>
      <c r="P159" s="74" t="s">
        <v>1246</v>
      </c>
      <c r="Q159" s="44"/>
      <c r="R159" s="72" t="s">
        <v>1330</v>
      </c>
      <c r="S159" s="126"/>
      <c r="T159" s="126"/>
      <c r="U159" s="126"/>
      <c r="V159" s="126"/>
      <c r="W159" s="126"/>
      <c r="X159" s="126"/>
    </row>
    <row r="160" spans="2:24" ht="15" customHeight="1" x14ac:dyDescent="0.2">
      <c r="B160" s="119"/>
      <c r="C160" s="119"/>
      <c r="D160" s="44">
        <v>153</v>
      </c>
      <c r="E160" s="72" t="s">
        <v>1450</v>
      </c>
      <c r="F160" s="44" t="s">
        <v>16</v>
      </c>
      <c r="G160" s="44" t="s">
        <v>1451</v>
      </c>
      <c r="H160" s="44" t="s">
        <v>9</v>
      </c>
      <c r="I160" s="44" t="s">
        <v>13</v>
      </c>
      <c r="J160" s="72" t="s">
        <v>1228</v>
      </c>
      <c r="K160" s="73">
        <v>42118</v>
      </c>
      <c r="L160" s="30">
        <v>2015</v>
      </c>
      <c r="M160" s="30">
        <f t="shared" si="13"/>
        <v>4</v>
      </c>
      <c r="N160" s="44" t="s">
        <v>3</v>
      </c>
      <c r="O160" s="44" t="s">
        <v>1229</v>
      </c>
      <c r="P160" s="74" t="s">
        <v>1320</v>
      </c>
      <c r="Q160" s="44"/>
      <c r="R160" s="72" t="s">
        <v>1332</v>
      </c>
      <c r="S160" s="126"/>
      <c r="T160" s="126"/>
      <c r="U160" s="126"/>
      <c r="V160" s="126"/>
      <c r="W160" s="126"/>
      <c r="X160" s="126"/>
    </row>
    <row r="161" spans="2:24" ht="15" customHeight="1" x14ac:dyDescent="0.2">
      <c r="B161" s="119">
        <v>57</v>
      </c>
      <c r="C161" s="119" t="s">
        <v>1503</v>
      </c>
      <c r="D161" s="44">
        <v>154</v>
      </c>
      <c r="E161" s="72" t="s">
        <v>1115</v>
      </c>
      <c r="F161" s="44" t="s">
        <v>6</v>
      </c>
      <c r="G161" s="44" t="s">
        <v>1116</v>
      </c>
      <c r="H161" s="44" t="s">
        <v>1</v>
      </c>
      <c r="I161" s="44" t="s">
        <v>2</v>
      </c>
      <c r="J161" s="72" t="s">
        <v>1228</v>
      </c>
      <c r="K161" s="73">
        <v>20089</v>
      </c>
      <c r="L161" s="30">
        <v>1954</v>
      </c>
      <c r="M161" s="30">
        <f t="shared" si="13"/>
        <v>65</v>
      </c>
      <c r="N161" s="44" t="s">
        <v>3</v>
      </c>
      <c r="O161" s="44" t="s">
        <v>1229</v>
      </c>
      <c r="P161" s="74" t="s">
        <v>1320</v>
      </c>
      <c r="Q161" s="44"/>
      <c r="R161" s="72" t="s">
        <v>1330</v>
      </c>
      <c r="S161" s="126"/>
      <c r="T161" s="126"/>
      <c r="U161" s="126"/>
      <c r="V161" s="126"/>
      <c r="W161" s="126"/>
      <c r="X161" s="126"/>
    </row>
    <row r="162" spans="2:24" ht="15" customHeight="1" x14ac:dyDescent="0.2">
      <c r="B162" s="119"/>
      <c r="C162" s="119"/>
      <c r="D162" s="44">
        <v>155</v>
      </c>
      <c r="E162" s="72" t="s">
        <v>1117</v>
      </c>
      <c r="F162" s="44" t="s">
        <v>11</v>
      </c>
      <c r="G162" s="44" t="s">
        <v>1118</v>
      </c>
      <c r="H162" s="44" t="s">
        <v>9</v>
      </c>
      <c r="I162" s="44" t="s">
        <v>2</v>
      </c>
      <c r="J162" s="72" t="s">
        <v>1228</v>
      </c>
      <c r="K162" s="73">
        <v>21550</v>
      </c>
      <c r="L162" s="30">
        <v>1958</v>
      </c>
      <c r="M162" s="30">
        <f t="shared" si="13"/>
        <v>61</v>
      </c>
      <c r="N162" s="44" t="s">
        <v>3</v>
      </c>
      <c r="O162" s="44" t="s">
        <v>1229</v>
      </c>
      <c r="P162" s="74" t="s">
        <v>1320</v>
      </c>
      <c r="Q162" s="44"/>
      <c r="R162" s="72" t="s">
        <v>1330</v>
      </c>
      <c r="S162" s="126"/>
      <c r="T162" s="126"/>
      <c r="U162" s="126"/>
      <c r="V162" s="126"/>
      <c r="W162" s="126"/>
      <c r="X162" s="126"/>
    </row>
    <row r="163" spans="2:24" ht="15" customHeight="1" x14ac:dyDescent="0.2">
      <c r="B163" s="119"/>
      <c r="C163" s="119"/>
      <c r="D163" s="44">
        <v>156</v>
      </c>
      <c r="E163" s="72" t="s">
        <v>266</v>
      </c>
      <c r="F163" s="44" t="s">
        <v>16</v>
      </c>
      <c r="G163" s="44" t="s">
        <v>1119</v>
      </c>
      <c r="H163" s="44" t="s">
        <v>1</v>
      </c>
      <c r="I163" s="44" t="s">
        <v>13</v>
      </c>
      <c r="J163" s="72" t="s">
        <v>1228</v>
      </c>
      <c r="K163" s="73">
        <v>32060</v>
      </c>
      <c r="L163" s="30">
        <v>1987</v>
      </c>
      <c r="M163" s="30">
        <f t="shared" si="13"/>
        <v>32</v>
      </c>
      <c r="N163" s="44" t="s">
        <v>3</v>
      </c>
      <c r="O163" s="44" t="s">
        <v>1229</v>
      </c>
      <c r="P163" s="74" t="s">
        <v>1270</v>
      </c>
      <c r="Q163" s="44"/>
      <c r="R163" s="72" t="s">
        <v>1326</v>
      </c>
      <c r="S163" s="126"/>
      <c r="T163" s="126"/>
      <c r="U163" s="126"/>
      <c r="V163" s="126"/>
      <c r="W163" s="126"/>
      <c r="X163" s="126"/>
    </row>
    <row r="164" spans="2:24" ht="15" customHeight="1" x14ac:dyDescent="0.2">
      <c r="B164" s="119">
        <v>58</v>
      </c>
      <c r="C164" s="119" t="s">
        <v>1426</v>
      </c>
      <c r="D164" s="44">
        <v>157</v>
      </c>
      <c r="E164" s="72" t="s">
        <v>1120</v>
      </c>
      <c r="F164" s="44" t="s">
        <v>6</v>
      </c>
      <c r="G164" s="44" t="s">
        <v>1429</v>
      </c>
      <c r="H164" s="44" t="s">
        <v>1</v>
      </c>
      <c r="I164" s="44" t="s">
        <v>2</v>
      </c>
      <c r="J164" s="72" t="s">
        <v>1228</v>
      </c>
      <c r="K164" s="73">
        <v>28307</v>
      </c>
      <c r="L164" s="30">
        <v>1977</v>
      </c>
      <c r="M164" s="30">
        <f t="shared" si="13"/>
        <v>42</v>
      </c>
      <c r="N164" s="44" t="s">
        <v>3</v>
      </c>
      <c r="O164" s="44" t="s">
        <v>1229</v>
      </c>
      <c r="P164" s="74" t="s">
        <v>1247</v>
      </c>
      <c r="Q164" s="44"/>
      <c r="R164" s="72" t="s">
        <v>1330</v>
      </c>
      <c r="S164" s="126"/>
      <c r="T164" s="126"/>
      <c r="U164" s="126"/>
      <c r="V164" s="126"/>
      <c r="W164" s="126"/>
      <c r="X164" s="126"/>
    </row>
    <row r="165" spans="2:24" ht="15" customHeight="1" x14ac:dyDescent="0.2">
      <c r="B165" s="119"/>
      <c r="C165" s="119"/>
      <c r="D165" s="44">
        <v>158</v>
      </c>
      <c r="E165" s="72" t="s">
        <v>184</v>
      </c>
      <c r="F165" s="44" t="s">
        <v>11</v>
      </c>
      <c r="G165" s="44" t="s">
        <v>1430</v>
      </c>
      <c r="H165" s="44" t="s">
        <v>9</v>
      </c>
      <c r="I165" s="44" t="s">
        <v>2</v>
      </c>
      <c r="J165" s="72" t="s">
        <v>1228</v>
      </c>
      <c r="K165" s="73">
        <v>29037</v>
      </c>
      <c r="L165" s="30">
        <v>1979</v>
      </c>
      <c r="M165" s="30">
        <f t="shared" si="13"/>
        <v>40</v>
      </c>
      <c r="N165" s="44" t="s">
        <v>3</v>
      </c>
      <c r="O165" s="44" t="s">
        <v>1229</v>
      </c>
      <c r="P165" s="74" t="s">
        <v>1233</v>
      </c>
      <c r="Q165" s="44"/>
      <c r="R165" s="72" t="s">
        <v>1330</v>
      </c>
      <c r="S165" s="126"/>
      <c r="T165" s="126"/>
      <c r="U165" s="126"/>
      <c r="V165" s="126"/>
      <c r="W165" s="126"/>
      <c r="X165" s="126"/>
    </row>
    <row r="166" spans="2:24" ht="15" customHeight="1" x14ac:dyDescent="0.2">
      <c r="B166" s="119"/>
      <c r="C166" s="119"/>
      <c r="D166" s="44">
        <v>159</v>
      </c>
      <c r="E166" s="72" t="s">
        <v>1427</v>
      </c>
      <c r="F166" s="44" t="s">
        <v>16</v>
      </c>
      <c r="G166" s="44" t="s">
        <v>1431</v>
      </c>
      <c r="H166" s="44" t="s">
        <v>1</v>
      </c>
      <c r="I166" s="44" t="s">
        <v>13</v>
      </c>
      <c r="J166" s="72" t="s">
        <v>1228</v>
      </c>
      <c r="K166" s="73">
        <v>33289</v>
      </c>
      <c r="L166" s="30">
        <v>1991</v>
      </c>
      <c r="M166" s="30">
        <f t="shared" si="13"/>
        <v>28</v>
      </c>
      <c r="N166" s="44" t="s">
        <v>3</v>
      </c>
      <c r="O166" s="44" t="s">
        <v>1229</v>
      </c>
      <c r="P166" s="74" t="s">
        <v>1246</v>
      </c>
      <c r="Q166" s="44"/>
      <c r="R166" s="72" t="s">
        <v>1330</v>
      </c>
      <c r="S166" s="126"/>
      <c r="T166" s="126"/>
      <c r="U166" s="126"/>
      <c r="V166" s="126"/>
      <c r="W166" s="126"/>
      <c r="X166" s="126"/>
    </row>
    <row r="167" spans="2:24" ht="15" customHeight="1" x14ac:dyDescent="0.2">
      <c r="B167" s="119"/>
      <c r="C167" s="119"/>
      <c r="D167" s="44">
        <v>160</v>
      </c>
      <c r="E167" s="72" t="s">
        <v>1428</v>
      </c>
      <c r="F167" s="44" t="s">
        <v>16</v>
      </c>
      <c r="G167" s="44" t="s">
        <v>1432</v>
      </c>
      <c r="H167" s="44" t="s">
        <v>1</v>
      </c>
      <c r="I167" s="44" t="s">
        <v>13</v>
      </c>
      <c r="J167" s="72" t="s">
        <v>1228</v>
      </c>
      <c r="K167" s="73">
        <v>39662</v>
      </c>
      <c r="L167" s="30">
        <v>2008</v>
      </c>
      <c r="M167" s="30">
        <f t="shared" si="13"/>
        <v>11</v>
      </c>
      <c r="N167" s="44" t="s">
        <v>3</v>
      </c>
      <c r="O167" s="44" t="s">
        <v>1229</v>
      </c>
      <c r="P167" s="74" t="s">
        <v>1247</v>
      </c>
      <c r="Q167" s="44"/>
      <c r="R167" s="72" t="s">
        <v>1326</v>
      </c>
      <c r="S167" s="126"/>
      <c r="T167" s="126"/>
      <c r="U167" s="126"/>
      <c r="V167" s="126"/>
      <c r="W167" s="126"/>
      <c r="X167" s="126"/>
    </row>
    <row r="168" spans="2:24" ht="25.5" x14ac:dyDescent="0.2">
      <c r="B168" s="44">
        <v>59</v>
      </c>
      <c r="C168" s="75" t="s">
        <v>1498</v>
      </c>
      <c r="D168" s="44">
        <v>161</v>
      </c>
      <c r="E168" s="72" t="s">
        <v>1121</v>
      </c>
      <c r="F168" s="44" t="s">
        <v>6</v>
      </c>
      <c r="G168" s="44" t="s">
        <v>1499</v>
      </c>
      <c r="H168" s="44" t="s">
        <v>9</v>
      </c>
      <c r="I168" s="44" t="s">
        <v>1296</v>
      </c>
      <c r="J168" s="72" t="s">
        <v>1228</v>
      </c>
      <c r="K168" s="73">
        <v>18994</v>
      </c>
      <c r="L168" s="30">
        <v>1952</v>
      </c>
      <c r="M168" s="30">
        <f t="shared" ref="M168:M198" si="15">2019-L168</f>
        <v>67</v>
      </c>
      <c r="N168" s="44" t="s">
        <v>3</v>
      </c>
      <c r="O168" s="44" t="s">
        <v>1229</v>
      </c>
      <c r="P168" s="74" t="s">
        <v>1320</v>
      </c>
      <c r="Q168" s="44"/>
      <c r="R168" s="72" t="s">
        <v>1330</v>
      </c>
      <c r="S168" s="126"/>
      <c r="T168" s="126"/>
      <c r="U168" s="126"/>
      <c r="V168" s="126"/>
      <c r="W168" s="126"/>
      <c r="X168" s="126"/>
    </row>
    <row r="169" spans="2:24" ht="15" customHeight="1" x14ac:dyDescent="0.2">
      <c r="B169" s="119">
        <v>60</v>
      </c>
      <c r="C169" s="119" t="s">
        <v>1512</v>
      </c>
      <c r="D169" s="44">
        <v>162</v>
      </c>
      <c r="E169" s="72" t="s">
        <v>1122</v>
      </c>
      <c r="F169" s="44" t="s">
        <v>6</v>
      </c>
      <c r="G169" s="44" t="s">
        <v>1514</v>
      </c>
      <c r="H169" s="44" t="s">
        <v>1</v>
      </c>
      <c r="I169" s="44" t="s">
        <v>2</v>
      </c>
      <c r="J169" s="72" t="s">
        <v>1228</v>
      </c>
      <c r="K169" s="73">
        <v>31777</v>
      </c>
      <c r="L169" s="30">
        <v>1986</v>
      </c>
      <c r="M169" s="30">
        <f t="shared" si="15"/>
        <v>33</v>
      </c>
      <c r="N169" s="44" t="s">
        <v>3</v>
      </c>
      <c r="O169" s="44" t="s">
        <v>1229</v>
      </c>
      <c r="P169" s="74" t="s">
        <v>1233</v>
      </c>
      <c r="Q169" s="44"/>
      <c r="R169" s="72" t="s">
        <v>1330</v>
      </c>
      <c r="S169" s="126"/>
      <c r="T169" s="126"/>
      <c r="U169" s="126"/>
      <c r="V169" s="126"/>
      <c r="W169" s="126"/>
      <c r="X169" s="126"/>
    </row>
    <row r="170" spans="2:24" ht="15" customHeight="1" x14ac:dyDescent="0.2">
      <c r="B170" s="119"/>
      <c r="C170" s="119"/>
      <c r="D170" s="44">
        <v>163</v>
      </c>
      <c r="E170" s="72" t="s">
        <v>231</v>
      </c>
      <c r="F170" s="44" t="s">
        <v>11</v>
      </c>
      <c r="G170" s="44" t="s">
        <v>1124</v>
      </c>
      <c r="H170" s="44" t="s">
        <v>9</v>
      </c>
      <c r="I170" s="44" t="s">
        <v>2</v>
      </c>
      <c r="J170" s="72" t="s">
        <v>1228</v>
      </c>
      <c r="K170" s="73">
        <v>32539</v>
      </c>
      <c r="L170" s="30">
        <v>1989</v>
      </c>
      <c r="M170" s="30">
        <f t="shared" si="15"/>
        <v>30</v>
      </c>
      <c r="N170" s="44" t="s">
        <v>3</v>
      </c>
      <c r="O170" s="44" t="s">
        <v>1229</v>
      </c>
      <c r="P170" s="74" t="s">
        <v>1270</v>
      </c>
      <c r="Q170" s="44"/>
      <c r="R170" s="72" t="s">
        <v>1330</v>
      </c>
      <c r="S170" s="126"/>
      <c r="T170" s="126"/>
      <c r="U170" s="126"/>
      <c r="V170" s="126"/>
      <c r="W170" s="126"/>
      <c r="X170" s="126"/>
    </row>
    <row r="171" spans="2:24" ht="15" customHeight="1" x14ac:dyDescent="0.2">
      <c r="B171" s="119"/>
      <c r="C171" s="119"/>
      <c r="D171" s="44">
        <v>164</v>
      </c>
      <c r="E171" s="72" t="s">
        <v>1513</v>
      </c>
      <c r="F171" s="44" t="s">
        <v>16</v>
      </c>
      <c r="G171" s="44" t="s">
        <v>1123</v>
      </c>
      <c r="H171" s="44" t="s">
        <v>1</v>
      </c>
      <c r="I171" s="44" t="s">
        <v>13</v>
      </c>
      <c r="J171" s="72" t="s">
        <v>1228</v>
      </c>
      <c r="K171" s="73">
        <v>41173</v>
      </c>
      <c r="L171" s="30">
        <v>2012</v>
      </c>
      <c r="M171" s="30">
        <f t="shared" si="15"/>
        <v>7</v>
      </c>
      <c r="N171" s="44" t="s">
        <v>3</v>
      </c>
      <c r="O171" s="44" t="s">
        <v>1229</v>
      </c>
      <c r="P171" s="74" t="s">
        <v>1320</v>
      </c>
      <c r="Q171" s="44"/>
      <c r="R171" s="72" t="s">
        <v>1332</v>
      </c>
      <c r="S171" s="126"/>
      <c r="T171" s="126"/>
      <c r="U171" s="126"/>
      <c r="V171" s="126"/>
      <c r="W171" s="126"/>
      <c r="X171" s="126"/>
    </row>
    <row r="172" spans="2:24" ht="25.5" x14ac:dyDescent="0.2">
      <c r="B172" s="119">
        <v>61</v>
      </c>
      <c r="C172" s="119" t="s">
        <v>1528</v>
      </c>
      <c r="D172" s="44">
        <v>165</v>
      </c>
      <c r="E172" s="72" t="s">
        <v>1125</v>
      </c>
      <c r="F172" s="44" t="s">
        <v>6</v>
      </c>
      <c r="G172" s="44" t="s">
        <v>1529</v>
      </c>
      <c r="H172" s="44" t="s">
        <v>9</v>
      </c>
      <c r="I172" s="44" t="s">
        <v>1296</v>
      </c>
      <c r="J172" s="72" t="s">
        <v>1228</v>
      </c>
      <c r="K172" s="73">
        <v>22149</v>
      </c>
      <c r="L172" s="30">
        <v>1960</v>
      </c>
      <c r="M172" s="30">
        <f t="shared" si="15"/>
        <v>59</v>
      </c>
      <c r="N172" s="44" t="s">
        <v>3</v>
      </c>
      <c r="O172" s="44" t="s">
        <v>1229</v>
      </c>
      <c r="P172" s="74" t="s">
        <v>1233</v>
      </c>
      <c r="Q172" s="44"/>
      <c r="R172" s="72" t="s">
        <v>1370</v>
      </c>
      <c r="S172" s="70"/>
      <c r="T172" s="70"/>
      <c r="U172" s="70"/>
      <c r="V172" s="70"/>
      <c r="W172" s="70"/>
      <c r="X172" s="70"/>
    </row>
    <row r="173" spans="2:24" ht="15" customHeight="1" x14ac:dyDescent="0.2">
      <c r="B173" s="119"/>
      <c r="C173" s="119"/>
      <c r="D173" s="44">
        <v>166</v>
      </c>
      <c r="E173" s="72" t="s">
        <v>1126</v>
      </c>
      <c r="F173" s="44" t="s">
        <v>16</v>
      </c>
      <c r="G173" s="44" t="s">
        <v>1127</v>
      </c>
      <c r="H173" s="44" t="s">
        <v>1</v>
      </c>
      <c r="I173" s="44" t="s">
        <v>13</v>
      </c>
      <c r="J173" s="72" t="s">
        <v>1228</v>
      </c>
      <c r="K173" s="73">
        <v>29545</v>
      </c>
      <c r="L173" s="30">
        <v>1980</v>
      </c>
      <c r="M173" s="30">
        <f t="shared" si="15"/>
        <v>39</v>
      </c>
      <c r="N173" s="44" t="s">
        <v>3</v>
      </c>
      <c r="O173" s="44" t="s">
        <v>1229</v>
      </c>
      <c r="P173" s="74" t="s">
        <v>1233</v>
      </c>
      <c r="Q173" s="44"/>
      <c r="R173" s="72" t="s">
        <v>5</v>
      </c>
      <c r="S173" s="126"/>
      <c r="T173" s="126"/>
      <c r="U173" s="126"/>
      <c r="V173" s="126"/>
      <c r="W173" s="126"/>
      <c r="X173" s="126"/>
    </row>
    <row r="174" spans="2:24" ht="15" customHeight="1" x14ac:dyDescent="0.2">
      <c r="B174" s="119">
        <v>62</v>
      </c>
      <c r="C174" s="119" t="s">
        <v>1354</v>
      </c>
      <c r="D174" s="44">
        <v>167</v>
      </c>
      <c r="E174" s="72" t="s">
        <v>1128</v>
      </c>
      <c r="F174" s="44" t="s">
        <v>6</v>
      </c>
      <c r="G174" s="44" t="s">
        <v>1129</v>
      </c>
      <c r="H174" s="44" t="s">
        <v>1</v>
      </c>
      <c r="I174" s="44" t="s">
        <v>2</v>
      </c>
      <c r="J174" s="72" t="s">
        <v>1228</v>
      </c>
      <c r="K174" s="73">
        <v>24289</v>
      </c>
      <c r="L174" s="30">
        <v>1966</v>
      </c>
      <c r="M174" s="30">
        <f t="shared" si="15"/>
        <v>53</v>
      </c>
      <c r="N174" s="44" t="s">
        <v>3</v>
      </c>
      <c r="O174" s="44" t="s">
        <v>1229</v>
      </c>
      <c r="P174" s="74" t="s">
        <v>1320</v>
      </c>
      <c r="Q174" s="44"/>
      <c r="R174" s="72" t="s">
        <v>1330</v>
      </c>
      <c r="S174" s="126"/>
      <c r="T174" s="126"/>
      <c r="U174" s="126"/>
      <c r="V174" s="126"/>
      <c r="W174" s="126"/>
      <c r="X174" s="126"/>
    </row>
    <row r="175" spans="2:24" ht="15" customHeight="1" x14ac:dyDescent="0.2">
      <c r="B175" s="119"/>
      <c r="C175" s="119"/>
      <c r="D175" s="44">
        <v>168</v>
      </c>
      <c r="E175" s="72" t="s">
        <v>540</v>
      </c>
      <c r="F175" s="44" t="s">
        <v>11</v>
      </c>
      <c r="G175" s="44" t="s">
        <v>1130</v>
      </c>
      <c r="H175" s="44" t="s">
        <v>9</v>
      </c>
      <c r="I175" s="44" t="s">
        <v>2</v>
      </c>
      <c r="J175" s="72" t="s">
        <v>1356</v>
      </c>
      <c r="K175" s="73">
        <v>29037</v>
      </c>
      <c r="L175" s="30">
        <v>1979</v>
      </c>
      <c r="M175" s="30">
        <f t="shared" si="15"/>
        <v>40</v>
      </c>
      <c r="N175" s="44" t="s">
        <v>3</v>
      </c>
      <c r="O175" s="44" t="s">
        <v>1229</v>
      </c>
      <c r="P175" s="74" t="s">
        <v>1320</v>
      </c>
      <c r="Q175" s="44"/>
      <c r="R175" s="72" t="s">
        <v>1330</v>
      </c>
      <c r="S175" s="126"/>
      <c r="T175" s="126"/>
      <c r="U175" s="126"/>
      <c r="V175" s="126"/>
      <c r="W175" s="126"/>
      <c r="X175" s="126"/>
    </row>
    <row r="176" spans="2:24" ht="15" customHeight="1" x14ac:dyDescent="0.2">
      <c r="B176" s="119"/>
      <c r="C176" s="119"/>
      <c r="D176" s="44">
        <v>169</v>
      </c>
      <c r="E176" s="72" t="s">
        <v>1131</v>
      </c>
      <c r="F176" s="44" t="s">
        <v>16</v>
      </c>
      <c r="G176" s="44" t="s">
        <v>1132</v>
      </c>
      <c r="H176" s="44" t="s">
        <v>9</v>
      </c>
      <c r="I176" s="44" t="s">
        <v>13</v>
      </c>
      <c r="J176" s="72" t="s">
        <v>1228</v>
      </c>
      <c r="K176" s="73">
        <v>34516</v>
      </c>
      <c r="L176" s="30">
        <v>1994</v>
      </c>
      <c r="M176" s="30">
        <f t="shared" si="15"/>
        <v>25</v>
      </c>
      <c r="N176" s="44" t="s">
        <v>3</v>
      </c>
      <c r="O176" s="44" t="s">
        <v>1229</v>
      </c>
      <c r="P176" s="74" t="s">
        <v>1233</v>
      </c>
      <c r="Q176" s="44"/>
      <c r="R176" s="72" t="s">
        <v>1326</v>
      </c>
      <c r="S176" s="126"/>
      <c r="T176" s="126"/>
      <c r="U176" s="126"/>
      <c r="V176" s="126"/>
      <c r="W176" s="126"/>
      <c r="X176" s="126"/>
    </row>
    <row r="177" spans="2:24" ht="15" customHeight="1" x14ac:dyDescent="0.2">
      <c r="B177" s="119"/>
      <c r="C177" s="119"/>
      <c r="D177" s="44">
        <v>170</v>
      </c>
      <c r="E177" s="72" t="s">
        <v>1133</v>
      </c>
      <c r="F177" s="44" t="s">
        <v>16</v>
      </c>
      <c r="G177" s="44" t="s">
        <v>1355</v>
      </c>
      <c r="H177" s="44" t="s">
        <v>9</v>
      </c>
      <c r="I177" s="44" t="s">
        <v>13</v>
      </c>
      <c r="J177" s="72" t="s">
        <v>1228</v>
      </c>
      <c r="K177" s="73">
        <v>36570</v>
      </c>
      <c r="L177" s="30">
        <v>2000</v>
      </c>
      <c r="M177" s="30">
        <f t="shared" si="15"/>
        <v>19</v>
      </c>
      <c r="N177" s="44" t="s">
        <v>3</v>
      </c>
      <c r="O177" s="44" t="s">
        <v>1229</v>
      </c>
      <c r="P177" s="74" t="s">
        <v>1233</v>
      </c>
      <c r="Q177" s="44"/>
      <c r="R177" s="72" t="s">
        <v>1326</v>
      </c>
      <c r="S177" s="126"/>
      <c r="T177" s="126"/>
      <c r="U177" s="126"/>
      <c r="V177" s="126"/>
      <c r="W177" s="126"/>
      <c r="X177" s="126"/>
    </row>
    <row r="178" spans="2:24" ht="15" customHeight="1" x14ac:dyDescent="0.2">
      <c r="B178" s="119"/>
      <c r="C178" s="119"/>
      <c r="D178" s="44">
        <v>171</v>
      </c>
      <c r="E178" s="72" t="s">
        <v>1134</v>
      </c>
      <c r="F178" s="44" t="s">
        <v>16</v>
      </c>
      <c r="G178" s="44" t="s">
        <v>1135</v>
      </c>
      <c r="H178" s="44" t="s">
        <v>1</v>
      </c>
      <c r="I178" s="44" t="s">
        <v>13</v>
      </c>
      <c r="J178" s="72" t="s">
        <v>1228</v>
      </c>
      <c r="K178" s="73">
        <v>38946</v>
      </c>
      <c r="L178" s="30">
        <v>2006</v>
      </c>
      <c r="M178" s="30">
        <f t="shared" si="15"/>
        <v>13</v>
      </c>
      <c r="N178" s="44" t="s">
        <v>3</v>
      </c>
      <c r="O178" s="44" t="s">
        <v>1229</v>
      </c>
      <c r="P178" s="74" t="s">
        <v>1247</v>
      </c>
      <c r="Q178" s="44"/>
      <c r="R178" s="72" t="s">
        <v>1326</v>
      </c>
      <c r="S178" s="126"/>
      <c r="T178" s="126"/>
      <c r="U178" s="126"/>
      <c r="V178" s="126"/>
      <c r="W178" s="126"/>
      <c r="X178" s="126"/>
    </row>
    <row r="179" spans="2:24" ht="25.5" x14ac:dyDescent="0.2">
      <c r="B179" s="119">
        <v>63</v>
      </c>
      <c r="C179" s="119" t="s">
        <v>1401</v>
      </c>
      <c r="D179" s="44">
        <v>172</v>
      </c>
      <c r="E179" s="72" t="s">
        <v>1402</v>
      </c>
      <c r="F179" s="44" t="s">
        <v>6</v>
      </c>
      <c r="G179" s="44" t="s">
        <v>1404</v>
      </c>
      <c r="H179" s="44" t="s">
        <v>9</v>
      </c>
      <c r="I179" s="44" t="s">
        <v>1296</v>
      </c>
      <c r="J179" s="72" t="s">
        <v>1228</v>
      </c>
      <c r="K179" s="73">
        <v>27243</v>
      </c>
      <c r="L179" s="30">
        <v>1974</v>
      </c>
      <c r="M179" s="30">
        <f t="shared" si="15"/>
        <v>45</v>
      </c>
      <c r="N179" s="44" t="s">
        <v>3</v>
      </c>
      <c r="O179" s="44" t="s">
        <v>1229</v>
      </c>
      <c r="P179" s="74" t="s">
        <v>1233</v>
      </c>
      <c r="Q179" s="44"/>
      <c r="R179" s="72" t="s">
        <v>1330</v>
      </c>
      <c r="S179" s="126"/>
      <c r="T179" s="126"/>
      <c r="U179" s="126"/>
      <c r="V179" s="126"/>
      <c r="W179" s="126"/>
      <c r="X179" s="126"/>
    </row>
    <row r="180" spans="2:24" ht="15" customHeight="1" x14ac:dyDescent="0.2">
      <c r="B180" s="119"/>
      <c r="C180" s="119"/>
      <c r="D180" s="44">
        <v>173</v>
      </c>
      <c r="E180" s="72" t="s">
        <v>1403</v>
      </c>
      <c r="F180" s="44" t="s">
        <v>16</v>
      </c>
      <c r="G180" s="44" t="s">
        <v>1136</v>
      </c>
      <c r="H180" s="44" t="s">
        <v>1</v>
      </c>
      <c r="I180" s="44" t="s">
        <v>13</v>
      </c>
      <c r="J180" s="72" t="s">
        <v>1228</v>
      </c>
      <c r="K180" s="73">
        <v>36980</v>
      </c>
      <c r="L180" s="30">
        <v>2001</v>
      </c>
      <c r="M180" s="30">
        <f t="shared" si="15"/>
        <v>18</v>
      </c>
      <c r="N180" s="44" t="s">
        <v>3</v>
      </c>
      <c r="O180" s="44" t="s">
        <v>1229</v>
      </c>
      <c r="P180" s="74" t="s">
        <v>1233</v>
      </c>
      <c r="Q180" s="44"/>
      <c r="R180" s="72" t="s">
        <v>1326</v>
      </c>
      <c r="S180" s="70"/>
      <c r="T180" s="70"/>
      <c r="U180" s="70"/>
      <c r="V180" s="70"/>
      <c r="W180" s="70"/>
      <c r="X180" s="70"/>
    </row>
    <row r="181" spans="2:24" ht="15" customHeight="1" x14ac:dyDescent="0.2">
      <c r="B181" s="119"/>
      <c r="C181" s="119"/>
      <c r="D181" s="44">
        <v>174</v>
      </c>
      <c r="E181" s="72" t="s">
        <v>1137</v>
      </c>
      <c r="F181" s="44" t="s">
        <v>16</v>
      </c>
      <c r="G181" s="44" t="s">
        <v>1138</v>
      </c>
      <c r="H181" s="44" t="s">
        <v>1</v>
      </c>
      <c r="I181" s="44" t="s">
        <v>13</v>
      </c>
      <c r="J181" s="72" t="s">
        <v>1228</v>
      </c>
      <c r="K181" s="73">
        <v>40575</v>
      </c>
      <c r="L181" s="30">
        <v>2011</v>
      </c>
      <c r="M181" s="30">
        <f t="shared" si="15"/>
        <v>8</v>
      </c>
      <c r="N181" s="44" t="s">
        <v>3</v>
      </c>
      <c r="O181" s="44" t="s">
        <v>1229</v>
      </c>
      <c r="P181" s="74" t="s">
        <v>1320</v>
      </c>
      <c r="Q181" s="44"/>
      <c r="R181" s="72" t="s">
        <v>1332</v>
      </c>
      <c r="S181" s="126"/>
      <c r="T181" s="126"/>
      <c r="U181" s="126"/>
      <c r="V181" s="126"/>
      <c r="W181" s="126"/>
      <c r="X181" s="126"/>
    </row>
    <row r="182" spans="2:24" ht="15" customHeight="1" x14ac:dyDescent="0.2">
      <c r="B182" s="44">
        <v>64</v>
      </c>
      <c r="C182" s="75"/>
      <c r="D182" s="44">
        <v>175</v>
      </c>
      <c r="E182" s="72" t="s">
        <v>1139</v>
      </c>
      <c r="F182" s="44" t="s">
        <v>6</v>
      </c>
      <c r="G182" s="44">
        <v>0</v>
      </c>
      <c r="H182" s="44" t="s">
        <v>9</v>
      </c>
      <c r="I182" s="44" t="s">
        <v>19</v>
      </c>
      <c r="J182" s="72"/>
      <c r="K182" s="73">
        <v>14976</v>
      </c>
      <c r="L182" s="30">
        <f>YEAR(K182)</f>
        <v>1940</v>
      </c>
      <c r="M182" s="30">
        <f t="shared" si="15"/>
        <v>79</v>
      </c>
      <c r="N182" s="44" t="s">
        <v>3</v>
      </c>
      <c r="O182" s="44"/>
      <c r="P182" s="74" t="s">
        <v>15</v>
      </c>
      <c r="Q182" s="44"/>
      <c r="R182" s="72" t="s">
        <v>15</v>
      </c>
      <c r="S182" s="126"/>
      <c r="T182" s="126"/>
      <c r="U182" s="126"/>
      <c r="V182" s="126"/>
      <c r="W182" s="126"/>
      <c r="X182" s="126"/>
    </row>
    <row r="183" spans="2:24" ht="15" customHeight="1" x14ac:dyDescent="0.2">
      <c r="B183" s="119">
        <v>65</v>
      </c>
      <c r="C183" s="119" t="s">
        <v>1477</v>
      </c>
      <c r="D183" s="44">
        <v>176</v>
      </c>
      <c r="E183" s="72" t="s">
        <v>1140</v>
      </c>
      <c r="F183" s="44" t="s">
        <v>6</v>
      </c>
      <c r="G183" s="44" t="s">
        <v>1479</v>
      </c>
      <c r="H183" s="44" t="s">
        <v>1</v>
      </c>
      <c r="I183" s="44" t="s">
        <v>2</v>
      </c>
      <c r="J183" s="72" t="s">
        <v>1228</v>
      </c>
      <c r="K183" s="73">
        <v>19724</v>
      </c>
      <c r="L183" s="30">
        <v>1953</v>
      </c>
      <c r="M183" s="30">
        <f t="shared" si="15"/>
        <v>66</v>
      </c>
      <c r="N183" s="44" t="s">
        <v>3</v>
      </c>
      <c r="O183" s="44" t="s">
        <v>1229</v>
      </c>
      <c r="P183" s="74" t="s">
        <v>1233</v>
      </c>
      <c r="Q183" s="44"/>
      <c r="R183" s="72" t="s">
        <v>1481</v>
      </c>
      <c r="S183" s="126"/>
      <c r="T183" s="126"/>
      <c r="U183" s="126"/>
      <c r="V183" s="126"/>
      <c r="W183" s="126"/>
      <c r="X183" s="126"/>
    </row>
    <row r="184" spans="2:24" ht="15" customHeight="1" x14ac:dyDescent="0.2">
      <c r="B184" s="119"/>
      <c r="C184" s="119"/>
      <c r="D184" s="44">
        <v>177</v>
      </c>
      <c r="E184" s="72" t="s">
        <v>1141</v>
      </c>
      <c r="F184" s="44" t="s">
        <v>11</v>
      </c>
      <c r="G184" s="44" t="s">
        <v>1480</v>
      </c>
      <c r="H184" s="44" t="s">
        <v>9</v>
      </c>
      <c r="I184" s="44" t="s">
        <v>2</v>
      </c>
      <c r="J184" s="72" t="s">
        <v>1228</v>
      </c>
      <c r="K184" s="73">
        <v>23315</v>
      </c>
      <c r="L184" s="30">
        <v>1963</v>
      </c>
      <c r="M184" s="30">
        <f t="shared" si="15"/>
        <v>56</v>
      </c>
      <c r="N184" s="44" t="s">
        <v>3</v>
      </c>
      <c r="O184" s="44" t="s">
        <v>1229</v>
      </c>
      <c r="P184" s="74" t="s">
        <v>1233</v>
      </c>
      <c r="Q184" s="44"/>
      <c r="R184" s="72" t="s">
        <v>290</v>
      </c>
      <c r="S184" s="126"/>
      <c r="T184" s="126"/>
      <c r="U184" s="126"/>
      <c r="V184" s="126"/>
      <c r="W184" s="126"/>
      <c r="X184" s="126"/>
    </row>
    <row r="185" spans="2:24" ht="15" customHeight="1" x14ac:dyDescent="0.2">
      <c r="B185" s="119"/>
      <c r="C185" s="119"/>
      <c r="D185" s="44">
        <v>178</v>
      </c>
      <c r="E185" s="72" t="s">
        <v>1142</v>
      </c>
      <c r="F185" s="44" t="s">
        <v>16</v>
      </c>
      <c r="G185" s="44" t="s">
        <v>1143</v>
      </c>
      <c r="H185" s="44" t="s">
        <v>9</v>
      </c>
      <c r="I185" s="44" t="s">
        <v>13</v>
      </c>
      <c r="J185" s="72" t="s">
        <v>1228</v>
      </c>
      <c r="K185" s="73">
        <v>29374</v>
      </c>
      <c r="L185" s="30">
        <v>1980</v>
      </c>
      <c r="M185" s="30">
        <f t="shared" si="15"/>
        <v>39</v>
      </c>
      <c r="N185" s="44" t="s">
        <v>3</v>
      </c>
      <c r="O185" s="44" t="s">
        <v>1229</v>
      </c>
      <c r="P185" s="74" t="s">
        <v>1270</v>
      </c>
      <c r="Q185" s="44"/>
      <c r="R185" s="72" t="s">
        <v>1332</v>
      </c>
      <c r="S185" s="126"/>
      <c r="T185" s="126"/>
      <c r="U185" s="126"/>
      <c r="V185" s="126"/>
      <c r="W185" s="126"/>
      <c r="X185" s="126"/>
    </row>
    <row r="186" spans="2:24" ht="15" customHeight="1" x14ac:dyDescent="0.2">
      <c r="B186" s="119"/>
      <c r="C186" s="119"/>
      <c r="D186" s="44">
        <v>179</v>
      </c>
      <c r="E186" s="72" t="s">
        <v>1144</v>
      </c>
      <c r="F186" s="44" t="s">
        <v>16</v>
      </c>
      <c r="G186" s="44" t="s">
        <v>1478</v>
      </c>
      <c r="H186" s="44" t="s">
        <v>9</v>
      </c>
      <c r="I186" s="44" t="s">
        <v>13</v>
      </c>
      <c r="J186" s="72" t="s">
        <v>1228</v>
      </c>
      <c r="K186" s="73">
        <v>37382</v>
      </c>
      <c r="L186" s="30">
        <v>2002</v>
      </c>
      <c r="M186" s="30">
        <f t="shared" si="15"/>
        <v>17</v>
      </c>
      <c r="N186" s="44" t="s">
        <v>3</v>
      </c>
      <c r="O186" s="44" t="s">
        <v>1229</v>
      </c>
      <c r="P186" s="74" t="s">
        <v>1320</v>
      </c>
      <c r="Q186" s="44"/>
      <c r="R186" s="72" t="s">
        <v>1332</v>
      </c>
      <c r="S186" s="126"/>
      <c r="T186" s="126"/>
      <c r="U186" s="126"/>
      <c r="V186" s="126"/>
      <c r="W186" s="126"/>
      <c r="X186" s="126"/>
    </row>
    <row r="187" spans="2:24" ht="25.5" x14ac:dyDescent="0.2">
      <c r="B187" s="119">
        <v>66</v>
      </c>
      <c r="C187" s="119" t="s">
        <v>1377</v>
      </c>
      <c r="D187" s="44">
        <v>180</v>
      </c>
      <c r="E187" s="72" t="s">
        <v>1145</v>
      </c>
      <c r="F187" s="44" t="s">
        <v>6</v>
      </c>
      <c r="G187" s="44" t="s">
        <v>1146</v>
      </c>
      <c r="H187" s="44" t="s">
        <v>9</v>
      </c>
      <c r="I187" s="44" t="s">
        <v>1296</v>
      </c>
      <c r="J187" s="72" t="s">
        <v>1228</v>
      </c>
      <c r="K187" s="73">
        <v>21367</v>
      </c>
      <c r="L187" s="30">
        <v>1958</v>
      </c>
      <c r="M187" s="30">
        <f t="shared" si="15"/>
        <v>61</v>
      </c>
      <c r="N187" s="44" t="s">
        <v>3</v>
      </c>
      <c r="O187" s="44" t="s">
        <v>1229</v>
      </c>
      <c r="P187" s="74" t="s">
        <v>1320</v>
      </c>
      <c r="Q187" s="44"/>
      <c r="R187" s="72" t="s">
        <v>1371</v>
      </c>
      <c r="S187" s="126"/>
      <c r="T187" s="126"/>
      <c r="U187" s="126"/>
      <c r="V187" s="126"/>
      <c r="W187" s="126"/>
      <c r="X187" s="126"/>
    </row>
    <row r="188" spans="2:24" ht="15" customHeight="1" x14ac:dyDescent="0.2">
      <c r="B188" s="119"/>
      <c r="C188" s="119"/>
      <c r="D188" s="44">
        <v>181</v>
      </c>
      <c r="E188" s="72" t="s">
        <v>1378</v>
      </c>
      <c r="F188" s="44" t="s">
        <v>1301</v>
      </c>
      <c r="G188" s="44" t="s">
        <v>1379</v>
      </c>
      <c r="H188" s="44" t="s">
        <v>1</v>
      </c>
      <c r="I188" s="44" t="s">
        <v>13</v>
      </c>
      <c r="J188" s="72" t="s">
        <v>1228</v>
      </c>
      <c r="K188" s="73">
        <v>40814</v>
      </c>
      <c r="L188" s="30">
        <v>2011</v>
      </c>
      <c r="M188" s="30">
        <f t="shared" si="15"/>
        <v>8</v>
      </c>
      <c r="N188" s="44" t="s">
        <v>3</v>
      </c>
      <c r="O188" s="44" t="s">
        <v>1229</v>
      </c>
      <c r="P188" s="74" t="s">
        <v>1320</v>
      </c>
      <c r="Q188" s="44"/>
      <c r="R188" s="72" t="s">
        <v>1332</v>
      </c>
      <c r="S188" s="126"/>
      <c r="T188" s="126"/>
      <c r="U188" s="126"/>
      <c r="V188" s="126"/>
      <c r="W188" s="126"/>
      <c r="X188" s="126"/>
    </row>
    <row r="189" spans="2:24" ht="15" customHeight="1" x14ac:dyDescent="0.2">
      <c r="B189" s="119">
        <v>67</v>
      </c>
      <c r="C189" s="119"/>
      <c r="D189" s="44">
        <v>182</v>
      </c>
      <c r="E189" s="72" t="s">
        <v>1149</v>
      </c>
      <c r="F189" s="44" t="s">
        <v>6</v>
      </c>
      <c r="G189" s="44">
        <v>0</v>
      </c>
      <c r="H189" s="44" t="s">
        <v>1</v>
      </c>
      <c r="I189" s="44" t="s">
        <v>2</v>
      </c>
      <c r="J189" s="72"/>
      <c r="K189" s="73">
        <v>33238</v>
      </c>
      <c r="L189" s="30">
        <f t="shared" ref="L189:L190" si="16">YEAR(K189)</f>
        <v>1990</v>
      </c>
      <c r="M189" s="30">
        <f t="shared" si="15"/>
        <v>29</v>
      </c>
      <c r="N189" s="44" t="s">
        <v>3</v>
      </c>
      <c r="O189" s="44"/>
      <c r="P189" s="74" t="s">
        <v>4</v>
      </c>
      <c r="Q189" s="44"/>
      <c r="R189" s="72" t="s">
        <v>34</v>
      </c>
      <c r="S189" s="126"/>
      <c r="T189" s="126"/>
      <c r="U189" s="126"/>
      <c r="V189" s="126"/>
      <c r="W189" s="126"/>
      <c r="X189" s="126"/>
    </row>
    <row r="190" spans="2:24" ht="15" customHeight="1" x14ac:dyDescent="0.2">
      <c r="B190" s="119"/>
      <c r="C190" s="119"/>
      <c r="D190" s="44">
        <v>183</v>
      </c>
      <c r="E190" s="72" t="s">
        <v>111</v>
      </c>
      <c r="F190" s="44" t="s">
        <v>11</v>
      </c>
      <c r="G190" s="44">
        <v>0</v>
      </c>
      <c r="H190" s="44" t="s">
        <v>9</v>
      </c>
      <c r="I190" s="44" t="s">
        <v>2</v>
      </c>
      <c r="J190" s="72"/>
      <c r="K190" s="73">
        <v>31412</v>
      </c>
      <c r="L190" s="30">
        <f t="shared" si="16"/>
        <v>1985</v>
      </c>
      <c r="M190" s="30">
        <f t="shared" si="15"/>
        <v>34</v>
      </c>
      <c r="N190" s="44" t="s">
        <v>3</v>
      </c>
      <c r="O190" s="44"/>
      <c r="P190" s="74" t="s">
        <v>14</v>
      </c>
      <c r="Q190" s="44"/>
      <c r="R190" s="72" t="s">
        <v>34</v>
      </c>
      <c r="S190" s="126"/>
      <c r="T190" s="126"/>
      <c r="U190" s="126"/>
      <c r="V190" s="126"/>
      <c r="W190" s="126"/>
      <c r="X190" s="126"/>
    </row>
    <row r="191" spans="2:24" ht="15" customHeight="1" x14ac:dyDescent="0.2">
      <c r="B191" s="119">
        <v>68</v>
      </c>
      <c r="C191" s="119" t="s">
        <v>1385</v>
      </c>
      <c r="D191" s="44">
        <v>184</v>
      </c>
      <c r="E191" s="72" t="s">
        <v>1386</v>
      </c>
      <c r="F191" s="44" t="s">
        <v>6</v>
      </c>
      <c r="G191" s="44" t="s">
        <v>1150</v>
      </c>
      <c r="H191" s="44" t="s">
        <v>1</v>
      </c>
      <c r="I191" s="44" t="s">
        <v>2</v>
      </c>
      <c r="J191" s="72" t="s">
        <v>1228</v>
      </c>
      <c r="K191" s="73">
        <v>28433</v>
      </c>
      <c r="L191" s="30">
        <v>1977</v>
      </c>
      <c r="M191" s="30">
        <f t="shared" si="15"/>
        <v>42</v>
      </c>
      <c r="N191" s="44" t="s">
        <v>3</v>
      </c>
      <c r="O191" s="44" t="s">
        <v>1229</v>
      </c>
      <c r="P191" s="74" t="s">
        <v>1233</v>
      </c>
      <c r="Q191" s="44"/>
      <c r="R191" s="72" t="s">
        <v>1330</v>
      </c>
      <c r="S191" s="126"/>
      <c r="T191" s="126"/>
      <c r="U191" s="126"/>
      <c r="V191" s="126"/>
      <c r="W191" s="126"/>
      <c r="X191" s="126"/>
    </row>
    <row r="192" spans="2:24" ht="15" customHeight="1" x14ac:dyDescent="0.2">
      <c r="B192" s="119"/>
      <c r="C192" s="119"/>
      <c r="D192" s="44">
        <v>185</v>
      </c>
      <c r="E192" s="72" t="s">
        <v>1387</v>
      </c>
      <c r="F192" s="44" t="s">
        <v>11</v>
      </c>
      <c r="G192" s="44" t="s">
        <v>1390</v>
      </c>
      <c r="H192" s="44" t="s">
        <v>9</v>
      </c>
      <c r="I192" s="44" t="s">
        <v>2</v>
      </c>
      <c r="J192" s="72" t="s">
        <v>1393</v>
      </c>
      <c r="K192" s="73">
        <v>29403</v>
      </c>
      <c r="L192" s="30">
        <v>1980</v>
      </c>
      <c r="M192" s="30">
        <f t="shared" si="15"/>
        <v>39</v>
      </c>
      <c r="N192" s="44" t="s">
        <v>3</v>
      </c>
      <c r="O192" s="44" t="s">
        <v>1229</v>
      </c>
      <c r="P192" s="74" t="s">
        <v>1270</v>
      </c>
      <c r="Q192" s="44"/>
      <c r="R192" s="72" t="s">
        <v>1360</v>
      </c>
      <c r="S192" s="126"/>
      <c r="T192" s="126"/>
      <c r="U192" s="126"/>
      <c r="V192" s="126"/>
      <c r="W192" s="126"/>
      <c r="X192" s="126"/>
    </row>
    <row r="193" spans="2:24" ht="15" customHeight="1" x14ac:dyDescent="0.2">
      <c r="B193" s="119"/>
      <c r="C193" s="119"/>
      <c r="D193" s="44">
        <v>186</v>
      </c>
      <c r="E193" s="72" t="s">
        <v>1388</v>
      </c>
      <c r="F193" s="44" t="s">
        <v>16</v>
      </c>
      <c r="G193" s="44" t="s">
        <v>1391</v>
      </c>
      <c r="H193" s="44" t="s">
        <v>9</v>
      </c>
      <c r="I193" s="44" t="s">
        <v>13</v>
      </c>
      <c r="J193" s="72" t="s">
        <v>1228</v>
      </c>
      <c r="K193" s="73">
        <v>38950</v>
      </c>
      <c r="L193" s="30">
        <v>2006</v>
      </c>
      <c r="M193" s="30">
        <f t="shared" si="15"/>
        <v>13</v>
      </c>
      <c r="N193" s="44" t="s">
        <v>3</v>
      </c>
      <c r="O193" s="44" t="s">
        <v>1229</v>
      </c>
      <c r="P193" s="74" t="s">
        <v>1320</v>
      </c>
      <c r="Q193" s="44"/>
      <c r="R193" s="72" t="s">
        <v>1332</v>
      </c>
      <c r="S193" s="126"/>
      <c r="T193" s="126"/>
      <c r="U193" s="126"/>
      <c r="V193" s="126"/>
      <c r="W193" s="126"/>
      <c r="X193" s="126"/>
    </row>
    <row r="194" spans="2:24" ht="15" customHeight="1" x14ac:dyDescent="0.2">
      <c r="B194" s="119"/>
      <c r="C194" s="119"/>
      <c r="D194" s="44">
        <v>187</v>
      </c>
      <c r="E194" s="72" t="s">
        <v>1389</v>
      </c>
      <c r="F194" s="44" t="s">
        <v>16</v>
      </c>
      <c r="G194" s="44" t="s">
        <v>1392</v>
      </c>
      <c r="H194" s="44" t="s">
        <v>9</v>
      </c>
      <c r="I194" s="44" t="s">
        <v>13</v>
      </c>
      <c r="J194" s="72" t="s">
        <v>1228</v>
      </c>
      <c r="K194" s="73">
        <v>39578</v>
      </c>
      <c r="L194" s="30">
        <v>2008</v>
      </c>
      <c r="M194" s="30">
        <f t="shared" si="15"/>
        <v>11</v>
      </c>
      <c r="N194" s="44" t="s">
        <v>3</v>
      </c>
      <c r="O194" s="44" t="s">
        <v>1229</v>
      </c>
      <c r="P194" s="74" t="s">
        <v>1320</v>
      </c>
      <c r="Q194" s="44"/>
      <c r="R194" s="72" t="s">
        <v>1332</v>
      </c>
      <c r="S194" s="126"/>
      <c r="T194" s="126"/>
      <c r="U194" s="126"/>
      <c r="V194" s="126"/>
      <c r="W194" s="126"/>
      <c r="X194" s="126"/>
    </row>
    <row r="195" spans="2:24" ht="15" customHeight="1" x14ac:dyDescent="0.2">
      <c r="B195" s="119">
        <v>69</v>
      </c>
      <c r="C195" s="119" t="s">
        <v>1440</v>
      </c>
      <c r="D195" s="44">
        <v>188</v>
      </c>
      <c r="E195" s="72" t="s">
        <v>1441</v>
      </c>
      <c r="F195" s="44" t="s">
        <v>6</v>
      </c>
      <c r="G195" s="44" t="s">
        <v>1444</v>
      </c>
      <c r="H195" s="44" t="s">
        <v>1</v>
      </c>
      <c r="I195" s="44" t="s">
        <v>2</v>
      </c>
      <c r="J195" s="72" t="s">
        <v>1228</v>
      </c>
      <c r="K195" s="73">
        <v>24299</v>
      </c>
      <c r="L195" s="30">
        <v>1966</v>
      </c>
      <c r="M195" s="30">
        <f t="shared" si="15"/>
        <v>53</v>
      </c>
      <c r="N195" s="44" t="s">
        <v>3</v>
      </c>
      <c r="O195" s="44" t="s">
        <v>1229</v>
      </c>
      <c r="P195" s="74" t="s">
        <v>1233</v>
      </c>
      <c r="Q195" s="44"/>
      <c r="R195" s="72" t="s">
        <v>1371</v>
      </c>
      <c r="S195" s="126"/>
      <c r="T195" s="126"/>
      <c r="U195" s="126"/>
      <c r="V195" s="126"/>
      <c r="W195" s="126"/>
      <c r="X195" s="126"/>
    </row>
    <row r="196" spans="2:24" ht="15" customHeight="1" x14ac:dyDescent="0.2">
      <c r="B196" s="119"/>
      <c r="C196" s="119"/>
      <c r="D196" s="44">
        <v>189</v>
      </c>
      <c r="E196" s="72" t="s">
        <v>1151</v>
      </c>
      <c r="F196" s="44" t="s">
        <v>11</v>
      </c>
      <c r="G196" s="44" t="s">
        <v>1445</v>
      </c>
      <c r="H196" s="44" t="s">
        <v>9</v>
      </c>
      <c r="I196" s="44" t="s">
        <v>2</v>
      </c>
      <c r="J196" s="72" t="s">
        <v>1228</v>
      </c>
      <c r="K196" s="73">
        <v>25742</v>
      </c>
      <c r="L196" s="30">
        <v>1970</v>
      </c>
      <c r="M196" s="30">
        <f t="shared" si="15"/>
        <v>49</v>
      </c>
      <c r="N196" s="44" t="s">
        <v>3</v>
      </c>
      <c r="O196" s="44" t="s">
        <v>1229</v>
      </c>
      <c r="P196" s="74" t="s">
        <v>1233</v>
      </c>
      <c r="Q196" s="44"/>
      <c r="R196" s="72" t="s">
        <v>1360</v>
      </c>
      <c r="S196" s="126"/>
      <c r="T196" s="126"/>
      <c r="U196" s="126"/>
      <c r="V196" s="126"/>
      <c r="W196" s="126"/>
      <c r="X196" s="126"/>
    </row>
    <row r="197" spans="2:24" ht="15" customHeight="1" x14ac:dyDescent="0.2">
      <c r="B197" s="119"/>
      <c r="C197" s="119"/>
      <c r="D197" s="44">
        <v>190</v>
      </c>
      <c r="E197" s="72" t="s">
        <v>1442</v>
      </c>
      <c r="F197" s="44" t="s">
        <v>16</v>
      </c>
      <c r="G197" s="44" t="s">
        <v>1446</v>
      </c>
      <c r="H197" s="44" t="s">
        <v>1</v>
      </c>
      <c r="I197" s="44" t="s">
        <v>13</v>
      </c>
      <c r="J197" s="72" t="s">
        <v>1228</v>
      </c>
      <c r="K197" s="73">
        <v>33199</v>
      </c>
      <c r="L197" s="30">
        <v>1990</v>
      </c>
      <c r="M197" s="30">
        <f t="shared" si="15"/>
        <v>29</v>
      </c>
      <c r="N197" s="44" t="s">
        <v>3</v>
      </c>
      <c r="O197" s="44" t="s">
        <v>1229</v>
      </c>
      <c r="P197" s="74" t="s">
        <v>1270</v>
      </c>
      <c r="Q197" s="44"/>
      <c r="R197" s="72" t="s">
        <v>1326</v>
      </c>
      <c r="S197" s="70"/>
      <c r="T197" s="70"/>
      <c r="U197" s="70"/>
      <c r="V197" s="70"/>
      <c r="W197" s="70"/>
      <c r="X197" s="70"/>
    </row>
    <row r="198" spans="2:24" ht="15" customHeight="1" x14ac:dyDescent="0.2">
      <c r="B198" s="119"/>
      <c r="C198" s="119"/>
      <c r="D198" s="44">
        <v>191</v>
      </c>
      <c r="E198" s="72" t="s">
        <v>1443</v>
      </c>
      <c r="F198" s="44" t="s">
        <v>16</v>
      </c>
      <c r="G198" s="44" t="s">
        <v>1447</v>
      </c>
      <c r="H198" s="44" t="s">
        <v>1</v>
      </c>
      <c r="I198" s="44" t="s">
        <v>13</v>
      </c>
      <c r="J198" s="72" t="s">
        <v>1228</v>
      </c>
      <c r="K198" s="73">
        <v>35901</v>
      </c>
      <c r="L198" s="30">
        <v>1998</v>
      </c>
      <c r="M198" s="30">
        <f t="shared" si="15"/>
        <v>21</v>
      </c>
      <c r="N198" s="44" t="s">
        <v>3</v>
      </c>
      <c r="O198" s="44" t="s">
        <v>1229</v>
      </c>
      <c r="P198" s="74" t="s">
        <v>1270</v>
      </c>
      <c r="Q198" s="44"/>
      <c r="R198" s="72" t="s">
        <v>1326</v>
      </c>
      <c r="S198" s="126"/>
      <c r="T198" s="126"/>
      <c r="U198" s="126"/>
      <c r="V198" s="126"/>
      <c r="W198" s="126"/>
      <c r="X198" s="126"/>
    </row>
    <row r="199" spans="2:24" ht="15" customHeight="1" x14ac:dyDescent="0.2">
      <c r="B199" s="119">
        <v>70</v>
      </c>
      <c r="C199" s="119"/>
      <c r="D199" s="44">
        <v>192</v>
      </c>
      <c r="E199" s="72" t="s">
        <v>1152</v>
      </c>
      <c r="F199" s="44" t="s">
        <v>6</v>
      </c>
      <c r="G199" s="44" t="s">
        <v>1153</v>
      </c>
      <c r="H199" s="44" t="s">
        <v>1</v>
      </c>
      <c r="I199" s="44" t="s">
        <v>2</v>
      </c>
      <c r="J199" s="72"/>
      <c r="K199" s="73">
        <v>29626</v>
      </c>
      <c r="L199" s="30">
        <f t="shared" ref="L199:L202" si="17">YEAR(K199)</f>
        <v>1981</v>
      </c>
      <c r="M199" s="30">
        <f t="shared" ref="M199:M228" si="18">2019-L199</f>
        <v>38</v>
      </c>
      <c r="N199" s="44" t="s">
        <v>3</v>
      </c>
      <c r="O199" s="44"/>
      <c r="P199" s="74" t="s">
        <v>4</v>
      </c>
      <c r="Q199" s="44"/>
      <c r="R199" s="72" t="s">
        <v>34</v>
      </c>
      <c r="S199" s="126"/>
      <c r="T199" s="126"/>
      <c r="U199" s="126"/>
      <c r="V199" s="126"/>
      <c r="W199" s="126"/>
      <c r="X199" s="126"/>
    </row>
    <row r="200" spans="2:24" ht="15" customHeight="1" x14ac:dyDescent="0.2">
      <c r="B200" s="119"/>
      <c r="C200" s="119"/>
      <c r="D200" s="44">
        <v>193</v>
      </c>
      <c r="E200" s="72" t="s">
        <v>1154</v>
      </c>
      <c r="F200" s="44" t="s">
        <v>11</v>
      </c>
      <c r="G200" s="44" t="s">
        <v>1155</v>
      </c>
      <c r="H200" s="44" t="s">
        <v>9</v>
      </c>
      <c r="I200" s="44" t="s">
        <v>2</v>
      </c>
      <c r="J200" s="72"/>
      <c r="K200" s="73">
        <v>30316</v>
      </c>
      <c r="L200" s="30">
        <f t="shared" si="17"/>
        <v>1982</v>
      </c>
      <c r="M200" s="30">
        <f t="shared" si="18"/>
        <v>37</v>
      </c>
      <c r="N200" s="44" t="s">
        <v>3</v>
      </c>
      <c r="O200" s="44"/>
      <c r="P200" s="74" t="s">
        <v>4</v>
      </c>
      <c r="Q200" s="44"/>
      <c r="R200" s="72" t="s">
        <v>34</v>
      </c>
      <c r="S200" s="126"/>
      <c r="T200" s="126"/>
      <c r="U200" s="126"/>
      <c r="V200" s="126"/>
      <c r="W200" s="126"/>
      <c r="X200" s="126"/>
    </row>
    <row r="201" spans="2:24" ht="15" customHeight="1" x14ac:dyDescent="0.2">
      <c r="B201" s="119"/>
      <c r="C201" s="119"/>
      <c r="D201" s="44">
        <v>194</v>
      </c>
      <c r="E201" s="72" t="s">
        <v>1156</v>
      </c>
      <c r="F201" s="44" t="s">
        <v>16</v>
      </c>
      <c r="G201" s="44" t="s">
        <v>1157</v>
      </c>
      <c r="H201" s="44" t="s">
        <v>1</v>
      </c>
      <c r="I201" s="44" t="s">
        <v>13</v>
      </c>
      <c r="J201" s="72"/>
      <c r="K201" s="73">
        <v>39236</v>
      </c>
      <c r="L201" s="30">
        <f t="shared" si="17"/>
        <v>2007</v>
      </c>
      <c r="M201" s="30">
        <f t="shared" si="18"/>
        <v>12</v>
      </c>
      <c r="N201" s="44" t="s">
        <v>3</v>
      </c>
      <c r="O201" s="44"/>
      <c r="P201" s="74" t="s">
        <v>15</v>
      </c>
      <c r="Q201" s="44"/>
      <c r="R201" s="72" t="s">
        <v>15</v>
      </c>
      <c r="S201" s="126"/>
      <c r="T201" s="126"/>
      <c r="U201" s="126"/>
      <c r="V201" s="126"/>
      <c r="W201" s="126"/>
      <c r="X201" s="126"/>
    </row>
    <row r="202" spans="2:24" ht="15" customHeight="1" x14ac:dyDescent="0.2">
      <c r="B202" s="119">
        <v>71</v>
      </c>
      <c r="C202" s="119"/>
      <c r="D202" s="44">
        <v>195</v>
      </c>
      <c r="E202" s="72" t="s">
        <v>1158</v>
      </c>
      <c r="F202" s="44" t="s">
        <v>6</v>
      </c>
      <c r="G202" s="44">
        <v>0</v>
      </c>
      <c r="H202" s="44" t="s">
        <v>9</v>
      </c>
      <c r="I202" s="44" t="s">
        <v>19</v>
      </c>
      <c r="J202" s="72"/>
      <c r="K202" s="73">
        <v>28855</v>
      </c>
      <c r="L202" s="30">
        <f t="shared" si="17"/>
        <v>1978</v>
      </c>
      <c r="M202" s="30">
        <f t="shared" si="18"/>
        <v>41</v>
      </c>
      <c r="N202" s="44" t="s">
        <v>3</v>
      </c>
      <c r="O202" s="44"/>
      <c r="P202" s="74" t="s">
        <v>15</v>
      </c>
      <c r="Q202" s="44"/>
      <c r="R202" s="72" t="s">
        <v>5</v>
      </c>
      <c r="S202" s="126"/>
      <c r="T202" s="126"/>
      <c r="U202" s="126"/>
      <c r="V202" s="126"/>
      <c r="W202" s="126"/>
      <c r="X202" s="126"/>
    </row>
    <row r="203" spans="2:24" ht="15" customHeight="1" x14ac:dyDescent="0.2">
      <c r="B203" s="119"/>
      <c r="C203" s="119"/>
      <c r="D203" s="44">
        <v>196</v>
      </c>
      <c r="E203" s="72" t="s">
        <v>1159</v>
      </c>
      <c r="F203" s="44" t="s">
        <v>16</v>
      </c>
      <c r="G203" s="44">
        <v>0</v>
      </c>
      <c r="H203" s="44" t="s">
        <v>1</v>
      </c>
      <c r="I203" s="44" t="s">
        <v>19</v>
      </c>
      <c r="J203" s="72"/>
      <c r="K203" s="73">
        <v>35430</v>
      </c>
      <c r="L203" s="30">
        <v>1996</v>
      </c>
      <c r="M203" s="30">
        <f t="shared" si="18"/>
        <v>23</v>
      </c>
      <c r="N203" s="44" t="s">
        <v>3</v>
      </c>
      <c r="O203" s="44"/>
      <c r="P203" s="74" t="s">
        <v>4</v>
      </c>
      <c r="Q203" s="44"/>
      <c r="R203" s="72" t="s">
        <v>15</v>
      </c>
      <c r="S203" s="126"/>
      <c r="T203" s="126"/>
      <c r="U203" s="126"/>
      <c r="V203" s="126"/>
      <c r="W203" s="126"/>
      <c r="X203" s="126"/>
    </row>
    <row r="204" spans="2:24" ht="15" customHeight="1" x14ac:dyDescent="0.2">
      <c r="B204" s="119">
        <v>72</v>
      </c>
      <c r="C204" s="119" t="s">
        <v>2248</v>
      </c>
      <c r="D204" s="44">
        <v>197</v>
      </c>
      <c r="E204" s="72" t="s">
        <v>1160</v>
      </c>
      <c r="F204" s="44" t="s">
        <v>6</v>
      </c>
      <c r="G204" s="44" t="s">
        <v>2249</v>
      </c>
      <c r="H204" s="44" t="s">
        <v>1</v>
      </c>
      <c r="I204" s="44" t="s">
        <v>2</v>
      </c>
      <c r="J204" s="72" t="s">
        <v>1228</v>
      </c>
      <c r="K204" s="73">
        <v>27114</v>
      </c>
      <c r="L204" s="30">
        <v>1974</v>
      </c>
      <c r="M204" s="30">
        <f t="shared" si="18"/>
        <v>45</v>
      </c>
      <c r="N204" s="44" t="s">
        <v>3</v>
      </c>
      <c r="O204" s="44" t="s">
        <v>1229</v>
      </c>
      <c r="P204" s="74" t="s">
        <v>1233</v>
      </c>
      <c r="Q204" s="44"/>
      <c r="R204" s="72" t="s">
        <v>1330</v>
      </c>
      <c r="S204" s="126"/>
      <c r="T204" s="126"/>
      <c r="U204" s="126"/>
      <c r="V204" s="126"/>
      <c r="W204" s="126"/>
      <c r="X204" s="126"/>
    </row>
    <row r="205" spans="2:24" ht="15" customHeight="1" x14ac:dyDescent="0.2">
      <c r="B205" s="119"/>
      <c r="C205" s="119"/>
      <c r="D205" s="44">
        <v>198</v>
      </c>
      <c r="E205" s="72" t="s">
        <v>1161</v>
      </c>
      <c r="F205" s="44" t="s">
        <v>11</v>
      </c>
      <c r="G205" s="44" t="s">
        <v>1162</v>
      </c>
      <c r="H205" s="44" t="s">
        <v>9</v>
      </c>
      <c r="I205" s="44" t="s">
        <v>2</v>
      </c>
      <c r="J205" s="72" t="s">
        <v>2250</v>
      </c>
      <c r="K205" s="73">
        <v>31777</v>
      </c>
      <c r="L205" s="30">
        <v>1986</v>
      </c>
      <c r="M205" s="30">
        <f t="shared" si="18"/>
        <v>33</v>
      </c>
      <c r="N205" s="44" t="s">
        <v>3</v>
      </c>
      <c r="O205" s="44" t="s">
        <v>1229</v>
      </c>
      <c r="P205" s="74" t="s">
        <v>1233</v>
      </c>
      <c r="Q205" s="44"/>
      <c r="R205" s="72" t="s">
        <v>1330</v>
      </c>
      <c r="S205" s="126"/>
      <c r="T205" s="126"/>
      <c r="U205" s="126"/>
      <c r="V205" s="126"/>
      <c r="W205" s="126"/>
      <c r="X205" s="126"/>
    </row>
    <row r="206" spans="2:24" ht="15" customHeight="1" x14ac:dyDescent="0.2">
      <c r="B206" s="119"/>
      <c r="C206" s="119"/>
      <c r="D206" s="44">
        <v>199</v>
      </c>
      <c r="E206" s="72" t="s">
        <v>1163</v>
      </c>
      <c r="F206" s="44" t="s">
        <v>16</v>
      </c>
      <c r="G206" s="44">
        <v>0</v>
      </c>
      <c r="H206" s="44" t="s">
        <v>1</v>
      </c>
      <c r="I206" s="44" t="s">
        <v>13</v>
      </c>
      <c r="J206" s="72" t="s">
        <v>1228</v>
      </c>
      <c r="K206" s="73">
        <v>41898</v>
      </c>
      <c r="L206" s="30">
        <v>2014</v>
      </c>
      <c r="M206" s="30">
        <f t="shared" si="18"/>
        <v>5</v>
      </c>
      <c r="N206" s="44" t="s">
        <v>3</v>
      </c>
      <c r="O206" s="44" t="s">
        <v>1229</v>
      </c>
      <c r="P206" s="74" t="s">
        <v>1320</v>
      </c>
      <c r="Q206" s="44"/>
      <c r="R206" s="72" t="s">
        <v>1332</v>
      </c>
      <c r="S206" s="126"/>
      <c r="T206" s="126"/>
      <c r="U206" s="126"/>
      <c r="V206" s="126"/>
      <c r="W206" s="126"/>
      <c r="X206" s="126"/>
    </row>
    <row r="207" spans="2:24" ht="15" customHeight="1" x14ac:dyDescent="0.2">
      <c r="B207" s="119">
        <v>73</v>
      </c>
      <c r="C207" s="119" t="s">
        <v>1394</v>
      </c>
      <c r="D207" s="44">
        <v>200</v>
      </c>
      <c r="E207" s="72" t="s">
        <v>928</v>
      </c>
      <c r="F207" s="44" t="s">
        <v>6</v>
      </c>
      <c r="G207" s="44" t="s">
        <v>1395</v>
      </c>
      <c r="H207" s="44" t="s">
        <v>1</v>
      </c>
      <c r="I207" s="44" t="s">
        <v>2</v>
      </c>
      <c r="J207" s="72" t="s">
        <v>1228</v>
      </c>
      <c r="K207" s="73">
        <v>27682</v>
      </c>
      <c r="L207" s="30">
        <v>1975</v>
      </c>
      <c r="M207" s="30">
        <f t="shared" si="18"/>
        <v>44</v>
      </c>
      <c r="N207" s="44" t="s">
        <v>3</v>
      </c>
      <c r="O207" s="44" t="s">
        <v>1229</v>
      </c>
      <c r="P207" s="74" t="s">
        <v>1233</v>
      </c>
      <c r="Q207" s="44"/>
      <c r="R207" s="72" t="s">
        <v>5</v>
      </c>
      <c r="S207" s="126"/>
      <c r="T207" s="126"/>
      <c r="U207" s="126"/>
      <c r="V207" s="126"/>
      <c r="W207" s="126"/>
      <c r="X207" s="126"/>
    </row>
    <row r="208" spans="2:24" ht="15" customHeight="1" x14ac:dyDescent="0.2">
      <c r="B208" s="119"/>
      <c r="C208" s="119"/>
      <c r="D208" s="44">
        <v>201</v>
      </c>
      <c r="E208" s="72" t="s">
        <v>484</v>
      </c>
      <c r="F208" s="44" t="s">
        <v>11</v>
      </c>
      <c r="G208" s="44" t="s">
        <v>1396</v>
      </c>
      <c r="H208" s="44" t="s">
        <v>9</v>
      </c>
      <c r="I208" s="44" t="s">
        <v>2</v>
      </c>
      <c r="J208" s="72" t="s">
        <v>1228</v>
      </c>
      <c r="K208" s="73">
        <v>28533</v>
      </c>
      <c r="L208" s="30">
        <v>1978</v>
      </c>
      <c r="M208" s="30">
        <f t="shared" si="18"/>
        <v>41</v>
      </c>
      <c r="N208" s="44" t="s">
        <v>3</v>
      </c>
      <c r="O208" s="44" t="s">
        <v>1229</v>
      </c>
      <c r="P208" s="74" t="s">
        <v>1233</v>
      </c>
      <c r="Q208" s="44"/>
      <c r="R208" s="72" t="s">
        <v>1371</v>
      </c>
      <c r="S208" s="126"/>
      <c r="T208" s="126"/>
      <c r="U208" s="126"/>
      <c r="V208" s="126"/>
      <c r="W208" s="126"/>
      <c r="X208" s="126"/>
    </row>
    <row r="209" spans="2:24" ht="15" customHeight="1" x14ac:dyDescent="0.2">
      <c r="B209" s="119"/>
      <c r="C209" s="119"/>
      <c r="D209" s="44">
        <v>202</v>
      </c>
      <c r="E209" s="72" t="s">
        <v>1164</v>
      </c>
      <c r="F209" s="44" t="s">
        <v>16</v>
      </c>
      <c r="G209" s="44" t="s">
        <v>1165</v>
      </c>
      <c r="H209" s="44" t="s">
        <v>9</v>
      </c>
      <c r="I209" s="44" t="s">
        <v>13</v>
      </c>
      <c r="J209" s="72" t="s">
        <v>1228</v>
      </c>
      <c r="K209" s="73">
        <v>36149</v>
      </c>
      <c r="L209" s="30">
        <v>1998</v>
      </c>
      <c r="M209" s="30">
        <f t="shared" si="18"/>
        <v>21</v>
      </c>
      <c r="N209" s="44" t="s">
        <v>3</v>
      </c>
      <c r="O209" s="44" t="s">
        <v>1229</v>
      </c>
      <c r="P209" s="74" t="s">
        <v>1233</v>
      </c>
      <c r="Q209" s="44"/>
      <c r="R209" s="72" t="s">
        <v>1332</v>
      </c>
      <c r="S209" s="126"/>
      <c r="T209" s="126"/>
      <c r="U209" s="126"/>
      <c r="V209" s="126"/>
      <c r="W209" s="126"/>
      <c r="X209" s="126"/>
    </row>
    <row r="210" spans="2:24" ht="15" customHeight="1" x14ac:dyDescent="0.2">
      <c r="B210" s="119"/>
      <c r="C210" s="119"/>
      <c r="D210" s="44">
        <v>203</v>
      </c>
      <c r="E210" s="72" t="s">
        <v>1166</v>
      </c>
      <c r="F210" s="44" t="s">
        <v>16</v>
      </c>
      <c r="G210" s="44" t="s">
        <v>1167</v>
      </c>
      <c r="H210" s="44" t="s">
        <v>1</v>
      </c>
      <c r="I210" s="44" t="s">
        <v>13</v>
      </c>
      <c r="J210" s="72" t="s">
        <v>1228</v>
      </c>
      <c r="K210" s="73">
        <v>37509</v>
      </c>
      <c r="L210" s="30">
        <v>2002</v>
      </c>
      <c r="M210" s="30">
        <f t="shared" si="18"/>
        <v>17</v>
      </c>
      <c r="N210" s="44" t="s">
        <v>3</v>
      </c>
      <c r="O210" s="44" t="s">
        <v>1229</v>
      </c>
      <c r="P210" s="74" t="s">
        <v>1233</v>
      </c>
      <c r="Q210" s="44"/>
      <c r="R210" s="72" t="s">
        <v>1326</v>
      </c>
      <c r="S210" s="126"/>
      <c r="T210" s="126"/>
      <c r="U210" s="126"/>
      <c r="V210" s="126"/>
      <c r="W210" s="126"/>
      <c r="X210" s="126"/>
    </row>
    <row r="211" spans="2:24" ht="15" customHeight="1" x14ac:dyDescent="0.2">
      <c r="B211" s="119">
        <v>74</v>
      </c>
      <c r="C211" s="119" t="s">
        <v>1473</v>
      </c>
      <c r="D211" s="44">
        <v>204</v>
      </c>
      <c r="E211" s="72" t="s">
        <v>185</v>
      </c>
      <c r="F211" s="44" t="s">
        <v>6</v>
      </c>
      <c r="G211" s="44" t="s">
        <v>1168</v>
      </c>
      <c r="H211" s="44" t="s">
        <v>1</v>
      </c>
      <c r="I211" s="44" t="s">
        <v>2</v>
      </c>
      <c r="J211" s="72" t="s">
        <v>1228</v>
      </c>
      <c r="K211" s="73">
        <v>30869</v>
      </c>
      <c r="L211" s="30">
        <v>1984</v>
      </c>
      <c r="M211" s="30">
        <f t="shared" si="18"/>
        <v>35</v>
      </c>
      <c r="N211" s="44" t="s">
        <v>3</v>
      </c>
      <c r="O211" s="44" t="s">
        <v>1229</v>
      </c>
      <c r="P211" s="74" t="s">
        <v>1233</v>
      </c>
      <c r="Q211" s="44"/>
      <c r="R211" s="72" t="s">
        <v>1330</v>
      </c>
      <c r="S211" s="126"/>
      <c r="T211" s="126"/>
      <c r="U211" s="126"/>
      <c r="V211" s="126"/>
      <c r="W211" s="126"/>
      <c r="X211" s="126"/>
    </row>
    <row r="212" spans="2:24" ht="15" customHeight="1" x14ac:dyDescent="0.2">
      <c r="B212" s="119"/>
      <c r="C212" s="119"/>
      <c r="D212" s="44">
        <v>205</v>
      </c>
      <c r="E212" s="72" t="s">
        <v>1169</v>
      </c>
      <c r="F212" s="44" t="s">
        <v>11</v>
      </c>
      <c r="G212" s="44" t="s">
        <v>1474</v>
      </c>
      <c r="H212" s="44" t="s">
        <v>9</v>
      </c>
      <c r="I212" s="44" t="s">
        <v>2</v>
      </c>
      <c r="J212" s="72" t="s">
        <v>1228</v>
      </c>
      <c r="K212" s="73">
        <v>28354</v>
      </c>
      <c r="L212" s="30">
        <v>1977</v>
      </c>
      <c r="M212" s="30">
        <f t="shared" si="18"/>
        <v>42</v>
      </c>
      <c r="N212" s="44" t="s">
        <v>3</v>
      </c>
      <c r="O212" s="44" t="s">
        <v>1229</v>
      </c>
      <c r="P212" s="74" t="s">
        <v>1233</v>
      </c>
      <c r="Q212" s="44"/>
      <c r="R212" s="72" t="s">
        <v>1360</v>
      </c>
      <c r="S212" s="126"/>
      <c r="T212" s="126"/>
      <c r="U212" s="126"/>
      <c r="V212" s="126"/>
      <c r="W212" s="126"/>
      <c r="X212" s="126"/>
    </row>
    <row r="213" spans="2:24" ht="15" customHeight="1" x14ac:dyDescent="0.2">
      <c r="B213" s="119"/>
      <c r="C213" s="119"/>
      <c r="D213" s="44">
        <v>206</v>
      </c>
      <c r="E213" s="72" t="s">
        <v>1170</v>
      </c>
      <c r="F213" s="44" t="s">
        <v>16</v>
      </c>
      <c r="G213" s="44" t="s">
        <v>1475</v>
      </c>
      <c r="H213" s="44" t="s">
        <v>9</v>
      </c>
      <c r="I213" s="44" t="s">
        <v>13</v>
      </c>
      <c r="J213" s="72" t="s">
        <v>1228</v>
      </c>
      <c r="K213" s="73">
        <v>38735</v>
      </c>
      <c r="L213" s="30">
        <v>2006</v>
      </c>
      <c r="M213" s="30">
        <f t="shared" si="18"/>
        <v>13</v>
      </c>
      <c r="N213" s="44" t="s">
        <v>3</v>
      </c>
      <c r="O213" s="44" t="s">
        <v>1229</v>
      </c>
      <c r="P213" s="74" t="s">
        <v>1320</v>
      </c>
      <c r="Q213" s="44"/>
      <c r="R213" s="72" t="s">
        <v>1332</v>
      </c>
      <c r="S213" s="126"/>
      <c r="T213" s="126"/>
      <c r="U213" s="126"/>
      <c r="V213" s="126"/>
      <c r="W213" s="126"/>
      <c r="X213" s="126"/>
    </row>
    <row r="214" spans="2:24" ht="15" customHeight="1" x14ac:dyDescent="0.2">
      <c r="B214" s="119"/>
      <c r="C214" s="119"/>
      <c r="D214" s="44">
        <v>207</v>
      </c>
      <c r="E214" s="72" t="s">
        <v>1171</v>
      </c>
      <c r="F214" s="44" t="s">
        <v>16</v>
      </c>
      <c r="G214" s="44" t="s">
        <v>1476</v>
      </c>
      <c r="H214" s="44" t="s">
        <v>9</v>
      </c>
      <c r="I214" s="44" t="s">
        <v>13</v>
      </c>
      <c r="J214" s="72" t="s">
        <v>1228</v>
      </c>
      <c r="K214" s="73">
        <v>40250</v>
      </c>
      <c r="L214" s="30">
        <v>2010</v>
      </c>
      <c r="M214" s="30">
        <f t="shared" si="18"/>
        <v>9</v>
      </c>
      <c r="N214" s="44" t="s">
        <v>3</v>
      </c>
      <c r="O214" s="44" t="s">
        <v>1229</v>
      </c>
      <c r="P214" s="74" t="s">
        <v>1320</v>
      </c>
      <c r="Q214" s="44"/>
      <c r="R214" s="72" t="s">
        <v>1332</v>
      </c>
      <c r="S214" s="126"/>
      <c r="T214" s="126"/>
      <c r="U214" s="126"/>
      <c r="V214" s="126"/>
      <c r="W214" s="126"/>
      <c r="X214" s="126"/>
    </row>
    <row r="215" spans="2:24" ht="15" customHeight="1" x14ac:dyDescent="0.2">
      <c r="B215" s="119">
        <v>75</v>
      </c>
      <c r="C215" s="119" t="s">
        <v>1493</v>
      </c>
      <c r="D215" s="44">
        <v>208</v>
      </c>
      <c r="E215" s="72" t="s">
        <v>1491</v>
      </c>
      <c r="F215" s="44" t="s">
        <v>6</v>
      </c>
      <c r="G215" s="44" t="s">
        <v>1173</v>
      </c>
      <c r="H215" s="44" t="s">
        <v>1</v>
      </c>
      <c r="I215" s="44" t="s">
        <v>2</v>
      </c>
      <c r="J215" s="72" t="s">
        <v>1228</v>
      </c>
      <c r="K215" s="73">
        <v>25750</v>
      </c>
      <c r="L215" s="30">
        <v>1970</v>
      </c>
      <c r="M215" s="30">
        <f t="shared" si="18"/>
        <v>49</v>
      </c>
      <c r="N215" s="44" t="s">
        <v>3</v>
      </c>
      <c r="O215" s="44" t="s">
        <v>1229</v>
      </c>
      <c r="P215" s="74" t="s">
        <v>1246</v>
      </c>
      <c r="Q215" s="44"/>
      <c r="R215" s="72" t="s">
        <v>5</v>
      </c>
      <c r="S215" s="126"/>
      <c r="T215" s="126"/>
      <c r="U215" s="126"/>
      <c r="V215" s="126"/>
      <c r="W215" s="126"/>
      <c r="X215" s="126"/>
    </row>
    <row r="216" spans="2:24" ht="15" customHeight="1" x14ac:dyDescent="0.2">
      <c r="B216" s="119"/>
      <c r="C216" s="119"/>
      <c r="D216" s="44">
        <v>209</v>
      </c>
      <c r="E216" s="72" t="s">
        <v>1492</v>
      </c>
      <c r="F216" s="44" t="s">
        <v>11</v>
      </c>
      <c r="G216" s="44" t="s">
        <v>1174</v>
      </c>
      <c r="H216" s="44" t="s">
        <v>9</v>
      </c>
      <c r="I216" s="44" t="s">
        <v>2</v>
      </c>
      <c r="J216" s="72" t="s">
        <v>1494</v>
      </c>
      <c r="K216" s="73">
        <v>27029</v>
      </c>
      <c r="L216" s="30">
        <v>1973</v>
      </c>
      <c r="M216" s="30">
        <f t="shared" si="18"/>
        <v>46</v>
      </c>
      <c r="N216" s="44" t="s">
        <v>3</v>
      </c>
      <c r="O216" s="44" t="s">
        <v>1229</v>
      </c>
      <c r="P216" s="74" t="s">
        <v>1233</v>
      </c>
      <c r="Q216" s="44"/>
      <c r="R216" s="72" t="s">
        <v>5</v>
      </c>
      <c r="S216" s="126"/>
      <c r="T216" s="126"/>
      <c r="U216" s="126"/>
      <c r="V216" s="126"/>
      <c r="W216" s="126"/>
      <c r="X216" s="126"/>
    </row>
    <row r="217" spans="2:24" ht="15" customHeight="1" x14ac:dyDescent="0.2">
      <c r="B217" s="119"/>
      <c r="C217" s="119"/>
      <c r="D217" s="44">
        <v>210</v>
      </c>
      <c r="E217" s="72" t="s">
        <v>1175</v>
      </c>
      <c r="F217" s="44" t="s">
        <v>16</v>
      </c>
      <c r="G217" s="44" t="s">
        <v>1176</v>
      </c>
      <c r="H217" s="44" t="s">
        <v>9</v>
      </c>
      <c r="I217" s="44" t="s">
        <v>13</v>
      </c>
      <c r="J217" s="72" t="s">
        <v>1228</v>
      </c>
      <c r="K217" s="73">
        <v>36397</v>
      </c>
      <c r="L217" s="30">
        <v>1999</v>
      </c>
      <c r="M217" s="30">
        <f t="shared" si="18"/>
        <v>20</v>
      </c>
      <c r="N217" s="44" t="s">
        <v>3</v>
      </c>
      <c r="O217" s="44" t="s">
        <v>1229</v>
      </c>
      <c r="P217" s="74" t="s">
        <v>1233</v>
      </c>
      <c r="Q217" s="44"/>
      <c r="R217" s="72" t="s">
        <v>1326</v>
      </c>
      <c r="S217" s="126"/>
      <c r="T217" s="126"/>
      <c r="U217" s="126"/>
      <c r="V217" s="126"/>
      <c r="W217" s="126"/>
      <c r="X217" s="126"/>
    </row>
    <row r="218" spans="2:24" ht="15" customHeight="1" x14ac:dyDescent="0.2">
      <c r="B218" s="119"/>
      <c r="C218" s="119"/>
      <c r="D218" s="44">
        <v>211</v>
      </c>
      <c r="E218" s="72" t="s">
        <v>1177</v>
      </c>
      <c r="F218" s="44" t="s">
        <v>16</v>
      </c>
      <c r="G218" s="44" t="s">
        <v>1178</v>
      </c>
      <c r="H218" s="44" t="s">
        <v>9</v>
      </c>
      <c r="I218" s="44" t="s">
        <v>13</v>
      </c>
      <c r="J218" s="72" t="s">
        <v>1228</v>
      </c>
      <c r="K218" s="73">
        <v>39121</v>
      </c>
      <c r="L218" s="30">
        <v>2007</v>
      </c>
      <c r="M218" s="30">
        <f t="shared" si="18"/>
        <v>12</v>
      </c>
      <c r="N218" s="44" t="s">
        <v>3</v>
      </c>
      <c r="O218" s="44" t="s">
        <v>1229</v>
      </c>
      <c r="P218" s="74" t="s">
        <v>1320</v>
      </c>
      <c r="Q218" s="44"/>
      <c r="R218" s="72" t="s">
        <v>1332</v>
      </c>
      <c r="S218" s="126"/>
      <c r="T218" s="126"/>
      <c r="U218" s="126"/>
      <c r="V218" s="126"/>
      <c r="W218" s="126"/>
      <c r="X218" s="126"/>
    </row>
    <row r="219" spans="2:24" ht="15" customHeight="1" x14ac:dyDescent="0.2">
      <c r="B219" s="119">
        <v>76</v>
      </c>
      <c r="C219" s="119" t="s">
        <v>1488</v>
      </c>
      <c r="D219" s="44">
        <v>212</v>
      </c>
      <c r="E219" s="72" t="s">
        <v>415</v>
      </c>
      <c r="F219" s="44" t="s">
        <v>6</v>
      </c>
      <c r="G219" s="44" t="s">
        <v>1489</v>
      </c>
      <c r="H219" s="44" t="s">
        <v>1</v>
      </c>
      <c r="I219" s="44" t="s">
        <v>2</v>
      </c>
      <c r="J219" s="72" t="s">
        <v>1452</v>
      </c>
      <c r="K219" s="73">
        <v>30527</v>
      </c>
      <c r="L219" s="30">
        <v>1983</v>
      </c>
      <c r="M219" s="30">
        <f t="shared" si="18"/>
        <v>36</v>
      </c>
      <c r="N219" s="44" t="s">
        <v>3</v>
      </c>
      <c r="O219" s="44" t="s">
        <v>1229</v>
      </c>
      <c r="P219" s="74" t="s">
        <v>1233</v>
      </c>
      <c r="Q219" s="44"/>
      <c r="R219" s="72" t="s">
        <v>1330</v>
      </c>
      <c r="S219" s="126"/>
      <c r="T219" s="126"/>
      <c r="U219" s="126"/>
      <c r="V219" s="126"/>
      <c r="W219" s="126"/>
      <c r="X219" s="126"/>
    </row>
    <row r="220" spans="2:24" ht="15" customHeight="1" x14ac:dyDescent="0.2">
      <c r="B220" s="119"/>
      <c r="C220" s="119"/>
      <c r="D220" s="44">
        <v>213</v>
      </c>
      <c r="E220" s="72" t="s">
        <v>1179</v>
      </c>
      <c r="F220" s="44" t="s">
        <v>11</v>
      </c>
      <c r="G220" s="44" t="s">
        <v>1180</v>
      </c>
      <c r="H220" s="44" t="s">
        <v>9</v>
      </c>
      <c r="I220" s="44" t="s">
        <v>2</v>
      </c>
      <c r="J220" s="72" t="s">
        <v>1228</v>
      </c>
      <c r="K220" s="73">
        <v>31047</v>
      </c>
      <c r="L220" s="30">
        <v>1984</v>
      </c>
      <c r="M220" s="30">
        <f t="shared" si="18"/>
        <v>35</v>
      </c>
      <c r="N220" s="44" t="s">
        <v>3</v>
      </c>
      <c r="O220" s="44" t="s">
        <v>1229</v>
      </c>
      <c r="P220" s="74" t="s">
        <v>1233</v>
      </c>
      <c r="Q220" s="44"/>
      <c r="R220" s="72" t="s">
        <v>1330</v>
      </c>
      <c r="S220" s="126"/>
      <c r="T220" s="126"/>
      <c r="U220" s="126"/>
      <c r="V220" s="126"/>
      <c r="W220" s="126"/>
      <c r="X220" s="126"/>
    </row>
    <row r="221" spans="2:24" ht="15" customHeight="1" x14ac:dyDescent="0.2">
      <c r="B221" s="119"/>
      <c r="C221" s="119"/>
      <c r="D221" s="44">
        <v>214</v>
      </c>
      <c r="E221" s="72" t="s">
        <v>1181</v>
      </c>
      <c r="F221" s="44" t="s">
        <v>16</v>
      </c>
      <c r="G221" s="44" t="s">
        <v>1490</v>
      </c>
      <c r="H221" s="44" t="s">
        <v>9</v>
      </c>
      <c r="I221" s="44" t="s">
        <v>13</v>
      </c>
      <c r="J221" s="72" t="s">
        <v>1228</v>
      </c>
      <c r="K221" s="73">
        <v>40664</v>
      </c>
      <c r="L221" s="30">
        <v>2011</v>
      </c>
      <c r="M221" s="30">
        <f t="shared" si="18"/>
        <v>8</v>
      </c>
      <c r="N221" s="44" t="s">
        <v>3</v>
      </c>
      <c r="O221" s="44" t="s">
        <v>1229</v>
      </c>
      <c r="P221" s="74" t="s">
        <v>1320</v>
      </c>
      <c r="Q221" s="44"/>
      <c r="R221" s="72" t="s">
        <v>1332</v>
      </c>
      <c r="S221" s="126"/>
      <c r="T221" s="126"/>
      <c r="U221" s="126"/>
      <c r="V221" s="126"/>
      <c r="W221" s="126"/>
      <c r="X221" s="126"/>
    </row>
    <row r="222" spans="2:24" ht="15" customHeight="1" x14ac:dyDescent="0.2">
      <c r="B222" s="119">
        <v>77</v>
      </c>
      <c r="C222" s="119" t="s">
        <v>1453</v>
      </c>
      <c r="D222" s="44">
        <v>215</v>
      </c>
      <c r="E222" s="72" t="s">
        <v>588</v>
      </c>
      <c r="F222" s="44" t="s">
        <v>6</v>
      </c>
      <c r="G222" s="44" t="s">
        <v>1455</v>
      </c>
      <c r="H222" s="44" t="s">
        <v>1</v>
      </c>
      <c r="I222" s="44" t="s">
        <v>2</v>
      </c>
      <c r="J222" s="72" t="s">
        <v>1228</v>
      </c>
      <c r="K222" s="73">
        <v>27531</v>
      </c>
      <c r="L222" s="30">
        <v>1975</v>
      </c>
      <c r="M222" s="30">
        <f t="shared" si="18"/>
        <v>44</v>
      </c>
      <c r="N222" s="44" t="s">
        <v>3</v>
      </c>
      <c r="O222" s="44" t="s">
        <v>1229</v>
      </c>
      <c r="P222" s="74" t="s">
        <v>1233</v>
      </c>
      <c r="Q222" s="44"/>
      <c r="R222" s="72" t="s">
        <v>1370</v>
      </c>
      <c r="S222" s="126"/>
      <c r="T222" s="126"/>
      <c r="U222" s="126"/>
      <c r="V222" s="126"/>
      <c r="W222" s="126"/>
      <c r="X222" s="126"/>
    </row>
    <row r="223" spans="2:24" ht="15" customHeight="1" x14ac:dyDescent="0.2">
      <c r="B223" s="119"/>
      <c r="C223" s="119"/>
      <c r="D223" s="44">
        <v>216</v>
      </c>
      <c r="E223" s="72" t="s">
        <v>1182</v>
      </c>
      <c r="F223" s="44" t="s">
        <v>11</v>
      </c>
      <c r="G223" s="44" t="s">
        <v>1456</v>
      </c>
      <c r="H223" s="44" t="s">
        <v>9</v>
      </c>
      <c r="I223" s="44" t="s">
        <v>2</v>
      </c>
      <c r="J223" s="72" t="s">
        <v>1228</v>
      </c>
      <c r="K223" s="73">
        <v>28859</v>
      </c>
      <c r="L223" s="30">
        <v>1979</v>
      </c>
      <c r="M223" s="30">
        <f t="shared" si="18"/>
        <v>40</v>
      </c>
      <c r="N223" s="44" t="s">
        <v>3</v>
      </c>
      <c r="O223" s="44" t="s">
        <v>1229</v>
      </c>
      <c r="P223" s="74" t="s">
        <v>1233</v>
      </c>
      <c r="Q223" s="44"/>
      <c r="R223" s="72" t="s">
        <v>1370</v>
      </c>
      <c r="S223" s="126"/>
      <c r="T223" s="126"/>
      <c r="U223" s="126"/>
      <c r="V223" s="126"/>
      <c r="W223" s="126"/>
      <c r="X223" s="126"/>
    </row>
    <row r="224" spans="2:24" ht="15" customHeight="1" x14ac:dyDescent="0.2">
      <c r="B224" s="119"/>
      <c r="C224" s="119"/>
      <c r="D224" s="44">
        <v>217</v>
      </c>
      <c r="E224" s="72" t="s">
        <v>1183</v>
      </c>
      <c r="F224" s="44" t="s">
        <v>16</v>
      </c>
      <c r="G224" s="44" t="s">
        <v>1457</v>
      </c>
      <c r="H224" s="44" t="s">
        <v>9</v>
      </c>
      <c r="I224" s="44" t="s">
        <v>13</v>
      </c>
      <c r="J224" s="72" t="s">
        <v>1228</v>
      </c>
      <c r="K224" s="73">
        <v>39160</v>
      </c>
      <c r="L224" s="30">
        <v>2007</v>
      </c>
      <c r="M224" s="30">
        <f t="shared" si="18"/>
        <v>12</v>
      </c>
      <c r="N224" s="44" t="s">
        <v>3</v>
      </c>
      <c r="O224" s="44" t="s">
        <v>1229</v>
      </c>
      <c r="P224" s="74" t="s">
        <v>1247</v>
      </c>
      <c r="Q224" s="44"/>
      <c r="R224" s="72" t="s">
        <v>1326</v>
      </c>
      <c r="S224" s="126"/>
      <c r="T224" s="126"/>
      <c r="U224" s="126"/>
      <c r="V224" s="126"/>
      <c r="W224" s="126"/>
      <c r="X224" s="126"/>
    </row>
    <row r="225" spans="2:24" ht="15" customHeight="1" x14ac:dyDescent="0.2">
      <c r="B225" s="119"/>
      <c r="C225" s="119"/>
      <c r="D225" s="44">
        <v>218</v>
      </c>
      <c r="E225" s="72" t="s">
        <v>1454</v>
      </c>
      <c r="F225" s="44" t="s">
        <v>16</v>
      </c>
      <c r="G225" s="44" t="s">
        <v>1458</v>
      </c>
      <c r="H225" s="44" t="s">
        <v>1</v>
      </c>
      <c r="I225" s="44" t="s">
        <v>13</v>
      </c>
      <c r="J225" s="72" t="s">
        <v>1459</v>
      </c>
      <c r="K225" s="73">
        <v>42837</v>
      </c>
      <c r="L225" s="30">
        <v>2017</v>
      </c>
      <c r="M225" s="30">
        <f t="shared" si="18"/>
        <v>2</v>
      </c>
      <c r="N225" s="44" t="s">
        <v>3</v>
      </c>
      <c r="O225" s="44" t="s">
        <v>1229</v>
      </c>
      <c r="P225" s="74" t="s">
        <v>1320</v>
      </c>
      <c r="Q225" s="44"/>
      <c r="R225" s="72" t="s">
        <v>1332</v>
      </c>
      <c r="S225" s="126"/>
      <c r="T225" s="126"/>
      <c r="U225" s="126"/>
      <c r="V225" s="126"/>
      <c r="W225" s="126"/>
      <c r="X225" s="126"/>
    </row>
    <row r="226" spans="2:24" ht="15" customHeight="1" x14ac:dyDescent="0.2">
      <c r="B226" s="119">
        <v>78</v>
      </c>
      <c r="C226" s="119" t="s">
        <v>1460</v>
      </c>
      <c r="D226" s="44">
        <v>219</v>
      </c>
      <c r="E226" s="72" t="s">
        <v>94</v>
      </c>
      <c r="F226" s="44" t="s">
        <v>6</v>
      </c>
      <c r="G226" s="44" t="s">
        <v>1184</v>
      </c>
      <c r="H226" s="44" t="s">
        <v>1</v>
      </c>
      <c r="I226" s="44" t="s">
        <v>2</v>
      </c>
      <c r="J226" s="72" t="s">
        <v>1452</v>
      </c>
      <c r="K226" s="73">
        <v>31412</v>
      </c>
      <c r="L226" s="30">
        <v>1985</v>
      </c>
      <c r="M226" s="30">
        <f t="shared" si="18"/>
        <v>34</v>
      </c>
      <c r="N226" s="44" t="s">
        <v>3</v>
      </c>
      <c r="O226" s="44" t="s">
        <v>1229</v>
      </c>
      <c r="P226" s="74" t="s">
        <v>1246</v>
      </c>
      <c r="Q226" s="44"/>
      <c r="R226" s="72" t="s">
        <v>5</v>
      </c>
      <c r="S226" s="126"/>
      <c r="T226" s="126"/>
      <c r="U226" s="126"/>
      <c r="V226" s="126"/>
      <c r="W226" s="126"/>
      <c r="X226" s="126"/>
    </row>
    <row r="227" spans="2:24" ht="15" customHeight="1" x14ac:dyDescent="0.2">
      <c r="B227" s="119"/>
      <c r="C227" s="119"/>
      <c r="D227" s="44">
        <v>220</v>
      </c>
      <c r="E227" s="72" t="s">
        <v>357</v>
      </c>
      <c r="F227" s="44" t="s">
        <v>11</v>
      </c>
      <c r="G227" s="44" t="s">
        <v>1464</v>
      </c>
      <c r="H227" s="44" t="s">
        <v>9</v>
      </c>
      <c r="I227" s="44" t="s">
        <v>2</v>
      </c>
      <c r="J227" s="72" t="s">
        <v>1228</v>
      </c>
      <c r="K227" s="73">
        <v>31412</v>
      </c>
      <c r="L227" s="30">
        <v>1985</v>
      </c>
      <c r="M227" s="30">
        <f t="shared" si="18"/>
        <v>34</v>
      </c>
      <c r="N227" s="44" t="s">
        <v>3</v>
      </c>
      <c r="O227" s="44" t="s">
        <v>1229</v>
      </c>
      <c r="P227" s="74" t="s">
        <v>1233</v>
      </c>
      <c r="Q227" s="44"/>
      <c r="R227" s="72" t="s">
        <v>1330</v>
      </c>
      <c r="S227" s="126"/>
      <c r="T227" s="126"/>
      <c r="U227" s="126"/>
      <c r="V227" s="126"/>
      <c r="W227" s="126"/>
      <c r="X227" s="126"/>
    </row>
    <row r="228" spans="2:24" ht="15" customHeight="1" x14ac:dyDescent="0.2">
      <c r="B228" s="119"/>
      <c r="C228" s="119"/>
      <c r="D228" s="44">
        <v>221</v>
      </c>
      <c r="E228" s="72" t="s">
        <v>1461</v>
      </c>
      <c r="F228" s="44" t="s">
        <v>16</v>
      </c>
      <c r="G228" s="44" t="s">
        <v>1465</v>
      </c>
      <c r="H228" s="44" t="s">
        <v>9</v>
      </c>
      <c r="I228" s="44" t="s">
        <v>13</v>
      </c>
      <c r="J228" s="72" t="s">
        <v>1228</v>
      </c>
      <c r="K228" s="73">
        <v>39828</v>
      </c>
      <c r="L228" s="30">
        <v>2009</v>
      </c>
      <c r="M228" s="30">
        <f t="shared" si="18"/>
        <v>10</v>
      </c>
      <c r="N228" s="44" t="s">
        <v>3</v>
      </c>
      <c r="O228" s="44" t="s">
        <v>1229</v>
      </c>
      <c r="P228" s="74" t="s">
        <v>1320</v>
      </c>
      <c r="Q228" s="44"/>
      <c r="R228" s="72" t="s">
        <v>1332</v>
      </c>
      <c r="S228" s="126"/>
      <c r="T228" s="126"/>
      <c r="U228" s="126"/>
      <c r="V228" s="126"/>
      <c r="W228" s="126"/>
      <c r="X228" s="126"/>
    </row>
    <row r="229" spans="2:24" ht="15" customHeight="1" x14ac:dyDescent="0.2">
      <c r="B229" s="119"/>
      <c r="C229" s="119"/>
      <c r="D229" s="44">
        <v>222</v>
      </c>
      <c r="E229" s="72" t="s">
        <v>1462</v>
      </c>
      <c r="F229" s="44" t="s">
        <v>16</v>
      </c>
      <c r="G229" s="44" t="s">
        <v>1463</v>
      </c>
      <c r="H229" s="44" t="s">
        <v>1</v>
      </c>
      <c r="I229" s="44" t="s">
        <v>13</v>
      </c>
      <c r="J229" s="72" t="s">
        <v>1466</v>
      </c>
      <c r="K229" s="73">
        <v>43174</v>
      </c>
      <c r="L229" s="30">
        <v>2018</v>
      </c>
      <c r="M229" s="30">
        <f t="shared" ref="M229:M256" si="19">2019-L229</f>
        <v>1</v>
      </c>
      <c r="N229" s="44" t="s">
        <v>3</v>
      </c>
      <c r="O229" s="44" t="s">
        <v>1229</v>
      </c>
      <c r="P229" s="74" t="s">
        <v>1320</v>
      </c>
      <c r="Q229" s="44"/>
      <c r="R229" s="72" t="s">
        <v>1332</v>
      </c>
      <c r="S229" s="126"/>
      <c r="T229" s="126"/>
      <c r="U229" s="126"/>
      <c r="V229" s="126"/>
      <c r="W229" s="126"/>
      <c r="X229" s="126"/>
    </row>
    <row r="230" spans="2:24" ht="15" customHeight="1" x14ac:dyDescent="0.2">
      <c r="B230" s="119">
        <v>79</v>
      </c>
      <c r="C230" s="119"/>
      <c r="D230" s="44">
        <v>223</v>
      </c>
      <c r="E230" s="72" t="s">
        <v>1185</v>
      </c>
      <c r="F230" s="44" t="s">
        <v>6</v>
      </c>
      <c r="G230" s="44" t="s">
        <v>1186</v>
      </c>
      <c r="H230" s="44" t="s">
        <v>1</v>
      </c>
      <c r="I230" s="44" t="s">
        <v>2</v>
      </c>
      <c r="J230" s="72"/>
      <c r="K230" s="73">
        <v>19359</v>
      </c>
      <c r="L230" s="30">
        <f t="shared" ref="L230:L232" si="20">YEAR(K230)</f>
        <v>1952</v>
      </c>
      <c r="M230" s="30">
        <f t="shared" si="19"/>
        <v>67</v>
      </c>
      <c r="N230" s="44" t="s">
        <v>3</v>
      </c>
      <c r="O230" s="44"/>
      <c r="P230" s="74" t="s">
        <v>4</v>
      </c>
      <c r="Q230" s="44"/>
      <c r="R230" s="72" t="s">
        <v>5</v>
      </c>
      <c r="S230" s="126"/>
      <c r="T230" s="126"/>
      <c r="U230" s="126"/>
      <c r="V230" s="126"/>
      <c r="W230" s="126"/>
      <c r="X230" s="126"/>
    </row>
    <row r="231" spans="2:24" ht="15" customHeight="1" x14ac:dyDescent="0.2">
      <c r="B231" s="119"/>
      <c r="C231" s="119"/>
      <c r="D231" s="44">
        <v>224</v>
      </c>
      <c r="E231" s="72" t="s">
        <v>1187</v>
      </c>
      <c r="F231" s="44" t="s">
        <v>11</v>
      </c>
      <c r="G231" s="44" t="s">
        <v>1188</v>
      </c>
      <c r="H231" s="44" t="s">
        <v>9</v>
      </c>
      <c r="I231" s="44" t="s">
        <v>2</v>
      </c>
      <c r="J231" s="72"/>
      <c r="K231" s="73">
        <v>25020</v>
      </c>
      <c r="L231" s="30">
        <f t="shared" si="20"/>
        <v>1968</v>
      </c>
      <c r="M231" s="30">
        <f t="shared" si="19"/>
        <v>51</v>
      </c>
      <c r="N231" s="44" t="s">
        <v>3</v>
      </c>
      <c r="O231" s="44"/>
      <c r="P231" s="74" t="s">
        <v>15</v>
      </c>
      <c r="Q231" s="44"/>
      <c r="R231" s="72" t="s">
        <v>290</v>
      </c>
      <c r="S231" s="126"/>
      <c r="T231" s="126"/>
      <c r="U231" s="126"/>
      <c r="V231" s="126"/>
      <c r="W231" s="126"/>
      <c r="X231" s="126"/>
    </row>
    <row r="232" spans="2:24" ht="15" customHeight="1" x14ac:dyDescent="0.2">
      <c r="B232" s="119"/>
      <c r="C232" s="119"/>
      <c r="D232" s="44">
        <v>225</v>
      </c>
      <c r="E232" s="72" t="s">
        <v>1189</v>
      </c>
      <c r="F232" s="44" t="s">
        <v>16</v>
      </c>
      <c r="G232" s="44" t="s">
        <v>1190</v>
      </c>
      <c r="H232" s="44" t="s">
        <v>1</v>
      </c>
      <c r="I232" s="44" t="s">
        <v>13</v>
      </c>
      <c r="J232" s="72"/>
      <c r="K232" s="73">
        <v>34525</v>
      </c>
      <c r="L232" s="30">
        <f t="shared" si="20"/>
        <v>1994</v>
      </c>
      <c r="M232" s="30">
        <f t="shared" si="19"/>
        <v>25</v>
      </c>
      <c r="N232" s="44" t="s">
        <v>3</v>
      </c>
      <c r="O232" s="44"/>
      <c r="P232" s="74" t="s">
        <v>15</v>
      </c>
      <c r="Q232" s="44"/>
      <c r="R232" s="72" t="s">
        <v>15</v>
      </c>
      <c r="S232" s="126"/>
      <c r="T232" s="126"/>
      <c r="U232" s="126"/>
      <c r="V232" s="126"/>
      <c r="W232" s="126"/>
      <c r="X232" s="126"/>
    </row>
    <row r="233" spans="2:24" ht="15" customHeight="1" x14ac:dyDescent="0.2">
      <c r="B233" s="119">
        <v>80</v>
      </c>
      <c r="C233" s="119" t="s">
        <v>1343</v>
      </c>
      <c r="D233" s="44">
        <v>226</v>
      </c>
      <c r="E233" s="72" t="s">
        <v>1344</v>
      </c>
      <c r="F233" s="44" t="s">
        <v>6</v>
      </c>
      <c r="G233" s="44" t="s">
        <v>1191</v>
      </c>
      <c r="H233" s="44" t="s">
        <v>1</v>
      </c>
      <c r="I233" s="44" t="s">
        <v>2</v>
      </c>
      <c r="J233" s="72" t="s">
        <v>1228</v>
      </c>
      <c r="K233" s="73">
        <v>28490</v>
      </c>
      <c r="L233" s="30">
        <v>1977</v>
      </c>
      <c r="M233" s="30">
        <f t="shared" si="19"/>
        <v>42</v>
      </c>
      <c r="N233" s="44" t="s">
        <v>3</v>
      </c>
      <c r="O233" s="44" t="s">
        <v>1229</v>
      </c>
      <c r="P233" s="74" t="s">
        <v>1320</v>
      </c>
      <c r="Q233" s="44"/>
      <c r="R233" s="72" t="s">
        <v>1330</v>
      </c>
      <c r="S233" s="126"/>
      <c r="T233" s="126"/>
      <c r="U233" s="126"/>
      <c r="V233" s="126"/>
      <c r="W233" s="126"/>
      <c r="X233" s="126"/>
    </row>
    <row r="234" spans="2:24" ht="15" customHeight="1" x14ac:dyDescent="0.2">
      <c r="B234" s="119"/>
      <c r="C234" s="119"/>
      <c r="D234" s="44">
        <v>227</v>
      </c>
      <c r="E234" s="72" t="s">
        <v>229</v>
      </c>
      <c r="F234" s="44" t="s">
        <v>11</v>
      </c>
      <c r="G234" s="44" t="s">
        <v>1192</v>
      </c>
      <c r="H234" s="44" t="s">
        <v>9</v>
      </c>
      <c r="I234" s="44" t="s">
        <v>2</v>
      </c>
      <c r="J234" s="72" t="s">
        <v>1228</v>
      </c>
      <c r="K234" s="73">
        <v>30316</v>
      </c>
      <c r="L234" s="30">
        <v>1982</v>
      </c>
      <c r="M234" s="30">
        <f t="shared" si="19"/>
        <v>37</v>
      </c>
      <c r="N234" s="44" t="s">
        <v>3</v>
      </c>
      <c r="O234" s="44" t="s">
        <v>1229</v>
      </c>
      <c r="P234" s="74" t="s">
        <v>1320</v>
      </c>
      <c r="Q234" s="44"/>
      <c r="R234" s="72" t="s">
        <v>1330</v>
      </c>
      <c r="S234" s="126"/>
      <c r="T234" s="126"/>
      <c r="U234" s="126"/>
      <c r="V234" s="126"/>
      <c r="W234" s="126"/>
      <c r="X234" s="126"/>
    </row>
    <row r="235" spans="2:24" ht="15" customHeight="1" x14ac:dyDescent="0.2">
      <c r="B235" s="119"/>
      <c r="C235" s="119"/>
      <c r="D235" s="44">
        <v>228</v>
      </c>
      <c r="E235" s="72" t="s">
        <v>1345</v>
      </c>
      <c r="F235" s="44" t="s">
        <v>16</v>
      </c>
      <c r="G235" s="44" t="s">
        <v>1346</v>
      </c>
      <c r="H235" s="44" t="s">
        <v>1</v>
      </c>
      <c r="I235" s="44" t="s">
        <v>13</v>
      </c>
      <c r="J235" s="72" t="s">
        <v>1228</v>
      </c>
      <c r="K235" s="73">
        <v>37621</v>
      </c>
      <c r="L235" s="30">
        <v>2002</v>
      </c>
      <c r="M235" s="30">
        <f t="shared" si="19"/>
        <v>17</v>
      </c>
      <c r="N235" s="44" t="s">
        <v>3</v>
      </c>
      <c r="O235" s="44" t="s">
        <v>1229</v>
      </c>
      <c r="P235" s="74" t="s">
        <v>1246</v>
      </c>
      <c r="Q235" s="44"/>
      <c r="R235" s="72" t="s">
        <v>1326</v>
      </c>
      <c r="S235" s="126"/>
      <c r="T235" s="126"/>
      <c r="U235" s="126"/>
      <c r="V235" s="126"/>
      <c r="W235" s="126"/>
      <c r="X235" s="126"/>
    </row>
    <row r="236" spans="2:24" ht="15" customHeight="1" x14ac:dyDescent="0.2">
      <c r="B236" s="119">
        <v>81</v>
      </c>
      <c r="C236" s="119" t="s">
        <v>1515</v>
      </c>
      <c r="D236" s="44">
        <v>229</v>
      </c>
      <c r="E236" s="72" t="s">
        <v>454</v>
      </c>
      <c r="F236" s="44" t="s">
        <v>6</v>
      </c>
      <c r="G236" s="44" t="s">
        <v>1516</v>
      </c>
      <c r="H236" s="44" t="s">
        <v>1</v>
      </c>
      <c r="I236" s="44" t="s">
        <v>2</v>
      </c>
      <c r="J236" s="72" t="s">
        <v>1228</v>
      </c>
      <c r="K236" s="73">
        <v>28687</v>
      </c>
      <c r="L236" s="30">
        <v>1978</v>
      </c>
      <c r="M236" s="30">
        <f t="shared" si="19"/>
        <v>41</v>
      </c>
      <c r="N236" s="44" t="s">
        <v>3</v>
      </c>
      <c r="O236" s="44" t="s">
        <v>1229</v>
      </c>
      <c r="P236" s="74" t="s">
        <v>1246</v>
      </c>
      <c r="Q236" s="44"/>
      <c r="R236" s="72" t="s">
        <v>5</v>
      </c>
      <c r="S236" s="126"/>
      <c r="T236" s="126"/>
      <c r="U236" s="126"/>
      <c r="V236" s="126"/>
      <c r="W236" s="126"/>
      <c r="X236" s="126"/>
    </row>
    <row r="237" spans="2:24" ht="15" customHeight="1" x14ac:dyDescent="0.2">
      <c r="B237" s="119"/>
      <c r="C237" s="119"/>
      <c r="D237" s="44">
        <v>230</v>
      </c>
      <c r="E237" s="72" t="s">
        <v>669</v>
      </c>
      <c r="F237" s="44" t="s">
        <v>11</v>
      </c>
      <c r="G237" s="44" t="s">
        <v>1195</v>
      </c>
      <c r="H237" s="44" t="s">
        <v>9</v>
      </c>
      <c r="I237" s="44" t="s">
        <v>2</v>
      </c>
      <c r="J237" s="72" t="s">
        <v>1228</v>
      </c>
      <c r="K237" s="73">
        <v>30774</v>
      </c>
      <c r="L237" s="30">
        <v>1984</v>
      </c>
      <c r="M237" s="30">
        <f t="shared" si="19"/>
        <v>35</v>
      </c>
      <c r="N237" s="44" t="s">
        <v>3</v>
      </c>
      <c r="O237" s="44" t="s">
        <v>1229</v>
      </c>
      <c r="P237" s="74" t="s">
        <v>1246</v>
      </c>
      <c r="Q237" s="44"/>
      <c r="R237" s="72" t="s">
        <v>1360</v>
      </c>
      <c r="S237" s="126"/>
      <c r="T237" s="126"/>
      <c r="U237" s="126"/>
      <c r="V237" s="126"/>
      <c r="W237" s="126"/>
      <c r="X237" s="126"/>
    </row>
    <row r="238" spans="2:24" ht="15" customHeight="1" x14ac:dyDescent="0.2">
      <c r="B238" s="119"/>
      <c r="C238" s="119"/>
      <c r="D238" s="44">
        <v>231</v>
      </c>
      <c r="E238" s="72" t="s">
        <v>1196</v>
      </c>
      <c r="F238" s="44" t="s">
        <v>16</v>
      </c>
      <c r="G238" s="44" t="s">
        <v>1517</v>
      </c>
      <c r="H238" s="44" t="s">
        <v>1</v>
      </c>
      <c r="I238" s="44" t="s">
        <v>13</v>
      </c>
      <c r="J238" s="72" t="s">
        <v>1228</v>
      </c>
      <c r="K238" s="73">
        <v>37877</v>
      </c>
      <c r="L238" s="30">
        <v>2003</v>
      </c>
      <c r="M238" s="30">
        <f t="shared" si="19"/>
        <v>16</v>
      </c>
      <c r="N238" s="44" t="s">
        <v>3</v>
      </c>
      <c r="O238" s="44" t="s">
        <v>1229</v>
      </c>
      <c r="P238" s="74" t="s">
        <v>1247</v>
      </c>
      <c r="Q238" s="44"/>
      <c r="R238" s="72" t="s">
        <v>1326</v>
      </c>
      <c r="S238" s="126"/>
      <c r="T238" s="126"/>
      <c r="U238" s="126"/>
      <c r="V238" s="126"/>
      <c r="W238" s="126"/>
      <c r="X238" s="126"/>
    </row>
    <row r="239" spans="2:24" ht="15" customHeight="1" x14ac:dyDescent="0.2">
      <c r="B239" s="119"/>
      <c r="C239" s="119"/>
      <c r="D239" s="44">
        <v>232</v>
      </c>
      <c r="E239" s="72" t="s">
        <v>1197</v>
      </c>
      <c r="F239" s="44" t="s">
        <v>16</v>
      </c>
      <c r="G239" s="44" t="s">
        <v>1198</v>
      </c>
      <c r="H239" s="44" t="s">
        <v>1</v>
      </c>
      <c r="I239" s="44" t="s">
        <v>13</v>
      </c>
      <c r="J239" s="72" t="s">
        <v>1228</v>
      </c>
      <c r="K239" s="73">
        <v>41090</v>
      </c>
      <c r="L239" s="30">
        <v>2012</v>
      </c>
      <c r="M239" s="30">
        <f t="shared" si="19"/>
        <v>7</v>
      </c>
      <c r="N239" s="44" t="s">
        <v>3</v>
      </c>
      <c r="O239" s="44" t="s">
        <v>1229</v>
      </c>
      <c r="P239" s="74" t="s">
        <v>1320</v>
      </c>
      <c r="Q239" s="44"/>
      <c r="R239" s="72" t="s">
        <v>1332</v>
      </c>
      <c r="S239" s="126"/>
      <c r="T239" s="126"/>
      <c r="U239" s="126"/>
      <c r="V239" s="126"/>
      <c r="W239" s="126"/>
      <c r="X239" s="126"/>
    </row>
    <row r="240" spans="2:24" s="34" customFormat="1" ht="15" customHeight="1" x14ac:dyDescent="0.2">
      <c r="B240" s="119">
        <v>82</v>
      </c>
      <c r="C240" s="119" t="s">
        <v>1422</v>
      </c>
      <c r="D240" s="44">
        <v>233</v>
      </c>
      <c r="E240" s="72" t="s">
        <v>1199</v>
      </c>
      <c r="F240" s="44" t="s">
        <v>6</v>
      </c>
      <c r="G240" s="44" t="s">
        <v>1424</v>
      </c>
      <c r="H240" s="44" t="s">
        <v>1</v>
      </c>
      <c r="I240" s="44" t="s">
        <v>2</v>
      </c>
      <c r="J240" s="72" t="s">
        <v>1228</v>
      </c>
      <c r="K240" s="73">
        <v>30245</v>
      </c>
      <c r="L240" s="30">
        <v>1982</v>
      </c>
      <c r="M240" s="30">
        <f t="shared" si="19"/>
        <v>37</v>
      </c>
      <c r="N240" s="44" t="s">
        <v>3</v>
      </c>
      <c r="O240" s="44" t="s">
        <v>1229</v>
      </c>
      <c r="P240" s="74" t="s">
        <v>1233</v>
      </c>
      <c r="Q240" s="44"/>
      <c r="R240" s="72" t="s">
        <v>1425</v>
      </c>
      <c r="S240" s="126"/>
      <c r="T240" s="126"/>
      <c r="U240" s="126"/>
      <c r="V240" s="126"/>
      <c r="W240" s="126"/>
      <c r="X240" s="126"/>
    </row>
    <row r="241" spans="2:18" s="34" customFormat="1" ht="15" customHeight="1" x14ac:dyDescent="0.2">
      <c r="B241" s="119"/>
      <c r="C241" s="119"/>
      <c r="D241" s="44">
        <v>234</v>
      </c>
      <c r="E241" s="72" t="s">
        <v>1200</v>
      </c>
      <c r="F241" s="44" t="s">
        <v>11</v>
      </c>
      <c r="G241" s="44" t="s">
        <v>1201</v>
      </c>
      <c r="H241" s="44" t="s">
        <v>9</v>
      </c>
      <c r="I241" s="44" t="s">
        <v>2</v>
      </c>
      <c r="J241" s="72" t="s">
        <v>1228</v>
      </c>
      <c r="K241" s="73">
        <v>31047</v>
      </c>
      <c r="L241" s="30">
        <v>1984</v>
      </c>
      <c r="M241" s="30">
        <f t="shared" si="19"/>
        <v>35</v>
      </c>
      <c r="N241" s="44" t="s">
        <v>3</v>
      </c>
      <c r="O241" s="44" t="s">
        <v>1229</v>
      </c>
      <c r="P241" s="74" t="s">
        <v>1233</v>
      </c>
      <c r="Q241" s="44"/>
      <c r="R241" s="72" t="s">
        <v>1330</v>
      </c>
    </row>
    <row r="242" spans="2:18" s="34" customFormat="1" ht="15" customHeight="1" x14ac:dyDescent="0.2">
      <c r="B242" s="119"/>
      <c r="C242" s="119"/>
      <c r="D242" s="44">
        <v>235</v>
      </c>
      <c r="E242" s="72" t="s">
        <v>1423</v>
      </c>
      <c r="F242" s="44" t="s">
        <v>16</v>
      </c>
      <c r="G242" s="44" t="s">
        <v>1202</v>
      </c>
      <c r="H242" s="44" t="s">
        <v>1</v>
      </c>
      <c r="I242" s="44" t="s">
        <v>13</v>
      </c>
      <c r="J242" s="72" t="s">
        <v>1228</v>
      </c>
      <c r="K242" s="73">
        <v>39735</v>
      </c>
      <c r="L242" s="30">
        <v>2008</v>
      </c>
      <c r="M242" s="30">
        <f t="shared" si="19"/>
        <v>11</v>
      </c>
      <c r="N242" s="44" t="s">
        <v>3</v>
      </c>
      <c r="O242" s="44" t="s">
        <v>1229</v>
      </c>
      <c r="P242" s="74" t="s">
        <v>1320</v>
      </c>
      <c r="Q242" s="44"/>
      <c r="R242" s="72" t="s">
        <v>1332</v>
      </c>
    </row>
    <row r="243" spans="2:18" s="34" customFormat="1" ht="15" customHeight="1" x14ac:dyDescent="0.2">
      <c r="B243" s="119"/>
      <c r="C243" s="119"/>
      <c r="D243" s="44">
        <v>236</v>
      </c>
      <c r="E243" s="72" t="s">
        <v>1203</v>
      </c>
      <c r="F243" s="44" t="s">
        <v>16</v>
      </c>
      <c r="G243" s="44" t="s">
        <v>1204</v>
      </c>
      <c r="H243" s="44" t="s">
        <v>1</v>
      </c>
      <c r="I243" s="44" t="s">
        <v>13</v>
      </c>
      <c r="J243" s="72" t="s">
        <v>1228</v>
      </c>
      <c r="K243" s="73">
        <v>40843</v>
      </c>
      <c r="L243" s="30">
        <v>2011</v>
      </c>
      <c r="M243" s="30">
        <f t="shared" si="19"/>
        <v>8</v>
      </c>
      <c r="N243" s="44" t="s">
        <v>3</v>
      </c>
      <c r="O243" s="44" t="s">
        <v>1229</v>
      </c>
      <c r="P243" s="74" t="s">
        <v>1320</v>
      </c>
      <c r="Q243" s="44"/>
      <c r="R243" s="72" t="s">
        <v>1332</v>
      </c>
    </row>
    <row r="244" spans="2:18" s="34" customFormat="1" ht="15" customHeight="1" x14ac:dyDescent="0.2">
      <c r="B244" s="119"/>
      <c r="C244" s="119"/>
      <c r="D244" s="44">
        <v>237</v>
      </c>
      <c r="E244" s="72" t="s">
        <v>1205</v>
      </c>
      <c r="F244" s="44" t="s">
        <v>16</v>
      </c>
      <c r="G244" s="44" t="s">
        <v>1206</v>
      </c>
      <c r="H244" s="44" t="s">
        <v>9</v>
      </c>
      <c r="I244" s="44" t="s">
        <v>13</v>
      </c>
      <c r="J244" s="72" t="s">
        <v>1228</v>
      </c>
      <c r="K244" s="73">
        <v>41677</v>
      </c>
      <c r="L244" s="30">
        <v>2014</v>
      </c>
      <c r="M244" s="30">
        <f t="shared" si="19"/>
        <v>5</v>
      </c>
      <c r="N244" s="44" t="s">
        <v>3</v>
      </c>
      <c r="O244" s="44" t="s">
        <v>1229</v>
      </c>
      <c r="P244" s="74" t="s">
        <v>1320</v>
      </c>
      <c r="Q244" s="44"/>
      <c r="R244" s="72" t="s">
        <v>1332</v>
      </c>
    </row>
    <row r="245" spans="2:18" s="34" customFormat="1" ht="15" customHeight="1" x14ac:dyDescent="0.2">
      <c r="B245" s="119">
        <v>83</v>
      </c>
      <c r="C245" s="119" t="s">
        <v>1318</v>
      </c>
      <c r="D245" s="44">
        <v>238</v>
      </c>
      <c r="E245" s="72" t="s">
        <v>1321</v>
      </c>
      <c r="F245" s="44" t="s">
        <v>6</v>
      </c>
      <c r="G245" s="44" t="s">
        <v>1319</v>
      </c>
      <c r="H245" s="44" t="s">
        <v>1</v>
      </c>
      <c r="I245" s="44" t="s">
        <v>2</v>
      </c>
      <c r="J245" s="72" t="s">
        <v>1228</v>
      </c>
      <c r="K245" s="73">
        <v>21501</v>
      </c>
      <c r="L245" s="30">
        <v>1958</v>
      </c>
      <c r="M245" s="30">
        <f t="shared" si="19"/>
        <v>61</v>
      </c>
      <c r="N245" s="44" t="s">
        <v>3</v>
      </c>
      <c r="O245" s="44" t="s">
        <v>1229</v>
      </c>
      <c r="P245" s="74" t="s">
        <v>1320</v>
      </c>
      <c r="Q245" s="44"/>
      <c r="R245" s="72" t="s">
        <v>1371</v>
      </c>
    </row>
    <row r="246" spans="2:18" s="34" customFormat="1" ht="15" customHeight="1" x14ac:dyDescent="0.2">
      <c r="B246" s="119"/>
      <c r="C246" s="119"/>
      <c r="D246" s="44">
        <v>239</v>
      </c>
      <c r="E246" s="72" t="s">
        <v>1322</v>
      </c>
      <c r="F246" s="44" t="s">
        <v>11</v>
      </c>
      <c r="G246" s="44" t="s">
        <v>1323</v>
      </c>
      <c r="H246" s="44" t="s">
        <v>9</v>
      </c>
      <c r="I246" s="44" t="s">
        <v>2</v>
      </c>
      <c r="J246" s="72" t="s">
        <v>1228</v>
      </c>
      <c r="K246" s="73">
        <v>22020</v>
      </c>
      <c r="L246" s="30">
        <v>1960</v>
      </c>
      <c r="M246" s="30">
        <f t="shared" si="19"/>
        <v>59</v>
      </c>
      <c r="N246" s="44" t="s">
        <v>3</v>
      </c>
      <c r="O246" s="44" t="s">
        <v>1229</v>
      </c>
      <c r="P246" s="74" t="s">
        <v>1247</v>
      </c>
      <c r="Q246" s="44"/>
      <c r="R246" s="72" t="s">
        <v>1371</v>
      </c>
    </row>
    <row r="247" spans="2:18" s="34" customFormat="1" ht="15" customHeight="1" x14ac:dyDescent="0.2">
      <c r="B247" s="119"/>
      <c r="C247" s="119"/>
      <c r="D247" s="44">
        <v>240</v>
      </c>
      <c r="E247" s="72" t="s">
        <v>1324</v>
      </c>
      <c r="F247" s="44" t="s">
        <v>16</v>
      </c>
      <c r="G247" s="44" t="s">
        <v>1325</v>
      </c>
      <c r="H247" s="44" t="s">
        <v>1</v>
      </c>
      <c r="I247" s="44" t="s">
        <v>13</v>
      </c>
      <c r="J247" s="72" t="s">
        <v>1228</v>
      </c>
      <c r="K247" s="73">
        <v>34026</v>
      </c>
      <c r="L247" s="30">
        <v>1993</v>
      </c>
      <c r="M247" s="30">
        <f t="shared" si="19"/>
        <v>26</v>
      </c>
      <c r="N247" s="44" t="s">
        <v>3</v>
      </c>
      <c r="O247" s="44" t="s">
        <v>1229</v>
      </c>
      <c r="P247" s="74" t="s">
        <v>1270</v>
      </c>
      <c r="Q247" s="44"/>
      <c r="R247" s="72" t="s">
        <v>1326</v>
      </c>
    </row>
    <row r="248" spans="2:18" s="34" customFormat="1" ht="15" customHeight="1" x14ac:dyDescent="0.2">
      <c r="B248" s="119"/>
      <c r="C248" s="119"/>
      <c r="D248" s="44">
        <v>241</v>
      </c>
      <c r="E248" s="72" t="s">
        <v>1327</v>
      </c>
      <c r="F248" s="44" t="s">
        <v>16</v>
      </c>
      <c r="G248" s="44" t="s">
        <v>1328</v>
      </c>
      <c r="H248" s="44" t="s">
        <v>9</v>
      </c>
      <c r="I248" s="44" t="s">
        <v>13</v>
      </c>
      <c r="J248" s="72" t="s">
        <v>1228</v>
      </c>
      <c r="K248" s="73">
        <v>36874</v>
      </c>
      <c r="L248" s="30">
        <v>2000</v>
      </c>
      <c r="M248" s="30">
        <f t="shared" si="19"/>
        <v>19</v>
      </c>
      <c r="N248" s="44" t="s">
        <v>3</v>
      </c>
      <c r="O248" s="44" t="s">
        <v>1229</v>
      </c>
      <c r="P248" s="74" t="s">
        <v>1246</v>
      </c>
      <c r="Q248" s="44"/>
      <c r="R248" s="72" t="s">
        <v>1326</v>
      </c>
    </row>
    <row r="249" spans="2:18" s="68" customFormat="1" ht="15" customHeight="1" x14ac:dyDescent="0.2">
      <c r="B249" s="119">
        <v>84</v>
      </c>
      <c r="C249" s="119" t="s">
        <v>1365</v>
      </c>
      <c r="D249" s="44">
        <v>242</v>
      </c>
      <c r="E249" s="72" t="s">
        <v>1364</v>
      </c>
      <c r="F249" s="44" t="s">
        <v>6</v>
      </c>
      <c r="G249" s="44" t="s">
        <v>1363</v>
      </c>
      <c r="H249" s="44" t="s">
        <v>1</v>
      </c>
      <c r="I249" s="44" t="s">
        <v>2</v>
      </c>
      <c r="J249" s="72" t="s">
        <v>1245</v>
      </c>
      <c r="K249" s="73">
        <v>28882</v>
      </c>
      <c r="L249" s="30">
        <v>1979</v>
      </c>
      <c r="M249" s="30">
        <f t="shared" si="19"/>
        <v>40</v>
      </c>
      <c r="N249" s="44" t="s">
        <v>3</v>
      </c>
      <c r="O249" s="44" t="s">
        <v>1229</v>
      </c>
      <c r="P249" s="72" t="s">
        <v>1233</v>
      </c>
      <c r="Q249" s="44"/>
      <c r="R249" s="72" t="s">
        <v>1330</v>
      </c>
    </row>
    <row r="250" spans="2:18" s="68" customFormat="1" ht="15" customHeight="1" x14ac:dyDescent="0.2">
      <c r="B250" s="119"/>
      <c r="C250" s="119"/>
      <c r="D250" s="44">
        <v>243</v>
      </c>
      <c r="E250" s="72" t="s">
        <v>1362</v>
      </c>
      <c r="F250" s="44" t="s">
        <v>11</v>
      </c>
      <c r="G250" s="44" t="s">
        <v>1361</v>
      </c>
      <c r="H250" s="44" t="s">
        <v>9</v>
      </c>
      <c r="I250" s="44" t="s">
        <v>2</v>
      </c>
      <c r="J250" s="72" t="s">
        <v>1228</v>
      </c>
      <c r="K250" s="73">
        <v>30935</v>
      </c>
      <c r="L250" s="30">
        <v>1984</v>
      </c>
      <c r="M250" s="30">
        <f t="shared" si="19"/>
        <v>35</v>
      </c>
      <c r="N250" s="44" t="s">
        <v>3</v>
      </c>
      <c r="O250" s="44" t="s">
        <v>1229</v>
      </c>
      <c r="P250" s="72" t="s">
        <v>1233</v>
      </c>
      <c r="Q250" s="44"/>
      <c r="R250" s="72" t="s">
        <v>1360</v>
      </c>
    </row>
    <row r="251" spans="2:18" s="68" customFormat="1" ht="15" customHeight="1" x14ac:dyDescent="0.2">
      <c r="B251" s="119"/>
      <c r="C251" s="119"/>
      <c r="D251" s="44">
        <v>244</v>
      </c>
      <c r="E251" s="72" t="s">
        <v>1359</v>
      </c>
      <c r="F251" s="44" t="s">
        <v>16</v>
      </c>
      <c r="G251" s="44" t="s">
        <v>1358</v>
      </c>
      <c r="H251" s="44" t="s">
        <v>9</v>
      </c>
      <c r="I251" s="44" t="s">
        <v>13</v>
      </c>
      <c r="J251" s="72" t="s">
        <v>1228</v>
      </c>
      <c r="K251" s="73">
        <v>39846</v>
      </c>
      <c r="L251" s="30">
        <v>2009</v>
      </c>
      <c r="M251" s="30">
        <f t="shared" si="19"/>
        <v>10</v>
      </c>
      <c r="N251" s="44" t="s">
        <v>3</v>
      </c>
      <c r="O251" s="44" t="s">
        <v>1229</v>
      </c>
      <c r="P251" s="72" t="s">
        <v>1320</v>
      </c>
      <c r="Q251" s="44"/>
      <c r="R251" s="72" t="s">
        <v>1357</v>
      </c>
    </row>
    <row r="252" spans="2:18" ht="15" customHeight="1" x14ac:dyDescent="0.2">
      <c r="B252" s="119">
        <v>85</v>
      </c>
      <c r="C252" s="119" t="s">
        <v>1538</v>
      </c>
      <c r="D252" s="44">
        <v>245</v>
      </c>
      <c r="E252" s="72" t="s">
        <v>1539</v>
      </c>
      <c r="F252" s="44" t="s">
        <v>6</v>
      </c>
      <c r="G252" s="44" t="s">
        <v>1541</v>
      </c>
      <c r="H252" s="44" t="s">
        <v>1</v>
      </c>
      <c r="I252" s="44" t="s">
        <v>2</v>
      </c>
      <c r="J252" s="72" t="s">
        <v>1228</v>
      </c>
      <c r="K252" s="73">
        <v>28490</v>
      </c>
      <c r="L252" s="30">
        <v>1977</v>
      </c>
      <c r="M252" s="30">
        <f t="shared" si="19"/>
        <v>42</v>
      </c>
      <c r="N252" s="44" t="s">
        <v>3</v>
      </c>
      <c r="O252" s="44" t="s">
        <v>1229</v>
      </c>
      <c r="P252" s="74" t="s">
        <v>1320</v>
      </c>
      <c r="Q252" s="44"/>
      <c r="R252" s="72" t="s">
        <v>1330</v>
      </c>
    </row>
    <row r="253" spans="2:18" ht="15" customHeight="1" x14ac:dyDescent="0.2">
      <c r="B253" s="119"/>
      <c r="C253" s="119"/>
      <c r="D253" s="44">
        <v>246</v>
      </c>
      <c r="E253" s="72" t="s">
        <v>1540</v>
      </c>
      <c r="F253" s="44" t="s">
        <v>11</v>
      </c>
      <c r="G253" s="44" t="s">
        <v>1542</v>
      </c>
      <c r="H253" s="44" t="s">
        <v>9</v>
      </c>
      <c r="I253" s="44" t="s">
        <v>2</v>
      </c>
      <c r="J253" s="72" t="s">
        <v>1543</v>
      </c>
      <c r="K253" s="73">
        <v>29087</v>
      </c>
      <c r="L253" s="30">
        <v>1979</v>
      </c>
      <c r="M253" s="30">
        <f t="shared" si="19"/>
        <v>40</v>
      </c>
      <c r="N253" s="44" t="s">
        <v>3</v>
      </c>
      <c r="O253" s="44" t="s">
        <v>1229</v>
      </c>
      <c r="P253" s="74" t="s">
        <v>1320</v>
      </c>
      <c r="Q253" s="44"/>
      <c r="R253" s="72" t="s">
        <v>5</v>
      </c>
    </row>
    <row r="254" spans="2:18" ht="15" customHeight="1" x14ac:dyDescent="0.2">
      <c r="B254" s="119">
        <v>86</v>
      </c>
      <c r="C254" s="119" t="s">
        <v>1544</v>
      </c>
      <c r="D254" s="44">
        <v>247</v>
      </c>
      <c r="E254" s="72" t="s">
        <v>292</v>
      </c>
      <c r="F254" s="44" t="s">
        <v>6</v>
      </c>
      <c r="G254" s="44" t="s">
        <v>993</v>
      </c>
      <c r="H254" s="44" t="s">
        <v>9</v>
      </c>
      <c r="I254" s="44" t="s">
        <v>13</v>
      </c>
      <c r="J254" s="72" t="s">
        <v>1228</v>
      </c>
      <c r="K254" s="73">
        <v>33167</v>
      </c>
      <c r="L254" s="30">
        <v>1990</v>
      </c>
      <c r="M254" s="30">
        <f t="shared" si="19"/>
        <v>29</v>
      </c>
      <c r="N254" s="44" t="s">
        <v>3</v>
      </c>
      <c r="O254" s="44" t="s">
        <v>1229</v>
      </c>
      <c r="P254" s="74" t="s">
        <v>1233</v>
      </c>
      <c r="Q254" s="44"/>
      <c r="R254" s="72" t="s">
        <v>5</v>
      </c>
    </row>
    <row r="255" spans="2:18" ht="15" customHeight="1" x14ac:dyDescent="0.2">
      <c r="B255" s="119"/>
      <c r="C255" s="119"/>
      <c r="D255" s="44">
        <v>248</v>
      </c>
      <c r="E255" s="72" t="s">
        <v>1545</v>
      </c>
      <c r="F255" s="44" t="s">
        <v>1419</v>
      </c>
      <c r="G255" s="44" t="s">
        <v>1546</v>
      </c>
      <c r="H255" s="44" t="s">
        <v>1</v>
      </c>
      <c r="I255" s="44" t="s">
        <v>13</v>
      </c>
      <c r="J255" s="72" t="s">
        <v>1228</v>
      </c>
      <c r="K255" s="73">
        <v>32440</v>
      </c>
      <c r="L255" s="30">
        <v>1988</v>
      </c>
      <c r="M255" s="30">
        <f t="shared" si="19"/>
        <v>31</v>
      </c>
      <c r="N255" s="44" t="s">
        <v>3</v>
      </c>
      <c r="O255" s="44" t="s">
        <v>1229</v>
      </c>
      <c r="P255" s="74" t="s">
        <v>1246</v>
      </c>
      <c r="Q255" s="44"/>
      <c r="R255" s="72" t="s">
        <v>1330</v>
      </c>
    </row>
    <row r="256" spans="2:18" ht="25.5" x14ac:dyDescent="0.2">
      <c r="B256" s="119">
        <v>87</v>
      </c>
      <c r="C256" s="119" t="s">
        <v>1552</v>
      </c>
      <c r="D256" s="44">
        <v>249</v>
      </c>
      <c r="E256" s="72" t="s">
        <v>1553</v>
      </c>
      <c r="F256" s="44" t="s">
        <v>6</v>
      </c>
      <c r="G256" s="44" t="s">
        <v>1555</v>
      </c>
      <c r="H256" s="44" t="s">
        <v>9</v>
      </c>
      <c r="I256" s="44" t="s">
        <v>1296</v>
      </c>
      <c r="J256" s="72" t="s">
        <v>1228</v>
      </c>
      <c r="K256" s="73">
        <v>18445</v>
      </c>
      <c r="L256" s="30">
        <v>1950</v>
      </c>
      <c r="M256" s="30">
        <f t="shared" si="19"/>
        <v>69</v>
      </c>
      <c r="N256" s="44" t="s">
        <v>3</v>
      </c>
      <c r="O256" s="44" t="s">
        <v>1229</v>
      </c>
      <c r="P256" s="74" t="s">
        <v>1233</v>
      </c>
      <c r="Q256" s="44"/>
      <c r="R256" s="72" t="s">
        <v>1371</v>
      </c>
    </row>
    <row r="257" spans="2:19" ht="12.75" customHeight="1" x14ac:dyDescent="0.2">
      <c r="B257" s="119"/>
      <c r="C257" s="119"/>
      <c r="D257" s="44">
        <v>250</v>
      </c>
      <c r="E257" s="72" t="s">
        <v>1554</v>
      </c>
      <c r="F257" s="44" t="s">
        <v>1301</v>
      </c>
      <c r="G257" s="44" t="s">
        <v>1556</v>
      </c>
      <c r="H257" s="44" t="s">
        <v>1</v>
      </c>
      <c r="I257" s="44" t="s">
        <v>13</v>
      </c>
      <c r="J257" s="72" t="s">
        <v>1228</v>
      </c>
      <c r="K257" s="73">
        <v>33604</v>
      </c>
      <c r="L257" s="30">
        <v>1992</v>
      </c>
      <c r="M257" s="30">
        <f t="shared" ref="M257:M274" si="21">2019-L257</f>
        <v>27</v>
      </c>
      <c r="N257" s="44" t="s">
        <v>3</v>
      </c>
      <c r="O257" s="44" t="s">
        <v>1229</v>
      </c>
      <c r="P257" s="74" t="s">
        <v>1233</v>
      </c>
      <c r="Q257" s="44"/>
      <c r="R257" s="72" t="s">
        <v>1330</v>
      </c>
    </row>
    <row r="258" spans="2:19" ht="12.75" customHeight="1" x14ac:dyDescent="0.2">
      <c r="B258" s="119"/>
      <c r="C258" s="119"/>
      <c r="D258" s="44">
        <v>251</v>
      </c>
      <c r="E258" s="72" t="s">
        <v>999</v>
      </c>
      <c r="F258" s="44" t="s">
        <v>1419</v>
      </c>
      <c r="G258" s="44" t="s">
        <v>1557</v>
      </c>
      <c r="H258" s="44" t="s">
        <v>1</v>
      </c>
      <c r="I258" s="44" t="s">
        <v>13</v>
      </c>
      <c r="J258" s="72" t="s">
        <v>1228</v>
      </c>
      <c r="K258" s="73">
        <v>22828</v>
      </c>
      <c r="L258" s="30">
        <v>1962</v>
      </c>
      <c r="M258" s="30">
        <f t="shared" si="21"/>
        <v>57</v>
      </c>
      <c r="N258" s="44" t="s">
        <v>3</v>
      </c>
      <c r="O258" s="44" t="s">
        <v>1229</v>
      </c>
      <c r="P258" s="74" t="s">
        <v>1320</v>
      </c>
      <c r="Q258" s="44"/>
      <c r="R258" s="72" t="s">
        <v>1330</v>
      </c>
      <c r="S258" s="34"/>
    </row>
    <row r="259" spans="2:19" ht="12.75" customHeight="1" x14ac:dyDescent="0.2">
      <c r="B259" s="119">
        <v>88</v>
      </c>
      <c r="C259" s="119" t="s">
        <v>1561</v>
      </c>
      <c r="D259" s="44">
        <v>252</v>
      </c>
      <c r="E259" s="72" t="s">
        <v>644</v>
      </c>
      <c r="F259" s="44" t="s">
        <v>6</v>
      </c>
      <c r="G259" s="44" t="s">
        <v>1562</v>
      </c>
      <c r="H259" s="44" t="s">
        <v>1</v>
      </c>
      <c r="I259" s="44" t="s">
        <v>2</v>
      </c>
      <c r="J259" s="72" t="s">
        <v>1228</v>
      </c>
      <c r="K259" s="73">
        <v>33444</v>
      </c>
      <c r="L259" s="30">
        <v>1991</v>
      </c>
      <c r="M259" s="30">
        <f t="shared" si="21"/>
        <v>28</v>
      </c>
      <c r="N259" s="44" t="s">
        <v>3</v>
      </c>
      <c r="O259" s="44" t="s">
        <v>1229</v>
      </c>
      <c r="P259" s="74" t="s">
        <v>1246</v>
      </c>
      <c r="Q259" s="44"/>
      <c r="R259" s="72" t="s">
        <v>1330</v>
      </c>
    </row>
    <row r="260" spans="2:19" ht="12.75" customHeight="1" x14ac:dyDescent="0.2">
      <c r="B260" s="119"/>
      <c r="C260" s="119"/>
      <c r="D260" s="44">
        <v>253</v>
      </c>
      <c r="E260" s="72" t="s">
        <v>646</v>
      </c>
      <c r="F260" s="44" t="s">
        <v>11</v>
      </c>
      <c r="G260" s="44" t="s">
        <v>1563</v>
      </c>
      <c r="H260" s="44" t="s">
        <v>9</v>
      </c>
      <c r="I260" s="44" t="s">
        <v>2</v>
      </c>
      <c r="J260" s="72" t="s">
        <v>1565</v>
      </c>
      <c r="K260" s="73">
        <v>33055</v>
      </c>
      <c r="L260" s="30">
        <v>1990</v>
      </c>
      <c r="M260" s="30">
        <f t="shared" si="21"/>
        <v>29</v>
      </c>
      <c r="N260" s="44" t="s">
        <v>3</v>
      </c>
      <c r="O260" s="44" t="s">
        <v>1229</v>
      </c>
      <c r="P260" s="74" t="s">
        <v>1246</v>
      </c>
      <c r="Q260" s="44"/>
      <c r="R260" s="72" t="s">
        <v>1566</v>
      </c>
    </row>
    <row r="261" spans="2:19" ht="12.75" customHeight="1" x14ac:dyDescent="0.2">
      <c r="B261" s="119"/>
      <c r="C261" s="119"/>
      <c r="D261" s="44">
        <v>254</v>
      </c>
      <c r="E261" s="72" t="s">
        <v>1567</v>
      </c>
      <c r="F261" s="44" t="s">
        <v>16</v>
      </c>
      <c r="G261" s="44" t="s">
        <v>1564</v>
      </c>
      <c r="H261" s="44" t="s">
        <v>1</v>
      </c>
      <c r="I261" s="44" t="s">
        <v>13</v>
      </c>
      <c r="J261" s="72" t="s">
        <v>1466</v>
      </c>
      <c r="K261" s="73">
        <v>42283</v>
      </c>
      <c r="L261" s="30">
        <v>2015</v>
      </c>
      <c r="M261" s="30">
        <f t="shared" si="21"/>
        <v>4</v>
      </c>
      <c r="N261" s="44" t="s">
        <v>3</v>
      </c>
      <c r="O261" s="44" t="s">
        <v>1229</v>
      </c>
      <c r="P261" s="74" t="s">
        <v>1320</v>
      </c>
      <c r="Q261" s="44"/>
      <c r="R261" s="72" t="s">
        <v>1332</v>
      </c>
    </row>
    <row r="262" spans="2:19" ht="12.75" customHeight="1" x14ac:dyDescent="0.2">
      <c r="B262" s="119">
        <v>89</v>
      </c>
      <c r="C262" s="119" t="s">
        <v>1568</v>
      </c>
      <c r="D262" s="44">
        <v>255</v>
      </c>
      <c r="E262" s="72" t="s">
        <v>710</v>
      </c>
      <c r="F262" s="44" t="s">
        <v>6</v>
      </c>
      <c r="G262" s="44" t="s">
        <v>1570</v>
      </c>
      <c r="H262" s="44" t="s">
        <v>1</v>
      </c>
      <c r="I262" s="44" t="s">
        <v>2</v>
      </c>
      <c r="J262" s="72" t="s">
        <v>1228</v>
      </c>
      <c r="K262" s="73">
        <v>18628</v>
      </c>
      <c r="L262" s="30">
        <v>1950</v>
      </c>
      <c r="M262" s="30">
        <f t="shared" si="21"/>
        <v>69</v>
      </c>
      <c r="N262" s="44" t="s">
        <v>3</v>
      </c>
      <c r="O262" s="44" t="s">
        <v>1229</v>
      </c>
      <c r="P262" s="74" t="s">
        <v>1233</v>
      </c>
      <c r="Q262" s="44"/>
      <c r="R262" s="72" t="s">
        <v>1330</v>
      </c>
    </row>
    <row r="263" spans="2:19" ht="12.75" customHeight="1" x14ac:dyDescent="0.2">
      <c r="B263" s="119"/>
      <c r="C263" s="119"/>
      <c r="D263" s="44">
        <v>256</v>
      </c>
      <c r="E263" s="72" t="s">
        <v>711</v>
      </c>
      <c r="F263" s="44" t="s">
        <v>11</v>
      </c>
      <c r="G263" s="44" t="s">
        <v>1571</v>
      </c>
      <c r="H263" s="44" t="s">
        <v>9</v>
      </c>
      <c r="I263" s="44" t="s">
        <v>2</v>
      </c>
      <c r="J263" s="72" t="s">
        <v>1228</v>
      </c>
      <c r="K263" s="73">
        <v>25750</v>
      </c>
      <c r="L263" s="30">
        <v>1970</v>
      </c>
      <c r="M263" s="30">
        <f t="shared" si="21"/>
        <v>49</v>
      </c>
      <c r="N263" s="44" t="s">
        <v>3</v>
      </c>
      <c r="O263" s="44" t="s">
        <v>1229</v>
      </c>
      <c r="P263" s="74" t="s">
        <v>1233</v>
      </c>
      <c r="Q263" s="44"/>
      <c r="R263" s="72" t="s">
        <v>1330</v>
      </c>
    </row>
    <row r="264" spans="2:19" ht="12.75" customHeight="1" x14ac:dyDescent="0.2">
      <c r="B264" s="119"/>
      <c r="C264" s="119"/>
      <c r="D264" s="44">
        <v>257</v>
      </c>
      <c r="E264" s="72" t="s">
        <v>1569</v>
      </c>
      <c r="F264" s="44" t="s">
        <v>16</v>
      </c>
      <c r="G264" s="44" t="s">
        <v>1572</v>
      </c>
      <c r="H264" s="44" t="s">
        <v>1</v>
      </c>
      <c r="I264" s="44" t="s">
        <v>13</v>
      </c>
      <c r="J264" s="72" t="s">
        <v>1228</v>
      </c>
      <c r="K264" s="73">
        <v>41080</v>
      </c>
      <c r="L264" s="30">
        <v>2012</v>
      </c>
      <c r="M264" s="30">
        <f t="shared" si="21"/>
        <v>7</v>
      </c>
      <c r="N264" s="44" t="s">
        <v>3</v>
      </c>
      <c r="O264" s="44" t="s">
        <v>1229</v>
      </c>
      <c r="P264" s="74" t="s">
        <v>1320</v>
      </c>
      <c r="Q264" s="44"/>
      <c r="R264" s="72" t="s">
        <v>1332</v>
      </c>
    </row>
    <row r="265" spans="2:19" ht="12.75" customHeight="1" x14ac:dyDescent="0.2">
      <c r="B265" s="119"/>
      <c r="C265" s="119"/>
      <c r="D265" s="44">
        <v>258</v>
      </c>
      <c r="E265" s="72" t="s">
        <v>713</v>
      </c>
      <c r="F265" s="44" t="s">
        <v>1301</v>
      </c>
      <c r="G265" s="44" t="s">
        <v>1573</v>
      </c>
      <c r="H265" s="44" t="s">
        <v>1</v>
      </c>
      <c r="I265" s="44" t="s">
        <v>13</v>
      </c>
      <c r="J265" s="72" t="s">
        <v>1466</v>
      </c>
      <c r="K265" s="73">
        <v>38077</v>
      </c>
      <c r="L265" s="30">
        <v>2004</v>
      </c>
      <c r="M265" s="30">
        <f t="shared" si="21"/>
        <v>15</v>
      </c>
      <c r="N265" s="44" t="s">
        <v>3</v>
      </c>
      <c r="O265" s="44" t="s">
        <v>1229</v>
      </c>
      <c r="P265" s="74" t="s">
        <v>1246</v>
      </c>
      <c r="Q265" s="44"/>
      <c r="R265" s="72" t="s">
        <v>1326</v>
      </c>
    </row>
    <row r="266" spans="2:19" ht="12.75" customHeight="1" x14ac:dyDescent="0.2">
      <c r="B266" s="119">
        <v>90</v>
      </c>
      <c r="C266" s="119" t="s">
        <v>1574</v>
      </c>
      <c r="D266" s="44">
        <v>259</v>
      </c>
      <c r="E266" s="72" t="s">
        <v>719</v>
      </c>
      <c r="F266" s="44" t="s">
        <v>6</v>
      </c>
      <c r="G266" s="44" t="s">
        <v>720</v>
      </c>
      <c r="H266" s="44" t="s">
        <v>1</v>
      </c>
      <c r="I266" s="44" t="s">
        <v>2</v>
      </c>
      <c r="J266" s="72" t="s">
        <v>1228</v>
      </c>
      <c r="K266" s="73">
        <v>27585</v>
      </c>
      <c r="L266" s="30">
        <v>1975</v>
      </c>
      <c r="M266" s="30">
        <f t="shared" si="21"/>
        <v>44</v>
      </c>
      <c r="N266" s="44" t="s">
        <v>3</v>
      </c>
      <c r="O266" s="44"/>
      <c r="P266" s="74" t="s">
        <v>1233</v>
      </c>
      <c r="Q266" s="44"/>
      <c r="R266" s="72" t="s">
        <v>1330</v>
      </c>
    </row>
    <row r="267" spans="2:19" ht="12.75" customHeight="1" x14ac:dyDescent="0.2">
      <c r="B267" s="119"/>
      <c r="C267" s="119"/>
      <c r="D267" s="44">
        <v>260</v>
      </c>
      <c r="E267" s="72" t="s">
        <v>300</v>
      </c>
      <c r="F267" s="44" t="s">
        <v>11</v>
      </c>
      <c r="G267" s="44" t="s">
        <v>721</v>
      </c>
      <c r="H267" s="44" t="s">
        <v>9</v>
      </c>
      <c r="I267" s="44" t="s">
        <v>2</v>
      </c>
      <c r="J267" s="72" t="s">
        <v>1228</v>
      </c>
      <c r="K267" s="73">
        <v>27942</v>
      </c>
      <c r="L267" s="30">
        <v>1976</v>
      </c>
      <c r="M267" s="30">
        <f t="shared" si="21"/>
        <v>43</v>
      </c>
      <c r="N267" s="44" t="s">
        <v>3</v>
      </c>
      <c r="O267" s="44"/>
      <c r="P267" s="74" t="s">
        <v>1233</v>
      </c>
      <c r="Q267" s="44"/>
      <c r="R267" s="72" t="s">
        <v>1330</v>
      </c>
    </row>
    <row r="268" spans="2:19" ht="12.75" customHeight="1" x14ac:dyDescent="0.2">
      <c r="B268" s="119"/>
      <c r="C268" s="119"/>
      <c r="D268" s="44">
        <v>261</v>
      </c>
      <c r="E268" s="72" t="s">
        <v>722</v>
      </c>
      <c r="F268" s="44" t="s">
        <v>16</v>
      </c>
      <c r="G268" s="44" t="s">
        <v>723</v>
      </c>
      <c r="H268" s="44" t="s">
        <v>9</v>
      </c>
      <c r="I268" s="44" t="s">
        <v>13</v>
      </c>
      <c r="J268" s="72" t="s">
        <v>1577</v>
      </c>
      <c r="K268" s="73">
        <v>37257</v>
      </c>
      <c r="L268" s="30">
        <v>2002</v>
      </c>
      <c r="M268" s="30">
        <f t="shared" si="21"/>
        <v>17</v>
      </c>
      <c r="N268" s="44" t="s">
        <v>3</v>
      </c>
      <c r="O268" s="44"/>
      <c r="P268" s="74" t="s">
        <v>1246</v>
      </c>
      <c r="Q268" s="44"/>
      <c r="R268" s="72" t="s">
        <v>1326</v>
      </c>
    </row>
    <row r="269" spans="2:19" ht="12.75" customHeight="1" x14ac:dyDescent="0.2">
      <c r="B269" s="119"/>
      <c r="C269" s="119"/>
      <c r="D269" s="44">
        <v>262</v>
      </c>
      <c r="E269" s="72" t="s">
        <v>1575</v>
      </c>
      <c r="F269" s="44" t="s">
        <v>16</v>
      </c>
      <c r="G269" s="44" t="s">
        <v>1576</v>
      </c>
      <c r="H269" s="44" t="s">
        <v>1</v>
      </c>
      <c r="I269" s="44" t="s">
        <v>13</v>
      </c>
      <c r="J269" s="72" t="s">
        <v>1577</v>
      </c>
      <c r="K269" s="73">
        <v>39539</v>
      </c>
      <c r="L269" s="30">
        <v>2008</v>
      </c>
      <c r="M269" s="30">
        <f t="shared" si="21"/>
        <v>11</v>
      </c>
      <c r="N269" s="44" t="s">
        <v>3</v>
      </c>
      <c r="O269" s="44"/>
      <c r="P269" s="74" t="s">
        <v>1247</v>
      </c>
      <c r="Q269" s="44"/>
      <c r="R269" s="72" t="s">
        <v>1326</v>
      </c>
    </row>
    <row r="270" spans="2:19" s="32" customFormat="1" ht="12.75" customHeight="1" x14ac:dyDescent="0.2">
      <c r="B270" s="119">
        <v>91</v>
      </c>
      <c r="C270" s="119" t="s">
        <v>1591</v>
      </c>
      <c r="D270" s="44">
        <v>263</v>
      </c>
      <c r="E270" s="72" t="s">
        <v>1592</v>
      </c>
      <c r="F270" s="44" t="s">
        <v>6</v>
      </c>
      <c r="G270" s="44" t="s">
        <v>1595</v>
      </c>
      <c r="H270" s="44" t="s">
        <v>1</v>
      </c>
      <c r="I270" s="44" t="s">
        <v>2</v>
      </c>
      <c r="J270" s="72" t="s">
        <v>1228</v>
      </c>
      <c r="K270" s="73">
        <v>29586</v>
      </c>
      <c r="L270" s="30">
        <v>1980</v>
      </c>
      <c r="M270" s="30">
        <f t="shared" si="21"/>
        <v>39</v>
      </c>
      <c r="N270" s="44" t="s">
        <v>3</v>
      </c>
      <c r="O270" s="44"/>
      <c r="P270" s="74" t="s">
        <v>1233</v>
      </c>
      <c r="Q270" s="44"/>
      <c r="R270" s="72" t="s">
        <v>5</v>
      </c>
    </row>
    <row r="271" spans="2:19" s="32" customFormat="1" ht="12.75" customHeight="1" x14ac:dyDescent="0.2">
      <c r="B271" s="119"/>
      <c r="C271" s="119"/>
      <c r="D271" s="44">
        <v>264</v>
      </c>
      <c r="E271" s="72" t="s">
        <v>838</v>
      </c>
      <c r="F271" s="44" t="s">
        <v>11</v>
      </c>
      <c r="G271" s="44" t="s">
        <v>1596</v>
      </c>
      <c r="H271" s="44" t="s">
        <v>9</v>
      </c>
      <c r="I271" s="44" t="s">
        <v>2</v>
      </c>
      <c r="J271" s="72" t="s">
        <v>1228</v>
      </c>
      <c r="K271" s="73">
        <v>29576</v>
      </c>
      <c r="L271" s="30">
        <v>1980</v>
      </c>
      <c r="M271" s="30">
        <f t="shared" si="21"/>
        <v>39</v>
      </c>
      <c r="N271" s="44" t="s">
        <v>3</v>
      </c>
      <c r="O271" s="44"/>
      <c r="P271" s="74" t="s">
        <v>1246</v>
      </c>
      <c r="Q271" s="44"/>
      <c r="R271" s="72" t="s">
        <v>1360</v>
      </c>
    </row>
    <row r="272" spans="2:19" s="32" customFormat="1" ht="12.75" customHeight="1" x14ac:dyDescent="0.2">
      <c r="B272" s="119"/>
      <c r="C272" s="119"/>
      <c r="D272" s="44">
        <v>265</v>
      </c>
      <c r="E272" s="72" t="s">
        <v>1593</v>
      </c>
      <c r="F272" s="44" t="s">
        <v>16</v>
      </c>
      <c r="G272" s="44" t="s">
        <v>1597</v>
      </c>
      <c r="H272" s="44" t="s">
        <v>9</v>
      </c>
      <c r="I272" s="44" t="s">
        <v>13</v>
      </c>
      <c r="J272" s="72" t="s">
        <v>1228</v>
      </c>
      <c r="K272" s="73">
        <v>37087</v>
      </c>
      <c r="L272" s="30">
        <v>2002</v>
      </c>
      <c r="M272" s="30">
        <f t="shared" si="21"/>
        <v>17</v>
      </c>
      <c r="N272" s="44" t="s">
        <v>3</v>
      </c>
      <c r="O272" s="44"/>
      <c r="P272" s="74" t="s">
        <v>1247</v>
      </c>
      <c r="Q272" s="44"/>
      <c r="R272" s="72" t="s">
        <v>1326</v>
      </c>
    </row>
    <row r="273" spans="2:18" s="32" customFormat="1" ht="12.75" customHeight="1" x14ac:dyDescent="0.2">
      <c r="B273" s="119"/>
      <c r="C273" s="119"/>
      <c r="D273" s="44">
        <v>266</v>
      </c>
      <c r="E273" s="72" t="s">
        <v>1594</v>
      </c>
      <c r="F273" s="44" t="s">
        <v>16</v>
      </c>
      <c r="G273" s="44" t="s">
        <v>839</v>
      </c>
      <c r="H273" s="44" t="s">
        <v>1</v>
      </c>
      <c r="I273" s="44" t="s">
        <v>13</v>
      </c>
      <c r="J273" s="72" t="s">
        <v>1228</v>
      </c>
      <c r="K273" s="73">
        <v>41998</v>
      </c>
      <c r="L273" s="30">
        <v>2014</v>
      </c>
      <c r="M273" s="30">
        <f t="shared" si="21"/>
        <v>5</v>
      </c>
      <c r="N273" s="44" t="s">
        <v>3</v>
      </c>
      <c r="O273" s="44"/>
      <c r="P273" s="74" t="s">
        <v>1320</v>
      </c>
      <c r="Q273" s="44"/>
      <c r="R273" s="72" t="s">
        <v>1332</v>
      </c>
    </row>
    <row r="274" spans="2:18" s="32" customFormat="1" ht="25.5" x14ac:dyDescent="0.2">
      <c r="B274" s="119">
        <v>92</v>
      </c>
      <c r="C274" s="119" t="s">
        <v>1689</v>
      </c>
      <c r="D274" s="44">
        <v>267</v>
      </c>
      <c r="E274" s="72" t="s">
        <v>1115</v>
      </c>
      <c r="F274" s="44" t="s">
        <v>6</v>
      </c>
      <c r="G274" s="44" t="s">
        <v>1691</v>
      </c>
      <c r="H274" s="44" t="s">
        <v>1</v>
      </c>
      <c r="I274" s="44" t="s">
        <v>1296</v>
      </c>
      <c r="J274" s="72" t="s">
        <v>1228</v>
      </c>
      <c r="K274" s="73">
        <v>14793</v>
      </c>
      <c r="L274" s="30">
        <v>1940</v>
      </c>
      <c r="M274" s="30">
        <f t="shared" si="21"/>
        <v>79</v>
      </c>
      <c r="N274" s="44" t="s">
        <v>3</v>
      </c>
      <c r="O274" s="44" t="s">
        <v>1229</v>
      </c>
      <c r="P274" s="74" t="s">
        <v>1320</v>
      </c>
      <c r="Q274" s="44"/>
      <c r="R274" s="72" t="s">
        <v>1330</v>
      </c>
    </row>
    <row r="275" spans="2:18" s="32" customFormat="1" ht="12.75" customHeight="1" x14ac:dyDescent="0.2">
      <c r="B275" s="122"/>
      <c r="C275" s="119"/>
      <c r="D275" s="44">
        <v>268</v>
      </c>
      <c r="E275" s="72" t="s">
        <v>1059</v>
      </c>
      <c r="F275" s="44" t="s">
        <v>16</v>
      </c>
      <c r="G275" s="44" t="s">
        <v>809</v>
      </c>
      <c r="H275" s="44" t="s">
        <v>9</v>
      </c>
      <c r="I275" s="44" t="s">
        <v>2</v>
      </c>
      <c r="J275" s="72" t="s">
        <v>1228</v>
      </c>
      <c r="K275" s="73">
        <v>30681</v>
      </c>
      <c r="L275" s="30">
        <v>1983</v>
      </c>
      <c r="M275" s="30">
        <f t="shared" ref="M275:M279" si="22">2019-L275</f>
        <v>36</v>
      </c>
      <c r="N275" s="44" t="s">
        <v>3</v>
      </c>
      <c r="O275" s="44" t="s">
        <v>1229</v>
      </c>
      <c r="P275" s="74" t="s">
        <v>1247</v>
      </c>
      <c r="Q275" s="44"/>
      <c r="R275" s="72" t="s">
        <v>1330</v>
      </c>
    </row>
    <row r="276" spans="2:18" s="32" customFormat="1" ht="12.75" customHeight="1" x14ac:dyDescent="0.2">
      <c r="B276" s="122"/>
      <c r="C276" s="119"/>
      <c r="D276" s="44">
        <v>269</v>
      </c>
      <c r="E276" s="72" t="s">
        <v>376</v>
      </c>
      <c r="F276" s="44" t="s">
        <v>1301</v>
      </c>
      <c r="G276" s="44" t="s">
        <v>810</v>
      </c>
      <c r="H276" s="44" t="s">
        <v>9</v>
      </c>
      <c r="I276" s="44" t="s">
        <v>13</v>
      </c>
      <c r="J276" s="72" t="s">
        <v>1228</v>
      </c>
      <c r="K276" s="73">
        <v>36578</v>
      </c>
      <c r="L276" s="30">
        <v>2000</v>
      </c>
      <c r="M276" s="30">
        <f t="shared" si="22"/>
        <v>19</v>
      </c>
      <c r="N276" s="44" t="s">
        <v>3</v>
      </c>
      <c r="O276" s="44" t="s">
        <v>1229</v>
      </c>
      <c r="P276" s="74" t="s">
        <v>1233</v>
      </c>
      <c r="Q276" s="44"/>
      <c r="R276" s="72" t="s">
        <v>1326</v>
      </c>
    </row>
    <row r="277" spans="2:18" s="32" customFormat="1" ht="12.75" customHeight="1" x14ac:dyDescent="0.2">
      <c r="B277" s="122"/>
      <c r="C277" s="119"/>
      <c r="D277" s="44">
        <v>270</v>
      </c>
      <c r="E277" s="72" t="s">
        <v>811</v>
      </c>
      <c r="F277" s="44" t="s">
        <v>1301</v>
      </c>
      <c r="G277" s="44" t="s">
        <v>812</v>
      </c>
      <c r="H277" s="44" t="s">
        <v>9</v>
      </c>
      <c r="I277" s="44" t="s">
        <v>13</v>
      </c>
      <c r="J277" s="72" t="s">
        <v>1228</v>
      </c>
      <c r="K277" s="73">
        <v>36748</v>
      </c>
      <c r="L277" s="30">
        <v>2000</v>
      </c>
      <c r="M277" s="30">
        <f t="shared" si="22"/>
        <v>19</v>
      </c>
      <c r="N277" s="44" t="s">
        <v>3</v>
      </c>
      <c r="O277" s="44" t="s">
        <v>1229</v>
      </c>
      <c r="P277" s="74" t="s">
        <v>1233</v>
      </c>
      <c r="Q277" s="44"/>
      <c r="R277" s="72" t="s">
        <v>1326</v>
      </c>
    </row>
    <row r="278" spans="2:18" s="32" customFormat="1" ht="13.5" customHeight="1" x14ac:dyDescent="0.2">
      <c r="B278" s="122"/>
      <c r="C278" s="119"/>
      <c r="D278" s="44">
        <v>271</v>
      </c>
      <c r="E278" s="72" t="s">
        <v>1690</v>
      </c>
      <c r="F278" s="44" t="s">
        <v>1301</v>
      </c>
      <c r="G278" s="44" t="s">
        <v>814</v>
      </c>
      <c r="H278" s="44" t="s">
        <v>9</v>
      </c>
      <c r="I278" s="44" t="s">
        <v>13</v>
      </c>
      <c r="J278" s="72" t="s">
        <v>1228</v>
      </c>
      <c r="K278" s="73">
        <v>37381</v>
      </c>
      <c r="L278" s="30">
        <v>2002</v>
      </c>
      <c r="M278" s="30">
        <f t="shared" si="22"/>
        <v>17</v>
      </c>
      <c r="N278" s="44" t="s">
        <v>3</v>
      </c>
      <c r="O278" s="44" t="s">
        <v>1229</v>
      </c>
      <c r="P278" s="74" t="s">
        <v>1233</v>
      </c>
      <c r="Q278" s="44"/>
      <c r="R278" s="72" t="s">
        <v>1326</v>
      </c>
    </row>
    <row r="279" spans="2:18" s="32" customFormat="1" ht="12.75" customHeight="1" x14ac:dyDescent="0.2">
      <c r="B279" s="119">
        <v>93</v>
      </c>
      <c r="C279" s="119" t="s">
        <v>2226</v>
      </c>
      <c r="D279" s="44">
        <v>272</v>
      </c>
      <c r="E279" s="72" t="s">
        <v>1105</v>
      </c>
      <c r="F279" s="44" t="s">
        <v>6</v>
      </c>
      <c r="G279" s="44" t="s">
        <v>2229</v>
      </c>
      <c r="H279" s="44" t="s">
        <v>1</v>
      </c>
      <c r="I279" s="44" t="s">
        <v>2</v>
      </c>
      <c r="J279" s="72" t="s">
        <v>1228</v>
      </c>
      <c r="K279" s="73">
        <v>32142</v>
      </c>
      <c r="L279" s="30">
        <v>1987</v>
      </c>
      <c r="M279" s="30">
        <f t="shared" si="22"/>
        <v>32</v>
      </c>
      <c r="N279" s="44" t="s">
        <v>3</v>
      </c>
      <c r="O279" s="44" t="s">
        <v>1229</v>
      </c>
      <c r="P279" s="74" t="s">
        <v>1320</v>
      </c>
      <c r="Q279" s="44"/>
      <c r="R279" s="72" t="s">
        <v>1370</v>
      </c>
    </row>
    <row r="280" spans="2:18" s="32" customFormat="1" ht="12.75" customHeight="1" x14ac:dyDescent="0.2">
      <c r="B280" s="119"/>
      <c r="C280" s="119"/>
      <c r="D280" s="44">
        <v>273</v>
      </c>
      <c r="E280" s="72" t="s">
        <v>2227</v>
      </c>
      <c r="F280" s="44" t="s">
        <v>11</v>
      </c>
      <c r="G280" s="44" t="s">
        <v>2230</v>
      </c>
      <c r="H280" s="44" t="s">
        <v>9</v>
      </c>
      <c r="I280" s="44" t="s">
        <v>2</v>
      </c>
      <c r="J280" s="72" t="s">
        <v>1228</v>
      </c>
      <c r="K280" s="73">
        <v>32400</v>
      </c>
      <c r="L280" s="30">
        <v>1988</v>
      </c>
      <c r="M280" s="30">
        <f t="shared" ref="M280:M287" si="23">2019-L280</f>
        <v>31</v>
      </c>
      <c r="N280" s="44" t="s">
        <v>3</v>
      </c>
      <c r="O280" s="44" t="s">
        <v>1229</v>
      </c>
      <c r="P280" s="74" t="s">
        <v>1320</v>
      </c>
      <c r="Q280" s="44"/>
      <c r="R280" s="72" t="s">
        <v>1330</v>
      </c>
    </row>
    <row r="281" spans="2:18" s="32" customFormat="1" ht="15" customHeight="1" x14ac:dyDescent="0.2">
      <c r="B281" s="119"/>
      <c r="C281" s="119"/>
      <c r="D281" s="44">
        <v>274</v>
      </c>
      <c r="E281" s="72" t="s">
        <v>2228</v>
      </c>
      <c r="F281" s="44" t="s">
        <v>16</v>
      </c>
      <c r="G281" s="44" t="s">
        <v>15</v>
      </c>
      <c r="H281" s="44" t="s">
        <v>1</v>
      </c>
      <c r="I281" s="44" t="s">
        <v>13</v>
      </c>
      <c r="J281" s="72" t="s">
        <v>1228</v>
      </c>
      <c r="K281" s="73">
        <v>43119</v>
      </c>
      <c r="L281" s="30">
        <v>2018</v>
      </c>
      <c r="M281" s="30">
        <f t="shared" si="23"/>
        <v>1</v>
      </c>
      <c r="N281" s="44" t="s">
        <v>3</v>
      </c>
      <c r="O281" s="44" t="s">
        <v>1229</v>
      </c>
      <c r="P281" s="74" t="s">
        <v>1320</v>
      </c>
      <c r="Q281" s="44"/>
      <c r="R281" s="72" t="s">
        <v>1332</v>
      </c>
    </row>
    <row r="282" spans="2:18" ht="25.5" x14ac:dyDescent="0.2">
      <c r="B282" s="132">
        <v>94</v>
      </c>
      <c r="C282" s="128"/>
      <c r="D282" s="44">
        <v>275</v>
      </c>
      <c r="E282" s="72" t="s">
        <v>1050</v>
      </c>
      <c r="F282" s="44" t="s">
        <v>6</v>
      </c>
      <c r="G282" s="44" t="s">
        <v>1352</v>
      </c>
      <c r="H282" s="44" t="s">
        <v>1</v>
      </c>
      <c r="I282" s="44" t="s">
        <v>2</v>
      </c>
      <c r="J282" s="72" t="s">
        <v>1228</v>
      </c>
      <c r="K282" s="73">
        <v>33161</v>
      </c>
      <c r="L282" s="30">
        <v>1990</v>
      </c>
      <c r="M282" s="30">
        <f t="shared" si="23"/>
        <v>29</v>
      </c>
      <c r="N282" s="44" t="s">
        <v>3</v>
      </c>
      <c r="O282" s="44" t="s">
        <v>1229</v>
      </c>
      <c r="P282" s="74" t="s">
        <v>4</v>
      </c>
      <c r="Q282" s="44"/>
      <c r="R282" s="72" t="s">
        <v>1330</v>
      </c>
    </row>
    <row r="283" spans="2:18" ht="25.5" x14ac:dyDescent="0.2">
      <c r="B283" s="133"/>
      <c r="C283" s="129"/>
      <c r="D283" s="44">
        <v>276</v>
      </c>
      <c r="E283" s="72" t="s">
        <v>2335</v>
      </c>
      <c r="F283" s="44" t="s">
        <v>11</v>
      </c>
      <c r="G283" s="44" t="s">
        <v>2337</v>
      </c>
      <c r="H283" s="44" t="s">
        <v>9</v>
      </c>
      <c r="I283" s="44" t="s">
        <v>2</v>
      </c>
      <c r="J283" s="72" t="s">
        <v>1452</v>
      </c>
      <c r="K283" s="73">
        <v>36443</v>
      </c>
      <c r="L283" s="30">
        <v>1999</v>
      </c>
      <c r="M283" s="30">
        <f t="shared" si="23"/>
        <v>20</v>
      </c>
      <c r="N283" s="44" t="s">
        <v>3</v>
      </c>
      <c r="O283" s="44" t="s">
        <v>1229</v>
      </c>
      <c r="P283" s="74" t="s">
        <v>1246</v>
      </c>
      <c r="Q283" s="44"/>
      <c r="R283" s="72" t="s">
        <v>1330</v>
      </c>
    </row>
    <row r="284" spans="2:18" ht="25.5" x14ac:dyDescent="0.2">
      <c r="B284" s="134"/>
      <c r="C284" s="130"/>
      <c r="D284" s="44">
        <v>277</v>
      </c>
      <c r="E284" s="72" t="s">
        <v>2336</v>
      </c>
      <c r="F284" s="44" t="s">
        <v>16</v>
      </c>
      <c r="G284" s="44"/>
      <c r="H284" s="44" t="s">
        <v>9</v>
      </c>
      <c r="I284" s="44" t="s">
        <v>13</v>
      </c>
      <c r="J284" s="72" t="s">
        <v>1228</v>
      </c>
      <c r="K284" s="73">
        <v>43242</v>
      </c>
      <c r="L284" s="30">
        <v>2018</v>
      </c>
      <c r="M284" s="30">
        <f t="shared" si="23"/>
        <v>1</v>
      </c>
      <c r="N284" s="44" t="s">
        <v>3</v>
      </c>
      <c r="O284" s="44" t="s">
        <v>1229</v>
      </c>
      <c r="P284" s="74" t="s">
        <v>2338</v>
      </c>
      <c r="Q284" s="44"/>
      <c r="R284" s="72" t="s">
        <v>1819</v>
      </c>
    </row>
    <row r="285" spans="2:18" x14ac:dyDescent="0.2">
      <c r="B285" s="132">
        <v>95</v>
      </c>
      <c r="C285" s="132" t="s">
        <v>2308</v>
      </c>
      <c r="D285" s="44">
        <v>278</v>
      </c>
      <c r="E285" s="72" t="s">
        <v>2309</v>
      </c>
      <c r="F285" s="44" t="s">
        <v>6</v>
      </c>
      <c r="G285" s="44" t="s">
        <v>2312</v>
      </c>
      <c r="H285" s="44" t="s">
        <v>1</v>
      </c>
      <c r="I285" s="44" t="s">
        <v>2</v>
      </c>
      <c r="J285" s="72" t="s">
        <v>1228</v>
      </c>
      <c r="K285" s="73">
        <v>33000</v>
      </c>
      <c r="L285" s="30">
        <v>1990</v>
      </c>
      <c r="M285" s="30">
        <f t="shared" si="23"/>
        <v>29</v>
      </c>
      <c r="N285" s="44" t="s">
        <v>3</v>
      </c>
      <c r="O285" s="44" t="s">
        <v>1229</v>
      </c>
      <c r="P285" s="74" t="s">
        <v>1246</v>
      </c>
      <c r="Q285" s="44"/>
      <c r="R285" s="72" t="s">
        <v>5</v>
      </c>
    </row>
    <row r="286" spans="2:18" ht="25.5" x14ac:dyDescent="0.2">
      <c r="B286" s="133"/>
      <c r="C286" s="133"/>
      <c r="D286" s="44">
        <v>279</v>
      </c>
      <c r="E286" s="72" t="s">
        <v>2310</v>
      </c>
      <c r="F286" s="44" t="s">
        <v>11</v>
      </c>
      <c r="G286" s="44" t="s">
        <v>2313</v>
      </c>
      <c r="H286" s="44" t="s">
        <v>9</v>
      </c>
      <c r="I286" s="44" t="s">
        <v>2</v>
      </c>
      <c r="J286" s="72" t="s">
        <v>2315</v>
      </c>
      <c r="K286" s="73">
        <v>33238</v>
      </c>
      <c r="L286" s="30">
        <v>1990</v>
      </c>
      <c r="M286" s="30">
        <f t="shared" si="23"/>
        <v>29</v>
      </c>
      <c r="N286" s="44" t="s">
        <v>3</v>
      </c>
      <c r="O286" s="44" t="s">
        <v>1229</v>
      </c>
      <c r="P286" s="74" t="s">
        <v>1246</v>
      </c>
      <c r="Q286" s="44"/>
      <c r="R286" s="72" t="s">
        <v>1360</v>
      </c>
    </row>
    <row r="287" spans="2:18" ht="25.5" x14ac:dyDescent="0.2">
      <c r="B287" s="134"/>
      <c r="C287" s="134"/>
      <c r="D287" s="44">
        <v>280</v>
      </c>
      <c r="E287" s="72" t="s">
        <v>2311</v>
      </c>
      <c r="F287" s="44" t="s">
        <v>16</v>
      </c>
      <c r="G287" s="44" t="s">
        <v>2314</v>
      </c>
      <c r="H287" s="44" t="s">
        <v>1</v>
      </c>
      <c r="I287" s="44" t="s">
        <v>13</v>
      </c>
      <c r="J287" s="72" t="s">
        <v>1376</v>
      </c>
      <c r="K287" s="73">
        <v>42654</v>
      </c>
      <c r="L287" s="30">
        <v>2016</v>
      </c>
      <c r="M287" s="30">
        <f t="shared" si="23"/>
        <v>3</v>
      </c>
      <c r="N287" s="44" t="s">
        <v>3</v>
      </c>
      <c r="O287" s="44" t="s">
        <v>1229</v>
      </c>
      <c r="P287" s="74" t="s">
        <v>1320</v>
      </c>
      <c r="Q287" s="44"/>
      <c r="R287" s="72" t="s">
        <v>1819</v>
      </c>
    </row>
    <row r="291" spans="4:18" s="77" customFormat="1" ht="15" x14ac:dyDescent="0.25">
      <c r="D291" s="164" t="s">
        <v>2346</v>
      </c>
      <c r="E291" s="164"/>
      <c r="F291" s="164"/>
      <c r="L291" s="81"/>
      <c r="P291" s="79"/>
      <c r="R291" s="79"/>
    </row>
    <row r="292" spans="4:18" s="77" customFormat="1" ht="15" x14ac:dyDescent="0.25">
      <c r="D292" s="164" t="s">
        <v>2347</v>
      </c>
      <c r="E292" s="164"/>
      <c r="F292" s="164"/>
      <c r="L292" s="81"/>
      <c r="P292" s="157" t="s">
        <v>2348</v>
      </c>
      <c r="Q292" s="157"/>
      <c r="R292" s="79"/>
    </row>
    <row r="293" spans="4:18" s="77" customFormat="1" ht="15" x14ac:dyDescent="0.25">
      <c r="D293" s="165"/>
      <c r="E293" s="165"/>
      <c r="F293" s="165"/>
      <c r="L293" s="81"/>
      <c r="P293" s="166"/>
      <c r="Q293" s="166"/>
      <c r="R293" s="79"/>
    </row>
    <row r="294" spans="4:18" s="77" customFormat="1" ht="15" x14ac:dyDescent="0.25">
      <c r="D294" s="167"/>
      <c r="E294" s="168"/>
      <c r="F294" s="167"/>
      <c r="L294" s="81"/>
      <c r="P294" s="42"/>
      <c r="Q294" s="48"/>
      <c r="R294" s="79"/>
    </row>
    <row r="295" spans="4:18" s="77" customFormat="1" ht="15" x14ac:dyDescent="0.25">
      <c r="D295" s="167"/>
      <c r="E295" s="168"/>
      <c r="F295" s="167"/>
      <c r="L295" s="81"/>
      <c r="P295" s="42"/>
      <c r="Q295" s="48"/>
      <c r="R295" s="79"/>
    </row>
    <row r="296" spans="4:18" s="77" customFormat="1" ht="14.25" x14ac:dyDescent="0.2">
      <c r="D296" s="169" t="s">
        <v>2349</v>
      </c>
      <c r="E296" s="169"/>
      <c r="F296" s="169"/>
      <c r="L296" s="81"/>
      <c r="P296" s="158" t="s">
        <v>128</v>
      </c>
      <c r="Q296" s="158"/>
      <c r="R296" s="79"/>
    </row>
    <row r="297" spans="4:18" s="77" customFormat="1" ht="14.25" x14ac:dyDescent="0.2">
      <c r="D297" s="169" t="s">
        <v>2350</v>
      </c>
      <c r="E297" s="169"/>
      <c r="F297" s="169"/>
      <c r="L297" s="81"/>
      <c r="P297" s="79"/>
      <c r="R297" s="79"/>
    </row>
  </sheetData>
  <autoFilter ref="B7:R287"/>
  <mergeCells count="422">
    <mergeCell ref="D291:F291"/>
    <mergeCell ref="D292:F292"/>
    <mergeCell ref="P292:Q292"/>
    <mergeCell ref="D296:F296"/>
    <mergeCell ref="P296:Q296"/>
    <mergeCell ref="D297:F297"/>
    <mergeCell ref="B282:B284"/>
    <mergeCell ref="B285:B287"/>
    <mergeCell ref="C285:C287"/>
    <mergeCell ref="C282:C284"/>
    <mergeCell ref="B279:B281"/>
    <mergeCell ref="C279:C281"/>
    <mergeCell ref="C204:C206"/>
    <mergeCell ref="S151:X151"/>
    <mergeCell ref="S152:X152"/>
    <mergeCell ref="S153:X153"/>
    <mergeCell ref="S228:X228"/>
    <mergeCell ref="C226:C229"/>
    <mergeCell ref="C211:C214"/>
    <mergeCell ref="C219:C221"/>
    <mergeCell ref="B161:B163"/>
    <mergeCell ref="C161:C163"/>
    <mergeCell ref="S170:X170"/>
    <mergeCell ref="C164:C167"/>
    <mergeCell ref="C158:C160"/>
    <mergeCell ref="S154:X154"/>
    <mergeCell ref="S171:X171"/>
    <mergeCell ref="S173:X173"/>
    <mergeCell ref="S174:X174"/>
    <mergeCell ref="S165:X165"/>
    <mergeCell ref="S160:X160"/>
    <mergeCell ref="S161:X161"/>
    <mergeCell ref="S162:X162"/>
    <mergeCell ref="S163:X163"/>
    <mergeCell ref="S164:X164"/>
    <mergeCell ref="B158:B160"/>
    <mergeCell ref="C183:C186"/>
    <mergeCell ref="S155:X155"/>
    <mergeCell ref="S156:X156"/>
    <mergeCell ref="S157:X157"/>
    <mergeCell ref="S158:X158"/>
    <mergeCell ref="S159:X159"/>
    <mergeCell ref="B152:B157"/>
    <mergeCell ref="C152:C157"/>
    <mergeCell ref="S166:X166"/>
    <mergeCell ref="S167:X167"/>
    <mergeCell ref="B172:B173"/>
    <mergeCell ref="S168:X168"/>
    <mergeCell ref="S169:X169"/>
    <mergeCell ref="B164:B167"/>
    <mergeCell ref="S183:X183"/>
    <mergeCell ref="S184:X184"/>
    <mergeCell ref="S185:X185"/>
    <mergeCell ref="S186:X186"/>
    <mergeCell ref="S50:X50"/>
    <mergeCell ref="S51:X51"/>
    <mergeCell ref="S52:X52"/>
    <mergeCell ref="S53:X53"/>
    <mergeCell ref="S54:X54"/>
    <mergeCell ref="S48:X48"/>
    <mergeCell ref="S49:X49"/>
    <mergeCell ref="B144:B145"/>
    <mergeCell ref="S141:X141"/>
    <mergeCell ref="S142:X142"/>
    <mergeCell ref="S143:X143"/>
    <mergeCell ref="S144:X144"/>
    <mergeCell ref="S145:X145"/>
    <mergeCell ref="C80:C83"/>
    <mergeCell ref="B138:B140"/>
    <mergeCell ref="C138:C140"/>
    <mergeCell ref="S82:X82"/>
    <mergeCell ref="S83:X83"/>
    <mergeCell ref="S62:X62"/>
    <mergeCell ref="B54:B56"/>
    <mergeCell ref="S93:X93"/>
    <mergeCell ref="S94:X94"/>
    <mergeCell ref="S95:X95"/>
    <mergeCell ref="S102:X102"/>
    <mergeCell ref="B36:B37"/>
    <mergeCell ref="B29:B31"/>
    <mergeCell ref="B87:B88"/>
    <mergeCell ref="B49:B50"/>
    <mergeCell ref="S75:X75"/>
    <mergeCell ref="S76:X76"/>
    <mergeCell ref="S77:X77"/>
    <mergeCell ref="S78:X78"/>
    <mergeCell ref="S79:X79"/>
    <mergeCell ref="S85:X85"/>
    <mergeCell ref="S86:X86"/>
    <mergeCell ref="S68:X68"/>
    <mergeCell ref="S80:X80"/>
    <mergeCell ref="S81:X81"/>
    <mergeCell ref="S69:X69"/>
    <mergeCell ref="S70:X70"/>
    <mergeCell ref="S84:X84"/>
    <mergeCell ref="S34:X34"/>
    <mergeCell ref="S35:X35"/>
    <mergeCell ref="S36:X36"/>
    <mergeCell ref="S31:X31"/>
    <mergeCell ref="S32:X32"/>
    <mergeCell ref="S33:X33"/>
    <mergeCell ref="S43:X43"/>
    <mergeCell ref="S14:X14"/>
    <mergeCell ref="S15:X15"/>
    <mergeCell ref="S16:X16"/>
    <mergeCell ref="B17:B18"/>
    <mergeCell ref="S17:X17"/>
    <mergeCell ref="S18:X18"/>
    <mergeCell ref="B8:B13"/>
    <mergeCell ref="S8:X8"/>
    <mergeCell ref="S9:X9"/>
    <mergeCell ref="S10:X10"/>
    <mergeCell ref="S11:X11"/>
    <mergeCell ref="S12:X12"/>
    <mergeCell ref="S13:X13"/>
    <mergeCell ref="C8:C13"/>
    <mergeCell ref="C17:C18"/>
    <mergeCell ref="C14:C16"/>
    <mergeCell ref="S20:X20"/>
    <mergeCell ref="S21:X21"/>
    <mergeCell ref="B22:B23"/>
    <mergeCell ref="S22:X22"/>
    <mergeCell ref="S23:X23"/>
    <mergeCell ref="C19:C21"/>
    <mergeCell ref="C24:C25"/>
    <mergeCell ref="S29:X29"/>
    <mergeCell ref="S30:X30"/>
    <mergeCell ref="S24:X24"/>
    <mergeCell ref="S25:X25"/>
    <mergeCell ref="S26:X26"/>
    <mergeCell ref="S27:X27"/>
    <mergeCell ref="S28:X28"/>
    <mergeCell ref="B19:B21"/>
    <mergeCell ref="S19:X19"/>
    <mergeCell ref="B26:B28"/>
    <mergeCell ref="C26:C28"/>
    <mergeCell ref="C22:C23"/>
    <mergeCell ref="C29:C31"/>
    <mergeCell ref="S45:X45"/>
    <mergeCell ref="S46:X46"/>
    <mergeCell ref="S47:X47"/>
    <mergeCell ref="B38:B40"/>
    <mergeCell ref="S38:X38"/>
    <mergeCell ref="S39:X39"/>
    <mergeCell ref="S40:X40"/>
    <mergeCell ref="B41:B42"/>
    <mergeCell ref="S41:X41"/>
    <mergeCell ref="S42:X42"/>
    <mergeCell ref="C45:C47"/>
    <mergeCell ref="C38:C40"/>
    <mergeCell ref="C36:C37"/>
    <mergeCell ref="S37:X37"/>
    <mergeCell ref="S71:X71"/>
    <mergeCell ref="S72:X72"/>
    <mergeCell ref="S73:X73"/>
    <mergeCell ref="S74:X74"/>
    <mergeCell ref="B67:B70"/>
    <mergeCell ref="B51:B53"/>
    <mergeCell ref="S63:X63"/>
    <mergeCell ref="S64:X64"/>
    <mergeCell ref="S65:X65"/>
    <mergeCell ref="S66:X66"/>
    <mergeCell ref="S67:X67"/>
    <mergeCell ref="B59:B61"/>
    <mergeCell ref="S55:X55"/>
    <mergeCell ref="S56:X56"/>
    <mergeCell ref="S57:X57"/>
    <mergeCell ref="S58:X58"/>
    <mergeCell ref="B63:B66"/>
    <mergeCell ref="S59:X59"/>
    <mergeCell ref="S60:X60"/>
    <mergeCell ref="S61:X61"/>
    <mergeCell ref="S44:X44"/>
    <mergeCell ref="B45:B47"/>
    <mergeCell ref="S103:X103"/>
    <mergeCell ref="S87:X87"/>
    <mergeCell ref="S88:X88"/>
    <mergeCell ref="S100:X100"/>
    <mergeCell ref="S101:X101"/>
    <mergeCell ref="S89:X89"/>
    <mergeCell ref="S90:X90"/>
    <mergeCell ref="S91:X91"/>
    <mergeCell ref="S92:X92"/>
    <mergeCell ref="S96:X96"/>
    <mergeCell ref="S97:X97"/>
    <mergeCell ref="S98:X98"/>
    <mergeCell ref="S99:X99"/>
    <mergeCell ref="S104:X104"/>
    <mergeCell ref="S105:X105"/>
    <mergeCell ref="S106:X106"/>
    <mergeCell ref="S116:X116"/>
    <mergeCell ref="S117:X117"/>
    <mergeCell ref="B122:B124"/>
    <mergeCell ref="S118:X118"/>
    <mergeCell ref="S119:X119"/>
    <mergeCell ref="B112:B115"/>
    <mergeCell ref="C104:C107"/>
    <mergeCell ref="S121:X121"/>
    <mergeCell ref="S122:X122"/>
    <mergeCell ref="S124:X124"/>
    <mergeCell ref="B104:B107"/>
    <mergeCell ref="S108:X108"/>
    <mergeCell ref="S109:X109"/>
    <mergeCell ref="S110:X110"/>
    <mergeCell ref="S111:X111"/>
    <mergeCell ref="S112:X112"/>
    <mergeCell ref="S113:X113"/>
    <mergeCell ref="S114:X114"/>
    <mergeCell ref="S115:X115"/>
    <mergeCell ref="S120:X120"/>
    <mergeCell ref="B108:B111"/>
    <mergeCell ref="S131:X131"/>
    <mergeCell ref="S132:X132"/>
    <mergeCell ref="S133:X133"/>
    <mergeCell ref="S135:X135"/>
    <mergeCell ref="S136:X136"/>
    <mergeCell ref="S137:X137"/>
    <mergeCell ref="B131:B134"/>
    <mergeCell ref="S123:X123"/>
    <mergeCell ref="S134:X134"/>
    <mergeCell ref="S125:X125"/>
    <mergeCell ref="S126:X126"/>
    <mergeCell ref="S127:X127"/>
    <mergeCell ref="S128:X128"/>
    <mergeCell ref="S129:X129"/>
    <mergeCell ref="S130:X130"/>
    <mergeCell ref="C125:C127"/>
    <mergeCell ref="C128:C130"/>
    <mergeCell ref="B128:B130"/>
    <mergeCell ref="C131:C134"/>
    <mergeCell ref="C135:C137"/>
    <mergeCell ref="C122:C124"/>
    <mergeCell ref="S138:X138"/>
    <mergeCell ref="S139:X139"/>
    <mergeCell ref="S140:X140"/>
    <mergeCell ref="S148:X148"/>
    <mergeCell ref="S149:X149"/>
    <mergeCell ref="S150:X150"/>
    <mergeCell ref="C144:C145"/>
    <mergeCell ref="C142:C143"/>
    <mergeCell ref="B142:B143"/>
    <mergeCell ref="C148:C150"/>
    <mergeCell ref="B148:B150"/>
    <mergeCell ref="S146:X146"/>
    <mergeCell ref="S147:X147"/>
    <mergeCell ref="S187:X187"/>
    <mergeCell ref="S175:X175"/>
    <mergeCell ref="S176:X176"/>
    <mergeCell ref="S177:X177"/>
    <mergeCell ref="S178:X178"/>
    <mergeCell ref="B183:B186"/>
    <mergeCell ref="S179:X179"/>
    <mergeCell ref="S181:X181"/>
    <mergeCell ref="S182:X182"/>
    <mergeCell ref="B174:B178"/>
    <mergeCell ref="C174:C178"/>
    <mergeCell ref="B187:B188"/>
    <mergeCell ref="C187:C188"/>
    <mergeCell ref="S193:X193"/>
    <mergeCell ref="S194:X194"/>
    <mergeCell ref="B199:B201"/>
    <mergeCell ref="S195:X195"/>
    <mergeCell ref="S198:X198"/>
    <mergeCell ref="B191:B194"/>
    <mergeCell ref="S188:X188"/>
    <mergeCell ref="S189:X189"/>
    <mergeCell ref="S190:X190"/>
    <mergeCell ref="B195:B198"/>
    <mergeCell ref="S191:X191"/>
    <mergeCell ref="S192:X192"/>
    <mergeCell ref="S196:X196"/>
    <mergeCell ref="C195:C198"/>
    <mergeCell ref="C189:C190"/>
    <mergeCell ref="B189:B190"/>
    <mergeCell ref="C191:C194"/>
    <mergeCell ref="S202:X202"/>
    <mergeCell ref="B207:B210"/>
    <mergeCell ref="S203:X203"/>
    <mergeCell ref="S204:X204"/>
    <mergeCell ref="S205:X205"/>
    <mergeCell ref="S206:X206"/>
    <mergeCell ref="B202:B203"/>
    <mergeCell ref="S199:X199"/>
    <mergeCell ref="S200:X200"/>
    <mergeCell ref="S201:X201"/>
    <mergeCell ref="S207:X207"/>
    <mergeCell ref="S208:X208"/>
    <mergeCell ref="S209:X209"/>
    <mergeCell ref="S210:X210"/>
    <mergeCell ref="C199:C201"/>
    <mergeCell ref="C202:C203"/>
    <mergeCell ref="C207:C210"/>
    <mergeCell ref="S211:X211"/>
    <mergeCell ref="S212:X212"/>
    <mergeCell ref="S213:X213"/>
    <mergeCell ref="S214:X214"/>
    <mergeCell ref="C215:C218"/>
    <mergeCell ref="S221:X221"/>
    <mergeCell ref="S222:X222"/>
    <mergeCell ref="S223:X223"/>
    <mergeCell ref="S225:X225"/>
    <mergeCell ref="S224:X224"/>
    <mergeCell ref="C222:C225"/>
    <mergeCell ref="S226:X226"/>
    <mergeCell ref="S227:X227"/>
    <mergeCell ref="S216:X216"/>
    <mergeCell ref="S217:X217"/>
    <mergeCell ref="B222:B225"/>
    <mergeCell ref="S218:X218"/>
    <mergeCell ref="S219:X219"/>
    <mergeCell ref="S220:X220"/>
    <mergeCell ref="B215:B218"/>
    <mergeCell ref="B219:B221"/>
    <mergeCell ref="S215:X215"/>
    <mergeCell ref="S236:X236"/>
    <mergeCell ref="S237:X237"/>
    <mergeCell ref="S238:X238"/>
    <mergeCell ref="S239:X239"/>
    <mergeCell ref="S240:X240"/>
    <mergeCell ref="S229:X229"/>
    <mergeCell ref="S230:X230"/>
    <mergeCell ref="S231:X231"/>
    <mergeCell ref="S232:X232"/>
    <mergeCell ref="S233:X233"/>
    <mergeCell ref="S234:X234"/>
    <mergeCell ref="S235:X235"/>
    <mergeCell ref="B240:B244"/>
    <mergeCell ref="B236:B239"/>
    <mergeCell ref="B226:B229"/>
    <mergeCell ref="B43:B44"/>
    <mergeCell ref="B24:B25"/>
    <mergeCell ref="B14:B16"/>
    <mergeCell ref="P5:P6"/>
    <mergeCell ref="R5:R6"/>
    <mergeCell ref="F5:F6"/>
    <mergeCell ref="G5:G6"/>
    <mergeCell ref="B5:B6"/>
    <mergeCell ref="E5:E6"/>
    <mergeCell ref="H5:H6"/>
    <mergeCell ref="I5:I6"/>
    <mergeCell ref="B135:B137"/>
    <mergeCell ref="B101:B103"/>
    <mergeCell ref="B84:B86"/>
    <mergeCell ref="N5:N6"/>
    <mergeCell ref="C5:C6"/>
    <mergeCell ref="D5:D6"/>
    <mergeCell ref="J5:L5"/>
    <mergeCell ref="B211:B214"/>
    <mergeCell ref="B73:B74"/>
    <mergeCell ref="B75:B78"/>
    <mergeCell ref="C254:C255"/>
    <mergeCell ref="B249:B251"/>
    <mergeCell ref="C249:C251"/>
    <mergeCell ref="C84:C86"/>
    <mergeCell ref="B245:B248"/>
    <mergeCell ref="C245:C248"/>
    <mergeCell ref="C112:C115"/>
    <mergeCell ref="C169:C171"/>
    <mergeCell ref="B169:B171"/>
    <mergeCell ref="C236:C239"/>
    <mergeCell ref="C91:C92"/>
    <mergeCell ref="C172:C173"/>
    <mergeCell ref="B116:B118"/>
    <mergeCell ref="C116:C118"/>
    <mergeCell ref="B120:B121"/>
    <mergeCell ref="C240:C244"/>
    <mergeCell ref="C101:C103"/>
    <mergeCell ref="C87:C88"/>
    <mergeCell ref="B93:B96"/>
    <mergeCell ref="B91:B92"/>
    <mergeCell ref="B97:B99"/>
    <mergeCell ref="C97:C99"/>
    <mergeCell ref="C89:C90"/>
    <mergeCell ref="C120:C121"/>
    <mergeCell ref="B274:B278"/>
    <mergeCell ref="C274:C278"/>
    <mergeCell ref="B179:B181"/>
    <mergeCell ref="C179:C181"/>
    <mergeCell ref="B71:B72"/>
    <mergeCell ref="B89:B90"/>
    <mergeCell ref="B125:B127"/>
    <mergeCell ref="B204:B206"/>
    <mergeCell ref="B230:B232"/>
    <mergeCell ref="B256:B258"/>
    <mergeCell ref="C256:C258"/>
    <mergeCell ref="B259:B261"/>
    <mergeCell ref="C259:C261"/>
    <mergeCell ref="B262:B265"/>
    <mergeCell ref="C262:C265"/>
    <mergeCell ref="B266:B269"/>
    <mergeCell ref="C266:C269"/>
    <mergeCell ref="B270:B273"/>
    <mergeCell ref="C270:C273"/>
    <mergeCell ref="B233:B235"/>
    <mergeCell ref="C233:C235"/>
    <mergeCell ref="B252:B253"/>
    <mergeCell ref="C252:C253"/>
    <mergeCell ref="B254:B255"/>
    <mergeCell ref="B1:R1"/>
    <mergeCell ref="B2:R2"/>
    <mergeCell ref="C230:C232"/>
    <mergeCell ref="C41:C42"/>
    <mergeCell ref="C43:C44"/>
    <mergeCell ref="C49:C50"/>
    <mergeCell ref="C54:C56"/>
    <mergeCell ref="C59:C61"/>
    <mergeCell ref="C67:C70"/>
    <mergeCell ref="C71:C72"/>
    <mergeCell ref="C73:C74"/>
    <mergeCell ref="C75:C78"/>
    <mergeCell ref="C57:C58"/>
    <mergeCell ref="C63:C66"/>
    <mergeCell ref="B57:B58"/>
    <mergeCell ref="M5:M6"/>
    <mergeCell ref="O5:O6"/>
    <mergeCell ref="Q5:Q6"/>
    <mergeCell ref="C108:C111"/>
    <mergeCell ref="C51:C53"/>
    <mergeCell ref="C93:C96"/>
    <mergeCell ref="B80:B83"/>
    <mergeCell ref="B32:B35"/>
    <mergeCell ref="C32:C35"/>
  </mergeCells>
  <pageMargins left="1.37795275590551" right="0.196850393700787" top="0.39370078740157499" bottom="0.643700787" header="0.31496062992126" footer="0.31496062992126"/>
  <pageSetup paperSize="10000" scale="82" orientation="landscape" horizontalDpi="360" verticalDpi="360" r:id="rId1"/>
  <headerFooter>
    <oddFooter>&amp;C&amp;"-,Bold"&amp;12&amp;P</oddFooter>
  </headerFooter>
  <rowBreaks count="1" manualBreakCount="1">
    <brk id="211" min="1" max="1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73"/>
  <sheetViews>
    <sheetView zoomScaleNormal="100" workbookViewId="0">
      <pane ySplit="6" topLeftCell="A7" activePane="bottomLeft" state="frozen"/>
      <selection pane="bottomLeft" activeCell="H40" sqref="H40"/>
    </sheetView>
  </sheetViews>
  <sheetFormatPr defaultRowHeight="12.75" x14ac:dyDescent="0.2"/>
  <cols>
    <col min="1" max="1" width="9.140625" style="31"/>
    <col min="2" max="2" width="3.140625" style="31" customWidth="1"/>
    <col min="3" max="3" width="15.7109375" style="31" customWidth="1"/>
    <col min="4" max="4" width="6.7109375" style="35" customWidth="1"/>
    <col min="5" max="5" width="12.7109375" style="89" customWidth="1"/>
    <col min="6" max="6" width="9.7109375" style="31" customWidth="1"/>
    <col min="7" max="7" width="15.7109375" style="31" customWidth="1"/>
    <col min="8" max="8" width="7.7109375" style="31" customWidth="1"/>
    <col min="9" max="9" width="10.7109375" style="31" customWidth="1"/>
    <col min="10" max="10" width="13.7109375" style="89" customWidth="1"/>
    <col min="11" max="11" width="16.140625" style="31" bestFit="1" customWidth="1"/>
    <col min="12" max="12" width="5.42578125" style="31" customWidth="1"/>
    <col min="13" max="13" width="4.42578125" style="31" customWidth="1"/>
    <col min="14" max="14" width="6.42578125" style="31" customWidth="1"/>
    <col min="15" max="15" width="5.85546875" style="31" bestFit="1" customWidth="1"/>
    <col min="16" max="16" width="16.7109375" style="89" customWidth="1"/>
    <col min="17" max="17" width="7.5703125" style="31" customWidth="1"/>
    <col min="18" max="18" width="15.7109375" style="89" customWidth="1"/>
    <col min="19" max="16384" width="9.140625" style="31"/>
  </cols>
  <sheetData>
    <row r="1" spans="2:18" s="41" customFormat="1" ht="15.75" x14ac:dyDescent="0.25">
      <c r="B1" s="118" t="s">
        <v>2339</v>
      </c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</row>
    <row r="2" spans="2:18" s="41" customFormat="1" ht="15.75" x14ac:dyDescent="0.25">
      <c r="B2" s="118" t="s">
        <v>2340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</row>
    <row r="3" spans="2:18" s="41" customFormat="1" ht="15.75" x14ac:dyDescent="0.25">
      <c r="B3" s="107" t="s">
        <v>2307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</row>
    <row r="4" spans="2:18" ht="16.5" thickBot="1" x14ac:dyDescent="0.25">
      <c r="B4" s="107" t="s">
        <v>2344</v>
      </c>
    </row>
    <row r="5" spans="2:18" ht="20.100000000000001" customHeight="1" x14ac:dyDescent="0.2">
      <c r="B5" s="136" t="s">
        <v>347</v>
      </c>
      <c r="C5" s="142" t="s">
        <v>1224</v>
      </c>
      <c r="D5" s="138" t="s">
        <v>1225</v>
      </c>
      <c r="E5" s="138" t="s">
        <v>2341</v>
      </c>
      <c r="F5" s="138" t="s">
        <v>354</v>
      </c>
      <c r="G5" s="144" t="s">
        <v>355</v>
      </c>
      <c r="H5" s="138" t="s">
        <v>349</v>
      </c>
      <c r="I5" s="138" t="s">
        <v>350</v>
      </c>
      <c r="J5" s="142" t="s">
        <v>1207</v>
      </c>
      <c r="K5" s="142"/>
      <c r="L5" s="142"/>
      <c r="M5" s="143" t="s">
        <v>1217</v>
      </c>
      <c r="N5" s="142" t="s">
        <v>351</v>
      </c>
      <c r="O5" s="142" t="s">
        <v>1211</v>
      </c>
      <c r="P5" s="138" t="s">
        <v>352</v>
      </c>
      <c r="Q5" s="142" t="s">
        <v>1212</v>
      </c>
      <c r="R5" s="138" t="s">
        <v>353</v>
      </c>
    </row>
    <row r="6" spans="2:18" ht="20.100000000000001" customHeight="1" x14ac:dyDescent="0.2">
      <c r="B6" s="137"/>
      <c r="C6" s="121"/>
      <c r="D6" s="124"/>
      <c r="E6" s="124"/>
      <c r="F6" s="124"/>
      <c r="G6" s="125"/>
      <c r="H6" s="124"/>
      <c r="I6" s="124"/>
      <c r="J6" s="83" t="s">
        <v>1208</v>
      </c>
      <c r="K6" s="84" t="s">
        <v>1209</v>
      </c>
      <c r="L6" s="85" t="s">
        <v>1210</v>
      </c>
      <c r="M6" s="120"/>
      <c r="N6" s="121"/>
      <c r="O6" s="121"/>
      <c r="P6" s="124"/>
      <c r="Q6" s="121"/>
      <c r="R6" s="124"/>
    </row>
    <row r="7" spans="2:18" x14ac:dyDescent="0.2">
      <c r="B7" s="97"/>
      <c r="C7" s="86"/>
      <c r="D7" s="86"/>
      <c r="E7" s="83"/>
      <c r="F7" s="86"/>
      <c r="G7" s="87"/>
      <c r="H7" s="86"/>
      <c r="I7" s="86"/>
      <c r="J7" s="83"/>
      <c r="K7" s="84"/>
      <c r="L7" s="85"/>
      <c r="M7" s="85"/>
      <c r="N7" s="86"/>
      <c r="O7" s="86"/>
      <c r="P7" s="83"/>
      <c r="Q7" s="86"/>
      <c r="R7" s="83"/>
    </row>
    <row r="8" spans="2:18" ht="25.5" x14ac:dyDescent="0.2">
      <c r="B8" s="135">
        <v>1</v>
      </c>
      <c r="C8" s="119" t="s">
        <v>2274</v>
      </c>
      <c r="D8" s="44">
        <v>1</v>
      </c>
      <c r="E8" s="72" t="s">
        <v>0</v>
      </c>
      <c r="F8" s="44" t="s">
        <v>6</v>
      </c>
      <c r="G8" s="44" t="s">
        <v>7</v>
      </c>
      <c r="H8" s="44" t="s">
        <v>1</v>
      </c>
      <c r="I8" s="44" t="s">
        <v>2</v>
      </c>
      <c r="J8" s="72" t="s">
        <v>1232</v>
      </c>
      <c r="K8" s="73">
        <v>26424</v>
      </c>
      <c r="L8" s="30">
        <v>1972</v>
      </c>
      <c r="M8" s="30">
        <f t="shared" ref="M8:M77" si="0">2019-L8</f>
        <v>47</v>
      </c>
      <c r="N8" s="44" t="s">
        <v>3</v>
      </c>
      <c r="O8" s="44" t="s">
        <v>1229</v>
      </c>
      <c r="P8" s="72" t="s">
        <v>1246</v>
      </c>
      <c r="Q8" s="44"/>
      <c r="R8" s="72" t="s">
        <v>5</v>
      </c>
    </row>
    <row r="9" spans="2:18" ht="25.5" x14ac:dyDescent="0.2">
      <c r="B9" s="135"/>
      <c r="C9" s="119"/>
      <c r="D9" s="44">
        <v>2</v>
      </c>
      <c r="E9" s="72" t="s">
        <v>8</v>
      </c>
      <c r="F9" s="44" t="s">
        <v>11</v>
      </c>
      <c r="G9" s="44" t="s">
        <v>12</v>
      </c>
      <c r="H9" s="44" t="s">
        <v>9</v>
      </c>
      <c r="I9" s="44" t="s">
        <v>2</v>
      </c>
      <c r="J9" s="72" t="s">
        <v>1232</v>
      </c>
      <c r="K9" s="73">
        <v>27759</v>
      </c>
      <c r="L9" s="30">
        <v>1975</v>
      </c>
      <c r="M9" s="30">
        <f t="shared" si="0"/>
        <v>44</v>
      </c>
      <c r="N9" s="44" t="s">
        <v>3</v>
      </c>
      <c r="O9" s="44" t="s">
        <v>1229</v>
      </c>
      <c r="P9" s="72" t="s">
        <v>1233</v>
      </c>
      <c r="Q9" s="44"/>
      <c r="R9" s="72" t="s">
        <v>1360</v>
      </c>
    </row>
    <row r="10" spans="2:18" ht="25.5" x14ac:dyDescent="0.2">
      <c r="B10" s="135"/>
      <c r="C10" s="119"/>
      <c r="D10" s="44">
        <v>3</v>
      </c>
      <c r="E10" s="72" t="s">
        <v>2267</v>
      </c>
      <c r="F10" s="44" t="s">
        <v>11</v>
      </c>
      <c r="G10" s="44" t="s">
        <v>2271</v>
      </c>
      <c r="H10" s="44" t="s">
        <v>9</v>
      </c>
      <c r="I10" s="44" t="s">
        <v>2</v>
      </c>
      <c r="J10" s="72" t="s">
        <v>2273</v>
      </c>
      <c r="K10" s="73">
        <v>31412</v>
      </c>
      <c r="L10" s="30">
        <v>1985</v>
      </c>
      <c r="M10" s="30">
        <f t="shared" si="0"/>
        <v>34</v>
      </c>
      <c r="N10" s="44" t="s">
        <v>3</v>
      </c>
      <c r="O10" s="44" t="s">
        <v>1229</v>
      </c>
      <c r="P10" s="72" t="s">
        <v>1246</v>
      </c>
      <c r="Q10" s="44"/>
      <c r="R10" s="72" t="s">
        <v>1360</v>
      </c>
    </row>
    <row r="11" spans="2:18" x14ac:dyDescent="0.2">
      <c r="B11" s="135"/>
      <c r="C11" s="119"/>
      <c r="D11" s="44">
        <v>4</v>
      </c>
      <c r="E11" s="72" t="s">
        <v>2268</v>
      </c>
      <c r="F11" s="44" t="s">
        <v>16</v>
      </c>
      <c r="G11" s="44" t="s">
        <v>17</v>
      </c>
      <c r="H11" s="44" t="s">
        <v>9</v>
      </c>
      <c r="I11" s="44" t="s">
        <v>13</v>
      </c>
      <c r="J11" s="72" t="s">
        <v>1232</v>
      </c>
      <c r="K11" s="73">
        <v>36769</v>
      </c>
      <c r="L11" s="30">
        <v>2000</v>
      </c>
      <c r="M11" s="30">
        <f t="shared" si="0"/>
        <v>19</v>
      </c>
      <c r="N11" s="44" t="s">
        <v>3</v>
      </c>
      <c r="O11" s="44" t="s">
        <v>1229</v>
      </c>
      <c r="P11" s="72" t="s">
        <v>1246</v>
      </c>
      <c r="Q11" s="44"/>
      <c r="R11" s="72" t="s">
        <v>1822</v>
      </c>
    </row>
    <row r="12" spans="2:18" ht="25.5" x14ac:dyDescent="0.2">
      <c r="B12" s="135"/>
      <c r="C12" s="119"/>
      <c r="D12" s="44">
        <v>5</v>
      </c>
      <c r="E12" s="72" t="s">
        <v>2269</v>
      </c>
      <c r="F12" s="44" t="s">
        <v>16</v>
      </c>
      <c r="G12" s="44" t="s">
        <v>2272</v>
      </c>
      <c r="H12" s="44" t="s">
        <v>9</v>
      </c>
      <c r="I12" s="44" t="s">
        <v>13</v>
      </c>
      <c r="J12" s="72" t="s">
        <v>1232</v>
      </c>
      <c r="K12" s="73">
        <v>39658</v>
      </c>
      <c r="L12" s="30">
        <v>2008</v>
      </c>
      <c r="M12" s="30">
        <f t="shared" si="0"/>
        <v>11</v>
      </c>
      <c r="N12" s="44" t="s">
        <v>3</v>
      </c>
      <c r="O12" s="44" t="s">
        <v>1229</v>
      </c>
      <c r="P12" s="72" t="s">
        <v>1247</v>
      </c>
      <c r="Q12" s="44"/>
      <c r="R12" s="72" t="s">
        <v>1822</v>
      </c>
    </row>
    <row r="13" spans="2:18" ht="38.25" x14ac:dyDescent="0.2">
      <c r="B13" s="135"/>
      <c r="C13" s="119"/>
      <c r="D13" s="44">
        <v>6</v>
      </c>
      <c r="E13" s="72" t="s">
        <v>2270</v>
      </c>
      <c r="F13" s="44" t="s">
        <v>16</v>
      </c>
      <c r="G13" s="44" t="s">
        <v>18</v>
      </c>
      <c r="H13" s="44" t="s">
        <v>1</v>
      </c>
      <c r="I13" s="44" t="s">
        <v>13</v>
      </c>
      <c r="J13" s="72" t="s">
        <v>1232</v>
      </c>
      <c r="K13" s="73">
        <v>40828</v>
      </c>
      <c r="L13" s="30">
        <v>2011</v>
      </c>
      <c r="M13" s="30">
        <f t="shared" si="0"/>
        <v>8</v>
      </c>
      <c r="N13" s="44" t="s">
        <v>3</v>
      </c>
      <c r="O13" s="44" t="s">
        <v>1229</v>
      </c>
      <c r="P13" s="72" t="s">
        <v>1258</v>
      </c>
      <c r="Q13" s="44"/>
      <c r="R13" s="72" t="s">
        <v>1332</v>
      </c>
    </row>
    <row r="14" spans="2:18" ht="25.5" x14ac:dyDescent="0.2">
      <c r="B14" s="135">
        <v>2</v>
      </c>
      <c r="C14" s="119" t="s">
        <v>2237</v>
      </c>
      <c r="D14" s="44">
        <v>7</v>
      </c>
      <c r="E14" s="72" t="s">
        <v>2238</v>
      </c>
      <c r="F14" s="44" t="s">
        <v>6</v>
      </c>
      <c r="G14" s="44" t="s">
        <v>22</v>
      </c>
      <c r="H14" s="44" t="s">
        <v>1</v>
      </c>
      <c r="I14" s="44" t="s">
        <v>2</v>
      </c>
      <c r="J14" s="72" t="s">
        <v>2240</v>
      </c>
      <c r="K14" s="73">
        <v>24289</v>
      </c>
      <c r="L14" s="30">
        <v>1966</v>
      </c>
      <c r="M14" s="30">
        <f t="shared" si="0"/>
        <v>53</v>
      </c>
      <c r="N14" s="44" t="s">
        <v>3</v>
      </c>
      <c r="O14" s="44" t="s">
        <v>1229</v>
      </c>
      <c r="P14" s="72" t="s">
        <v>1270</v>
      </c>
      <c r="Q14" s="44"/>
      <c r="R14" s="72" t="s">
        <v>1330</v>
      </c>
    </row>
    <row r="15" spans="2:18" ht="25.5" x14ac:dyDescent="0.2">
      <c r="B15" s="135"/>
      <c r="C15" s="119"/>
      <c r="D15" s="44">
        <v>8</v>
      </c>
      <c r="E15" s="72" t="s">
        <v>23</v>
      </c>
      <c r="F15" s="44" t="s">
        <v>11</v>
      </c>
      <c r="G15" s="44" t="s">
        <v>24</v>
      </c>
      <c r="H15" s="44" t="s">
        <v>9</v>
      </c>
      <c r="I15" s="44" t="s">
        <v>2</v>
      </c>
      <c r="J15" s="72" t="s">
        <v>1232</v>
      </c>
      <c r="K15" s="73">
        <v>24654</v>
      </c>
      <c r="L15" s="30">
        <v>1967</v>
      </c>
      <c r="M15" s="30">
        <f t="shared" si="0"/>
        <v>52</v>
      </c>
      <c r="N15" s="44" t="s">
        <v>3</v>
      </c>
      <c r="O15" s="44" t="s">
        <v>1229</v>
      </c>
      <c r="P15" s="72" t="s">
        <v>1258</v>
      </c>
      <c r="Q15" s="44"/>
      <c r="R15" s="72" t="s">
        <v>1360</v>
      </c>
    </row>
    <row r="16" spans="2:18" ht="25.5" x14ac:dyDescent="0.2">
      <c r="B16" s="135"/>
      <c r="C16" s="119"/>
      <c r="D16" s="44">
        <v>9</v>
      </c>
      <c r="E16" s="72" t="s">
        <v>2239</v>
      </c>
      <c r="F16" s="44" t="s">
        <v>16</v>
      </c>
      <c r="G16" s="44" t="s">
        <v>26</v>
      </c>
      <c r="H16" s="44" t="s">
        <v>1</v>
      </c>
      <c r="I16" s="44" t="s">
        <v>13</v>
      </c>
      <c r="J16" s="72" t="s">
        <v>1232</v>
      </c>
      <c r="K16" s="73">
        <v>32508</v>
      </c>
      <c r="L16" s="30">
        <v>1988</v>
      </c>
      <c r="M16" s="30">
        <f t="shared" si="0"/>
        <v>31</v>
      </c>
      <c r="N16" s="44" t="s">
        <v>3</v>
      </c>
      <c r="O16" s="44" t="s">
        <v>1229</v>
      </c>
      <c r="P16" s="72" t="s">
        <v>1672</v>
      </c>
      <c r="Q16" s="44"/>
      <c r="R16" s="72" t="s">
        <v>1822</v>
      </c>
    </row>
    <row r="17" spans="2:18" x14ac:dyDescent="0.2">
      <c r="B17" s="135"/>
      <c r="C17" s="119"/>
      <c r="D17" s="44">
        <v>10</v>
      </c>
      <c r="E17" s="72" t="s">
        <v>27</v>
      </c>
      <c r="F17" s="44" t="s">
        <v>16</v>
      </c>
      <c r="G17" s="44" t="s">
        <v>29</v>
      </c>
      <c r="H17" s="44" t="s">
        <v>1</v>
      </c>
      <c r="I17" s="44" t="s">
        <v>2</v>
      </c>
      <c r="J17" s="72" t="s">
        <v>1232</v>
      </c>
      <c r="K17" s="73">
        <v>34115</v>
      </c>
      <c r="L17" s="30">
        <v>1993</v>
      </c>
      <c r="M17" s="30">
        <f t="shared" si="0"/>
        <v>26</v>
      </c>
      <c r="N17" s="44" t="s">
        <v>3</v>
      </c>
      <c r="O17" s="44" t="s">
        <v>1229</v>
      </c>
      <c r="P17" s="72" t="s">
        <v>1270</v>
      </c>
      <c r="Q17" s="44"/>
      <c r="R17" s="72" t="s">
        <v>1822</v>
      </c>
    </row>
    <row r="18" spans="2:18" ht="25.5" x14ac:dyDescent="0.2">
      <c r="B18" s="135"/>
      <c r="C18" s="119"/>
      <c r="D18" s="44">
        <v>11</v>
      </c>
      <c r="E18" s="72" t="s">
        <v>30</v>
      </c>
      <c r="F18" s="44" t="s">
        <v>16</v>
      </c>
      <c r="G18" s="44" t="s">
        <v>31</v>
      </c>
      <c r="H18" s="44" t="s">
        <v>9</v>
      </c>
      <c r="I18" s="44" t="s">
        <v>2</v>
      </c>
      <c r="J18" s="72" t="s">
        <v>1232</v>
      </c>
      <c r="K18" s="73">
        <v>38578</v>
      </c>
      <c r="L18" s="30">
        <v>2005</v>
      </c>
      <c r="M18" s="30">
        <f t="shared" si="0"/>
        <v>14</v>
      </c>
      <c r="N18" s="44" t="s">
        <v>3</v>
      </c>
      <c r="O18" s="44" t="s">
        <v>1229</v>
      </c>
      <c r="P18" s="72" t="s">
        <v>1247</v>
      </c>
      <c r="Q18" s="44"/>
      <c r="R18" s="72" t="s">
        <v>1822</v>
      </c>
    </row>
    <row r="19" spans="2:18" x14ac:dyDescent="0.2">
      <c r="B19" s="90">
        <v>3</v>
      </c>
      <c r="C19" s="44"/>
      <c r="D19" s="44">
        <v>12</v>
      </c>
      <c r="E19" s="72" t="s">
        <v>32</v>
      </c>
      <c r="F19" s="44" t="s">
        <v>6</v>
      </c>
      <c r="G19" s="44" t="s">
        <v>35</v>
      </c>
      <c r="H19" s="44" t="s">
        <v>33</v>
      </c>
      <c r="I19" s="44" t="s">
        <v>2</v>
      </c>
      <c r="J19" s="72"/>
      <c r="K19" s="73">
        <v>39859</v>
      </c>
      <c r="L19" s="30">
        <f>YEAR(K19)</f>
        <v>2009</v>
      </c>
      <c r="M19" s="30">
        <f t="shared" si="0"/>
        <v>10</v>
      </c>
      <c r="N19" s="44" t="s">
        <v>3</v>
      </c>
      <c r="O19" s="44"/>
      <c r="P19" s="72" t="s">
        <v>15</v>
      </c>
      <c r="Q19" s="44"/>
      <c r="R19" s="72" t="s">
        <v>34</v>
      </c>
    </row>
    <row r="20" spans="2:18" x14ac:dyDescent="0.2">
      <c r="B20" s="135">
        <v>4</v>
      </c>
      <c r="C20" s="119"/>
      <c r="D20" s="44">
        <v>13</v>
      </c>
      <c r="E20" s="72" t="s">
        <v>36</v>
      </c>
      <c r="F20" s="44" t="s">
        <v>6</v>
      </c>
      <c r="G20" s="44" t="s">
        <v>37</v>
      </c>
      <c r="H20" s="44" t="s">
        <v>1</v>
      </c>
      <c r="I20" s="44" t="s">
        <v>2</v>
      </c>
      <c r="J20" s="72"/>
      <c r="K20" s="73">
        <v>41164</v>
      </c>
      <c r="L20" s="30">
        <f t="shared" ref="L20:L23" si="1">YEAR(K20)</f>
        <v>2012</v>
      </c>
      <c r="M20" s="30">
        <f t="shared" si="0"/>
        <v>7</v>
      </c>
      <c r="N20" s="44" t="s">
        <v>3</v>
      </c>
      <c r="O20" s="44"/>
      <c r="P20" s="72" t="s">
        <v>15</v>
      </c>
      <c r="Q20" s="44"/>
      <c r="R20" s="72" t="s">
        <v>5</v>
      </c>
    </row>
    <row r="21" spans="2:18" x14ac:dyDescent="0.2">
      <c r="B21" s="135"/>
      <c r="C21" s="119"/>
      <c r="D21" s="44">
        <v>14</v>
      </c>
      <c r="E21" s="72" t="s">
        <v>38</v>
      </c>
      <c r="F21" s="44" t="s">
        <v>11</v>
      </c>
      <c r="G21" s="44" t="s">
        <v>39</v>
      </c>
      <c r="H21" s="44" t="s">
        <v>9</v>
      </c>
      <c r="I21" s="44" t="s">
        <v>2</v>
      </c>
      <c r="J21" s="72"/>
      <c r="K21" s="73">
        <v>27759</v>
      </c>
      <c r="L21" s="30">
        <f t="shared" si="1"/>
        <v>1975</v>
      </c>
      <c r="M21" s="30">
        <f t="shared" si="0"/>
        <v>44</v>
      </c>
      <c r="N21" s="44" t="s">
        <v>3</v>
      </c>
      <c r="O21" s="44"/>
      <c r="P21" s="72" t="s">
        <v>15</v>
      </c>
      <c r="Q21" s="44"/>
      <c r="R21" s="72" t="s">
        <v>34</v>
      </c>
    </row>
    <row r="22" spans="2:18" x14ac:dyDescent="0.2">
      <c r="B22" s="135"/>
      <c r="C22" s="119"/>
      <c r="D22" s="44">
        <v>15</v>
      </c>
      <c r="E22" s="72" t="s">
        <v>40</v>
      </c>
      <c r="F22" s="44" t="s">
        <v>16</v>
      </c>
      <c r="G22" s="44" t="s">
        <v>41</v>
      </c>
      <c r="H22" s="44" t="s">
        <v>1</v>
      </c>
      <c r="I22" s="44" t="s">
        <v>2</v>
      </c>
      <c r="J22" s="72"/>
      <c r="K22" s="73">
        <v>28157</v>
      </c>
      <c r="L22" s="30">
        <f t="shared" si="1"/>
        <v>1977</v>
      </c>
      <c r="M22" s="30">
        <f t="shared" si="0"/>
        <v>42</v>
      </c>
      <c r="N22" s="44" t="s">
        <v>3</v>
      </c>
      <c r="O22" s="44"/>
      <c r="P22" s="72" t="s">
        <v>14</v>
      </c>
      <c r="Q22" s="44"/>
      <c r="R22" s="72" t="s">
        <v>15</v>
      </c>
    </row>
    <row r="23" spans="2:18" ht="25.5" x14ac:dyDescent="0.2">
      <c r="B23" s="135"/>
      <c r="C23" s="119"/>
      <c r="D23" s="44">
        <v>16</v>
      </c>
      <c r="E23" s="72" t="s">
        <v>42</v>
      </c>
      <c r="F23" s="44" t="s">
        <v>16</v>
      </c>
      <c r="G23" s="44" t="s">
        <v>43</v>
      </c>
      <c r="H23" s="44" t="s">
        <v>9</v>
      </c>
      <c r="I23" s="44" t="s">
        <v>2</v>
      </c>
      <c r="J23" s="72"/>
      <c r="K23" s="73">
        <v>37256</v>
      </c>
      <c r="L23" s="30">
        <f t="shared" si="1"/>
        <v>2001</v>
      </c>
      <c r="M23" s="30">
        <f t="shared" si="0"/>
        <v>18</v>
      </c>
      <c r="N23" s="44" t="s">
        <v>3</v>
      </c>
      <c r="O23" s="44"/>
      <c r="P23" s="72" t="s">
        <v>15</v>
      </c>
      <c r="Q23" s="44"/>
      <c r="R23" s="72" t="s">
        <v>15</v>
      </c>
    </row>
    <row r="24" spans="2:18" x14ac:dyDescent="0.2">
      <c r="B24" s="135">
        <v>5</v>
      </c>
      <c r="C24" s="119" t="s">
        <v>1814</v>
      </c>
      <c r="D24" s="44">
        <v>17</v>
      </c>
      <c r="E24" s="72" t="s">
        <v>44</v>
      </c>
      <c r="F24" s="44" t="s">
        <v>6</v>
      </c>
      <c r="G24" s="44" t="s">
        <v>46</v>
      </c>
      <c r="H24" s="44" t="s">
        <v>1</v>
      </c>
      <c r="I24" s="44" t="s">
        <v>2</v>
      </c>
      <c r="J24" s="72" t="s">
        <v>1232</v>
      </c>
      <c r="K24" s="73">
        <v>25934</v>
      </c>
      <c r="L24" s="30">
        <v>1971</v>
      </c>
      <c r="M24" s="30">
        <f t="shared" si="0"/>
        <v>48</v>
      </c>
      <c r="N24" s="44" t="s">
        <v>3</v>
      </c>
      <c r="O24" s="44" t="s">
        <v>1229</v>
      </c>
      <c r="P24" s="72" t="s">
        <v>1246</v>
      </c>
      <c r="Q24" s="44"/>
      <c r="R24" s="72" t="s">
        <v>1815</v>
      </c>
    </row>
    <row r="25" spans="2:18" x14ac:dyDescent="0.2">
      <c r="B25" s="135"/>
      <c r="C25" s="119"/>
      <c r="D25" s="44">
        <v>18</v>
      </c>
      <c r="E25" s="72" t="s">
        <v>47</v>
      </c>
      <c r="F25" s="44" t="s">
        <v>11</v>
      </c>
      <c r="G25" s="44" t="s">
        <v>1816</v>
      </c>
      <c r="H25" s="44" t="s">
        <v>9</v>
      </c>
      <c r="I25" s="44" t="s">
        <v>2</v>
      </c>
      <c r="J25" s="72" t="s">
        <v>1817</v>
      </c>
      <c r="K25" s="73">
        <v>29408</v>
      </c>
      <c r="L25" s="30">
        <v>1980</v>
      </c>
      <c r="M25" s="30">
        <f t="shared" si="0"/>
        <v>39</v>
      </c>
      <c r="N25" s="44" t="s">
        <v>3</v>
      </c>
      <c r="O25" s="44" t="s">
        <v>1229</v>
      </c>
      <c r="P25" s="72" t="s">
        <v>1246</v>
      </c>
      <c r="Q25" s="44"/>
      <c r="R25" s="72" t="s">
        <v>1815</v>
      </c>
    </row>
    <row r="26" spans="2:18" ht="25.5" x14ac:dyDescent="0.2">
      <c r="B26" s="135"/>
      <c r="C26" s="119"/>
      <c r="D26" s="44">
        <v>19</v>
      </c>
      <c r="E26" s="72" t="s">
        <v>2254</v>
      </c>
      <c r="F26" s="44" t="s">
        <v>16</v>
      </c>
      <c r="G26" s="44" t="s">
        <v>2259</v>
      </c>
      <c r="H26" s="44" t="s">
        <v>1</v>
      </c>
      <c r="I26" s="44" t="s">
        <v>13</v>
      </c>
      <c r="J26" s="72" t="s">
        <v>2264</v>
      </c>
      <c r="K26" s="73">
        <v>37118</v>
      </c>
      <c r="L26" s="30">
        <v>2001</v>
      </c>
      <c r="M26" s="30">
        <f t="shared" si="0"/>
        <v>18</v>
      </c>
      <c r="N26" s="44" t="s">
        <v>3</v>
      </c>
      <c r="O26" s="44" t="s">
        <v>1229</v>
      </c>
      <c r="P26" s="72" t="s">
        <v>1233</v>
      </c>
      <c r="Q26" s="44"/>
      <c r="R26" s="72" t="s">
        <v>1822</v>
      </c>
    </row>
    <row r="27" spans="2:18" ht="25.5" x14ac:dyDescent="0.2">
      <c r="B27" s="135"/>
      <c r="C27" s="119"/>
      <c r="D27" s="44">
        <v>20</v>
      </c>
      <c r="E27" s="72" t="s">
        <v>2255</v>
      </c>
      <c r="F27" s="44" t="s">
        <v>16</v>
      </c>
      <c r="G27" s="44" t="s">
        <v>2260</v>
      </c>
      <c r="H27" s="44" t="s">
        <v>9</v>
      </c>
      <c r="I27" s="44" t="s">
        <v>13</v>
      </c>
      <c r="J27" s="72" t="s">
        <v>1232</v>
      </c>
      <c r="K27" s="73">
        <v>37778</v>
      </c>
      <c r="L27" s="30">
        <v>2003</v>
      </c>
      <c r="M27" s="30">
        <f t="shared" ref="M27:M28" si="2">2019-L27</f>
        <v>16</v>
      </c>
      <c r="N27" s="44" t="s">
        <v>3</v>
      </c>
      <c r="O27" s="44" t="s">
        <v>1229</v>
      </c>
      <c r="P27" s="72" t="s">
        <v>1247</v>
      </c>
      <c r="Q27" s="44"/>
      <c r="R27" s="72" t="s">
        <v>1822</v>
      </c>
    </row>
    <row r="28" spans="2:18" ht="25.5" x14ac:dyDescent="0.2">
      <c r="B28" s="135"/>
      <c r="C28" s="119"/>
      <c r="D28" s="44">
        <v>21</v>
      </c>
      <c r="E28" s="72" t="s">
        <v>2256</v>
      </c>
      <c r="F28" s="44" t="s">
        <v>16</v>
      </c>
      <c r="G28" s="44" t="s">
        <v>2261</v>
      </c>
      <c r="H28" s="44" t="s">
        <v>9</v>
      </c>
      <c r="I28" s="44" t="s">
        <v>13</v>
      </c>
      <c r="J28" s="72" t="s">
        <v>2265</v>
      </c>
      <c r="K28" s="73">
        <v>39159</v>
      </c>
      <c r="L28" s="30">
        <v>2007</v>
      </c>
      <c r="M28" s="30">
        <f t="shared" si="2"/>
        <v>12</v>
      </c>
      <c r="N28" s="44" t="s">
        <v>3</v>
      </c>
      <c r="O28" s="44" t="s">
        <v>1229</v>
      </c>
      <c r="P28" s="72" t="s">
        <v>1258</v>
      </c>
      <c r="Q28" s="44"/>
      <c r="R28" s="72" t="s">
        <v>1332</v>
      </c>
    </row>
    <row r="29" spans="2:18" ht="25.5" x14ac:dyDescent="0.2">
      <c r="B29" s="135"/>
      <c r="C29" s="119"/>
      <c r="D29" s="44">
        <v>22</v>
      </c>
      <c r="E29" s="72" t="s">
        <v>2257</v>
      </c>
      <c r="F29" s="44" t="s">
        <v>16</v>
      </c>
      <c r="G29" s="44" t="s">
        <v>2262</v>
      </c>
      <c r="H29" s="44" t="s">
        <v>1</v>
      </c>
      <c r="I29" s="44" t="s">
        <v>13</v>
      </c>
      <c r="J29" s="72" t="s">
        <v>2266</v>
      </c>
      <c r="K29" s="73">
        <v>39268</v>
      </c>
      <c r="L29" s="30">
        <v>2007</v>
      </c>
      <c r="M29" s="30">
        <f t="shared" ref="M29:M30" si="3">2019-L29</f>
        <v>12</v>
      </c>
      <c r="N29" s="44" t="s">
        <v>3</v>
      </c>
      <c r="O29" s="44" t="s">
        <v>1229</v>
      </c>
      <c r="P29" s="72" t="s">
        <v>1258</v>
      </c>
      <c r="Q29" s="44"/>
      <c r="R29" s="72" t="s">
        <v>1332</v>
      </c>
    </row>
    <row r="30" spans="2:18" ht="25.5" x14ac:dyDescent="0.2">
      <c r="B30" s="135"/>
      <c r="C30" s="119"/>
      <c r="D30" s="44">
        <v>23</v>
      </c>
      <c r="E30" s="72" t="s">
        <v>48</v>
      </c>
      <c r="F30" s="44" t="s">
        <v>16</v>
      </c>
      <c r="G30" s="44" t="s">
        <v>49</v>
      </c>
      <c r="H30" s="44" t="s">
        <v>1</v>
      </c>
      <c r="I30" s="44" t="s">
        <v>13</v>
      </c>
      <c r="J30" s="72" t="s">
        <v>1818</v>
      </c>
      <c r="K30" s="73">
        <v>41702</v>
      </c>
      <c r="L30" s="30">
        <v>2014</v>
      </c>
      <c r="M30" s="30">
        <f t="shared" si="3"/>
        <v>5</v>
      </c>
      <c r="N30" s="44" t="s">
        <v>3</v>
      </c>
      <c r="O30" s="44" t="s">
        <v>1229</v>
      </c>
      <c r="P30" s="72" t="s">
        <v>1258</v>
      </c>
      <c r="Q30" s="44"/>
      <c r="R30" s="72" t="s">
        <v>1332</v>
      </c>
    </row>
    <row r="31" spans="2:18" ht="38.25" x14ac:dyDescent="0.2">
      <c r="B31" s="135"/>
      <c r="C31" s="119"/>
      <c r="D31" s="44">
        <v>24</v>
      </c>
      <c r="E31" s="72" t="s">
        <v>2258</v>
      </c>
      <c r="F31" s="44" t="s">
        <v>16</v>
      </c>
      <c r="G31" s="44" t="s">
        <v>2263</v>
      </c>
      <c r="H31" s="44" t="s">
        <v>1</v>
      </c>
      <c r="I31" s="44" t="s">
        <v>13</v>
      </c>
      <c r="J31" s="72" t="s">
        <v>2265</v>
      </c>
      <c r="K31" s="73">
        <v>43285</v>
      </c>
      <c r="L31" s="30">
        <v>2018</v>
      </c>
      <c r="M31" s="30">
        <f t="shared" ref="M31" si="4">2019-L31</f>
        <v>1</v>
      </c>
      <c r="N31" s="44" t="s">
        <v>3</v>
      </c>
      <c r="O31" s="44" t="s">
        <v>1229</v>
      </c>
      <c r="P31" s="72" t="s">
        <v>1258</v>
      </c>
      <c r="Q31" s="44"/>
      <c r="R31" s="72" t="s">
        <v>1332</v>
      </c>
    </row>
    <row r="32" spans="2:18" ht="25.5" x14ac:dyDescent="0.2">
      <c r="B32" s="135">
        <v>6</v>
      </c>
      <c r="C32" s="119" t="s">
        <v>1820</v>
      </c>
      <c r="D32" s="44">
        <v>25</v>
      </c>
      <c r="E32" s="72" t="s">
        <v>1693</v>
      </c>
      <c r="F32" s="44" t="s">
        <v>6</v>
      </c>
      <c r="G32" s="44" t="s">
        <v>1821</v>
      </c>
      <c r="H32" s="44" t="s">
        <v>1</v>
      </c>
      <c r="I32" s="44" t="s">
        <v>2</v>
      </c>
      <c r="J32" s="72" t="s">
        <v>1232</v>
      </c>
      <c r="K32" s="73">
        <v>20454</v>
      </c>
      <c r="L32" s="30">
        <v>1995</v>
      </c>
      <c r="M32" s="30">
        <f t="shared" si="0"/>
        <v>24</v>
      </c>
      <c r="N32" s="44" t="s">
        <v>3</v>
      </c>
      <c r="O32" s="44" t="s">
        <v>1229</v>
      </c>
      <c r="P32" s="72" t="s">
        <v>1233</v>
      </c>
      <c r="Q32" s="44"/>
      <c r="R32" s="72" t="s">
        <v>5</v>
      </c>
    </row>
    <row r="33" spans="2:18" ht="25.5" x14ac:dyDescent="0.2">
      <c r="B33" s="135"/>
      <c r="C33" s="119"/>
      <c r="D33" s="44">
        <v>26</v>
      </c>
      <c r="E33" s="72" t="s">
        <v>50</v>
      </c>
      <c r="F33" s="44" t="s">
        <v>11</v>
      </c>
      <c r="G33" s="44" t="s">
        <v>51</v>
      </c>
      <c r="H33" s="44" t="s">
        <v>9</v>
      </c>
      <c r="I33" s="44" t="s">
        <v>2</v>
      </c>
      <c r="J33" s="72" t="s">
        <v>1232</v>
      </c>
      <c r="K33" s="73">
        <v>21925</v>
      </c>
      <c r="L33" s="30">
        <v>1960</v>
      </c>
      <c r="M33" s="30">
        <f t="shared" si="0"/>
        <v>59</v>
      </c>
      <c r="N33" s="44" t="s">
        <v>3</v>
      </c>
      <c r="O33" s="44" t="s">
        <v>1229</v>
      </c>
      <c r="P33" s="72" t="s">
        <v>1233</v>
      </c>
      <c r="Q33" s="44"/>
      <c r="R33" s="72" t="s">
        <v>5</v>
      </c>
    </row>
    <row r="34" spans="2:18" x14ac:dyDescent="0.2">
      <c r="B34" s="135"/>
      <c r="C34" s="119"/>
      <c r="D34" s="44">
        <v>27</v>
      </c>
      <c r="E34" s="72" t="s">
        <v>52</v>
      </c>
      <c r="F34" s="44" t="s">
        <v>16</v>
      </c>
      <c r="G34" s="44" t="s">
        <v>53</v>
      </c>
      <c r="H34" s="44" t="s">
        <v>9</v>
      </c>
      <c r="I34" s="44" t="s">
        <v>13</v>
      </c>
      <c r="J34" s="72" t="s">
        <v>1232</v>
      </c>
      <c r="K34" s="73">
        <v>34829</v>
      </c>
      <c r="L34" s="30">
        <v>1995</v>
      </c>
      <c r="M34" s="30">
        <f t="shared" si="0"/>
        <v>24</v>
      </c>
      <c r="N34" s="44" t="s">
        <v>3</v>
      </c>
      <c r="O34" s="44" t="s">
        <v>1229</v>
      </c>
      <c r="P34" s="72" t="s">
        <v>1270</v>
      </c>
      <c r="Q34" s="44"/>
      <c r="R34" s="72" t="s">
        <v>1822</v>
      </c>
    </row>
    <row r="35" spans="2:18" ht="25.5" x14ac:dyDescent="0.2">
      <c r="B35" s="135"/>
      <c r="C35" s="119"/>
      <c r="D35" s="44">
        <v>28</v>
      </c>
      <c r="E35" s="72" t="s">
        <v>1823</v>
      </c>
      <c r="F35" s="44" t="s">
        <v>16</v>
      </c>
      <c r="G35" s="44" t="s">
        <v>55</v>
      </c>
      <c r="H35" s="44" t="s">
        <v>9</v>
      </c>
      <c r="I35" s="44" t="s">
        <v>13</v>
      </c>
      <c r="J35" s="72" t="s">
        <v>1232</v>
      </c>
      <c r="K35" s="73">
        <v>40393</v>
      </c>
      <c r="L35" s="30">
        <v>2010</v>
      </c>
      <c r="M35" s="30">
        <f t="shared" si="0"/>
        <v>9</v>
      </c>
      <c r="N35" s="44" t="s">
        <v>3</v>
      </c>
      <c r="O35" s="44" t="s">
        <v>1229</v>
      </c>
      <c r="P35" s="72" t="s">
        <v>1258</v>
      </c>
      <c r="Q35" s="44"/>
      <c r="R35" s="72" t="s">
        <v>1822</v>
      </c>
    </row>
    <row r="36" spans="2:18" x14ac:dyDescent="0.2">
      <c r="B36" s="135">
        <v>7</v>
      </c>
      <c r="C36" s="119" t="s">
        <v>1824</v>
      </c>
      <c r="D36" s="44">
        <v>29</v>
      </c>
      <c r="E36" s="72" t="s">
        <v>1825</v>
      </c>
      <c r="F36" s="44" t="s">
        <v>6</v>
      </c>
      <c r="G36" s="44" t="s">
        <v>56</v>
      </c>
      <c r="H36" s="44" t="s">
        <v>1</v>
      </c>
      <c r="I36" s="44"/>
      <c r="J36" s="72" t="s">
        <v>1232</v>
      </c>
      <c r="K36" s="73">
        <v>22281</v>
      </c>
      <c r="L36" s="30">
        <v>1960</v>
      </c>
      <c r="M36" s="30">
        <f t="shared" si="0"/>
        <v>59</v>
      </c>
      <c r="N36" s="44" t="s">
        <v>3</v>
      </c>
      <c r="O36" s="44" t="s">
        <v>1229</v>
      </c>
      <c r="P36" s="72" t="s">
        <v>14</v>
      </c>
      <c r="Q36" s="44"/>
      <c r="R36" s="72" t="s">
        <v>5</v>
      </c>
    </row>
    <row r="37" spans="2:18" ht="25.5" x14ac:dyDescent="0.2">
      <c r="B37" s="135"/>
      <c r="C37" s="119"/>
      <c r="D37" s="44">
        <v>30</v>
      </c>
      <c r="E37" s="72" t="s">
        <v>57</v>
      </c>
      <c r="F37" s="44" t="s">
        <v>11</v>
      </c>
      <c r="G37" s="44" t="s">
        <v>1826</v>
      </c>
      <c r="H37" s="44" t="s">
        <v>9</v>
      </c>
      <c r="I37" s="44"/>
      <c r="J37" s="72" t="s">
        <v>1232</v>
      </c>
      <c r="K37" s="73">
        <v>31412</v>
      </c>
      <c r="L37" s="30">
        <v>1985</v>
      </c>
      <c r="M37" s="30">
        <f t="shared" si="0"/>
        <v>34</v>
      </c>
      <c r="N37" s="44" t="s">
        <v>3</v>
      </c>
      <c r="O37" s="44" t="s">
        <v>1229</v>
      </c>
      <c r="P37" s="72" t="s">
        <v>1233</v>
      </c>
      <c r="Q37" s="44"/>
      <c r="R37" s="72" t="s">
        <v>1360</v>
      </c>
    </row>
    <row r="38" spans="2:18" ht="25.5" x14ac:dyDescent="0.2">
      <c r="B38" s="135"/>
      <c r="C38" s="119"/>
      <c r="D38" s="44">
        <v>31</v>
      </c>
      <c r="E38" s="72" t="s">
        <v>1827</v>
      </c>
      <c r="F38" s="44" t="s">
        <v>16</v>
      </c>
      <c r="G38" s="44" t="s">
        <v>58</v>
      </c>
      <c r="H38" s="44" t="s">
        <v>9</v>
      </c>
      <c r="I38" s="44" t="s">
        <v>13</v>
      </c>
      <c r="J38" s="72" t="s">
        <v>1232</v>
      </c>
      <c r="K38" s="73">
        <v>33243</v>
      </c>
      <c r="L38" s="30">
        <v>1991</v>
      </c>
      <c r="M38" s="30">
        <f t="shared" si="0"/>
        <v>28</v>
      </c>
      <c r="N38" s="44" t="s">
        <v>3</v>
      </c>
      <c r="O38" s="44" t="s">
        <v>1229</v>
      </c>
      <c r="P38" s="72" t="s">
        <v>1233</v>
      </c>
      <c r="Q38" s="44"/>
      <c r="R38" s="72" t="s">
        <v>1822</v>
      </c>
    </row>
    <row r="39" spans="2:18" ht="25.5" x14ac:dyDescent="0.2">
      <c r="B39" s="135"/>
      <c r="C39" s="119"/>
      <c r="D39" s="44">
        <v>32</v>
      </c>
      <c r="E39" s="72" t="s">
        <v>1828</v>
      </c>
      <c r="F39" s="44" t="s">
        <v>16</v>
      </c>
      <c r="G39" s="44" t="s">
        <v>59</v>
      </c>
      <c r="H39" s="44" t="s">
        <v>9</v>
      </c>
      <c r="I39" s="44" t="s">
        <v>13</v>
      </c>
      <c r="J39" s="72" t="s">
        <v>1232</v>
      </c>
      <c r="K39" s="73">
        <v>40668</v>
      </c>
      <c r="L39" s="30">
        <v>2011</v>
      </c>
      <c r="M39" s="30">
        <f t="shared" si="0"/>
        <v>8</v>
      </c>
      <c r="N39" s="44" t="s">
        <v>3</v>
      </c>
      <c r="O39" s="44" t="s">
        <v>1229</v>
      </c>
      <c r="P39" s="72" t="s">
        <v>1258</v>
      </c>
      <c r="Q39" s="44"/>
      <c r="R39" s="72" t="s">
        <v>1822</v>
      </c>
    </row>
    <row r="40" spans="2:18" ht="25.5" x14ac:dyDescent="0.2">
      <c r="B40" s="135">
        <v>8</v>
      </c>
      <c r="C40" s="119" t="s">
        <v>1829</v>
      </c>
      <c r="D40" s="44">
        <v>33</v>
      </c>
      <c r="E40" s="72" t="s">
        <v>60</v>
      </c>
      <c r="F40" s="44" t="s">
        <v>6</v>
      </c>
      <c r="G40" s="44" t="s">
        <v>61</v>
      </c>
      <c r="H40" s="44" t="s">
        <v>1</v>
      </c>
      <c r="I40" s="44" t="s">
        <v>2</v>
      </c>
      <c r="J40" s="72" t="s">
        <v>1232</v>
      </c>
      <c r="K40" s="73">
        <v>16802</v>
      </c>
      <c r="L40" s="30">
        <v>1945</v>
      </c>
      <c r="M40" s="30">
        <f t="shared" si="0"/>
        <v>74</v>
      </c>
      <c r="N40" s="44" t="s">
        <v>3</v>
      </c>
      <c r="O40" s="44" t="s">
        <v>1229</v>
      </c>
      <c r="P40" s="72" t="s">
        <v>1233</v>
      </c>
      <c r="Q40" s="44"/>
      <c r="R40" s="72" t="s">
        <v>5</v>
      </c>
    </row>
    <row r="41" spans="2:18" ht="25.5" x14ac:dyDescent="0.2">
      <c r="B41" s="135"/>
      <c r="C41" s="119"/>
      <c r="D41" s="44">
        <v>34</v>
      </c>
      <c r="E41" s="72" t="s">
        <v>62</v>
      </c>
      <c r="F41" s="44" t="s">
        <v>11</v>
      </c>
      <c r="G41" s="44" t="s">
        <v>63</v>
      </c>
      <c r="H41" s="44" t="s">
        <v>9</v>
      </c>
      <c r="I41" s="44" t="s">
        <v>2</v>
      </c>
      <c r="J41" s="72" t="s">
        <v>1232</v>
      </c>
      <c r="K41" s="73">
        <v>17167</v>
      </c>
      <c r="L41" s="30">
        <v>1946</v>
      </c>
      <c r="M41" s="30">
        <f t="shared" si="0"/>
        <v>73</v>
      </c>
      <c r="N41" s="44" t="s">
        <v>3</v>
      </c>
      <c r="O41" s="44" t="s">
        <v>1229</v>
      </c>
      <c r="P41" s="72" t="s">
        <v>1233</v>
      </c>
      <c r="Q41" s="44"/>
      <c r="R41" s="72" t="s">
        <v>290</v>
      </c>
    </row>
    <row r="42" spans="2:18" x14ac:dyDescent="0.2">
      <c r="B42" s="135"/>
      <c r="C42" s="119"/>
      <c r="D42" s="44">
        <v>35</v>
      </c>
      <c r="E42" s="72" t="s">
        <v>64</v>
      </c>
      <c r="F42" s="44" t="s">
        <v>16</v>
      </c>
      <c r="G42" s="44" t="s">
        <v>65</v>
      </c>
      <c r="H42" s="44" t="s">
        <v>9</v>
      </c>
      <c r="I42" s="44" t="s">
        <v>13</v>
      </c>
      <c r="J42" s="72" t="s">
        <v>1232</v>
      </c>
      <c r="K42" s="73">
        <v>36342</v>
      </c>
      <c r="L42" s="30">
        <v>1999</v>
      </c>
      <c r="M42" s="30">
        <f t="shared" si="0"/>
        <v>20</v>
      </c>
      <c r="N42" s="44" t="s">
        <v>3</v>
      </c>
      <c r="O42" s="44" t="s">
        <v>1229</v>
      </c>
      <c r="P42" s="72" t="s">
        <v>1246</v>
      </c>
      <c r="Q42" s="44"/>
      <c r="R42" s="72" t="s">
        <v>1822</v>
      </c>
    </row>
    <row r="43" spans="2:18" x14ac:dyDescent="0.2">
      <c r="B43" s="135">
        <v>9</v>
      </c>
      <c r="C43" s="119" t="s">
        <v>1830</v>
      </c>
      <c r="D43" s="44">
        <v>36</v>
      </c>
      <c r="E43" s="72" t="s">
        <v>1831</v>
      </c>
      <c r="F43" s="44" t="s">
        <v>6</v>
      </c>
      <c r="G43" s="44" t="s">
        <v>66</v>
      </c>
      <c r="H43" s="44" t="s">
        <v>1</v>
      </c>
      <c r="I43" s="44" t="s">
        <v>2</v>
      </c>
      <c r="J43" s="72" t="s">
        <v>1232</v>
      </c>
      <c r="K43" s="73">
        <v>33620</v>
      </c>
      <c r="L43" s="30">
        <v>1992</v>
      </c>
      <c r="M43" s="30">
        <f t="shared" si="0"/>
        <v>27</v>
      </c>
      <c r="N43" s="44" t="s">
        <v>3</v>
      </c>
      <c r="O43" s="44" t="s">
        <v>1229</v>
      </c>
      <c r="P43" s="72" t="s">
        <v>1246</v>
      </c>
      <c r="Q43" s="44"/>
      <c r="R43" s="72" t="s">
        <v>5</v>
      </c>
    </row>
    <row r="44" spans="2:18" ht="25.5" x14ac:dyDescent="0.2">
      <c r="B44" s="135"/>
      <c r="C44" s="119"/>
      <c r="D44" s="44">
        <v>37</v>
      </c>
      <c r="E44" s="72" t="s">
        <v>67</v>
      </c>
      <c r="F44" s="44" t="s">
        <v>11</v>
      </c>
      <c r="G44" s="44" t="s">
        <v>68</v>
      </c>
      <c r="H44" s="44" t="s">
        <v>9</v>
      </c>
      <c r="I44" s="44" t="s">
        <v>2</v>
      </c>
      <c r="J44" s="72" t="s">
        <v>1832</v>
      </c>
      <c r="K44" s="73">
        <v>34560</v>
      </c>
      <c r="L44" s="30">
        <v>1994</v>
      </c>
      <c r="M44" s="30">
        <f t="shared" si="0"/>
        <v>25</v>
      </c>
      <c r="N44" s="44" t="s">
        <v>3</v>
      </c>
      <c r="O44" s="44" t="s">
        <v>1229</v>
      </c>
      <c r="P44" s="72" t="s">
        <v>1246</v>
      </c>
      <c r="Q44" s="44"/>
      <c r="R44" s="72" t="s">
        <v>1833</v>
      </c>
    </row>
    <row r="45" spans="2:18" ht="25.5" x14ac:dyDescent="0.2">
      <c r="B45" s="135"/>
      <c r="C45" s="119"/>
      <c r="D45" s="44">
        <v>38</v>
      </c>
      <c r="E45" s="72" t="s">
        <v>1834</v>
      </c>
      <c r="F45" s="44" t="s">
        <v>16</v>
      </c>
      <c r="G45" s="44" t="s">
        <v>1835</v>
      </c>
      <c r="H45" s="44" t="s">
        <v>9</v>
      </c>
      <c r="I45" s="44" t="s">
        <v>13</v>
      </c>
      <c r="J45" s="72" t="s">
        <v>1232</v>
      </c>
      <c r="K45" s="73">
        <v>42129</v>
      </c>
      <c r="L45" s="30">
        <v>2015</v>
      </c>
      <c r="M45" s="30">
        <f t="shared" si="0"/>
        <v>4</v>
      </c>
      <c r="N45" s="44" t="s">
        <v>3</v>
      </c>
      <c r="O45" s="44" t="s">
        <v>1229</v>
      </c>
      <c r="P45" s="72" t="s">
        <v>1258</v>
      </c>
      <c r="Q45" s="44"/>
      <c r="R45" s="72" t="s">
        <v>1332</v>
      </c>
    </row>
    <row r="46" spans="2:18" x14ac:dyDescent="0.2">
      <c r="B46" s="135">
        <v>10</v>
      </c>
      <c r="C46" s="119"/>
      <c r="D46" s="44">
        <v>39</v>
      </c>
      <c r="E46" s="72" t="s">
        <v>69</v>
      </c>
      <c r="F46" s="44" t="s">
        <v>6</v>
      </c>
      <c r="G46" s="44" t="s">
        <v>70</v>
      </c>
      <c r="H46" s="44" t="s">
        <v>1</v>
      </c>
      <c r="I46" s="44" t="s">
        <v>2</v>
      </c>
      <c r="J46" s="72"/>
      <c r="K46" s="73">
        <v>26664</v>
      </c>
      <c r="L46" s="30">
        <f t="shared" ref="L46:L47" si="5">YEAR(K46)</f>
        <v>1972</v>
      </c>
      <c r="M46" s="30">
        <f t="shared" si="0"/>
        <v>47</v>
      </c>
      <c r="N46" s="44" t="s">
        <v>3</v>
      </c>
      <c r="O46" s="44"/>
      <c r="P46" s="72" t="s">
        <v>15</v>
      </c>
      <c r="Q46" s="44"/>
      <c r="R46" s="72" t="s">
        <v>45</v>
      </c>
    </row>
    <row r="47" spans="2:18" x14ac:dyDescent="0.2">
      <c r="B47" s="135"/>
      <c r="C47" s="119"/>
      <c r="D47" s="44">
        <v>40</v>
      </c>
      <c r="E47" s="72" t="s">
        <v>71</v>
      </c>
      <c r="F47" s="44" t="s">
        <v>11</v>
      </c>
      <c r="G47" s="44" t="s">
        <v>72</v>
      </c>
      <c r="H47" s="44" t="s">
        <v>9</v>
      </c>
      <c r="I47" s="44" t="s">
        <v>2</v>
      </c>
      <c r="J47" s="72"/>
      <c r="K47" s="73">
        <v>36574</v>
      </c>
      <c r="L47" s="30">
        <f t="shared" si="5"/>
        <v>2000</v>
      </c>
      <c r="M47" s="30">
        <f t="shared" si="0"/>
        <v>19</v>
      </c>
      <c r="N47" s="44" t="s">
        <v>3</v>
      </c>
      <c r="O47" s="44"/>
      <c r="P47" s="72" t="s">
        <v>15</v>
      </c>
      <c r="Q47" s="44"/>
      <c r="R47" s="72" t="s">
        <v>45</v>
      </c>
    </row>
    <row r="48" spans="2:18" ht="25.5" x14ac:dyDescent="0.2">
      <c r="B48" s="90">
        <v>11</v>
      </c>
      <c r="C48" s="44" t="s">
        <v>1836</v>
      </c>
      <c r="D48" s="44">
        <v>41</v>
      </c>
      <c r="E48" s="72" t="s">
        <v>73</v>
      </c>
      <c r="F48" s="44" t="s">
        <v>6</v>
      </c>
      <c r="G48" s="44" t="s">
        <v>74</v>
      </c>
      <c r="H48" s="44" t="s">
        <v>9</v>
      </c>
      <c r="I48" s="44" t="s">
        <v>1296</v>
      </c>
      <c r="J48" s="72" t="s">
        <v>1232</v>
      </c>
      <c r="K48" s="73">
        <v>14427</v>
      </c>
      <c r="L48" s="30">
        <v>1939</v>
      </c>
      <c r="M48" s="30">
        <f t="shared" si="0"/>
        <v>80</v>
      </c>
      <c r="N48" s="44" t="s">
        <v>3</v>
      </c>
      <c r="O48" s="44" t="s">
        <v>1229</v>
      </c>
      <c r="P48" s="72" t="s">
        <v>1258</v>
      </c>
      <c r="Q48" s="44"/>
      <c r="R48" s="72" t="s">
        <v>34</v>
      </c>
    </row>
    <row r="49" spans="2:18" ht="25.5" x14ac:dyDescent="0.2">
      <c r="B49" s="135">
        <v>12</v>
      </c>
      <c r="C49" s="119" t="s">
        <v>1837</v>
      </c>
      <c r="D49" s="44">
        <v>42</v>
      </c>
      <c r="E49" s="72" t="s">
        <v>75</v>
      </c>
      <c r="F49" s="44" t="s">
        <v>6</v>
      </c>
      <c r="G49" s="44" t="s">
        <v>76</v>
      </c>
      <c r="H49" s="44" t="s">
        <v>1</v>
      </c>
      <c r="I49" s="44" t="s">
        <v>2</v>
      </c>
      <c r="J49" s="72" t="s">
        <v>1232</v>
      </c>
      <c r="K49" s="73">
        <v>29220</v>
      </c>
      <c r="L49" s="30">
        <v>1979</v>
      </c>
      <c r="M49" s="30">
        <f t="shared" si="0"/>
        <v>40</v>
      </c>
      <c r="N49" s="44" t="s">
        <v>3</v>
      </c>
      <c r="O49" s="44" t="s">
        <v>1229</v>
      </c>
      <c r="P49" s="72" t="s">
        <v>1233</v>
      </c>
      <c r="Q49" s="44"/>
      <c r="R49" s="72" t="s">
        <v>1330</v>
      </c>
    </row>
    <row r="50" spans="2:18" ht="25.5" x14ac:dyDescent="0.2">
      <c r="B50" s="135"/>
      <c r="C50" s="119"/>
      <c r="D50" s="44">
        <v>43</v>
      </c>
      <c r="E50" s="72" t="s">
        <v>1838</v>
      </c>
      <c r="F50" s="44" t="s">
        <v>11</v>
      </c>
      <c r="G50" s="44" t="s">
        <v>77</v>
      </c>
      <c r="H50" s="44" t="s">
        <v>9</v>
      </c>
      <c r="I50" s="44" t="s">
        <v>2</v>
      </c>
      <c r="J50" s="72" t="s">
        <v>1232</v>
      </c>
      <c r="K50" s="73">
        <v>32508</v>
      </c>
      <c r="L50" s="30">
        <v>1988</v>
      </c>
      <c r="M50" s="30">
        <f t="shared" si="0"/>
        <v>31</v>
      </c>
      <c r="N50" s="44" t="s">
        <v>3</v>
      </c>
      <c r="O50" s="44" t="s">
        <v>1229</v>
      </c>
      <c r="P50" s="72" t="s">
        <v>1246</v>
      </c>
      <c r="Q50" s="44"/>
      <c r="R50" s="72" t="s">
        <v>1330</v>
      </c>
    </row>
    <row r="51" spans="2:18" ht="25.5" x14ac:dyDescent="0.2">
      <c r="B51" s="135"/>
      <c r="C51" s="119"/>
      <c r="D51" s="44">
        <v>44</v>
      </c>
      <c r="E51" s="72" t="s">
        <v>78</v>
      </c>
      <c r="F51" s="44" t="s">
        <v>16</v>
      </c>
      <c r="G51" s="44" t="s">
        <v>79</v>
      </c>
      <c r="H51" s="44" t="s">
        <v>1</v>
      </c>
      <c r="I51" s="44" t="s">
        <v>13</v>
      </c>
      <c r="J51" s="72" t="s">
        <v>1232</v>
      </c>
      <c r="K51" s="73">
        <v>39859</v>
      </c>
      <c r="L51" s="30">
        <v>2009</v>
      </c>
      <c r="M51" s="30">
        <f t="shared" si="0"/>
        <v>10</v>
      </c>
      <c r="N51" s="44" t="s">
        <v>3</v>
      </c>
      <c r="O51" s="44" t="s">
        <v>1229</v>
      </c>
      <c r="P51" s="72" t="s">
        <v>1247</v>
      </c>
      <c r="Q51" s="44"/>
      <c r="R51" s="72" t="s">
        <v>1822</v>
      </c>
    </row>
    <row r="52" spans="2:18" ht="25.5" x14ac:dyDescent="0.2">
      <c r="B52" s="135"/>
      <c r="C52" s="119"/>
      <c r="D52" s="44">
        <v>45</v>
      </c>
      <c r="E52" s="72" t="s">
        <v>1839</v>
      </c>
      <c r="F52" s="44" t="s">
        <v>16</v>
      </c>
      <c r="G52" s="44" t="s">
        <v>80</v>
      </c>
      <c r="H52" s="44" t="s">
        <v>9</v>
      </c>
      <c r="I52" s="44" t="s">
        <v>13</v>
      </c>
      <c r="J52" s="72" t="s">
        <v>1232</v>
      </c>
      <c r="K52" s="73">
        <v>37153</v>
      </c>
      <c r="L52" s="30">
        <v>2001</v>
      </c>
      <c r="M52" s="30">
        <f t="shared" ref="M52" si="6">2019-L52</f>
        <v>18</v>
      </c>
      <c r="N52" s="44" t="s">
        <v>3</v>
      </c>
      <c r="O52" s="44" t="s">
        <v>1229</v>
      </c>
      <c r="P52" s="72" t="s">
        <v>1247</v>
      </c>
      <c r="Q52" s="44"/>
      <c r="R52" s="72" t="s">
        <v>1822</v>
      </c>
    </row>
    <row r="53" spans="2:18" ht="25.5" x14ac:dyDescent="0.2">
      <c r="B53" s="135"/>
      <c r="C53" s="119"/>
      <c r="D53" s="44">
        <v>46</v>
      </c>
      <c r="E53" s="72" t="s">
        <v>2241</v>
      </c>
      <c r="F53" s="44" t="s">
        <v>16</v>
      </c>
      <c r="G53" s="44" t="s">
        <v>2242</v>
      </c>
      <c r="H53" s="44" t="s">
        <v>9</v>
      </c>
      <c r="I53" s="44" t="s">
        <v>13</v>
      </c>
      <c r="J53" s="72" t="s">
        <v>1818</v>
      </c>
      <c r="K53" s="73">
        <v>42367</v>
      </c>
      <c r="L53" s="30">
        <v>2015</v>
      </c>
      <c r="M53" s="30">
        <f t="shared" si="0"/>
        <v>4</v>
      </c>
      <c r="N53" s="44" t="s">
        <v>3</v>
      </c>
      <c r="O53" s="44" t="s">
        <v>1229</v>
      </c>
      <c r="P53" s="72" t="s">
        <v>1258</v>
      </c>
      <c r="Q53" s="44"/>
      <c r="R53" s="72" t="s">
        <v>1840</v>
      </c>
    </row>
    <row r="54" spans="2:18" ht="25.5" x14ac:dyDescent="0.2">
      <c r="B54" s="135">
        <v>13</v>
      </c>
      <c r="C54" s="119" t="s">
        <v>2199</v>
      </c>
      <c r="D54" s="44">
        <v>47</v>
      </c>
      <c r="E54" s="72" t="s">
        <v>81</v>
      </c>
      <c r="F54" s="44" t="s">
        <v>6</v>
      </c>
      <c r="G54" s="44" t="s">
        <v>82</v>
      </c>
      <c r="H54" s="44" t="s">
        <v>1</v>
      </c>
      <c r="I54" s="44" t="s">
        <v>2</v>
      </c>
      <c r="J54" s="72" t="s">
        <v>1232</v>
      </c>
      <c r="K54" s="73">
        <v>27759</v>
      </c>
      <c r="L54" s="30">
        <v>1975</v>
      </c>
      <c r="M54" s="30">
        <f t="shared" si="0"/>
        <v>44</v>
      </c>
      <c r="N54" s="44" t="s">
        <v>3</v>
      </c>
      <c r="O54" s="44" t="s">
        <v>1229</v>
      </c>
      <c r="P54" s="72" t="s">
        <v>1841</v>
      </c>
      <c r="Q54" s="44"/>
      <c r="R54" s="72" t="s">
        <v>1815</v>
      </c>
    </row>
    <row r="55" spans="2:18" ht="25.5" x14ac:dyDescent="0.2">
      <c r="B55" s="135"/>
      <c r="C55" s="119"/>
      <c r="D55" s="44">
        <v>48</v>
      </c>
      <c r="E55" s="72" t="s">
        <v>83</v>
      </c>
      <c r="F55" s="44" t="s">
        <v>11</v>
      </c>
      <c r="G55" s="44" t="s">
        <v>84</v>
      </c>
      <c r="H55" s="44" t="s">
        <v>9</v>
      </c>
      <c r="I55" s="44" t="s">
        <v>2</v>
      </c>
      <c r="J55" s="72" t="s">
        <v>1232</v>
      </c>
      <c r="K55" s="73">
        <v>28307</v>
      </c>
      <c r="L55" s="30">
        <v>1977</v>
      </c>
      <c r="M55" s="30">
        <f t="shared" si="0"/>
        <v>42</v>
      </c>
      <c r="N55" s="44" t="s">
        <v>3</v>
      </c>
      <c r="O55" s="44" t="s">
        <v>1229</v>
      </c>
      <c r="P55" s="72" t="s">
        <v>1258</v>
      </c>
      <c r="Q55" s="44"/>
      <c r="R55" s="72" t="s">
        <v>1815</v>
      </c>
    </row>
    <row r="56" spans="2:18" ht="25.5" x14ac:dyDescent="0.2">
      <c r="B56" s="135"/>
      <c r="C56" s="119"/>
      <c r="D56" s="44">
        <v>49</v>
      </c>
      <c r="E56" s="72" t="s">
        <v>85</v>
      </c>
      <c r="F56" s="44" t="s">
        <v>16</v>
      </c>
      <c r="G56" s="44" t="s">
        <v>86</v>
      </c>
      <c r="H56" s="44" t="s">
        <v>1</v>
      </c>
      <c r="I56" s="44" t="s">
        <v>13</v>
      </c>
      <c r="J56" s="72" t="s">
        <v>1232</v>
      </c>
      <c r="K56" s="73">
        <v>37256</v>
      </c>
      <c r="L56" s="30">
        <v>2001</v>
      </c>
      <c r="M56" s="30">
        <f t="shared" si="0"/>
        <v>18</v>
      </c>
      <c r="N56" s="44" t="s">
        <v>3</v>
      </c>
      <c r="O56" s="44" t="s">
        <v>1229</v>
      </c>
      <c r="P56" s="72" t="s">
        <v>1233</v>
      </c>
      <c r="Q56" s="44"/>
      <c r="R56" s="72" t="s">
        <v>1822</v>
      </c>
    </row>
    <row r="57" spans="2:18" ht="25.5" x14ac:dyDescent="0.2">
      <c r="B57" s="135"/>
      <c r="C57" s="119"/>
      <c r="D57" s="44">
        <v>50</v>
      </c>
      <c r="E57" s="72" t="s">
        <v>1842</v>
      </c>
      <c r="F57" s="44" t="s">
        <v>16</v>
      </c>
      <c r="G57" s="44" t="s">
        <v>87</v>
      </c>
      <c r="H57" s="44" t="s">
        <v>1</v>
      </c>
      <c r="I57" s="44" t="s">
        <v>13</v>
      </c>
      <c r="J57" s="72" t="s">
        <v>1232</v>
      </c>
      <c r="K57" s="73">
        <v>39564</v>
      </c>
      <c r="L57" s="30">
        <v>2008</v>
      </c>
      <c r="M57" s="30">
        <f t="shared" si="0"/>
        <v>11</v>
      </c>
      <c r="N57" s="44" t="s">
        <v>3</v>
      </c>
      <c r="O57" s="44" t="s">
        <v>1229</v>
      </c>
      <c r="P57" s="72" t="s">
        <v>1258</v>
      </c>
      <c r="Q57" s="44"/>
      <c r="R57" s="72" t="s">
        <v>1332</v>
      </c>
    </row>
    <row r="58" spans="2:18" ht="25.5" x14ac:dyDescent="0.2">
      <c r="B58" s="135">
        <v>14</v>
      </c>
      <c r="C58" s="119" t="s">
        <v>2234</v>
      </c>
      <c r="D58" s="44">
        <v>51</v>
      </c>
      <c r="E58" s="72" t="s">
        <v>2233</v>
      </c>
      <c r="F58" s="44" t="s">
        <v>6</v>
      </c>
      <c r="G58" s="44" t="s">
        <v>88</v>
      </c>
      <c r="H58" s="44" t="s">
        <v>1</v>
      </c>
      <c r="I58" s="44" t="s">
        <v>2</v>
      </c>
      <c r="J58" s="72" t="s">
        <v>1232</v>
      </c>
      <c r="K58" s="73">
        <v>27381</v>
      </c>
      <c r="L58" s="30">
        <v>1974</v>
      </c>
      <c r="M58" s="30">
        <f t="shared" si="0"/>
        <v>45</v>
      </c>
      <c r="N58" s="44" t="s">
        <v>3</v>
      </c>
      <c r="O58" s="44" t="s">
        <v>1229</v>
      </c>
      <c r="P58" s="72" t="s">
        <v>1233</v>
      </c>
      <c r="Q58" s="44"/>
      <c r="R58" s="72" t="s">
        <v>1330</v>
      </c>
    </row>
    <row r="59" spans="2:18" ht="25.5" x14ac:dyDescent="0.2">
      <c r="B59" s="135"/>
      <c r="C59" s="119"/>
      <c r="D59" s="44">
        <v>52</v>
      </c>
      <c r="E59" s="72" t="s">
        <v>89</v>
      </c>
      <c r="F59" s="44" t="s">
        <v>11</v>
      </c>
      <c r="G59" s="44" t="s">
        <v>90</v>
      </c>
      <c r="H59" s="44" t="s">
        <v>9</v>
      </c>
      <c r="I59" s="44" t="s">
        <v>2</v>
      </c>
      <c r="J59" s="72" t="s">
        <v>1232</v>
      </c>
      <c r="K59" s="73">
        <v>28307</v>
      </c>
      <c r="L59" s="30">
        <v>1977</v>
      </c>
      <c r="M59" s="30">
        <f t="shared" si="0"/>
        <v>42</v>
      </c>
      <c r="N59" s="44" t="s">
        <v>3</v>
      </c>
      <c r="O59" s="44" t="s">
        <v>1229</v>
      </c>
      <c r="P59" s="72" t="s">
        <v>1258</v>
      </c>
      <c r="Q59" s="44"/>
      <c r="R59" s="72" t="s">
        <v>1330</v>
      </c>
    </row>
    <row r="60" spans="2:18" ht="25.5" x14ac:dyDescent="0.2">
      <c r="B60" s="135"/>
      <c r="C60" s="119"/>
      <c r="D60" s="44">
        <v>53</v>
      </c>
      <c r="E60" s="72" t="s">
        <v>91</v>
      </c>
      <c r="F60" s="44" t="s">
        <v>16</v>
      </c>
      <c r="G60" s="44" t="s">
        <v>92</v>
      </c>
      <c r="H60" s="44" t="s">
        <v>9</v>
      </c>
      <c r="I60" s="44" t="s">
        <v>13</v>
      </c>
      <c r="J60" s="72" t="s">
        <v>1232</v>
      </c>
      <c r="K60" s="73">
        <v>34795</v>
      </c>
      <c r="L60" s="30">
        <v>1995</v>
      </c>
      <c r="M60" s="30">
        <f t="shared" si="0"/>
        <v>24</v>
      </c>
      <c r="N60" s="44" t="s">
        <v>3</v>
      </c>
      <c r="O60" s="44" t="s">
        <v>1229</v>
      </c>
      <c r="P60" s="72" t="s">
        <v>1270</v>
      </c>
      <c r="Q60" s="44"/>
      <c r="R60" s="72" t="s">
        <v>1332</v>
      </c>
    </row>
    <row r="61" spans="2:18" ht="25.5" x14ac:dyDescent="0.2">
      <c r="B61" s="135"/>
      <c r="C61" s="119"/>
      <c r="D61" s="44">
        <v>54</v>
      </c>
      <c r="E61" s="72" t="s">
        <v>93</v>
      </c>
      <c r="F61" s="44" t="s">
        <v>16</v>
      </c>
      <c r="G61" s="44" t="s">
        <v>2235</v>
      </c>
      <c r="H61" s="44" t="s">
        <v>9</v>
      </c>
      <c r="I61" s="44" t="s">
        <v>13</v>
      </c>
      <c r="J61" s="72" t="s">
        <v>1232</v>
      </c>
      <c r="K61" s="73">
        <v>40107</v>
      </c>
      <c r="L61" s="30">
        <v>2009</v>
      </c>
      <c r="M61" s="30">
        <f t="shared" si="0"/>
        <v>10</v>
      </c>
      <c r="N61" s="44" t="s">
        <v>3</v>
      </c>
      <c r="O61" s="44" t="s">
        <v>1229</v>
      </c>
      <c r="P61" s="72" t="s">
        <v>1258</v>
      </c>
      <c r="Q61" s="44"/>
      <c r="R61" s="72" t="s">
        <v>1332</v>
      </c>
    </row>
    <row r="62" spans="2:18" x14ac:dyDescent="0.2">
      <c r="B62" s="90">
        <v>15</v>
      </c>
      <c r="C62" s="44"/>
      <c r="D62" s="44">
        <v>55</v>
      </c>
      <c r="E62" s="72" t="s">
        <v>94</v>
      </c>
      <c r="F62" s="44" t="s">
        <v>6</v>
      </c>
      <c r="G62" s="44">
        <v>0</v>
      </c>
      <c r="H62" s="44" t="s">
        <v>1</v>
      </c>
      <c r="I62" s="44" t="s">
        <v>95</v>
      </c>
      <c r="J62" s="72"/>
      <c r="K62" s="73">
        <v>41413</v>
      </c>
      <c r="L62" s="30">
        <f>YEAR(K62)</f>
        <v>2013</v>
      </c>
      <c r="M62" s="30">
        <f t="shared" si="0"/>
        <v>6</v>
      </c>
      <c r="N62" s="44" t="s">
        <v>3</v>
      </c>
      <c r="O62" s="44"/>
      <c r="P62" s="72" t="s">
        <v>14</v>
      </c>
      <c r="Q62" s="44"/>
      <c r="R62" s="72" t="s">
        <v>5</v>
      </c>
    </row>
    <row r="63" spans="2:18" ht="25.5" x14ac:dyDescent="0.2">
      <c r="B63" s="135">
        <v>16</v>
      </c>
      <c r="C63" s="119" t="s">
        <v>1843</v>
      </c>
      <c r="D63" s="44">
        <v>56</v>
      </c>
      <c r="E63" s="72" t="s">
        <v>96</v>
      </c>
      <c r="F63" s="44" t="s">
        <v>6</v>
      </c>
      <c r="G63" s="44" t="s">
        <v>1844</v>
      </c>
      <c r="H63" s="44" t="s">
        <v>1</v>
      </c>
      <c r="I63" s="44" t="s">
        <v>2</v>
      </c>
      <c r="J63" s="72" t="s">
        <v>1232</v>
      </c>
      <c r="K63" s="73">
        <v>20454</v>
      </c>
      <c r="L63" s="30">
        <v>1955</v>
      </c>
      <c r="M63" s="30">
        <f t="shared" si="0"/>
        <v>64</v>
      </c>
      <c r="N63" s="44" t="s">
        <v>3</v>
      </c>
      <c r="O63" s="44" t="s">
        <v>1229</v>
      </c>
      <c r="P63" s="72" t="s">
        <v>1258</v>
      </c>
      <c r="Q63" s="44"/>
      <c r="R63" s="72" t="s">
        <v>1815</v>
      </c>
    </row>
    <row r="64" spans="2:18" ht="25.5" x14ac:dyDescent="0.2">
      <c r="B64" s="135"/>
      <c r="C64" s="119"/>
      <c r="D64" s="44">
        <v>57</v>
      </c>
      <c r="E64" s="72" t="s">
        <v>1845</v>
      </c>
      <c r="F64" s="44" t="s">
        <v>11</v>
      </c>
      <c r="G64" s="44" t="s">
        <v>1846</v>
      </c>
      <c r="H64" s="44" t="s">
        <v>9</v>
      </c>
      <c r="I64" s="44" t="s">
        <v>2</v>
      </c>
      <c r="J64" s="72" t="s">
        <v>1232</v>
      </c>
      <c r="K64" s="73">
        <v>22098</v>
      </c>
      <c r="L64" s="30">
        <v>1960</v>
      </c>
      <c r="M64" s="30">
        <f t="shared" si="0"/>
        <v>59</v>
      </c>
      <c r="N64" s="44" t="s">
        <v>3</v>
      </c>
      <c r="O64" s="44" t="s">
        <v>1229</v>
      </c>
      <c r="P64" s="72" t="s">
        <v>1258</v>
      </c>
      <c r="Q64" s="44"/>
      <c r="R64" s="72" t="s">
        <v>1815</v>
      </c>
    </row>
    <row r="65" spans="2:18" ht="25.5" x14ac:dyDescent="0.2">
      <c r="B65" s="135">
        <v>17</v>
      </c>
      <c r="C65" s="119" t="s">
        <v>1847</v>
      </c>
      <c r="D65" s="44">
        <v>58</v>
      </c>
      <c r="E65" s="72" t="s">
        <v>97</v>
      </c>
      <c r="F65" s="44" t="s">
        <v>6</v>
      </c>
      <c r="G65" s="44" t="s">
        <v>1848</v>
      </c>
      <c r="H65" s="44" t="s">
        <v>1</v>
      </c>
      <c r="I65" s="44" t="s">
        <v>2</v>
      </c>
      <c r="J65" s="72" t="s">
        <v>1232</v>
      </c>
      <c r="K65" s="73">
        <v>31412</v>
      </c>
      <c r="L65" s="30">
        <v>1985</v>
      </c>
      <c r="M65" s="30">
        <f t="shared" si="0"/>
        <v>34</v>
      </c>
      <c r="N65" s="44" t="s">
        <v>3</v>
      </c>
      <c r="O65" s="44" t="s">
        <v>1229</v>
      </c>
      <c r="P65" s="72" t="s">
        <v>1246</v>
      </c>
      <c r="Q65" s="44"/>
      <c r="R65" s="72" t="s">
        <v>1330</v>
      </c>
    </row>
    <row r="66" spans="2:18" ht="25.5" x14ac:dyDescent="0.2">
      <c r="B66" s="135"/>
      <c r="C66" s="119"/>
      <c r="D66" s="44">
        <v>59</v>
      </c>
      <c r="E66" s="72" t="s">
        <v>98</v>
      </c>
      <c r="F66" s="44" t="s">
        <v>11</v>
      </c>
      <c r="G66" s="44" t="s">
        <v>2195</v>
      </c>
      <c r="H66" s="44" t="s">
        <v>9</v>
      </c>
      <c r="I66" s="44" t="s">
        <v>2</v>
      </c>
      <c r="J66" s="72" t="s">
        <v>1232</v>
      </c>
      <c r="K66" s="73">
        <v>32325</v>
      </c>
      <c r="L66" s="30">
        <v>1988</v>
      </c>
      <c r="M66" s="30">
        <f t="shared" si="0"/>
        <v>31</v>
      </c>
      <c r="N66" s="44" t="s">
        <v>3</v>
      </c>
      <c r="O66" s="44" t="s">
        <v>1229</v>
      </c>
      <c r="P66" s="72" t="s">
        <v>1233</v>
      </c>
      <c r="Q66" s="44"/>
      <c r="R66" s="72" t="s">
        <v>1360</v>
      </c>
    </row>
    <row r="67" spans="2:18" ht="25.5" x14ac:dyDescent="0.2">
      <c r="B67" s="135"/>
      <c r="C67" s="119"/>
      <c r="D67" s="44">
        <v>60</v>
      </c>
      <c r="E67" s="72" t="s">
        <v>99</v>
      </c>
      <c r="F67" s="44" t="s">
        <v>16</v>
      </c>
      <c r="G67" s="44" t="s">
        <v>1849</v>
      </c>
      <c r="H67" s="44" t="s">
        <v>9</v>
      </c>
      <c r="I67" s="44" t="s">
        <v>13</v>
      </c>
      <c r="J67" s="72" t="s">
        <v>1232</v>
      </c>
      <c r="K67" s="73">
        <v>40668</v>
      </c>
      <c r="L67" s="30">
        <v>2011</v>
      </c>
      <c r="M67" s="30">
        <f t="shared" si="0"/>
        <v>8</v>
      </c>
      <c r="N67" s="44" t="s">
        <v>3</v>
      </c>
      <c r="O67" s="44" t="s">
        <v>1229</v>
      </c>
      <c r="P67" s="72" t="s">
        <v>1258</v>
      </c>
      <c r="Q67" s="44"/>
      <c r="R67" s="72" t="s">
        <v>1332</v>
      </c>
    </row>
    <row r="68" spans="2:18" x14ac:dyDescent="0.2">
      <c r="B68" s="135">
        <v>18</v>
      </c>
      <c r="C68" s="119"/>
      <c r="D68" s="44">
        <v>61</v>
      </c>
      <c r="E68" s="72" t="s">
        <v>96</v>
      </c>
      <c r="F68" s="44" t="s">
        <v>6</v>
      </c>
      <c r="G68" s="44">
        <v>0</v>
      </c>
      <c r="H68" s="44" t="s">
        <v>1</v>
      </c>
      <c r="I68" s="44" t="s">
        <v>2</v>
      </c>
      <c r="J68" s="72"/>
      <c r="K68" s="73">
        <v>40966</v>
      </c>
      <c r="L68" s="30">
        <f t="shared" ref="L68:L69" si="7">YEAR(K68)</f>
        <v>2012</v>
      </c>
      <c r="M68" s="30">
        <f t="shared" si="0"/>
        <v>7</v>
      </c>
      <c r="N68" s="44" t="s">
        <v>3</v>
      </c>
      <c r="O68" s="44"/>
      <c r="P68" s="72" t="s">
        <v>15</v>
      </c>
      <c r="Q68" s="44"/>
      <c r="R68" s="72" t="s">
        <v>15</v>
      </c>
    </row>
    <row r="69" spans="2:18" x14ac:dyDescent="0.2">
      <c r="B69" s="135"/>
      <c r="C69" s="119"/>
      <c r="D69" s="44">
        <v>62</v>
      </c>
      <c r="E69" s="72" t="s">
        <v>100</v>
      </c>
      <c r="F69" s="44" t="s">
        <v>11</v>
      </c>
      <c r="G69" s="44">
        <v>0</v>
      </c>
      <c r="H69" s="44" t="s">
        <v>9</v>
      </c>
      <c r="I69" s="44" t="s">
        <v>2</v>
      </c>
      <c r="J69" s="72"/>
      <c r="K69" s="73">
        <v>26664</v>
      </c>
      <c r="L69" s="30">
        <f t="shared" si="7"/>
        <v>1972</v>
      </c>
      <c r="M69" s="30">
        <f t="shared" si="0"/>
        <v>47</v>
      </c>
      <c r="N69" s="44" t="s">
        <v>3</v>
      </c>
      <c r="O69" s="44"/>
      <c r="P69" s="72" t="s">
        <v>15</v>
      </c>
      <c r="Q69" s="44"/>
      <c r="R69" s="72" t="s">
        <v>15</v>
      </c>
    </row>
    <row r="70" spans="2:18" ht="25.5" x14ac:dyDescent="0.2">
      <c r="B70" s="135">
        <v>19</v>
      </c>
      <c r="C70" s="119" t="s">
        <v>1850</v>
      </c>
      <c r="D70" s="44">
        <v>63</v>
      </c>
      <c r="E70" s="72" t="s">
        <v>101</v>
      </c>
      <c r="F70" s="44" t="s">
        <v>6</v>
      </c>
      <c r="G70" s="44" t="s">
        <v>102</v>
      </c>
      <c r="H70" s="44" t="s">
        <v>9</v>
      </c>
      <c r="I70" s="44" t="s">
        <v>1296</v>
      </c>
      <c r="J70" s="72" t="s">
        <v>1232</v>
      </c>
      <c r="K70" s="73">
        <v>25750</v>
      </c>
      <c r="L70" s="30">
        <v>1970</v>
      </c>
      <c r="M70" s="30">
        <f t="shared" si="0"/>
        <v>49</v>
      </c>
      <c r="N70" s="44" t="s">
        <v>3</v>
      </c>
      <c r="O70" s="44" t="s">
        <v>1229</v>
      </c>
      <c r="P70" s="72" t="s">
        <v>1258</v>
      </c>
      <c r="Q70" s="44"/>
      <c r="R70" s="72" t="s">
        <v>1330</v>
      </c>
    </row>
    <row r="71" spans="2:18" ht="25.5" x14ac:dyDescent="0.2">
      <c r="B71" s="135"/>
      <c r="C71" s="119"/>
      <c r="D71" s="44">
        <v>64</v>
      </c>
      <c r="E71" s="72" t="s">
        <v>501</v>
      </c>
      <c r="F71" s="44" t="s">
        <v>16</v>
      </c>
      <c r="G71" s="44" t="s">
        <v>1851</v>
      </c>
      <c r="H71" s="44" t="s">
        <v>9</v>
      </c>
      <c r="I71" s="44" t="s">
        <v>13</v>
      </c>
      <c r="J71" s="72" t="s">
        <v>1232</v>
      </c>
      <c r="K71" s="73">
        <v>34214</v>
      </c>
      <c r="L71" s="30">
        <v>1993</v>
      </c>
      <c r="M71" s="30">
        <f t="shared" si="0"/>
        <v>26</v>
      </c>
      <c r="N71" s="44" t="s">
        <v>3</v>
      </c>
      <c r="O71" s="44" t="s">
        <v>1229</v>
      </c>
      <c r="P71" s="72" t="s">
        <v>1233</v>
      </c>
      <c r="Q71" s="44"/>
      <c r="R71" s="72" t="s">
        <v>1822</v>
      </c>
    </row>
    <row r="72" spans="2:18" x14ac:dyDescent="0.2">
      <c r="B72" s="135">
        <v>20</v>
      </c>
      <c r="C72" s="119"/>
      <c r="D72" s="44">
        <v>65</v>
      </c>
      <c r="E72" s="72" t="s">
        <v>103</v>
      </c>
      <c r="F72" s="44" t="s">
        <v>6</v>
      </c>
      <c r="G72" s="44" t="s">
        <v>104</v>
      </c>
      <c r="H72" s="44" t="s">
        <v>1</v>
      </c>
      <c r="I72" s="44" t="s">
        <v>19</v>
      </c>
      <c r="J72" s="72"/>
      <c r="K72" s="73">
        <v>36147</v>
      </c>
      <c r="L72" s="30">
        <f t="shared" ref="L72:L73" si="8">YEAR(K72)</f>
        <v>1998</v>
      </c>
      <c r="M72" s="30">
        <f t="shared" si="0"/>
        <v>21</v>
      </c>
      <c r="N72" s="44" t="s">
        <v>3</v>
      </c>
      <c r="O72" s="44"/>
      <c r="P72" s="72" t="s">
        <v>15</v>
      </c>
      <c r="Q72" s="44"/>
      <c r="R72" s="72" t="s">
        <v>15</v>
      </c>
    </row>
    <row r="73" spans="2:18" ht="25.5" x14ac:dyDescent="0.2">
      <c r="B73" s="135"/>
      <c r="C73" s="119"/>
      <c r="D73" s="44">
        <v>66</v>
      </c>
      <c r="E73" s="72" t="s">
        <v>105</v>
      </c>
      <c r="F73" s="44" t="s">
        <v>16</v>
      </c>
      <c r="G73" s="44" t="s">
        <v>106</v>
      </c>
      <c r="H73" s="44" t="s">
        <v>1</v>
      </c>
      <c r="I73" s="44" t="s">
        <v>13</v>
      </c>
      <c r="J73" s="72"/>
      <c r="K73" s="73">
        <v>13880</v>
      </c>
      <c r="L73" s="30">
        <f t="shared" si="8"/>
        <v>1937</v>
      </c>
      <c r="M73" s="30">
        <f t="shared" si="0"/>
        <v>82</v>
      </c>
      <c r="N73" s="44" t="s">
        <v>3</v>
      </c>
      <c r="O73" s="44"/>
      <c r="P73" s="72" t="s">
        <v>28</v>
      </c>
      <c r="Q73" s="44"/>
      <c r="R73" s="72" t="s">
        <v>5</v>
      </c>
    </row>
    <row r="74" spans="2:18" ht="25.5" x14ac:dyDescent="0.2">
      <c r="B74" s="135">
        <v>21</v>
      </c>
      <c r="C74" s="119" t="s">
        <v>1852</v>
      </c>
      <c r="D74" s="44">
        <v>67</v>
      </c>
      <c r="E74" s="72" t="s">
        <v>1853</v>
      </c>
      <c r="F74" s="44" t="s">
        <v>6</v>
      </c>
      <c r="G74" s="44" t="s">
        <v>107</v>
      </c>
      <c r="H74" s="44" t="s">
        <v>9</v>
      </c>
      <c r="I74" s="44" t="s">
        <v>1421</v>
      </c>
      <c r="J74" s="72" t="s">
        <v>1232</v>
      </c>
      <c r="K74" s="73">
        <v>31697</v>
      </c>
      <c r="L74" s="30">
        <v>1986</v>
      </c>
      <c r="M74" s="30">
        <f t="shared" si="0"/>
        <v>33</v>
      </c>
      <c r="N74" s="44" t="s">
        <v>3</v>
      </c>
      <c r="O74" s="44" t="s">
        <v>1229</v>
      </c>
      <c r="P74" s="72" t="s">
        <v>1258</v>
      </c>
      <c r="Q74" s="44"/>
      <c r="R74" s="72" t="s">
        <v>1330</v>
      </c>
    </row>
    <row r="75" spans="2:18" x14ac:dyDescent="0.2">
      <c r="B75" s="135"/>
      <c r="C75" s="119"/>
      <c r="D75" s="44">
        <v>68</v>
      </c>
      <c r="E75" s="72" t="s">
        <v>108</v>
      </c>
      <c r="F75" s="44" t="s">
        <v>16</v>
      </c>
      <c r="G75" s="44" t="s">
        <v>109</v>
      </c>
      <c r="H75" s="44" t="s">
        <v>9</v>
      </c>
      <c r="I75" s="44" t="s">
        <v>13</v>
      </c>
      <c r="J75" s="72" t="s">
        <v>1232</v>
      </c>
      <c r="K75" s="73">
        <v>36574</v>
      </c>
      <c r="L75" s="30">
        <v>2000</v>
      </c>
      <c r="M75" s="30">
        <f t="shared" si="0"/>
        <v>19</v>
      </c>
      <c r="N75" s="44" t="s">
        <v>3</v>
      </c>
      <c r="O75" s="44" t="s">
        <v>1229</v>
      </c>
      <c r="P75" s="72" t="s">
        <v>1246</v>
      </c>
      <c r="Q75" s="44"/>
      <c r="R75" s="72" t="s">
        <v>1822</v>
      </c>
    </row>
    <row r="76" spans="2:18" ht="25.5" x14ac:dyDescent="0.2">
      <c r="B76" s="135"/>
      <c r="C76" s="119"/>
      <c r="D76" s="44">
        <v>69</v>
      </c>
      <c r="E76" s="72" t="s">
        <v>1854</v>
      </c>
      <c r="F76" s="44" t="s">
        <v>16</v>
      </c>
      <c r="G76" s="44" t="s">
        <v>110</v>
      </c>
      <c r="H76" s="44" t="s">
        <v>1</v>
      </c>
      <c r="I76" s="44" t="s">
        <v>13</v>
      </c>
      <c r="J76" s="72" t="s">
        <v>1232</v>
      </c>
      <c r="K76" s="73">
        <v>40366</v>
      </c>
      <c r="L76" s="30">
        <v>2010</v>
      </c>
      <c r="M76" s="30">
        <f t="shared" si="0"/>
        <v>9</v>
      </c>
      <c r="N76" s="44" t="s">
        <v>3</v>
      </c>
      <c r="O76" s="44" t="s">
        <v>1229</v>
      </c>
      <c r="P76" s="72" t="s">
        <v>1258</v>
      </c>
      <c r="Q76" s="44"/>
      <c r="R76" s="72" t="s">
        <v>1840</v>
      </c>
    </row>
    <row r="77" spans="2:18" x14ac:dyDescent="0.2">
      <c r="B77" s="135">
        <v>22</v>
      </c>
      <c r="C77" s="119"/>
      <c r="D77" s="44">
        <v>70</v>
      </c>
      <c r="E77" s="72" t="s">
        <v>111</v>
      </c>
      <c r="F77" s="44" t="s">
        <v>6</v>
      </c>
      <c r="G77" s="44" t="s">
        <v>112</v>
      </c>
      <c r="H77" s="44" t="s">
        <v>9</v>
      </c>
      <c r="I77" s="44" t="s">
        <v>19</v>
      </c>
      <c r="J77" s="72"/>
      <c r="K77" s="73">
        <v>28304</v>
      </c>
      <c r="L77" s="30">
        <f t="shared" ref="L77:L81" si="9">YEAR(K77)</f>
        <v>1977</v>
      </c>
      <c r="M77" s="30">
        <f t="shared" si="0"/>
        <v>42</v>
      </c>
      <c r="N77" s="44" t="s">
        <v>3</v>
      </c>
      <c r="O77" s="44"/>
      <c r="P77" s="72" t="s">
        <v>15</v>
      </c>
      <c r="Q77" s="44"/>
      <c r="R77" s="72" t="s">
        <v>34</v>
      </c>
    </row>
    <row r="78" spans="2:18" x14ac:dyDescent="0.2">
      <c r="B78" s="135"/>
      <c r="C78" s="119"/>
      <c r="D78" s="44">
        <v>71</v>
      </c>
      <c r="E78" s="72" t="s">
        <v>113</v>
      </c>
      <c r="F78" s="44" t="s">
        <v>16</v>
      </c>
      <c r="G78" s="44" t="s">
        <v>114</v>
      </c>
      <c r="H78" s="44" t="s">
        <v>1</v>
      </c>
      <c r="I78" s="44" t="s">
        <v>13</v>
      </c>
      <c r="J78" s="72"/>
      <c r="K78" s="73">
        <v>31381</v>
      </c>
      <c r="L78" s="30">
        <f t="shared" si="9"/>
        <v>1985</v>
      </c>
      <c r="M78" s="30">
        <f t="shared" ref="M78:M139" si="10">2019-L78</f>
        <v>34</v>
      </c>
      <c r="N78" s="44" t="s">
        <v>3</v>
      </c>
      <c r="O78" s="44"/>
      <c r="P78" s="72" t="s">
        <v>15</v>
      </c>
      <c r="Q78" s="44"/>
      <c r="R78" s="72" t="s">
        <v>15</v>
      </c>
    </row>
    <row r="79" spans="2:18" x14ac:dyDescent="0.2">
      <c r="B79" s="135">
        <v>23</v>
      </c>
      <c r="C79" s="119"/>
      <c r="D79" s="44">
        <v>72</v>
      </c>
      <c r="E79" s="72" t="s">
        <v>115</v>
      </c>
      <c r="F79" s="44" t="s">
        <v>6</v>
      </c>
      <c r="G79" s="44" t="s">
        <v>116</v>
      </c>
      <c r="H79" s="44" t="s">
        <v>1</v>
      </c>
      <c r="I79" s="44" t="s">
        <v>2</v>
      </c>
      <c r="J79" s="72"/>
      <c r="K79" s="73">
        <v>39591</v>
      </c>
      <c r="L79" s="30">
        <f t="shared" si="9"/>
        <v>2008</v>
      </c>
      <c r="M79" s="30">
        <f t="shared" si="10"/>
        <v>11</v>
      </c>
      <c r="N79" s="44" t="s">
        <v>3</v>
      </c>
      <c r="O79" s="44"/>
      <c r="P79" s="72" t="s">
        <v>4</v>
      </c>
      <c r="Q79" s="44"/>
      <c r="R79" s="72" t="s">
        <v>5</v>
      </c>
    </row>
    <row r="80" spans="2:18" x14ac:dyDescent="0.2">
      <c r="B80" s="135"/>
      <c r="C80" s="119"/>
      <c r="D80" s="44">
        <v>73</v>
      </c>
      <c r="E80" s="72" t="s">
        <v>117</v>
      </c>
      <c r="F80" s="44" t="s">
        <v>11</v>
      </c>
      <c r="G80" s="44" t="s">
        <v>118</v>
      </c>
      <c r="H80" s="44" t="s">
        <v>9</v>
      </c>
      <c r="I80" s="44" t="s">
        <v>2</v>
      </c>
      <c r="J80" s="72"/>
      <c r="K80" s="73">
        <v>15523</v>
      </c>
      <c r="L80" s="30">
        <f t="shared" si="9"/>
        <v>1942</v>
      </c>
      <c r="M80" s="30">
        <f t="shared" si="10"/>
        <v>77</v>
      </c>
      <c r="N80" s="44" t="s">
        <v>3</v>
      </c>
      <c r="O80" s="44"/>
      <c r="P80" s="72" t="s">
        <v>4</v>
      </c>
      <c r="Q80" s="44"/>
      <c r="R80" s="72" t="s">
        <v>15</v>
      </c>
    </row>
    <row r="81" spans="2:18" x14ac:dyDescent="0.2">
      <c r="B81" s="135"/>
      <c r="C81" s="119"/>
      <c r="D81" s="44">
        <v>74</v>
      </c>
      <c r="E81" s="72" t="s">
        <v>119</v>
      </c>
      <c r="F81" s="44" t="s">
        <v>10</v>
      </c>
      <c r="G81" s="44" t="s">
        <v>120</v>
      </c>
      <c r="H81" s="44" t="s">
        <v>1</v>
      </c>
      <c r="I81" s="44" t="s">
        <v>13</v>
      </c>
      <c r="J81" s="72"/>
      <c r="K81" s="73">
        <v>34806</v>
      </c>
      <c r="L81" s="30">
        <f t="shared" si="9"/>
        <v>1995</v>
      </c>
      <c r="M81" s="30">
        <f t="shared" si="10"/>
        <v>24</v>
      </c>
      <c r="N81" s="44" t="s">
        <v>3</v>
      </c>
      <c r="O81" s="44"/>
      <c r="P81" s="72" t="s">
        <v>15</v>
      </c>
      <c r="Q81" s="44"/>
      <c r="R81" s="72" t="s">
        <v>15</v>
      </c>
    </row>
    <row r="82" spans="2:18" ht="25.5" x14ac:dyDescent="0.2">
      <c r="B82" s="135">
        <v>24</v>
      </c>
      <c r="C82" s="119" t="s">
        <v>1855</v>
      </c>
      <c r="D82" s="44">
        <v>75</v>
      </c>
      <c r="E82" s="72" t="s">
        <v>2194</v>
      </c>
      <c r="F82" s="44" t="s">
        <v>6</v>
      </c>
      <c r="G82" s="44" t="s">
        <v>121</v>
      </c>
      <c r="H82" s="44" t="s">
        <v>1</v>
      </c>
      <c r="I82" s="44" t="s">
        <v>2</v>
      </c>
      <c r="J82" s="72"/>
      <c r="K82" s="73">
        <v>24472</v>
      </c>
      <c r="L82" s="30">
        <v>1966</v>
      </c>
      <c r="M82" s="30">
        <f t="shared" si="10"/>
        <v>53</v>
      </c>
      <c r="N82" s="44" t="s">
        <v>3</v>
      </c>
      <c r="O82" s="44" t="s">
        <v>1229</v>
      </c>
      <c r="P82" s="72" t="s">
        <v>1233</v>
      </c>
      <c r="Q82" s="44"/>
      <c r="R82" s="72" t="s">
        <v>1815</v>
      </c>
    </row>
    <row r="83" spans="2:18" ht="25.5" x14ac:dyDescent="0.2">
      <c r="B83" s="135"/>
      <c r="C83" s="119"/>
      <c r="D83" s="44">
        <v>76</v>
      </c>
      <c r="E83" s="72" t="s">
        <v>122</v>
      </c>
      <c r="F83" s="44" t="s">
        <v>11</v>
      </c>
      <c r="G83" s="44" t="s">
        <v>1856</v>
      </c>
      <c r="H83" s="44" t="s">
        <v>9</v>
      </c>
      <c r="I83" s="44" t="s">
        <v>2</v>
      </c>
      <c r="J83" s="72"/>
      <c r="K83" s="73">
        <v>32142</v>
      </c>
      <c r="L83" s="30">
        <v>1987</v>
      </c>
      <c r="M83" s="30">
        <f t="shared" si="10"/>
        <v>32</v>
      </c>
      <c r="N83" s="44" t="s">
        <v>3</v>
      </c>
      <c r="O83" s="44" t="s">
        <v>1229</v>
      </c>
      <c r="P83" s="72" t="s">
        <v>1233</v>
      </c>
      <c r="Q83" s="44"/>
      <c r="R83" s="72" t="s">
        <v>1815</v>
      </c>
    </row>
    <row r="84" spans="2:18" x14ac:dyDescent="0.2">
      <c r="B84" s="135"/>
      <c r="C84" s="119"/>
      <c r="D84" s="44">
        <v>77</v>
      </c>
      <c r="E84" s="72" t="s">
        <v>123</v>
      </c>
      <c r="F84" s="44" t="s">
        <v>16</v>
      </c>
      <c r="G84" s="44" t="s">
        <v>124</v>
      </c>
      <c r="H84" s="44" t="s">
        <v>1</v>
      </c>
      <c r="I84" s="44" t="s">
        <v>13</v>
      </c>
      <c r="J84" s="72"/>
      <c r="K84" s="73">
        <v>36437</v>
      </c>
      <c r="L84" s="30">
        <v>1999</v>
      </c>
      <c r="M84" s="30">
        <f t="shared" si="10"/>
        <v>20</v>
      </c>
      <c r="N84" s="44" t="s">
        <v>3</v>
      </c>
      <c r="O84" s="44" t="s">
        <v>1229</v>
      </c>
      <c r="P84" s="72" t="s">
        <v>25</v>
      </c>
      <c r="Q84" s="44"/>
      <c r="R84" s="72" t="s">
        <v>1822</v>
      </c>
    </row>
    <row r="85" spans="2:18" x14ac:dyDescent="0.2">
      <c r="B85" s="135"/>
      <c r="C85" s="119"/>
      <c r="D85" s="44">
        <v>78</v>
      </c>
      <c r="E85" s="72" t="s">
        <v>125</v>
      </c>
      <c r="F85" s="44" t="s">
        <v>16</v>
      </c>
      <c r="G85" s="44" t="s">
        <v>126</v>
      </c>
      <c r="H85" s="44" t="s">
        <v>1</v>
      </c>
      <c r="I85" s="44" t="s">
        <v>13</v>
      </c>
      <c r="J85" s="72"/>
      <c r="K85" s="73">
        <v>42127</v>
      </c>
      <c r="L85" s="30">
        <v>2015</v>
      </c>
      <c r="M85" s="30">
        <f t="shared" si="10"/>
        <v>4</v>
      </c>
      <c r="N85" s="44" t="s">
        <v>3</v>
      </c>
      <c r="O85" s="44" t="s">
        <v>1229</v>
      </c>
      <c r="P85" s="72" t="s">
        <v>1246</v>
      </c>
      <c r="Q85" s="44"/>
      <c r="R85" s="72" t="s">
        <v>1822</v>
      </c>
    </row>
    <row r="86" spans="2:18" x14ac:dyDescent="0.2">
      <c r="B86" s="90">
        <v>25</v>
      </c>
      <c r="C86" s="44"/>
      <c r="D86" s="44">
        <v>79</v>
      </c>
      <c r="E86" s="72" t="s">
        <v>127</v>
      </c>
      <c r="F86" s="44" t="s">
        <v>6</v>
      </c>
      <c r="G86" s="44">
        <v>0</v>
      </c>
      <c r="H86" s="44" t="s">
        <v>1</v>
      </c>
      <c r="I86" s="44" t="s">
        <v>95</v>
      </c>
      <c r="J86" s="72"/>
      <c r="K86" s="73">
        <v>32988</v>
      </c>
      <c r="L86" s="30">
        <f>YEAR(K86)</f>
        <v>1990</v>
      </c>
      <c r="M86" s="30">
        <f t="shared" si="10"/>
        <v>29</v>
      </c>
      <c r="N86" s="44" t="s">
        <v>3</v>
      </c>
      <c r="O86" s="44"/>
      <c r="P86" s="72" t="s">
        <v>15</v>
      </c>
      <c r="Q86" s="44"/>
      <c r="R86" s="72" t="s">
        <v>45</v>
      </c>
    </row>
    <row r="87" spans="2:18" x14ac:dyDescent="0.2">
      <c r="B87" s="135">
        <v>26</v>
      </c>
      <c r="C87" s="119" t="s">
        <v>2231</v>
      </c>
      <c r="D87" s="44">
        <v>80</v>
      </c>
      <c r="E87" s="72" t="s">
        <v>128</v>
      </c>
      <c r="F87" s="44" t="s">
        <v>6</v>
      </c>
      <c r="G87" s="44" t="s">
        <v>129</v>
      </c>
      <c r="H87" s="44" t="s">
        <v>1</v>
      </c>
      <c r="I87" s="44" t="s">
        <v>2</v>
      </c>
      <c r="J87" s="72" t="s">
        <v>1232</v>
      </c>
      <c r="K87" s="73">
        <v>32473</v>
      </c>
      <c r="L87" s="30">
        <v>1988</v>
      </c>
      <c r="M87" s="30">
        <f t="shared" si="10"/>
        <v>31</v>
      </c>
      <c r="N87" s="44" t="s">
        <v>3</v>
      </c>
      <c r="O87" s="44" t="s">
        <v>1229</v>
      </c>
      <c r="P87" s="72" t="s">
        <v>1270</v>
      </c>
      <c r="Q87" s="44"/>
      <c r="R87" s="72" t="s">
        <v>5</v>
      </c>
    </row>
    <row r="88" spans="2:18" ht="25.5" x14ac:dyDescent="0.2">
      <c r="B88" s="135"/>
      <c r="C88" s="119"/>
      <c r="D88" s="44">
        <v>81</v>
      </c>
      <c r="E88" s="72" t="s">
        <v>130</v>
      </c>
      <c r="F88" s="44" t="s">
        <v>11</v>
      </c>
      <c r="G88" s="44" t="s">
        <v>131</v>
      </c>
      <c r="H88" s="44" t="s">
        <v>9</v>
      </c>
      <c r="I88" s="44" t="s">
        <v>2</v>
      </c>
      <c r="J88" s="72" t="s">
        <v>2232</v>
      </c>
      <c r="K88" s="73">
        <v>32599</v>
      </c>
      <c r="L88" s="30">
        <v>1989</v>
      </c>
      <c r="M88" s="30">
        <f t="shared" si="10"/>
        <v>30</v>
      </c>
      <c r="N88" s="44" t="s">
        <v>3</v>
      </c>
      <c r="O88" s="44" t="s">
        <v>1229</v>
      </c>
      <c r="P88" s="72" t="s">
        <v>1246</v>
      </c>
      <c r="Q88" s="44"/>
      <c r="R88" s="72" t="s">
        <v>1360</v>
      </c>
    </row>
    <row r="89" spans="2:18" ht="25.5" x14ac:dyDescent="0.2">
      <c r="B89" s="135"/>
      <c r="C89" s="119"/>
      <c r="D89" s="44">
        <v>82</v>
      </c>
      <c r="E89" s="72" t="s">
        <v>132</v>
      </c>
      <c r="F89" s="44" t="s">
        <v>16</v>
      </c>
      <c r="G89" s="44" t="s">
        <v>133</v>
      </c>
      <c r="H89" s="44" t="s">
        <v>9</v>
      </c>
      <c r="I89" s="44" t="s">
        <v>13</v>
      </c>
      <c r="J89" s="72" t="s">
        <v>1232</v>
      </c>
      <c r="K89" s="73">
        <v>41413</v>
      </c>
      <c r="L89" s="30">
        <v>2013</v>
      </c>
      <c r="M89" s="30">
        <f t="shared" si="10"/>
        <v>6</v>
      </c>
      <c r="N89" s="44" t="s">
        <v>3</v>
      </c>
      <c r="O89" s="44" t="s">
        <v>1229</v>
      </c>
      <c r="P89" s="72" t="s">
        <v>1258</v>
      </c>
      <c r="Q89" s="44"/>
      <c r="R89" s="72" t="s">
        <v>1332</v>
      </c>
    </row>
    <row r="90" spans="2:18" x14ac:dyDescent="0.2">
      <c r="B90" s="135">
        <v>27</v>
      </c>
      <c r="C90" s="119" t="s">
        <v>1857</v>
      </c>
      <c r="D90" s="44">
        <v>83</v>
      </c>
      <c r="E90" s="72" t="s">
        <v>136</v>
      </c>
      <c r="F90" s="44" t="s">
        <v>6</v>
      </c>
      <c r="G90" s="44" t="s">
        <v>137</v>
      </c>
      <c r="H90" s="44" t="s">
        <v>9</v>
      </c>
      <c r="I90" s="44" t="s">
        <v>1421</v>
      </c>
      <c r="J90" s="72" t="s">
        <v>1232</v>
      </c>
      <c r="K90" s="73">
        <v>31412</v>
      </c>
      <c r="L90" s="30">
        <v>1985</v>
      </c>
      <c r="M90" s="30">
        <f t="shared" si="10"/>
        <v>34</v>
      </c>
      <c r="N90" s="44" t="s">
        <v>3</v>
      </c>
      <c r="O90" s="44" t="s">
        <v>1229</v>
      </c>
      <c r="P90" s="72" t="s">
        <v>1246</v>
      </c>
      <c r="Q90" s="44"/>
      <c r="R90" s="72" t="s">
        <v>5</v>
      </c>
    </row>
    <row r="91" spans="2:18" ht="25.5" x14ac:dyDescent="0.2">
      <c r="B91" s="135"/>
      <c r="C91" s="119"/>
      <c r="D91" s="44">
        <v>84</v>
      </c>
      <c r="E91" s="72" t="s">
        <v>1858</v>
      </c>
      <c r="F91" s="44" t="s">
        <v>16</v>
      </c>
      <c r="G91" s="44" t="s">
        <v>138</v>
      </c>
      <c r="H91" s="44" t="s">
        <v>1</v>
      </c>
      <c r="I91" s="44" t="s">
        <v>1244</v>
      </c>
      <c r="J91" s="72" t="s">
        <v>1232</v>
      </c>
      <c r="K91" s="73">
        <v>38338</v>
      </c>
      <c r="L91" s="30">
        <v>2004</v>
      </c>
      <c r="M91" s="30">
        <f t="shared" si="10"/>
        <v>15</v>
      </c>
      <c r="N91" s="44" t="s">
        <v>3</v>
      </c>
      <c r="O91" s="44" t="s">
        <v>1229</v>
      </c>
      <c r="P91" s="72" t="s">
        <v>1247</v>
      </c>
      <c r="Q91" s="44"/>
      <c r="R91" s="72" t="s">
        <v>1822</v>
      </c>
    </row>
    <row r="92" spans="2:18" ht="25.5" x14ac:dyDescent="0.2">
      <c r="B92" s="135"/>
      <c r="C92" s="119"/>
      <c r="D92" s="44">
        <v>85</v>
      </c>
      <c r="E92" s="72" t="s">
        <v>1859</v>
      </c>
      <c r="F92" s="44" t="s">
        <v>16</v>
      </c>
      <c r="G92" s="44" t="s">
        <v>139</v>
      </c>
      <c r="H92" s="44" t="s">
        <v>9</v>
      </c>
      <c r="I92" s="44" t="s">
        <v>1244</v>
      </c>
      <c r="J92" s="72" t="s">
        <v>1860</v>
      </c>
      <c r="K92" s="73">
        <v>39915</v>
      </c>
      <c r="L92" s="30">
        <v>2009</v>
      </c>
      <c r="M92" s="30">
        <f t="shared" si="10"/>
        <v>10</v>
      </c>
      <c r="N92" s="44" t="s">
        <v>3</v>
      </c>
      <c r="O92" s="44" t="s">
        <v>1229</v>
      </c>
      <c r="P92" s="72" t="s">
        <v>1258</v>
      </c>
      <c r="Q92" s="44"/>
      <c r="R92" s="72" t="s">
        <v>1332</v>
      </c>
    </row>
    <row r="93" spans="2:18" ht="25.5" x14ac:dyDescent="0.2">
      <c r="B93" s="135"/>
      <c r="C93" s="119"/>
      <c r="D93" s="44">
        <v>86</v>
      </c>
      <c r="E93" s="72" t="s">
        <v>140</v>
      </c>
      <c r="F93" s="44" t="s">
        <v>16</v>
      </c>
      <c r="G93" s="44" t="s">
        <v>141</v>
      </c>
      <c r="H93" s="44" t="s">
        <v>1</v>
      </c>
      <c r="I93" s="44" t="s">
        <v>1244</v>
      </c>
      <c r="J93" s="72" t="s">
        <v>1860</v>
      </c>
      <c r="K93" s="73">
        <v>40966</v>
      </c>
      <c r="L93" s="30">
        <v>2012</v>
      </c>
      <c r="M93" s="30">
        <f t="shared" si="10"/>
        <v>7</v>
      </c>
      <c r="N93" s="44" t="s">
        <v>3</v>
      </c>
      <c r="O93" s="44" t="s">
        <v>1229</v>
      </c>
      <c r="P93" s="72" t="s">
        <v>1258</v>
      </c>
      <c r="Q93" s="44"/>
      <c r="R93" s="72" t="s">
        <v>1332</v>
      </c>
    </row>
    <row r="94" spans="2:18" ht="25.5" x14ac:dyDescent="0.2">
      <c r="B94" s="135">
        <v>28</v>
      </c>
      <c r="C94" s="119" t="s">
        <v>1861</v>
      </c>
      <c r="D94" s="44">
        <v>87</v>
      </c>
      <c r="E94" s="72" t="s">
        <v>142</v>
      </c>
      <c r="F94" s="44" t="s">
        <v>6</v>
      </c>
      <c r="G94" s="44" t="s">
        <v>143</v>
      </c>
      <c r="H94" s="44" t="s">
        <v>1</v>
      </c>
      <c r="I94" s="44" t="s">
        <v>2</v>
      </c>
      <c r="J94" s="72" t="s">
        <v>1232</v>
      </c>
      <c r="K94" s="73">
        <v>32508</v>
      </c>
      <c r="L94" s="30">
        <v>1988</v>
      </c>
      <c r="M94" s="30">
        <f t="shared" si="10"/>
        <v>31</v>
      </c>
      <c r="N94" s="44" t="s">
        <v>3</v>
      </c>
      <c r="O94" s="44" t="s">
        <v>1229</v>
      </c>
      <c r="P94" s="72" t="s">
        <v>1233</v>
      </c>
      <c r="Q94" s="44"/>
      <c r="R94" s="72" t="s">
        <v>1330</v>
      </c>
    </row>
    <row r="95" spans="2:18" ht="25.5" x14ac:dyDescent="0.2">
      <c r="B95" s="135"/>
      <c r="C95" s="119"/>
      <c r="D95" s="44">
        <v>88</v>
      </c>
      <c r="E95" s="72" t="s">
        <v>144</v>
      </c>
      <c r="F95" s="44" t="s">
        <v>11</v>
      </c>
      <c r="G95" s="44" t="s">
        <v>145</v>
      </c>
      <c r="H95" s="44" t="s">
        <v>9</v>
      </c>
      <c r="I95" s="44" t="s">
        <v>2</v>
      </c>
      <c r="J95" s="72" t="s">
        <v>1232</v>
      </c>
      <c r="K95" s="73">
        <v>30066</v>
      </c>
      <c r="L95" s="30">
        <v>1982</v>
      </c>
      <c r="M95" s="30">
        <f t="shared" si="10"/>
        <v>37</v>
      </c>
      <c r="N95" s="44" t="s">
        <v>3</v>
      </c>
      <c r="O95" s="44" t="s">
        <v>1229</v>
      </c>
      <c r="P95" s="72" t="s">
        <v>1233</v>
      </c>
      <c r="Q95" s="44"/>
      <c r="R95" s="72" t="s">
        <v>1330</v>
      </c>
    </row>
    <row r="96" spans="2:18" ht="25.5" x14ac:dyDescent="0.2">
      <c r="B96" s="135"/>
      <c r="C96" s="119"/>
      <c r="D96" s="44">
        <v>89</v>
      </c>
      <c r="E96" s="72" t="s">
        <v>146</v>
      </c>
      <c r="F96" s="44" t="s">
        <v>16</v>
      </c>
      <c r="G96" s="44" t="s">
        <v>147</v>
      </c>
      <c r="H96" s="44" t="s">
        <v>9</v>
      </c>
      <c r="I96" s="44" t="s">
        <v>13</v>
      </c>
      <c r="J96" s="72" t="s">
        <v>1232</v>
      </c>
      <c r="K96" s="73">
        <v>40648</v>
      </c>
      <c r="L96" s="30">
        <v>2011</v>
      </c>
      <c r="M96" s="30">
        <f t="shared" si="10"/>
        <v>8</v>
      </c>
      <c r="N96" s="44" t="s">
        <v>3</v>
      </c>
      <c r="O96" s="44" t="s">
        <v>1229</v>
      </c>
      <c r="P96" s="72" t="s">
        <v>1233</v>
      </c>
      <c r="Q96" s="44"/>
      <c r="R96" s="72" t="s">
        <v>1332</v>
      </c>
    </row>
    <row r="97" spans="2:18" x14ac:dyDescent="0.2">
      <c r="B97" s="90">
        <v>29</v>
      </c>
      <c r="C97" s="44"/>
      <c r="D97" s="44">
        <v>90</v>
      </c>
      <c r="E97" s="72" t="s">
        <v>148</v>
      </c>
      <c r="F97" s="44" t="s">
        <v>6</v>
      </c>
      <c r="G97" s="44">
        <v>0</v>
      </c>
      <c r="H97" s="44" t="s">
        <v>9</v>
      </c>
      <c r="I97" s="44" t="s">
        <v>19</v>
      </c>
      <c r="J97" s="72"/>
      <c r="K97" s="73">
        <v>18263</v>
      </c>
      <c r="L97" s="30">
        <f>YEAR(K97)</f>
        <v>1949</v>
      </c>
      <c r="M97" s="30">
        <f t="shared" si="10"/>
        <v>70</v>
      </c>
      <c r="N97" s="44" t="s">
        <v>3</v>
      </c>
      <c r="O97" s="44"/>
      <c r="P97" s="72" t="s">
        <v>15</v>
      </c>
      <c r="Q97" s="44"/>
      <c r="R97" s="72"/>
    </row>
    <row r="98" spans="2:18" ht="25.5" x14ac:dyDescent="0.2">
      <c r="B98" s="135">
        <v>30</v>
      </c>
      <c r="C98" s="119" t="s">
        <v>1862</v>
      </c>
      <c r="D98" s="44">
        <v>91</v>
      </c>
      <c r="E98" s="72" t="s">
        <v>149</v>
      </c>
      <c r="F98" s="44" t="s">
        <v>6</v>
      </c>
      <c r="G98" s="44" t="s">
        <v>150</v>
      </c>
      <c r="H98" s="44" t="s">
        <v>1</v>
      </c>
      <c r="I98" s="44" t="s">
        <v>2</v>
      </c>
      <c r="J98" s="72" t="s">
        <v>1232</v>
      </c>
      <c r="K98" s="73">
        <v>32428</v>
      </c>
      <c r="L98" s="30">
        <v>1988</v>
      </c>
      <c r="M98" s="30">
        <f t="shared" si="10"/>
        <v>31</v>
      </c>
      <c r="N98" s="44" t="s">
        <v>3</v>
      </c>
      <c r="O98" s="44" t="s">
        <v>1229</v>
      </c>
      <c r="P98" s="72" t="s">
        <v>1258</v>
      </c>
      <c r="Q98" s="44"/>
      <c r="R98" s="72" t="s">
        <v>1330</v>
      </c>
    </row>
    <row r="99" spans="2:18" ht="25.5" x14ac:dyDescent="0.2">
      <c r="B99" s="135"/>
      <c r="C99" s="119"/>
      <c r="D99" s="44">
        <v>92</v>
      </c>
      <c r="E99" s="72" t="s">
        <v>151</v>
      </c>
      <c r="F99" s="44" t="s">
        <v>11</v>
      </c>
      <c r="G99" s="44" t="s">
        <v>1863</v>
      </c>
      <c r="H99" s="44" t="s">
        <v>9</v>
      </c>
      <c r="I99" s="44" t="s">
        <v>2</v>
      </c>
      <c r="J99" s="72" t="s">
        <v>1232</v>
      </c>
      <c r="K99" s="73">
        <v>31594</v>
      </c>
      <c r="L99" s="30">
        <v>1986</v>
      </c>
      <c r="M99" s="30">
        <f t="shared" si="10"/>
        <v>33</v>
      </c>
      <c r="N99" s="44" t="s">
        <v>3</v>
      </c>
      <c r="O99" s="44" t="s">
        <v>1229</v>
      </c>
      <c r="P99" s="72" t="s">
        <v>1258</v>
      </c>
      <c r="Q99" s="44"/>
      <c r="R99" s="72" t="s">
        <v>1330</v>
      </c>
    </row>
    <row r="100" spans="2:18" ht="25.5" x14ac:dyDescent="0.2">
      <c r="B100" s="135"/>
      <c r="C100" s="119"/>
      <c r="D100" s="44">
        <v>93</v>
      </c>
      <c r="E100" s="72" t="s">
        <v>152</v>
      </c>
      <c r="F100" s="44" t="s">
        <v>16</v>
      </c>
      <c r="G100" s="44" t="s">
        <v>153</v>
      </c>
      <c r="H100" s="44" t="s">
        <v>9</v>
      </c>
      <c r="I100" s="44" t="s">
        <v>13</v>
      </c>
      <c r="J100" s="72" t="s">
        <v>1232</v>
      </c>
      <c r="K100" s="73">
        <v>40684</v>
      </c>
      <c r="L100" s="30">
        <v>2011</v>
      </c>
      <c r="M100" s="30">
        <f t="shared" si="10"/>
        <v>8</v>
      </c>
      <c r="N100" s="44" t="s">
        <v>3</v>
      </c>
      <c r="O100" s="44" t="s">
        <v>1229</v>
      </c>
      <c r="P100" s="72" t="s">
        <v>1258</v>
      </c>
      <c r="Q100" s="44"/>
      <c r="R100" s="72" t="s">
        <v>1332</v>
      </c>
    </row>
    <row r="101" spans="2:18" ht="25.5" x14ac:dyDescent="0.2">
      <c r="B101" s="135"/>
      <c r="C101" s="119"/>
      <c r="D101" s="44">
        <v>94</v>
      </c>
      <c r="E101" s="72" t="s">
        <v>1864</v>
      </c>
      <c r="F101" s="44" t="s">
        <v>16</v>
      </c>
      <c r="G101" s="44" t="s">
        <v>1865</v>
      </c>
      <c r="H101" s="44" t="s">
        <v>9</v>
      </c>
      <c r="I101" s="44" t="s">
        <v>13</v>
      </c>
      <c r="J101" s="72" t="s">
        <v>1316</v>
      </c>
      <c r="K101" s="73">
        <v>43038</v>
      </c>
      <c r="L101" s="30">
        <v>2017</v>
      </c>
      <c r="M101" s="30">
        <f t="shared" si="10"/>
        <v>2</v>
      </c>
      <c r="N101" s="44" t="s">
        <v>3</v>
      </c>
      <c r="O101" s="44" t="s">
        <v>1229</v>
      </c>
      <c r="P101" s="72" t="s">
        <v>1258</v>
      </c>
      <c r="Q101" s="44"/>
      <c r="R101" s="72" t="s">
        <v>1332</v>
      </c>
    </row>
    <row r="102" spans="2:18" x14ac:dyDescent="0.2">
      <c r="B102" s="135">
        <v>31</v>
      </c>
      <c r="C102" s="119"/>
      <c r="D102" s="44">
        <v>95</v>
      </c>
      <c r="E102" s="72" t="s">
        <v>154</v>
      </c>
      <c r="F102" s="44" t="s">
        <v>6</v>
      </c>
      <c r="G102" s="44" t="s">
        <v>155</v>
      </c>
      <c r="H102" s="44" t="s">
        <v>1</v>
      </c>
      <c r="I102" s="44" t="s">
        <v>2</v>
      </c>
      <c r="J102" s="72"/>
      <c r="K102" s="73">
        <v>32508</v>
      </c>
      <c r="L102" s="30">
        <f t="shared" ref="L102:L110" si="11">YEAR(K102)</f>
        <v>1988</v>
      </c>
      <c r="M102" s="30">
        <f t="shared" si="10"/>
        <v>31</v>
      </c>
      <c r="N102" s="44" t="s">
        <v>3</v>
      </c>
      <c r="O102" s="44"/>
      <c r="P102" s="72" t="s">
        <v>4</v>
      </c>
      <c r="Q102" s="44"/>
      <c r="R102" s="72" t="s">
        <v>45</v>
      </c>
    </row>
    <row r="103" spans="2:18" x14ac:dyDescent="0.2">
      <c r="B103" s="135"/>
      <c r="C103" s="119"/>
      <c r="D103" s="44">
        <v>96</v>
      </c>
      <c r="E103" s="72" t="s">
        <v>156</v>
      </c>
      <c r="F103" s="44" t="s">
        <v>11</v>
      </c>
      <c r="G103" s="44" t="s">
        <v>157</v>
      </c>
      <c r="H103" s="44" t="s">
        <v>9</v>
      </c>
      <c r="I103" s="44" t="s">
        <v>2</v>
      </c>
      <c r="J103" s="72"/>
      <c r="K103" s="73">
        <v>34449</v>
      </c>
      <c r="L103" s="30">
        <f t="shared" si="11"/>
        <v>1994</v>
      </c>
      <c r="M103" s="30">
        <f t="shared" si="10"/>
        <v>25</v>
      </c>
      <c r="N103" s="44" t="s">
        <v>3</v>
      </c>
      <c r="O103" s="44"/>
      <c r="P103" s="72" t="s">
        <v>4</v>
      </c>
      <c r="Q103" s="44"/>
      <c r="R103" s="72" t="s">
        <v>5</v>
      </c>
    </row>
    <row r="104" spans="2:18" x14ac:dyDescent="0.2">
      <c r="B104" s="135"/>
      <c r="C104" s="119"/>
      <c r="D104" s="44">
        <v>97</v>
      </c>
      <c r="E104" s="72" t="s">
        <v>158</v>
      </c>
      <c r="F104" s="44" t="s">
        <v>16</v>
      </c>
      <c r="G104" s="44" t="s">
        <v>159</v>
      </c>
      <c r="H104" s="44" t="s">
        <v>9</v>
      </c>
      <c r="I104" s="44" t="s">
        <v>13</v>
      </c>
      <c r="J104" s="72"/>
      <c r="K104" s="73">
        <v>14976</v>
      </c>
      <c r="L104" s="30">
        <f t="shared" si="11"/>
        <v>1940</v>
      </c>
      <c r="M104" s="30">
        <f t="shared" si="10"/>
        <v>79</v>
      </c>
      <c r="N104" s="44" t="s">
        <v>3</v>
      </c>
      <c r="O104" s="44"/>
      <c r="P104" s="72" t="s">
        <v>15</v>
      </c>
      <c r="Q104" s="44"/>
      <c r="R104" s="72" t="s">
        <v>15</v>
      </c>
    </row>
    <row r="105" spans="2:18" x14ac:dyDescent="0.2">
      <c r="B105" s="135">
        <v>32</v>
      </c>
      <c r="C105" s="119"/>
      <c r="D105" s="44">
        <v>98</v>
      </c>
      <c r="E105" s="72" t="s">
        <v>160</v>
      </c>
      <c r="F105" s="44" t="s">
        <v>6</v>
      </c>
      <c r="G105" s="44" t="s">
        <v>161</v>
      </c>
      <c r="H105" s="44" t="s">
        <v>9</v>
      </c>
      <c r="I105" s="44" t="s">
        <v>19</v>
      </c>
      <c r="J105" s="72"/>
      <c r="K105" s="73">
        <v>15706</v>
      </c>
      <c r="L105" s="30">
        <f t="shared" si="11"/>
        <v>1942</v>
      </c>
      <c r="M105" s="30">
        <f t="shared" si="10"/>
        <v>77</v>
      </c>
      <c r="N105" s="44" t="s">
        <v>3</v>
      </c>
      <c r="O105" s="44"/>
      <c r="P105" s="72" t="s">
        <v>15</v>
      </c>
      <c r="Q105" s="44"/>
      <c r="R105" s="72" t="s">
        <v>5</v>
      </c>
    </row>
    <row r="106" spans="2:18" x14ac:dyDescent="0.2">
      <c r="B106" s="135"/>
      <c r="C106" s="119"/>
      <c r="D106" s="44">
        <v>99</v>
      </c>
      <c r="E106" s="72" t="s">
        <v>162</v>
      </c>
      <c r="F106" s="44" t="s">
        <v>20</v>
      </c>
      <c r="G106" s="44" t="s">
        <v>163</v>
      </c>
      <c r="H106" s="44" t="s">
        <v>9</v>
      </c>
      <c r="I106" s="44" t="s">
        <v>13</v>
      </c>
      <c r="J106" s="72"/>
      <c r="K106" s="73">
        <v>35381</v>
      </c>
      <c r="L106" s="30">
        <f t="shared" si="11"/>
        <v>1996</v>
      </c>
      <c r="M106" s="30">
        <f t="shared" si="10"/>
        <v>23</v>
      </c>
      <c r="N106" s="44" t="s">
        <v>3</v>
      </c>
      <c r="O106" s="44"/>
      <c r="P106" s="72" t="s">
        <v>25</v>
      </c>
      <c r="Q106" s="44"/>
      <c r="R106" s="72" t="s">
        <v>15</v>
      </c>
    </row>
    <row r="107" spans="2:18" ht="25.5" x14ac:dyDescent="0.2">
      <c r="B107" s="135">
        <v>33</v>
      </c>
      <c r="C107" s="119"/>
      <c r="D107" s="44">
        <v>100</v>
      </c>
      <c r="E107" s="72" t="s">
        <v>164</v>
      </c>
      <c r="F107" s="44" t="s">
        <v>6</v>
      </c>
      <c r="G107" s="44" t="s">
        <v>165</v>
      </c>
      <c r="H107" s="44" t="s">
        <v>1</v>
      </c>
      <c r="I107" s="44" t="s">
        <v>2</v>
      </c>
      <c r="J107" s="72"/>
      <c r="K107" s="73">
        <v>35412</v>
      </c>
      <c r="L107" s="30">
        <f t="shared" si="11"/>
        <v>1996</v>
      </c>
      <c r="M107" s="30">
        <f t="shared" si="10"/>
        <v>23</v>
      </c>
      <c r="N107" s="44" t="s">
        <v>3</v>
      </c>
      <c r="O107" s="44"/>
      <c r="P107" s="72" t="s">
        <v>14</v>
      </c>
      <c r="Q107" s="44"/>
      <c r="R107" s="72" t="s">
        <v>10</v>
      </c>
    </row>
    <row r="108" spans="2:18" x14ac:dyDescent="0.2">
      <c r="B108" s="135"/>
      <c r="C108" s="119"/>
      <c r="D108" s="44">
        <v>101</v>
      </c>
      <c r="E108" s="72" t="s">
        <v>166</v>
      </c>
      <c r="F108" s="44" t="s">
        <v>11</v>
      </c>
      <c r="G108" s="44" t="s">
        <v>167</v>
      </c>
      <c r="H108" s="44" t="s">
        <v>9</v>
      </c>
      <c r="I108" s="44" t="s">
        <v>2</v>
      </c>
      <c r="J108" s="72"/>
      <c r="K108" s="73">
        <v>30792</v>
      </c>
      <c r="L108" s="30">
        <f t="shared" si="11"/>
        <v>1984</v>
      </c>
      <c r="M108" s="30">
        <f t="shared" si="10"/>
        <v>35</v>
      </c>
      <c r="N108" s="44" t="s">
        <v>3</v>
      </c>
      <c r="O108" s="44"/>
      <c r="P108" s="72" t="s">
        <v>4</v>
      </c>
      <c r="Q108" s="44"/>
      <c r="R108" s="72" t="s">
        <v>10</v>
      </c>
    </row>
    <row r="109" spans="2:18" x14ac:dyDescent="0.2">
      <c r="B109" s="135"/>
      <c r="C109" s="119"/>
      <c r="D109" s="44">
        <v>102</v>
      </c>
      <c r="E109" s="72" t="s">
        <v>168</v>
      </c>
      <c r="F109" s="44" t="s">
        <v>16</v>
      </c>
      <c r="G109" s="44" t="s">
        <v>169</v>
      </c>
      <c r="H109" s="44" t="s">
        <v>9</v>
      </c>
      <c r="I109" s="44" t="s">
        <v>13</v>
      </c>
      <c r="J109" s="72"/>
      <c r="K109" s="73">
        <v>33834</v>
      </c>
      <c r="L109" s="30">
        <f t="shared" si="11"/>
        <v>1992</v>
      </c>
      <c r="M109" s="30">
        <f t="shared" si="10"/>
        <v>27</v>
      </c>
      <c r="N109" s="44" t="s">
        <v>3</v>
      </c>
      <c r="O109" s="44"/>
      <c r="P109" s="72" t="s">
        <v>15</v>
      </c>
      <c r="Q109" s="44"/>
      <c r="R109" s="72" t="s">
        <v>15</v>
      </c>
    </row>
    <row r="110" spans="2:18" x14ac:dyDescent="0.2">
      <c r="B110" s="135"/>
      <c r="C110" s="119"/>
      <c r="D110" s="44">
        <v>103</v>
      </c>
      <c r="E110" s="72" t="s">
        <v>170</v>
      </c>
      <c r="F110" s="44" t="s">
        <v>16</v>
      </c>
      <c r="G110" s="44">
        <v>0</v>
      </c>
      <c r="H110" s="44" t="s">
        <v>9</v>
      </c>
      <c r="I110" s="44" t="s">
        <v>13</v>
      </c>
      <c r="J110" s="72"/>
      <c r="K110" s="73">
        <v>40800</v>
      </c>
      <c r="L110" s="30">
        <f t="shared" si="11"/>
        <v>2011</v>
      </c>
      <c r="M110" s="30">
        <f t="shared" si="10"/>
        <v>8</v>
      </c>
      <c r="N110" s="44" t="s">
        <v>3</v>
      </c>
      <c r="O110" s="44"/>
      <c r="P110" s="72" t="s">
        <v>15</v>
      </c>
      <c r="Q110" s="44"/>
      <c r="R110" s="72" t="s">
        <v>15</v>
      </c>
    </row>
    <row r="111" spans="2:18" x14ac:dyDescent="0.2">
      <c r="B111" s="135">
        <v>34</v>
      </c>
      <c r="C111" s="119" t="s">
        <v>1866</v>
      </c>
      <c r="D111" s="44">
        <v>104</v>
      </c>
      <c r="E111" s="72" t="s">
        <v>1867</v>
      </c>
      <c r="F111" s="44" t="s">
        <v>6</v>
      </c>
      <c r="G111" s="44" t="s">
        <v>171</v>
      </c>
      <c r="H111" s="44" t="s">
        <v>1</v>
      </c>
      <c r="I111" s="44" t="s">
        <v>2</v>
      </c>
      <c r="J111" s="72" t="s">
        <v>1232</v>
      </c>
      <c r="K111" s="73">
        <v>32988</v>
      </c>
      <c r="L111" s="30">
        <v>1990</v>
      </c>
      <c r="M111" s="30">
        <f t="shared" si="10"/>
        <v>29</v>
      </c>
      <c r="N111" s="44" t="s">
        <v>3</v>
      </c>
      <c r="O111" s="44" t="s">
        <v>1229</v>
      </c>
      <c r="P111" s="72" t="s">
        <v>25</v>
      </c>
      <c r="Q111" s="44"/>
      <c r="R111" s="72" t="s">
        <v>5</v>
      </c>
    </row>
    <row r="112" spans="2:18" ht="25.5" x14ac:dyDescent="0.2">
      <c r="B112" s="135"/>
      <c r="C112" s="119"/>
      <c r="D112" s="44">
        <v>105</v>
      </c>
      <c r="E112" s="72" t="s">
        <v>1868</v>
      </c>
      <c r="F112" s="44" t="s">
        <v>11</v>
      </c>
      <c r="G112" s="44" t="s">
        <v>172</v>
      </c>
      <c r="H112" s="44" t="s">
        <v>9</v>
      </c>
      <c r="I112" s="44" t="s">
        <v>2</v>
      </c>
      <c r="J112" s="72" t="s">
        <v>1869</v>
      </c>
      <c r="K112" s="73">
        <v>33420</v>
      </c>
      <c r="L112" s="30">
        <v>1991</v>
      </c>
      <c r="M112" s="30">
        <f t="shared" si="10"/>
        <v>28</v>
      </c>
      <c r="N112" s="44" t="s">
        <v>3</v>
      </c>
      <c r="O112" s="44" t="s">
        <v>1229</v>
      </c>
      <c r="P112" s="72" t="s">
        <v>1270</v>
      </c>
      <c r="Q112" s="44"/>
      <c r="R112" s="72" t="s">
        <v>1360</v>
      </c>
    </row>
    <row r="113" spans="2:18" ht="25.5" x14ac:dyDescent="0.2">
      <c r="B113" s="135"/>
      <c r="C113" s="119"/>
      <c r="D113" s="44">
        <v>106</v>
      </c>
      <c r="E113" s="72" t="s">
        <v>173</v>
      </c>
      <c r="F113" s="44" t="s">
        <v>16</v>
      </c>
      <c r="G113" s="44" t="s">
        <v>174</v>
      </c>
      <c r="H113" s="44" t="s">
        <v>9</v>
      </c>
      <c r="I113" s="44" t="s">
        <v>13</v>
      </c>
      <c r="J113" s="72" t="s">
        <v>1232</v>
      </c>
      <c r="K113" s="73">
        <v>41765</v>
      </c>
      <c r="L113" s="30">
        <v>2014</v>
      </c>
      <c r="M113" s="30">
        <f t="shared" si="10"/>
        <v>5</v>
      </c>
      <c r="N113" s="44" t="s">
        <v>3</v>
      </c>
      <c r="O113" s="44" t="s">
        <v>1229</v>
      </c>
      <c r="P113" s="72" t="s">
        <v>1258</v>
      </c>
      <c r="Q113" s="44"/>
      <c r="R113" s="72" t="s">
        <v>1332</v>
      </c>
    </row>
    <row r="114" spans="2:18" x14ac:dyDescent="0.2">
      <c r="B114" s="135">
        <v>35</v>
      </c>
      <c r="C114" s="119"/>
      <c r="D114" s="44">
        <v>107</v>
      </c>
      <c r="E114" s="72" t="s">
        <v>175</v>
      </c>
      <c r="F114" s="44" t="s">
        <v>6</v>
      </c>
      <c r="G114" s="44" t="s">
        <v>176</v>
      </c>
      <c r="H114" s="44" t="s">
        <v>1</v>
      </c>
      <c r="I114" s="44" t="s">
        <v>2</v>
      </c>
      <c r="J114" s="72"/>
      <c r="K114" s="73">
        <v>38271</v>
      </c>
      <c r="L114" s="30">
        <f t="shared" ref="L114:L124" si="12">YEAR(K114)</f>
        <v>2004</v>
      </c>
      <c r="M114" s="30">
        <f t="shared" si="10"/>
        <v>15</v>
      </c>
      <c r="N114" s="44" t="s">
        <v>3</v>
      </c>
      <c r="O114" s="44"/>
      <c r="P114" s="72" t="s">
        <v>15</v>
      </c>
      <c r="Q114" s="44"/>
      <c r="R114" s="72" t="s">
        <v>34</v>
      </c>
    </row>
    <row r="115" spans="2:18" x14ac:dyDescent="0.2">
      <c r="B115" s="135"/>
      <c r="C115" s="119"/>
      <c r="D115" s="44">
        <v>108</v>
      </c>
      <c r="E115" s="72" t="s">
        <v>177</v>
      </c>
      <c r="F115" s="44" t="s">
        <v>11</v>
      </c>
      <c r="G115" s="44" t="s">
        <v>178</v>
      </c>
      <c r="H115" s="44" t="s">
        <v>9</v>
      </c>
      <c r="I115" s="44" t="s">
        <v>2</v>
      </c>
      <c r="J115" s="72"/>
      <c r="K115" s="73">
        <v>41162</v>
      </c>
      <c r="L115" s="30">
        <f t="shared" si="12"/>
        <v>2012</v>
      </c>
      <c r="M115" s="30">
        <f t="shared" si="10"/>
        <v>7</v>
      </c>
      <c r="N115" s="44" t="s">
        <v>3</v>
      </c>
      <c r="O115" s="44"/>
      <c r="P115" s="72" t="s">
        <v>15</v>
      </c>
      <c r="Q115" s="44"/>
      <c r="R115" s="72" t="s">
        <v>34</v>
      </c>
    </row>
    <row r="116" spans="2:18" x14ac:dyDescent="0.2">
      <c r="B116" s="135">
        <v>36</v>
      </c>
      <c r="C116" s="119"/>
      <c r="D116" s="44">
        <v>109</v>
      </c>
      <c r="E116" s="72" t="s">
        <v>179</v>
      </c>
      <c r="F116" s="44" t="s">
        <v>6</v>
      </c>
      <c r="G116" s="44">
        <v>0</v>
      </c>
      <c r="H116" s="44" t="s">
        <v>1</v>
      </c>
      <c r="I116" s="44" t="s">
        <v>2</v>
      </c>
      <c r="J116" s="72"/>
      <c r="K116" s="73">
        <v>16254</v>
      </c>
      <c r="L116" s="30">
        <f t="shared" si="12"/>
        <v>1944</v>
      </c>
      <c r="M116" s="30">
        <f t="shared" si="10"/>
        <v>75</v>
      </c>
      <c r="N116" s="44" t="s">
        <v>3</v>
      </c>
      <c r="O116" s="44"/>
      <c r="P116" s="72" t="s">
        <v>15</v>
      </c>
      <c r="Q116" s="44"/>
      <c r="R116" s="72" t="s">
        <v>34</v>
      </c>
    </row>
    <row r="117" spans="2:18" x14ac:dyDescent="0.2">
      <c r="B117" s="135"/>
      <c r="C117" s="119"/>
      <c r="D117" s="44">
        <v>110</v>
      </c>
      <c r="E117" s="72" t="s">
        <v>180</v>
      </c>
      <c r="F117" s="44" t="s">
        <v>11</v>
      </c>
      <c r="G117" s="44">
        <v>0</v>
      </c>
      <c r="H117" s="44" t="s">
        <v>9</v>
      </c>
      <c r="I117" s="44" t="s">
        <v>2</v>
      </c>
      <c r="J117" s="72"/>
      <c r="K117" s="73">
        <v>36525</v>
      </c>
      <c r="L117" s="30">
        <f t="shared" si="12"/>
        <v>1999</v>
      </c>
      <c r="M117" s="30">
        <f t="shared" si="10"/>
        <v>20</v>
      </c>
      <c r="N117" s="44" t="s">
        <v>3</v>
      </c>
      <c r="O117" s="44"/>
      <c r="P117" s="72" t="s">
        <v>15</v>
      </c>
      <c r="Q117" s="44"/>
      <c r="R117" s="72" t="s">
        <v>34</v>
      </c>
    </row>
    <row r="118" spans="2:18" x14ac:dyDescent="0.2">
      <c r="B118" s="135"/>
      <c r="C118" s="119"/>
      <c r="D118" s="44">
        <v>111</v>
      </c>
      <c r="E118" s="72" t="s">
        <v>181</v>
      </c>
      <c r="F118" s="44" t="s">
        <v>16</v>
      </c>
      <c r="G118" s="44">
        <v>0</v>
      </c>
      <c r="H118" s="44" t="s">
        <v>1</v>
      </c>
      <c r="I118" s="44" t="s">
        <v>13</v>
      </c>
      <c r="J118" s="72"/>
      <c r="K118" s="73">
        <v>19176</v>
      </c>
      <c r="L118" s="30">
        <f t="shared" si="12"/>
        <v>1952</v>
      </c>
      <c r="M118" s="30">
        <f t="shared" si="10"/>
        <v>67</v>
      </c>
      <c r="N118" s="44" t="s">
        <v>3</v>
      </c>
      <c r="O118" s="44"/>
      <c r="P118" s="72" t="s">
        <v>15</v>
      </c>
      <c r="Q118" s="44"/>
      <c r="R118" s="72" t="s">
        <v>15</v>
      </c>
    </row>
    <row r="119" spans="2:18" x14ac:dyDescent="0.2">
      <c r="B119" s="135">
        <v>37</v>
      </c>
      <c r="C119" s="119"/>
      <c r="D119" s="44">
        <v>112</v>
      </c>
      <c r="E119" s="72" t="s">
        <v>182</v>
      </c>
      <c r="F119" s="44" t="s">
        <v>6</v>
      </c>
      <c r="G119" s="44" t="s">
        <v>183</v>
      </c>
      <c r="H119" s="44" t="s">
        <v>9</v>
      </c>
      <c r="I119" s="44" t="s">
        <v>19</v>
      </c>
      <c r="J119" s="72"/>
      <c r="K119" s="73">
        <v>24289</v>
      </c>
      <c r="L119" s="30">
        <f t="shared" si="12"/>
        <v>1966</v>
      </c>
      <c r="M119" s="30">
        <f t="shared" si="10"/>
        <v>53</v>
      </c>
      <c r="N119" s="44" t="s">
        <v>3</v>
      </c>
      <c r="O119" s="44"/>
      <c r="P119" s="72" t="s">
        <v>15</v>
      </c>
      <c r="Q119" s="44"/>
      <c r="R119" s="72" t="s">
        <v>45</v>
      </c>
    </row>
    <row r="120" spans="2:18" x14ac:dyDescent="0.2">
      <c r="B120" s="135"/>
      <c r="C120" s="119"/>
      <c r="D120" s="44">
        <v>113</v>
      </c>
      <c r="E120" s="72" t="s">
        <v>184</v>
      </c>
      <c r="F120" s="44" t="s">
        <v>16</v>
      </c>
      <c r="G120" s="44">
        <v>0</v>
      </c>
      <c r="H120" s="44" t="s">
        <v>9</v>
      </c>
      <c r="I120" s="44" t="s">
        <v>19</v>
      </c>
      <c r="J120" s="72"/>
      <c r="K120" s="73">
        <v>35152</v>
      </c>
      <c r="L120" s="30">
        <f t="shared" si="12"/>
        <v>1996</v>
      </c>
      <c r="M120" s="30">
        <f t="shared" si="10"/>
        <v>23</v>
      </c>
      <c r="N120" s="44" t="s">
        <v>3</v>
      </c>
      <c r="O120" s="44"/>
      <c r="P120" s="72" t="s">
        <v>14</v>
      </c>
      <c r="Q120" s="44"/>
      <c r="R120" s="72" t="s">
        <v>15</v>
      </c>
    </row>
    <row r="121" spans="2:18" x14ac:dyDescent="0.2">
      <c r="B121" s="139">
        <v>38</v>
      </c>
      <c r="C121" s="139"/>
      <c r="D121" s="44">
        <v>114</v>
      </c>
      <c r="E121" s="72" t="s">
        <v>185</v>
      </c>
      <c r="F121" s="44" t="s">
        <v>6</v>
      </c>
      <c r="G121" s="44" t="s">
        <v>186</v>
      </c>
      <c r="H121" s="44" t="s">
        <v>1</v>
      </c>
      <c r="I121" s="44" t="s">
        <v>2</v>
      </c>
      <c r="J121" s="72"/>
      <c r="K121" s="73">
        <v>25385</v>
      </c>
      <c r="L121" s="30">
        <f t="shared" si="12"/>
        <v>1969</v>
      </c>
      <c r="M121" s="30">
        <f t="shared" si="10"/>
        <v>50</v>
      </c>
      <c r="N121" s="44" t="s">
        <v>3</v>
      </c>
      <c r="O121" s="44"/>
      <c r="P121" s="72" t="s">
        <v>4</v>
      </c>
      <c r="Q121" s="44"/>
      <c r="R121" s="72" t="s">
        <v>34</v>
      </c>
    </row>
    <row r="122" spans="2:18" x14ac:dyDescent="0.2">
      <c r="B122" s="140"/>
      <c r="C122" s="140"/>
      <c r="D122" s="44">
        <v>115</v>
      </c>
      <c r="E122" s="72" t="s">
        <v>187</v>
      </c>
      <c r="F122" s="44" t="s">
        <v>11</v>
      </c>
      <c r="G122" s="44" t="s">
        <v>188</v>
      </c>
      <c r="H122" s="44" t="s">
        <v>9</v>
      </c>
      <c r="I122" s="44" t="s">
        <v>2</v>
      </c>
      <c r="J122" s="72"/>
      <c r="K122" s="73">
        <v>22280</v>
      </c>
      <c r="L122" s="30">
        <f t="shared" si="12"/>
        <v>1960</v>
      </c>
      <c r="M122" s="30">
        <f t="shared" si="10"/>
        <v>59</v>
      </c>
      <c r="N122" s="44" t="s">
        <v>3</v>
      </c>
      <c r="O122" s="44"/>
      <c r="P122" s="72" t="s">
        <v>14</v>
      </c>
      <c r="Q122" s="44"/>
      <c r="R122" s="72" t="s">
        <v>15</v>
      </c>
    </row>
    <row r="123" spans="2:18" x14ac:dyDescent="0.2">
      <c r="B123" s="140"/>
      <c r="C123" s="140"/>
      <c r="D123" s="44">
        <v>116</v>
      </c>
      <c r="E123" s="72" t="s">
        <v>189</v>
      </c>
      <c r="F123" s="44" t="s">
        <v>16</v>
      </c>
      <c r="G123" s="44" t="s">
        <v>190</v>
      </c>
      <c r="H123" s="44" t="s">
        <v>9</v>
      </c>
      <c r="I123" s="44" t="s">
        <v>13</v>
      </c>
      <c r="J123" s="72"/>
      <c r="K123" s="73">
        <v>16802</v>
      </c>
      <c r="L123" s="30">
        <f t="shared" si="12"/>
        <v>1945</v>
      </c>
      <c r="M123" s="30">
        <f t="shared" si="10"/>
        <v>74</v>
      </c>
      <c r="N123" s="44" t="s">
        <v>3</v>
      </c>
      <c r="O123" s="44"/>
      <c r="P123" s="72" t="s">
        <v>15</v>
      </c>
      <c r="Q123" s="44"/>
      <c r="R123" s="72" t="s">
        <v>15</v>
      </c>
    </row>
    <row r="124" spans="2:18" x14ac:dyDescent="0.2">
      <c r="B124" s="141"/>
      <c r="C124" s="141"/>
      <c r="D124" s="44">
        <v>117</v>
      </c>
      <c r="E124" s="72" t="s">
        <v>191</v>
      </c>
      <c r="F124" s="44" t="s">
        <v>16</v>
      </c>
      <c r="G124" s="44">
        <v>0</v>
      </c>
      <c r="H124" s="44" t="s">
        <v>9</v>
      </c>
      <c r="I124" s="44" t="s">
        <v>13</v>
      </c>
      <c r="J124" s="72"/>
      <c r="K124" s="73">
        <v>25203</v>
      </c>
      <c r="L124" s="30">
        <f t="shared" si="12"/>
        <v>1968</v>
      </c>
      <c r="M124" s="30">
        <f t="shared" si="10"/>
        <v>51</v>
      </c>
      <c r="N124" s="44" t="s">
        <v>3</v>
      </c>
      <c r="O124" s="44"/>
      <c r="P124" s="72" t="s">
        <v>15</v>
      </c>
      <c r="Q124" s="44"/>
      <c r="R124" s="72" t="s">
        <v>34</v>
      </c>
    </row>
    <row r="125" spans="2:18" ht="25.5" x14ac:dyDescent="0.2">
      <c r="B125" s="90">
        <v>39</v>
      </c>
      <c r="C125" s="44" t="s">
        <v>1870</v>
      </c>
      <c r="D125" s="44">
        <v>118</v>
      </c>
      <c r="E125" s="72" t="s">
        <v>192</v>
      </c>
      <c r="F125" s="44" t="s">
        <v>6</v>
      </c>
      <c r="G125" s="44" t="s">
        <v>193</v>
      </c>
      <c r="H125" s="44" t="s">
        <v>9</v>
      </c>
      <c r="I125" s="44" t="s">
        <v>1296</v>
      </c>
      <c r="J125" s="72" t="s">
        <v>1232</v>
      </c>
      <c r="K125" s="73">
        <v>19397</v>
      </c>
      <c r="L125" s="30">
        <v>1953</v>
      </c>
      <c r="M125" s="30">
        <f t="shared" si="10"/>
        <v>66</v>
      </c>
      <c r="N125" s="44" t="s">
        <v>3</v>
      </c>
      <c r="O125" s="44" t="s">
        <v>1229</v>
      </c>
      <c r="P125" s="72" t="s">
        <v>1258</v>
      </c>
      <c r="Q125" s="44"/>
      <c r="R125" s="72" t="s">
        <v>1871</v>
      </c>
    </row>
    <row r="126" spans="2:18" ht="25.5" x14ac:dyDescent="0.2">
      <c r="B126" s="135">
        <v>40</v>
      </c>
      <c r="C126" s="119" t="s">
        <v>1872</v>
      </c>
      <c r="D126" s="44">
        <v>119</v>
      </c>
      <c r="E126" s="72" t="s">
        <v>194</v>
      </c>
      <c r="F126" s="44" t="s">
        <v>6</v>
      </c>
      <c r="G126" s="44" t="s">
        <v>195</v>
      </c>
      <c r="H126" s="44" t="s">
        <v>1</v>
      </c>
      <c r="I126" s="44" t="s">
        <v>2</v>
      </c>
      <c r="J126" s="72" t="s">
        <v>1232</v>
      </c>
      <c r="K126" s="73">
        <v>25606</v>
      </c>
      <c r="L126" s="30">
        <v>1970</v>
      </c>
      <c r="M126" s="30">
        <f t="shared" si="10"/>
        <v>49</v>
      </c>
      <c r="N126" s="44" t="s">
        <v>3</v>
      </c>
      <c r="O126" s="44" t="s">
        <v>1229</v>
      </c>
      <c r="P126" s="72" t="s">
        <v>1258</v>
      </c>
      <c r="Q126" s="44"/>
      <c r="R126" s="72" t="s">
        <v>1815</v>
      </c>
    </row>
    <row r="127" spans="2:18" ht="25.5" x14ac:dyDescent="0.2">
      <c r="B127" s="135"/>
      <c r="C127" s="119"/>
      <c r="D127" s="44">
        <v>120</v>
      </c>
      <c r="E127" s="72" t="s">
        <v>196</v>
      </c>
      <c r="F127" s="44" t="s">
        <v>11</v>
      </c>
      <c r="G127" s="44" t="s">
        <v>1873</v>
      </c>
      <c r="H127" s="44" t="s">
        <v>9</v>
      </c>
      <c r="I127" s="44" t="s">
        <v>2</v>
      </c>
      <c r="J127" s="72" t="s">
        <v>1232</v>
      </c>
      <c r="K127" s="73">
        <v>27029</v>
      </c>
      <c r="L127" s="30">
        <v>1973</v>
      </c>
      <c r="M127" s="30">
        <f t="shared" si="10"/>
        <v>46</v>
      </c>
      <c r="N127" s="44" t="s">
        <v>3</v>
      </c>
      <c r="O127" s="44" t="s">
        <v>1229</v>
      </c>
      <c r="P127" s="72" t="s">
        <v>1258</v>
      </c>
      <c r="Q127" s="44"/>
      <c r="R127" s="72" t="s">
        <v>1360</v>
      </c>
    </row>
    <row r="128" spans="2:18" x14ac:dyDescent="0.2">
      <c r="B128" s="135"/>
      <c r="C128" s="119"/>
      <c r="D128" s="44">
        <v>121</v>
      </c>
      <c r="E128" s="72" t="s">
        <v>197</v>
      </c>
      <c r="F128" s="44" t="s">
        <v>16</v>
      </c>
      <c r="G128" s="44" t="s">
        <v>1874</v>
      </c>
      <c r="H128" s="44" t="s">
        <v>1</v>
      </c>
      <c r="I128" s="44" t="s">
        <v>13</v>
      </c>
      <c r="J128" s="72" t="s">
        <v>1232</v>
      </c>
      <c r="K128" s="73">
        <v>34334</v>
      </c>
      <c r="L128" s="30">
        <v>1993</v>
      </c>
      <c r="M128" s="30">
        <f t="shared" si="10"/>
        <v>26</v>
      </c>
      <c r="N128" s="44" t="s">
        <v>3</v>
      </c>
      <c r="O128" s="44" t="s">
        <v>1229</v>
      </c>
      <c r="P128" s="72" t="s">
        <v>1270</v>
      </c>
      <c r="Q128" s="44"/>
      <c r="R128" s="72" t="s">
        <v>5</v>
      </c>
    </row>
    <row r="129" spans="2:18" x14ac:dyDescent="0.2">
      <c r="B129" s="135"/>
      <c r="C129" s="119"/>
      <c r="D129" s="44">
        <v>122</v>
      </c>
      <c r="E129" s="72" t="s">
        <v>198</v>
      </c>
      <c r="F129" s="44" t="s">
        <v>16</v>
      </c>
      <c r="G129" s="44" t="s">
        <v>1875</v>
      </c>
      <c r="H129" s="44" t="s">
        <v>9</v>
      </c>
      <c r="I129" s="44" t="s">
        <v>13</v>
      </c>
      <c r="J129" s="72" t="s">
        <v>1232</v>
      </c>
      <c r="K129" s="73">
        <v>34644</v>
      </c>
      <c r="L129" s="30">
        <v>1994</v>
      </c>
      <c r="M129" s="30">
        <f t="shared" si="10"/>
        <v>25</v>
      </c>
      <c r="N129" s="44" t="s">
        <v>3</v>
      </c>
      <c r="O129" s="44" t="s">
        <v>1229</v>
      </c>
      <c r="P129" s="72" t="s">
        <v>1270</v>
      </c>
      <c r="Q129" s="44"/>
      <c r="R129" s="72" t="s">
        <v>1822</v>
      </c>
    </row>
    <row r="130" spans="2:18" x14ac:dyDescent="0.2">
      <c r="B130" s="135">
        <v>41</v>
      </c>
      <c r="C130" s="119"/>
      <c r="D130" s="44">
        <v>123</v>
      </c>
      <c r="E130" s="72" t="s">
        <v>199</v>
      </c>
      <c r="F130" s="44" t="s">
        <v>6</v>
      </c>
      <c r="G130" s="44">
        <v>0</v>
      </c>
      <c r="H130" s="44" t="s">
        <v>1</v>
      </c>
      <c r="I130" s="44" t="s">
        <v>2</v>
      </c>
      <c r="J130" s="72"/>
      <c r="K130" s="73">
        <v>37622</v>
      </c>
      <c r="L130" s="30">
        <f t="shared" ref="L130:L131" si="13">YEAR(K130)</f>
        <v>2003</v>
      </c>
      <c r="M130" s="30">
        <f t="shared" si="10"/>
        <v>16</v>
      </c>
      <c r="N130" s="44" t="s">
        <v>3</v>
      </c>
      <c r="O130" s="44"/>
      <c r="P130" s="72" t="s">
        <v>15</v>
      </c>
      <c r="Q130" s="44"/>
      <c r="R130" s="72" t="s">
        <v>1876</v>
      </c>
    </row>
    <row r="131" spans="2:18" x14ac:dyDescent="0.2">
      <c r="B131" s="135"/>
      <c r="C131" s="119"/>
      <c r="D131" s="44">
        <v>124</v>
      </c>
      <c r="E131" s="72" t="s">
        <v>200</v>
      </c>
      <c r="F131" s="44" t="s">
        <v>11</v>
      </c>
      <c r="G131" s="44">
        <v>0</v>
      </c>
      <c r="H131" s="44" t="s">
        <v>9</v>
      </c>
      <c r="I131" s="44" t="s">
        <v>2</v>
      </c>
      <c r="J131" s="72"/>
      <c r="K131" s="73">
        <v>38325</v>
      </c>
      <c r="L131" s="30">
        <f t="shared" si="13"/>
        <v>2004</v>
      </c>
      <c r="M131" s="30">
        <f t="shared" si="10"/>
        <v>15</v>
      </c>
      <c r="N131" s="44" t="s">
        <v>3</v>
      </c>
      <c r="O131" s="44"/>
      <c r="P131" s="72" t="s">
        <v>15</v>
      </c>
      <c r="Q131" s="44"/>
      <c r="R131" s="72" t="s">
        <v>15</v>
      </c>
    </row>
    <row r="132" spans="2:18" ht="25.5" x14ac:dyDescent="0.2">
      <c r="B132" s="135">
        <v>42</v>
      </c>
      <c r="C132" s="119" t="s">
        <v>1877</v>
      </c>
      <c r="D132" s="44">
        <v>125</v>
      </c>
      <c r="E132" s="72" t="s">
        <v>201</v>
      </c>
      <c r="F132" s="44" t="s">
        <v>6</v>
      </c>
      <c r="G132" s="44" t="s">
        <v>202</v>
      </c>
      <c r="H132" s="44" t="s">
        <v>1</v>
      </c>
      <c r="I132" s="44" t="s">
        <v>2</v>
      </c>
      <c r="J132" s="72" t="s">
        <v>1232</v>
      </c>
      <c r="K132" s="73">
        <v>34315</v>
      </c>
      <c r="L132" s="30">
        <v>1993</v>
      </c>
      <c r="M132" s="30">
        <f t="shared" si="10"/>
        <v>26</v>
      </c>
      <c r="N132" s="44" t="s">
        <v>3</v>
      </c>
      <c r="O132" s="44" t="s">
        <v>1229</v>
      </c>
      <c r="P132" s="72" t="s">
        <v>1246</v>
      </c>
      <c r="Q132" s="44"/>
      <c r="R132" s="72" t="s">
        <v>1330</v>
      </c>
    </row>
    <row r="133" spans="2:18" ht="25.5" x14ac:dyDescent="0.2">
      <c r="B133" s="135"/>
      <c r="C133" s="119"/>
      <c r="D133" s="44">
        <v>126</v>
      </c>
      <c r="E133" s="72" t="s">
        <v>203</v>
      </c>
      <c r="F133" s="44" t="s">
        <v>11</v>
      </c>
      <c r="G133" s="44" t="s">
        <v>204</v>
      </c>
      <c r="H133" s="44" t="s">
        <v>9</v>
      </c>
      <c r="I133" s="44" t="s">
        <v>2</v>
      </c>
      <c r="J133" s="72" t="s">
        <v>1878</v>
      </c>
      <c r="K133" s="73">
        <v>35064</v>
      </c>
      <c r="L133" s="30">
        <v>1995</v>
      </c>
      <c r="M133" s="30">
        <f t="shared" si="10"/>
        <v>24</v>
      </c>
      <c r="N133" s="44" t="s">
        <v>3</v>
      </c>
      <c r="O133" s="44" t="s">
        <v>1229</v>
      </c>
      <c r="P133" s="72" t="s">
        <v>1246</v>
      </c>
      <c r="Q133" s="44"/>
      <c r="R133" s="72" t="s">
        <v>1360</v>
      </c>
    </row>
    <row r="134" spans="2:18" ht="25.5" x14ac:dyDescent="0.2">
      <c r="B134" s="135"/>
      <c r="C134" s="119"/>
      <c r="D134" s="44">
        <v>127</v>
      </c>
      <c r="E134" s="72" t="s">
        <v>1879</v>
      </c>
      <c r="F134" s="44" t="s">
        <v>16</v>
      </c>
      <c r="G134" s="44" t="s">
        <v>1880</v>
      </c>
      <c r="H134" s="44" t="s">
        <v>9</v>
      </c>
      <c r="I134" s="44" t="s">
        <v>13</v>
      </c>
      <c r="J134" s="72" t="s">
        <v>1232</v>
      </c>
      <c r="K134" s="73">
        <v>42195</v>
      </c>
      <c r="L134" s="30">
        <v>2015</v>
      </c>
      <c r="M134" s="30">
        <f t="shared" si="10"/>
        <v>4</v>
      </c>
      <c r="N134" s="44" t="s">
        <v>3</v>
      </c>
      <c r="O134" s="44" t="s">
        <v>1229</v>
      </c>
      <c r="P134" s="72" t="s">
        <v>1258</v>
      </c>
      <c r="Q134" s="44"/>
      <c r="R134" s="72" t="s">
        <v>1332</v>
      </c>
    </row>
    <row r="135" spans="2:18" ht="25.5" x14ac:dyDescent="0.2">
      <c r="B135" s="135">
        <v>43</v>
      </c>
      <c r="C135" s="119" t="s">
        <v>2283</v>
      </c>
      <c r="D135" s="44">
        <v>128</v>
      </c>
      <c r="E135" s="72" t="s">
        <v>205</v>
      </c>
      <c r="F135" s="44" t="s">
        <v>6</v>
      </c>
      <c r="G135" s="44" t="s">
        <v>2286</v>
      </c>
      <c r="H135" s="44" t="s">
        <v>1</v>
      </c>
      <c r="I135" s="44" t="s">
        <v>2</v>
      </c>
      <c r="J135" s="72" t="s">
        <v>1232</v>
      </c>
      <c r="K135" s="73">
        <v>30792</v>
      </c>
      <c r="L135" s="30">
        <v>1984</v>
      </c>
      <c r="M135" s="30">
        <f t="shared" si="10"/>
        <v>35</v>
      </c>
      <c r="N135" s="44" t="s">
        <v>3</v>
      </c>
      <c r="O135" s="44" t="s">
        <v>1229</v>
      </c>
      <c r="P135" s="72" t="s">
        <v>1233</v>
      </c>
      <c r="Q135" s="44"/>
      <c r="R135" s="72" t="s">
        <v>1425</v>
      </c>
    </row>
    <row r="136" spans="2:18" ht="25.5" x14ac:dyDescent="0.2">
      <c r="B136" s="135"/>
      <c r="C136" s="119"/>
      <c r="D136" s="44">
        <v>129</v>
      </c>
      <c r="E136" s="72" t="s">
        <v>206</v>
      </c>
      <c r="F136" s="44" t="s">
        <v>11</v>
      </c>
      <c r="G136" s="44" t="s">
        <v>2285</v>
      </c>
      <c r="H136" s="44" t="s">
        <v>9</v>
      </c>
      <c r="I136" s="44" t="s">
        <v>2</v>
      </c>
      <c r="J136" s="72" t="s">
        <v>2287</v>
      </c>
      <c r="K136" s="73">
        <v>33834</v>
      </c>
      <c r="L136" s="30">
        <v>1992</v>
      </c>
      <c r="M136" s="30">
        <f t="shared" si="10"/>
        <v>27</v>
      </c>
      <c r="N136" s="44" t="s">
        <v>3</v>
      </c>
      <c r="O136" s="44" t="s">
        <v>1229</v>
      </c>
      <c r="P136" s="72" t="s">
        <v>1246</v>
      </c>
      <c r="Q136" s="44"/>
      <c r="R136" s="72" t="s">
        <v>1360</v>
      </c>
    </row>
    <row r="137" spans="2:18" ht="25.5" x14ac:dyDescent="0.2">
      <c r="B137" s="135"/>
      <c r="C137" s="119"/>
      <c r="D137" s="44">
        <v>130</v>
      </c>
      <c r="E137" s="72" t="s">
        <v>207</v>
      </c>
      <c r="F137" s="44" t="s">
        <v>16</v>
      </c>
      <c r="G137" s="44" t="s">
        <v>2284</v>
      </c>
      <c r="H137" s="44" t="s">
        <v>1</v>
      </c>
      <c r="I137" s="44" t="s">
        <v>13</v>
      </c>
      <c r="J137" s="72" t="s">
        <v>1232</v>
      </c>
      <c r="K137" s="73">
        <v>40800</v>
      </c>
      <c r="L137" s="30">
        <v>2011</v>
      </c>
      <c r="M137" s="30">
        <f t="shared" si="10"/>
        <v>8</v>
      </c>
      <c r="N137" s="44" t="s">
        <v>3</v>
      </c>
      <c r="O137" s="44" t="s">
        <v>1229</v>
      </c>
      <c r="P137" s="72" t="s">
        <v>1258</v>
      </c>
      <c r="Q137" s="44"/>
      <c r="R137" s="72" t="s">
        <v>1332</v>
      </c>
    </row>
    <row r="138" spans="2:18" x14ac:dyDescent="0.2">
      <c r="B138" s="90">
        <v>44</v>
      </c>
      <c r="C138" s="44"/>
      <c r="D138" s="44">
        <v>131</v>
      </c>
      <c r="E138" s="72" t="s">
        <v>208</v>
      </c>
      <c r="F138" s="44" t="s">
        <v>6</v>
      </c>
      <c r="G138" s="44">
        <v>0</v>
      </c>
      <c r="H138" s="44" t="s">
        <v>9</v>
      </c>
      <c r="I138" s="44" t="s">
        <v>19</v>
      </c>
      <c r="J138" s="72"/>
      <c r="K138" s="73">
        <v>31412</v>
      </c>
      <c r="L138" s="30">
        <f>YEAR(K138)</f>
        <v>1985</v>
      </c>
      <c r="M138" s="30">
        <f t="shared" si="10"/>
        <v>34</v>
      </c>
      <c r="N138" s="44" t="s">
        <v>3</v>
      </c>
      <c r="O138" s="44"/>
      <c r="P138" s="72" t="s">
        <v>15</v>
      </c>
      <c r="Q138" s="44"/>
      <c r="R138" s="72" t="s">
        <v>15</v>
      </c>
    </row>
    <row r="139" spans="2:18" ht="25.5" x14ac:dyDescent="0.2">
      <c r="B139" s="139">
        <v>45</v>
      </c>
      <c r="C139" s="139" t="s">
        <v>1881</v>
      </c>
      <c r="D139" s="44">
        <v>132</v>
      </c>
      <c r="E139" s="72" t="s">
        <v>209</v>
      </c>
      <c r="F139" s="44" t="s">
        <v>6</v>
      </c>
      <c r="G139" s="44" t="s">
        <v>210</v>
      </c>
      <c r="H139" s="44" t="s">
        <v>1</v>
      </c>
      <c r="I139" s="44" t="s">
        <v>2</v>
      </c>
      <c r="J139" s="72" t="s">
        <v>1232</v>
      </c>
      <c r="K139" s="73">
        <v>30207</v>
      </c>
      <c r="L139" s="30">
        <v>1985</v>
      </c>
      <c r="M139" s="30">
        <f t="shared" si="10"/>
        <v>34</v>
      </c>
      <c r="N139" s="44" t="s">
        <v>3</v>
      </c>
      <c r="O139" s="44" t="s">
        <v>1229</v>
      </c>
      <c r="P139" s="72" t="s">
        <v>1233</v>
      </c>
      <c r="Q139" s="44"/>
      <c r="R139" s="72" t="s">
        <v>1871</v>
      </c>
    </row>
    <row r="140" spans="2:18" ht="25.5" x14ac:dyDescent="0.2">
      <c r="B140" s="140"/>
      <c r="C140" s="140"/>
      <c r="D140" s="44">
        <v>133</v>
      </c>
      <c r="E140" s="72" t="s">
        <v>211</v>
      </c>
      <c r="F140" s="44" t="s">
        <v>11</v>
      </c>
      <c r="G140" s="44" t="s">
        <v>212</v>
      </c>
      <c r="H140" s="44" t="s">
        <v>9</v>
      </c>
      <c r="I140" s="44" t="s">
        <v>2</v>
      </c>
      <c r="J140" s="72" t="s">
        <v>1882</v>
      </c>
      <c r="K140" s="73">
        <v>31047</v>
      </c>
      <c r="L140" s="30">
        <v>1994</v>
      </c>
      <c r="M140" s="30">
        <f t="shared" ref="M140:M199" si="14">2019-L140</f>
        <v>25</v>
      </c>
      <c r="N140" s="44" t="s">
        <v>3</v>
      </c>
      <c r="O140" s="44" t="s">
        <v>1229</v>
      </c>
      <c r="P140" s="72" t="s">
        <v>1246</v>
      </c>
      <c r="Q140" s="44"/>
      <c r="R140" s="72" t="s">
        <v>1871</v>
      </c>
    </row>
    <row r="141" spans="2:18" ht="25.5" x14ac:dyDescent="0.2">
      <c r="B141" s="140"/>
      <c r="C141" s="140"/>
      <c r="D141" s="44">
        <v>134</v>
      </c>
      <c r="E141" s="72" t="s">
        <v>1883</v>
      </c>
      <c r="F141" s="44" t="s">
        <v>16</v>
      </c>
      <c r="G141" s="44" t="s">
        <v>213</v>
      </c>
      <c r="H141" s="44" t="s">
        <v>9</v>
      </c>
      <c r="I141" s="44" t="s">
        <v>13</v>
      </c>
      <c r="J141" s="72" t="s">
        <v>1232</v>
      </c>
      <c r="K141" s="73">
        <v>37997</v>
      </c>
      <c r="L141" s="30">
        <v>2004</v>
      </c>
      <c r="M141" s="30">
        <f t="shared" si="14"/>
        <v>15</v>
      </c>
      <c r="N141" s="44" t="s">
        <v>3</v>
      </c>
      <c r="O141" s="44" t="s">
        <v>1229</v>
      </c>
      <c r="P141" s="72" t="s">
        <v>1247</v>
      </c>
      <c r="Q141" s="44"/>
      <c r="R141" s="72" t="s">
        <v>1822</v>
      </c>
    </row>
    <row r="142" spans="2:18" ht="25.5" x14ac:dyDescent="0.2">
      <c r="B142" s="141"/>
      <c r="C142" s="141"/>
      <c r="D142" s="44">
        <v>135</v>
      </c>
      <c r="E142" s="72" t="s">
        <v>1884</v>
      </c>
      <c r="F142" s="44" t="s">
        <v>16</v>
      </c>
      <c r="G142" s="44" t="s">
        <v>214</v>
      </c>
      <c r="H142" s="44" t="s">
        <v>9</v>
      </c>
      <c r="I142" s="44" t="s">
        <v>13</v>
      </c>
      <c r="J142" s="72" t="s">
        <v>1818</v>
      </c>
      <c r="K142" s="73">
        <v>41162</v>
      </c>
      <c r="L142" s="30">
        <v>2012</v>
      </c>
      <c r="M142" s="30">
        <f t="shared" si="14"/>
        <v>7</v>
      </c>
      <c r="N142" s="44" t="s">
        <v>3</v>
      </c>
      <c r="O142" s="44" t="s">
        <v>1229</v>
      </c>
      <c r="P142" s="72" t="s">
        <v>1258</v>
      </c>
      <c r="Q142" s="44"/>
      <c r="R142" s="72" t="s">
        <v>1332</v>
      </c>
    </row>
    <row r="143" spans="2:18" x14ac:dyDescent="0.2">
      <c r="B143" s="135">
        <v>46</v>
      </c>
      <c r="C143" s="119"/>
      <c r="D143" s="44">
        <v>136</v>
      </c>
      <c r="E143" s="72" t="s">
        <v>215</v>
      </c>
      <c r="F143" s="44" t="s">
        <v>6</v>
      </c>
      <c r="G143" s="44" t="s">
        <v>216</v>
      </c>
      <c r="H143" s="44" t="s">
        <v>9</v>
      </c>
      <c r="I143" s="44" t="s">
        <v>19</v>
      </c>
      <c r="J143" s="72"/>
      <c r="K143" s="73">
        <v>31182</v>
      </c>
      <c r="L143" s="30">
        <f t="shared" ref="L143:L144" si="15">YEAR(K143)</f>
        <v>1985</v>
      </c>
      <c r="M143" s="30">
        <f t="shared" si="14"/>
        <v>34</v>
      </c>
      <c r="N143" s="44" t="s">
        <v>3</v>
      </c>
      <c r="O143" s="44"/>
      <c r="P143" s="72" t="s">
        <v>15</v>
      </c>
      <c r="Q143" s="44"/>
      <c r="R143" s="72" t="s">
        <v>34</v>
      </c>
    </row>
    <row r="144" spans="2:18" x14ac:dyDescent="0.2">
      <c r="B144" s="135"/>
      <c r="C144" s="119"/>
      <c r="D144" s="44">
        <v>137</v>
      </c>
      <c r="E144" s="72" t="s">
        <v>217</v>
      </c>
      <c r="F144" s="44" t="s">
        <v>11</v>
      </c>
      <c r="G144" s="44">
        <v>0</v>
      </c>
      <c r="H144" s="44" t="s">
        <v>1</v>
      </c>
      <c r="I144" s="44" t="s">
        <v>13</v>
      </c>
      <c r="J144" s="72"/>
      <c r="K144" s="73">
        <v>24107</v>
      </c>
      <c r="L144" s="30">
        <f t="shared" si="15"/>
        <v>1965</v>
      </c>
      <c r="M144" s="30">
        <f t="shared" si="14"/>
        <v>54</v>
      </c>
      <c r="N144" s="44" t="s">
        <v>3</v>
      </c>
      <c r="O144" s="44"/>
      <c r="P144" s="72" t="s">
        <v>15</v>
      </c>
      <c r="Q144" s="44"/>
      <c r="R144" s="72" t="s">
        <v>34</v>
      </c>
    </row>
    <row r="145" spans="2:18" ht="25.5" x14ac:dyDescent="0.2">
      <c r="B145" s="135">
        <v>47</v>
      </c>
      <c r="C145" s="119" t="s">
        <v>1885</v>
      </c>
      <c r="D145" s="44">
        <v>138</v>
      </c>
      <c r="E145" s="72" t="s">
        <v>218</v>
      </c>
      <c r="F145" s="44" t="s">
        <v>6</v>
      </c>
      <c r="G145" s="44" t="s">
        <v>219</v>
      </c>
      <c r="H145" s="44" t="s">
        <v>1</v>
      </c>
      <c r="I145" s="44" t="s">
        <v>2</v>
      </c>
      <c r="J145" s="72" t="s">
        <v>1245</v>
      </c>
      <c r="K145" s="73">
        <v>11871</v>
      </c>
      <c r="L145" s="30">
        <v>1932</v>
      </c>
      <c r="M145" s="30">
        <f t="shared" si="14"/>
        <v>87</v>
      </c>
      <c r="N145" s="44" t="s">
        <v>3</v>
      </c>
      <c r="O145" s="44" t="s">
        <v>1229</v>
      </c>
      <c r="P145" s="72" t="s">
        <v>1258</v>
      </c>
      <c r="Q145" s="44"/>
      <c r="R145" s="72" t="s">
        <v>1330</v>
      </c>
    </row>
    <row r="146" spans="2:18" ht="25.5" x14ac:dyDescent="0.2">
      <c r="B146" s="135"/>
      <c r="C146" s="119"/>
      <c r="D146" s="44">
        <v>139</v>
      </c>
      <c r="E146" s="72" t="s">
        <v>1886</v>
      </c>
      <c r="F146" s="44" t="s">
        <v>11</v>
      </c>
      <c r="G146" s="44" t="s">
        <v>220</v>
      </c>
      <c r="H146" s="44" t="s">
        <v>9</v>
      </c>
      <c r="I146" s="44" t="s">
        <v>2</v>
      </c>
      <c r="J146" s="72" t="s">
        <v>1232</v>
      </c>
      <c r="K146" s="73">
        <v>24289</v>
      </c>
      <c r="L146" s="30">
        <v>1966</v>
      </c>
      <c r="M146" s="30">
        <f t="shared" si="14"/>
        <v>53</v>
      </c>
      <c r="N146" s="44" t="s">
        <v>3</v>
      </c>
      <c r="O146" s="44" t="s">
        <v>1229</v>
      </c>
      <c r="P146" s="72" t="s">
        <v>1258</v>
      </c>
      <c r="Q146" s="44"/>
      <c r="R146" s="72" t="s">
        <v>1360</v>
      </c>
    </row>
    <row r="147" spans="2:18" ht="25.5" x14ac:dyDescent="0.2">
      <c r="B147" s="135"/>
      <c r="C147" s="119"/>
      <c r="D147" s="44">
        <v>140</v>
      </c>
      <c r="E147" s="72" t="s">
        <v>1887</v>
      </c>
      <c r="F147" s="44" t="s">
        <v>16</v>
      </c>
      <c r="G147" s="44" t="s">
        <v>221</v>
      </c>
      <c r="H147" s="44" t="s">
        <v>9</v>
      </c>
      <c r="I147" s="44" t="s">
        <v>13</v>
      </c>
      <c r="J147" s="72" t="s">
        <v>1232</v>
      </c>
      <c r="K147" s="73">
        <v>35132</v>
      </c>
      <c r="L147" s="30">
        <v>1996</v>
      </c>
      <c r="M147" s="30">
        <f t="shared" si="14"/>
        <v>23</v>
      </c>
      <c r="N147" s="44" t="s">
        <v>3</v>
      </c>
      <c r="O147" s="44" t="s">
        <v>1229</v>
      </c>
      <c r="P147" s="72" t="s">
        <v>1246</v>
      </c>
      <c r="Q147" s="44"/>
      <c r="R147" s="72" t="s">
        <v>1332</v>
      </c>
    </row>
    <row r="148" spans="2:18" ht="25.5" x14ac:dyDescent="0.2">
      <c r="B148" s="135">
        <v>48</v>
      </c>
      <c r="C148" s="119" t="s">
        <v>1888</v>
      </c>
      <c r="D148" s="44">
        <v>141</v>
      </c>
      <c r="E148" s="72" t="s">
        <v>222</v>
      </c>
      <c r="F148" s="44" t="s">
        <v>6</v>
      </c>
      <c r="G148" s="44" t="s">
        <v>223</v>
      </c>
      <c r="H148" s="44" t="s">
        <v>9</v>
      </c>
      <c r="I148" s="44" t="s">
        <v>1421</v>
      </c>
      <c r="J148" s="72" t="s">
        <v>1232</v>
      </c>
      <c r="K148" s="73">
        <v>25385</v>
      </c>
      <c r="L148" s="30">
        <v>1969</v>
      </c>
      <c r="M148" s="30">
        <f t="shared" si="14"/>
        <v>50</v>
      </c>
      <c r="N148" s="44" t="s">
        <v>3</v>
      </c>
      <c r="O148" s="44" t="s">
        <v>1229</v>
      </c>
      <c r="P148" s="72" t="s">
        <v>1258</v>
      </c>
      <c r="Q148" s="44"/>
      <c r="R148" s="72" t="s">
        <v>1871</v>
      </c>
    </row>
    <row r="149" spans="2:18" ht="25.5" x14ac:dyDescent="0.2">
      <c r="B149" s="135"/>
      <c r="C149" s="119"/>
      <c r="D149" s="44">
        <v>142</v>
      </c>
      <c r="E149" s="72" t="s">
        <v>224</v>
      </c>
      <c r="F149" s="44" t="s">
        <v>1889</v>
      </c>
      <c r="G149" s="44" t="s">
        <v>225</v>
      </c>
      <c r="H149" s="44" t="s">
        <v>9</v>
      </c>
      <c r="I149" s="44" t="s">
        <v>1421</v>
      </c>
      <c r="J149" s="72" t="s">
        <v>1232</v>
      </c>
      <c r="K149" s="73">
        <v>22280</v>
      </c>
      <c r="L149" s="30">
        <v>1960</v>
      </c>
      <c r="M149" s="30">
        <f t="shared" si="14"/>
        <v>59</v>
      </c>
      <c r="N149" s="44" t="s">
        <v>3</v>
      </c>
      <c r="O149" s="44" t="s">
        <v>1229</v>
      </c>
      <c r="P149" s="72" t="s">
        <v>1258</v>
      </c>
      <c r="Q149" s="44"/>
      <c r="R149" s="72" t="s">
        <v>1330</v>
      </c>
    </row>
    <row r="150" spans="2:18" x14ac:dyDescent="0.2">
      <c r="B150" s="90">
        <v>49</v>
      </c>
      <c r="C150" s="44"/>
      <c r="D150" s="44">
        <v>143</v>
      </c>
      <c r="E150" s="72" t="s">
        <v>226</v>
      </c>
      <c r="F150" s="44" t="s">
        <v>6</v>
      </c>
      <c r="G150" s="44">
        <v>0</v>
      </c>
      <c r="H150" s="44" t="s">
        <v>9</v>
      </c>
      <c r="I150" s="44" t="s">
        <v>13</v>
      </c>
      <c r="J150" s="72"/>
      <c r="K150" s="73">
        <v>29220</v>
      </c>
      <c r="L150" s="30">
        <f t="shared" ref="L150:L160" si="16">YEAR(K150)</f>
        <v>1979</v>
      </c>
      <c r="M150" s="30">
        <f t="shared" si="14"/>
        <v>40</v>
      </c>
      <c r="N150" s="44" t="s">
        <v>3</v>
      </c>
      <c r="O150" s="44"/>
      <c r="P150" s="72" t="s">
        <v>15</v>
      </c>
      <c r="Q150" s="44"/>
      <c r="R150" s="72" t="s">
        <v>15</v>
      </c>
    </row>
    <row r="151" spans="2:18" x14ac:dyDescent="0.2">
      <c r="B151" s="135">
        <v>50</v>
      </c>
      <c r="C151" s="119"/>
      <c r="D151" s="44">
        <v>144</v>
      </c>
      <c r="E151" s="72" t="s">
        <v>227</v>
      </c>
      <c r="F151" s="44" t="s">
        <v>6</v>
      </c>
      <c r="G151" s="44" t="s">
        <v>228</v>
      </c>
      <c r="H151" s="44" t="s">
        <v>1</v>
      </c>
      <c r="I151" s="44" t="s">
        <v>2</v>
      </c>
      <c r="J151" s="72"/>
      <c r="K151" s="73">
        <v>33091</v>
      </c>
      <c r="L151" s="30">
        <f t="shared" si="16"/>
        <v>1990</v>
      </c>
      <c r="M151" s="30">
        <f t="shared" si="14"/>
        <v>29</v>
      </c>
      <c r="N151" s="44" t="s">
        <v>3</v>
      </c>
      <c r="O151" s="44"/>
      <c r="P151" s="72" t="s">
        <v>15</v>
      </c>
      <c r="Q151" s="44"/>
      <c r="R151" s="72" t="s">
        <v>34</v>
      </c>
    </row>
    <row r="152" spans="2:18" x14ac:dyDescent="0.2">
      <c r="B152" s="135"/>
      <c r="C152" s="119"/>
      <c r="D152" s="44">
        <v>145</v>
      </c>
      <c r="E152" s="72" t="s">
        <v>229</v>
      </c>
      <c r="F152" s="44" t="s">
        <v>11</v>
      </c>
      <c r="G152" s="44" t="s">
        <v>230</v>
      </c>
      <c r="H152" s="44" t="s">
        <v>9</v>
      </c>
      <c r="I152" s="44" t="s">
        <v>2</v>
      </c>
      <c r="J152" s="72"/>
      <c r="K152" s="73">
        <v>41389</v>
      </c>
      <c r="L152" s="30">
        <f t="shared" si="16"/>
        <v>2013</v>
      </c>
      <c r="M152" s="30">
        <f t="shared" si="14"/>
        <v>6</v>
      </c>
      <c r="N152" s="44" t="s">
        <v>3</v>
      </c>
      <c r="O152" s="44"/>
      <c r="P152" s="72" t="s">
        <v>15</v>
      </c>
      <c r="Q152" s="44"/>
      <c r="R152" s="72" t="s">
        <v>34</v>
      </c>
    </row>
    <row r="153" spans="2:18" x14ac:dyDescent="0.2">
      <c r="B153" s="135"/>
      <c r="C153" s="119"/>
      <c r="D153" s="44">
        <v>146</v>
      </c>
      <c r="E153" s="72" t="s">
        <v>231</v>
      </c>
      <c r="F153" s="44" t="s">
        <v>16</v>
      </c>
      <c r="G153" s="44" t="s">
        <v>232</v>
      </c>
      <c r="H153" s="44" t="s">
        <v>9</v>
      </c>
      <c r="I153" s="44" t="s">
        <v>13</v>
      </c>
      <c r="J153" s="72"/>
      <c r="K153" s="73">
        <v>25933</v>
      </c>
      <c r="L153" s="30">
        <f t="shared" si="16"/>
        <v>1970</v>
      </c>
      <c r="M153" s="30">
        <f t="shared" si="14"/>
        <v>49</v>
      </c>
      <c r="N153" s="44" t="s">
        <v>3</v>
      </c>
      <c r="O153" s="44"/>
      <c r="P153" s="72" t="s">
        <v>4</v>
      </c>
      <c r="Q153" s="44"/>
      <c r="R153" s="72" t="s">
        <v>15</v>
      </c>
    </row>
    <row r="154" spans="2:18" x14ac:dyDescent="0.2">
      <c r="B154" s="135">
        <v>51</v>
      </c>
      <c r="C154" s="119"/>
      <c r="D154" s="44">
        <v>147</v>
      </c>
      <c r="E154" s="72" t="s">
        <v>233</v>
      </c>
      <c r="F154" s="44" t="s">
        <v>6</v>
      </c>
      <c r="G154" s="44" t="s">
        <v>234</v>
      </c>
      <c r="H154" s="44" t="s">
        <v>9</v>
      </c>
      <c r="I154" s="44" t="s">
        <v>19</v>
      </c>
      <c r="J154" s="72"/>
      <c r="K154" s="73">
        <v>33279</v>
      </c>
      <c r="L154" s="30">
        <f t="shared" si="16"/>
        <v>1991</v>
      </c>
      <c r="M154" s="30">
        <f t="shared" si="14"/>
        <v>28</v>
      </c>
      <c r="N154" s="44" t="s">
        <v>3</v>
      </c>
      <c r="O154" s="44"/>
      <c r="P154" s="72" t="s">
        <v>14</v>
      </c>
      <c r="Q154" s="44"/>
      <c r="R154" s="72" t="s">
        <v>5</v>
      </c>
    </row>
    <row r="155" spans="2:18" x14ac:dyDescent="0.2">
      <c r="B155" s="135"/>
      <c r="C155" s="119"/>
      <c r="D155" s="44">
        <v>148</v>
      </c>
      <c r="E155" s="72" t="s">
        <v>235</v>
      </c>
      <c r="F155" s="44" t="s">
        <v>11</v>
      </c>
      <c r="G155" s="44" t="s">
        <v>236</v>
      </c>
      <c r="H155" s="44" t="s">
        <v>9</v>
      </c>
      <c r="I155" s="44" t="s">
        <v>13</v>
      </c>
      <c r="J155" s="72"/>
      <c r="K155" s="73">
        <v>18445</v>
      </c>
      <c r="L155" s="30">
        <f t="shared" si="16"/>
        <v>1950</v>
      </c>
      <c r="M155" s="30">
        <f t="shared" si="14"/>
        <v>69</v>
      </c>
      <c r="N155" s="44" t="s">
        <v>3</v>
      </c>
      <c r="O155" s="44"/>
      <c r="P155" s="72" t="s">
        <v>15</v>
      </c>
      <c r="Q155" s="44"/>
      <c r="R155" s="72" t="s">
        <v>15</v>
      </c>
    </row>
    <row r="156" spans="2:18" x14ac:dyDescent="0.2">
      <c r="B156" s="135">
        <v>52</v>
      </c>
      <c r="C156" s="119"/>
      <c r="D156" s="44">
        <v>149</v>
      </c>
      <c r="E156" s="72" t="s">
        <v>237</v>
      </c>
      <c r="F156" s="44" t="s">
        <v>6</v>
      </c>
      <c r="G156" s="44" t="s">
        <v>238</v>
      </c>
      <c r="H156" s="44" t="s">
        <v>9</v>
      </c>
      <c r="I156" s="44" t="s">
        <v>19</v>
      </c>
      <c r="J156" s="72"/>
      <c r="K156" s="73">
        <v>23924</v>
      </c>
      <c r="L156" s="30">
        <f t="shared" si="16"/>
        <v>1965</v>
      </c>
      <c r="M156" s="30">
        <f t="shared" si="14"/>
        <v>54</v>
      </c>
      <c r="N156" s="44" t="s">
        <v>3</v>
      </c>
      <c r="O156" s="44"/>
      <c r="P156" s="72" t="s">
        <v>15</v>
      </c>
      <c r="Q156" s="44"/>
      <c r="R156" s="72" t="s">
        <v>34</v>
      </c>
    </row>
    <row r="157" spans="2:18" x14ac:dyDescent="0.2">
      <c r="B157" s="135"/>
      <c r="C157" s="119"/>
      <c r="D157" s="44">
        <v>150</v>
      </c>
      <c r="E157" s="72" t="s">
        <v>239</v>
      </c>
      <c r="F157" s="44" t="s">
        <v>11</v>
      </c>
      <c r="G157" s="44" t="s">
        <v>240</v>
      </c>
      <c r="H157" s="44" t="s">
        <v>9</v>
      </c>
      <c r="I157" s="44" t="s">
        <v>13</v>
      </c>
      <c r="J157" s="72"/>
      <c r="K157" s="73">
        <v>28125</v>
      </c>
      <c r="L157" s="30">
        <f t="shared" si="16"/>
        <v>1976</v>
      </c>
      <c r="M157" s="30">
        <f t="shared" si="14"/>
        <v>43</v>
      </c>
      <c r="N157" s="44" t="s">
        <v>3</v>
      </c>
      <c r="O157" s="44"/>
      <c r="P157" s="72" t="s">
        <v>4</v>
      </c>
      <c r="Q157" s="44"/>
      <c r="R157" s="72" t="s">
        <v>15</v>
      </c>
    </row>
    <row r="158" spans="2:18" x14ac:dyDescent="0.2">
      <c r="B158" s="135"/>
      <c r="C158" s="119"/>
      <c r="D158" s="44">
        <v>151</v>
      </c>
      <c r="E158" s="72" t="s">
        <v>241</v>
      </c>
      <c r="F158" s="44" t="s">
        <v>16</v>
      </c>
      <c r="G158" s="44" t="s">
        <v>242</v>
      </c>
      <c r="H158" s="44" t="s">
        <v>9</v>
      </c>
      <c r="I158" s="44" t="s">
        <v>13</v>
      </c>
      <c r="J158" s="72"/>
      <c r="K158" s="73">
        <v>29916</v>
      </c>
      <c r="L158" s="30">
        <f t="shared" si="16"/>
        <v>1981</v>
      </c>
      <c r="M158" s="30">
        <f t="shared" si="14"/>
        <v>38</v>
      </c>
      <c r="N158" s="44" t="s">
        <v>3</v>
      </c>
      <c r="O158" s="44"/>
      <c r="P158" s="72" t="s">
        <v>15</v>
      </c>
      <c r="Q158" s="44"/>
      <c r="R158" s="72" t="s">
        <v>15</v>
      </c>
    </row>
    <row r="159" spans="2:18" x14ac:dyDescent="0.2">
      <c r="B159" s="135"/>
      <c r="C159" s="119"/>
      <c r="D159" s="44">
        <v>152</v>
      </c>
      <c r="E159" s="72" t="s">
        <v>243</v>
      </c>
      <c r="F159" s="44" t="s">
        <v>16</v>
      </c>
      <c r="G159" s="44" t="s">
        <v>244</v>
      </c>
      <c r="H159" s="44" t="s">
        <v>1</v>
      </c>
      <c r="I159" s="44" t="s">
        <v>13</v>
      </c>
      <c r="J159" s="72"/>
      <c r="K159" s="73">
        <v>36165</v>
      </c>
      <c r="L159" s="30">
        <f t="shared" si="16"/>
        <v>1999</v>
      </c>
      <c r="M159" s="30">
        <f t="shared" si="14"/>
        <v>20</v>
      </c>
      <c r="N159" s="44" t="s">
        <v>3</v>
      </c>
      <c r="O159" s="44"/>
      <c r="P159" s="72" t="s">
        <v>15</v>
      </c>
      <c r="Q159" s="44"/>
      <c r="R159" s="72" t="s">
        <v>15</v>
      </c>
    </row>
    <row r="160" spans="2:18" x14ac:dyDescent="0.2">
      <c r="B160" s="135"/>
      <c r="C160" s="119"/>
      <c r="D160" s="44">
        <v>153</v>
      </c>
      <c r="E160" s="72" t="s">
        <v>245</v>
      </c>
      <c r="F160" s="44" t="s">
        <v>16</v>
      </c>
      <c r="G160" s="44" t="s">
        <v>246</v>
      </c>
      <c r="H160" s="44" t="s">
        <v>1</v>
      </c>
      <c r="I160" s="44" t="s">
        <v>13</v>
      </c>
      <c r="J160" s="72"/>
      <c r="K160" s="73">
        <v>40611</v>
      </c>
      <c r="L160" s="30">
        <f t="shared" si="16"/>
        <v>2011</v>
      </c>
      <c r="M160" s="30">
        <f t="shared" si="14"/>
        <v>8</v>
      </c>
      <c r="N160" s="44" t="s">
        <v>3</v>
      </c>
      <c r="O160" s="44"/>
      <c r="P160" s="72" t="s">
        <v>15</v>
      </c>
      <c r="Q160" s="44"/>
      <c r="R160" s="72" t="s">
        <v>15</v>
      </c>
    </row>
    <row r="161" spans="2:18" ht="25.5" x14ac:dyDescent="0.2">
      <c r="B161" s="135">
        <v>53</v>
      </c>
      <c r="C161" s="119" t="s">
        <v>1890</v>
      </c>
      <c r="D161" s="44">
        <v>154</v>
      </c>
      <c r="E161" s="72" t="s">
        <v>247</v>
      </c>
      <c r="F161" s="44" t="s">
        <v>6</v>
      </c>
      <c r="G161" s="44" t="s">
        <v>248</v>
      </c>
      <c r="H161" s="44" t="s">
        <v>1</v>
      </c>
      <c r="I161" s="44" t="s">
        <v>2</v>
      </c>
      <c r="J161" s="72" t="s">
        <v>1232</v>
      </c>
      <c r="K161" s="73">
        <v>21244</v>
      </c>
      <c r="L161" s="30">
        <v>1958</v>
      </c>
      <c r="M161" s="30">
        <f t="shared" si="14"/>
        <v>61</v>
      </c>
      <c r="N161" s="44" t="s">
        <v>3</v>
      </c>
      <c r="O161" s="44" t="s">
        <v>1229</v>
      </c>
      <c r="P161" s="72" t="s">
        <v>1258</v>
      </c>
      <c r="Q161" s="44"/>
      <c r="R161" s="72" t="s">
        <v>1815</v>
      </c>
    </row>
    <row r="162" spans="2:18" ht="25.5" x14ac:dyDescent="0.2">
      <c r="B162" s="135"/>
      <c r="C162" s="119"/>
      <c r="D162" s="44">
        <v>155</v>
      </c>
      <c r="E162" s="72" t="s">
        <v>249</v>
      </c>
      <c r="F162" s="44" t="s">
        <v>11</v>
      </c>
      <c r="G162" s="44" t="s">
        <v>1891</v>
      </c>
      <c r="H162" s="44" t="s">
        <v>9</v>
      </c>
      <c r="I162" s="44" t="s">
        <v>2</v>
      </c>
      <c r="J162" s="72" t="s">
        <v>1232</v>
      </c>
      <c r="K162" s="73">
        <v>23011</v>
      </c>
      <c r="L162" s="30">
        <v>1962</v>
      </c>
      <c r="M162" s="30">
        <f t="shared" si="14"/>
        <v>57</v>
      </c>
      <c r="N162" s="44" t="s">
        <v>3</v>
      </c>
      <c r="O162" s="44" t="s">
        <v>1229</v>
      </c>
      <c r="P162" s="72" t="s">
        <v>1258</v>
      </c>
      <c r="Q162" s="44"/>
      <c r="R162" s="72" t="s">
        <v>290</v>
      </c>
    </row>
    <row r="163" spans="2:18" ht="25.5" x14ac:dyDescent="0.2">
      <c r="B163" s="135"/>
      <c r="C163" s="119"/>
      <c r="D163" s="44">
        <v>156</v>
      </c>
      <c r="E163" s="72" t="s">
        <v>1892</v>
      </c>
      <c r="F163" s="44" t="s">
        <v>16</v>
      </c>
      <c r="G163" s="44" t="s">
        <v>1893</v>
      </c>
      <c r="H163" s="44" t="s">
        <v>1</v>
      </c>
      <c r="I163" s="44" t="s">
        <v>13</v>
      </c>
      <c r="J163" s="72" t="s">
        <v>1232</v>
      </c>
      <c r="K163" s="73">
        <v>31412</v>
      </c>
      <c r="L163" s="30">
        <v>1985</v>
      </c>
      <c r="M163" s="30">
        <f t="shared" si="14"/>
        <v>34</v>
      </c>
      <c r="N163" s="44" t="s">
        <v>3</v>
      </c>
      <c r="O163" s="44" t="s">
        <v>1229</v>
      </c>
      <c r="P163" s="72" t="s">
        <v>1233</v>
      </c>
      <c r="Q163" s="44"/>
      <c r="R163" s="72" t="s">
        <v>5</v>
      </c>
    </row>
    <row r="164" spans="2:18" x14ac:dyDescent="0.2">
      <c r="B164" s="135"/>
      <c r="C164" s="119"/>
      <c r="D164" s="44">
        <v>157</v>
      </c>
      <c r="E164" s="72" t="s">
        <v>250</v>
      </c>
      <c r="F164" s="44" t="s">
        <v>16</v>
      </c>
      <c r="G164" s="44" t="s">
        <v>251</v>
      </c>
      <c r="H164" s="44" t="s">
        <v>1</v>
      </c>
      <c r="I164" s="44" t="s">
        <v>13</v>
      </c>
      <c r="J164" s="72" t="s">
        <v>1232</v>
      </c>
      <c r="K164" s="73">
        <v>33445</v>
      </c>
      <c r="L164" s="30">
        <v>1991</v>
      </c>
      <c r="M164" s="30">
        <f t="shared" si="14"/>
        <v>28</v>
      </c>
      <c r="N164" s="44" t="s">
        <v>3</v>
      </c>
      <c r="O164" s="44" t="s">
        <v>1229</v>
      </c>
      <c r="P164" s="72" t="s">
        <v>1270</v>
      </c>
      <c r="Q164" s="44"/>
      <c r="R164" s="72" t="s">
        <v>1773</v>
      </c>
    </row>
    <row r="165" spans="2:18" x14ac:dyDescent="0.2">
      <c r="B165" s="90">
        <v>54</v>
      </c>
      <c r="C165" s="44"/>
      <c r="D165" s="44">
        <v>158</v>
      </c>
      <c r="E165" s="72" t="s">
        <v>252</v>
      </c>
      <c r="F165" s="44" t="s">
        <v>6</v>
      </c>
      <c r="G165" s="44">
        <v>0</v>
      </c>
      <c r="H165" s="44" t="s">
        <v>1</v>
      </c>
      <c r="I165" s="44" t="s">
        <v>95</v>
      </c>
      <c r="J165" s="72"/>
      <c r="K165" s="73">
        <v>28672</v>
      </c>
      <c r="L165" s="30">
        <f>YEAR(K165)</f>
        <v>1978</v>
      </c>
      <c r="M165" s="30">
        <f t="shared" si="14"/>
        <v>41</v>
      </c>
      <c r="N165" s="44" t="s">
        <v>3</v>
      </c>
      <c r="O165" s="44"/>
      <c r="P165" s="72" t="s">
        <v>15</v>
      </c>
      <c r="Q165" s="44"/>
      <c r="R165" s="72" t="s">
        <v>34</v>
      </c>
    </row>
    <row r="166" spans="2:18" ht="25.5" x14ac:dyDescent="0.2">
      <c r="B166" s="135">
        <v>55</v>
      </c>
      <c r="C166" s="119" t="s">
        <v>1894</v>
      </c>
      <c r="D166" s="44">
        <v>159</v>
      </c>
      <c r="E166" s="72" t="s">
        <v>154</v>
      </c>
      <c r="F166" s="44" t="s">
        <v>6</v>
      </c>
      <c r="G166" s="44" t="s">
        <v>253</v>
      </c>
      <c r="H166" s="44" t="s">
        <v>1</v>
      </c>
      <c r="I166" s="44" t="s">
        <v>2</v>
      </c>
      <c r="J166" s="72" t="s">
        <v>1232</v>
      </c>
      <c r="K166" s="73">
        <v>31412</v>
      </c>
      <c r="L166" s="30">
        <v>1985</v>
      </c>
      <c r="M166" s="30">
        <f t="shared" si="14"/>
        <v>34</v>
      </c>
      <c r="N166" s="44" t="s">
        <v>3</v>
      </c>
      <c r="O166" s="44" t="s">
        <v>1229</v>
      </c>
      <c r="P166" s="72" t="s">
        <v>1246</v>
      </c>
      <c r="Q166" s="44"/>
      <c r="R166" s="72" t="s">
        <v>1330</v>
      </c>
    </row>
    <row r="167" spans="2:18" ht="25.5" x14ac:dyDescent="0.2">
      <c r="B167" s="135"/>
      <c r="C167" s="119"/>
      <c r="D167" s="44">
        <v>160</v>
      </c>
      <c r="E167" s="72" t="s">
        <v>1895</v>
      </c>
      <c r="F167" s="44" t="s">
        <v>11</v>
      </c>
      <c r="G167" s="44" t="s">
        <v>255</v>
      </c>
      <c r="H167" s="44" t="s">
        <v>9</v>
      </c>
      <c r="I167" s="44" t="s">
        <v>2</v>
      </c>
      <c r="J167" s="72" t="s">
        <v>1896</v>
      </c>
      <c r="K167" s="73">
        <v>34554</v>
      </c>
      <c r="L167" s="30">
        <v>1994</v>
      </c>
      <c r="M167" s="30">
        <f t="shared" si="14"/>
        <v>25</v>
      </c>
      <c r="N167" s="44" t="s">
        <v>3</v>
      </c>
      <c r="O167" s="44" t="s">
        <v>1229</v>
      </c>
      <c r="P167" s="72" t="s">
        <v>1246</v>
      </c>
      <c r="Q167" s="44"/>
      <c r="R167" s="72" t="s">
        <v>1360</v>
      </c>
    </row>
    <row r="168" spans="2:18" ht="25.5" x14ac:dyDescent="0.2">
      <c r="B168" s="135"/>
      <c r="C168" s="119"/>
      <c r="D168" s="44">
        <v>161</v>
      </c>
      <c r="E168" s="72" t="s">
        <v>256</v>
      </c>
      <c r="F168" s="44" t="s">
        <v>16</v>
      </c>
      <c r="G168" s="44" t="s">
        <v>1897</v>
      </c>
      <c r="H168" s="44" t="s">
        <v>9</v>
      </c>
      <c r="I168" s="44" t="s">
        <v>13</v>
      </c>
      <c r="J168" s="72" t="s">
        <v>1232</v>
      </c>
      <c r="K168" s="73">
        <v>42010</v>
      </c>
      <c r="L168" s="30">
        <v>2015</v>
      </c>
      <c r="M168" s="30">
        <f t="shared" si="14"/>
        <v>4</v>
      </c>
      <c r="N168" s="44" t="s">
        <v>3</v>
      </c>
      <c r="O168" s="44" t="s">
        <v>1229</v>
      </c>
      <c r="P168" s="72" t="s">
        <v>1258</v>
      </c>
      <c r="Q168" s="44"/>
      <c r="R168" s="72" t="s">
        <v>1898</v>
      </c>
    </row>
    <row r="169" spans="2:18" ht="25.5" x14ac:dyDescent="0.2">
      <c r="B169" s="135">
        <v>56</v>
      </c>
      <c r="C169" s="119" t="s">
        <v>1899</v>
      </c>
      <c r="D169" s="44">
        <v>162</v>
      </c>
      <c r="E169" s="72" t="s">
        <v>257</v>
      </c>
      <c r="F169" s="44" t="s">
        <v>6</v>
      </c>
      <c r="G169" s="44" t="s">
        <v>258</v>
      </c>
      <c r="H169" s="44" t="s">
        <v>1</v>
      </c>
      <c r="I169" s="44" t="s">
        <v>2</v>
      </c>
      <c r="J169" s="72" t="s">
        <v>1232</v>
      </c>
      <c r="K169" s="73">
        <v>29279</v>
      </c>
      <c r="L169" s="30">
        <v>1980</v>
      </c>
      <c r="M169" s="30">
        <f t="shared" si="14"/>
        <v>39</v>
      </c>
      <c r="N169" s="44" t="s">
        <v>3</v>
      </c>
      <c r="O169" s="44" t="s">
        <v>1229</v>
      </c>
      <c r="P169" s="72" t="s">
        <v>1233</v>
      </c>
      <c r="Q169" s="44"/>
      <c r="R169" s="72" t="s">
        <v>1330</v>
      </c>
    </row>
    <row r="170" spans="2:18" ht="25.5" x14ac:dyDescent="0.2">
      <c r="B170" s="135"/>
      <c r="C170" s="119"/>
      <c r="D170" s="44">
        <v>163</v>
      </c>
      <c r="E170" s="72" t="s">
        <v>259</v>
      </c>
      <c r="F170" s="44" t="s">
        <v>11</v>
      </c>
      <c r="G170" s="44" t="s">
        <v>260</v>
      </c>
      <c r="H170" s="44" t="s">
        <v>9</v>
      </c>
      <c r="I170" s="44" t="s">
        <v>2</v>
      </c>
      <c r="J170" s="72" t="s">
        <v>1900</v>
      </c>
      <c r="K170" s="73">
        <v>31182</v>
      </c>
      <c r="L170" s="30">
        <v>1985</v>
      </c>
      <c r="M170" s="30">
        <f t="shared" si="14"/>
        <v>34</v>
      </c>
      <c r="N170" s="44" t="s">
        <v>3</v>
      </c>
      <c r="O170" s="44" t="s">
        <v>1229</v>
      </c>
      <c r="P170" s="72" t="s">
        <v>1233</v>
      </c>
      <c r="Q170" s="44"/>
      <c r="R170" s="72" t="s">
        <v>1360</v>
      </c>
    </row>
    <row r="171" spans="2:18" ht="25.5" x14ac:dyDescent="0.2">
      <c r="B171" s="135"/>
      <c r="C171" s="119"/>
      <c r="D171" s="44">
        <v>164</v>
      </c>
      <c r="E171" s="72" t="s">
        <v>1901</v>
      </c>
      <c r="F171" s="44" t="s">
        <v>16</v>
      </c>
      <c r="G171" s="44" t="s">
        <v>1902</v>
      </c>
      <c r="H171" s="44" t="s">
        <v>9</v>
      </c>
      <c r="I171" s="44" t="s">
        <v>13</v>
      </c>
      <c r="J171" s="72" t="s">
        <v>1232</v>
      </c>
      <c r="K171" s="73">
        <v>42125</v>
      </c>
      <c r="L171" s="30">
        <v>2015</v>
      </c>
      <c r="M171" s="30">
        <f>2019-L171</f>
        <v>4</v>
      </c>
      <c r="N171" s="44" t="s">
        <v>3</v>
      </c>
      <c r="O171" s="44" t="s">
        <v>1229</v>
      </c>
      <c r="P171" s="72" t="s">
        <v>1258</v>
      </c>
      <c r="Q171" s="44"/>
      <c r="R171" s="72" t="s">
        <v>1332</v>
      </c>
    </row>
    <row r="172" spans="2:18" ht="25.5" x14ac:dyDescent="0.2">
      <c r="B172" s="135">
        <v>57</v>
      </c>
      <c r="C172" s="119" t="s">
        <v>1903</v>
      </c>
      <c r="D172" s="44">
        <v>165</v>
      </c>
      <c r="E172" s="72" t="s">
        <v>261</v>
      </c>
      <c r="F172" s="44" t="s">
        <v>6</v>
      </c>
      <c r="G172" s="44" t="s">
        <v>1904</v>
      </c>
      <c r="H172" s="44" t="s">
        <v>9</v>
      </c>
      <c r="I172" s="44" t="s">
        <v>1296</v>
      </c>
      <c r="J172" s="72" t="s">
        <v>1232</v>
      </c>
      <c r="K172" s="73">
        <v>24107</v>
      </c>
      <c r="L172" s="30">
        <v>1965</v>
      </c>
      <c r="M172" s="30">
        <f>2019-L172</f>
        <v>54</v>
      </c>
      <c r="N172" s="44" t="s">
        <v>3</v>
      </c>
      <c r="O172" s="44" t="s">
        <v>1229</v>
      </c>
      <c r="P172" s="72" t="s">
        <v>1258</v>
      </c>
      <c r="Q172" s="44"/>
      <c r="R172" s="72" t="s">
        <v>1330</v>
      </c>
    </row>
    <row r="173" spans="2:18" ht="25.5" x14ac:dyDescent="0.2">
      <c r="B173" s="135"/>
      <c r="C173" s="119"/>
      <c r="D173" s="44">
        <v>166</v>
      </c>
      <c r="E173" s="72" t="s">
        <v>262</v>
      </c>
      <c r="F173" s="44" t="s">
        <v>11</v>
      </c>
      <c r="G173" s="44" t="s">
        <v>263</v>
      </c>
      <c r="H173" s="44" t="s">
        <v>9</v>
      </c>
      <c r="I173" s="44" t="s">
        <v>13</v>
      </c>
      <c r="J173" s="72" t="s">
        <v>1232</v>
      </c>
      <c r="K173" s="73">
        <v>37600</v>
      </c>
      <c r="L173" s="30">
        <v>2002</v>
      </c>
      <c r="M173" s="30">
        <f t="shared" si="14"/>
        <v>17</v>
      </c>
      <c r="N173" s="44" t="s">
        <v>3</v>
      </c>
      <c r="O173" s="44" t="s">
        <v>1229</v>
      </c>
      <c r="P173" s="72" t="s">
        <v>1247</v>
      </c>
      <c r="Q173" s="44"/>
      <c r="R173" s="72" t="s">
        <v>1822</v>
      </c>
    </row>
    <row r="174" spans="2:18" x14ac:dyDescent="0.2">
      <c r="B174" s="91">
        <v>58</v>
      </c>
      <c r="C174" s="91"/>
      <c r="D174" s="44">
        <v>167</v>
      </c>
      <c r="E174" s="72" t="s">
        <v>264</v>
      </c>
      <c r="F174" s="44" t="s">
        <v>6</v>
      </c>
      <c r="G174" s="44">
        <v>0</v>
      </c>
      <c r="H174" s="44" t="s">
        <v>1</v>
      </c>
      <c r="I174" s="44" t="s">
        <v>95</v>
      </c>
      <c r="J174" s="72"/>
      <c r="K174" s="73">
        <v>35977</v>
      </c>
      <c r="L174" s="30">
        <f t="shared" ref="L174:L176" si="17">YEAR(K174)</f>
        <v>1998</v>
      </c>
      <c r="M174" s="30">
        <f t="shared" si="14"/>
        <v>21</v>
      </c>
      <c r="N174" s="44" t="s">
        <v>3</v>
      </c>
      <c r="O174" s="44"/>
      <c r="P174" s="72" t="s">
        <v>14</v>
      </c>
      <c r="Q174" s="44"/>
      <c r="R174" s="72" t="s">
        <v>5</v>
      </c>
    </row>
    <row r="175" spans="2:18" x14ac:dyDescent="0.2">
      <c r="B175" s="119">
        <v>59</v>
      </c>
      <c r="C175" s="119"/>
      <c r="D175" s="44">
        <v>168</v>
      </c>
      <c r="E175" s="72" t="s">
        <v>75</v>
      </c>
      <c r="F175" s="44" t="s">
        <v>6</v>
      </c>
      <c r="G175" s="44">
        <v>0</v>
      </c>
      <c r="H175" s="44" t="s">
        <v>1</v>
      </c>
      <c r="I175" s="44" t="s">
        <v>2</v>
      </c>
      <c r="J175" s="72"/>
      <c r="K175" s="73">
        <v>22387</v>
      </c>
      <c r="L175" s="30">
        <f t="shared" si="17"/>
        <v>1961</v>
      </c>
      <c r="M175" s="30">
        <f t="shared" si="14"/>
        <v>58</v>
      </c>
      <c r="N175" s="44" t="s">
        <v>3</v>
      </c>
      <c r="O175" s="44"/>
      <c r="P175" s="72" t="s">
        <v>15</v>
      </c>
      <c r="Q175" s="44"/>
      <c r="R175" s="72" t="s">
        <v>34</v>
      </c>
    </row>
    <row r="176" spans="2:18" x14ac:dyDescent="0.2">
      <c r="B176" s="119"/>
      <c r="C176" s="119"/>
      <c r="D176" s="44">
        <v>169</v>
      </c>
      <c r="E176" s="72" t="s">
        <v>265</v>
      </c>
      <c r="F176" s="44" t="s">
        <v>11</v>
      </c>
      <c r="G176" s="44">
        <v>0</v>
      </c>
      <c r="H176" s="44" t="s">
        <v>9</v>
      </c>
      <c r="I176" s="44" t="s">
        <v>2</v>
      </c>
      <c r="J176" s="72"/>
      <c r="K176" s="73">
        <v>24083</v>
      </c>
      <c r="L176" s="30">
        <f t="shared" si="17"/>
        <v>1965</v>
      </c>
      <c r="M176" s="30">
        <f t="shared" si="14"/>
        <v>54</v>
      </c>
      <c r="N176" s="44" t="s">
        <v>3</v>
      </c>
      <c r="O176" s="44"/>
      <c r="P176" s="72" t="s">
        <v>15</v>
      </c>
      <c r="Q176" s="44"/>
      <c r="R176" s="72" t="s">
        <v>34</v>
      </c>
    </row>
    <row r="177" spans="2:18" ht="25.5" x14ac:dyDescent="0.2">
      <c r="B177" s="135">
        <v>60</v>
      </c>
      <c r="C177" s="119" t="s">
        <v>1905</v>
      </c>
      <c r="D177" s="44">
        <v>170</v>
      </c>
      <c r="E177" s="72" t="s">
        <v>266</v>
      </c>
      <c r="F177" s="44" t="s">
        <v>6</v>
      </c>
      <c r="G177" s="44" t="s">
        <v>1906</v>
      </c>
      <c r="H177" s="44" t="s">
        <v>1</v>
      </c>
      <c r="I177" s="44" t="s">
        <v>2</v>
      </c>
      <c r="J177" s="72" t="s">
        <v>1232</v>
      </c>
      <c r="K177" s="73">
        <v>2913541</v>
      </c>
      <c r="L177" s="30">
        <v>1976</v>
      </c>
      <c r="M177" s="30">
        <f t="shared" si="14"/>
        <v>43</v>
      </c>
      <c r="N177" s="44" t="s">
        <v>3</v>
      </c>
      <c r="O177" s="44" t="s">
        <v>1229</v>
      </c>
      <c r="P177" s="72" t="s">
        <v>1233</v>
      </c>
      <c r="Q177" s="44"/>
      <c r="R177" s="72" t="s">
        <v>1330</v>
      </c>
    </row>
    <row r="178" spans="2:18" ht="25.5" x14ac:dyDescent="0.2">
      <c r="B178" s="135"/>
      <c r="C178" s="119"/>
      <c r="D178" s="44">
        <v>171</v>
      </c>
      <c r="E178" s="72" t="s">
        <v>1907</v>
      </c>
      <c r="F178" s="44" t="s">
        <v>11</v>
      </c>
      <c r="G178" s="44" t="s">
        <v>1908</v>
      </c>
      <c r="H178" s="44" t="s">
        <v>9</v>
      </c>
      <c r="I178" s="44" t="s">
        <v>2</v>
      </c>
      <c r="J178" s="72" t="s">
        <v>1232</v>
      </c>
      <c r="K178" s="73">
        <v>29220</v>
      </c>
      <c r="L178" s="30">
        <v>1979</v>
      </c>
      <c r="M178" s="30">
        <f t="shared" si="14"/>
        <v>40</v>
      </c>
      <c r="N178" s="44" t="s">
        <v>3</v>
      </c>
      <c r="O178" s="44" t="s">
        <v>1229</v>
      </c>
      <c r="P178" s="72" t="s">
        <v>1233</v>
      </c>
      <c r="Q178" s="44"/>
      <c r="R178" s="72" t="s">
        <v>1330</v>
      </c>
    </row>
    <row r="179" spans="2:18" ht="25.5" x14ac:dyDescent="0.2">
      <c r="B179" s="135"/>
      <c r="C179" s="119"/>
      <c r="D179" s="44">
        <v>172</v>
      </c>
      <c r="E179" s="72" t="s">
        <v>1909</v>
      </c>
      <c r="F179" s="44" t="s">
        <v>16</v>
      </c>
      <c r="G179" s="44" t="s">
        <v>1910</v>
      </c>
      <c r="H179" s="44" t="s">
        <v>1</v>
      </c>
      <c r="I179" s="44" t="s">
        <v>13</v>
      </c>
      <c r="J179" s="72" t="s">
        <v>1232</v>
      </c>
      <c r="K179" s="73">
        <v>36525</v>
      </c>
      <c r="L179" s="30">
        <v>1999</v>
      </c>
      <c r="M179" s="30">
        <f t="shared" si="14"/>
        <v>20</v>
      </c>
      <c r="N179" s="44" t="s">
        <v>3</v>
      </c>
      <c r="O179" s="44" t="s">
        <v>1229</v>
      </c>
      <c r="P179" s="72" t="s">
        <v>1270</v>
      </c>
      <c r="Q179" s="44"/>
      <c r="R179" s="72" t="s">
        <v>1822</v>
      </c>
    </row>
    <row r="180" spans="2:18" ht="25.5" x14ac:dyDescent="0.2">
      <c r="B180" s="135"/>
      <c r="C180" s="119"/>
      <c r="D180" s="44">
        <v>173</v>
      </c>
      <c r="E180" s="72" t="s">
        <v>1911</v>
      </c>
      <c r="F180" s="44" t="s">
        <v>16</v>
      </c>
      <c r="G180" s="44" t="s">
        <v>268</v>
      </c>
      <c r="H180" s="44" t="s">
        <v>1</v>
      </c>
      <c r="I180" s="44" t="s">
        <v>13</v>
      </c>
      <c r="J180" s="72" t="s">
        <v>1232</v>
      </c>
      <c r="K180" s="73">
        <v>41430</v>
      </c>
      <c r="L180" s="30">
        <v>2013</v>
      </c>
      <c r="M180" s="30">
        <f t="shared" si="14"/>
        <v>6</v>
      </c>
      <c r="N180" s="44" t="s">
        <v>3</v>
      </c>
      <c r="O180" s="44" t="s">
        <v>1229</v>
      </c>
      <c r="P180" s="72" t="s">
        <v>1258</v>
      </c>
      <c r="Q180" s="44"/>
      <c r="R180" s="72" t="s">
        <v>1332</v>
      </c>
    </row>
    <row r="181" spans="2:18" ht="25.5" x14ac:dyDescent="0.2">
      <c r="B181" s="135">
        <v>61</v>
      </c>
      <c r="C181" s="119" t="s">
        <v>1912</v>
      </c>
      <c r="D181" s="44">
        <v>174</v>
      </c>
      <c r="E181" s="72" t="s">
        <v>269</v>
      </c>
      <c r="F181" s="44" t="s">
        <v>6</v>
      </c>
      <c r="G181" s="44" t="s">
        <v>270</v>
      </c>
      <c r="H181" s="44" t="s">
        <v>9</v>
      </c>
      <c r="I181" s="44" t="s">
        <v>1421</v>
      </c>
      <c r="J181" s="72" t="s">
        <v>1232</v>
      </c>
      <c r="K181" s="73">
        <v>25933</v>
      </c>
      <c r="L181" s="30">
        <v>1970</v>
      </c>
      <c r="M181" s="30">
        <f t="shared" si="14"/>
        <v>49</v>
      </c>
      <c r="N181" s="44" t="s">
        <v>3</v>
      </c>
      <c r="O181" s="44" t="s">
        <v>1229</v>
      </c>
      <c r="P181" s="72" t="s">
        <v>1258</v>
      </c>
      <c r="Q181" s="44"/>
      <c r="R181" s="72" t="s">
        <v>1330</v>
      </c>
    </row>
    <row r="182" spans="2:18" ht="25.5" x14ac:dyDescent="0.2">
      <c r="B182" s="135"/>
      <c r="C182" s="119"/>
      <c r="D182" s="44">
        <v>175</v>
      </c>
      <c r="E182" s="72" t="s">
        <v>532</v>
      </c>
      <c r="F182" s="44" t="s">
        <v>16</v>
      </c>
      <c r="G182" s="44" t="s">
        <v>271</v>
      </c>
      <c r="H182" s="44" t="s">
        <v>1</v>
      </c>
      <c r="I182" s="44" t="s">
        <v>13</v>
      </c>
      <c r="J182" s="72" t="s">
        <v>1232</v>
      </c>
      <c r="K182" s="73">
        <v>35098</v>
      </c>
      <c r="L182" s="30">
        <v>1996</v>
      </c>
      <c r="M182" s="30">
        <f t="shared" si="14"/>
        <v>23</v>
      </c>
      <c r="N182" s="44" t="s">
        <v>3</v>
      </c>
      <c r="O182" s="44" t="s">
        <v>1229</v>
      </c>
      <c r="P182" s="72" t="s">
        <v>1233</v>
      </c>
      <c r="Q182" s="44"/>
      <c r="R182" s="72" t="s">
        <v>1330</v>
      </c>
    </row>
    <row r="183" spans="2:18" ht="25.5" x14ac:dyDescent="0.2">
      <c r="B183" s="135">
        <v>62</v>
      </c>
      <c r="C183" s="119" t="s">
        <v>1913</v>
      </c>
      <c r="D183" s="44">
        <v>176</v>
      </c>
      <c r="E183" s="72" t="s">
        <v>274</v>
      </c>
      <c r="F183" s="44" t="s">
        <v>6</v>
      </c>
      <c r="G183" s="44" t="s">
        <v>275</v>
      </c>
      <c r="H183" s="44" t="s">
        <v>1</v>
      </c>
      <c r="I183" s="44" t="s">
        <v>2</v>
      </c>
      <c r="J183" s="72" t="s">
        <v>1232</v>
      </c>
      <c r="K183" s="73">
        <v>28125</v>
      </c>
      <c r="L183" s="30">
        <v>1976</v>
      </c>
      <c r="M183" s="30">
        <f t="shared" si="14"/>
        <v>43</v>
      </c>
      <c r="N183" s="44" t="s">
        <v>3</v>
      </c>
      <c r="O183" s="44" t="s">
        <v>1229</v>
      </c>
      <c r="P183" s="72" t="s">
        <v>1258</v>
      </c>
      <c r="Q183" s="44"/>
      <c r="R183" s="72" t="s">
        <v>5</v>
      </c>
    </row>
    <row r="184" spans="2:18" ht="25.5" x14ac:dyDescent="0.2">
      <c r="B184" s="135"/>
      <c r="C184" s="119"/>
      <c r="D184" s="44">
        <v>177</v>
      </c>
      <c r="E184" s="72" t="s">
        <v>276</v>
      </c>
      <c r="F184" s="44" t="s">
        <v>11</v>
      </c>
      <c r="G184" s="44" t="s">
        <v>277</v>
      </c>
      <c r="H184" s="44" t="s">
        <v>9</v>
      </c>
      <c r="I184" s="44" t="s">
        <v>2</v>
      </c>
      <c r="J184" s="72" t="s">
        <v>1232</v>
      </c>
      <c r="K184" s="73">
        <v>29916</v>
      </c>
      <c r="L184" s="30">
        <v>1981</v>
      </c>
      <c r="M184" s="30">
        <f t="shared" si="14"/>
        <v>38</v>
      </c>
      <c r="N184" s="44" t="s">
        <v>3</v>
      </c>
      <c r="O184" s="44" t="s">
        <v>1229</v>
      </c>
      <c r="P184" s="72" t="s">
        <v>1258</v>
      </c>
      <c r="Q184" s="44"/>
      <c r="R184" s="72" t="s">
        <v>5</v>
      </c>
    </row>
    <row r="185" spans="2:18" ht="25.5" x14ac:dyDescent="0.2">
      <c r="B185" s="135"/>
      <c r="C185" s="119"/>
      <c r="D185" s="44">
        <v>178</v>
      </c>
      <c r="E185" s="72" t="s">
        <v>278</v>
      </c>
      <c r="F185" s="44" t="s">
        <v>16</v>
      </c>
      <c r="G185" s="44" t="s">
        <v>279</v>
      </c>
      <c r="H185" s="44" t="s">
        <v>1</v>
      </c>
      <c r="I185" s="44" t="s">
        <v>13</v>
      </c>
      <c r="J185" s="72" t="s">
        <v>1232</v>
      </c>
      <c r="K185" s="73">
        <v>36165</v>
      </c>
      <c r="L185" s="30">
        <v>1999</v>
      </c>
      <c r="M185" s="30">
        <f t="shared" si="14"/>
        <v>20</v>
      </c>
      <c r="N185" s="44" t="s">
        <v>3</v>
      </c>
      <c r="O185" s="44" t="s">
        <v>1229</v>
      </c>
      <c r="P185" s="72" t="s">
        <v>1233</v>
      </c>
      <c r="Q185" s="44"/>
      <c r="R185" s="72" t="s">
        <v>1822</v>
      </c>
    </row>
    <row r="186" spans="2:18" ht="25.5" x14ac:dyDescent="0.2">
      <c r="B186" s="135"/>
      <c r="C186" s="119"/>
      <c r="D186" s="44">
        <v>179</v>
      </c>
      <c r="E186" s="72" t="s">
        <v>1914</v>
      </c>
      <c r="F186" s="44" t="s">
        <v>16</v>
      </c>
      <c r="G186" s="44" t="s">
        <v>280</v>
      </c>
      <c r="H186" s="44" t="s">
        <v>1</v>
      </c>
      <c r="I186" s="44" t="s">
        <v>13</v>
      </c>
      <c r="J186" s="72" t="s">
        <v>1232</v>
      </c>
      <c r="K186" s="73">
        <v>40611</v>
      </c>
      <c r="L186" s="30">
        <v>2011</v>
      </c>
      <c r="M186" s="30">
        <f t="shared" si="14"/>
        <v>8</v>
      </c>
      <c r="N186" s="44" t="s">
        <v>3</v>
      </c>
      <c r="O186" s="44" t="s">
        <v>1229</v>
      </c>
      <c r="P186" s="72" t="s">
        <v>1258</v>
      </c>
      <c r="Q186" s="44"/>
      <c r="R186" s="72" t="s">
        <v>1332</v>
      </c>
    </row>
    <row r="187" spans="2:18" ht="25.5" x14ac:dyDescent="0.2">
      <c r="B187" s="135">
        <v>63</v>
      </c>
      <c r="C187" s="119" t="s">
        <v>1915</v>
      </c>
      <c r="D187" s="44">
        <v>180</v>
      </c>
      <c r="E187" s="72" t="s">
        <v>144</v>
      </c>
      <c r="F187" s="44" t="s">
        <v>6</v>
      </c>
      <c r="G187" s="44" t="s">
        <v>281</v>
      </c>
      <c r="H187" s="44" t="s">
        <v>9</v>
      </c>
      <c r="I187" s="44" t="s">
        <v>1296</v>
      </c>
      <c r="J187" s="72" t="s">
        <v>1232</v>
      </c>
      <c r="K187" s="73">
        <v>16619</v>
      </c>
      <c r="L187" s="30">
        <v>1945</v>
      </c>
      <c r="M187" s="30">
        <f t="shared" si="14"/>
        <v>74</v>
      </c>
      <c r="N187" s="44" t="s">
        <v>3</v>
      </c>
      <c r="O187" s="44" t="s">
        <v>1229</v>
      </c>
      <c r="P187" s="72" t="s">
        <v>1233</v>
      </c>
      <c r="Q187" s="44"/>
      <c r="R187" s="72" t="s">
        <v>1332</v>
      </c>
    </row>
    <row r="188" spans="2:18" x14ac:dyDescent="0.2">
      <c r="B188" s="135"/>
      <c r="C188" s="119"/>
      <c r="D188" s="44">
        <v>181</v>
      </c>
      <c r="E188" s="72" t="s">
        <v>282</v>
      </c>
      <c r="F188" s="44" t="s">
        <v>16</v>
      </c>
      <c r="G188" s="44" t="s">
        <v>283</v>
      </c>
      <c r="H188" s="44" t="s">
        <v>1</v>
      </c>
      <c r="I188" s="44" t="s">
        <v>13</v>
      </c>
      <c r="J188" s="72" t="s">
        <v>1232</v>
      </c>
      <c r="K188" s="73">
        <v>31777</v>
      </c>
      <c r="L188" s="30">
        <v>1986</v>
      </c>
      <c r="M188" s="30">
        <f t="shared" si="14"/>
        <v>33</v>
      </c>
      <c r="N188" s="44" t="s">
        <v>3</v>
      </c>
      <c r="O188" s="44" t="s">
        <v>1229</v>
      </c>
      <c r="P188" s="72" t="s">
        <v>1270</v>
      </c>
      <c r="Q188" s="44"/>
      <c r="R188" s="72" t="s">
        <v>5</v>
      </c>
    </row>
    <row r="189" spans="2:18" x14ac:dyDescent="0.2">
      <c r="B189" s="90">
        <v>64</v>
      </c>
      <c r="C189" s="44"/>
      <c r="D189" s="44">
        <v>182</v>
      </c>
      <c r="E189" s="72" t="s">
        <v>284</v>
      </c>
      <c r="F189" s="44" t="s">
        <v>6</v>
      </c>
      <c r="G189" s="44" t="s">
        <v>285</v>
      </c>
      <c r="H189" s="44" t="s">
        <v>9</v>
      </c>
      <c r="I189" s="44" t="s">
        <v>19</v>
      </c>
      <c r="J189" s="72"/>
      <c r="K189" s="73">
        <v>30316</v>
      </c>
      <c r="L189" s="30">
        <f>YEAR(K189)</f>
        <v>1982</v>
      </c>
      <c r="M189" s="30">
        <f t="shared" si="14"/>
        <v>37</v>
      </c>
      <c r="N189" s="44" t="s">
        <v>3</v>
      </c>
      <c r="O189" s="44"/>
      <c r="P189" s="72" t="s">
        <v>15</v>
      </c>
      <c r="Q189" s="44"/>
      <c r="R189" s="72" t="s">
        <v>15</v>
      </c>
    </row>
    <row r="190" spans="2:18" ht="25.5" x14ac:dyDescent="0.2">
      <c r="B190" s="135">
        <v>65</v>
      </c>
      <c r="C190" s="119" t="s">
        <v>1916</v>
      </c>
      <c r="D190" s="44">
        <v>183</v>
      </c>
      <c r="E190" s="72" t="s">
        <v>291</v>
      </c>
      <c r="F190" s="44" t="s">
        <v>6</v>
      </c>
      <c r="G190" s="44" t="s">
        <v>287</v>
      </c>
      <c r="H190" s="44" t="s">
        <v>1</v>
      </c>
      <c r="I190" s="44" t="s">
        <v>2</v>
      </c>
      <c r="J190" s="72" t="s">
        <v>1232</v>
      </c>
      <c r="K190" s="73">
        <v>28855</v>
      </c>
      <c r="L190" s="30">
        <v>1978</v>
      </c>
      <c r="M190" s="30">
        <f t="shared" si="14"/>
        <v>41</v>
      </c>
      <c r="N190" s="44" t="s">
        <v>3</v>
      </c>
      <c r="O190" s="44" t="s">
        <v>1229</v>
      </c>
      <c r="P190" s="72" t="s">
        <v>1233</v>
      </c>
      <c r="Q190" s="44"/>
      <c r="R190" s="72" t="s">
        <v>5</v>
      </c>
    </row>
    <row r="191" spans="2:18" x14ac:dyDescent="0.2">
      <c r="B191" s="135"/>
      <c r="C191" s="119"/>
      <c r="D191" s="44">
        <v>184</v>
      </c>
      <c r="E191" s="72" t="s">
        <v>1917</v>
      </c>
      <c r="F191" s="44" t="s">
        <v>11</v>
      </c>
      <c r="G191" s="44" t="s">
        <v>288</v>
      </c>
      <c r="H191" s="44" t="s">
        <v>9</v>
      </c>
      <c r="I191" s="44" t="s">
        <v>2</v>
      </c>
      <c r="J191" s="72" t="s">
        <v>1232</v>
      </c>
      <c r="K191" s="73">
        <v>31331</v>
      </c>
      <c r="L191" s="30">
        <v>1985</v>
      </c>
      <c r="M191" s="30">
        <f t="shared" si="14"/>
        <v>34</v>
      </c>
      <c r="N191" s="44" t="s">
        <v>3</v>
      </c>
      <c r="O191" s="44" t="s">
        <v>1229</v>
      </c>
      <c r="P191" s="72" t="s">
        <v>1246</v>
      </c>
      <c r="Q191" s="44"/>
      <c r="R191" s="72" t="s">
        <v>5</v>
      </c>
    </row>
    <row r="192" spans="2:18" ht="25.5" x14ac:dyDescent="0.2">
      <c r="B192" s="135"/>
      <c r="C192" s="119"/>
      <c r="D192" s="44">
        <v>185</v>
      </c>
      <c r="E192" s="72" t="s">
        <v>1918</v>
      </c>
      <c r="F192" s="44" t="s">
        <v>16</v>
      </c>
      <c r="G192" s="44" t="s">
        <v>1919</v>
      </c>
      <c r="H192" s="44" t="s">
        <v>9</v>
      </c>
      <c r="I192" s="44" t="s">
        <v>13</v>
      </c>
      <c r="J192" s="72" t="s">
        <v>1232</v>
      </c>
      <c r="K192" s="73">
        <v>38033</v>
      </c>
      <c r="L192" s="30">
        <v>2004</v>
      </c>
      <c r="M192" s="30">
        <f t="shared" si="14"/>
        <v>15</v>
      </c>
      <c r="N192" s="44" t="s">
        <v>3</v>
      </c>
      <c r="O192" s="44" t="s">
        <v>1229</v>
      </c>
      <c r="P192" s="72" t="s">
        <v>1247</v>
      </c>
      <c r="Q192" s="44"/>
      <c r="R192" s="72" t="s">
        <v>1822</v>
      </c>
    </row>
    <row r="193" spans="2:18" ht="25.5" x14ac:dyDescent="0.2">
      <c r="B193" s="135"/>
      <c r="C193" s="119"/>
      <c r="D193" s="44">
        <v>186</v>
      </c>
      <c r="E193" s="72" t="s">
        <v>1920</v>
      </c>
      <c r="F193" s="44" t="s">
        <v>16</v>
      </c>
      <c r="G193" s="44" t="s">
        <v>289</v>
      </c>
      <c r="H193" s="44" t="s">
        <v>9</v>
      </c>
      <c r="I193" s="44" t="s">
        <v>13</v>
      </c>
      <c r="J193" s="72" t="s">
        <v>1232</v>
      </c>
      <c r="K193" s="73">
        <v>41388</v>
      </c>
      <c r="L193" s="30">
        <v>2013</v>
      </c>
      <c r="M193" s="30">
        <f t="shared" si="14"/>
        <v>6</v>
      </c>
      <c r="N193" s="44" t="s">
        <v>3</v>
      </c>
      <c r="O193" s="44" t="s">
        <v>1229</v>
      </c>
      <c r="P193" s="72" t="s">
        <v>1258</v>
      </c>
      <c r="Q193" s="44"/>
      <c r="R193" s="72" t="s">
        <v>1332</v>
      </c>
    </row>
    <row r="194" spans="2:18" ht="25.5" x14ac:dyDescent="0.2">
      <c r="B194" s="139">
        <v>66</v>
      </c>
      <c r="C194" s="139" t="s">
        <v>1921</v>
      </c>
      <c r="D194" s="44">
        <v>187</v>
      </c>
      <c r="E194" s="72" t="s">
        <v>1922</v>
      </c>
      <c r="F194" s="44" t="s">
        <v>6</v>
      </c>
      <c r="G194" s="44" t="s">
        <v>1923</v>
      </c>
      <c r="H194" s="44" t="s">
        <v>1</v>
      </c>
      <c r="I194" s="44" t="s">
        <v>2</v>
      </c>
      <c r="J194" s="72" t="s">
        <v>1232</v>
      </c>
      <c r="K194" s="73">
        <v>23197</v>
      </c>
      <c r="L194" s="30">
        <v>1963</v>
      </c>
      <c r="M194" s="30">
        <f t="shared" si="14"/>
        <v>56</v>
      </c>
      <c r="N194" s="44" t="s">
        <v>3</v>
      </c>
      <c r="O194" s="44" t="s">
        <v>1229</v>
      </c>
      <c r="P194" s="72" t="s">
        <v>1233</v>
      </c>
      <c r="Q194" s="44"/>
      <c r="R194" s="72" t="s">
        <v>1330</v>
      </c>
    </row>
    <row r="195" spans="2:18" ht="25.5" x14ac:dyDescent="0.2">
      <c r="B195" s="140"/>
      <c r="C195" s="140"/>
      <c r="D195" s="44">
        <v>188</v>
      </c>
      <c r="E195" s="72" t="s">
        <v>23</v>
      </c>
      <c r="F195" s="44" t="s">
        <v>11</v>
      </c>
      <c r="G195" s="44" t="s">
        <v>1924</v>
      </c>
      <c r="H195" s="44" t="s">
        <v>9</v>
      </c>
      <c r="I195" s="44" t="s">
        <v>2</v>
      </c>
      <c r="J195" s="72" t="s">
        <v>1232</v>
      </c>
      <c r="K195" s="73">
        <v>24107</v>
      </c>
      <c r="L195" s="30">
        <v>1965</v>
      </c>
      <c r="M195" s="30">
        <f t="shared" si="14"/>
        <v>54</v>
      </c>
      <c r="N195" s="44" t="s">
        <v>3</v>
      </c>
      <c r="O195" s="44" t="s">
        <v>1229</v>
      </c>
      <c r="P195" s="72" t="s">
        <v>1233</v>
      </c>
      <c r="Q195" s="44"/>
      <c r="R195" s="72" t="s">
        <v>1330</v>
      </c>
    </row>
    <row r="196" spans="2:18" ht="25.5" x14ac:dyDescent="0.2">
      <c r="B196" s="140"/>
      <c r="C196" s="140"/>
      <c r="D196" s="44">
        <v>189</v>
      </c>
      <c r="E196" s="72" t="s">
        <v>1925</v>
      </c>
      <c r="F196" s="44" t="s">
        <v>16</v>
      </c>
      <c r="G196" s="44" t="s">
        <v>1926</v>
      </c>
      <c r="H196" s="44" t="s">
        <v>1</v>
      </c>
      <c r="I196" s="44" t="s">
        <v>13</v>
      </c>
      <c r="J196" s="72" t="s">
        <v>1232</v>
      </c>
      <c r="K196" s="73" t="s">
        <v>1927</v>
      </c>
      <c r="L196" s="30">
        <v>1989</v>
      </c>
      <c r="M196" s="30">
        <f t="shared" si="14"/>
        <v>30</v>
      </c>
      <c r="N196" s="44" t="s">
        <v>3</v>
      </c>
      <c r="O196" s="44" t="s">
        <v>1229</v>
      </c>
      <c r="P196" s="72" t="s">
        <v>1246</v>
      </c>
      <c r="Q196" s="44"/>
      <c r="R196" s="72" t="s">
        <v>1332</v>
      </c>
    </row>
    <row r="197" spans="2:18" ht="25.5" x14ac:dyDescent="0.2">
      <c r="B197" s="141"/>
      <c r="C197" s="141"/>
      <c r="D197" s="44">
        <v>190</v>
      </c>
      <c r="E197" s="72" t="s">
        <v>291</v>
      </c>
      <c r="F197" s="44" t="s">
        <v>16</v>
      </c>
      <c r="G197" s="44" t="s">
        <v>1930</v>
      </c>
      <c r="H197" s="44" t="s">
        <v>1</v>
      </c>
      <c r="I197" s="44" t="s">
        <v>13</v>
      </c>
      <c r="J197" s="72" t="s">
        <v>1232</v>
      </c>
      <c r="K197" s="73">
        <v>35923</v>
      </c>
      <c r="L197" s="30">
        <v>1998</v>
      </c>
      <c r="M197" s="30">
        <f t="shared" si="14"/>
        <v>21</v>
      </c>
      <c r="N197" s="44" t="s">
        <v>3</v>
      </c>
      <c r="O197" s="44" t="s">
        <v>1229</v>
      </c>
      <c r="P197" s="72" t="s">
        <v>1233</v>
      </c>
      <c r="Q197" s="44"/>
      <c r="R197" s="72" t="s">
        <v>1332</v>
      </c>
    </row>
    <row r="198" spans="2:18" ht="25.5" x14ac:dyDescent="0.2">
      <c r="B198" s="135">
        <v>67</v>
      </c>
      <c r="C198" s="119" t="s">
        <v>1931</v>
      </c>
      <c r="D198" s="44">
        <v>191</v>
      </c>
      <c r="E198" s="72" t="s">
        <v>292</v>
      </c>
      <c r="F198" s="44" t="s">
        <v>6</v>
      </c>
      <c r="G198" s="44" t="s">
        <v>293</v>
      </c>
      <c r="H198" s="44" t="s">
        <v>1</v>
      </c>
      <c r="I198" s="44" t="s">
        <v>2</v>
      </c>
      <c r="J198" s="72" t="s">
        <v>1232</v>
      </c>
      <c r="K198" s="73" t="s">
        <v>1932</v>
      </c>
      <c r="L198" s="30">
        <v>1961</v>
      </c>
      <c r="M198" s="30">
        <f t="shared" si="14"/>
        <v>58</v>
      </c>
      <c r="N198" s="44" t="s">
        <v>3</v>
      </c>
      <c r="O198" s="44" t="s">
        <v>1229</v>
      </c>
      <c r="P198" s="72" t="s">
        <v>1258</v>
      </c>
      <c r="Q198" s="44"/>
      <c r="R198" s="72" t="s">
        <v>1330</v>
      </c>
    </row>
    <row r="199" spans="2:18" ht="25.5" x14ac:dyDescent="0.2">
      <c r="B199" s="135"/>
      <c r="C199" s="119"/>
      <c r="D199" s="44">
        <v>192</v>
      </c>
      <c r="E199" s="72" t="s">
        <v>294</v>
      </c>
      <c r="F199" s="44" t="s">
        <v>11</v>
      </c>
      <c r="G199" s="44" t="s">
        <v>295</v>
      </c>
      <c r="H199" s="44" t="s">
        <v>9</v>
      </c>
      <c r="I199" s="44" t="s">
        <v>2</v>
      </c>
      <c r="J199" s="72" t="s">
        <v>1232</v>
      </c>
      <c r="K199" s="73">
        <v>24083</v>
      </c>
      <c r="L199" s="30">
        <v>1965</v>
      </c>
      <c r="M199" s="30">
        <f t="shared" si="14"/>
        <v>54</v>
      </c>
      <c r="N199" s="44" t="s">
        <v>3</v>
      </c>
      <c r="O199" s="44" t="s">
        <v>1229</v>
      </c>
      <c r="P199" s="72" t="s">
        <v>1258</v>
      </c>
      <c r="Q199" s="44"/>
      <c r="R199" s="72" t="s">
        <v>1871</v>
      </c>
    </row>
    <row r="200" spans="2:18" x14ac:dyDescent="0.2">
      <c r="B200" s="135">
        <v>68</v>
      </c>
      <c r="C200" s="119" t="s">
        <v>1931</v>
      </c>
      <c r="D200" s="44">
        <v>193</v>
      </c>
      <c r="E200" s="72" t="s">
        <v>298</v>
      </c>
      <c r="F200" s="44" t="s">
        <v>6</v>
      </c>
      <c r="G200" s="44" t="s">
        <v>299</v>
      </c>
      <c r="H200" s="44" t="s">
        <v>1</v>
      </c>
      <c r="I200" s="44" t="s">
        <v>2</v>
      </c>
      <c r="J200" s="72"/>
      <c r="K200" s="73">
        <v>25203</v>
      </c>
      <c r="L200" s="30">
        <v>1968</v>
      </c>
      <c r="M200" s="30">
        <f t="shared" ref="M200:M249" si="18">2019-L200</f>
        <v>51</v>
      </c>
      <c r="N200" s="44" t="s">
        <v>3</v>
      </c>
      <c r="O200" s="44" t="s">
        <v>1229</v>
      </c>
      <c r="P200" s="72" t="s">
        <v>1246</v>
      </c>
      <c r="Q200" s="44"/>
      <c r="R200" s="72" t="s">
        <v>5</v>
      </c>
    </row>
    <row r="201" spans="2:18" ht="25.5" x14ac:dyDescent="0.2">
      <c r="B201" s="135"/>
      <c r="C201" s="119"/>
      <c r="D201" s="44">
        <v>194</v>
      </c>
      <c r="E201" s="72" t="s">
        <v>300</v>
      </c>
      <c r="F201" s="44" t="s">
        <v>11</v>
      </c>
      <c r="G201" s="44" t="s">
        <v>301</v>
      </c>
      <c r="H201" s="44" t="s">
        <v>9</v>
      </c>
      <c r="I201" s="44" t="s">
        <v>2</v>
      </c>
      <c r="J201" s="72"/>
      <c r="K201" s="73">
        <v>29586</v>
      </c>
      <c r="L201" s="30">
        <v>1980</v>
      </c>
      <c r="M201" s="30">
        <f t="shared" si="18"/>
        <v>39</v>
      </c>
      <c r="N201" s="44" t="s">
        <v>3</v>
      </c>
      <c r="O201" s="44" t="s">
        <v>1229</v>
      </c>
      <c r="P201" s="72" t="s">
        <v>1246</v>
      </c>
      <c r="Q201" s="44"/>
      <c r="R201" s="72" t="s">
        <v>1360</v>
      </c>
    </row>
    <row r="202" spans="2:18" ht="25.5" x14ac:dyDescent="0.2">
      <c r="B202" s="135"/>
      <c r="C202" s="119"/>
      <c r="D202" s="44">
        <v>195</v>
      </c>
      <c r="E202" s="72" t="s">
        <v>302</v>
      </c>
      <c r="F202" s="44" t="s">
        <v>16</v>
      </c>
      <c r="G202" s="44" t="s">
        <v>303</v>
      </c>
      <c r="H202" s="44" t="s">
        <v>1</v>
      </c>
      <c r="I202" s="44" t="s">
        <v>13</v>
      </c>
      <c r="J202" s="72"/>
      <c r="K202" s="73">
        <v>40802</v>
      </c>
      <c r="L202" s="30">
        <v>2011</v>
      </c>
      <c r="M202" s="30">
        <f t="shared" si="18"/>
        <v>8</v>
      </c>
      <c r="N202" s="44" t="s">
        <v>3</v>
      </c>
      <c r="O202" s="44" t="s">
        <v>1229</v>
      </c>
      <c r="P202" s="72" t="s">
        <v>1247</v>
      </c>
      <c r="Q202" s="44"/>
      <c r="R202" s="72" t="s">
        <v>1332</v>
      </c>
    </row>
    <row r="203" spans="2:18" x14ac:dyDescent="0.2">
      <c r="B203" s="135">
        <v>69</v>
      </c>
      <c r="C203" s="119"/>
      <c r="D203" s="44">
        <v>196</v>
      </c>
      <c r="E203" s="72" t="s">
        <v>304</v>
      </c>
      <c r="F203" s="44" t="s">
        <v>6</v>
      </c>
      <c r="G203" s="44" t="s">
        <v>305</v>
      </c>
      <c r="H203" s="44" t="s">
        <v>1</v>
      </c>
      <c r="I203" s="44" t="s">
        <v>2</v>
      </c>
      <c r="J203" s="72"/>
      <c r="K203" s="73"/>
      <c r="L203" s="30"/>
      <c r="M203" s="30"/>
      <c r="N203" s="44" t="s">
        <v>3</v>
      </c>
      <c r="O203" s="44"/>
      <c r="P203" s="72" t="s">
        <v>15</v>
      </c>
      <c r="Q203" s="44"/>
      <c r="R203" s="72" t="s">
        <v>5</v>
      </c>
    </row>
    <row r="204" spans="2:18" x14ac:dyDescent="0.2">
      <c r="B204" s="135"/>
      <c r="C204" s="119"/>
      <c r="D204" s="44">
        <v>197</v>
      </c>
      <c r="E204" s="72" t="s">
        <v>306</v>
      </c>
      <c r="F204" s="44" t="s">
        <v>11</v>
      </c>
      <c r="G204" s="44" t="s">
        <v>307</v>
      </c>
      <c r="H204" s="44" t="s">
        <v>9</v>
      </c>
      <c r="I204" s="44" t="s">
        <v>2</v>
      </c>
      <c r="J204" s="72"/>
      <c r="K204" s="73"/>
      <c r="L204" s="30"/>
      <c r="M204" s="30"/>
      <c r="N204" s="44" t="s">
        <v>3</v>
      </c>
      <c r="O204" s="44"/>
      <c r="P204" s="72" t="s">
        <v>15</v>
      </c>
      <c r="Q204" s="44"/>
      <c r="R204" s="72" t="s">
        <v>15</v>
      </c>
    </row>
    <row r="205" spans="2:18" x14ac:dyDescent="0.2">
      <c r="B205" s="135">
        <v>70</v>
      </c>
      <c r="C205" s="119"/>
      <c r="D205" s="44">
        <v>198</v>
      </c>
      <c r="E205" s="72" t="s">
        <v>308</v>
      </c>
      <c r="F205" s="44" t="s">
        <v>6</v>
      </c>
      <c r="G205" s="44" t="s">
        <v>309</v>
      </c>
      <c r="H205" s="44" t="s">
        <v>1</v>
      </c>
      <c r="I205" s="44" t="s">
        <v>2</v>
      </c>
      <c r="J205" s="72"/>
      <c r="K205" s="73"/>
      <c r="L205" s="30"/>
      <c r="M205" s="30"/>
      <c r="N205" s="44" t="s">
        <v>3</v>
      </c>
      <c r="O205" s="44"/>
      <c r="P205" s="72" t="s">
        <v>14</v>
      </c>
      <c r="Q205" s="44"/>
      <c r="R205" s="72" t="s">
        <v>21</v>
      </c>
    </row>
    <row r="206" spans="2:18" x14ac:dyDescent="0.2">
      <c r="B206" s="135"/>
      <c r="C206" s="119"/>
      <c r="D206" s="44">
        <v>199</v>
      </c>
      <c r="E206" s="72" t="s">
        <v>310</v>
      </c>
      <c r="F206" s="44" t="s">
        <v>11</v>
      </c>
      <c r="G206" s="44" t="s">
        <v>311</v>
      </c>
      <c r="H206" s="44" t="s">
        <v>9</v>
      </c>
      <c r="I206" s="44" t="s">
        <v>2</v>
      </c>
      <c r="J206" s="72"/>
      <c r="K206" s="73"/>
      <c r="L206" s="30"/>
      <c r="M206" s="30"/>
      <c r="N206" s="44" t="s">
        <v>3</v>
      </c>
      <c r="O206" s="44"/>
      <c r="P206" s="72" t="s">
        <v>25</v>
      </c>
      <c r="Q206" s="44"/>
      <c r="R206" s="72" t="s">
        <v>15</v>
      </c>
    </row>
    <row r="207" spans="2:18" ht="25.5" x14ac:dyDescent="0.2">
      <c r="B207" s="135"/>
      <c r="C207" s="119"/>
      <c r="D207" s="44">
        <v>200</v>
      </c>
      <c r="E207" s="72" t="s">
        <v>312</v>
      </c>
      <c r="F207" s="44" t="s">
        <v>16</v>
      </c>
      <c r="G207" s="44" t="s">
        <v>313</v>
      </c>
      <c r="H207" s="44" t="s">
        <v>9</v>
      </c>
      <c r="I207" s="44" t="s">
        <v>13</v>
      </c>
      <c r="J207" s="72"/>
      <c r="K207" s="73"/>
      <c r="L207" s="30"/>
      <c r="M207" s="30"/>
      <c r="N207" s="44" t="s">
        <v>3</v>
      </c>
      <c r="O207" s="44"/>
      <c r="P207" s="72" t="s">
        <v>15</v>
      </c>
      <c r="Q207" s="44"/>
      <c r="R207" s="72" t="s">
        <v>15</v>
      </c>
    </row>
    <row r="208" spans="2:18" ht="25.5" x14ac:dyDescent="0.2">
      <c r="B208" s="135">
        <v>71</v>
      </c>
      <c r="C208" s="119" t="s">
        <v>1933</v>
      </c>
      <c r="D208" s="44">
        <v>201</v>
      </c>
      <c r="E208" s="72" t="s">
        <v>314</v>
      </c>
      <c r="F208" s="44" t="s">
        <v>6</v>
      </c>
      <c r="G208" s="44" t="s">
        <v>315</v>
      </c>
      <c r="H208" s="44" t="s">
        <v>1</v>
      </c>
      <c r="I208" s="44" t="s">
        <v>2</v>
      </c>
      <c r="J208" s="72" t="s">
        <v>1232</v>
      </c>
      <c r="K208" s="73">
        <v>28129</v>
      </c>
      <c r="L208" s="30">
        <v>1977</v>
      </c>
      <c r="M208" s="30">
        <f t="shared" si="18"/>
        <v>42</v>
      </c>
      <c r="N208" s="44" t="s">
        <v>3</v>
      </c>
      <c r="O208" s="44" t="s">
        <v>1229</v>
      </c>
      <c r="P208" s="72" t="s">
        <v>1233</v>
      </c>
      <c r="Q208" s="44"/>
      <c r="R208" s="72" t="s">
        <v>1871</v>
      </c>
    </row>
    <row r="209" spans="2:18" ht="25.5" x14ac:dyDescent="0.2">
      <c r="B209" s="135"/>
      <c r="C209" s="119"/>
      <c r="D209" s="44">
        <v>202</v>
      </c>
      <c r="E209" s="72" t="s">
        <v>151</v>
      </c>
      <c r="F209" s="44" t="s">
        <v>11</v>
      </c>
      <c r="G209" s="44" t="s">
        <v>316</v>
      </c>
      <c r="H209" s="44" t="s">
        <v>9</v>
      </c>
      <c r="I209" s="44" t="s">
        <v>2</v>
      </c>
      <c r="J209" s="72" t="s">
        <v>1232</v>
      </c>
      <c r="K209" s="73">
        <v>30251</v>
      </c>
      <c r="L209" s="30">
        <v>1982</v>
      </c>
      <c r="M209" s="30">
        <f t="shared" si="18"/>
        <v>37</v>
      </c>
      <c r="N209" s="44" t="s">
        <v>3</v>
      </c>
      <c r="O209" s="44" t="s">
        <v>1229</v>
      </c>
      <c r="P209" s="72" t="s">
        <v>1233</v>
      </c>
      <c r="Q209" s="44"/>
      <c r="R209" s="72" t="s">
        <v>1360</v>
      </c>
    </row>
    <row r="210" spans="2:18" ht="25.5" x14ac:dyDescent="0.2">
      <c r="B210" s="135"/>
      <c r="C210" s="119"/>
      <c r="D210" s="44">
        <v>203</v>
      </c>
      <c r="E210" s="72" t="s">
        <v>317</v>
      </c>
      <c r="F210" s="44" t="s">
        <v>16</v>
      </c>
      <c r="G210" s="44" t="s">
        <v>318</v>
      </c>
      <c r="H210" s="44" t="s">
        <v>9</v>
      </c>
      <c r="I210" s="44" t="s">
        <v>13</v>
      </c>
      <c r="J210" s="72" t="s">
        <v>1232</v>
      </c>
      <c r="K210" s="73">
        <v>37467</v>
      </c>
      <c r="L210" s="30">
        <v>2002</v>
      </c>
      <c r="M210" s="30">
        <f t="shared" si="18"/>
        <v>17</v>
      </c>
      <c r="N210" s="44" t="s">
        <v>3</v>
      </c>
      <c r="O210" s="44" t="s">
        <v>1229</v>
      </c>
      <c r="P210" s="72" t="s">
        <v>1233</v>
      </c>
      <c r="Q210" s="44"/>
      <c r="R210" s="72" t="s">
        <v>1822</v>
      </c>
    </row>
    <row r="211" spans="2:18" ht="25.5" x14ac:dyDescent="0.2">
      <c r="B211" s="135"/>
      <c r="C211" s="119"/>
      <c r="D211" s="44">
        <v>204</v>
      </c>
      <c r="E211" s="72" t="s">
        <v>1934</v>
      </c>
      <c r="F211" s="44" t="s">
        <v>16</v>
      </c>
      <c r="G211" s="44" t="s">
        <v>319</v>
      </c>
      <c r="H211" s="44" t="s">
        <v>1</v>
      </c>
      <c r="I211" s="44" t="s">
        <v>13</v>
      </c>
      <c r="J211" s="72" t="s">
        <v>1232</v>
      </c>
      <c r="K211" s="73">
        <v>38043</v>
      </c>
      <c r="L211" s="30">
        <v>2004</v>
      </c>
      <c r="M211" s="30">
        <f t="shared" si="18"/>
        <v>15</v>
      </c>
      <c r="N211" s="44" t="s">
        <v>3</v>
      </c>
      <c r="O211" s="44" t="s">
        <v>1229</v>
      </c>
      <c r="P211" s="72" t="s">
        <v>1258</v>
      </c>
      <c r="Q211" s="44"/>
      <c r="R211" s="72" t="s">
        <v>1332</v>
      </c>
    </row>
    <row r="212" spans="2:18" x14ac:dyDescent="0.2">
      <c r="B212" s="135">
        <v>72</v>
      </c>
      <c r="C212" s="119"/>
      <c r="D212" s="44">
        <v>205</v>
      </c>
      <c r="E212" s="72" t="s">
        <v>320</v>
      </c>
      <c r="F212" s="44" t="s">
        <v>6</v>
      </c>
      <c r="G212" s="44">
        <v>0</v>
      </c>
      <c r="H212" s="44" t="s">
        <v>1</v>
      </c>
      <c r="I212" s="44" t="s">
        <v>2</v>
      </c>
      <c r="J212" s="72"/>
      <c r="K212" s="73"/>
      <c r="L212" s="30"/>
      <c r="M212" s="30"/>
      <c r="N212" s="44" t="s">
        <v>3</v>
      </c>
      <c r="O212" s="44"/>
      <c r="P212" s="72" t="s">
        <v>14</v>
      </c>
      <c r="Q212" s="44"/>
      <c r="R212" s="72" t="s">
        <v>34</v>
      </c>
    </row>
    <row r="213" spans="2:18" x14ac:dyDescent="0.2">
      <c r="B213" s="135"/>
      <c r="C213" s="119"/>
      <c r="D213" s="44">
        <v>206</v>
      </c>
      <c r="E213" s="72" t="s">
        <v>321</v>
      </c>
      <c r="F213" s="44" t="s">
        <v>11</v>
      </c>
      <c r="G213" s="44">
        <v>0</v>
      </c>
      <c r="H213" s="44" t="s">
        <v>9</v>
      </c>
      <c r="I213" s="44" t="s">
        <v>2</v>
      </c>
      <c r="J213" s="72"/>
      <c r="K213" s="73"/>
      <c r="L213" s="30"/>
      <c r="M213" s="30"/>
      <c r="N213" s="44" t="s">
        <v>3</v>
      </c>
      <c r="O213" s="44"/>
      <c r="P213" s="72" t="s">
        <v>4</v>
      </c>
      <c r="Q213" s="44"/>
      <c r="R213" s="72" t="s">
        <v>34</v>
      </c>
    </row>
    <row r="214" spans="2:18" x14ac:dyDescent="0.2">
      <c r="B214" s="135"/>
      <c r="C214" s="119"/>
      <c r="D214" s="44">
        <v>207</v>
      </c>
      <c r="E214" s="72" t="s">
        <v>322</v>
      </c>
      <c r="F214" s="44" t="s">
        <v>16</v>
      </c>
      <c r="G214" s="44">
        <v>0</v>
      </c>
      <c r="H214" s="44" t="s">
        <v>9</v>
      </c>
      <c r="I214" s="44" t="s">
        <v>13</v>
      </c>
      <c r="J214" s="72"/>
      <c r="K214" s="73"/>
      <c r="L214" s="30"/>
      <c r="M214" s="30"/>
      <c r="N214" s="44" t="s">
        <v>3</v>
      </c>
      <c r="O214" s="44"/>
      <c r="P214" s="72" t="s">
        <v>15</v>
      </c>
      <c r="Q214" s="44"/>
      <c r="R214" s="72" t="s">
        <v>15</v>
      </c>
    </row>
    <row r="215" spans="2:18" ht="25.5" x14ac:dyDescent="0.2">
      <c r="B215" s="135">
        <v>73</v>
      </c>
      <c r="C215" s="119" t="s">
        <v>2275</v>
      </c>
      <c r="D215" s="44">
        <v>208</v>
      </c>
      <c r="E215" s="72" t="s">
        <v>323</v>
      </c>
      <c r="F215" s="44" t="s">
        <v>6</v>
      </c>
      <c r="G215" s="44" t="s">
        <v>324</v>
      </c>
      <c r="H215" s="44" t="s">
        <v>1</v>
      </c>
      <c r="I215" s="44" t="s">
        <v>2</v>
      </c>
      <c r="J215" s="72" t="s">
        <v>1245</v>
      </c>
      <c r="K215" s="73">
        <v>25188</v>
      </c>
      <c r="L215" s="30">
        <v>1968</v>
      </c>
      <c r="M215" s="30">
        <f t="shared" si="18"/>
        <v>51</v>
      </c>
      <c r="N215" s="44" t="s">
        <v>3</v>
      </c>
      <c r="O215" s="44" t="s">
        <v>1229</v>
      </c>
      <c r="P215" s="72" t="s">
        <v>1233</v>
      </c>
      <c r="Q215" s="44"/>
      <c r="R215" s="72" t="s">
        <v>1425</v>
      </c>
    </row>
    <row r="216" spans="2:18" ht="25.5" x14ac:dyDescent="0.2">
      <c r="B216" s="135"/>
      <c r="C216" s="119"/>
      <c r="D216" s="44">
        <v>209</v>
      </c>
      <c r="E216" s="72" t="s">
        <v>325</v>
      </c>
      <c r="F216" s="44" t="s">
        <v>11</v>
      </c>
      <c r="G216" s="44" t="s">
        <v>326</v>
      </c>
      <c r="H216" s="44" t="s">
        <v>9</v>
      </c>
      <c r="I216" s="44" t="s">
        <v>2</v>
      </c>
      <c r="J216" s="72" t="s">
        <v>2276</v>
      </c>
      <c r="K216" s="73">
        <v>26298</v>
      </c>
      <c r="L216" s="30">
        <v>1971</v>
      </c>
      <c r="M216" s="30">
        <f t="shared" si="18"/>
        <v>48</v>
      </c>
      <c r="N216" s="44" t="s">
        <v>3</v>
      </c>
      <c r="O216" s="44" t="s">
        <v>1229</v>
      </c>
      <c r="P216" s="72" t="s">
        <v>1233</v>
      </c>
      <c r="Q216" s="44"/>
      <c r="R216" s="72" t="s">
        <v>1360</v>
      </c>
    </row>
    <row r="217" spans="2:18" x14ac:dyDescent="0.2">
      <c r="B217" s="135"/>
      <c r="C217" s="119"/>
      <c r="D217" s="44">
        <v>210</v>
      </c>
      <c r="E217" s="72" t="s">
        <v>327</v>
      </c>
      <c r="F217" s="44" t="s">
        <v>16</v>
      </c>
      <c r="G217" s="44" t="s">
        <v>328</v>
      </c>
      <c r="H217" s="44" t="s">
        <v>1</v>
      </c>
      <c r="I217" s="44" t="s">
        <v>13</v>
      </c>
      <c r="J217" s="72" t="s">
        <v>2277</v>
      </c>
      <c r="K217" s="73">
        <v>34185</v>
      </c>
      <c r="L217" s="30">
        <v>1993</v>
      </c>
      <c r="M217" s="30">
        <f t="shared" si="18"/>
        <v>26</v>
      </c>
      <c r="N217" s="44" t="s">
        <v>3</v>
      </c>
      <c r="O217" s="44" t="s">
        <v>1229</v>
      </c>
      <c r="P217" s="72" t="s">
        <v>1270</v>
      </c>
      <c r="Q217" s="44"/>
      <c r="R217" s="72" t="s">
        <v>5</v>
      </c>
    </row>
    <row r="218" spans="2:18" ht="25.5" x14ac:dyDescent="0.2">
      <c r="B218" s="135"/>
      <c r="C218" s="119"/>
      <c r="D218" s="44">
        <v>211</v>
      </c>
      <c r="E218" s="72" t="s">
        <v>329</v>
      </c>
      <c r="F218" s="44" t="s">
        <v>16</v>
      </c>
      <c r="G218" s="44" t="s">
        <v>330</v>
      </c>
      <c r="H218" s="44" t="s">
        <v>9</v>
      </c>
      <c r="I218" s="44" t="s">
        <v>13</v>
      </c>
      <c r="J218" s="72" t="s">
        <v>1232</v>
      </c>
      <c r="K218" s="73">
        <v>35395</v>
      </c>
      <c r="L218" s="30">
        <v>1996</v>
      </c>
      <c r="M218" s="30">
        <f t="shared" si="18"/>
        <v>23</v>
      </c>
      <c r="N218" s="44" t="s">
        <v>3</v>
      </c>
      <c r="O218" s="44" t="s">
        <v>1229</v>
      </c>
      <c r="P218" s="72" t="s">
        <v>1246</v>
      </c>
      <c r="Q218" s="44"/>
      <c r="R218" s="72" t="s">
        <v>1822</v>
      </c>
    </row>
    <row r="219" spans="2:18" ht="25.5" x14ac:dyDescent="0.2">
      <c r="B219" s="135"/>
      <c r="C219" s="119"/>
      <c r="D219" s="44">
        <v>212</v>
      </c>
      <c r="E219" s="72" t="s">
        <v>331</v>
      </c>
      <c r="F219" s="44" t="s">
        <v>16</v>
      </c>
      <c r="G219" s="44" t="s">
        <v>332</v>
      </c>
      <c r="H219" s="44" t="s">
        <v>1</v>
      </c>
      <c r="I219" s="44" t="s">
        <v>13</v>
      </c>
      <c r="J219" s="72" t="s">
        <v>2278</v>
      </c>
      <c r="K219" s="73">
        <v>41676</v>
      </c>
      <c r="L219" s="30">
        <v>2014</v>
      </c>
      <c r="M219" s="30">
        <f t="shared" si="18"/>
        <v>5</v>
      </c>
      <c r="N219" s="44" t="s">
        <v>3</v>
      </c>
      <c r="O219" s="44" t="s">
        <v>1229</v>
      </c>
      <c r="P219" s="72" t="s">
        <v>1258</v>
      </c>
      <c r="Q219" s="44"/>
      <c r="R219" s="72" t="s">
        <v>1332</v>
      </c>
    </row>
    <row r="220" spans="2:18" ht="25.5" x14ac:dyDescent="0.2">
      <c r="B220" s="135">
        <v>74</v>
      </c>
      <c r="C220" s="119" t="s">
        <v>1935</v>
      </c>
      <c r="D220" s="44">
        <v>213</v>
      </c>
      <c r="E220" s="72" t="s">
        <v>333</v>
      </c>
      <c r="F220" s="44" t="s">
        <v>6</v>
      </c>
      <c r="G220" s="44" t="s">
        <v>334</v>
      </c>
      <c r="H220" s="44" t="s">
        <v>1</v>
      </c>
      <c r="I220" s="44" t="s">
        <v>2</v>
      </c>
      <c r="J220" s="72" t="s">
        <v>1232</v>
      </c>
      <c r="K220" s="73">
        <v>32873</v>
      </c>
      <c r="L220" s="30">
        <v>1989</v>
      </c>
      <c r="M220" s="30">
        <f t="shared" si="18"/>
        <v>30</v>
      </c>
      <c r="N220" s="44" t="s">
        <v>3</v>
      </c>
      <c r="O220" s="44" t="s">
        <v>1229</v>
      </c>
      <c r="P220" s="72" t="s">
        <v>1233</v>
      </c>
      <c r="Q220" s="44"/>
      <c r="R220" s="72" t="s">
        <v>1330</v>
      </c>
    </row>
    <row r="221" spans="2:18" ht="25.5" x14ac:dyDescent="0.2">
      <c r="B221" s="135"/>
      <c r="C221" s="119"/>
      <c r="D221" s="44">
        <v>214</v>
      </c>
      <c r="E221" s="72" t="s">
        <v>1936</v>
      </c>
      <c r="F221" s="44" t="s">
        <v>11</v>
      </c>
      <c r="G221" s="44" t="s">
        <v>335</v>
      </c>
      <c r="H221" s="44" t="s">
        <v>9</v>
      </c>
      <c r="I221" s="44" t="s">
        <v>2</v>
      </c>
      <c r="J221" s="72" t="s">
        <v>1937</v>
      </c>
      <c r="K221" s="73">
        <v>34824</v>
      </c>
      <c r="L221" s="30">
        <v>1995</v>
      </c>
      <c r="M221" s="30">
        <f t="shared" si="18"/>
        <v>24</v>
      </c>
      <c r="N221" s="44" t="s">
        <v>3</v>
      </c>
      <c r="O221" s="44" t="s">
        <v>1229</v>
      </c>
      <c r="P221" s="72" t="s">
        <v>1233</v>
      </c>
      <c r="Q221" s="44"/>
      <c r="R221" s="72" t="s">
        <v>1360</v>
      </c>
    </row>
    <row r="222" spans="2:18" ht="25.5" x14ac:dyDescent="0.2">
      <c r="B222" s="135"/>
      <c r="C222" s="119"/>
      <c r="D222" s="44">
        <v>215</v>
      </c>
      <c r="E222" s="72" t="s">
        <v>1938</v>
      </c>
      <c r="F222" s="44" t="s">
        <v>16</v>
      </c>
      <c r="G222" s="44" t="s">
        <v>336</v>
      </c>
      <c r="H222" s="44" t="s">
        <v>9</v>
      </c>
      <c r="I222" s="44" t="s">
        <v>13</v>
      </c>
      <c r="J222" s="72" t="s">
        <v>1232</v>
      </c>
      <c r="K222" s="73">
        <v>41891</v>
      </c>
      <c r="L222" s="30">
        <v>2014</v>
      </c>
      <c r="M222" s="30">
        <f t="shared" si="18"/>
        <v>5</v>
      </c>
      <c r="N222" s="44" t="s">
        <v>3</v>
      </c>
      <c r="O222" s="44" t="s">
        <v>1229</v>
      </c>
      <c r="P222" s="72" t="s">
        <v>1258</v>
      </c>
      <c r="Q222" s="44"/>
      <c r="R222" s="72" t="s">
        <v>1332</v>
      </c>
    </row>
    <row r="223" spans="2:18" x14ac:dyDescent="0.2">
      <c r="B223" s="135">
        <v>75</v>
      </c>
      <c r="C223" s="119"/>
      <c r="D223" s="44">
        <v>216</v>
      </c>
      <c r="E223" s="72" t="s">
        <v>337</v>
      </c>
      <c r="F223" s="44" t="s">
        <v>6</v>
      </c>
      <c r="G223" s="44" t="s">
        <v>338</v>
      </c>
      <c r="H223" s="44" t="s">
        <v>1</v>
      </c>
      <c r="I223" s="44" t="s">
        <v>2</v>
      </c>
      <c r="J223" s="72"/>
      <c r="K223" s="73"/>
      <c r="L223" s="30"/>
      <c r="M223" s="30"/>
      <c r="N223" s="44" t="s">
        <v>3</v>
      </c>
      <c r="O223" s="44"/>
      <c r="P223" s="72" t="s">
        <v>15</v>
      </c>
      <c r="Q223" s="44"/>
      <c r="R223" s="72" t="s">
        <v>5</v>
      </c>
    </row>
    <row r="224" spans="2:18" x14ac:dyDescent="0.2">
      <c r="B224" s="135"/>
      <c r="C224" s="119"/>
      <c r="D224" s="44">
        <v>217</v>
      </c>
      <c r="E224" s="72" t="s">
        <v>339</v>
      </c>
      <c r="F224" s="44" t="s">
        <v>11</v>
      </c>
      <c r="G224" s="44" t="s">
        <v>340</v>
      </c>
      <c r="H224" s="44" t="s">
        <v>9</v>
      </c>
      <c r="I224" s="44" t="s">
        <v>2</v>
      </c>
      <c r="J224" s="72"/>
      <c r="K224" s="73"/>
      <c r="L224" s="30"/>
      <c r="M224" s="30"/>
      <c r="N224" s="44" t="s">
        <v>3</v>
      </c>
      <c r="O224" s="44"/>
      <c r="P224" s="72" t="s">
        <v>15</v>
      </c>
      <c r="Q224" s="44"/>
      <c r="R224" s="72" t="s">
        <v>15</v>
      </c>
    </row>
    <row r="225" spans="2:18" x14ac:dyDescent="0.2">
      <c r="B225" s="135"/>
      <c r="C225" s="119"/>
      <c r="D225" s="44">
        <v>218</v>
      </c>
      <c r="E225" s="72" t="s">
        <v>341</v>
      </c>
      <c r="F225" s="44" t="s">
        <v>16</v>
      </c>
      <c r="G225" s="44" t="s">
        <v>342</v>
      </c>
      <c r="H225" s="44" t="s">
        <v>1</v>
      </c>
      <c r="I225" s="44" t="s">
        <v>13</v>
      </c>
      <c r="J225" s="72"/>
      <c r="K225" s="73"/>
      <c r="L225" s="30"/>
      <c r="M225" s="30"/>
      <c r="N225" s="44" t="s">
        <v>3</v>
      </c>
      <c r="O225" s="44"/>
      <c r="P225" s="72" t="s">
        <v>4</v>
      </c>
      <c r="Q225" s="44"/>
      <c r="R225" s="72" t="s">
        <v>15</v>
      </c>
    </row>
    <row r="226" spans="2:18" x14ac:dyDescent="0.2">
      <c r="B226" s="135">
        <v>76</v>
      </c>
      <c r="C226" s="119"/>
      <c r="D226" s="44">
        <v>219</v>
      </c>
      <c r="E226" s="72" t="s">
        <v>343</v>
      </c>
      <c r="F226" s="44" t="s">
        <v>6</v>
      </c>
      <c r="G226" s="44" t="s">
        <v>344</v>
      </c>
      <c r="H226" s="44" t="s">
        <v>9</v>
      </c>
      <c r="I226" s="44" t="s">
        <v>19</v>
      </c>
      <c r="J226" s="72"/>
      <c r="K226" s="73"/>
      <c r="L226" s="30"/>
      <c r="M226" s="30"/>
      <c r="N226" s="44" t="s">
        <v>3</v>
      </c>
      <c r="O226" s="44"/>
      <c r="P226" s="72" t="s">
        <v>15</v>
      </c>
      <c r="Q226" s="44"/>
      <c r="R226" s="72" t="s">
        <v>5</v>
      </c>
    </row>
    <row r="227" spans="2:18" ht="25.5" x14ac:dyDescent="0.2">
      <c r="B227" s="135"/>
      <c r="C227" s="119"/>
      <c r="D227" s="44">
        <v>220</v>
      </c>
      <c r="E227" s="72" t="s">
        <v>345</v>
      </c>
      <c r="F227" s="44" t="s">
        <v>11</v>
      </c>
      <c r="G227" s="44" t="s">
        <v>346</v>
      </c>
      <c r="H227" s="44" t="s">
        <v>9</v>
      </c>
      <c r="I227" s="44" t="s">
        <v>19</v>
      </c>
      <c r="J227" s="72"/>
      <c r="K227" s="73"/>
      <c r="L227" s="30"/>
      <c r="M227" s="30"/>
      <c r="N227" s="44" t="s">
        <v>3</v>
      </c>
      <c r="O227" s="44"/>
      <c r="P227" s="72" t="s">
        <v>4</v>
      </c>
      <c r="Q227" s="44"/>
      <c r="R227" s="72" t="s">
        <v>5</v>
      </c>
    </row>
    <row r="228" spans="2:18" ht="25.5" x14ac:dyDescent="0.2">
      <c r="B228" s="135">
        <v>77</v>
      </c>
      <c r="C228" s="119" t="s">
        <v>1939</v>
      </c>
      <c r="D228" s="44">
        <v>221</v>
      </c>
      <c r="E228" s="72" t="s">
        <v>142</v>
      </c>
      <c r="F228" s="44" t="s">
        <v>6</v>
      </c>
      <c r="G228" s="44" t="s">
        <v>1940</v>
      </c>
      <c r="H228" s="44" t="s">
        <v>1</v>
      </c>
      <c r="I228" s="44" t="s">
        <v>2</v>
      </c>
      <c r="J228" s="72" t="s">
        <v>1232</v>
      </c>
      <c r="K228" s="73">
        <v>28228</v>
      </c>
      <c r="L228" s="30">
        <v>1977</v>
      </c>
      <c r="M228" s="30">
        <f t="shared" si="18"/>
        <v>42</v>
      </c>
      <c r="N228" s="44" t="s">
        <v>3</v>
      </c>
      <c r="O228" s="44" t="s">
        <v>1229</v>
      </c>
      <c r="P228" s="72" t="s">
        <v>1258</v>
      </c>
      <c r="Q228" s="44"/>
      <c r="R228" s="72" t="s">
        <v>1330</v>
      </c>
    </row>
    <row r="229" spans="2:18" ht="25.5" x14ac:dyDescent="0.2">
      <c r="B229" s="135"/>
      <c r="C229" s="119"/>
      <c r="D229" s="44">
        <v>222</v>
      </c>
      <c r="E229" s="72" t="s">
        <v>1941</v>
      </c>
      <c r="F229" s="44" t="s">
        <v>11</v>
      </c>
      <c r="G229" s="44" t="s">
        <v>1942</v>
      </c>
      <c r="H229" s="44" t="s">
        <v>9</v>
      </c>
      <c r="I229" s="44" t="s">
        <v>2</v>
      </c>
      <c r="J229" s="72" t="s">
        <v>1232</v>
      </c>
      <c r="K229" s="73">
        <v>28601</v>
      </c>
      <c r="L229" s="30">
        <v>1978</v>
      </c>
      <c r="M229" s="30">
        <f t="shared" si="18"/>
        <v>41</v>
      </c>
      <c r="N229" s="44" t="s">
        <v>3</v>
      </c>
      <c r="O229" s="44" t="s">
        <v>1229</v>
      </c>
      <c r="P229" s="72" t="s">
        <v>1233</v>
      </c>
      <c r="Q229" s="44"/>
      <c r="R229" s="72" t="s">
        <v>1330</v>
      </c>
    </row>
    <row r="230" spans="2:18" x14ac:dyDescent="0.2">
      <c r="B230" s="135"/>
      <c r="C230" s="119"/>
      <c r="D230" s="44">
        <v>223</v>
      </c>
      <c r="E230" s="72" t="s">
        <v>1943</v>
      </c>
      <c r="F230" s="44" t="s">
        <v>16</v>
      </c>
      <c r="G230" s="44" t="s">
        <v>1944</v>
      </c>
      <c r="H230" s="44" t="s">
        <v>9</v>
      </c>
      <c r="I230" s="44" t="s">
        <v>13</v>
      </c>
      <c r="J230" s="72" t="s">
        <v>1232</v>
      </c>
      <c r="K230" s="73">
        <v>36147</v>
      </c>
      <c r="L230" s="30">
        <v>1998</v>
      </c>
      <c r="M230" s="30">
        <f t="shared" si="18"/>
        <v>21</v>
      </c>
      <c r="N230" s="44" t="s">
        <v>3</v>
      </c>
      <c r="O230" s="44" t="s">
        <v>1229</v>
      </c>
      <c r="P230" s="72" t="s">
        <v>1270</v>
      </c>
      <c r="Q230" s="44"/>
      <c r="R230" s="72" t="s">
        <v>1822</v>
      </c>
    </row>
    <row r="231" spans="2:18" ht="25.5" x14ac:dyDescent="0.2">
      <c r="B231" s="135">
        <v>78</v>
      </c>
      <c r="C231" s="119" t="s">
        <v>1945</v>
      </c>
      <c r="D231" s="44">
        <v>224</v>
      </c>
      <c r="E231" s="72" t="s">
        <v>1946</v>
      </c>
      <c r="F231" s="44" t="s">
        <v>6</v>
      </c>
      <c r="G231" s="44" t="s">
        <v>134</v>
      </c>
      <c r="H231" s="44" t="s">
        <v>1</v>
      </c>
      <c r="I231" s="44" t="s">
        <v>2</v>
      </c>
      <c r="J231" s="72" t="s">
        <v>1232</v>
      </c>
      <c r="K231" s="73">
        <v>18993</v>
      </c>
      <c r="L231" s="30">
        <v>1951</v>
      </c>
      <c r="M231" s="30">
        <f t="shared" si="18"/>
        <v>68</v>
      </c>
      <c r="N231" s="44" t="s">
        <v>3</v>
      </c>
      <c r="O231" s="44" t="s">
        <v>1229</v>
      </c>
      <c r="P231" s="72" t="s">
        <v>1258</v>
      </c>
      <c r="Q231" s="44"/>
      <c r="R231" s="72" t="s">
        <v>1815</v>
      </c>
    </row>
    <row r="232" spans="2:18" ht="25.5" x14ac:dyDescent="0.2">
      <c r="B232" s="135"/>
      <c r="C232" s="119"/>
      <c r="D232" s="44">
        <v>225</v>
      </c>
      <c r="E232" s="72" t="s">
        <v>1947</v>
      </c>
      <c r="F232" s="44" t="s">
        <v>11</v>
      </c>
      <c r="G232" s="44" t="s">
        <v>135</v>
      </c>
      <c r="H232" s="44" t="s">
        <v>9</v>
      </c>
      <c r="I232" s="44" t="s">
        <v>2</v>
      </c>
      <c r="J232" s="72" t="s">
        <v>1232</v>
      </c>
      <c r="K232" s="73">
        <v>22098</v>
      </c>
      <c r="L232" s="30">
        <v>1960</v>
      </c>
      <c r="M232" s="30">
        <f t="shared" si="18"/>
        <v>59</v>
      </c>
      <c r="N232" s="44" t="s">
        <v>3</v>
      </c>
      <c r="O232" s="44" t="s">
        <v>1229</v>
      </c>
      <c r="P232" s="72" t="s">
        <v>1258</v>
      </c>
      <c r="Q232" s="44"/>
      <c r="R232" s="72" t="s">
        <v>1871</v>
      </c>
    </row>
    <row r="233" spans="2:18" ht="25.5" x14ac:dyDescent="0.2">
      <c r="B233" s="135">
        <v>79</v>
      </c>
      <c r="C233" s="119" t="s">
        <v>1948</v>
      </c>
      <c r="D233" s="44">
        <v>226</v>
      </c>
      <c r="E233" s="72" t="s">
        <v>1949</v>
      </c>
      <c r="F233" s="44" t="s">
        <v>6</v>
      </c>
      <c r="G233" s="44" t="s">
        <v>1950</v>
      </c>
      <c r="H233" s="44" t="s">
        <v>9</v>
      </c>
      <c r="I233" s="44" t="s">
        <v>1296</v>
      </c>
      <c r="J233" s="72" t="s">
        <v>1232</v>
      </c>
      <c r="K233" s="73">
        <v>25203</v>
      </c>
      <c r="L233" s="30">
        <v>1968</v>
      </c>
      <c r="M233" s="30">
        <f t="shared" si="18"/>
        <v>51</v>
      </c>
      <c r="N233" s="44" t="s">
        <v>3</v>
      </c>
      <c r="O233" s="44" t="s">
        <v>1229</v>
      </c>
      <c r="P233" s="72" t="s">
        <v>1258</v>
      </c>
      <c r="Q233" s="44"/>
      <c r="R233" s="72" t="s">
        <v>290</v>
      </c>
    </row>
    <row r="234" spans="2:18" ht="25.5" x14ac:dyDescent="0.2">
      <c r="B234" s="135"/>
      <c r="C234" s="119"/>
      <c r="D234" s="44">
        <v>227</v>
      </c>
      <c r="E234" s="72" t="s">
        <v>1951</v>
      </c>
      <c r="F234" s="44" t="s">
        <v>16</v>
      </c>
      <c r="G234" s="44" t="s">
        <v>1952</v>
      </c>
      <c r="H234" s="44" t="s">
        <v>9</v>
      </c>
      <c r="I234" s="44" t="s">
        <v>13</v>
      </c>
      <c r="J234" s="72" t="s">
        <v>1232</v>
      </c>
      <c r="K234" s="73">
        <v>29586</v>
      </c>
      <c r="L234" s="30">
        <v>1980</v>
      </c>
      <c r="M234" s="30">
        <f t="shared" si="18"/>
        <v>39</v>
      </c>
      <c r="N234" s="44" t="s">
        <v>3</v>
      </c>
      <c r="O234" s="44" t="s">
        <v>1229</v>
      </c>
      <c r="P234" s="72" t="s">
        <v>1233</v>
      </c>
      <c r="Q234" s="44"/>
      <c r="R234" s="72" t="s">
        <v>2236</v>
      </c>
    </row>
    <row r="235" spans="2:18" x14ac:dyDescent="0.2">
      <c r="B235" s="135">
        <v>80</v>
      </c>
      <c r="C235" s="119" t="s">
        <v>2198</v>
      </c>
      <c r="D235" s="44">
        <v>228</v>
      </c>
      <c r="E235" s="72" t="s">
        <v>1953</v>
      </c>
      <c r="F235" s="44" t="s">
        <v>6</v>
      </c>
      <c r="G235" s="44" t="s">
        <v>1954</v>
      </c>
      <c r="H235" s="44" t="s">
        <v>1</v>
      </c>
      <c r="I235" s="44" t="s">
        <v>2</v>
      </c>
      <c r="J235" s="72" t="s">
        <v>1232</v>
      </c>
      <c r="K235" s="73">
        <v>31047</v>
      </c>
      <c r="L235" s="30">
        <v>1984</v>
      </c>
      <c r="M235" s="30">
        <f t="shared" si="18"/>
        <v>35</v>
      </c>
      <c r="N235" s="44" t="s">
        <v>3</v>
      </c>
      <c r="O235" s="44" t="s">
        <v>1229</v>
      </c>
      <c r="P235" s="72" t="s">
        <v>1246</v>
      </c>
      <c r="Q235" s="44"/>
      <c r="R235" s="72" t="s">
        <v>5</v>
      </c>
    </row>
    <row r="236" spans="2:18" ht="25.5" x14ac:dyDescent="0.2">
      <c r="B236" s="135"/>
      <c r="C236" s="119"/>
      <c r="D236" s="44">
        <v>229</v>
      </c>
      <c r="E236" s="72" t="s">
        <v>1955</v>
      </c>
      <c r="F236" s="44" t="s">
        <v>11</v>
      </c>
      <c r="G236" s="44" t="s">
        <v>1956</v>
      </c>
      <c r="H236" s="44" t="s">
        <v>9</v>
      </c>
      <c r="I236" s="44" t="s">
        <v>2</v>
      </c>
      <c r="J236" s="72" t="s">
        <v>1232</v>
      </c>
      <c r="K236" s="73">
        <v>32873</v>
      </c>
      <c r="L236" s="30">
        <v>1989</v>
      </c>
      <c r="M236" s="30">
        <f t="shared" si="18"/>
        <v>30</v>
      </c>
      <c r="N236" s="44" t="s">
        <v>3</v>
      </c>
      <c r="O236" s="44" t="s">
        <v>1229</v>
      </c>
      <c r="P236" s="72" t="s">
        <v>1233</v>
      </c>
      <c r="Q236" s="44"/>
      <c r="R236" s="72" t="s">
        <v>5</v>
      </c>
    </row>
    <row r="237" spans="2:18" ht="25.5" x14ac:dyDescent="0.2">
      <c r="B237" s="135"/>
      <c r="C237" s="119"/>
      <c r="D237" s="44">
        <v>230</v>
      </c>
      <c r="E237" s="72" t="s">
        <v>1957</v>
      </c>
      <c r="F237" s="44" t="s">
        <v>16</v>
      </c>
      <c r="G237" s="44" t="s">
        <v>120</v>
      </c>
      <c r="H237" s="44" t="s">
        <v>1</v>
      </c>
      <c r="I237" s="44" t="s">
        <v>13</v>
      </c>
      <c r="J237" s="72" t="s">
        <v>1232</v>
      </c>
      <c r="K237" s="73">
        <v>40641</v>
      </c>
      <c r="L237" s="30">
        <v>2011</v>
      </c>
      <c r="M237" s="30">
        <f t="shared" si="18"/>
        <v>8</v>
      </c>
      <c r="N237" s="44" t="s">
        <v>3</v>
      </c>
      <c r="O237" s="44" t="s">
        <v>1229</v>
      </c>
      <c r="P237" s="72" t="s">
        <v>1258</v>
      </c>
      <c r="Q237" s="44"/>
      <c r="R237" s="72" t="s">
        <v>2236</v>
      </c>
    </row>
    <row r="238" spans="2:18" ht="25.5" x14ac:dyDescent="0.2">
      <c r="B238" s="135">
        <v>81</v>
      </c>
      <c r="C238" s="119" t="s">
        <v>1958</v>
      </c>
      <c r="D238" s="44">
        <v>231</v>
      </c>
      <c r="E238" s="72" t="s">
        <v>1959</v>
      </c>
      <c r="F238" s="44" t="s">
        <v>6</v>
      </c>
      <c r="G238" s="44" t="s">
        <v>1960</v>
      </c>
      <c r="H238" s="44" t="s">
        <v>1</v>
      </c>
      <c r="I238" s="44" t="s">
        <v>2</v>
      </c>
      <c r="J238" s="72" t="s">
        <v>1232</v>
      </c>
      <c r="K238" s="73">
        <v>33131</v>
      </c>
      <c r="L238" s="30">
        <v>1990</v>
      </c>
      <c r="M238" s="30">
        <f t="shared" si="18"/>
        <v>29</v>
      </c>
      <c r="N238" s="44" t="s">
        <v>3</v>
      </c>
      <c r="O238" s="44" t="s">
        <v>1229</v>
      </c>
      <c r="P238" s="72" t="s">
        <v>1246</v>
      </c>
      <c r="Q238" s="44"/>
      <c r="R238" s="72" t="s">
        <v>1330</v>
      </c>
    </row>
    <row r="239" spans="2:18" ht="25.5" x14ac:dyDescent="0.2">
      <c r="B239" s="135"/>
      <c r="C239" s="119"/>
      <c r="D239" s="44">
        <v>232</v>
      </c>
      <c r="E239" s="72" t="s">
        <v>1961</v>
      </c>
      <c r="F239" s="44" t="s">
        <v>11</v>
      </c>
      <c r="G239" s="44" t="s">
        <v>1962</v>
      </c>
      <c r="H239" s="44" t="s">
        <v>9</v>
      </c>
      <c r="I239" s="44" t="s">
        <v>2</v>
      </c>
      <c r="J239" s="72" t="s">
        <v>1963</v>
      </c>
      <c r="K239" s="73">
        <v>31229</v>
      </c>
      <c r="L239" s="30">
        <v>1985</v>
      </c>
      <c r="M239" s="30">
        <f t="shared" si="18"/>
        <v>34</v>
      </c>
      <c r="N239" s="44" t="s">
        <v>3</v>
      </c>
      <c r="O239" s="44" t="s">
        <v>1229</v>
      </c>
      <c r="P239" s="72" t="s">
        <v>1233</v>
      </c>
      <c r="Q239" s="44"/>
      <c r="R239" s="72" t="s">
        <v>1360</v>
      </c>
    </row>
    <row r="240" spans="2:18" ht="25.5" x14ac:dyDescent="0.2">
      <c r="B240" s="135"/>
      <c r="C240" s="119"/>
      <c r="D240" s="44">
        <v>233</v>
      </c>
      <c r="E240" s="72" t="s">
        <v>1964</v>
      </c>
      <c r="F240" s="44" t="s">
        <v>16</v>
      </c>
      <c r="G240" s="44" t="s">
        <v>1965</v>
      </c>
      <c r="H240" s="44" t="s">
        <v>9</v>
      </c>
      <c r="I240" s="44" t="s">
        <v>13</v>
      </c>
      <c r="J240" s="72" t="s">
        <v>1232</v>
      </c>
      <c r="K240" s="73">
        <v>42401</v>
      </c>
      <c r="L240" s="30">
        <v>2016</v>
      </c>
      <c r="M240" s="30">
        <f t="shared" si="18"/>
        <v>3</v>
      </c>
      <c r="N240" s="44" t="s">
        <v>3</v>
      </c>
      <c r="O240" s="44" t="s">
        <v>1229</v>
      </c>
      <c r="P240" s="72" t="s">
        <v>1258</v>
      </c>
      <c r="Q240" s="44"/>
      <c r="R240" s="72" t="s">
        <v>1332</v>
      </c>
    </row>
    <row r="241" spans="2:18" ht="25.5" x14ac:dyDescent="0.2">
      <c r="B241" s="135">
        <v>82</v>
      </c>
      <c r="C241" s="119" t="s">
        <v>1966</v>
      </c>
      <c r="D241" s="44">
        <v>234</v>
      </c>
      <c r="E241" s="72" t="s">
        <v>1967</v>
      </c>
      <c r="F241" s="44" t="s">
        <v>6</v>
      </c>
      <c r="G241" s="44" t="s">
        <v>1968</v>
      </c>
      <c r="H241" s="44" t="s">
        <v>1</v>
      </c>
      <c r="I241" s="44" t="s">
        <v>2</v>
      </c>
      <c r="J241" s="72" t="s">
        <v>1232</v>
      </c>
      <c r="K241" s="73">
        <v>31341</v>
      </c>
      <c r="L241" s="30">
        <v>1985</v>
      </c>
      <c r="M241" s="30">
        <f t="shared" si="18"/>
        <v>34</v>
      </c>
      <c r="N241" s="44" t="s">
        <v>3</v>
      </c>
      <c r="O241" s="44" t="s">
        <v>1229</v>
      </c>
      <c r="P241" s="72" t="s">
        <v>1233</v>
      </c>
      <c r="Q241" s="44"/>
      <c r="R241" s="72" t="s">
        <v>1815</v>
      </c>
    </row>
    <row r="242" spans="2:18" ht="25.5" x14ac:dyDescent="0.2">
      <c r="B242" s="135"/>
      <c r="C242" s="119"/>
      <c r="D242" s="44">
        <v>235</v>
      </c>
      <c r="E242" s="72" t="s">
        <v>501</v>
      </c>
      <c r="F242" s="44" t="s">
        <v>11</v>
      </c>
      <c r="G242" s="44" t="s">
        <v>1851</v>
      </c>
      <c r="H242" s="44" t="s">
        <v>9</v>
      </c>
      <c r="I242" s="44" t="s">
        <v>1969</v>
      </c>
      <c r="J242" s="72" t="s">
        <v>1232</v>
      </c>
      <c r="K242" s="73">
        <v>34214</v>
      </c>
      <c r="L242" s="30">
        <v>1993</v>
      </c>
      <c r="M242" s="30">
        <f t="shared" si="18"/>
        <v>26</v>
      </c>
      <c r="N242" s="44" t="s">
        <v>3</v>
      </c>
      <c r="O242" s="44" t="s">
        <v>1229</v>
      </c>
      <c r="P242" s="72" t="s">
        <v>1246</v>
      </c>
      <c r="Q242" s="44"/>
      <c r="R242" s="72" t="s">
        <v>1360</v>
      </c>
    </row>
    <row r="243" spans="2:18" ht="25.5" x14ac:dyDescent="0.2">
      <c r="B243" s="135"/>
      <c r="C243" s="119"/>
      <c r="D243" s="44">
        <v>236</v>
      </c>
      <c r="E243" s="72" t="s">
        <v>1970</v>
      </c>
      <c r="F243" s="44" t="s">
        <v>16</v>
      </c>
      <c r="G243" s="44" t="s">
        <v>1971</v>
      </c>
      <c r="H243" s="44" t="s">
        <v>1</v>
      </c>
      <c r="I243" s="44" t="s">
        <v>13</v>
      </c>
      <c r="J243" s="72" t="s">
        <v>1972</v>
      </c>
      <c r="K243" s="73">
        <v>42069</v>
      </c>
      <c r="L243" s="30">
        <v>2015</v>
      </c>
      <c r="M243" s="30">
        <f t="shared" si="18"/>
        <v>4</v>
      </c>
      <c r="N243" s="44" t="s">
        <v>3</v>
      </c>
      <c r="O243" s="44" t="s">
        <v>1229</v>
      </c>
      <c r="P243" s="72" t="s">
        <v>1258</v>
      </c>
      <c r="Q243" s="44"/>
      <c r="R243" s="72" t="s">
        <v>1332</v>
      </c>
    </row>
    <row r="244" spans="2:18" ht="25.5" x14ac:dyDescent="0.2">
      <c r="B244" s="90">
        <v>83</v>
      </c>
      <c r="C244" s="44" t="s">
        <v>1973</v>
      </c>
      <c r="D244" s="44">
        <v>237</v>
      </c>
      <c r="E244" s="72" t="s">
        <v>1974</v>
      </c>
      <c r="F244" s="44" t="s">
        <v>6</v>
      </c>
      <c r="G244" s="44" t="s">
        <v>1975</v>
      </c>
      <c r="H244" s="44" t="s">
        <v>9</v>
      </c>
      <c r="I244" s="44" t="s">
        <v>1296</v>
      </c>
      <c r="J244" s="72" t="s">
        <v>1232</v>
      </c>
      <c r="K244" s="73">
        <v>14793</v>
      </c>
      <c r="L244" s="30">
        <v>1940</v>
      </c>
      <c r="M244" s="30">
        <f t="shared" si="18"/>
        <v>79</v>
      </c>
      <c r="N244" s="44" t="s">
        <v>3</v>
      </c>
      <c r="O244" s="44" t="s">
        <v>1229</v>
      </c>
      <c r="P244" s="72" t="s">
        <v>1258</v>
      </c>
      <c r="Q244" s="44"/>
      <c r="R244" s="72" t="s">
        <v>1330</v>
      </c>
    </row>
    <row r="245" spans="2:18" ht="25.5" x14ac:dyDescent="0.2">
      <c r="B245" s="135">
        <v>84</v>
      </c>
      <c r="C245" s="119" t="s">
        <v>1976</v>
      </c>
      <c r="D245" s="44">
        <v>238</v>
      </c>
      <c r="E245" s="72" t="s">
        <v>261</v>
      </c>
      <c r="F245" s="44" t="s">
        <v>6</v>
      </c>
      <c r="G245" s="44" t="s">
        <v>1904</v>
      </c>
      <c r="H245" s="44" t="s">
        <v>9</v>
      </c>
      <c r="I245" s="44" t="s">
        <v>1296</v>
      </c>
      <c r="J245" s="72" t="s">
        <v>1232</v>
      </c>
      <c r="K245" s="73">
        <v>24107</v>
      </c>
      <c r="L245" s="30">
        <v>1965</v>
      </c>
      <c r="M245" s="30">
        <f t="shared" si="18"/>
        <v>54</v>
      </c>
      <c r="N245" s="44" t="s">
        <v>3</v>
      </c>
      <c r="O245" s="44" t="s">
        <v>1229</v>
      </c>
      <c r="P245" s="72" t="s">
        <v>1258</v>
      </c>
      <c r="Q245" s="44"/>
      <c r="R245" s="72" t="s">
        <v>1330</v>
      </c>
    </row>
    <row r="246" spans="2:18" ht="25.5" x14ac:dyDescent="0.2">
      <c r="B246" s="135"/>
      <c r="C246" s="119"/>
      <c r="D246" s="44">
        <v>239</v>
      </c>
      <c r="E246" s="72" t="s">
        <v>1977</v>
      </c>
      <c r="F246" s="44" t="s">
        <v>16</v>
      </c>
      <c r="G246" s="44" t="s">
        <v>263</v>
      </c>
      <c r="H246" s="44" t="s">
        <v>9</v>
      </c>
      <c r="I246" s="44" t="s">
        <v>13</v>
      </c>
      <c r="J246" s="72" t="s">
        <v>1232</v>
      </c>
      <c r="K246" s="73">
        <v>37600</v>
      </c>
      <c r="L246" s="30">
        <v>2002</v>
      </c>
      <c r="M246" s="30">
        <f t="shared" si="18"/>
        <v>17</v>
      </c>
      <c r="N246" s="44" t="s">
        <v>3</v>
      </c>
      <c r="O246" s="44" t="s">
        <v>1229</v>
      </c>
      <c r="P246" s="72" t="s">
        <v>1247</v>
      </c>
      <c r="Q246" s="44"/>
      <c r="R246" s="72" t="s">
        <v>1822</v>
      </c>
    </row>
    <row r="247" spans="2:18" ht="25.5" x14ac:dyDescent="0.2">
      <c r="B247" s="135">
        <v>85</v>
      </c>
      <c r="C247" s="119" t="s">
        <v>1978</v>
      </c>
      <c r="D247" s="44">
        <v>240</v>
      </c>
      <c r="E247" s="72" t="s">
        <v>296</v>
      </c>
      <c r="F247" s="44" t="s">
        <v>6</v>
      </c>
      <c r="G247" s="44" t="s">
        <v>297</v>
      </c>
      <c r="H247" s="44" t="s">
        <v>1</v>
      </c>
      <c r="I247" s="44" t="s">
        <v>1979</v>
      </c>
      <c r="J247" s="72" t="s">
        <v>1232</v>
      </c>
      <c r="K247" s="73">
        <v>32508</v>
      </c>
      <c r="L247" s="30">
        <v>1988</v>
      </c>
      <c r="M247" s="30">
        <f t="shared" si="18"/>
        <v>31</v>
      </c>
      <c r="N247" s="44" t="s">
        <v>3</v>
      </c>
      <c r="O247" s="44" t="s">
        <v>1229</v>
      </c>
      <c r="P247" s="72" t="s">
        <v>1233</v>
      </c>
      <c r="Q247" s="44"/>
      <c r="R247" s="72" t="s">
        <v>1330</v>
      </c>
    </row>
    <row r="248" spans="2:18" ht="25.5" x14ac:dyDescent="0.2">
      <c r="B248" s="135"/>
      <c r="C248" s="119"/>
      <c r="D248" s="44">
        <v>241</v>
      </c>
      <c r="E248" s="72" t="s">
        <v>1980</v>
      </c>
      <c r="F248" s="44" t="s">
        <v>11</v>
      </c>
      <c r="G248" s="44" t="s">
        <v>1981</v>
      </c>
      <c r="H248" s="44" t="s">
        <v>9</v>
      </c>
      <c r="I248" s="44" t="s">
        <v>1979</v>
      </c>
      <c r="J248" s="72" t="s">
        <v>1232</v>
      </c>
      <c r="K248" s="73">
        <v>36380</v>
      </c>
      <c r="L248" s="30">
        <v>1999</v>
      </c>
      <c r="M248" s="30">
        <f t="shared" si="18"/>
        <v>20</v>
      </c>
      <c r="N248" s="44" t="s">
        <v>3</v>
      </c>
      <c r="O248" s="44" t="s">
        <v>1229</v>
      </c>
      <c r="P248" s="72" t="s">
        <v>1246</v>
      </c>
      <c r="Q248" s="44"/>
      <c r="R248" s="72" t="s">
        <v>1360</v>
      </c>
    </row>
    <row r="249" spans="2:18" ht="25.5" x14ac:dyDescent="0.2">
      <c r="B249" s="135"/>
      <c r="C249" s="119"/>
      <c r="D249" s="44">
        <v>242</v>
      </c>
      <c r="E249" s="72" t="s">
        <v>1982</v>
      </c>
      <c r="F249" s="44" t="s">
        <v>16</v>
      </c>
      <c r="G249" s="44" t="s">
        <v>1983</v>
      </c>
      <c r="H249" s="44" t="s">
        <v>9</v>
      </c>
      <c r="I249" s="44" t="s">
        <v>13</v>
      </c>
      <c r="J249" s="72" t="s">
        <v>1232</v>
      </c>
      <c r="K249" s="73">
        <v>43299</v>
      </c>
      <c r="L249" s="30">
        <v>2018</v>
      </c>
      <c r="M249" s="30">
        <f t="shared" si="18"/>
        <v>1</v>
      </c>
      <c r="N249" s="44" t="s">
        <v>3</v>
      </c>
      <c r="O249" s="44" t="s">
        <v>1229</v>
      </c>
      <c r="P249" s="72" t="s">
        <v>1258</v>
      </c>
      <c r="Q249" s="44"/>
      <c r="R249" s="72" t="s">
        <v>1330</v>
      </c>
    </row>
    <row r="250" spans="2:18" ht="25.5" x14ac:dyDescent="0.2">
      <c r="B250" s="135">
        <v>86</v>
      </c>
      <c r="C250" s="119" t="s">
        <v>2197</v>
      </c>
      <c r="D250" s="44">
        <v>243</v>
      </c>
      <c r="E250" s="72" t="s">
        <v>73</v>
      </c>
      <c r="F250" s="44" t="s">
        <v>6</v>
      </c>
      <c r="G250" s="44" t="s">
        <v>1984</v>
      </c>
      <c r="H250" s="44" t="s">
        <v>9</v>
      </c>
      <c r="I250" s="44" t="s">
        <v>1421</v>
      </c>
      <c r="J250" s="72" t="s">
        <v>1232</v>
      </c>
      <c r="K250" s="73">
        <v>22646</v>
      </c>
      <c r="L250" s="30">
        <v>1961</v>
      </c>
      <c r="M250" s="30">
        <f t="shared" ref="M250:M263" si="19">2019-L250</f>
        <v>58</v>
      </c>
      <c r="N250" s="44" t="s">
        <v>3</v>
      </c>
      <c r="O250" s="44" t="s">
        <v>1229</v>
      </c>
      <c r="P250" s="72" t="s">
        <v>1258</v>
      </c>
      <c r="Q250" s="44"/>
      <c r="R250" s="72" t="s">
        <v>1330</v>
      </c>
    </row>
    <row r="251" spans="2:18" ht="25.5" x14ac:dyDescent="0.2">
      <c r="B251" s="135"/>
      <c r="C251" s="119"/>
      <c r="D251" s="44">
        <v>244</v>
      </c>
      <c r="E251" s="72" t="s">
        <v>1985</v>
      </c>
      <c r="F251" s="44" t="s">
        <v>16</v>
      </c>
      <c r="G251" s="44" t="s">
        <v>1986</v>
      </c>
      <c r="H251" s="44" t="s">
        <v>1</v>
      </c>
      <c r="I251" s="44" t="s">
        <v>13</v>
      </c>
      <c r="J251" s="72" t="s">
        <v>1232</v>
      </c>
      <c r="K251" s="73">
        <v>32980</v>
      </c>
      <c r="L251" s="30">
        <v>1990</v>
      </c>
      <c r="M251" s="30">
        <f t="shared" si="19"/>
        <v>29</v>
      </c>
      <c r="N251" s="44" t="s">
        <v>3</v>
      </c>
      <c r="O251" s="44" t="s">
        <v>1229</v>
      </c>
      <c r="P251" s="72" t="s">
        <v>1270</v>
      </c>
      <c r="Q251" s="44"/>
      <c r="R251" s="72" t="s">
        <v>1330</v>
      </c>
    </row>
    <row r="252" spans="2:18" ht="25.5" x14ac:dyDescent="0.2">
      <c r="B252" s="139"/>
      <c r="C252" s="132"/>
      <c r="D252" s="92">
        <v>245</v>
      </c>
      <c r="E252" s="93" t="s">
        <v>2196</v>
      </c>
      <c r="F252" s="92" t="s">
        <v>16</v>
      </c>
      <c r="G252" s="92" t="s">
        <v>1987</v>
      </c>
      <c r="H252" s="92" t="s">
        <v>1</v>
      </c>
      <c r="I252" s="92" t="s">
        <v>13</v>
      </c>
      <c r="J252" s="93" t="s">
        <v>1232</v>
      </c>
      <c r="K252" s="94">
        <v>35349</v>
      </c>
      <c r="L252" s="95">
        <v>1996</v>
      </c>
      <c r="M252" s="95">
        <f t="shared" si="19"/>
        <v>23</v>
      </c>
      <c r="N252" s="92" t="s">
        <v>3</v>
      </c>
      <c r="O252" s="92" t="s">
        <v>1229</v>
      </c>
      <c r="P252" s="93" t="s">
        <v>1246</v>
      </c>
      <c r="Q252" s="92"/>
      <c r="R252" s="93" t="s">
        <v>1330</v>
      </c>
    </row>
    <row r="253" spans="2:18" x14ac:dyDescent="0.2">
      <c r="B253" s="119">
        <v>87</v>
      </c>
      <c r="C253" s="119" t="s">
        <v>2279</v>
      </c>
      <c r="D253" s="44">
        <v>246</v>
      </c>
      <c r="E253" s="72" t="s">
        <v>1928</v>
      </c>
      <c r="F253" s="44" t="s">
        <v>6</v>
      </c>
      <c r="G253" s="44" t="s">
        <v>1929</v>
      </c>
      <c r="H253" s="44" t="s">
        <v>1</v>
      </c>
      <c r="I253" s="44" t="s">
        <v>2</v>
      </c>
      <c r="J253" s="72" t="s">
        <v>1232</v>
      </c>
      <c r="K253" s="73">
        <v>33743</v>
      </c>
      <c r="L253" s="30">
        <v>1992</v>
      </c>
      <c r="M253" s="30">
        <f t="shared" si="19"/>
        <v>27</v>
      </c>
      <c r="N253" s="44" t="s">
        <v>3</v>
      </c>
      <c r="O253" s="44" t="s">
        <v>1229</v>
      </c>
      <c r="P253" s="72" t="s">
        <v>1270</v>
      </c>
      <c r="Q253" s="44"/>
      <c r="R253" s="72" t="s">
        <v>1773</v>
      </c>
    </row>
    <row r="254" spans="2:18" ht="25.5" x14ac:dyDescent="0.2">
      <c r="B254" s="119"/>
      <c r="C254" s="119"/>
      <c r="D254" s="44">
        <v>247</v>
      </c>
      <c r="E254" s="72" t="s">
        <v>2280</v>
      </c>
      <c r="F254" s="44" t="s">
        <v>11</v>
      </c>
      <c r="G254" s="44" t="s">
        <v>2281</v>
      </c>
      <c r="H254" s="44" t="s">
        <v>9</v>
      </c>
      <c r="I254" s="44" t="s">
        <v>2</v>
      </c>
      <c r="J254" s="72" t="s">
        <v>2282</v>
      </c>
      <c r="K254" s="73">
        <v>37078</v>
      </c>
      <c r="L254" s="30">
        <v>2001</v>
      </c>
      <c r="M254" s="30">
        <f t="shared" si="19"/>
        <v>18</v>
      </c>
      <c r="N254" s="44" t="s">
        <v>3</v>
      </c>
      <c r="O254" s="44" t="s">
        <v>1229</v>
      </c>
      <c r="P254" s="72" t="s">
        <v>1270</v>
      </c>
      <c r="Q254" s="44"/>
      <c r="R254" s="72" t="s">
        <v>1360</v>
      </c>
    </row>
    <row r="255" spans="2:18" ht="25.5" x14ac:dyDescent="0.2">
      <c r="B255" s="119">
        <v>88</v>
      </c>
      <c r="C255" s="119" t="s">
        <v>2288</v>
      </c>
      <c r="D255" s="44">
        <v>248</v>
      </c>
      <c r="E255" s="72" t="s">
        <v>2289</v>
      </c>
      <c r="F255" s="44" t="s">
        <v>6</v>
      </c>
      <c r="G255" s="44" t="s">
        <v>2293</v>
      </c>
      <c r="H255" s="44" t="s">
        <v>1</v>
      </c>
      <c r="I255" s="44" t="s">
        <v>2</v>
      </c>
      <c r="J255" s="72" t="s">
        <v>1232</v>
      </c>
      <c r="K255" s="73">
        <v>28498</v>
      </c>
      <c r="L255" s="30">
        <v>1978</v>
      </c>
      <c r="M255" s="30">
        <f t="shared" si="19"/>
        <v>41</v>
      </c>
      <c r="N255" s="44" t="s">
        <v>3</v>
      </c>
      <c r="O255" s="44" t="s">
        <v>1229</v>
      </c>
      <c r="P255" s="72" t="s">
        <v>1233</v>
      </c>
      <c r="Q255" s="44"/>
      <c r="R255" s="72" t="s">
        <v>1330</v>
      </c>
    </row>
    <row r="256" spans="2:18" ht="25.5" x14ac:dyDescent="0.2">
      <c r="B256" s="119"/>
      <c r="C256" s="119"/>
      <c r="D256" s="44">
        <v>249</v>
      </c>
      <c r="E256" s="72" t="s">
        <v>2290</v>
      </c>
      <c r="F256" s="44" t="s">
        <v>11</v>
      </c>
      <c r="G256" s="44" t="s">
        <v>2294</v>
      </c>
      <c r="H256" s="44" t="s">
        <v>9</v>
      </c>
      <c r="I256" s="44" t="s">
        <v>2</v>
      </c>
      <c r="J256" s="72" t="s">
        <v>1232</v>
      </c>
      <c r="K256" s="73">
        <v>32321</v>
      </c>
      <c r="L256" s="30">
        <v>1988</v>
      </c>
      <c r="M256" s="30">
        <f t="shared" si="19"/>
        <v>31</v>
      </c>
      <c r="N256" s="44" t="s">
        <v>3</v>
      </c>
      <c r="O256" s="44" t="s">
        <v>1229</v>
      </c>
      <c r="P256" s="72" t="s">
        <v>1258</v>
      </c>
      <c r="Q256" s="44"/>
      <c r="R256" s="72" t="s">
        <v>1330</v>
      </c>
    </row>
    <row r="257" spans="2:18" ht="25.5" x14ac:dyDescent="0.2">
      <c r="B257" s="119"/>
      <c r="C257" s="119"/>
      <c r="D257" s="44">
        <v>250</v>
      </c>
      <c r="E257" s="72" t="s">
        <v>2291</v>
      </c>
      <c r="F257" s="44" t="s">
        <v>16</v>
      </c>
      <c r="G257" s="44" t="s">
        <v>2295</v>
      </c>
      <c r="H257" s="44" t="s">
        <v>1</v>
      </c>
      <c r="I257" s="44" t="s">
        <v>13</v>
      </c>
      <c r="J257" s="72" t="s">
        <v>1232</v>
      </c>
      <c r="K257" s="73">
        <v>39300</v>
      </c>
      <c r="L257" s="30">
        <v>2007</v>
      </c>
      <c r="M257" s="30">
        <f t="shared" si="19"/>
        <v>12</v>
      </c>
      <c r="N257" s="44" t="s">
        <v>3</v>
      </c>
      <c r="O257" s="44" t="s">
        <v>1229</v>
      </c>
      <c r="P257" s="72" t="s">
        <v>1247</v>
      </c>
      <c r="Q257" s="44"/>
      <c r="R257" s="72" t="s">
        <v>1332</v>
      </c>
    </row>
    <row r="258" spans="2:18" ht="25.5" x14ac:dyDescent="0.2">
      <c r="B258" s="119"/>
      <c r="C258" s="119"/>
      <c r="D258" s="44">
        <v>251</v>
      </c>
      <c r="E258" s="72" t="s">
        <v>2292</v>
      </c>
      <c r="F258" s="44" t="s">
        <v>16</v>
      </c>
      <c r="G258" s="44" t="s">
        <v>2296</v>
      </c>
      <c r="H258" s="44" t="s">
        <v>1</v>
      </c>
      <c r="I258" s="44" t="s">
        <v>13</v>
      </c>
      <c r="J258" s="72" t="s">
        <v>1232</v>
      </c>
      <c r="K258" s="73">
        <v>41413</v>
      </c>
      <c r="L258" s="30">
        <v>2013</v>
      </c>
      <c r="M258" s="30">
        <f t="shared" si="19"/>
        <v>6</v>
      </c>
      <c r="N258" s="44" t="s">
        <v>3</v>
      </c>
      <c r="O258" s="44" t="s">
        <v>1229</v>
      </c>
      <c r="P258" s="72" t="s">
        <v>1258</v>
      </c>
      <c r="Q258" s="44"/>
      <c r="R258" s="72" t="s">
        <v>1332</v>
      </c>
    </row>
    <row r="259" spans="2:18" x14ac:dyDescent="0.2">
      <c r="B259" s="132">
        <v>89</v>
      </c>
      <c r="C259" s="132" t="s">
        <v>2316</v>
      </c>
      <c r="D259" s="44">
        <v>252</v>
      </c>
      <c r="E259" s="72" t="s">
        <v>2317</v>
      </c>
      <c r="F259" s="44" t="s">
        <v>6</v>
      </c>
      <c r="G259" s="44" t="s">
        <v>2320</v>
      </c>
      <c r="H259" s="44" t="s">
        <v>1</v>
      </c>
      <c r="I259" s="44" t="s">
        <v>2</v>
      </c>
      <c r="J259" s="72" t="s">
        <v>1232</v>
      </c>
      <c r="K259" s="96">
        <v>31041</v>
      </c>
      <c r="L259" s="44">
        <v>1984</v>
      </c>
      <c r="M259" s="44">
        <f t="shared" si="19"/>
        <v>35</v>
      </c>
      <c r="N259" s="44" t="s">
        <v>3</v>
      </c>
      <c r="O259" s="44" t="s">
        <v>1229</v>
      </c>
      <c r="P259" s="72" t="s">
        <v>1246</v>
      </c>
      <c r="Q259" s="44"/>
      <c r="R259" s="72" t="s">
        <v>5</v>
      </c>
    </row>
    <row r="260" spans="2:18" ht="25.5" x14ac:dyDescent="0.2">
      <c r="B260" s="133"/>
      <c r="C260" s="133"/>
      <c r="D260" s="44">
        <v>253</v>
      </c>
      <c r="E260" s="72" t="s">
        <v>2318</v>
      </c>
      <c r="F260" s="44" t="s">
        <v>11</v>
      </c>
      <c r="G260" s="44" t="s">
        <v>2321</v>
      </c>
      <c r="H260" s="44" t="s">
        <v>9</v>
      </c>
      <c r="I260" s="44" t="s">
        <v>2</v>
      </c>
      <c r="J260" s="72" t="s">
        <v>2323</v>
      </c>
      <c r="K260" s="96">
        <v>34080</v>
      </c>
      <c r="L260" s="44">
        <v>1993</v>
      </c>
      <c r="M260" s="44">
        <f t="shared" si="19"/>
        <v>26</v>
      </c>
      <c r="N260" s="44" t="s">
        <v>3</v>
      </c>
      <c r="O260" s="44" t="s">
        <v>1229</v>
      </c>
      <c r="P260" s="72" t="s">
        <v>1246</v>
      </c>
      <c r="Q260" s="44"/>
      <c r="R260" s="72" t="s">
        <v>1360</v>
      </c>
    </row>
    <row r="261" spans="2:18" ht="25.5" x14ac:dyDescent="0.2">
      <c r="B261" s="134"/>
      <c r="C261" s="134"/>
      <c r="D261" s="44">
        <v>254</v>
      </c>
      <c r="E261" s="72" t="s">
        <v>2319</v>
      </c>
      <c r="F261" s="44" t="s">
        <v>16</v>
      </c>
      <c r="G261" s="44" t="s">
        <v>2322</v>
      </c>
      <c r="H261" s="44" t="s">
        <v>1</v>
      </c>
      <c r="I261" s="44" t="s">
        <v>13</v>
      </c>
      <c r="J261" s="72" t="s">
        <v>1232</v>
      </c>
      <c r="K261" s="96">
        <v>40802</v>
      </c>
      <c r="L261" s="44">
        <v>2011</v>
      </c>
      <c r="M261" s="44">
        <f t="shared" si="19"/>
        <v>8</v>
      </c>
      <c r="N261" s="44" t="s">
        <v>3</v>
      </c>
      <c r="O261" s="44" t="s">
        <v>1229</v>
      </c>
      <c r="P261" s="72" t="s">
        <v>1247</v>
      </c>
      <c r="Q261" s="44"/>
      <c r="R261" s="72" t="s">
        <v>1822</v>
      </c>
    </row>
    <row r="262" spans="2:18" ht="25.5" x14ac:dyDescent="0.2">
      <c r="B262" s="132">
        <v>90</v>
      </c>
      <c r="C262" s="132" t="s">
        <v>2324</v>
      </c>
      <c r="D262" s="44">
        <v>255</v>
      </c>
      <c r="E262" s="72" t="s">
        <v>2325</v>
      </c>
      <c r="F262" s="44" t="s">
        <v>6</v>
      </c>
      <c r="G262" s="44" t="s">
        <v>2326</v>
      </c>
      <c r="H262" s="44" t="s">
        <v>9</v>
      </c>
      <c r="I262" s="44" t="s">
        <v>1296</v>
      </c>
      <c r="J262" s="72" t="s">
        <v>1232</v>
      </c>
      <c r="K262" s="96">
        <v>18445</v>
      </c>
      <c r="L262" s="44">
        <v>1950</v>
      </c>
      <c r="M262" s="44">
        <f t="shared" si="19"/>
        <v>69</v>
      </c>
      <c r="N262" s="44" t="s">
        <v>3</v>
      </c>
      <c r="O262" s="44" t="s">
        <v>1229</v>
      </c>
      <c r="P262" s="72" t="s">
        <v>1258</v>
      </c>
      <c r="Q262" s="44"/>
      <c r="R262" s="72" t="s">
        <v>1330</v>
      </c>
    </row>
    <row r="263" spans="2:18" ht="25.5" x14ac:dyDescent="0.2">
      <c r="B263" s="134"/>
      <c r="C263" s="134"/>
      <c r="D263" s="44">
        <v>256</v>
      </c>
      <c r="E263" s="72" t="s">
        <v>273</v>
      </c>
      <c r="F263" s="44" t="s">
        <v>1889</v>
      </c>
      <c r="G263" s="44" t="s">
        <v>2327</v>
      </c>
      <c r="H263" s="44" t="s">
        <v>9</v>
      </c>
      <c r="I263" s="44" t="s">
        <v>13</v>
      </c>
      <c r="J263" s="72" t="s">
        <v>1232</v>
      </c>
      <c r="K263" s="96">
        <v>23924</v>
      </c>
      <c r="L263" s="44">
        <v>1965</v>
      </c>
      <c r="M263" s="44">
        <f t="shared" si="19"/>
        <v>54</v>
      </c>
      <c r="N263" s="44" t="s">
        <v>3</v>
      </c>
      <c r="O263" s="44" t="s">
        <v>1229</v>
      </c>
      <c r="P263" s="72" t="s">
        <v>1258</v>
      </c>
      <c r="Q263" s="44"/>
      <c r="R263" s="72" t="s">
        <v>1871</v>
      </c>
    </row>
    <row r="267" spans="2:18" s="77" customFormat="1" ht="15" x14ac:dyDescent="0.25">
      <c r="D267" s="164" t="s">
        <v>2346</v>
      </c>
      <c r="E267" s="164"/>
      <c r="F267" s="164"/>
      <c r="L267" s="81"/>
      <c r="P267" s="79"/>
      <c r="R267" s="79"/>
    </row>
    <row r="268" spans="2:18" s="77" customFormat="1" ht="15" x14ac:dyDescent="0.25">
      <c r="D268" s="164" t="s">
        <v>2347</v>
      </c>
      <c r="E268" s="164"/>
      <c r="F268" s="164"/>
      <c r="L268" s="81"/>
      <c r="P268" s="157" t="s">
        <v>2348</v>
      </c>
      <c r="Q268" s="157"/>
      <c r="R268" s="79"/>
    </row>
    <row r="269" spans="2:18" s="77" customFormat="1" ht="15" x14ac:dyDescent="0.25">
      <c r="D269" s="165"/>
      <c r="E269" s="165"/>
      <c r="F269" s="165"/>
      <c r="L269" s="81"/>
      <c r="P269" s="166"/>
      <c r="Q269" s="166"/>
      <c r="R269" s="79"/>
    </row>
    <row r="270" spans="2:18" s="77" customFormat="1" ht="15" x14ac:dyDescent="0.25">
      <c r="D270" s="167"/>
      <c r="E270" s="168"/>
      <c r="F270" s="167"/>
      <c r="L270" s="81"/>
      <c r="P270" s="42"/>
      <c r="Q270" s="48"/>
      <c r="R270" s="79"/>
    </row>
    <row r="271" spans="2:18" s="77" customFormat="1" ht="15" x14ac:dyDescent="0.25">
      <c r="D271" s="167"/>
      <c r="E271" s="168"/>
      <c r="F271" s="167"/>
      <c r="L271" s="81"/>
      <c r="P271" s="42"/>
      <c r="Q271" s="48"/>
      <c r="R271" s="79"/>
    </row>
    <row r="272" spans="2:18" s="77" customFormat="1" ht="14.25" x14ac:dyDescent="0.2">
      <c r="D272" s="169" t="s">
        <v>2349</v>
      </c>
      <c r="E272" s="169"/>
      <c r="F272" s="169"/>
      <c r="L272" s="81"/>
      <c r="P272" s="158" t="s">
        <v>128</v>
      </c>
      <c r="Q272" s="158"/>
      <c r="R272" s="79"/>
    </row>
    <row r="273" spans="4:18" s="77" customFormat="1" ht="14.25" x14ac:dyDescent="0.2">
      <c r="D273" s="169" t="s">
        <v>2350</v>
      </c>
      <c r="E273" s="169"/>
      <c r="F273" s="169"/>
      <c r="L273" s="81"/>
      <c r="P273" s="79"/>
      <c r="R273" s="79"/>
    </row>
  </sheetData>
  <autoFilter ref="B7:R263"/>
  <mergeCells count="179">
    <mergeCell ref="D267:F267"/>
    <mergeCell ref="D268:F268"/>
    <mergeCell ref="P268:Q268"/>
    <mergeCell ref="D272:F272"/>
    <mergeCell ref="P272:Q272"/>
    <mergeCell ref="D273:F273"/>
    <mergeCell ref="B262:B263"/>
    <mergeCell ref="C262:C263"/>
    <mergeCell ref="C259:C261"/>
    <mergeCell ref="B253:B254"/>
    <mergeCell ref="C253:C254"/>
    <mergeCell ref="C212:C214"/>
    <mergeCell ref="B215:B219"/>
    <mergeCell ref="C215:C219"/>
    <mergeCell ref="C226:C227"/>
    <mergeCell ref="B235:B237"/>
    <mergeCell ref="C235:C237"/>
    <mergeCell ref="B255:B258"/>
    <mergeCell ref="C255:C258"/>
    <mergeCell ref="B259:B261"/>
    <mergeCell ref="C200:C202"/>
    <mergeCell ref="B203:B204"/>
    <mergeCell ref="C203:C204"/>
    <mergeCell ref="B205:B207"/>
    <mergeCell ref="C205:C207"/>
    <mergeCell ref="C241:C243"/>
    <mergeCell ref="B228:B230"/>
    <mergeCell ref="C228:C230"/>
    <mergeCell ref="B231:B232"/>
    <mergeCell ref="C231:C232"/>
    <mergeCell ref="B220:B222"/>
    <mergeCell ref="C220:C222"/>
    <mergeCell ref="C223:C225"/>
    <mergeCell ref="B223:B225"/>
    <mergeCell ref="B226:B227"/>
    <mergeCell ref="B212:B214"/>
    <mergeCell ref="B54:B57"/>
    <mergeCell ref="B43:B45"/>
    <mergeCell ref="C54:C57"/>
    <mergeCell ref="C24:C31"/>
    <mergeCell ref="C32:C35"/>
    <mergeCell ref="C36:C39"/>
    <mergeCell ref="C40:C42"/>
    <mergeCell ref="B36:B39"/>
    <mergeCell ref="B20:B23"/>
    <mergeCell ref="B32:B35"/>
    <mergeCell ref="B40:B42"/>
    <mergeCell ref="C161:C164"/>
    <mergeCell ref="B250:B252"/>
    <mergeCell ref="C250:C252"/>
    <mergeCell ref="B24:B31"/>
    <mergeCell ref="B172:B173"/>
    <mergeCell ref="C172:C173"/>
    <mergeCell ref="B208:B211"/>
    <mergeCell ref="C208:C211"/>
    <mergeCell ref="B233:B234"/>
    <mergeCell ref="C68:C69"/>
    <mergeCell ref="C72:C73"/>
    <mergeCell ref="C77:C78"/>
    <mergeCell ref="C79:C81"/>
    <mergeCell ref="C87:C89"/>
    <mergeCell ref="C102:C104"/>
    <mergeCell ref="B245:B246"/>
    <mergeCell ref="C245:C246"/>
    <mergeCell ref="B247:B249"/>
    <mergeCell ref="C247:C249"/>
    <mergeCell ref="C233:C234"/>
    <mergeCell ref="B238:B240"/>
    <mergeCell ref="C238:C240"/>
    <mergeCell ref="B241:B243"/>
    <mergeCell ref="B200:B202"/>
    <mergeCell ref="B194:B197"/>
    <mergeCell ref="B190:B193"/>
    <mergeCell ref="C190:C193"/>
    <mergeCell ref="B198:B199"/>
    <mergeCell ref="C198:C199"/>
    <mergeCell ref="C194:C197"/>
    <mergeCell ref="B187:B188"/>
    <mergeCell ref="C187:C188"/>
    <mergeCell ref="B183:B186"/>
    <mergeCell ref="C183:C186"/>
    <mergeCell ref="C166:C168"/>
    <mergeCell ref="B177:B180"/>
    <mergeCell ref="C177:C180"/>
    <mergeCell ref="B181:B182"/>
    <mergeCell ref="C181:C182"/>
    <mergeCell ref="B169:B171"/>
    <mergeCell ref="C169:C171"/>
    <mergeCell ref="B166:B168"/>
    <mergeCell ref="B175:B176"/>
    <mergeCell ref="C175:C176"/>
    <mergeCell ref="C121:C124"/>
    <mergeCell ref="C148:C149"/>
    <mergeCell ref="B151:B153"/>
    <mergeCell ref="B154:B155"/>
    <mergeCell ref="C151:C153"/>
    <mergeCell ref="C154:C155"/>
    <mergeCell ref="B156:B160"/>
    <mergeCell ref="C156:C160"/>
    <mergeCell ref="B132:B134"/>
    <mergeCell ref="C132:C134"/>
    <mergeCell ref="B143:B144"/>
    <mergeCell ref="B145:B147"/>
    <mergeCell ref="C145:C147"/>
    <mergeCell ref="B135:B137"/>
    <mergeCell ref="C135:C137"/>
    <mergeCell ref="C143:C144"/>
    <mergeCell ref="R5:R6"/>
    <mergeCell ref="F5:F6"/>
    <mergeCell ref="D5:D6"/>
    <mergeCell ref="B77:B78"/>
    <mergeCell ref="B79:B81"/>
    <mergeCell ref="B82:B85"/>
    <mergeCell ref="C82:C85"/>
    <mergeCell ref="B87:B89"/>
    <mergeCell ref="C65:C67"/>
    <mergeCell ref="B68:B69"/>
    <mergeCell ref="C70:C71"/>
    <mergeCell ref="C20:C23"/>
    <mergeCell ref="C46:C47"/>
    <mergeCell ref="B58:B61"/>
    <mergeCell ref="C58:C61"/>
    <mergeCell ref="C63:C64"/>
    <mergeCell ref="B8:B13"/>
    <mergeCell ref="C8:C13"/>
    <mergeCell ref="C14:C18"/>
    <mergeCell ref="B14:B18"/>
    <mergeCell ref="C43:C45"/>
    <mergeCell ref="B46:B47"/>
    <mergeCell ref="B49:B53"/>
    <mergeCell ref="C49:C53"/>
    <mergeCell ref="I5:I6"/>
    <mergeCell ref="B139:B142"/>
    <mergeCell ref="C139:C142"/>
    <mergeCell ref="C5:C6"/>
    <mergeCell ref="J5:L5"/>
    <mergeCell ref="O5:O6"/>
    <mergeCell ref="Q5:Q6"/>
    <mergeCell ref="M5:M6"/>
    <mergeCell ref="G5:G6"/>
    <mergeCell ref="N5:N6"/>
    <mergeCell ref="P5:P6"/>
    <mergeCell ref="B126:B129"/>
    <mergeCell ref="C126:C129"/>
    <mergeCell ref="B130:B131"/>
    <mergeCell ref="C130:C131"/>
    <mergeCell ref="B111:B113"/>
    <mergeCell ref="C111:C113"/>
    <mergeCell ref="B114:B115"/>
    <mergeCell ref="B116:B118"/>
    <mergeCell ref="B119:B120"/>
    <mergeCell ref="C114:C115"/>
    <mergeCell ref="C116:C118"/>
    <mergeCell ref="C119:C120"/>
    <mergeCell ref="B121:B124"/>
    <mergeCell ref="B1:R1"/>
    <mergeCell ref="B2:R2"/>
    <mergeCell ref="B63:B64"/>
    <mergeCell ref="B65:B67"/>
    <mergeCell ref="B148:B149"/>
    <mergeCell ref="B161:B164"/>
    <mergeCell ref="B5:B6"/>
    <mergeCell ref="E5:E6"/>
    <mergeCell ref="H5:H6"/>
    <mergeCell ref="B72:B73"/>
    <mergeCell ref="B74:B76"/>
    <mergeCell ref="C74:C76"/>
    <mergeCell ref="B70:B71"/>
    <mergeCell ref="B98:B101"/>
    <mergeCell ref="C98:C101"/>
    <mergeCell ref="B102:B104"/>
    <mergeCell ref="B105:B106"/>
    <mergeCell ref="B107:B110"/>
    <mergeCell ref="C105:C106"/>
    <mergeCell ref="C107:C110"/>
    <mergeCell ref="B90:B93"/>
    <mergeCell ref="C90:C93"/>
    <mergeCell ref="B94:B96"/>
    <mergeCell ref="C94:C96"/>
  </mergeCells>
  <pageMargins left="1.37795275590551" right="0.196850393700787" top="0.39370078740157499" bottom="0.643700787" header="0.31496062992126" footer="0.31496062992126"/>
  <pageSetup paperSize="10000" scale="82" orientation="landscape" horizontalDpi="4294967293" verticalDpi="300" r:id="rId1"/>
  <headerFooter>
    <oddFooter>&amp;C&amp;"-,Bold"&amp;12&amp;P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325"/>
  <sheetViews>
    <sheetView zoomScaleNormal="100" zoomScaleSheetLayoutView="70" workbookViewId="0">
      <pane ySplit="6" topLeftCell="A7" activePane="bottomLeft" state="frozen"/>
      <selection pane="bottomLeft" activeCell="M7" sqref="M7"/>
    </sheetView>
  </sheetViews>
  <sheetFormatPr defaultRowHeight="12.75" x14ac:dyDescent="0.2"/>
  <cols>
    <col min="1" max="1" width="9.140625" style="31"/>
    <col min="2" max="2" width="3.140625" style="35" customWidth="1"/>
    <col min="3" max="3" width="15.7109375" style="35" customWidth="1"/>
    <col min="4" max="4" width="6.7109375" style="35" customWidth="1"/>
    <col min="5" max="5" width="12.7109375" style="98" customWidth="1"/>
    <col min="6" max="6" width="9.7109375" style="35" customWidth="1"/>
    <col min="7" max="7" width="15.7109375" style="35" customWidth="1"/>
    <col min="8" max="8" width="7.7109375" style="35" customWidth="1"/>
    <col min="9" max="9" width="10.7109375" style="35" customWidth="1"/>
    <col min="10" max="10" width="13.7109375" style="98" customWidth="1"/>
    <col min="11" max="11" width="15.140625" style="99" customWidth="1"/>
    <col min="12" max="12" width="6" style="100" customWidth="1"/>
    <col min="13" max="13" width="4.42578125" style="100" customWidth="1"/>
    <col min="14" max="14" width="6.42578125" style="35" customWidth="1"/>
    <col min="15" max="15" width="5.42578125" style="35" bestFit="1" customWidth="1"/>
    <col min="16" max="16" width="16.7109375" style="98" customWidth="1"/>
    <col min="17" max="17" width="6.7109375" style="35" bestFit="1" customWidth="1"/>
    <col min="18" max="18" width="15.7109375" style="98" customWidth="1"/>
    <col min="19" max="16384" width="9.140625" style="31"/>
  </cols>
  <sheetData>
    <row r="1" spans="2:18" s="41" customFormat="1" ht="15.75" x14ac:dyDescent="0.25">
      <c r="B1" s="118" t="s">
        <v>2339</v>
      </c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</row>
    <row r="2" spans="2:18" s="41" customFormat="1" ht="15.75" x14ac:dyDescent="0.25">
      <c r="B2" s="118" t="s">
        <v>2340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</row>
    <row r="3" spans="2:18" s="41" customFormat="1" ht="15.75" x14ac:dyDescent="0.25">
      <c r="B3" s="107" t="s">
        <v>2307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</row>
    <row r="4" spans="2:18" ht="16.5" thickBot="1" x14ac:dyDescent="0.25">
      <c r="B4" s="107" t="s">
        <v>2345</v>
      </c>
    </row>
    <row r="5" spans="2:18" ht="21.95" customHeight="1" x14ac:dyDescent="0.2">
      <c r="B5" s="136" t="s">
        <v>347</v>
      </c>
      <c r="C5" s="142" t="s">
        <v>1224</v>
      </c>
      <c r="D5" s="138" t="s">
        <v>1225</v>
      </c>
      <c r="E5" s="138" t="s">
        <v>2341</v>
      </c>
      <c r="F5" s="138" t="s">
        <v>354</v>
      </c>
      <c r="G5" s="144" t="s">
        <v>355</v>
      </c>
      <c r="H5" s="138" t="s">
        <v>349</v>
      </c>
      <c r="I5" s="138" t="s">
        <v>350</v>
      </c>
      <c r="J5" s="142" t="s">
        <v>1226</v>
      </c>
      <c r="K5" s="142"/>
      <c r="L5" s="142"/>
      <c r="M5" s="143" t="s">
        <v>1217</v>
      </c>
      <c r="N5" s="142" t="s">
        <v>351</v>
      </c>
      <c r="O5" s="142" t="s">
        <v>1211</v>
      </c>
      <c r="P5" s="138" t="s">
        <v>352</v>
      </c>
      <c r="Q5" s="142" t="s">
        <v>1227</v>
      </c>
      <c r="R5" s="138" t="s">
        <v>353</v>
      </c>
    </row>
    <row r="6" spans="2:18" ht="21.95" customHeight="1" x14ac:dyDescent="0.2">
      <c r="B6" s="137"/>
      <c r="C6" s="121"/>
      <c r="D6" s="124"/>
      <c r="E6" s="124"/>
      <c r="F6" s="124"/>
      <c r="G6" s="125"/>
      <c r="H6" s="124"/>
      <c r="I6" s="124"/>
      <c r="J6" s="83" t="s">
        <v>1208</v>
      </c>
      <c r="K6" s="84" t="s">
        <v>1209</v>
      </c>
      <c r="L6" s="85" t="s">
        <v>1216</v>
      </c>
      <c r="M6" s="120"/>
      <c r="N6" s="121"/>
      <c r="O6" s="121"/>
      <c r="P6" s="124"/>
      <c r="Q6" s="121"/>
      <c r="R6" s="124"/>
    </row>
    <row r="7" spans="2:18" x14ac:dyDescent="0.2">
      <c r="B7" s="97"/>
      <c r="C7" s="86"/>
      <c r="D7" s="86"/>
      <c r="E7" s="83"/>
      <c r="F7" s="86"/>
      <c r="G7" s="87"/>
      <c r="H7" s="86"/>
      <c r="I7" s="86"/>
      <c r="J7" s="83"/>
      <c r="K7" s="84"/>
      <c r="L7" s="85"/>
      <c r="M7" s="85"/>
      <c r="N7" s="86"/>
      <c r="O7" s="86"/>
      <c r="P7" s="83"/>
      <c r="Q7" s="86"/>
      <c r="R7" s="83"/>
    </row>
    <row r="8" spans="2:18" x14ac:dyDescent="0.2">
      <c r="B8" s="135">
        <v>1</v>
      </c>
      <c r="C8" s="135"/>
      <c r="D8" s="44">
        <v>1</v>
      </c>
      <c r="E8" s="72" t="s">
        <v>380</v>
      </c>
      <c r="F8" s="44" t="s">
        <v>6</v>
      </c>
      <c r="G8" s="44" t="s">
        <v>592</v>
      </c>
      <c r="H8" s="44" t="s">
        <v>1</v>
      </c>
      <c r="I8" s="44" t="s">
        <v>2</v>
      </c>
      <c r="J8" s="72"/>
      <c r="K8" s="73">
        <v>28855</v>
      </c>
      <c r="L8" s="30">
        <f>YEAR(K8)</f>
        <v>1978</v>
      </c>
      <c r="M8" s="30">
        <f t="shared" ref="M8:M39" si="0">2019-L8</f>
        <v>41</v>
      </c>
      <c r="N8" s="44" t="s">
        <v>3</v>
      </c>
      <c r="O8" s="44"/>
      <c r="P8" s="72" t="s">
        <v>15</v>
      </c>
      <c r="Q8" s="44"/>
      <c r="R8" s="72" t="s">
        <v>34</v>
      </c>
    </row>
    <row r="9" spans="2:18" x14ac:dyDescent="0.2">
      <c r="B9" s="135"/>
      <c r="C9" s="135"/>
      <c r="D9" s="44">
        <v>2</v>
      </c>
      <c r="E9" s="72" t="s">
        <v>593</v>
      </c>
      <c r="F9" s="44" t="s">
        <v>11</v>
      </c>
      <c r="G9" s="44" t="s">
        <v>594</v>
      </c>
      <c r="H9" s="44" t="s">
        <v>9</v>
      </c>
      <c r="I9" s="44" t="s">
        <v>2</v>
      </c>
      <c r="J9" s="72"/>
      <c r="K9" s="73">
        <v>31594</v>
      </c>
      <c r="L9" s="30">
        <f t="shared" ref="L9:L16" si="1">YEAR(K9)</f>
        <v>1986</v>
      </c>
      <c r="M9" s="30">
        <f t="shared" si="0"/>
        <v>33</v>
      </c>
      <c r="N9" s="44" t="s">
        <v>3</v>
      </c>
      <c r="O9" s="44"/>
      <c r="P9" s="72" t="s">
        <v>15</v>
      </c>
      <c r="Q9" s="44"/>
      <c r="R9" s="72" t="s">
        <v>34</v>
      </c>
    </row>
    <row r="10" spans="2:18" x14ac:dyDescent="0.2">
      <c r="B10" s="135"/>
      <c r="C10" s="135"/>
      <c r="D10" s="44">
        <v>3</v>
      </c>
      <c r="E10" s="72" t="s">
        <v>595</v>
      </c>
      <c r="F10" s="44" t="s">
        <v>16</v>
      </c>
      <c r="G10" s="44" t="s">
        <v>596</v>
      </c>
      <c r="H10" s="44" t="s">
        <v>9</v>
      </c>
      <c r="I10" s="44" t="s">
        <v>13</v>
      </c>
      <c r="J10" s="72"/>
      <c r="K10" s="73">
        <v>39360</v>
      </c>
      <c r="L10" s="30">
        <f t="shared" si="1"/>
        <v>2007</v>
      </c>
      <c r="M10" s="30">
        <f t="shared" si="0"/>
        <v>12</v>
      </c>
      <c r="N10" s="44" t="s">
        <v>3</v>
      </c>
      <c r="O10" s="44"/>
      <c r="P10" s="72" t="s">
        <v>15</v>
      </c>
      <c r="Q10" s="44"/>
      <c r="R10" s="72" t="s">
        <v>15</v>
      </c>
    </row>
    <row r="11" spans="2:18" x14ac:dyDescent="0.2">
      <c r="B11" s="135">
        <v>2</v>
      </c>
      <c r="C11" s="135"/>
      <c r="D11" s="44">
        <v>4</v>
      </c>
      <c r="E11" s="72" t="s">
        <v>597</v>
      </c>
      <c r="F11" s="44" t="s">
        <v>6</v>
      </c>
      <c r="G11" s="44" t="s">
        <v>599</v>
      </c>
      <c r="H11" s="44" t="s">
        <v>1</v>
      </c>
      <c r="I11" s="44" t="s">
        <v>2</v>
      </c>
      <c r="J11" s="72"/>
      <c r="K11" s="73">
        <v>18445</v>
      </c>
      <c r="L11" s="30">
        <f t="shared" si="1"/>
        <v>1950</v>
      </c>
      <c r="M11" s="30">
        <f t="shared" si="0"/>
        <v>69</v>
      </c>
      <c r="N11" s="44" t="s">
        <v>3</v>
      </c>
      <c r="O11" s="44"/>
      <c r="P11" s="72" t="s">
        <v>28</v>
      </c>
      <c r="Q11" s="44"/>
      <c r="R11" s="72" t="s">
        <v>598</v>
      </c>
    </row>
    <row r="12" spans="2:18" x14ac:dyDescent="0.2">
      <c r="B12" s="135"/>
      <c r="C12" s="135"/>
      <c r="D12" s="44">
        <v>5</v>
      </c>
      <c r="E12" s="72" t="s">
        <v>600</v>
      </c>
      <c r="F12" s="44" t="s">
        <v>11</v>
      </c>
      <c r="G12" s="44" t="s">
        <v>601</v>
      </c>
      <c r="H12" s="44" t="s">
        <v>9</v>
      </c>
      <c r="I12" s="44" t="s">
        <v>2</v>
      </c>
      <c r="J12" s="72"/>
      <c r="K12" s="73">
        <v>19541</v>
      </c>
      <c r="L12" s="30">
        <f t="shared" si="1"/>
        <v>1953</v>
      </c>
      <c r="M12" s="30">
        <f t="shared" si="0"/>
        <v>66</v>
      </c>
      <c r="N12" s="44" t="s">
        <v>3</v>
      </c>
      <c r="O12" s="44"/>
      <c r="P12" s="72" t="s">
        <v>28</v>
      </c>
      <c r="Q12" s="44"/>
      <c r="R12" s="72" t="s">
        <v>598</v>
      </c>
    </row>
    <row r="13" spans="2:18" x14ac:dyDescent="0.2">
      <c r="B13" s="135">
        <v>3</v>
      </c>
      <c r="C13" s="135"/>
      <c r="D13" s="44">
        <v>6</v>
      </c>
      <c r="E13" s="72" t="s">
        <v>602</v>
      </c>
      <c r="F13" s="44" t="s">
        <v>6</v>
      </c>
      <c r="G13" s="44" t="s">
        <v>603</v>
      </c>
      <c r="H13" s="44" t="s">
        <v>1</v>
      </c>
      <c r="I13" s="44" t="s">
        <v>2</v>
      </c>
      <c r="J13" s="72"/>
      <c r="K13" s="73">
        <v>31388</v>
      </c>
      <c r="L13" s="30">
        <f t="shared" si="1"/>
        <v>1985</v>
      </c>
      <c r="M13" s="30">
        <f t="shared" si="0"/>
        <v>34</v>
      </c>
      <c r="N13" s="44" t="s">
        <v>3</v>
      </c>
      <c r="O13" s="44"/>
      <c r="P13" s="72" t="s">
        <v>14</v>
      </c>
      <c r="Q13" s="44"/>
      <c r="R13" s="72" t="s">
        <v>5</v>
      </c>
    </row>
    <row r="14" spans="2:18" x14ac:dyDescent="0.2">
      <c r="B14" s="135"/>
      <c r="C14" s="135"/>
      <c r="D14" s="44">
        <v>7</v>
      </c>
      <c r="E14" s="72" t="s">
        <v>470</v>
      </c>
      <c r="F14" s="44" t="s">
        <v>11</v>
      </c>
      <c r="G14" s="44" t="s">
        <v>604</v>
      </c>
      <c r="H14" s="44" t="s">
        <v>9</v>
      </c>
      <c r="I14" s="44" t="s">
        <v>2</v>
      </c>
      <c r="J14" s="72"/>
      <c r="K14" s="73">
        <v>32142</v>
      </c>
      <c r="L14" s="30">
        <f t="shared" si="1"/>
        <v>1987</v>
      </c>
      <c r="M14" s="30">
        <f t="shared" si="0"/>
        <v>32</v>
      </c>
      <c r="N14" s="44" t="s">
        <v>3</v>
      </c>
      <c r="O14" s="44"/>
      <c r="P14" s="72" t="s">
        <v>14</v>
      </c>
      <c r="Q14" s="44"/>
      <c r="R14" s="72" t="s">
        <v>5</v>
      </c>
    </row>
    <row r="15" spans="2:18" ht="25.5" x14ac:dyDescent="0.2">
      <c r="B15" s="135"/>
      <c r="C15" s="135"/>
      <c r="D15" s="44">
        <v>8</v>
      </c>
      <c r="E15" s="72" t="s">
        <v>605</v>
      </c>
      <c r="F15" s="44" t="s">
        <v>16</v>
      </c>
      <c r="G15" s="44" t="s">
        <v>606</v>
      </c>
      <c r="H15" s="44" t="s">
        <v>1</v>
      </c>
      <c r="I15" s="44" t="s">
        <v>13</v>
      </c>
      <c r="J15" s="72"/>
      <c r="K15" s="73">
        <v>40075</v>
      </c>
      <c r="L15" s="30">
        <f t="shared" si="1"/>
        <v>2009</v>
      </c>
      <c r="M15" s="30">
        <f t="shared" si="0"/>
        <v>10</v>
      </c>
      <c r="N15" s="44" t="s">
        <v>3</v>
      </c>
      <c r="O15" s="44"/>
      <c r="P15" s="72" t="s">
        <v>15</v>
      </c>
      <c r="Q15" s="44"/>
      <c r="R15" s="72" t="s">
        <v>15</v>
      </c>
    </row>
    <row r="16" spans="2:18" ht="25.5" x14ac:dyDescent="0.2">
      <c r="B16" s="135"/>
      <c r="C16" s="135"/>
      <c r="D16" s="44">
        <v>9</v>
      </c>
      <c r="E16" s="72" t="s">
        <v>607</v>
      </c>
      <c r="F16" s="44" t="s">
        <v>16</v>
      </c>
      <c r="G16" s="44" t="s">
        <v>608</v>
      </c>
      <c r="H16" s="44" t="s">
        <v>1</v>
      </c>
      <c r="I16" s="44" t="s">
        <v>13</v>
      </c>
      <c r="J16" s="72"/>
      <c r="K16" s="73">
        <v>40442</v>
      </c>
      <c r="L16" s="30">
        <f t="shared" si="1"/>
        <v>2010</v>
      </c>
      <c r="M16" s="30">
        <f t="shared" si="0"/>
        <v>9</v>
      </c>
      <c r="N16" s="44" t="s">
        <v>3</v>
      </c>
      <c r="O16" s="44"/>
      <c r="P16" s="72" t="s">
        <v>15</v>
      </c>
      <c r="Q16" s="44"/>
      <c r="R16" s="72" t="s">
        <v>15</v>
      </c>
    </row>
    <row r="17" spans="2:18" ht="25.5" x14ac:dyDescent="0.2">
      <c r="B17" s="139">
        <v>4</v>
      </c>
      <c r="C17" s="139" t="s">
        <v>1636</v>
      </c>
      <c r="D17" s="44">
        <v>10</v>
      </c>
      <c r="E17" s="72" t="s">
        <v>569</v>
      </c>
      <c r="F17" s="44" t="s">
        <v>6</v>
      </c>
      <c r="G17" s="44" t="s">
        <v>1637</v>
      </c>
      <c r="H17" s="44" t="s">
        <v>1</v>
      </c>
      <c r="I17" s="44" t="s">
        <v>2</v>
      </c>
      <c r="J17" s="72" t="s">
        <v>1228</v>
      </c>
      <c r="K17" s="73">
        <v>22053</v>
      </c>
      <c r="L17" s="30">
        <v>1960</v>
      </c>
      <c r="M17" s="30">
        <f t="shared" si="0"/>
        <v>59</v>
      </c>
      <c r="N17" s="44" t="s">
        <v>3</v>
      </c>
      <c r="O17" s="44" t="s">
        <v>1229</v>
      </c>
      <c r="P17" s="72" t="s">
        <v>1320</v>
      </c>
      <c r="Q17" s="44"/>
      <c r="R17" s="72" t="s">
        <v>1330</v>
      </c>
    </row>
    <row r="18" spans="2:18" ht="25.5" x14ac:dyDescent="0.2">
      <c r="B18" s="140"/>
      <c r="C18" s="140"/>
      <c r="D18" s="44">
        <v>11</v>
      </c>
      <c r="E18" s="72" t="s">
        <v>1809</v>
      </c>
      <c r="F18" s="44" t="s">
        <v>11</v>
      </c>
      <c r="G18" s="44" t="s">
        <v>1638</v>
      </c>
      <c r="H18" s="44" t="s">
        <v>9</v>
      </c>
      <c r="I18" s="44" t="s">
        <v>2</v>
      </c>
      <c r="J18" s="72" t="s">
        <v>1228</v>
      </c>
      <c r="K18" s="73">
        <v>26846</v>
      </c>
      <c r="L18" s="30">
        <v>1973</v>
      </c>
      <c r="M18" s="30">
        <f t="shared" si="0"/>
        <v>46</v>
      </c>
      <c r="N18" s="44" t="s">
        <v>3</v>
      </c>
      <c r="O18" s="44" t="s">
        <v>1229</v>
      </c>
      <c r="P18" s="72" t="s">
        <v>1320</v>
      </c>
      <c r="Q18" s="44"/>
      <c r="R18" s="72" t="s">
        <v>1330</v>
      </c>
    </row>
    <row r="19" spans="2:18" ht="25.5" x14ac:dyDescent="0.2">
      <c r="B19" s="141"/>
      <c r="C19" s="141"/>
      <c r="D19" s="44">
        <v>12</v>
      </c>
      <c r="E19" s="72" t="s">
        <v>1810</v>
      </c>
      <c r="F19" s="44" t="s">
        <v>16</v>
      </c>
      <c r="G19" s="44" t="s">
        <v>610</v>
      </c>
      <c r="H19" s="44" t="s">
        <v>1</v>
      </c>
      <c r="I19" s="44" t="s">
        <v>13</v>
      </c>
      <c r="J19" s="72" t="s">
        <v>1228</v>
      </c>
      <c r="K19" s="73">
        <v>38012</v>
      </c>
      <c r="L19" s="30">
        <v>2004</v>
      </c>
      <c r="M19" s="30">
        <f t="shared" si="0"/>
        <v>15</v>
      </c>
      <c r="N19" s="44" t="s">
        <v>3</v>
      </c>
      <c r="O19" s="44" t="s">
        <v>1229</v>
      </c>
      <c r="P19" s="72" t="s">
        <v>1246</v>
      </c>
      <c r="Q19" s="44"/>
      <c r="R19" s="72" t="s">
        <v>1326</v>
      </c>
    </row>
    <row r="20" spans="2:18" x14ac:dyDescent="0.2">
      <c r="B20" s="135">
        <v>5</v>
      </c>
      <c r="C20" s="135"/>
      <c r="D20" s="44">
        <v>13</v>
      </c>
      <c r="E20" s="72" t="s">
        <v>611</v>
      </c>
      <c r="F20" s="44" t="s">
        <v>6</v>
      </c>
      <c r="G20" s="44" t="s">
        <v>612</v>
      </c>
      <c r="H20" s="44" t="s">
        <v>9</v>
      </c>
      <c r="I20" s="44" t="s">
        <v>19</v>
      </c>
      <c r="J20" s="72"/>
      <c r="K20" s="73">
        <v>26846</v>
      </c>
      <c r="L20" s="30">
        <f t="shared" ref="L20:L27" si="2">YEAR(K20)</f>
        <v>1973</v>
      </c>
      <c r="M20" s="30">
        <f t="shared" si="0"/>
        <v>46</v>
      </c>
      <c r="N20" s="44" t="s">
        <v>3</v>
      </c>
      <c r="O20" s="44"/>
      <c r="P20" s="72" t="s">
        <v>15</v>
      </c>
      <c r="Q20" s="44"/>
      <c r="R20" s="72" t="s">
        <v>34</v>
      </c>
    </row>
    <row r="21" spans="2:18" x14ac:dyDescent="0.2">
      <c r="B21" s="135"/>
      <c r="C21" s="135"/>
      <c r="D21" s="44">
        <v>14</v>
      </c>
      <c r="E21" s="72" t="s">
        <v>613</v>
      </c>
      <c r="F21" s="44" t="s">
        <v>16</v>
      </c>
      <c r="G21" s="44" t="s">
        <v>614</v>
      </c>
      <c r="H21" s="44" t="s">
        <v>1</v>
      </c>
      <c r="I21" s="44" t="s">
        <v>13</v>
      </c>
      <c r="J21" s="72"/>
      <c r="K21" s="73">
        <v>37709</v>
      </c>
      <c r="L21" s="30">
        <f t="shared" si="2"/>
        <v>2003</v>
      </c>
      <c r="M21" s="30">
        <f t="shared" si="0"/>
        <v>16</v>
      </c>
      <c r="N21" s="44" t="s">
        <v>3</v>
      </c>
      <c r="O21" s="44"/>
      <c r="P21" s="72" t="s">
        <v>15</v>
      </c>
      <c r="Q21" s="44"/>
      <c r="R21" s="72" t="s">
        <v>15</v>
      </c>
    </row>
    <row r="22" spans="2:18" x14ac:dyDescent="0.2">
      <c r="B22" s="135">
        <v>6</v>
      </c>
      <c r="C22" s="135"/>
      <c r="D22" s="44">
        <v>15</v>
      </c>
      <c r="E22" s="72" t="s">
        <v>314</v>
      </c>
      <c r="F22" s="44" t="s">
        <v>6</v>
      </c>
      <c r="G22" s="44">
        <v>0</v>
      </c>
      <c r="H22" s="44" t="s">
        <v>1</v>
      </c>
      <c r="I22" s="44" t="s">
        <v>2</v>
      </c>
      <c r="J22" s="72"/>
      <c r="K22" s="73">
        <v>19176</v>
      </c>
      <c r="L22" s="30">
        <f t="shared" si="2"/>
        <v>1952</v>
      </c>
      <c r="M22" s="30">
        <f t="shared" si="0"/>
        <v>67</v>
      </c>
      <c r="N22" s="44" t="s">
        <v>3</v>
      </c>
      <c r="O22" s="44"/>
      <c r="P22" s="72" t="s">
        <v>15</v>
      </c>
      <c r="Q22" s="44"/>
      <c r="R22" s="72" t="s">
        <v>34</v>
      </c>
    </row>
    <row r="23" spans="2:18" x14ac:dyDescent="0.2">
      <c r="B23" s="135"/>
      <c r="C23" s="135"/>
      <c r="D23" s="44">
        <v>16</v>
      </c>
      <c r="E23" s="72" t="s">
        <v>615</v>
      </c>
      <c r="F23" s="44" t="s">
        <v>11</v>
      </c>
      <c r="G23" s="44">
        <v>0</v>
      </c>
      <c r="H23" s="44" t="s">
        <v>9</v>
      </c>
      <c r="I23" s="44" t="s">
        <v>2</v>
      </c>
      <c r="J23" s="72"/>
      <c r="K23" s="73">
        <v>21002</v>
      </c>
      <c r="L23" s="30">
        <f t="shared" si="2"/>
        <v>1957</v>
      </c>
      <c r="M23" s="30">
        <f t="shared" si="0"/>
        <v>62</v>
      </c>
      <c r="N23" s="44" t="s">
        <v>3</v>
      </c>
      <c r="O23" s="44"/>
      <c r="P23" s="72" t="s">
        <v>15</v>
      </c>
      <c r="Q23" s="44"/>
      <c r="R23" s="72" t="s">
        <v>34</v>
      </c>
    </row>
    <row r="24" spans="2:18" x14ac:dyDescent="0.2">
      <c r="B24" s="135">
        <v>7</v>
      </c>
      <c r="C24" s="135"/>
      <c r="D24" s="44">
        <v>17</v>
      </c>
      <c r="E24" s="72" t="s">
        <v>616</v>
      </c>
      <c r="F24" s="44" t="s">
        <v>6</v>
      </c>
      <c r="G24" s="44" t="s">
        <v>617</v>
      </c>
      <c r="H24" s="44" t="s">
        <v>1</v>
      </c>
      <c r="I24" s="44" t="s">
        <v>2</v>
      </c>
      <c r="J24" s="72"/>
      <c r="K24" s="73">
        <v>22281</v>
      </c>
      <c r="L24" s="30">
        <f t="shared" si="2"/>
        <v>1960</v>
      </c>
      <c r="M24" s="30">
        <f t="shared" si="0"/>
        <v>59</v>
      </c>
      <c r="N24" s="44" t="s">
        <v>3</v>
      </c>
      <c r="O24" s="44"/>
      <c r="P24" s="72" t="s">
        <v>15</v>
      </c>
      <c r="Q24" s="44"/>
      <c r="R24" s="72" t="s">
        <v>34</v>
      </c>
    </row>
    <row r="25" spans="2:18" x14ac:dyDescent="0.2">
      <c r="B25" s="135"/>
      <c r="C25" s="135"/>
      <c r="D25" s="44">
        <v>18</v>
      </c>
      <c r="E25" s="72" t="s">
        <v>618</v>
      </c>
      <c r="F25" s="44" t="s">
        <v>11</v>
      </c>
      <c r="G25" s="44" t="s">
        <v>619</v>
      </c>
      <c r="H25" s="44" t="s">
        <v>9</v>
      </c>
      <c r="I25" s="44" t="s">
        <v>2</v>
      </c>
      <c r="J25" s="72"/>
      <c r="K25" s="73">
        <v>24472</v>
      </c>
      <c r="L25" s="30">
        <f t="shared" si="2"/>
        <v>1966</v>
      </c>
      <c r="M25" s="30">
        <f t="shared" si="0"/>
        <v>53</v>
      </c>
      <c r="N25" s="44" t="s">
        <v>3</v>
      </c>
      <c r="O25" s="44"/>
      <c r="P25" s="72" t="s">
        <v>15</v>
      </c>
      <c r="Q25" s="44"/>
      <c r="R25" s="72" t="s">
        <v>34</v>
      </c>
    </row>
    <row r="26" spans="2:18" x14ac:dyDescent="0.2">
      <c r="B26" s="135"/>
      <c r="C26" s="135"/>
      <c r="D26" s="44">
        <v>19</v>
      </c>
      <c r="E26" s="72" t="s">
        <v>620</v>
      </c>
      <c r="F26" s="44" t="s">
        <v>16</v>
      </c>
      <c r="G26" s="44" t="s">
        <v>621</v>
      </c>
      <c r="H26" s="44" t="s">
        <v>9</v>
      </c>
      <c r="I26" s="44" t="s">
        <v>13</v>
      </c>
      <c r="J26" s="72"/>
      <c r="K26" s="73">
        <v>36525</v>
      </c>
      <c r="L26" s="30">
        <f t="shared" si="2"/>
        <v>1999</v>
      </c>
      <c r="M26" s="30">
        <f t="shared" si="0"/>
        <v>20</v>
      </c>
      <c r="N26" s="44" t="s">
        <v>3</v>
      </c>
      <c r="O26" s="44"/>
      <c r="P26" s="72" t="s">
        <v>4</v>
      </c>
      <c r="Q26" s="44"/>
      <c r="R26" s="72" t="s">
        <v>15</v>
      </c>
    </row>
    <row r="27" spans="2:18" x14ac:dyDescent="0.2">
      <c r="B27" s="135"/>
      <c r="C27" s="135"/>
      <c r="D27" s="44">
        <v>20</v>
      </c>
      <c r="E27" s="72" t="s">
        <v>622</v>
      </c>
      <c r="F27" s="44" t="s">
        <v>16</v>
      </c>
      <c r="G27" s="44" t="s">
        <v>623</v>
      </c>
      <c r="H27" s="44" t="s">
        <v>9</v>
      </c>
      <c r="I27" s="44" t="s">
        <v>13</v>
      </c>
      <c r="J27" s="72"/>
      <c r="K27" s="73">
        <v>36876</v>
      </c>
      <c r="L27" s="30">
        <f t="shared" si="2"/>
        <v>2000</v>
      </c>
      <c r="M27" s="30">
        <f t="shared" si="0"/>
        <v>19</v>
      </c>
      <c r="N27" s="44" t="s">
        <v>3</v>
      </c>
      <c r="O27" s="44"/>
      <c r="P27" s="72" t="s">
        <v>4</v>
      </c>
      <c r="Q27" s="44"/>
      <c r="R27" s="72" t="s">
        <v>15</v>
      </c>
    </row>
    <row r="28" spans="2:18" s="32" customFormat="1" ht="25.5" x14ac:dyDescent="0.2">
      <c r="B28" s="135">
        <v>8</v>
      </c>
      <c r="C28" s="119" t="s">
        <v>1600</v>
      </c>
      <c r="D28" s="44">
        <v>21</v>
      </c>
      <c r="E28" s="72" t="s">
        <v>541</v>
      </c>
      <c r="F28" s="44" t="s">
        <v>6</v>
      </c>
      <c r="G28" s="44" t="s">
        <v>624</v>
      </c>
      <c r="H28" s="44" t="s">
        <v>1</v>
      </c>
      <c r="I28" s="44" t="s">
        <v>2</v>
      </c>
      <c r="J28" s="72" t="s">
        <v>1228</v>
      </c>
      <c r="K28" s="73">
        <v>30681</v>
      </c>
      <c r="L28" s="30">
        <v>1983</v>
      </c>
      <c r="M28" s="30">
        <f t="shared" si="0"/>
        <v>36</v>
      </c>
      <c r="N28" s="44" t="s">
        <v>3</v>
      </c>
      <c r="O28" s="44" t="s">
        <v>1229</v>
      </c>
      <c r="P28" s="74" t="s">
        <v>1233</v>
      </c>
      <c r="Q28" s="44"/>
      <c r="R28" s="72" t="s">
        <v>5</v>
      </c>
    </row>
    <row r="29" spans="2:18" s="32" customFormat="1" ht="25.5" x14ac:dyDescent="0.2">
      <c r="B29" s="135"/>
      <c r="C29" s="119"/>
      <c r="D29" s="44">
        <v>22</v>
      </c>
      <c r="E29" s="72" t="s">
        <v>625</v>
      </c>
      <c r="F29" s="44" t="s">
        <v>11</v>
      </c>
      <c r="G29" s="44" t="s">
        <v>1602</v>
      </c>
      <c r="H29" s="44" t="s">
        <v>9</v>
      </c>
      <c r="I29" s="44" t="s">
        <v>2</v>
      </c>
      <c r="J29" s="72" t="s">
        <v>1459</v>
      </c>
      <c r="K29" s="73">
        <v>30712</v>
      </c>
      <c r="L29" s="30">
        <v>1984</v>
      </c>
      <c r="M29" s="30">
        <f t="shared" si="0"/>
        <v>35</v>
      </c>
      <c r="N29" s="44" t="s">
        <v>3</v>
      </c>
      <c r="O29" s="44" t="s">
        <v>1229</v>
      </c>
      <c r="P29" s="74" t="s">
        <v>1246</v>
      </c>
      <c r="Q29" s="44"/>
      <c r="R29" s="72" t="s">
        <v>1360</v>
      </c>
    </row>
    <row r="30" spans="2:18" s="32" customFormat="1" ht="25.5" x14ac:dyDescent="0.2">
      <c r="B30" s="135"/>
      <c r="C30" s="119"/>
      <c r="D30" s="44">
        <v>23</v>
      </c>
      <c r="E30" s="72" t="s">
        <v>1601</v>
      </c>
      <c r="F30" s="44" t="s">
        <v>16</v>
      </c>
      <c r="G30" s="44" t="s">
        <v>1603</v>
      </c>
      <c r="H30" s="44" t="s">
        <v>9</v>
      </c>
      <c r="I30" s="44" t="s">
        <v>13</v>
      </c>
      <c r="J30" s="72" t="s">
        <v>1466</v>
      </c>
      <c r="K30" s="73">
        <v>42213</v>
      </c>
      <c r="L30" s="30">
        <v>2015</v>
      </c>
      <c r="M30" s="30">
        <f t="shared" si="0"/>
        <v>4</v>
      </c>
      <c r="N30" s="44" t="s">
        <v>3</v>
      </c>
      <c r="O30" s="44" t="s">
        <v>1229</v>
      </c>
      <c r="P30" s="74" t="s">
        <v>1320</v>
      </c>
      <c r="Q30" s="44"/>
      <c r="R30" s="72" t="s">
        <v>1332</v>
      </c>
    </row>
    <row r="31" spans="2:18" ht="25.5" x14ac:dyDescent="0.2">
      <c r="B31" s="135">
        <v>9</v>
      </c>
      <c r="C31" s="119" t="s">
        <v>1721</v>
      </c>
      <c r="D31" s="44">
        <v>24</v>
      </c>
      <c r="E31" s="72" t="s">
        <v>1722</v>
      </c>
      <c r="F31" s="44" t="s">
        <v>6</v>
      </c>
      <c r="G31" s="44" t="s">
        <v>1723</v>
      </c>
      <c r="H31" s="44" t="s">
        <v>1</v>
      </c>
      <c r="I31" s="44" t="s">
        <v>2</v>
      </c>
      <c r="J31" s="72" t="s">
        <v>1228</v>
      </c>
      <c r="K31" s="73">
        <v>27822</v>
      </c>
      <c r="L31" s="30">
        <v>1976</v>
      </c>
      <c r="M31" s="30">
        <f t="shared" si="0"/>
        <v>43</v>
      </c>
      <c r="N31" s="44" t="s">
        <v>3</v>
      </c>
      <c r="O31" s="44" t="s">
        <v>1229</v>
      </c>
      <c r="P31" s="72" t="s">
        <v>1233</v>
      </c>
      <c r="Q31" s="44"/>
      <c r="R31" s="72" t="s">
        <v>1330</v>
      </c>
    </row>
    <row r="32" spans="2:18" ht="25.5" x14ac:dyDescent="0.2">
      <c r="B32" s="135"/>
      <c r="C32" s="119"/>
      <c r="D32" s="44">
        <v>25</v>
      </c>
      <c r="E32" s="72" t="s">
        <v>626</v>
      </c>
      <c r="F32" s="44" t="s">
        <v>11</v>
      </c>
      <c r="G32" s="44" t="s">
        <v>1724</v>
      </c>
      <c r="H32" s="44" t="s">
        <v>9</v>
      </c>
      <c r="I32" s="44" t="s">
        <v>2</v>
      </c>
      <c r="J32" s="72" t="s">
        <v>1228</v>
      </c>
      <c r="K32" s="73">
        <v>29586</v>
      </c>
      <c r="L32" s="30">
        <v>1980</v>
      </c>
      <c r="M32" s="30">
        <f t="shared" si="0"/>
        <v>39</v>
      </c>
      <c r="N32" s="44" t="s">
        <v>3</v>
      </c>
      <c r="O32" s="44" t="s">
        <v>1229</v>
      </c>
      <c r="P32" s="72" t="s">
        <v>1233</v>
      </c>
      <c r="Q32" s="44"/>
      <c r="R32" s="72" t="s">
        <v>1330</v>
      </c>
    </row>
    <row r="33" spans="2:18" ht="25.5" x14ac:dyDescent="0.2">
      <c r="B33" s="135"/>
      <c r="C33" s="119"/>
      <c r="D33" s="44">
        <v>26</v>
      </c>
      <c r="E33" s="72" t="s">
        <v>627</v>
      </c>
      <c r="F33" s="44" t="s">
        <v>16</v>
      </c>
      <c r="G33" s="44" t="s">
        <v>1725</v>
      </c>
      <c r="H33" s="44" t="s">
        <v>9</v>
      </c>
      <c r="I33" s="44" t="s">
        <v>13</v>
      </c>
      <c r="J33" s="72" t="s">
        <v>1228</v>
      </c>
      <c r="K33" s="73">
        <v>39630</v>
      </c>
      <c r="L33" s="30">
        <v>2008</v>
      </c>
      <c r="M33" s="30">
        <f t="shared" si="0"/>
        <v>11</v>
      </c>
      <c r="N33" s="44" t="s">
        <v>3</v>
      </c>
      <c r="O33" s="44" t="s">
        <v>1229</v>
      </c>
      <c r="P33" s="72" t="s">
        <v>1320</v>
      </c>
      <c r="Q33" s="44"/>
      <c r="R33" s="72" t="s">
        <v>1332</v>
      </c>
    </row>
    <row r="34" spans="2:18" ht="25.5" x14ac:dyDescent="0.2">
      <c r="B34" s="135">
        <v>10</v>
      </c>
      <c r="C34" s="135"/>
      <c r="D34" s="44">
        <v>27</v>
      </c>
      <c r="E34" s="72" t="s">
        <v>628</v>
      </c>
      <c r="F34" s="44" t="s">
        <v>6</v>
      </c>
      <c r="G34" s="44" t="s">
        <v>629</v>
      </c>
      <c r="H34" s="44" t="s">
        <v>1</v>
      </c>
      <c r="I34" s="44" t="s">
        <v>2</v>
      </c>
      <c r="J34" s="72"/>
      <c r="K34" s="73">
        <v>21950</v>
      </c>
      <c r="L34" s="30">
        <f t="shared" ref="L34:L36" si="3">YEAR(K34)</f>
        <v>1960</v>
      </c>
      <c r="M34" s="30">
        <f t="shared" si="0"/>
        <v>59</v>
      </c>
      <c r="N34" s="44" t="s">
        <v>3</v>
      </c>
      <c r="O34" s="44"/>
      <c r="P34" s="72" t="s">
        <v>4</v>
      </c>
      <c r="Q34" s="44"/>
      <c r="R34" s="72" t="s">
        <v>45</v>
      </c>
    </row>
    <row r="35" spans="2:18" x14ac:dyDescent="0.2">
      <c r="B35" s="135"/>
      <c r="C35" s="135"/>
      <c r="D35" s="44">
        <v>28</v>
      </c>
      <c r="E35" s="72" t="s">
        <v>630</v>
      </c>
      <c r="F35" s="44" t="s">
        <v>11</v>
      </c>
      <c r="G35" s="44" t="s">
        <v>631</v>
      </c>
      <c r="H35" s="44" t="s">
        <v>9</v>
      </c>
      <c r="I35" s="44" t="s">
        <v>2</v>
      </c>
      <c r="J35" s="72"/>
      <c r="K35" s="73">
        <v>24757</v>
      </c>
      <c r="L35" s="30">
        <f t="shared" si="3"/>
        <v>1967</v>
      </c>
      <c r="M35" s="30">
        <f t="shared" si="0"/>
        <v>52</v>
      </c>
      <c r="N35" s="44" t="s">
        <v>3</v>
      </c>
      <c r="O35" s="44"/>
      <c r="P35" s="72" t="s">
        <v>4</v>
      </c>
      <c r="Q35" s="44"/>
      <c r="R35" s="72" t="s">
        <v>45</v>
      </c>
    </row>
    <row r="36" spans="2:18" ht="25.5" x14ac:dyDescent="0.2">
      <c r="B36" s="135"/>
      <c r="C36" s="135"/>
      <c r="D36" s="44">
        <v>29</v>
      </c>
      <c r="E36" s="72" t="s">
        <v>632</v>
      </c>
      <c r="F36" s="44" t="s">
        <v>16</v>
      </c>
      <c r="G36" s="44" t="s">
        <v>633</v>
      </c>
      <c r="H36" s="44" t="s">
        <v>1</v>
      </c>
      <c r="I36" s="44" t="s">
        <v>13</v>
      </c>
      <c r="J36" s="72"/>
      <c r="K36" s="73">
        <v>37720</v>
      </c>
      <c r="L36" s="30">
        <f t="shared" si="3"/>
        <v>2003</v>
      </c>
      <c r="M36" s="30">
        <f t="shared" si="0"/>
        <v>16</v>
      </c>
      <c r="N36" s="44" t="s">
        <v>3</v>
      </c>
      <c r="O36" s="44"/>
      <c r="P36" s="72" t="s">
        <v>15</v>
      </c>
      <c r="Q36" s="44"/>
      <c r="R36" s="72" t="s">
        <v>15</v>
      </c>
    </row>
    <row r="37" spans="2:18" ht="25.5" x14ac:dyDescent="0.2">
      <c r="B37" s="135">
        <v>11</v>
      </c>
      <c r="C37" s="119" t="s">
        <v>1755</v>
      </c>
      <c r="D37" s="44">
        <v>30</v>
      </c>
      <c r="E37" s="72" t="s">
        <v>1756</v>
      </c>
      <c r="F37" s="44" t="s">
        <v>6</v>
      </c>
      <c r="G37" s="44" t="s">
        <v>634</v>
      </c>
      <c r="H37" s="44" t="s">
        <v>1</v>
      </c>
      <c r="I37" s="44" t="s">
        <v>2</v>
      </c>
      <c r="J37" s="72" t="s">
        <v>1228</v>
      </c>
      <c r="K37" s="73">
        <v>31243</v>
      </c>
      <c r="L37" s="30">
        <v>1985</v>
      </c>
      <c r="M37" s="30">
        <f t="shared" si="0"/>
        <v>34</v>
      </c>
      <c r="N37" s="44" t="s">
        <v>3</v>
      </c>
      <c r="O37" s="44" t="s">
        <v>1229</v>
      </c>
      <c r="P37" s="72" t="s">
        <v>1246</v>
      </c>
      <c r="Q37" s="44"/>
      <c r="R37" s="72" t="s">
        <v>1330</v>
      </c>
    </row>
    <row r="38" spans="2:18" ht="25.5" x14ac:dyDescent="0.2">
      <c r="B38" s="135"/>
      <c r="C38" s="119"/>
      <c r="D38" s="44">
        <v>31</v>
      </c>
      <c r="E38" s="72" t="s">
        <v>254</v>
      </c>
      <c r="F38" s="44" t="s">
        <v>11</v>
      </c>
      <c r="G38" s="44" t="s">
        <v>635</v>
      </c>
      <c r="H38" s="44" t="s">
        <v>9</v>
      </c>
      <c r="I38" s="44" t="s">
        <v>2</v>
      </c>
      <c r="J38" s="72" t="s">
        <v>1228</v>
      </c>
      <c r="K38" s="73">
        <v>30498</v>
      </c>
      <c r="L38" s="30">
        <v>1983</v>
      </c>
      <c r="M38" s="30">
        <f t="shared" si="0"/>
        <v>36</v>
      </c>
      <c r="N38" s="44" t="s">
        <v>3</v>
      </c>
      <c r="O38" s="44" t="s">
        <v>1229</v>
      </c>
      <c r="P38" s="72" t="s">
        <v>1246</v>
      </c>
      <c r="Q38" s="44"/>
      <c r="R38" s="72" t="s">
        <v>1330</v>
      </c>
    </row>
    <row r="39" spans="2:18" ht="25.5" x14ac:dyDescent="0.2">
      <c r="B39" s="135"/>
      <c r="C39" s="119"/>
      <c r="D39" s="44">
        <v>32</v>
      </c>
      <c r="E39" s="72" t="s">
        <v>1757</v>
      </c>
      <c r="F39" s="44" t="s">
        <v>16</v>
      </c>
      <c r="G39" s="44" t="s">
        <v>636</v>
      </c>
      <c r="H39" s="44" t="s">
        <v>1</v>
      </c>
      <c r="I39" s="44" t="s">
        <v>13</v>
      </c>
      <c r="J39" s="72" t="s">
        <v>1466</v>
      </c>
      <c r="K39" s="73">
        <v>41774</v>
      </c>
      <c r="L39" s="30">
        <v>2014</v>
      </c>
      <c r="M39" s="30">
        <f t="shared" si="0"/>
        <v>5</v>
      </c>
      <c r="N39" s="44" t="s">
        <v>3</v>
      </c>
      <c r="O39" s="44" t="s">
        <v>1229</v>
      </c>
      <c r="P39" s="72" t="s">
        <v>1320</v>
      </c>
      <c r="Q39" s="44"/>
      <c r="R39" s="72" t="s">
        <v>1332</v>
      </c>
    </row>
    <row r="40" spans="2:18" x14ac:dyDescent="0.2">
      <c r="B40" s="135">
        <v>12</v>
      </c>
      <c r="C40" s="119" t="s">
        <v>1611</v>
      </c>
      <c r="D40" s="44">
        <v>33</v>
      </c>
      <c r="E40" s="72" t="s">
        <v>96</v>
      </c>
      <c r="F40" s="44" t="s">
        <v>6</v>
      </c>
      <c r="G40" s="44" t="s">
        <v>637</v>
      </c>
      <c r="H40" s="44" t="s">
        <v>1</v>
      </c>
      <c r="I40" s="44" t="s">
        <v>2</v>
      </c>
      <c r="J40" s="72" t="s">
        <v>1228</v>
      </c>
      <c r="K40" s="73">
        <v>32140</v>
      </c>
      <c r="L40" s="30">
        <v>1987</v>
      </c>
      <c r="M40" s="30">
        <f t="shared" ref="M40:M69" si="4">2019-L40</f>
        <v>32</v>
      </c>
      <c r="N40" s="44" t="s">
        <v>3</v>
      </c>
      <c r="O40" s="44"/>
      <c r="P40" s="72" t="s">
        <v>1246</v>
      </c>
      <c r="Q40" s="44"/>
      <c r="R40" s="72" t="s">
        <v>5</v>
      </c>
    </row>
    <row r="41" spans="2:18" ht="25.5" x14ac:dyDescent="0.2">
      <c r="B41" s="135"/>
      <c r="C41" s="119"/>
      <c r="D41" s="44">
        <v>34</v>
      </c>
      <c r="E41" s="72" t="s">
        <v>422</v>
      </c>
      <c r="F41" s="44" t="s">
        <v>11</v>
      </c>
      <c r="G41" s="44" t="s">
        <v>638</v>
      </c>
      <c r="H41" s="44" t="s">
        <v>9</v>
      </c>
      <c r="I41" s="44" t="s">
        <v>2</v>
      </c>
      <c r="J41" s="72" t="s">
        <v>1615</v>
      </c>
      <c r="K41" s="73">
        <v>33851</v>
      </c>
      <c r="L41" s="30">
        <v>1992</v>
      </c>
      <c r="M41" s="30">
        <f t="shared" si="4"/>
        <v>27</v>
      </c>
      <c r="N41" s="44" t="s">
        <v>3</v>
      </c>
      <c r="O41" s="44"/>
      <c r="P41" s="72" t="s">
        <v>1246</v>
      </c>
      <c r="Q41" s="44"/>
      <c r="R41" s="72" t="s">
        <v>1360</v>
      </c>
    </row>
    <row r="42" spans="2:18" ht="25.5" x14ac:dyDescent="0.2">
      <c r="B42" s="135"/>
      <c r="C42" s="119"/>
      <c r="D42" s="44">
        <v>35</v>
      </c>
      <c r="E42" s="72" t="s">
        <v>1612</v>
      </c>
      <c r="F42" s="44" t="s">
        <v>16</v>
      </c>
      <c r="G42" s="44" t="s">
        <v>639</v>
      </c>
      <c r="H42" s="44" t="s">
        <v>9</v>
      </c>
      <c r="I42" s="44" t="s">
        <v>13</v>
      </c>
      <c r="J42" s="72" t="s">
        <v>1466</v>
      </c>
      <c r="K42" s="73">
        <v>41039</v>
      </c>
      <c r="L42" s="30">
        <v>2012</v>
      </c>
      <c r="M42" s="30">
        <f t="shared" si="4"/>
        <v>7</v>
      </c>
      <c r="N42" s="44" t="s">
        <v>3</v>
      </c>
      <c r="O42" s="44"/>
      <c r="P42" s="72" t="s">
        <v>1320</v>
      </c>
      <c r="Q42" s="44"/>
      <c r="R42" s="72" t="s">
        <v>1332</v>
      </c>
    </row>
    <row r="43" spans="2:18" ht="25.5" x14ac:dyDescent="0.2">
      <c r="B43" s="135"/>
      <c r="C43" s="119"/>
      <c r="D43" s="44">
        <v>36</v>
      </c>
      <c r="E43" s="72" t="s">
        <v>1613</v>
      </c>
      <c r="F43" s="44" t="s">
        <v>16</v>
      </c>
      <c r="G43" s="44" t="s">
        <v>1614</v>
      </c>
      <c r="H43" s="44" t="s">
        <v>9</v>
      </c>
      <c r="I43" s="44" t="s">
        <v>13</v>
      </c>
      <c r="J43" s="72" t="s">
        <v>1466</v>
      </c>
      <c r="K43" s="73">
        <v>43392</v>
      </c>
      <c r="L43" s="30">
        <v>2018</v>
      </c>
      <c r="M43" s="30">
        <f t="shared" si="4"/>
        <v>1</v>
      </c>
      <c r="N43" s="44" t="s">
        <v>3</v>
      </c>
      <c r="O43" s="44"/>
      <c r="P43" s="72" t="s">
        <v>1320</v>
      </c>
      <c r="Q43" s="44"/>
      <c r="R43" s="72" t="s">
        <v>1332</v>
      </c>
    </row>
    <row r="44" spans="2:18" x14ac:dyDescent="0.2">
      <c r="B44" s="139">
        <v>13</v>
      </c>
      <c r="C44" s="139"/>
      <c r="D44" s="44">
        <v>37</v>
      </c>
      <c r="E44" s="72" t="s">
        <v>411</v>
      </c>
      <c r="F44" s="44" t="s">
        <v>6</v>
      </c>
      <c r="G44" s="44" t="s">
        <v>640</v>
      </c>
      <c r="H44" s="44" t="s">
        <v>1</v>
      </c>
      <c r="I44" s="44" t="s">
        <v>2</v>
      </c>
      <c r="J44" s="72"/>
      <c r="K44" s="73">
        <v>25933</v>
      </c>
      <c r="L44" s="30">
        <f t="shared" ref="L44:L64" si="5">YEAR(K44)</f>
        <v>1970</v>
      </c>
      <c r="M44" s="30">
        <f t="shared" si="4"/>
        <v>49</v>
      </c>
      <c r="N44" s="44" t="s">
        <v>3</v>
      </c>
      <c r="O44" s="44"/>
      <c r="P44" s="72" t="s">
        <v>4</v>
      </c>
      <c r="Q44" s="44"/>
      <c r="R44" s="72" t="s">
        <v>34</v>
      </c>
    </row>
    <row r="45" spans="2:18" x14ac:dyDescent="0.2">
      <c r="B45" s="140"/>
      <c r="C45" s="140"/>
      <c r="D45" s="44">
        <v>38</v>
      </c>
      <c r="E45" s="72" t="s">
        <v>184</v>
      </c>
      <c r="F45" s="44" t="s">
        <v>11</v>
      </c>
      <c r="G45" s="44" t="s">
        <v>641</v>
      </c>
      <c r="H45" s="44" t="s">
        <v>9</v>
      </c>
      <c r="I45" s="44" t="s">
        <v>2</v>
      </c>
      <c r="J45" s="72"/>
      <c r="K45" s="73">
        <v>26664</v>
      </c>
      <c r="L45" s="30">
        <f t="shared" si="5"/>
        <v>1972</v>
      </c>
      <c r="M45" s="30">
        <f t="shared" si="4"/>
        <v>47</v>
      </c>
      <c r="N45" s="44" t="s">
        <v>3</v>
      </c>
      <c r="O45" s="44"/>
      <c r="P45" s="72" t="s">
        <v>4</v>
      </c>
      <c r="Q45" s="44"/>
      <c r="R45" s="72" t="s">
        <v>34</v>
      </c>
    </row>
    <row r="46" spans="2:18" x14ac:dyDescent="0.2">
      <c r="B46" s="141"/>
      <c r="C46" s="141"/>
      <c r="D46" s="44">
        <v>39</v>
      </c>
      <c r="E46" s="72" t="s">
        <v>642</v>
      </c>
      <c r="F46" s="44" t="s">
        <v>16</v>
      </c>
      <c r="G46" s="44" t="s">
        <v>643</v>
      </c>
      <c r="H46" s="44" t="s">
        <v>1</v>
      </c>
      <c r="I46" s="44" t="s">
        <v>13</v>
      </c>
      <c r="J46" s="72"/>
      <c r="K46" s="73">
        <v>34724</v>
      </c>
      <c r="L46" s="30">
        <f t="shared" si="5"/>
        <v>1995</v>
      </c>
      <c r="M46" s="30">
        <f t="shared" si="4"/>
        <v>24</v>
      </c>
      <c r="N46" s="44" t="s">
        <v>3</v>
      </c>
      <c r="O46" s="44"/>
      <c r="P46" s="72" t="s">
        <v>28</v>
      </c>
      <c r="Q46" s="44"/>
      <c r="R46" s="72" t="s">
        <v>15</v>
      </c>
    </row>
    <row r="47" spans="2:18" ht="25.5" x14ac:dyDescent="0.2">
      <c r="B47" s="135">
        <v>14</v>
      </c>
      <c r="C47" s="135"/>
      <c r="D47" s="44">
        <v>40</v>
      </c>
      <c r="E47" s="72" t="s">
        <v>644</v>
      </c>
      <c r="F47" s="44" t="s">
        <v>6</v>
      </c>
      <c r="G47" s="44" t="s">
        <v>645</v>
      </c>
      <c r="H47" s="44" t="s">
        <v>1</v>
      </c>
      <c r="I47" s="44" t="s">
        <v>2</v>
      </c>
      <c r="J47" s="72"/>
      <c r="K47" s="73">
        <v>33444</v>
      </c>
      <c r="L47" s="30">
        <f t="shared" si="5"/>
        <v>1991</v>
      </c>
      <c r="M47" s="30">
        <f t="shared" si="4"/>
        <v>28</v>
      </c>
      <c r="N47" s="44" t="s">
        <v>3</v>
      </c>
      <c r="O47" s="44"/>
      <c r="P47" s="72" t="s">
        <v>14</v>
      </c>
      <c r="Q47" s="44"/>
      <c r="R47" s="72" t="s">
        <v>34</v>
      </c>
    </row>
    <row r="48" spans="2:18" x14ac:dyDescent="0.2">
      <c r="B48" s="135"/>
      <c r="C48" s="135"/>
      <c r="D48" s="44">
        <v>41</v>
      </c>
      <c r="E48" s="72" t="s">
        <v>646</v>
      </c>
      <c r="F48" s="44" t="s">
        <v>11</v>
      </c>
      <c r="G48" s="44" t="s">
        <v>647</v>
      </c>
      <c r="H48" s="44" t="s">
        <v>9</v>
      </c>
      <c r="I48" s="44" t="s">
        <v>2</v>
      </c>
      <c r="J48" s="72"/>
      <c r="K48" s="73">
        <v>33055</v>
      </c>
      <c r="L48" s="30">
        <f t="shared" si="5"/>
        <v>1990</v>
      </c>
      <c r="M48" s="30">
        <f t="shared" si="4"/>
        <v>29</v>
      </c>
      <c r="N48" s="44" t="s">
        <v>3</v>
      </c>
      <c r="O48" s="44"/>
      <c r="P48" s="72" t="s">
        <v>14</v>
      </c>
      <c r="Q48" s="44"/>
      <c r="R48" s="72" t="s">
        <v>34</v>
      </c>
    </row>
    <row r="49" spans="2:18" x14ac:dyDescent="0.2">
      <c r="B49" s="135">
        <v>15</v>
      </c>
      <c r="C49" s="135"/>
      <c r="D49" s="44">
        <v>42</v>
      </c>
      <c r="E49" s="72" t="s">
        <v>648</v>
      </c>
      <c r="F49" s="44" t="s">
        <v>6</v>
      </c>
      <c r="G49" s="44" t="s">
        <v>649</v>
      </c>
      <c r="H49" s="44" t="s">
        <v>1</v>
      </c>
      <c r="I49" s="44" t="s">
        <v>2</v>
      </c>
      <c r="J49" s="72"/>
      <c r="K49" s="73">
        <v>26784</v>
      </c>
      <c r="L49" s="30">
        <f t="shared" si="5"/>
        <v>1973</v>
      </c>
      <c r="M49" s="30">
        <f t="shared" si="4"/>
        <v>46</v>
      </c>
      <c r="N49" s="44" t="s">
        <v>3</v>
      </c>
      <c r="O49" s="44"/>
      <c r="P49" s="72" t="s">
        <v>15</v>
      </c>
      <c r="Q49" s="44"/>
      <c r="R49" s="72" t="s">
        <v>5</v>
      </c>
    </row>
    <row r="50" spans="2:18" x14ac:dyDescent="0.2">
      <c r="B50" s="135"/>
      <c r="C50" s="135"/>
      <c r="D50" s="44">
        <v>43</v>
      </c>
      <c r="E50" s="72" t="s">
        <v>650</v>
      </c>
      <c r="F50" s="44" t="s">
        <v>11</v>
      </c>
      <c r="G50" s="44" t="s">
        <v>651</v>
      </c>
      <c r="H50" s="44" t="s">
        <v>9</v>
      </c>
      <c r="I50" s="44" t="s">
        <v>2</v>
      </c>
      <c r="J50" s="72"/>
      <c r="K50" s="73">
        <v>29297</v>
      </c>
      <c r="L50" s="30">
        <f t="shared" si="5"/>
        <v>1980</v>
      </c>
      <c r="M50" s="30">
        <f t="shared" si="4"/>
        <v>39</v>
      </c>
      <c r="N50" s="44" t="s">
        <v>3</v>
      </c>
      <c r="O50" s="44"/>
      <c r="P50" s="72" t="s">
        <v>14</v>
      </c>
      <c r="Q50" s="44"/>
      <c r="R50" s="72" t="s">
        <v>5</v>
      </c>
    </row>
    <row r="51" spans="2:18" ht="25.5" x14ac:dyDescent="0.2">
      <c r="B51" s="135"/>
      <c r="C51" s="135"/>
      <c r="D51" s="44">
        <v>44</v>
      </c>
      <c r="E51" s="72" t="s">
        <v>652</v>
      </c>
      <c r="F51" s="44" t="s">
        <v>16</v>
      </c>
      <c r="G51" s="44" t="s">
        <v>653</v>
      </c>
      <c r="H51" s="44" t="s">
        <v>9</v>
      </c>
      <c r="I51" s="44" t="s">
        <v>13</v>
      </c>
      <c r="J51" s="72"/>
      <c r="K51" s="73">
        <v>40964</v>
      </c>
      <c r="L51" s="30">
        <f t="shared" si="5"/>
        <v>2012</v>
      </c>
      <c r="M51" s="30">
        <f t="shared" si="4"/>
        <v>7</v>
      </c>
      <c r="N51" s="44" t="s">
        <v>3</v>
      </c>
      <c r="O51" s="44"/>
      <c r="P51" s="72" t="s">
        <v>4</v>
      </c>
      <c r="Q51" s="44"/>
      <c r="R51" s="72" t="s">
        <v>15</v>
      </c>
    </row>
    <row r="52" spans="2:18" ht="25.5" x14ac:dyDescent="0.2">
      <c r="B52" s="135"/>
      <c r="C52" s="135"/>
      <c r="D52" s="44">
        <v>45</v>
      </c>
      <c r="E52" s="72" t="s">
        <v>654</v>
      </c>
      <c r="F52" s="44" t="s">
        <v>16</v>
      </c>
      <c r="G52" s="44" t="s">
        <v>655</v>
      </c>
      <c r="H52" s="44" t="s">
        <v>1</v>
      </c>
      <c r="I52" s="44" t="s">
        <v>13</v>
      </c>
      <c r="J52" s="72"/>
      <c r="K52" s="73">
        <v>37552</v>
      </c>
      <c r="L52" s="30">
        <f t="shared" si="5"/>
        <v>2002</v>
      </c>
      <c r="M52" s="30">
        <f t="shared" si="4"/>
        <v>17</v>
      </c>
      <c r="N52" s="44" t="s">
        <v>3</v>
      </c>
      <c r="O52" s="44"/>
      <c r="P52" s="72" t="s">
        <v>15</v>
      </c>
      <c r="Q52" s="44"/>
      <c r="R52" s="72" t="s">
        <v>15</v>
      </c>
    </row>
    <row r="53" spans="2:18" x14ac:dyDescent="0.2">
      <c r="B53" s="135">
        <v>16</v>
      </c>
      <c r="C53" s="135"/>
      <c r="D53" s="44">
        <v>46</v>
      </c>
      <c r="E53" s="72" t="s">
        <v>656</v>
      </c>
      <c r="F53" s="44" t="s">
        <v>6</v>
      </c>
      <c r="G53" s="44" t="s">
        <v>657</v>
      </c>
      <c r="H53" s="44" t="s">
        <v>1</v>
      </c>
      <c r="I53" s="44" t="s">
        <v>2</v>
      </c>
      <c r="J53" s="72"/>
      <c r="K53" s="73">
        <v>29220</v>
      </c>
      <c r="L53" s="30">
        <f t="shared" si="5"/>
        <v>1979</v>
      </c>
      <c r="M53" s="30">
        <f t="shared" si="4"/>
        <v>40</v>
      </c>
      <c r="N53" s="44" t="s">
        <v>3</v>
      </c>
      <c r="O53" s="44"/>
      <c r="P53" s="72" t="s">
        <v>4</v>
      </c>
      <c r="Q53" s="44"/>
      <c r="R53" s="72" t="s">
        <v>34</v>
      </c>
    </row>
    <row r="54" spans="2:18" x14ac:dyDescent="0.2">
      <c r="B54" s="135"/>
      <c r="C54" s="135"/>
      <c r="D54" s="44">
        <v>47</v>
      </c>
      <c r="E54" s="72" t="s">
        <v>658</v>
      </c>
      <c r="F54" s="44" t="s">
        <v>11</v>
      </c>
      <c r="G54" s="44" t="s">
        <v>659</v>
      </c>
      <c r="H54" s="44" t="s">
        <v>9</v>
      </c>
      <c r="I54" s="44" t="s">
        <v>2</v>
      </c>
      <c r="J54" s="72"/>
      <c r="K54" s="73">
        <v>31041</v>
      </c>
      <c r="L54" s="30">
        <f t="shared" si="5"/>
        <v>1984</v>
      </c>
      <c r="M54" s="30">
        <f t="shared" si="4"/>
        <v>35</v>
      </c>
      <c r="N54" s="44" t="s">
        <v>3</v>
      </c>
      <c r="O54" s="44"/>
      <c r="P54" s="72" t="s">
        <v>15</v>
      </c>
      <c r="Q54" s="44"/>
      <c r="R54" s="72" t="s">
        <v>34</v>
      </c>
    </row>
    <row r="55" spans="2:18" ht="25.5" x14ac:dyDescent="0.2">
      <c r="B55" s="135"/>
      <c r="C55" s="135"/>
      <c r="D55" s="44">
        <v>48</v>
      </c>
      <c r="E55" s="72" t="s">
        <v>660</v>
      </c>
      <c r="F55" s="44" t="s">
        <v>16</v>
      </c>
      <c r="G55" s="44" t="s">
        <v>661</v>
      </c>
      <c r="H55" s="44" t="s">
        <v>1</v>
      </c>
      <c r="I55" s="44" t="s">
        <v>13</v>
      </c>
      <c r="J55" s="72"/>
      <c r="K55" s="73">
        <v>40229</v>
      </c>
      <c r="L55" s="30">
        <f t="shared" si="5"/>
        <v>2010</v>
      </c>
      <c r="M55" s="30">
        <f t="shared" si="4"/>
        <v>9</v>
      </c>
      <c r="N55" s="44" t="s">
        <v>3</v>
      </c>
      <c r="O55" s="44"/>
      <c r="P55" s="72" t="s">
        <v>15</v>
      </c>
      <c r="Q55" s="44"/>
      <c r="R55" s="72" t="s">
        <v>15</v>
      </c>
    </row>
    <row r="56" spans="2:18" x14ac:dyDescent="0.2">
      <c r="B56" s="139">
        <v>17</v>
      </c>
      <c r="C56" s="139"/>
      <c r="D56" s="44">
        <v>49</v>
      </c>
      <c r="E56" s="72" t="s">
        <v>662</v>
      </c>
      <c r="F56" s="44" t="s">
        <v>6</v>
      </c>
      <c r="G56" s="44" t="s">
        <v>663</v>
      </c>
      <c r="H56" s="44" t="s">
        <v>1</v>
      </c>
      <c r="I56" s="44" t="s">
        <v>2</v>
      </c>
      <c r="J56" s="72"/>
      <c r="K56" s="73">
        <v>27455</v>
      </c>
      <c r="L56" s="30">
        <f t="shared" si="5"/>
        <v>1975</v>
      </c>
      <c r="M56" s="30">
        <f t="shared" si="4"/>
        <v>44</v>
      </c>
      <c r="N56" s="44" t="s">
        <v>3</v>
      </c>
      <c r="O56" s="44"/>
      <c r="P56" s="72" t="s">
        <v>15</v>
      </c>
      <c r="Q56" s="44"/>
      <c r="R56" s="72" t="s">
        <v>5</v>
      </c>
    </row>
    <row r="57" spans="2:18" x14ac:dyDescent="0.2">
      <c r="B57" s="141"/>
      <c r="C57" s="141"/>
      <c r="D57" s="44">
        <v>50</v>
      </c>
      <c r="E57" s="72" t="s">
        <v>664</v>
      </c>
      <c r="F57" s="44" t="s">
        <v>11</v>
      </c>
      <c r="G57" s="44" t="s">
        <v>665</v>
      </c>
      <c r="H57" s="44" t="s">
        <v>9</v>
      </c>
      <c r="I57" s="44" t="s">
        <v>2</v>
      </c>
      <c r="J57" s="72"/>
      <c r="K57" s="73">
        <v>29285</v>
      </c>
      <c r="L57" s="30">
        <f t="shared" si="5"/>
        <v>1980</v>
      </c>
      <c r="M57" s="30">
        <f t="shared" si="4"/>
        <v>39</v>
      </c>
      <c r="N57" s="44" t="s">
        <v>3</v>
      </c>
      <c r="O57" s="44"/>
      <c r="P57" s="72" t="s">
        <v>14</v>
      </c>
      <c r="Q57" s="44"/>
      <c r="R57" s="72" t="s">
        <v>5</v>
      </c>
    </row>
    <row r="58" spans="2:18" x14ac:dyDescent="0.2">
      <c r="B58" s="135">
        <v>18</v>
      </c>
      <c r="C58" s="135"/>
      <c r="D58" s="44">
        <v>51</v>
      </c>
      <c r="E58" s="72" t="s">
        <v>666</v>
      </c>
      <c r="F58" s="44" t="s">
        <v>6</v>
      </c>
      <c r="G58" s="44">
        <v>0</v>
      </c>
      <c r="H58" s="44" t="s">
        <v>9</v>
      </c>
      <c r="I58" s="44" t="s">
        <v>19</v>
      </c>
      <c r="J58" s="72"/>
      <c r="K58" s="73">
        <v>18295</v>
      </c>
      <c r="L58" s="30">
        <f t="shared" si="5"/>
        <v>1950</v>
      </c>
      <c r="M58" s="30">
        <f t="shared" si="4"/>
        <v>69</v>
      </c>
      <c r="N58" s="44" t="s">
        <v>3</v>
      </c>
      <c r="O58" s="44"/>
      <c r="P58" s="72" t="s">
        <v>15</v>
      </c>
      <c r="Q58" s="44"/>
      <c r="R58" s="72" t="s">
        <v>34</v>
      </c>
    </row>
    <row r="59" spans="2:18" x14ac:dyDescent="0.2">
      <c r="B59" s="135"/>
      <c r="C59" s="135"/>
      <c r="D59" s="44">
        <v>52</v>
      </c>
      <c r="E59" s="72" t="s">
        <v>667</v>
      </c>
      <c r="F59" s="44" t="s">
        <v>16</v>
      </c>
      <c r="G59" s="44">
        <v>0</v>
      </c>
      <c r="H59" s="44" t="s">
        <v>1</v>
      </c>
      <c r="I59" s="44" t="s">
        <v>13</v>
      </c>
      <c r="J59" s="72"/>
      <c r="K59" s="73">
        <v>30415</v>
      </c>
      <c r="L59" s="30">
        <f t="shared" si="5"/>
        <v>1983</v>
      </c>
      <c r="M59" s="30">
        <f t="shared" si="4"/>
        <v>36</v>
      </c>
      <c r="N59" s="44" t="s">
        <v>3</v>
      </c>
      <c r="O59" s="44"/>
      <c r="P59" s="72" t="s">
        <v>14</v>
      </c>
      <c r="Q59" s="44"/>
      <c r="R59" s="72" t="s">
        <v>34</v>
      </c>
    </row>
    <row r="60" spans="2:18" x14ac:dyDescent="0.2">
      <c r="B60" s="135"/>
      <c r="C60" s="135"/>
      <c r="D60" s="44">
        <v>53</v>
      </c>
      <c r="E60" s="72" t="s">
        <v>668</v>
      </c>
      <c r="F60" s="44" t="s">
        <v>16</v>
      </c>
      <c r="G60" s="44">
        <v>0</v>
      </c>
      <c r="H60" s="44" t="s">
        <v>1</v>
      </c>
      <c r="I60" s="44" t="s">
        <v>13</v>
      </c>
      <c r="J60" s="72"/>
      <c r="K60" s="73">
        <v>36525</v>
      </c>
      <c r="L60" s="30">
        <f t="shared" si="5"/>
        <v>1999</v>
      </c>
      <c r="M60" s="30">
        <f t="shared" si="4"/>
        <v>20</v>
      </c>
      <c r="N60" s="44" t="s">
        <v>3</v>
      </c>
      <c r="O60" s="44"/>
      <c r="P60" s="72" t="s">
        <v>14</v>
      </c>
      <c r="Q60" s="44"/>
      <c r="R60" s="72" t="s">
        <v>34</v>
      </c>
    </row>
    <row r="61" spans="2:18" x14ac:dyDescent="0.2">
      <c r="B61" s="135"/>
      <c r="C61" s="135"/>
      <c r="D61" s="44">
        <v>54</v>
      </c>
      <c r="E61" s="72" t="s">
        <v>391</v>
      </c>
      <c r="F61" s="44" t="s">
        <v>16</v>
      </c>
      <c r="G61" s="44">
        <v>0</v>
      </c>
      <c r="H61" s="44" t="s">
        <v>9</v>
      </c>
      <c r="I61" s="44" t="s">
        <v>13</v>
      </c>
      <c r="J61" s="72"/>
      <c r="K61" s="73">
        <v>22281</v>
      </c>
      <c r="L61" s="30">
        <f t="shared" si="5"/>
        <v>1960</v>
      </c>
      <c r="M61" s="30">
        <f t="shared" si="4"/>
        <v>59</v>
      </c>
      <c r="N61" s="44" t="s">
        <v>3</v>
      </c>
      <c r="O61" s="44"/>
      <c r="P61" s="72" t="s">
        <v>15</v>
      </c>
      <c r="Q61" s="44"/>
      <c r="R61" s="72" t="s">
        <v>15</v>
      </c>
    </row>
    <row r="62" spans="2:18" x14ac:dyDescent="0.2">
      <c r="B62" s="135">
        <v>19</v>
      </c>
      <c r="C62" s="135"/>
      <c r="D62" s="44">
        <v>55</v>
      </c>
      <c r="E62" s="72" t="s">
        <v>447</v>
      </c>
      <c r="F62" s="44" t="s">
        <v>6</v>
      </c>
      <c r="G62" s="44">
        <v>0</v>
      </c>
      <c r="H62" s="44" t="s">
        <v>1</v>
      </c>
      <c r="I62" s="44" t="s">
        <v>2</v>
      </c>
      <c r="J62" s="72"/>
      <c r="K62" s="73">
        <v>26481</v>
      </c>
      <c r="L62" s="30">
        <f t="shared" si="5"/>
        <v>1972</v>
      </c>
      <c r="M62" s="30">
        <f t="shared" si="4"/>
        <v>47</v>
      </c>
      <c r="N62" s="44" t="s">
        <v>3</v>
      </c>
      <c r="O62" s="44"/>
      <c r="P62" s="72" t="s">
        <v>15</v>
      </c>
      <c r="Q62" s="44"/>
      <c r="R62" s="72" t="s">
        <v>34</v>
      </c>
    </row>
    <row r="63" spans="2:18" x14ac:dyDescent="0.2">
      <c r="B63" s="135"/>
      <c r="C63" s="135"/>
      <c r="D63" s="44">
        <v>56</v>
      </c>
      <c r="E63" s="72" t="s">
        <v>669</v>
      </c>
      <c r="F63" s="44" t="s">
        <v>11</v>
      </c>
      <c r="G63" s="44">
        <v>0</v>
      </c>
      <c r="H63" s="44" t="s">
        <v>9</v>
      </c>
      <c r="I63" s="44" t="s">
        <v>2</v>
      </c>
      <c r="J63" s="72"/>
      <c r="K63" s="73">
        <v>29539</v>
      </c>
      <c r="L63" s="30">
        <f t="shared" si="5"/>
        <v>1980</v>
      </c>
      <c r="M63" s="30">
        <f t="shared" si="4"/>
        <v>39</v>
      </c>
      <c r="N63" s="44" t="s">
        <v>3</v>
      </c>
      <c r="O63" s="44"/>
      <c r="P63" s="72" t="s">
        <v>15</v>
      </c>
      <c r="Q63" s="44"/>
      <c r="R63" s="72" t="s">
        <v>34</v>
      </c>
    </row>
    <row r="64" spans="2:18" x14ac:dyDescent="0.2">
      <c r="B64" s="90">
        <v>20</v>
      </c>
      <c r="C64" s="44"/>
      <c r="D64" s="44">
        <v>57</v>
      </c>
      <c r="E64" s="72" t="s">
        <v>670</v>
      </c>
      <c r="F64" s="44" t="s">
        <v>6</v>
      </c>
      <c r="G64" s="44">
        <v>0</v>
      </c>
      <c r="H64" s="44" t="s">
        <v>9</v>
      </c>
      <c r="I64" s="44" t="s">
        <v>19</v>
      </c>
      <c r="J64" s="72"/>
      <c r="K64" s="73">
        <v>14976</v>
      </c>
      <c r="L64" s="30">
        <f t="shared" si="5"/>
        <v>1940</v>
      </c>
      <c r="M64" s="30">
        <f t="shared" si="4"/>
        <v>79</v>
      </c>
      <c r="N64" s="44" t="s">
        <v>3</v>
      </c>
      <c r="O64" s="44"/>
      <c r="P64" s="72" t="s">
        <v>15</v>
      </c>
      <c r="Q64" s="44"/>
      <c r="R64" s="72" t="s">
        <v>598</v>
      </c>
    </row>
    <row r="65" spans="2:18" ht="25.5" x14ac:dyDescent="0.2">
      <c r="B65" s="135">
        <v>21</v>
      </c>
      <c r="C65" s="119" t="s">
        <v>1706</v>
      </c>
      <c r="D65" s="44">
        <v>58</v>
      </c>
      <c r="E65" s="72" t="s">
        <v>292</v>
      </c>
      <c r="F65" s="44" t="s">
        <v>6</v>
      </c>
      <c r="G65" s="44" t="s">
        <v>671</v>
      </c>
      <c r="H65" s="44" t="s">
        <v>1</v>
      </c>
      <c r="I65" s="44" t="s">
        <v>2</v>
      </c>
      <c r="J65" s="72" t="s">
        <v>1527</v>
      </c>
      <c r="K65" s="73">
        <v>23712</v>
      </c>
      <c r="L65" s="30">
        <v>1964</v>
      </c>
      <c r="M65" s="30">
        <f t="shared" si="4"/>
        <v>55</v>
      </c>
      <c r="N65" s="44" t="s">
        <v>3</v>
      </c>
      <c r="O65" s="44" t="s">
        <v>1229</v>
      </c>
      <c r="P65" s="72" t="s">
        <v>1233</v>
      </c>
      <c r="Q65" s="44"/>
      <c r="R65" s="72" t="s">
        <v>1330</v>
      </c>
    </row>
    <row r="66" spans="2:18" ht="25.5" x14ac:dyDescent="0.2">
      <c r="B66" s="135"/>
      <c r="C66" s="119"/>
      <c r="D66" s="44">
        <v>59</v>
      </c>
      <c r="E66" s="72" t="s">
        <v>182</v>
      </c>
      <c r="F66" s="44" t="s">
        <v>11</v>
      </c>
      <c r="G66" s="44" t="s">
        <v>672</v>
      </c>
      <c r="H66" s="44" t="s">
        <v>9</v>
      </c>
      <c r="I66" s="44" t="s">
        <v>2</v>
      </c>
      <c r="J66" s="72" t="s">
        <v>1527</v>
      </c>
      <c r="K66" s="73">
        <v>24654</v>
      </c>
      <c r="L66" s="30">
        <v>1967</v>
      </c>
      <c r="M66" s="30">
        <f t="shared" si="4"/>
        <v>52</v>
      </c>
      <c r="N66" s="44" t="s">
        <v>3</v>
      </c>
      <c r="O66" s="44" t="s">
        <v>1229</v>
      </c>
      <c r="P66" s="72" t="s">
        <v>1320</v>
      </c>
      <c r="Q66" s="44"/>
      <c r="R66" s="72" t="s">
        <v>1360</v>
      </c>
    </row>
    <row r="67" spans="2:18" ht="25.5" x14ac:dyDescent="0.2">
      <c r="B67" s="135"/>
      <c r="C67" s="119"/>
      <c r="D67" s="44">
        <v>60</v>
      </c>
      <c r="E67" s="72" t="s">
        <v>673</v>
      </c>
      <c r="F67" s="44" t="s">
        <v>16</v>
      </c>
      <c r="G67" s="44" t="s">
        <v>1707</v>
      </c>
      <c r="H67" s="44" t="s">
        <v>1</v>
      </c>
      <c r="I67" s="44" t="s">
        <v>13</v>
      </c>
      <c r="J67" s="72" t="s">
        <v>1228</v>
      </c>
      <c r="K67" s="73">
        <v>38005</v>
      </c>
      <c r="L67" s="30">
        <v>2004</v>
      </c>
      <c r="M67" s="30">
        <f t="shared" si="4"/>
        <v>15</v>
      </c>
      <c r="N67" s="44" t="s">
        <v>3</v>
      </c>
      <c r="O67" s="44" t="s">
        <v>1229</v>
      </c>
      <c r="P67" s="72" t="s">
        <v>1320</v>
      </c>
      <c r="Q67" s="44"/>
      <c r="R67" s="72" t="s">
        <v>1332</v>
      </c>
    </row>
    <row r="68" spans="2:18" ht="25.5" x14ac:dyDescent="0.2">
      <c r="B68" s="135">
        <v>22</v>
      </c>
      <c r="C68" s="119" t="s">
        <v>1692</v>
      </c>
      <c r="D68" s="44">
        <v>61</v>
      </c>
      <c r="E68" s="72" t="s">
        <v>1693</v>
      </c>
      <c r="F68" s="44" t="s">
        <v>6</v>
      </c>
      <c r="G68" s="44" t="s">
        <v>1697</v>
      </c>
      <c r="H68" s="44" t="s">
        <v>1</v>
      </c>
      <c r="I68" s="44" t="s">
        <v>2</v>
      </c>
      <c r="J68" s="72" t="s">
        <v>1228</v>
      </c>
      <c r="K68" s="73">
        <v>31047</v>
      </c>
      <c r="L68" s="30">
        <v>1984</v>
      </c>
      <c r="M68" s="30">
        <f t="shared" si="4"/>
        <v>35</v>
      </c>
      <c r="N68" s="44" t="s">
        <v>3</v>
      </c>
      <c r="O68" s="44" t="s">
        <v>1229</v>
      </c>
      <c r="P68" s="72" t="s">
        <v>1233</v>
      </c>
      <c r="Q68" s="44"/>
      <c r="R68" s="72" t="s">
        <v>1330</v>
      </c>
    </row>
    <row r="69" spans="2:18" ht="25.5" x14ac:dyDescent="0.2">
      <c r="B69" s="135"/>
      <c r="C69" s="119"/>
      <c r="D69" s="44">
        <v>62</v>
      </c>
      <c r="E69" s="72" t="s">
        <v>674</v>
      </c>
      <c r="F69" s="44" t="s">
        <v>11</v>
      </c>
      <c r="G69" s="44" t="s">
        <v>1698</v>
      </c>
      <c r="H69" s="44" t="s">
        <v>9</v>
      </c>
      <c r="I69" s="44" t="s">
        <v>2</v>
      </c>
      <c r="J69" s="72" t="s">
        <v>1228</v>
      </c>
      <c r="K69" s="73">
        <v>31777</v>
      </c>
      <c r="L69" s="30">
        <v>1986</v>
      </c>
      <c r="M69" s="30">
        <f t="shared" si="4"/>
        <v>33</v>
      </c>
      <c r="N69" s="44" t="s">
        <v>3</v>
      </c>
      <c r="O69" s="44" t="s">
        <v>1229</v>
      </c>
      <c r="P69" s="72" t="s">
        <v>1247</v>
      </c>
      <c r="Q69" s="44"/>
      <c r="R69" s="72" t="s">
        <v>1330</v>
      </c>
    </row>
    <row r="70" spans="2:18" ht="25.5" x14ac:dyDescent="0.2">
      <c r="B70" s="135"/>
      <c r="C70" s="119"/>
      <c r="D70" s="44">
        <v>63</v>
      </c>
      <c r="E70" s="72" t="s">
        <v>1694</v>
      </c>
      <c r="F70" s="44" t="s">
        <v>16</v>
      </c>
      <c r="G70" s="44" t="s">
        <v>1699</v>
      </c>
      <c r="H70" s="44" t="s">
        <v>9</v>
      </c>
      <c r="I70" s="44" t="s">
        <v>13</v>
      </c>
      <c r="J70" s="72" t="s">
        <v>1228</v>
      </c>
      <c r="K70" s="73">
        <v>37735</v>
      </c>
      <c r="L70" s="30">
        <v>2003</v>
      </c>
      <c r="M70" s="30">
        <f t="shared" ref="M70:M73" si="6">2019-L70</f>
        <v>16</v>
      </c>
      <c r="N70" s="44" t="s">
        <v>3</v>
      </c>
      <c r="O70" s="44" t="s">
        <v>1229</v>
      </c>
      <c r="P70" s="72" t="s">
        <v>1233</v>
      </c>
      <c r="Q70" s="44"/>
      <c r="R70" s="72" t="s">
        <v>1326</v>
      </c>
    </row>
    <row r="71" spans="2:18" ht="25.5" x14ac:dyDescent="0.2">
      <c r="B71" s="135"/>
      <c r="C71" s="119"/>
      <c r="D71" s="44">
        <v>64</v>
      </c>
      <c r="E71" s="72" t="s">
        <v>1695</v>
      </c>
      <c r="F71" s="44" t="s">
        <v>16</v>
      </c>
      <c r="G71" s="44" t="s">
        <v>1700</v>
      </c>
      <c r="H71" s="44" t="s">
        <v>1</v>
      </c>
      <c r="I71" s="44" t="s">
        <v>13</v>
      </c>
      <c r="J71" s="72" t="s">
        <v>1228</v>
      </c>
      <c r="K71" s="73">
        <v>40099</v>
      </c>
      <c r="L71" s="30">
        <v>2009</v>
      </c>
      <c r="M71" s="30">
        <f t="shared" si="6"/>
        <v>10</v>
      </c>
      <c r="N71" s="44" t="s">
        <v>3</v>
      </c>
      <c r="O71" s="44" t="s">
        <v>1229</v>
      </c>
      <c r="P71" s="72" t="s">
        <v>1247</v>
      </c>
      <c r="Q71" s="44"/>
      <c r="R71" s="72" t="s">
        <v>1326</v>
      </c>
    </row>
    <row r="72" spans="2:18" ht="25.5" x14ac:dyDescent="0.2">
      <c r="B72" s="135"/>
      <c r="C72" s="119"/>
      <c r="D72" s="44">
        <v>65</v>
      </c>
      <c r="E72" s="72" t="s">
        <v>231</v>
      </c>
      <c r="F72" s="44" t="s">
        <v>16</v>
      </c>
      <c r="G72" s="44" t="s">
        <v>1701</v>
      </c>
      <c r="H72" s="44" t="s">
        <v>9</v>
      </c>
      <c r="I72" s="44" t="s">
        <v>13</v>
      </c>
      <c r="J72" s="72" t="s">
        <v>1376</v>
      </c>
      <c r="K72" s="73">
        <v>42066</v>
      </c>
      <c r="L72" s="30">
        <v>2015</v>
      </c>
      <c r="M72" s="30">
        <f t="shared" si="6"/>
        <v>4</v>
      </c>
      <c r="N72" s="44" t="s">
        <v>3</v>
      </c>
      <c r="O72" s="44" t="s">
        <v>1229</v>
      </c>
      <c r="P72" s="72" t="s">
        <v>1320</v>
      </c>
      <c r="Q72" s="44"/>
      <c r="R72" s="72" t="s">
        <v>1332</v>
      </c>
    </row>
    <row r="73" spans="2:18" ht="25.5" x14ac:dyDescent="0.2">
      <c r="B73" s="135"/>
      <c r="C73" s="119"/>
      <c r="D73" s="44">
        <v>66</v>
      </c>
      <c r="E73" s="72" t="s">
        <v>1696</v>
      </c>
      <c r="F73" s="44" t="s">
        <v>16</v>
      </c>
      <c r="G73" s="44" t="s">
        <v>1702</v>
      </c>
      <c r="H73" s="44" t="s">
        <v>1</v>
      </c>
      <c r="I73" s="44" t="s">
        <v>13</v>
      </c>
      <c r="J73" s="72" t="s">
        <v>1376</v>
      </c>
      <c r="K73" s="73">
        <v>43277</v>
      </c>
      <c r="L73" s="30">
        <v>2018</v>
      </c>
      <c r="M73" s="30">
        <f t="shared" si="6"/>
        <v>1</v>
      </c>
      <c r="N73" s="44" t="s">
        <v>3</v>
      </c>
      <c r="O73" s="44" t="s">
        <v>1229</v>
      </c>
      <c r="P73" s="72" t="s">
        <v>1320</v>
      </c>
      <c r="Q73" s="44"/>
      <c r="R73" s="72" t="s">
        <v>1332</v>
      </c>
    </row>
    <row r="74" spans="2:18" ht="25.5" x14ac:dyDescent="0.2">
      <c r="B74" s="135">
        <v>23</v>
      </c>
      <c r="C74" s="119" t="s">
        <v>1678</v>
      </c>
      <c r="D74" s="44">
        <v>67</v>
      </c>
      <c r="E74" s="72" t="s">
        <v>675</v>
      </c>
      <c r="F74" s="44" t="s">
        <v>6</v>
      </c>
      <c r="G74" s="44" t="s">
        <v>676</v>
      </c>
      <c r="H74" s="44" t="s">
        <v>1</v>
      </c>
      <c r="I74" s="44" t="s">
        <v>2</v>
      </c>
      <c r="J74" s="72" t="s">
        <v>1228</v>
      </c>
      <c r="K74" s="73">
        <v>25750</v>
      </c>
      <c r="L74" s="30">
        <v>1970</v>
      </c>
      <c r="M74" s="30">
        <f t="shared" ref="M74:M106" si="7">2019-L74</f>
        <v>49</v>
      </c>
      <c r="N74" s="44" t="s">
        <v>3</v>
      </c>
      <c r="O74" s="44" t="s">
        <v>1229</v>
      </c>
      <c r="P74" s="72" t="s">
        <v>1320</v>
      </c>
      <c r="Q74" s="44"/>
      <c r="R74" s="72" t="s">
        <v>1330</v>
      </c>
    </row>
    <row r="75" spans="2:18" ht="25.5" x14ac:dyDescent="0.2">
      <c r="B75" s="135"/>
      <c r="C75" s="119"/>
      <c r="D75" s="44">
        <v>68</v>
      </c>
      <c r="E75" s="72" t="s">
        <v>677</v>
      </c>
      <c r="F75" s="44" t="s">
        <v>11</v>
      </c>
      <c r="G75" s="44" t="s">
        <v>1679</v>
      </c>
      <c r="H75" s="44" t="s">
        <v>9</v>
      </c>
      <c r="I75" s="44" t="s">
        <v>2</v>
      </c>
      <c r="J75" s="72" t="s">
        <v>1228</v>
      </c>
      <c r="K75" s="73">
        <v>26481</v>
      </c>
      <c r="L75" s="30">
        <v>1972</v>
      </c>
      <c r="M75" s="30">
        <f t="shared" si="7"/>
        <v>47</v>
      </c>
      <c r="N75" s="44" t="s">
        <v>3</v>
      </c>
      <c r="O75" s="44" t="s">
        <v>1229</v>
      </c>
      <c r="P75" s="72" t="s">
        <v>1320</v>
      </c>
      <c r="Q75" s="44"/>
      <c r="R75" s="72" t="s">
        <v>1371</v>
      </c>
    </row>
    <row r="76" spans="2:18" ht="25.5" x14ac:dyDescent="0.2">
      <c r="B76" s="135"/>
      <c r="C76" s="119"/>
      <c r="D76" s="44">
        <v>69</v>
      </c>
      <c r="E76" s="72" t="s">
        <v>678</v>
      </c>
      <c r="F76" s="44" t="s">
        <v>16</v>
      </c>
      <c r="G76" s="44" t="s">
        <v>1680</v>
      </c>
      <c r="H76" s="44" t="s">
        <v>9</v>
      </c>
      <c r="I76" s="44" t="s">
        <v>13</v>
      </c>
      <c r="J76" s="72" t="s">
        <v>1228</v>
      </c>
      <c r="K76" s="73">
        <v>35355</v>
      </c>
      <c r="L76" s="30">
        <v>1996</v>
      </c>
      <c r="M76" s="30">
        <f t="shared" si="7"/>
        <v>23</v>
      </c>
      <c r="N76" s="44" t="s">
        <v>3</v>
      </c>
      <c r="O76" s="44" t="s">
        <v>1229</v>
      </c>
      <c r="P76" s="72" t="s">
        <v>1270</v>
      </c>
      <c r="Q76" s="44"/>
      <c r="R76" s="72" t="s">
        <v>1332</v>
      </c>
    </row>
    <row r="77" spans="2:18" ht="25.5" x14ac:dyDescent="0.2">
      <c r="B77" s="135"/>
      <c r="C77" s="119"/>
      <c r="D77" s="44">
        <v>70</v>
      </c>
      <c r="E77" s="72" t="s">
        <v>679</v>
      </c>
      <c r="F77" s="44" t="s">
        <v>16</v>
      </c>
      <c r="G77" s="44" t="s">
        <v>680</v>
      </c>
      <c r="H77" s="44" t="s">
        <v>9</v>
      </c>
      <c r="I77" s="44" t="s">
        <v>13</v>
      </c>
      <c r="J77" s="72" t="s">
        <v>1228</v>
      </c>
      <c r="K77" s="73">
        <v>39270</v>
      </c>
      <c r="L77" s="30">
        <v>2007</v>
      </c>
      <c r="M77" s="30">
        <f t="shared" si="7"/>
        <v>12</v>
      </c>
      <c r="N77" s="44" t="s">
        <v>3</v>
      </c>
      <c r="O77" s="44" t="s">
        <v>1229</v>
      </c>
      <c r="P77" s="72" t="s">
        <v>1247</v>
      </c>
      <c r="Q77" s="44"/>
      <c r="R77" s="72" t="s">
        <v>1326</v>
      </c>
    </row>
    <row r="78" spans="2:18" ht="25.5" x14ac:dyDescent="0.2">
      <c r="B78" s="135">
        <v>24</v>
      </c>
      <c r="C78" s="119" t="s">
        <v>1739</v>
      </c>
      <c r="D78" s="44">
        <v>71</v>
      </c>
      <c r="E78" s="72" t="s">
        <v>445</v>
      </c>
      <c r="F78" s="44" t="s">
        <v>6</v>
      </c>
      <c r="G78" s="44" t="s">
        <v>681</v>
      </c>
      <c r="H78" s="44" t="s">
        <v>1</v>
      </c>
      <c r="I78" s="44" t="s">
        <v>2</v>
      </c>
      <c r="J78" s="72" t="s">
        <v>1228</v>
      </c>
      <c r="K78" s="73">
        <v>28709</v>
      </c>
      <c r="L78" s="30">
        <v>1978</v>
      </c>
      <c r="M78" s="30">
        <f t="shared" si="7"/>
        <v>41</v>
      </c>
      <c r="N78" s="44" t="s">
        <v>3</v>
      </c>
      <c r="O78" s="44" t="s">
        <v>1229</v>
      </c>
      <c r="P78" s="72" t="s">
        <v>1233</v>
      </c>
      <c r="Q78" s="44"/>
      <c r="R78" s="72" t="s">
        <v>1330</v>
      </c>
    </row>
    <row r="79" spans="2:18" ht="25.5" x14ac:dyDescent="0.2">
      <c r="B79" s="135"/>
      <c r="C79" s="119"/>
      <c r="D79" s="44">
        <v>72</v>
      </c>
      <c r="E79" s="72" t="s">
        <v>407</v>
      </c>
      <c r="F79" s="44" t="s">
        <v>11</v>
      </c>
      <c r="G79" s="44" t="s">
        <v>682</v>
      </c>
      <c r="H79" s="44" t="s">
        <v>9</v>
      </c>
      <c r="I79" s="44" t="s">
        <v>2</v>
      </c>
      <c r="J79" s="72" t="s">
        <v>1228</v>
      </c>
      <c r="K79" s="73">
        <v>30083</v>
      </c>
      <c r="L79" s="30">
        <v>1982</v>
      </c>
      <c r="M79" s="30">
        <f t="shared" si="7"/>
        <v>37</v>
      </c>
      <c r="N79" s="44" t="s">
        <v>3</v>
      </c>
      <c r="O79" s="44" t="s">
        <v>1229</v>
      </c>
      <c r="P79" s="72" t="s">
        <v>1233</v>
      </c>
      <c r="Q79" s="44"/>
      <c r="R79" s="72" t="s">
        <v>1330</v>
      </c>
    </row>
    <row r="80" spans="2:18" ht="25.5" x14ac:dyDescent="0.2">
      <c r="B80" s="135"/>
      <c r="C80" s="119"/>
      <c r="D80" s="44">
        <v>73</v>
      </c>
      <c r="E80" s="72" t="s">
        <v>683</v>
      </c>
      <c r="F80" s="44" t="s">
        <v>16</v>
      </c>
      <c r="G80" s="44" t="s">
        <v>1740</v>
      </c>
      <c r="H80" s="44" t="s">
        <v>1</v>
      </c>
      <c r="I80" s="44" t="s">
        <v>13</v>
      </c>
      <c r="J80" s="72" t="s">
        <v>1228</v>
      </c>
      <c r="K80" s="73">
        <v>36623</v>
      </c>
      <c r="L80" s="30">
        <v>2000</v>
      </c>
      <c r="M80" s="30">
        <f t="shared" si="7"/>
        <v>19</v>
      </c>
      <c r="N80" s="44" t="s">
        <v>3</v>
      </c>
      <c r="O80" s="44" t="s">
        <v>1229</v>
      </c>
      <c r="P80" s="72" t="s">
        <v>1233</v>
      </c>
      <c r="Q80" s="44"/>
      <c r="R80" s="72" t="s">
        <v>1326</v>
      </c>
    </row>
    <row r="81" spans="2:18" ht="25.5" x14ac:dyDescent="0.2">
      <c r="B81" s="135"/>
      <c r="C81" s="119"/>
      <c r="D81" s="44">
        <v>74</v>
      </c>
      <c r="E81" s="72" t="s">
        <v>684</v>
      </c>
      <c r="F81" s="44" t="s">
        <v>16</v>
      </c>
      <c r="G81" s="44" t="s">
        <v>685</v>
      </c>
      <c r="H81" s="44" t="s">
        <v>1</v>
      </c>
      <c r="I81" s="44" t="s">
        <v>13</v>
      </c>
      <c r="J81" s="72" t="s">
        <v>1466</v>
      </c>
      <c r="K81" s="73">
        <v>40222</v>
      </c>
      <c r="L81" s="30">
        <v>2010</v>
      </c>
      <c r="M81" s="30">
        <f t="shared" si="7"/>
        <v>9</v>
      </c>
      <c r="N81" s="44" t="s">
        <v>3</v>
      </c>
      <c r="O81" s="44" t="s">
        <v>1229</v>
      </c>
      <c r="P81" s="72" t="s">
        <v>1320</v>
      </c>
      <c r="Q81" s="44"/>
      <c r="R81" s="72" t="s">
        <v>1332</v>
      </c>
    </row>
    <row r="82" spans="2:18" ht="25.5" x14ac:dyDescent="0.2">
      <c r="B82" s="90">
        <v>25</v>
      </c>
      <c r="C82" s="44" t="s">
        <v>1737</v>
      </c>
      <c r="D82" s="44">
        <v>75</v>
      </c>
      <c r="E82" s="72" t="s">
        <v>1738</v>
      </c>
      <c r="F82" s="44" t="s">
        <v>6</v>
      </c>
      <c r="G82" s="44" t="s">
        <v>686</v>
      </c>
      <c r="H82" s="44" t="s">
        <v>9</v>
      </c>
      <c r="I82" s="44" t="s">
        <v>1296</v>
      </c>
      <c r="J82" s="72" t="s">
        <v>1228</v>
      </c>
      <c r="K82" s="73">
        <v>20344</v>
      </c>
      <c r="L82" s="30">
        <v>1955</v>
      </c>
      <c r="M82" s="30">
        <f t="shared" si="7"/>
        <v>64</v>
      </c>
      <c r="N82" s="44" t="s">
        <v>3</v>
      </c>
      <c r="O82" s="44" t="s">
        <v>1229</v>
      </c>
      <c r="P82" s="72" t="s">
        <v>1320</v>
      </c>
      <c r="Q82" s="44"/>
      <c r="R82" s="72" t="s">
        <v>1330</v>
      </c>
    </row>
    <row r="83" spans="2:18" x14ac:dyDescent="0.2">
      <c r="B83" s="135">
        <v>26</v>
      </c>
      <c r="C83" s="135"/>
      <c r="D83" s="44">
        <v>76</v>
      </c>
      <c r="E83" s="72" t="s">
        <v>687</v>
      </c>
      <c r="F83" s="44" t="s">
        <v>6</v>
      </c>
      <c r="G83" s="44" t="s">
        <v>688</v>
      </c>
      <c r="H83" s="44" t="s">
        <v>1</v>
      </c>
      <c r="I83" s="44" t="s">
        <v>2</v>
      </c>
      <c r="J83" s="72"/>
      <c r="K83" s="73">
        <v>30316</v>
      </c>
      <c r="L83" s="30">
        <f t="shared" ref="L83:L95" si="8">YEAR(K83)</f>
        <v>1982</v>
      </c>
      <c r="M83" s="30">
        <f t="shared" si="7"/>
        <v>37</v>
      </c>
      <c r="N83" s="44" t="s">
        <v>3</v>
      </c>
      <c r="O83" s="44"/>
      <c r="P83" s="72" t="s">
        <v>28</v>
      </c>
      <c r="Q83" s="44"/>
      <c r="R83" s="72" t="s">
        <v>367</v>
      </c>
    </row>
    <row r="84" spans="2:18" x14ac:dyDescent="0.2">
      <c r="B84" s="135"/>
      <c r="C84" s="135"/>
      <c r="D84" s="44">
        <v>77</v>
      </c>
      <c r="E84" s="72" t="s">
        <v>689</v>
      </c>
      <c r="F84" s="44" t="s">
        <v>11</v>
      </c>
      <c r="G84" s="44" t="s">
        <v>690</v>
      </c>
      <c r="H84" s="44" t="s">
        <v>9</v>
      </c>
      <c r="I84" s="44" t="s">
        <v>2</v>
      </c>
      <c r="J84" s="72"/>
      <c r="K84" s="73">
        <v>31157</v>
      </c>
      <c r="L84" s="30">
        <f t="shared" si="8"/>
        <v>1985</v>
      </c>
      <c r="M84" s="30">
        <f t="shared" si="7"/>
        <v>34</v>
      </c>
      <c r="N84" s="44" t="s">
        <v>3</v>
      </c>
      <c r="O84" s="44"/>
      <c r="P84" s="72" t="s">
        <v>14</v>
      </c>
      <c r="Q84" s="44"/>
      <c r="R84" s="72" t="s">
        <v>290</v>
      </c>
    </row>
    <row r="85" spans="2:18" x14ac:dyDescent="0.2">
      <c r="B85" s="135"/>
      <c r="C85" s="135"/>
      <c r="D85" s="44">
        <v>78</v>
      </c>
      <c r="E85" s="72" t="s">
        <v>691</v>
      </c>
      <c r="F85" s="44" t="s">
        <v>16</v>
      </c>
      <c r="G85" s="44" t="s">
        <v>692</v>
      </c>
      <c r="H85" s="44" t="s">
        <v>1</v>
      </c>
      <c r="I85" s="44" t="s">
        <v>13</v>
      </c>
      <c r="J85" s="72"/>
      <c r="K85" s="73">
        <v>39490</v>
      </c>
      <c r="L85" s="30">
        <f t="shared" si="8"/>
        <v>2008</v>
      </c>
      <c r="M85" s="30">
        <f t="shared" si="7"/>
        <v>11</v>
      </c>
      <c r="N85" s="44" t="s">
        <v>3</v>
      </c>
      <c r="O85" s="44"/>
      <c r="P85" s="72" t="s">
        <v>15</v>
      </c>
      <c r="Q85" s="44"/>
      <c r="R85" s="72" t="s">
        <v>15</v>
      </c>
    </row>
    <row r="86" spans="2:18" x14ac:dyDescent="0.2">
      <c r="B86" s="135"/>
      <c r="C86" s="135"/>
      <c r="D86" s="44">
        <v>79</v>
      </c>
      <c r="E86" s="72" t="s">
        <v>693</v>
      </c>
      <c r="F86" s="44" t="s">
        <v>16</v>
      </c>
      <c r="G86" s="44" t="s">
        <v>694</v>
      </c>
      <c r="H86" s="44" t="s">
        <v>9</v>
      </c>
      <c r="I86" s="44" t="s">
        <v>13</v>
      </c>
      <c r="J86" s="72"/>
      <c r="K86" s="73">
        <v>41204</v>
      </c>
      <c r="L86" s="30">
        <f t="shared" si="8"/>
        <v>2012</v>
      </c>
      <c r="M86" s="30">
        <f t="shared" si="7"/>
        <v>7</v>
      </c>
      <c r="N86" s="44" t="s">
        <v>3</v>
      </c>
      <c r="O86" s="44"/>
      <c r="P86" s="72" t="s">
        <v>15</v>
      </c>
      <c r="Q86" s="44"/>
      <c r="R86" s="72" t="s">
        <v>15</v>
      </c>
    </row>
    <row r="87" spans="2:18" x14ac:dyDescent="0.2">
      <c r="B87" s="135">
        <v>27</v>
      </c>
      <c r="C87" s="135"/>
      <c r="D87" s="44">
        <v>80</v>
      </c>
      <c r="E87" s="72" t="s">
        <v>695</v>
      </c>
      <c r="F87" s="44" t="s">
        <v>6</v>
      </c>
      <c r="G87" s="44">
        <v>0</v>
      </c>
      <c r="H87" s="44" t="s">
        <v>1</v>
      </c>
      <c r="I87" s="44" t="s">
        <v>2</v>
      </c>
      <c r="J87" s="72"/>
      <c r="K87" s="73">
        <v>25203</v>
      </c>
      <c r="L87" s="30">
        <f t="shared" si="8"/>
        <v>1968</v>
      </c>
      <c r="M87" s="30">
        <f t="shared" si="7"/>
        <v>51</v>
      </c>
      <c r="N87" s="44" t="s">
        <v>3</v>
      </c>
      <c r="O87" s="44"/>
      <c r="P87" s="72" t="s">
        <v>15</v>
      </c>
      <c r="Q87" s="44"/>
      <c r="R87" s="72" t="s">
        <v>290</v>
      </c>
    </row>
    <row r="88" spans="2:18" ht="25.5" x14ac:dyDescent="0.2">
      <c r="B88" s="135"/>
      <c r="C88" s="135"/>
      <c r="D88" s="44">
        <v>81</v>
      </c>
      <c r="E88" s="72" t="s">
        <v>696</v>
      </c>
      <c r="F88" s="44" t="s">
        <v>11</v>
      </c>
      <c r="G88" s="44">
        <v>0</v>
      </c>
      <c r="H88" s="44" t="s">
        <v>9</v>
      </c>
      <c r="I88" s="44" t="s">
        <v>2</v>
      </c>
      <c r="J88" s="72"/>
      <c r="K88" s="73">
        <v>21915</v>
      </c>
      <c r="L88" s="30">
        <f t="shared" si="8"/>
        <v>1959</v>
      </c>
      <c r="M88" s="30">
        <f t="shared" si="7"/>
        <v>60</v>
      </c>
      <c r="N88" s="44" t="s">
        <v>3</v>
      </c>
      <c r="O88" s="44"/>
      <c r="P88" s="72" t="s">
        <v>15</v>
      </c>
      <c r="Q88" s="44"/>
      <c r="R88" s="72" t="s">
        <v>290</v>
      </c>
    </row>
    <row r="89" spans="2:18" ht="25.5" x14ac:dyDescent="0.2">
      <c r="B89" s="135"/>
      <c r="C89" s="135"/>
      <c r="D89" s="44">
        <v>82</v>
      </c>
      <c r="E89" s="72" t="s">
        <v>697</v>
      </c>
      <c r="F89" s="44" t="s">
        <v>16</v>
      </c>
      <c r="G89" s="44">
        <v>0</v>
      </c>
      <c r="H89" s="44" t="s">
        <v>1</v>
      </c>
      <c r="I89" s="44" t="s">
        <v>13</v>
      </c>
      <c r="J89" s="72"/>
      <c r="K89" s="73">
        <v>37145</v>
      </c>
      <c r="L89" s="30">
        <f t="shared" si="8"/>
        <v>2001</v>
      </c>
      <c r="M89" s="30">
        <f t="shared" si="7"/>
        <v>18</v>
      </c>
      <c r="N89" s="44" t="s">
        <v>3</v>
      </c>
      <c r="O89" s="44"/>
      <c r="P89" s="72" t="s">
        <v>4</v>
      </c>
      <c r="Q89" s="44"/>
      <c r="R89" s="72" t="s">
        <v>15</v>
      </c>
    </row>
    <row r="90" spans="2:18" x14ac:dyDescent="0.2">
      <c r="B90" s="139">
        <v>28</v>
      </c>
      <c r="C90" s="139"/>
      <c r="D90" s="44">
        <v>83</v>
      </c>
      <c r="E90" s="72" t="s">
        <v>698</v>
      </c>
      <c r="F90" s="44" t="s">
        <v>6</v>
      </c>
      <c r="G90" s="44" t="s">
        <v>699</v>
      </c>
      <c r="H90" s="44" t="s">
        <v>1</v>
      </c>
      <c r="I90" s="44" t="s">
        <v>2</v>
      </c>
      <c r="J90" s="72"/>
      <c r="K90" s="73">
        <v>25152</v>
      </c>
      <c r="L90" s="30">
        <f t="shared" si="8"/>
        <v>1968</v>
      </c>
      <c r="M90" s="30">
        <f t="shared" si="7"/>
        <v>51</v>
      </c>
      <c r="N90" s="44" t="s">
        <v>3</v>
      </c>
      <c r="O90" s="44"/>
      <c r="P90" s="72" t="s">
        <v>15</v>
      </c>
      <c r="Q90" s="44"/>
      <c r="R90" s="72" t="s">
        <v>34</v>
      </c>
    </row>
    <row r="91" spans="2:18" x14ac:dyDescent="0.2">
      <c r="B91" s="140"/>
      <c r="C91" s="140"/>
      <c r="D91" s="44">
        <v>84</v>
      </c>
      <c r="E91" s="72" t="s">
        <v>700</v>
      </c>
      <c r="F91" s="44" t="s">
        <v>11</v>
      </c>
      <c r="G91" s="44" t="s">
        <v>701</v>
      </c>
      <c r="H91" s="44" t="s">
        <v>9</v>
      </c>
      <c r="I91" s="44" t="s">
        <v>2</v>
      </c>
      <c r="J91" s="72"/>
      <c r="K91" s="73">
        <v>28490</v>
      </c>
      <c r="L91" s="30">
        <f t="shared" si="8"/>
        <v>1977</v>
      </c>
      <c r="M91" s="30">
        <f t="shared" si="7"/>
        <v>42</v>
      </c>
      <c r="N91" s="44" t="s">
        <v>3</v>
      </c>
      <c r="O91" s="44"/>
      <c r="P91" s="72" t="s">
        <v>14</v>
      </c>
      <c r="Q91" s="44"/>
      <c r="R91" s="72" t="s">
        <v>34</v>
      </c>
    </row>
    <row r="92" spans="2:18" x14ac:dyDescent="0.2">
      <c r="B92" s="140"/>
      <c r="C92" s="140"/>
      <c r="D92" s="44">
        <v>85</v>
      </c>
      <c r="E92" s="72" t="s">
        <v>702</v>
      </c>
      <c r="F92" s="44" t="s">
        <v>16</v>
      </c>
      <c r="G92" s="44" t="s">
        <v>703</v>
      </c>
      <c r="H92" s="44" t="s">
        <v>1</v>
      </c>
      <c r="I92" s="44" t="s">
        <v>13</v>
      </c>
      <c r="J92" s="72"/>
      <c r="K92" s="73">
        <v>32980</v>
      </c>
      <c r="L92" s="30">
        <f t="shared" si="8"/>
        <v>1990</v>
      </c>
      <c r="M92" s="30">
        <f t="shared" si="7"/>
        <v>29</v>
      </c>
      <c r="N92" s="44" t="s">
        <v>3</v>
      </c>
      <c r="O92" s="44"/>
      <c r="P92" s="72" t="s">
        <v>28</v>
      </c>
      <c r="Q92" s="44"/>
      <c r="R92" s="72" t="s">
        <v>15</v>
      </c>
    </row>
    <row r="93" spans="2:18" x14ac:dyDescent="0.2">
      <c r="B93" s="140"/>
      <c r="C93" s="140"/>
      <c r="D93" s="44">
        <v>86</v>
      </c>
      <c r="E93" s="72" t="s">
        <v>704</v>
      </c>
      <c r="F93" s="44" t="s">
        <v>16</v>
      </c>
      <c r="G93" s="44" t="s">
        <v>705</v>
      </c>
      <c r="H93" s="44" t="s">
        <v>1</v>
      </c>
      <c r="I93" s="44" t="s">
        <v>13</v>
      </c>
      <c r="J93" s="72"/>
      <c r="K93" s="73">
        <v>35349</v>
      </c>
      <c r="L93" s="30">
        <f t="shared" si="8"/>
        <v>1996</v>
      </c>
      <c r="M93" s="30">
        <f t="shared" si="7"/>
        <v>23</v>
      </c>
      <c r="N93" s="44" t="s">
        <v>3</v>
      </c>
      <c r="O93" s="44"/>
      <c r="P93" s="72" t="s">
        <v>14</v>
      </c>
      <c r="Q93" s="44"/>
      <c r="R93" s="72" t="s">
        <v>15</v>
      </c>
    </row>
    <row r="94" spans="2:18" x14ac:dyDescent="0.2">
      <c r="B94" s="140"/>
      <c r="C94" s="140"/>
      <c r="D94" s="44">
        <v>87</v>
      </c>
      <c r="E94" s="72" t="s">
        <v>706</v>
      </c>
      <c r="F94" s="44" t="s">
        <v>16</v>
      </c>
      <c r="G94" s="44" t="s">
        <v>707</v>
      </c>
      <c r="H94" s="44" t="s">
        <v>9</v>
      </c>
      <c r="I94" s="44" t="s">
        <v>13</v>
      </c>
      <c r="J94" s="72"/>
      <c r="K94" s="73">
        <v>40827</v>
      </c>
      <c r="L94" s="30">
        <f t="shared" si="8"/>
        <v>2011</v>
      </c>
      <c r="M94" s="30">
        <f t="shared" si="7"/>
        <v>8</v>
      </c>
      <c r="N94" s="44" t="s">
        <v>3</v>
      </c>
      <c r="O94" s="44"/>
      <c r="P94" s="72" t="s">
        <v>15</v>
      </c>
      <c r="Q94" s="44"/>
      <c r="R94" s="72" t="s">
        <v>15</v>
      </c>
    </row>
    <row r="95" spans="2:18" ht="25.5" x14ac:dyDescent="0.2">
      <c r="B95" s="141"/>
      <c r="C95" s="141"/>
      <c r="D95" s="44">
        <v>88</v>
      </c>
      <c r="E95" s="72" t="s">
        <v>708</v>
      </c>
      <c r="F95" s="44" t="s">
        <v>16</v>
      </c>
      <c r="G95" s="44" t="s">
        <v>709</v>
      </c>
      <c r="H95" s="44" t="s">
        <v>1</v>
      </c>
      <c r="I95" s="44" t="s">
        <v>13</v>
      </c>
      <c r="J95" s="72"/>
      <c r="K95" s="73">
        <v>41311</v>
      </c>
      <c r="L95" s="30">
        <f t="shared" si="8"/>
        <v>2013</v>
      </c>
      <c r="M95" s="30">
        <f t="shared" si="7"/>
        <v>6</v>
      </c>
      <c r="N95" s="44" t="s">
        <v>3</v>
      </c>
      <c r="O95" s="44"/>
      <c r="P95" s="72" t="s">
        <v>15</v>
      </c>
      <c r="Q95" s="44"/>
      <c r="R95" s="72" t="s">
        <v>15</v>
      </c>
    </row>
    <row r="96" spans="2:18" ht="25.5" x14ac:dyDescent="0.2">
      <c r="B96" s="135">
        <v>29</v>
      </c>
      <c r="C96" s="119" t="s">
        <v>1568</v>
      </c>
      <c r="D96" s="44">
        <v>89</v>
      </c>
      <c r="E96" s="72" t="s">
        <v>710</v>
      </c>
      <c r="F96" s="44" t="s">
        <v>6</v>
      </c>
      <c r="G96" s="44" t="s">
        <v>1570</v>
      </c>
      <c r="H96" s="44" t="s">
        <v>1</v>
      </c>
      <c r="I96" s="44" t="s">
        <v>2</v>
      </c>
      <c r="J96" s="72" t="s">
        <v>1228</v>
      </c>
      <c r="K96" s="73">
        <v>18628</v>
      </c>
      <c r="L96" s="30">
        <v>1950</v>
      </c>
      <c r="M96" s="30">
        <f t="shared" si="7"/>
        <v>69</v>
      </c>
      <c r="N96" s="44" t="s">
        <v>3</v>
      </c>
      <c r="O96" s="44" t="s">
        <v>1229</v>
      </c>
      <c r="P96" s="72" t="s">
        <v>1233</v>
      </c>
      <c r="Q96" s="44"/>
      <c r="R96" s="72" t="s">
        <v>1330</v>
      </c>
    </row>
    <row r="97" spans="2:18" ht="25.5" x14ac:dyDescent="0.2">
      <c r="B97" s="135"/>
      <c r="C97" s="119"/>
      <c r="D97" s="44">
        <v>90</v>
      </c>
      <c r="E97" s="72" t="s">
        <v>711</v>
      </c>
      <c r="F97" s="44" t="s">
        <v>11</v>
      </c>
      <c r="G97" s="44" t="s">
        <v>1571</v>
      </c>
      <c r="H97" s="44" t="s">
        <v>9</v>
      </c>
      <c r="I97" s="44" t="s">
        <v>2</v>
      </c>
      <c r="J97" s="72" t="s">
        <v>1228</v>
      </c>
      <c r="K97" s="73">
        <v>25750</v>
      </c>
      <c r="L97" s="30">
        <v>1970</v>
      </c>
      <c r="M97" s="30">
        <f t="shared" si="7"/>
        <v>49</v>
      </c>
      <c r="N97" s="44" t="s">
        <v>3</v>
      </c>
      <c r="O97" s="44" t="s">
        <v>1229</v>
      </c>
      <c r="P97" s="72" t="s">
        <v>1233</v>
      </c>
      <c r="Q97" s="44"/>
      <c r="R97" s="72" t="s">
        <v>1330</v>
      </c>
    </row>
    <row r="98" spans="2:18" ht="25.5" x14ac:dyDescent="0.2">
      <c r="B98" s="135"/>
      <c r="C98" s="119"/>
      <c r="D98" s="44">
        <v>91</v>
      </c>
      <c r="E98" s="72" t="s">
        <v>1569</v>
      </c>
      <c r="F98" s="44" t="s">
        <v>16</v>
      </c>
      <c r="G98" s="44" t="s">
        <v>1572</v>
      </c>
      <c r="H98" s="44" t="s">
        <v>1</v>
      </c>
      <c r="I98" s="44" t="s">
        <v>13</v>
      </c>
      <c r="J98" s="72" t="s">
        <v>1228</v>
      </c>
      <c r="K98" s="73">
        <v>41080</v>
      </c>
      <c r="L98" s="30">
        <v>2012</v>
      </c>
      <c r="M98" s="30">
        <f t="shared" si="7"/>
        <v>7</v>
      </c>
      <c r="N98" s="44" t="s">
        <v>3</v>
      </c>
      <c r="O98" s="44" t="s">
        <v>1229</v>
      </c>
      <c r="P98" s="72" t="s">
        <v>1320</v>
      </c>
      <c r="Q98" s="44"/>
      <c r="R98" s="72" t="s">
        <v>1332</v>
      </c>
    </row>
    <row r="99" spans="2:18" ht="25.5" x14ac:dyDescent="0.2">
      <c r="B99" s="135"/>
      <c r="C99" s="119"/>
      <c r="D99" s="44">
        <v>92</v>
      </c>
      <c r="E99" s="72" t="s">
        <v>713</v>
      </c>
      <c r="F99" s="44" t="s">
        <v>1301</v>
      </c>
      <c r="G99" s="44" t="s">
        <v>1639</v>
      </c>
      <c r="H99" s="44" t="s">
        <v>1</v>
      </c>
      <c r="I99" s="44" t="s">
        <v>13</v>
      </c>
      <c r="J99" s="72" t="s">
        <v>1466</v>
      </c>
      <c r="K99" s="73">
        <v>38077</v>
      </c>
      <c r="L99" s="30">
        <v>2004</v>
      </c>
      <c r="M99" s="30">
        <f t="shared" si="7"/>
        <v>15</v>
      </c>
      <c r="N99" s="44" t="s">
        <v>3</v>
      </c>
      <c r="O99" s="44" t="s">
        <v>1229</v>
      </c>
      <c r="P99" s="72" t="s">
        <v>1246</v>
      </c>
      <c r="Q99" s="44"/>
      <c r="R99" s="72" t="s">
        <v>1326</v>
      </c>
    </row>
    <row r="100" spans="2:18" ht="25.5" x14ac:dyDescent="0.2">
      <c r="B100" s="135">
        <v>30</v>
      </c>
      <c r="C100" s="119" t="s">
        <v>1681</v>
      </c>
      <c r="D100" s="44">
        <v>93</v>
      </c>
      <c r="E100" s="72" t="s">
        <v>445</v>
      </c>
      <c r="F100" s="44" t="s">
        <v>6</v>
      </c>
      <c r="G100" s="44" t="s">
        <v>715</v>
      </c>
      <c r="H100" s="44" t="s">
        <v>1</v>
      </c>
      <c r="I100" s="44" t="s">
        <v>2</v>
      </c>
      <c r="J100" s="72" t="s">
        <v>1228</v>
      </c>
      <c r="K100" s="73">
        <v>34793</v>
      </c>
      <c r="L100" s="30">
        <v>1995</v>
      </c>
      <c r="M100" s="30">
        <f t="shared" si="7"/>
        <v>24</v>
      </c>
      <c r="N100" s="44" t="s">
        <v>3</v>
      </c>
      <c r="O100" s="44" t="s">
        <v>1229</v>
      </c>
      <c r="P100" s="72" t="s">
        <v>1233</v>
      </c>
      <c r="Q100" s="44"/>
      <c r="R100" s="72" t="s">
        <v>1330</v>
      </c>
    </row>
    <row r="101" spans="2:18" ht="25.5" x14ac:dyDescent="0.2">
      <c r="B101" s="135"/>
      <c r="C101" s="119"/>
      <c r="D101" s="44">
        <v>94</v>
      </c>
      <c r="E101" s="72" t="s">
        <v>716</v>
      </c>
      <c r="F101" s="44" t="s">
        <v>11</v>
      </c>
      <c r="G101" s="44" t="s">
        <v>717</v>
      </c>
      <c r="H101" s="44" t="s">
        <v>9</v>
      </c>
      <c r="I101" s="44" t="s">
        <v>2</v>
      </c>
      <c r="J101" s="72" t="s">
        <v>1452</v>
      </c>
      <c r="K101" s="73">
        <v>34983</v>
      </c>
      <c r="L101" s="30">
        <v>1995</v>
      </c>
      <c r="M101" s="30">
        <f t="shared" si="7"/>
        <v>24</v>
      </c>
      <c r="N101" s="44" t="s">
        <v>3</v>
      </c>
      <c r="O101" s="44" t="s">
        <v>1229</v>
      </c>
      <c r="P101" s="72" t="s">
        <v>1246</v>
      </c>
      <c r="Q101" s="44"/>
      <c r="R101" s="72" t="s">
        <v>1360</v>
      </c>
    </row>
    <row r="102" spans="2:18" ht="25.5" x14ac:dyDescent="0.2">
      <c r="B102" s="135"/>
      <c r="C102" s="119"/>
      <c r="D102" s="44">
        <v>95</v>
      </c>
      <c r="E102" s="72" t="s">
        <v>1682</v>
      </c>
      <c r="F102" s="44" t="s">
        <v>16</v>
      </c>
      <c r="G102" s="44" t="s">
        <v>718</v>
      </c>
      <c r="H102" s="44" t="s">
        <v>9</v>
      </c>
      <c r="I102" s="44" t="s">
        <v>13</v>
      </c>
      <c r="J102" s="72" t="s">
        <v>1228</v>
      </c>
      <c r="K102" s="73">
        <v>41638</v>
      </c>
      <c r="L102" s="30">
        <v>2013</v>
      </c>
      <c r="M102" s="30">
        <f t="shared" si="7"/>
        <v>6</v>
      </c>
      <c r="N102" s="44" t="s">
        <v>3</v>
      </c>
      <c r="O102" s="44" t="s">
        <v>1229</v>
      </c>
      <c r="P102" s="72" t="s">
        <v>1320</v>
      </c>
      <c r="Q102" s="44"/>
      <c r="R102" s="72" t="s">
        <v>1332</v>
      </c>
    </row>
    <row r="103" spans="2:18" x14ac:dyDescent="0.2">
      <c r="B103" s="135">
        <v>31</v>
      </c>
      <c r="C103" s="135"/>
      <c r="D103" s="44">
        <v>96</v>
      </c>
      <c r="E103" s="72" t="s">
        <v>719</v>
      </c>
      <c r="F103" s="44" t="s">
        <v>6</v>
      </c>
      <c r="G103" s="44" t="s">
        <v>720</v>
      </c>
      <c r="H103" s="44" t="s">
        <v>1</v>
      </c>
      <c r="I103" s="44" t="s">
        <v>2</v>
      </c>
      <c r="J103" s="72"/>
      <c r="K103" s="73">
        <v>27585</v>
      </c>
      <c r="L103" s="30">
        <f t="shared" ref="L103:L106" si="9">YEAR(K103)</f>
        <v>1975</v>
      </c>
      <c r="M103" s="30">
        <f t="shared" si="7"/>
        <v>44</v>
      </c>
      <c r="N103" s="44" t="s">
        <v>3</v>
      </c>
      <c r="O103" s="44"/>
      <c r="P103" s="72" t="s">
        <v>15</v>
      </c>
      <c r="Q103" s="44"/>
      <c r="R103" s="72" t="s">
        <v>34</v>
      </c>
    </row>
    <row r="104" spans="2:18" x14ac:dyDescent="0.2">
      <c r="B104" s="135"/>
      <c r="C104" s="135"/>
      <c r="D104" s="44">
        <v>97</v>
      </c>
      <c r="E104" s="72" t="s">
        <v>300</v>
      </c>
      <c r="F104" s="44" t="s">
        <v>11</v>
      </c>
      <c r="G104" s="44" t="s">
        <v>721</v>
      </c>
      <c r="H104" s="44" t="s">
        <v>9</v>
      </c>
      <c r="I104" s="44" t="s">
        <v>2</v>
      </c>
      <c r="J104" s="72"/>
      <c r="K104" s="73">
        <v>27942</v>
      </c>
      <c r="L104" s="30">
        <f t="shared" si="9"/>
        <v>1976</v>
      </c>
      <c r="M104" s="30">
        <f t="shared" si="7"/>
        <v>43</v>
      </c>
      <c r="N104" s="44" t="s">
        <v>3</v>
      </c>
      <c r="O104" s="44"/>
      <c r="P104" s="72" t="s">
        <v>15</v>
      </c>
      <c r="Q104" s="44"/>
      <c r="R104" s="72" t="s">
        <v>34</v>
      </c>
    </row>
    <row r="105" spans="2:18" x14ac:dyDescent="0.2">
      <c r="B105" s="135"/>
      <c r="C105" s="135"/>
      <c r="D105" s="44">
        <v>98</v>
      </c>
      <c r="E105" s="72" t="s">
        <v>722</v>
      </c>
      <c r="F105" s="44" t="s">
        <v>16</v>
      </c>
      <c r="G105" s="44" t="s">
        <v>723</v>
      </c>
      <c r="H105" s="44" t="s">
        <v>9</v>
      </c>
      <c r="I105" s="44" t="s">
        <v>13</v>
      </c>
      <c r="J105" s="72"/>
      <c r="K105" s="73">
        <v>37490</v>
      </c>
      <c r="L105" s="30">
        <f t="shared" si="9"/>
        <v>2002</v>
      </c>
      <c r="M105" s="30">
        <f t="shared" si="7"/>
        <v>17</v>
      </c>
      <c r="N105" s="44" t="s">
        <v>3</v>
      </c>
      <c r="O105" s="44"/>
      <c r="P105" s="72" t="s">
        <v>4</v>
      </c>
      <c r="Q105" s="44"/>
      <c r="R105" s="72" t="s">
        <v>15</v>
      </c>
    </row>
    <row r="106" spans="2:18" ht="25.5" x14ac:dyDescent="0.2">
      <c r="B106" s="135"/>
      <c r="C106" s="135"/>
      <c r="D106" s="44">
        <v>99</v>
      </c>
      <c r="E106" s="72" t="s">
        <v>724</v>
      </c>
      <c r="F106" s="44" t="s">
        <v>16</v>
      </c>
      <c r="G106" s="44" t="s">
        <v>725</v>
      </c>
      <c r="H106" s="44" t="s">
        <v>1</v>
      </c>
      <c r="I106" s="44" t="s">
        <v>13</v>
      </c>
      <c r="J106" s="72"/>
      <c r="K106" s="73">
        <v>39539</v>
      </c>
      <c r="L106" s="30">
        <f t="shared" si="9"/>
        <v>2008</v>
      </c>
      <c r="M106" s="30">
        <f t="shared" si="7"/>
        <v>11</v>
      </c>
      <c r="N106" s="44" t="s">
        <v>3</v>
      </c>
      <c r="O106" s="44"/>
      <c r="P106" s="72" t="s">
        <v>15</v>
      </c>
      <c r="Q106" s="44"/>
      <c r="R106" s="72" t="s">
        <v>15</v>
      </c>
    </row>
    <row r="107" spans="2:18" ht="25.5" x14ac:dyDescent="0.2">
      <c r="B107" s="135">
        <v>32</v>
      </c>
      <c r="C107" s="119" t="s">
        <v>1718</v>
      </c>
      <c r="D107" s="44">
        <v>100</v>
      </c>
      <c r="E107" s="72" t="s">
        <v>726</v>
      </c>
      <c r="F107" s="44" t="s">
        <v>6</v>
      </c>
      <c r="G107" s="44" t="s">
        <v>727</v>
      </c>
      <c r="H107" s="44" t="s">
        <v>9</v>
      </c>
      <c r="I107" s="44" t="s">
        <v>1296</v>
      </c>
      <c r="J107" s="72" t="s">
        <v>1228</v>
      </c>
      <c r="K107" s="73">
        <v>24107</v>
      </c>
      <c r="L107" s="30">
        <v>1965</v>
      </c>
      <c r="M107" s="30">
        <f t="shared" ref="M107:M137" si="10">2019-L107</f>
        <v>54</v>
      </c>
      <c r="N107" s="44" t="s">
        <v>3</v>
      </c>
      <c r="O107" s="44" t="s">
        <v>1229</v>
      </c>
      <c r="P107" s="72" t="s">
        <v>1320</v>
      </c>
      <c r="Q107" s="44"/>
      <c r="R107" s="72" t="s">
        <v>1330</v>
      </c>
    </row>
    <row r="108" spans="2:18" ht="25.5" x14ac:dyDescent="0.2">
      <c r="B108" s="135"/>
      <c r="C108" s="119"/>
      <c r="D108" s="44">
        <v>101</v>
      </c>
      <c r="E108" s="72" t="s">
        <v>1719</v>
      </c>
      <c r="F108" s="44" t="s">
        <v>16</v>
      </c>
      <c r="G108" s="44" t="s">
        <v>1720</v>
      </c>
      <c r="H108" s="44" t="s">
        <v>9</v>
      </c>
      <c r="I108" s="44" t="s">
        <v>13</v>
      </c>
      <c r="J108" s="72" t="s">
        <v>1577</v>
      </c>
      <c r="K108" s="73">
        <v>36133</v>
      </c>
      <c r="L108" s="30">
        <v>1998</v>
      </c>
      <c r="M108" s="30">
        <f t="shared" si="10"/>
        <v>21</v>
      </c>
      <c r="N108" s="44" t="s">
        <v>3</v>
      </c>
      <c r="O108" s="44" t="s">
        <v>1229</v>
      </c>
      <c r="P108" s="72" t="s">
        <v>1270</v>
      </c>
      <c r="Q108" s="44"/>
      <c r="R108" s="72" t="s">
        <v>1326</v>
      </c>
    </row>
    <row r="109" spans="2:18" ht="25.5" x14ac:dyDescent="0.2">
      <c r="B109" s="135">
        <v>33</v>
      </c>
      <c r="C109" s="119" t="s">
        <v>1732</v>
      </c>
      <c r="D109" s="44">
        <v>102</v>
      </c>
      <c r="E109" s="72" t="s">
        <v>728</v>
      </c>
      <c r="F109" s="44" t="s">
        <v>6</v>
      </c>
      <c r="G109" s="44" t="s">
        <v>1734</v>
      </c>
      <c r="H109" s="44" t="s">
        <v>1</v>
      </c>
      <c r="I109" s="44" t="s">
        <v>95</v>
      </c>
      <c r="J109" s="72" t="s">
        <v>1228</v>
      </c>
      <c r="K109" s="73">
        <v>23924</v>
      </c>
      <c r="L109" s="30">
        <v>1965</v>
      </c>
      <c r="M109" s="30">
        <f t="shared" si="10"/>
        <v>54</v>
      </c>
      <c r="N109" s="44" t="s">
        <v>3</v>
      </c>
      <c r="O109" s="44" t="s">
        <v>1229</v>
      </c>
      <c r="P109" s="72" t="s">
        <v>1320</v>
      </c>
      <c r="Q109" s="44"/>
      <c r="R109" s="72" t="s">
        <v>1330</v>
      </c>
    </row>
    <row r="110" spans="2:18" ht="25.5" x14ac:dyDescent="0.2">
      <c r="B110" s="135"/>
      <c r="C110" s="119"/>
      <c r="D110" s="44">
        <v>103</v>
      </c>
      <c r="E110" s="72" t="s">
        <v>729</v>
      </c>
      <c r="F110" s="44" t="s">
        <v>16</v>
      </c>
      <c r="G110" s="44" t="s">
        <v>730</v>
      </c>
      <c r="H110" s="44" t="s">
        <v>1</v>
      </c>
      <c r="I110" s="44" t="s">
        <v>13</v>
      </c>
      <c r="J110" s="72" t="s">
        <v>1228</v>
      </c>
      <c r="K110" s="73">
        <v>38634</v>
      </c>
      <c r="L110" s="30">
        <v>2005</v>
      </c>
      <c r="M110" s="30">
        <f t="shared" si="10"/>
        <v>14</v>
      </c>
      <c r="N110" s="44" t="s">
        <v>3</v>
      </c>
      <c r="O110" s="44" t="s">
        <v>1229</v>
      </c>
      <c r="P110" s="72" t="s">
        <v>1247</v>
      </c>
      <c r="Q110" s="44"/>
      <c r="R110" s="72" t="s">
        <v>1326</v>
      </c>
    </row>
    <row r="111" spans="2:18" ht="25.5" x14ac:dyDescent="0.2">
      <c r="B111" s="135"/>
      <c r="C111" s="119"/>
      <c r="D111" s="44">
        <v>104</v>
      </c>
      <c r="E111" s="72" t="s">
        <v>1733</v>
      </c>
      <c r="F111" s="44" t="s">
        <v>16</v>
      </c>
      <c r="G111" s="44" t="s">
        <v>1735</v>
      </c>
      <c r="H111" s="44" t="s">
        <v>1</v>
      </c>
      <c r="I111" s="44" t="s">
        <v>13</v>
      </c>
      <c r="J111" s="72" t="s">
        <v>1228</v>
      </c>
      <c r="K111" s="73">
        <v>38698</v>
      </c>
      <c r="L111" s="30">
        <v>2005</v>
      </c>
      <c r="M111" s="30">
        <f t="shared" si="10"/>
        <v>14</v>
      </c>
      <c r="N111" s="44" t="s">
        <v>3</v>
      </c>
      <c r="O111" s="44" t="s">
        <v>1229</v>
      </c>
      <c r="P111" s="72" t="s">
        <v>1247</v>
      </c>
      <c r="Q111" s="44"/>
      <c r="R111" s="72" t="s">
        <v>1326</v>
      </c>
    </row>
    <row r="112" spans="2:18" ht="25.5" x14ac:dyDescent="0.2">
      <c r="B112" s="135">
        <v>34</v>
      </c>
      <c r="C112" s="119" t="s">
        <v>1726</v>
      </c>
      <c r="D112" s="44">
        <v>105</v>
      </c>
      <c r="E112" s="72" t="s">
        <v>1727</v>
      </c>
      <c r="F112" s="44" t="s">
        <v>6</v>
      </c>
      <c r="G112" s="44" t="s">
        <v>1730</v>
      </c>
      <c r="H112" s="44" t="s">
        <v>1</v>
      </c>
      <c r="I112" s="44" t="s">
        <v>2</v>
      </c>
      <c r="J112" s="72" t="s">
        <v>1228</v>
      </c>
      <c r="K112" s="73">
        <v>31777</v>
      </c>
      <c r="L112" s="30">
        <v>1986</v>
      </c>
      <c r="M112" s="30">
        <f t="shared" si="10"/>
        <v>33</v>
      </c>
      <c r="N112" s="44" t="s">
        <v>3</v>
      </c>
      <c r="O112" s="44" t="s">
        <v>1229</v>
      </c>
      <c r="P112" s="72" t="s">
        <v>1233</v>
      </c>
      <c r="Q112" s="44"/>
      <c r="R112" s="72" t="s">
        <v>1330</v>
      </c>
    </row>
    <row r="113" spans="2:18" ht="25.5" x14ac:dyDescent="0.2">
      <c r="B113" s="135"/>
      <c r="C113" s="119"/>
      <c r="D113" s="44">
        <v>106</v>
      </c>
      <c r="E113" s="72" t="s">
        <v>731</v>
      </c>
      <c r="F113" s="44" t="s">
        <v>11</v>
      </c>
      <c r="G113" s="44" t="s">
        <v>732</v>
      </c>
      <c r="H113" s="44" t="s">
        <v>9</v>
      </c>
      <c r="I113" s="44" t="s">
        <v>2</v>
      </c>
      <c r="J113" s="72" t="s">
        <v>1731</v>
      </c>
      <c r="K113" s="73">
        <v>31963</v>
      </c>
      <c r="L113" s="30">
        <v>1987</v>
      </c>
      <c r="M113" s="30">
        <f t="shared" si="10"/>
        <v>32</v>
      </c>
      <c r="N113" s="44" t="s">
        <v>3</v>
      </c>
      <c r="O113" s="44" t="s">
        <v>1229</v>
      </c>
      <c r="P113" s="72" t="s">
        <v>1233</v>
      </c>
      <c r="Q113" s="44"/>
      <c r="R113" s="72" t="s">
        <v>1360</v>
      </c>
    </row>
    <row r="114" spans="2:18" ht="38.25" x14ac:dyDescent="0.2">
      <c r="B114" s="135"/>
      <c r="C114" s="119"/>
      <c r="D114" s="44">
        <v>107</v>
      </c>
      <c r="E114" s="72" t="s">
        <v>1728</v>
      </c>
      <c r="F114" s="44" t="s">
        <v>16</v>
      </c>
      <c r="G114" s="44" t="s">
        <v>733</v>
      </c>
      <c r="H114" s="44" t="s">
        <v>1</v>
      </c>
      <c r="I114" s="44" t="s">
        <v>13</v>
      </c>
      <c r="J114" s="72" t="s">
        <v>1376</v>
      </c>
      <c r="K114" s="73">
        <v>38709</v>
      </c>
      <c r="L114" s="30">
        <v>2005</v>
      </c>
      <c r="M114" s="30">
        <f t="shared" si="10"/>
        <v>14</v>
      </c>
      <c r="N114" s="44" t="s">
        <v>3</v>
      </c>
      <c r="O114" s="44" t="s">
        <v>1229</v>
      </c>
      <c r="P114" s="72" t="s">
        <v>1247</v>
      </c>
      <c r="Q114" s="44"/>
      <c r="R114" s="72" t="s">
        <v>1326</v>
      </c>
    </row>
    <row r="115" spans="2:18" ht="25.5" x14ac:dyDescent="0.2">
      <c r="B115" s="135"/>
      <c r="C115" s="119"/>
      <c r="D115" s="44">
        <v>108</v>
      </c>
      <c r="E115" s="72" t="s">
        <v>1729</v>
      </c>
      <c r="F115" s="44" t="s">
        <v>16</v>
      </c>
      <c r="G115" s="44" t="s">
        <v>734</v>
      </c>
      <c r="H115" s="44" t="s">
        <v>1</v>
      </c>
      <c r="I115" s="44" t="s">
        <v>13</v>
      </c>
      <c r="J115" s="72" t="s">
        <v>1376</v>
      </c>
      <c r="K115" s="73">
        <v>41982</v>
      </c>
      <c r="L115" s="30">
        <v>2014</v>
      </c>
      <c r="M115" s="30">
        <f t="shared" si="10"/>
        <v>5</v>
      </c>
      <c r="N115" s="44" t="s">
        <v>3</v>
      </c>
      <c r="O115" s="44" t="s">
        <v>1229</v>
      </c>
      <c r="P115" s="72" t="s">
        <v>1320</v>
      </c>
      <c r="Q115" s="44"/>
      <c r="R115" s="72" t="s">
        <v>1332</v>
      </c>
    </row>
    <row r="116" spans="2:18" ht="25.5" x14ac:dyDescent="0.2">
      <c r="B116" s="135">
        <v>35</v>
      </c>
      <c r="C116" s="119" t="s">
        <v>1780</v>
      </c>
      <c r="D116" s="44">
        <v>109</v>
      </c>
      <c r="E116" s="72" t="s">
        <v>735</v>
      </c>
      <c r="F116" s="44" t="s">
        <v>6</v>
      </c>
      <c r="G116" s="44" t="s">
        <v>736</v>
      </c>
      <c r="H116" s="44" t="s">
        <v>1</v>
      </c>
      <c r="I116" s="44" t="s">
        <v>2</v>
      </c>
      <c r="J116" s="72" t="s">
        <v>1228</v>
      </c>
      <c r="K116" s="73">
        <v>25856</v>
      </c>
      <c r="L116" s="30">
        <v>1970</v>
      </c>
      <c r="M116" s="30">
        <f t="shared" si="10"/>
        <v>49</v>
      </c>
      <c r="N116" s="44" t="s">
        <v>3</v>
      </c>
      <c r="O116" s="44" t="s">
        <v>1229</v>
      </c>
      <c r="P116" s="72" t="s">
        <v>1320</v>
      </c>
      <c r="Q116" s="44"/>
      <c r="R116" s="72" t="s">
        <v>1330</v>
      </c>
    </row>
    <row r="117" spans="2:18" ht="25.5" x14ac:dyDescent="0.2">
      <c r="B117" s="135"/>
      <c r="C117" s="119"/>
      <c r="D117" s="44">
        <v>110</v>
      </c>
      <c r="E117" s="72" t="s">
        <v>737</v>
      </c>
      <c r="F117" s="44" t="s">
        <v>11</v>
      </c>
      <c r="G117" s="44" t="s">
        <v>738</v>
      </c>
      <c r="H117" s="44" t="s">
        <v>9</v>
      </c>
      <c r="I117" s="44" t="s">
        <v>2</v>
      </c>
      <c r="J117" s="72" t="s">
        <v>1228</v>
      </c>
      <c r="K117" s="73">
        <v>26957</v>
      </c>
      <c r="L117" s="30">
        <v>1973</v>
      </c>
      <c r="M117" s="30">
        <f t="shared" si="10"/>
        <v>46</v>
      </c>
      <c r="N117" s="44" t="s">
        <v>3</v>
      </c>
      <c r="O117" s="44" t="s">
        <v>1229</v>
      </c>
      <c r="P117" s="72" t="s">
        <v>1320</v>
      </c>
      <c r="Q117" s="44"/>
      <c r="R117" s="72" t="s">
        <v>1330</v>
      </c>
    </row>
    <row r="118" spans="2:18" ht="25.5" x14ac:dyDescent="0.2">
      <c r="B118" s="135"/>
      <c r="C118" s="119"/>
      <c r="D118" s="44">
        <v>111</v>
      </c>
      <c r="E118" s="72" t="s">
        <v>209</v>
      </c>
      <c r="F118" s="44" t="s">
        <v>16</v>
      </c>
      <c r="G118" s="44" t="s">
        <v>1782</v>
      </c>
      <c r="H118" s="44" t="s">
        <v>1</v>
      </c>
      <c r="I118" s="44" t="s">
        <v>13</v>
      </c>
      <c r="J118" s="72" t="s">
        <v>1228</v>
      </c>
      <c r="K118" s="73">
        <v>35284</v>
      </c>
      <c r="L118" s="30">
        <v>1996</v>
      </c>
      <c r="M118" s="30">
        <f t="shared" si="10"/>
        <v>23</v>
      </c>
      <c r="N118" s="44" t="s">
        <v>3</v>
      </c>
      <c r="O118" s="44" t="s">
        <v>1229</v>
      </c>
      <c r="P118" s="72" t="s">
        <v>1233</v>
      </c>
      <c r="Q118" s="44"/>
      <c r="R118" s="72" t="s">
        <v>1326</v>
      </c>
    </row>
    <row r="119" spans="2:18" ht="25.5" x14ac:dyDescent="0.2">
      <c r="B119" s="135"/>
      <c r="C119" s="119"/>
      <c r="D119" s="44">
        <v>112</v>
      </c>
      <c r="E119" s="72" t="s">
        <v>1781</v>
      </c>
      <c r="F119" s="44" t="s">
        <v>16</v>
      </c>
      <c r="G119" s="44" t="s">
        <v>739</v>
      </c>
      <c r="H119" s="44" t="s">
        <v>9</v>
      </c>
      <c r="I119" s="44" t="s">
        <v>13</v>
      </c>
      <c r="J119" s="72" t="s">
        <v>1228</v>
      </c>
      <c r="K119" s="73">
        <v>39429</v>
      </c>
      <c r="L119" s="30">
        <v>2007</v>
      </c>
      <c r="M119" s="30">
        <f t="shared" si="10"/>
        <v>12</v>
      </c>
      <c r="N119" s="44" t="s">
        <v>3</v>
      </c>
      <c r="O119" s="44" t="s">
        <v>1229</v>
      </c>
      <c r="P119" s="72" t="s">
        <v>1320</v>
      </c>
      <c r="Q119" s="44"/>
      <c r="R119" s="72" t="s">
        <v>1332</v>
      </c>
    </row>
    <row r="120" spans="2:18" ht="25.5" x14ac:dyDescent="0.2">
      <c r="B120" s="135">
        <v>36</v>
      </c>
      <c r="C120" s="119" t="s">
        <v>1783</v>
      </c>
      <c r="D120" s="44">
        <v>113</v>
      </c>
      <c r="E120" s="72" t="s">
        <v>675</v>
      </c>
      <c r="F120" s="44" t="s">
        <v>6</v>
      </c>
      <c r="G120" s="44" t="s">
        <v>1787</v>
      </c>
      <c r="H120" s="44" t="s">
        <v>1</v>
      </c>
      <c r="I120" s="44" t="s">
        <v>2</v>
      </c>
      <c r="J120" s="72" t="s">
        <v>1228</v>
      </c>
      <c r="K120" s="73">
        <v>25750</v>
      </c>
      <c r="L120" s="30">
        <v>1970</v>
      </c>
      <c r="M120" s="30">
        <f t="shared" si="10"/>
        <v>49</v>
      </c>
      <c r="N120" s="44" t="s">
        <v>3</v>
      </c>
      <c r="O120" s="44" t="s">
        <v>1229</v>
      </c>
      <c r="P120" s="72" t="s">
        <v>1233</v>
      </c>
      <c r="Q120" s="44"/>
      <c r="R120" s="72" t="s">
        <v>1330</v>
      </c>
    </row>
    <row r="121" spans="2:18" x14ac:dyDescent="0.2">
      <c r="B121" s="135"/>
      <c r="C121" s="119"/>
      <c r="D121" s="44">
        <v>114</v>
      </c>
      <c r="E121" s="72" t="s">
        <v>1784</v>
      </c>
      <c r="F121" s="44" t="s">
        <v>11</v>
      </c>
      <c r="G121" s="44" t="s">
        <v>1786</v>
      </c>
      <c r="H121" s="44" t="s">
        <v>9</v>
      </c>
      <c r="I121" s="44" t="s">
        <v>2</v>
      </c>
      <c r="J121" s="72" t="s">
        <v>1228</v>
      </c>
      <c r="K121" s="73">
        <v>25933</v>
      </c>
      <c r="L121" s="30">
        <v>1970</v>
      </c>
      <c r="M121" s="30">
        <f t="shared" si="10"/>
        <v>49</v>
      </c>
      <c r="N121" s="44" t="s">
        <v>3</v>
      </c>
      <c r="O121" s="44" t="s">
        <v>1229</v>
      </c>
      <c r="P121" s="72" t="s">
        <v>1246</v>
      </c>
      <c r="Q121" s="44"/>
      <c r="R121" s="72" t="s">
        <v>5</v>
      </c>
    </row>
    <row r="122" spans="2:18" ht="25.5" x14ac:dyDescent="0.2">
      <c r="B122" s="135"/>
      <c r="C122" s="119"/>
      <c r="D122" s="44">
        <v>115</v>
      </c>
      <c r="E122" s="72" t="s">
        <v>740</v>
      </c>
      <c r="F122" s="44" t="s">
        <v>16</v>
      </c>
      <c r="G122" s="44" t="s">
        <v>741</v>
      </c>
      <c r="H122" s="44" t="s">
        <v>1</v>
      </c>
      <c r="I122" s="44" t="s">
        <v>13</v>
      </c>
      <c r="J122" s="72" t="s">
        <v>1228</v>
      </c>
      <c r="K122" s="73">
        <v>36996</v>
      </c>
      <c r="L122" s="30">
        <v>2001</v>
      </c>
      <c r="M122" s="30">
        <f t="shared" si="10"/>
        <v>18</v>
      </c>
      <c r="N122" s="44" t="s">
        <v>3</v>
      </c>
      <c r="O122" s="44" t="s">
        <v>1229</v>
      </c>
      <c r="P122" s="72" t="s">
        <v>1246</v>
      </c>
      <c r="Q122" s="44"/>
      <c r="R122" s="72" t="s">
        <v>1326</v>
      </c>
    </row>
    <row r="123" spans="2:18" ht="25.5" x14ac:dyDescent="0.2">
      <c r="B123" s="135"/>
      <c r="C123" s="119"/>
      <c r="D123" s="44">
        <v>116</v>
      </c>
      <c r="E123" s="72" t="s">
        <v>742</v>
      </c>
      <c r="F123" s="44" t="s">
        <v>16</v>
      </c>
      <c r="G123" s="44" t="s">
        <v>1785</v>
      </c>
      <c r="H123" s="44" t="s">
        <v>9</v>
      </c>
      <c r="I123" s="44" t="s">
        <v>13</v>
      </c>
      <c r="J123" s="72" t="s">
        <v>1228</v>
      </c>
      <c r="K123" s="73">
        <v>40882</v>
      </c>
      <c r="L123" s="30">
        <v>2011</v>
      </c>
      <c r="M123" s="30">
        <f t="shared" si="10"/>
        <v>8</v>
      </c>
      <c r="N123" s="44" t="s">
        <v>3</v>
      </c>
      <c r="O123" s="44" t="s">
        <v>1229</v>
      </c>
      <c r="P123" s="72" t="s">
        <v>1320</v>
      </c>
      <c r="Q123" s="44"/>
      <c r="R123" s="72" t="s">
        <v>1332</v>
      </c>
    </row>
    <row r="124" spans="2:18" ht="25.5" x14ac:dyDescent="0.2">
      <c r="B124" s="135">
        <v>37</v>
      </c>
      <c r="C124" s="119" t="s">
        <v>1788</v>
      </c>
      <c r="D124" s="44">
        <v>117</v>
      </c>
      <c r="E124" s="72" t="s">
        <v>743</v>
      </c>
      <c r="F124" s="44" t="s">
        <v>6</v>
      </c>
      <c r="G124" s="44" t="s">
        <v>744</v>
      </c>
      <c r="H124" s="44" t="s">
        <v>1</v>
      </c>
      <c r="I124" s="44" t="s">
        <v>2</v>
      </c>
      <c r="J124" s="72" t="s">
        <v>1228</v>
      </c>
      <c r="K124" s="73">
        <v>26288</v>
      </c>
      <c r="L124" s="30">
        <v>1971</v>
      </c>
      <c r="M124" s="30">
        <f t="shared" si="10"/>
        <v>48</v>
      </c>
      <c r="N124" s="44" t="s">
        <v>3</v>
      </c>
      <c r="O124" s="44" t="s">
        <v>1229</v>
      </c>
      <c r="P124" s="72" t="s">
        <v>1233</v>
      </c>
      <c r="Q124" s="44"/>
      <c r="R124" s="72" t="s">
        <v>1330</v>
      </c>
    </row>
    <row r="125" spans="2:18" ht="25.5" x14ac:dyDescent="0.2">
      <c r="B125" s="135"/>
      <c r="C125" s="119"/>
      <c r="D125" s="44">
        <v>118</v>
      </c>
      <c r="E125" s="72" t="s">
        <v>1789</v>
      </c>
      <c r="F125" s="44" t="s">
        <v>11</v>
      </c>
      <c r="G125" s="44" t="s">
        <v>745</v>
      </c>
      <c r="H125" s="44" t="s">
        <v>9</v>
      </c>
      <c r="I125" s="44" t="s">
        <v>2</v>
      </c>
      <c r="J125" s="72" t="s">
        <v>1228</v>
      </c>
      <c r="K125" s="73">
        <v>28507</v>
      </c>
      <c r="L125" s="30">
        <v>1978</v>
      </c>
      <c r="M125" s="30">
        <f t="shared" si="10"/>
        <v>41</v>
      </c>
      <c r="N125" s="44" t="s">
        <v>3</v>
      </c>
      <c r="O125" s="44" t="s">
        <v>1229</v>
      </c>
      <c r="P125" s="72" t="s">
        <v>1233</v>
      </c>
      <c r="Q125" s="44"/>
      <c r="R125" s="72" t="s">
        <v>1330</v>
      </c>
    </row>
    <row r="126" spans="2:18" ht="25.5" x14ac:dyDescent="0.2">
      <c r="B126" s="135"/>
      <c r="C126" s="119"/>
      <c r="D126" s="44">
        <v>119</v>
      </c>
      <c r="E126" s="72" t="s">
        <v>746</v>
      </c>
      <c r="F126" s="44" t="s">
        <v>16</v>
      </c>
      <c r="G126" s="44" t="s">
        <v>747</v>
      </c>
      <c r="H126" s="44" t="s">
        <v>9</v>
      </c>
      <c r="I126" s="44" t="s">
        <v>13</v>
      </c>
      <c r="J126" s="72" t="s">
        <v>1228</v>
      </c>
      <c r="K126" s="73">
        <v>38748</v>
      </c>
      <c r="L126" s="30">
        <v>2006</v>
      </c>
      <c r="M126" s="30">
        <f t="shared" si="10"/>
        <v>13</v>
      </c>
      <c r="N126" s="44" t="s">
        <v>3</v>
      </c>
      <c r="O126" s="44" t="s">
        <v>1229</v>
      </c>
      <c r="P126" s="72" t="s">
        <v>1320</v>
      </c>
      <c r="Q126" s="44"/>
      <c r="R126" s="72" t="s">
        <v>1332</v>
      </c>
    </row>
    <row r="127" spans="2:18" x14ac:dyDescent="0.2">
      <c r="B127" s="135">
        <v>38</v>
      </c>
      <c r="C127" s="135"/>
      <c r="D127" s="44">
        <v>120</v>
      </c>
      <c r="E127" s="72" t="s">
        <v>748</v>
      </c>
      <c r="F127" s="44" t="s">
        <v>6</v>
      </c>
      <c r="G127" s="44" t="s">
        <v>749</v>
      </c>
      <c r="H127" s="44" t="s">
        <v>9</v>
      </c>
      <c r="I127" s="44" t="s">
        <v>19</v>
      </c>
      <c r="J127" s="72"/>
      <c r="K127" s="73">
        <v>25203</v>
      </c>
      <c r="L127" s="30">
        <f t="shared" ref="L127:L129" si="11">YEAR(K127)</f>
        <v>1968</v>
      </c>
      <c r="M127" s="30">
        <f t="shared" si="10"/>
        <v>51</v>
      </c>
      <c r="N127" s="44" t="s">
        <v>3</v>
      </c>
      <c r="O127" s="44"/>
      <c r="P127" s="72" t="s">
        <v>15</v>
      </c>
      <c r="Q127" s="44"/>
      <c r="R127" s="72" t="s">
        <v>34</v>
      </c>
    </row>
    <row r="128" spans="2:18" ht="25.5" x14ac:dyDescent="0.2">
      <c r="B128" s="135"/>
      <c r="C128" s="135"/>
      <c r="D128" s="44">
        <v>121</v>
      </c>
      <c r="E128" s="72" t="s">
        <v>750</v>
      </c>
      <c r="F128" s="44" t="s">
        <v>16</v>
      </c>
      <c r="G128" s="44" t="s">
        <v>751</v>
      </c>
      <c r="H128" s="44" t="s">
        <v>1</v>
      </c>
      <c r="I128" s="44" t="s">
        <v>13</v>
      </c>
      <c r="J128" s="72"/>
      <c r="K128" s="73">
        <v>36160</v>
      </c>
      <c r="L128" s="30">
        <f t="shared" si="11"/>
        <v>1998</v>
      </c>
      <c r="M128" s="30">
        <f t="shared" si="10"/>
        <v>21</v>
      </c>
      <c r="N128" s="44" t="s">
        <v>3</v>
      </c>
      <c r="O128" s="44"/>
      <c r="P128" s="72" t="s">
        <v>4</v>
      </c>
      <c r="Q128" s="44"/>
      <c r="R128" s="72" t="s">
        <v>15</v>
      </c>
    </row>
    <row r="129" spans="2:18" x14ac:dyDescent="0.2">
      <c r="B129" s="90">
        <v>39</v>
      </c>
      <c r="C129" s="44"/>
      <c r="D129" s="44">
        <v>122</v>
      </c>
      <c r="E129" s="72" t="s">
        <v>752</v>
      </c>
      <c r="F129" s="44" t="s">
        <v>6</v>
      </c>
      <c r="G129" s="44">
        <v>0</v>
      </c>
      <c r="H129" s="44" t="s">
        <v>1</v>
      </c>
      <c r="I129" s="44" t="s">
        <v>95</v>
      </c>
      <c r="J129" s="72"/>
      <c r="K129" s="73">
        <v>19944</v>
      </c>
      <c r="L129" s="30">
        <f t="shared" si="11"/>
        <v>1954</v>
      </c>
      <c r="M129" s="30">
        <f t="shared" si="10"/>
        <v>65</v>
      </c>
      <c r="N129" s="44" t="s">
        <v>3</v>
      </c>
      <c r="O129" s="44"/>
      <c r="P129" s="72" t="s">
        <v>15</v>
      </c>
      <c r="Q129" s="44"/>
      <c r="R129" s="72" t="s">
        <v>15</v>
      </c>
    </row>
    <row r="130" spans="2:18" ht="25.5" x14ac:dyDescent="0.2">
      <c r="B130" s="139">
        <v>40</v>
      </c>
      <c r="C130" s="139"/>
      <c r="D130" s="44">
        <v>123</v>
      </c>
      <c r="E130" s="72" t="s">
        <v>753</v>
      </c>
      <c r="F130" s="44" t="s">
        <v>6</v>
      </c>
      <c r="G130" s="44" t="s">
        <v>754</v>
      </c>
      <c r="H130" s="44" t="s">
        <v>1</v>
      </c>
      <c r="I130" s="44" t="s">
        <v>2</v>
      </c>
      <c r="J130" s="72" t="s">
        <v>1228</v>
      </c>
      <c r="K130" s="73">
        <v>20468</v>
      </c>
      <c r="L130" s="30">
        <v>1956</v>
      </c>
      <c r="M130" s="30">
        <f t="shared" si="10"/>
        <v>63</v>
      </c>
      <c r="N130" s="44" t="s">
        <v>3</v>
      </c>
      <c r="O130" s="44" t="s">
        <v>1229</v>
      </c>
      <c r="P130" s="72" t="s">
        <v>1320</v>
      </c>
      <c r="Q130" s="44"/>
      <c r="R130" s="72" t="s">
        <v>5</v>
      </c>
    </row>
    <row r="131" spans="2:18" ht="25.5" x14ac:dyDescent="0.2">
      <c r="B131" s="141"/>
      <c r="C131" s="141"/>
      <c r="D131" s="44">
        <v>124</v>
      </c>
      <c r="E131" s="72" t="s">
        <v>1806</v>
      </c>
      <c r="F131" s="44" t="s">
        <v>11</v>
      </c>
      <c r="G131" s="44" t="s">
        <v>1807</v>
      </c>
      <c r="H131" s="44" t="s">
        <v>9</v>
      </c>
      <c r="I131" s="44" t="s">
        <v>2</v>
      </c>
      <c r="J131" s="72" t="s">
        <v>1808</v>
      </c>
      <c r="K131" s="73">
        <v>30682</v>
      </c>
      <c r="L131" s="30">
        <v>1984</v>
      </c>
      <c r="M131" s="30">
        <f t="shared" si="10"/>
        <v>35</v>
      </c>
      <c r="N131" s="44" t="s">
        <v>3</v>
      </c>
      <c r="O131" s="44" t="s">
        <v>1229</v>
      </c>
      <c r="P131" s="72" t="s">
        <v>1233</v>
      </c>
      <c r="Q131" s="44"/>
      <c r="R131" s="72" t="s">
        <v>1360</v>
      </c>
    </row>
    <row r="132" spans="2:18" x14ac:dyDescent="0.2">
      <c r="B132" s="135">
        <v>41</v>
      </c>
      <c r="C132" s="135"/>
      <c r="D132" s="44">
        <v>125</v>
      </c>
      <c r="E132" s="72" t="s">
        <v>292</v>
      </c>
      <c r="F132" s="44" t="s">
        <v>6</v>
      </c>
      <c r="G132" s="44" t="s">
        <v>755</v>
      </c>
      <c r="H132" s="44" t="s">
        <v>1</v>
      </c>
      <c r="I132" s="44" t="s">
        <v>2</v>
      </c>
      <c r="J132" s="72"/>
      <c r="K132" s="73">
        <v>22649</v>
      </c>
      <c r="L132" s="30">
        <f t="shared" ref="L132:L136" si="12">YEAR(K132)</f>
        <v>1962</v>
      </c>
      <c r="M132" s="30">
        <f t="shared" si="10"/>
        <v>57</v>
      </c>
      <c r="N132" s="44" t="s">
        <v>3</v>
      </c>
      <c r="O132" s="44"/>
      <c r="P132" s="72" t="s">
        <v>15</v>
      </c>
      <c r="Q132" s="44"/>
      <c r="R132" s="72" t="s">
        <v>5</v>
      </c>
    </row>
    <row r="133" spans="2:18" x14ac:dyDescent="0.2">
      <c r="B133" s="135"/>
      <c r="C133" s="135"/>
      <c r="D133" s="44">
        <v>126</v>
      </c>
      <c r="E133" s="72" t="s">
        <v>756</v>
      </c>
      <c r="F133" s="44" t="s">
        <v>11</v>
      </c>
      <c r="G133" s="44" t="s">
        <v>757</v>
      </c>
      <c r="H133" s="44" t="s">
        <v>9</v>
      </c>
      <c r="I133" s="44" t="s">
        <v>2</v>
      </c>
      <c r="J133" s="72"/>
      <c r="K133" s="73">
        <v>26119</v>
      </c>
      <c r="L133" s="30">
        <f t="shared" si="12"/>
        <v>1971</v>
      </c>
      <c r="M133" s="30">
        <f t="shared" si="10"/>
        <v>48</v>
      </c>
      <c r="N133" s="44" t="s">
        <v>3</v>
      </c>
      <c r="O133" s="44"/>
      <c r="P133" s="72" t="s">
        <v>14</v>
      </c>
      <c r="Q133" s="44"/>
      <c r="R133" s="72" t="s">
        <v>5</v>
      </c>
    </row>
    <row r="134" spans="2:18" ht="25.5" x14ac:dyDescent="0.2">
      <c r="B134" s="135"/>
      <c r="C134" s="135"/>
      <c r="D134" s="44">
        <v>127</v>
      </c>
      <c r="E134" s="72" t="s">
        <v>758</v>
      </c>
      <c r="F134" s="44" t="s">
        <v>16</v>
      </c>
      <c r="G134" s="44">
        <v>0</v>
      </c>
      <c r="H134" s="44" t="s">
        <v>1</v>
      </c>
      <c r="I134" s="44" t="s">
        <v>13</v>
      </c>
      <c r="J134" s="72"/>
      <c r="K134" s="73">
        <v>35242</v>
      </c>
      <c r="L134" s="30">
        <f t="shared" si="12"/>
        <v>1996</v>
      </c>
      <c r="M134" s="30">
        <f t="shared" si="10"/>
        <v>23</v>
      </c>
      <c r="N134" s="44" t="s">
        <v>3</v>
      </c>
      <c r="O134" s="44"/>
      <c r="P134" s="72" t="s">
        <v>28</v>
      </c>
      <c r="Q134" s="44"/>
      <c r="R134" s="72" t="s">
        <v>15</v>
      </c>
    </row>
    <row r="135" spans="2:18" x14ac:dyDescent="0.2">
      <c r="B135" s="135">
        <v>42</v>
      </c>
      <c r="C135" s="135"/>
      <c r="D135" s="44">
        <v>128</v>
      </c>
      <c r="E135" s="72" t="s">
        <v>333</v>
      </c>
      <c r="F135" s="44" t="s">
        <v>6</v>
      </c>
      <c r="G135" s="44" t="s">
        <v>759</v>
      </c>
      <c r="H135" s="44" t="s">
        <v>1</v>
      </c>
      <c r="I135" s="44" t="s">
        <v>2</v>
      </c>
      <c r="J135" s="72"/>
      <c r="K135" s="73">
        <v>27029</v>
      </c>
      <c r="L135" s="30">
        <f t="shared" si="12"/>
        <v>1973</v>
      </c>
      <c r="M135" s="30">
        <f t="shared" si="10"/>
        <v>46</v>
      </c>
      <c r="N135" s="44" t="s">
        <v>3</v>
      </c>
      <c r="O135" s="44"/>
      <c r="P135" s="72" t="s">
        <v>15</v>
      </c>
      <c r="Q135" s="44"/>
      <c r="R135" s="72" t="s">
        <v>5</v>
      </c>
    </row>
    <row r="136" spans="2:18" x14ac:dyDescent="0.2">
      <c r="B136" s="135"/>
      <c r="C136" s="135"/>
      <c r="D136" s="44">
        <v>129</v>
      </c>
      <c r="E136" s="72" t="s">
        <v>760</v>
      </c>
      <c r="F136" s="44" t="s">
        <v>16</v>
      </c>
      <c r="G136" s="44" t="s">
        <v>761</v>
      </c>
      <c r="H136" s="44" t="s">
        <v>9</v>
      </c>
      <c r="I136" s="44" t="s">
        <v>2</v>
      </c>
      <c r="J136" s="72"/>
      <c r="K136" s="73">
        <v>27759</v>
      </c>
      <c r="L136" s="30">
        <f t="shared" si="12"/>
        <v>1975</v>
      </c>
      <c r="M136" s="30">
        <f t="shared" si="10"/>
        <v>44</v>
      </c>
      <c r="N136" s="44" t="s">
        <v>3</v>
      </c>
      <c r="O136" s="44"/>
      <c r="P136" s="72" t="s">
        <v>15</v>
      </c>
      <c r="Q136" s="44"/>
      <c r="R136" s="72" t="s">
        <v>5</v>
      </c>
    </row>
    <row r="137" spans="2:18" x14ac:dyDescent="0.2">
      <c r="B137" s="135">
        <v>43</v>
      </c>
      <c r="C137" s="119" t="s">
        <v>1778</v>
      </c>
      <c r="D137" s="44">
        <v>130</v>
      </c>
      <c r="E137" s="72" t="s">
        <v>762</v>
      </c>
      <c r="F137" s="44" t="s">
        <v>6</v>
      </c>
      <c r="G137" s="44" t="s">
        <v>763</v>
      </c>
      <c r="H137" s="44" t="s">
        <v>1</v>
      </c>
      <c r="I137" s="44" t="s">
        <v>2</v>
      </c>
      <c r="J137" s="72" t="s">
        <v>1228</v>
      </c>
      <c r="K137" s="73">
        <v>25629</v>
      </c>
      <c r="L137" s="30">
        <v>1970</v>
      </c>
      <c r="M137" s="30">
        <f t="shared" si="10"/>
        <v>49</v>
      </c>
      <c r="N137" s="44" t="s">
        <v>3</v>
      </c>
      <c r="O137" s="44" t="s">
        <v>1229</v>
      </c>
      <c r="P137" s="72" t="s">
        <v>1270</v>
      </c>
      <c r="Q137" s="44"/>
      <c r="R137" s="72" t="s">
        <v>5</v>
      </c>
    </row>
    <row r="138" spans="2:18" ht="25.5" x14ac:dyDescent="0.2">
      <c r="B138" s="135"/>
      <c r="C138" s="119"/>
      <c r="D138" s="44">
        <v>131</v>
      </c>
      <c r="E138" s="72" t="s">
        <v>764</v>
      </c>
      <c r="F138" s="44" t="s">
        <v>11</v>
      </c>
      <c r="G138" s="44" t="s">
        <v>765</v>
      </c>
      <c r="H138" s="44" t="s">
        <v>9</v>
      </c>
      <c r="I138" s="44" t="s">
        <v>2</v>
      </c>
      <c r="J138" s="72" t="s">
        <v>1228</v>
      </c>
      <c r="K138" s="73">
        <v>27760</v>
      </c>
      <c r="L138" s="30">
        <v>1976</v>
      </c>
      <c r="M138" s="30">
        <f t="shared" ref="M138:M202" si="13">2019-L138</f>
        <v>43</v>
      </c>
      <c r="N138" s="44" t="s">
        <v>3</v>
      </c>
      <c r="O138" s="44" t="s">
        <v>1229</v>
      </c>
      <c r="P138" s="72" t="s">
        <v>1233</v>
      </c>
      <c r="Q138" s="44"/>
      <c r="R138" s="72" t="s">
        <v>1360</v>
      </c>
    </row>
    <row r="139" spans="2:18" ht="25.5" x14ac:dyDescent="0.2">
      <c r="B139" s="135"/>
      <c r="C139" s="119"/>
      <c r="D139" s="44">
        <v>132</v>
      </c>
      <c r="E139" s="72" t="s">
        <v>766</v>
      </c>
      <c r="F139" s="44" t="s">
        <v>16</v>
      </c>
      <c r="G139" s="44" t="s">
        <v>767</v>
      </c>
      <c r="H139" s="44" t="s">
        <v>9</v>
      </c>
      <c r="I139" s="44" t="s">
        <v>13</v>
      </c>
      <c r="J139" s="72" t="s">
        <v>1228</v>
      </c>
      <c r="K139" s="73">
        <v>33930</v>
      </c>
      <c r="L139" s="30">
        <v>1992</v>
      </c>
      <c r="M139" s="30">
        <f t="shared" si="13"/>
        <v>27</v>
      </c>
      <c r="N139" s="44" t="s">
        <v>3</v>
      </c>
      <c r="O139" s="44" t="s">
        <v>1229</v>
      </c>
      <c r="P139" s="72" t="s">
        <v>1270</v>
      </c>
      <c r="Q139" s="44"/>
      <c r="R139" s="72" t="s">
        <v>1332</v>
      </c>
    </row>
    <row r="140" spans="2:18" ht="25.5" x14ac:dyDescent="0.2">
      <c r="B140" s="135"/>
      <c r="C140" s="119"/>
      <c r="D140" s="44">
        <v>133</v>
      </c>
      <c r="E140" s="72" t="s">
        <v>1779</v>
      </c>
      <c r="F140" s="44" t="s">
        <v>16</v>
      </c>
      <c r="G140" s="44" t="s">
        <v>768</v>
      </c>
      <c r="H140" s="44" t="s">
        <v>9</v>
      </c>
      <c r="I140" s="44" t="s">
        <v>13</v>
      </c>
      <c r="J140" s="72" t="s">
        <v>1228</v>
      </c>
      <c r="K140" s="73">
        <v>34354</v>
      </c>
      <c r="L140" s="30">
        <v>1994</v>
      </c>
      <c r="M140" s="30">
        <f t="shared" si="13"/>
        <v>25</v>
      </c>
      <c r="N140" s="44" t="s">
        <v>3</v>
      </c>
      <c r="O140" s="44" t="s">
        <v>1229</v>
      </c>
      <c r="P140" s="72" t="s">
        <v>1270</v>
      </c>
      <c r="Q140" s="44"/>
      <c r="R140" s="72" t="s">
        <v>1332</v>
      </c>
    </row>
    <row r="141" spans="2:18" ht="25.5" x14ac:dyDescent="0.2">
      <c r="B141" s="135"/>
      <c r="C141" s="119"/>
      <c r="D141" s="44">
        <v>134</v>
      </c>
      <c r="E141" s="72" t="s">
        <v>769</v>
      </c>
      <c r="F141" s="44" t="s">
        <v>16</v>
      </c>
      <c r="G141" s="44" t="s">
        <v>770</v>
      </c>
      <c r="H141" s="44" t="s">
        <v>1</v>
      </c>
      <c r="I141" s="44" t="s">
        <v>13</v>
      </c>
      <c r="J141" s="72" t="s">
        <v>1228</v>
      </c>
      <c r="K141" s="73">
        <v>38432</v>
      </c>
      <c r="L141" s="30">
        <v>2005</v>
      </c>
      <c r="M141" s="30">
        <f t="shared" si="13"/>
        <v>14</v>
      </c>
      <c r="N141" s="44" t="s">
        <v>3</v>
      </c>
      <c r="O141" s="44" t="s">
        <v>1229</v>
      </c>
      <c r="P141" s="72" t="s">
        <v>1247</v>
      </c>
      <c r="Q141" s="44"/>
      <c r="R141" s="72" t="s">
        <v>1326</v>
      </c>
    </row>
    <row r="142" spans="2:18" x14ac:dyDescent="0.2">
      <c r="B142" s="135">
        <v>44</v>
      </c>
      <c r="C142" s="119" t="s">
        <v>1775</v>
      </c>
      <c r="D142" s="44">
        <v>135</v>
      </c>
      <c r="E142" s="72" t="s">
        <v>771</v>
      </c>
      <c r="F142" s="44" t="s">
        <v>6</v>
      </c>
      <c r="G142" s="44" t="s">
        <v>772</v>
      </c>
      <c r="H142" s="44" t="s">
        <v>1</v>
      </c>
      <c r="I142" s="44" t="s">
        <v>2</v>
      </c>
      <c r="J142" s="72" t="s">
        <v>1228</v>
      </c>
      <c r="K142" s="73">
        <v>31049</v>
      </c>
      <c r="L142" s="30">
        <v>1985</v>
      </c>
      <c r="M142" s="30">
        <f t="shared" si="13"/>
        <v>34</v>
      </c>
      <c r="N142" s="44" t="s">
        <v>3</v>
      </c>
      <c r="O142" s="44" t="s">
        <v>1229</v>
      </c>
      <c r="P142" s="72" t="s">
        <v>1246</v>
      </c>
      <c r="Q142" s="44"/>
      <c r="R142" s="72" t="s">
        <v>5</v>
      </c>
    </row>
    <row r="143" spans="2:18" ht="25.5" x14ac:dyDescent="0.2">
      <c r="B143" s="135"/>
      <c r="C143" s="119"/>
      <c r="D143" s="44">
        <v>136</v>
      </c>
      <c r="E143" s="72" t="s">
        <v>1776</v>
      </c>
      <c r="F143" s="44" t="s">
        <v>11</v>
      </c>
      <c r="G143" s="44" t="s">
        <v>773</v>
      </c>
      <c r="H143" s="44" t="s">
        <v>9</v>
      </c>
      <c r="I143" s="44" t="s">
        <v>2</v>
      </c>
      <c r="J143" s="72" t="s">
        <v>1228</v>
      </c>
      <c r="K143" s="73">
        <v>33546</v>
      </c>
      <c r="L143" s="30">
        <v>1991</v>
      </c>
      <c r="M143" s="30">
        <f t="shared" si="13"/>
        <v>28</v>
      </c>
      <c r="N143" s="44" t="s">
        <v>3</v>
      </c>
      <c r="O143" s="44" t="s">
        <v>1229</v>
      </c>
      <c r="P143" s="72" t="s">
        <v>1270</v>
      </c>
      <c r="Q143" s="44"/>
      <c r="R143" s="72" t="s">
        <v>1360</v>
      </c>
    </row>
    <row r="144" spans="2:18" ht="25.5" x14ac:dyDescent="0.2">
      <c r="B144" s="135"/>
      <c r="C144" s="119"/>
      <c r="D144" s="44">
        <v>137</v>
      </c>
      <c r="E144" s="72" t="s">
        <v>1777</v>
      </c>
      <c r="F144" s="44" t="s">
        <v>16</v>
      </c>
      <c r="G144" s="44" t="s">
        <v>774</v>
      </c>
      <c r="H144" s="44" t="s">
        <v>9</v>
      </c>
      <c r="I144" s="44" t="s">
        <v>13</v>
      </c>
      <c r="J144" s="72" t="s">
        <v>1228</v>
      </c>
      <c r="K144" s="73">
        <v>41553</v>
      </c>
      <c r="L144" s="30">
        <v>2013</v>
      </c>
      <c r="M144" s="30">
        <f t="shared" si="13"/>
        <v>6</v>
      </c>
      <c r="N144" s="44" t="s">
        <v>3</v>
      </c>
      <c r="O144" s="44" t="s">
        <v>1229</v>
      </c>
      <c r="P144" s="72" t="s">
        <v>1320</v>
      </c>
      <c r="Q144" s="44"/>
      <c r="R144" s="72" t="s">
        <v>1332</v>
      </c>
    </row>
    <row r="145" spans="2:18" ht="25.5" x14ac:dyDescent="0.2">
      <c r="B145" s="90">
        <v>45</v>
      </c>
      <c r="C145" s="44"/>
      <c r="D145" s="44">
        <v>138</v>
      </c>
      <c r="E145" s="72" t="s">
        <v>775</v>
      </c>
      <c r="F145" s="44" t="s">
        <v>6</v>
      </c>
      <c r="G145" s="44" t="s">
        <v>776</v>
      </c>
      <c r="H145" s="44" t="s">
        <v>9</v>
      </c>
      <c r="I145" s="44" t="s">
        <v>19</v>
      </c>
      <c r="J145" s="72"/>
      <c r="K145" s="73">
        <v>21732</v>
      </c>
      <c r="L145" s="30">
        <f>YEAR(K145)</f>
        <v>1959</v>
      </c>
      <c r="M145" s="30">
        <f t="shared" si="13"/>
        <v>60</v>
      </c>
      <c r="N145" s="44" t="s">
        <v>3</v>
      </c>
      <c r="O145" s="44"/>
      <c r="P145" s="72" t="s">
        <v>15</v>
      </c>
      <c r="Q145" s="44"/>
      <c r="R145" s="72" t="s">
        <v>5</v>
      </c>
    </row>
    <row r="146" spans="2:18" ht="25.5" x14ac:dyDescent="0.2">
      <c r="B146" s="135">
        <v>46</v>
      </c>
      <c r="C146" s="119" t="s">
        <v>1605</v>
      </c>
      <c r="D146" s="44">
        <v>139</v>
      </c>
      <c r="E146" s="72" t="s">
        <v>777</v>
      </c>
      <c r="F146" s="44" t="s">
        <v>6</v>
      </c>
      <c r="G146" s="44" t="s">
        <v>1606</v>
      </c>
      <c r="H146" s="44" t="s">
        <v>1</v>
      </c>
      <c r="I146" s="44" t="s">
        <v>2</v>
      </c>
      <c r="J146" s="72" t="s">
        <v>1228</v>
      </c>
      <c r="K146" s="73">
        <v>29798</v>
      </c>
      <c r="L146" s="30">
        <v>1981</v>
      </c>
      <c r="M146" s="30">
        <f t="shared" si="13"/>
        <v>38</v>
      </c>
      <c r="N146" s="44" t="s">
        <v>3</v>
      </c>
      <c r="O146" s="44" t="s">
        <v>1229</v>
      </c>
      <c r="P146" s="72" t="s">
        <v>1233</v>
      </c>
      <c r="Q146" s="44"/>
      <c r="R146" s="72" t="s">
        <v>5</v>
      </c>
    </row>
    <row r="147" spans="2:18" ht="25.5" x14ac:dyDescent="0.2">
      <c r="B147" s="135"/>
      <c r="C147" s="119"/>
      <c r="D147" s="44">
        <v>140</v>
      </c>
      <c r="E147" s="72" t="s">
        <v>615</v>
      </c>
      <c r="F147" s="44" t="s">
        <v>11</v>
      </c>
      <c r="G147" s="44" t="s">
        <v>778</v>
      </c>
      <c r="H147" s="44" t="s">
        <v>9</v>
      </c>
      <c r="I147" s="44" t="s">
        <v>2</v>
      </c>
      <c r="J147" s="72" t="s">
        <v>1607</v>
      </c>
      <c r="K147" s="73">
        <v>30081</v>
      </c>
      <c r="L147" s="30">
        <v>1982</v>
      </c>
      <c r="M147" s="30">
        <f t="shared" si="13"/>
        <v>37</v>
      </c>
      <c r="N147" s="44" t="s">
        <v>3</v>
      </c>
      <c r="O147" s="44" t="s">
        <v>1229</v>
      </c>
      <c r="P147" s="72" t="s">
        <v>1233</v>
      </c>
      <c r="Q147" s="44"/>
      <c r="R147" s="72" t="s">
        <v>1330</v>
      </c>
    </row>
    <row r="148" spans="2:18" ht="25.5" x14ac:dyDescent="0.2">
      <c r="B148" s="135"/>
      <c r="C148" s="119"/>
      <c r="D148" s="44">
        <v>141</v>
      </c>
      <c r="E148" s="72" t="s">
        <v>1608</v>
      </c>
      <c r="F148" s="44" t="s">
        <v>16</v>
      </c>
      <c r="G148" s="44" t="s">
        <v>779</v>
      </c>
      <c r="H148" s="44" t="s">
        <v>9</v>
      </c>
      <c r="I148" s="44" t="s">
        <v>13</v>
      </c>
      <c r="J148" s="72" t="s">
        <v>1228</v>
      </c>
      <c r="K148" s="73">
        <v>38388</v>
      </c>
      <c r="L148" s="30">
        <v>2005</v>
      </c>
      <c r="M148" s="30">
        <f t="shared" si="13"/>
        <v>14</v>
      </c>
      <c r="N148" s="44" t="s">
        <v>3</v>
      </c>
      <c r="O148" s="44" t="s">
        <v>1229</v>
      </c>
      <c r="P148" s="72" t="s">
        <v>1320</v>
      </c>
      <c r="Q148" s="44"/>
      <c r="R148" s="72" t="s">
        <v>1326</v>
      </c>
    </row>
    <row r="149" spans="2:18" ht="25.5" x14ac:dyDescent="0.2">
      <c r="B149" s="135">
        <v>47</v>
      </c>
      <c r="C149" s="119" t="s">
        <v>1610</v>
      </c>
      <c r="D149" s="44">
        <v>142</v>
      </c>
      <c r="E149" s="72" t="s">
        <v>1609</v>
      </c>
      <c r="F149" s="44" t="s">
        <v>6</v>
      </c>
      <c r="G149" s="44" t="s">
        <v>780</v>
      </c>
      <c r="H149" s="44" t="s">
        <v>1</v>
      </c>
      <c r="I149" s="44" t="s">
        <v>2</v>
      </c>
      <c r="J149" s="72" t="s">
        <v>1228</v>
      </c>
      <c r="K149" s="73">
        <v>19176</v>
      </c>
      <c r="L149" s="30">
        <v>1952</v>
      </c>
      <c r="M149" s="30">
        <f t="shared" si="13"/>
        <v>67</v>
      </c>
      <c r="N149" s="44" t="s">
        <v>3</v>
      </c>
      <c r="O149" s="44" t="s">
        <v>1229</v>
      </c>
      <c r="P149" s="72" t="s">
        <v>1320</v>
      </c>
      <c r="Q149" s="44"/>
      <c r="R149" s="72" t="s">
        <v>1330</v>
      </c>
    </row>
    <row r="150" spans="2:18" ht="25.5" x14ac:dyDescent="0.2">
      <c r="B150" s="135"/>
      <c r="C150" s="119"/>
      <c r="D150" s="44">
        <v>143</v>
      </c>
      <c r="E150" s="72" t="s">
        <v>781</v>
      </c>
      <c r="F150" s="44" t="s">
        <v>11</v>
      </c>
      <c r="G150" s="44" t="s">
        <v>782</v>
      </c>
      <c r="H150" s="44" t="s">
        <v>9</v>
      </c>
      <c r="I150" s="44" t="s">
        <v>2</v>
      </c>
      <c r="J150" s="72" t="s">
        <v>1228</v>
      </c>
      <c r="K150" s="73">
        <v>19906</v>
      </c>
      <c r="L150" s="30">
        <v>1954</v>
      </c>
      <c r="M150" s="30">
        <f t="shared" si="13"/>
        <v>65</v>
      </c>
      <c r="N150" s="44" t="s">
        <v>3</v>
      </c>
      <c r="O150" s="44" t="s">
        <v>1229</v>
      </c>
      <c r="P150" s="72" t="s">
        <v>1320</v>
      </c>
      <c r="Q150" s="44"/>
      <c r="R150" s="72" t="s">
        <v>1371</v>
      </c>
    </row>
    <row r="151" spans="2:18" ht="25.5" x14ac:dyDescent="0.2">
      <c r="B151" s="135">
        <v>48</v>
      </c>
      <c r="C151" s="119" t="s">
        <v>1674</v>
      </c>
      <c r="D151" s="44">
        <v>144</v>
      </c>
      <c r="E151" s="72" t="s">
        <v>1675</v>
      </c>
      <c r="F151" s="44" t="s">
        <v>6</v>
      </c>
      <c r="G151" s="44" t="s">
        <v>783</v>
      </c>
      <c r="H151" s="44" t="s">
        <v>1</v>
      </c>
      <c r="I151" s="44" t="s">
        <v>2</v>
      </c>
      <c r="J151" s="72" t="s">
        <v>1228</v>
      </c>
      <c r="K151" s="73">
        <v>23559</v>
      </c>
      <c r="L151" s="30">
        <v>1964</v>
      </c>
      <c r="M151" s="30">
        <f t="shared" si="13"/>
        <v>55</v>
      </c>
      <c r="N151" s="44" t="s">
        <v>3</v>
      </c>
      <c r="O151" s="44" t="s">
        <v>1229</v>
      </c>
      <c r="P151" s="72" t="s">
        <v>1233</v>
      </c>
      <c r="Q151" s="44"/>
      <c r="R151" s="72" t="s">
        <v>5</v>
      </c>
    </row>
    <row r="152" spans="2:18" ht="25.5" x14ac:dyDescent="0.2">
      <c r="B152" s="135"/>
      <c r="C152" s="119"/>
      <c r="D152" s="44">
        <v>145</v>
      </c>
      <c r="E152" s="72" t="s">
        <v>1676</v>
      </c>
      <c r="F152" s="44" t="s">
        <v>11</v>
      </c>
      <c r="G152" s="44" t="s">
        <v>784</v>
      </c>
      <c r="H152" s="44" t="s">
        <v>9</v>
      </c>
      <c r="I152" s="44" t="s">
        <v>2</v>
      </c>
      <c r="J152" s="72" t="s">
        <v>1228</v>
      </c>
      <c r="K152" s="73">
        <v>23924</v>
      </c>
      <c r="L152" s="30">
        <v>1965</v>
      </c>
      <c r="M152" s="30">
        <f t="shared" si="13"/>
        <v>54</v>
      </c>
      <c r="N152" s="44" t="s">
        <v>3</v>
      </c>
      <c r="O152" s="44" t="s">
        <v>1229</v>
      </c>
      <c r="P152" s="72" t="s">
        <v>1233</v>
      </c>
      <c r="Q152" s="44"/>
      <c r="R152" s="72" t="s">
        <v>5</v>
      </c>
    </row>
    <row r="153" spans="2:18" ht="25.5" x14ac:dyDescent="0.2">
      <c r="B153" s="135"/>
      <c r="C153" s="119"/>
      <c r="D153" s="44">
        <v>146</v>
      </c>
      <c r="E153" s="72" t="s">
        <v>1677</v>
      </c>
      <c r="F153" s="44" t="s">
        <v>16</v>
      </c>
      <c r="G153" s="44" t="s">
        <v>785</v>
      </c>
      <c r="H153" s="44" t="s">
        <v>1</v>
      </c>
      <c r="I153" s="44" t="s">
        <v>13</v>
      </c>
      <c r="J153" s="72" t="s">
        <v>1228</v>
      </c>
      <c r="K153" s="73">
        <v>32961</v>
      </c>
      <c r="L153" s="30">
        <v>1990</v>
      </c>
      <c r="M153" s="30">
        <f t="shared" si="13"/>
        <v>29</v>
      </c>
      <c r="N153" s="44" t="s">
        <v>3</v>
      </c>
      <c r="O153" s="44" t="s">
        <v>1229</v>
      </c>
      <c r="P153" s="72" t="s">
        <v>1672</v>
      </c>
      <c r="Q153" s="44"/>
      <c r="R153" s="72" t="s">
        <v>5</v>
      </c>
    </row>
    <row r="154" spans="2:18" ht="25.5" x14ac:dyDescent="0.2">
      <c r="B154" s="135">
        <v>49</v>
      </c>
      <c r="C154" s="119" t="s">
        <v>1794</v>
      </c>
      <c r="D154" s="44">
        <v>147</v>
      </c>
      <c r="E154" s="72" t="s">
        <v>1795</v>
      </c>
      <c r="F154" s="44" t="s">
        <v>6</v>
      </c>
      <c r="G154" s="44" t="s">
        <v>786</v>
      </c>
      <c r="H154" s="44" t="s">
        <v>1</v>
      </c>
      <c r="I154" s="44" t="s">
        <v>2</v>
      </c>
      <c r="J154" s="72" t="s">
        <v>1228</v>
      </c>
      <c r="K154" s="73">
        <v>17349</v>
      </c>
      <c r="L154" s="30">
        <v>1947</v>
      </c>
      <c r="M154" s="30">
        <f t="shared" si="13"/>
        <v>72</v>
      </c>
      <c r="N154" s="44" t="s">
        <v>3</v>
      </c>
      <c r="O154" s="44" t="s">
        <v>1229</v>
      </c>
      <c r="P154" s="72" t="s">
        <v>1233</v>
      </c>
      <c r="Q154" s="44"/>
      <c r="R154" s="72" t="s">
        <v>1330</v>
      </c>
    </row>
    <row r="155" spans="2:18" ht="25.5" x14ac:dyDescent="0.2">
      <c r="B155" s="135"/>
      <c r="C155" s="119"/>
      <c r="D155" s="44">
        <v>148</v>
      </c>
      <c r="E155" s="72" t="s">
        <v>787</v>
      </c>
      <c r="F155" s="44" t="s">
        <v>11</v>
      </c>
      <c r="G155" s="44" t="s">
        <v>788</v>
      </c>
      <c r="H155" s="44" t="s">
        <v>9</v>
      </c>
      <c r="I155" s="44" t="s">
        <v>2</v>
      </c>
      <c r="J155" s="72" t="s">
        <v>1797</v>
      </c>
      <c r="K155" s="73">
        <v>19359</v>
      </c>
      <c r="L155" s="30">
        <v>1952</v>
      </c>
      <c r="M155" s="30">
        <f t="shared" si="13"/>
        <v>67</v>
      </c>
      <c r="N155" s="44" t="s">
        <v>3</v>
      </c>
      <c r="O155" s="44" t="s">
        <v>1229</v>
      </c>
      <c r="P155" s="72" t="s">
        <v>1233</v>
      </c>
      <c r="Q155" s="44"/>
      <c r="R155" s="72" t="s">
        <v>1330</v>
      </c>
    </row>
    <row r="156" spans="2:18" ht="25.5" x14ac:dyDescent="0.2">
      <c r="B156" s="135"/>
      <c r="C156" s="119"/>
      <c r="D156" s="44">
        <v>149</v>
      </c>
      <c r="E156" s="72" t="s">
        <v>658</v>
      </c>
      <c r="F156" s="44" t="s">
        <v>16</v>
      </c>
      <c r="G156" s="44" t="s">
        <v>790</v>
      </c>
      <c r="H156" s="44" t="s">
        <v>9</v>
      </c>
      <c r="I156" s="44" t="s">
        <v>13</v>
      </c>
      <c r="J156" s="72" t="s">
        <v>1228</v>
      </c>
      <c r="K156" s="73">
        <v>28368</v>
      </c>
      <c r="L156" s="30">
        <v>1977</v>
      </c>
      <c r="M156" s="30">
        <f t="shared" si="13"/>
        <v>42</v>
      </c>
      <c r="N156" s="44" t="s">
        <v>3</v>
      </c>
      <c r="O156" s="44" t="s">
        <v>1229</v>
      </c>
      <c r="P156" s="72" t="s">
        <v>1246</v>
      </c>
      <c r="Q156" s="44"/>
      <c r="R156" s="72" t="s">
        <v>1330</v>
      </c>
    </row>
    <row r="157" spans="2:18" ht="25.5" x14ac:dyDescent="0.2">
      <c r="B157" s="135"/>
      <c r="C157" s="119"/>
      <c r="D157" s="44">
        <v>150</v>
      </c>
      <c r="E157" s="72" t="s">
        <v>1796</v>
      </c>
      <c r="F157" s="44" t="s">
        <v>16</v>
      </c>
      <c r="G157" s="44" t="s">
        <v>791</v>
      </c>
      <c r="H157" s="44" t="s">
        <v>9</v>
      </c>
      <c r="I157" s="44" t="s">
        <v>13</v>
      </c>
      <c r="J157" s="72" t="s">
        <v>1228</v>
      </c>
      <c r="K157" s="73">
        <v>30681</v>
      </c>
      <c r="L157" s="30">
        <v>1983</v>
      </c>
      <c r="M157" s="30">
        <f t="shared" si="13"/>
        <v>36</v>
      </c>
      <c r="N157" s="44" t="s">
        <v>3</v>
      </c>
      <c r="O157" s="44" t="s">
        <v>1229</v>
      </c>
      <c r="P157" s="72" t="s">
        <v>1233</v>
      </c>
      <c r="Q157" s="44"/>
      <c r="R157" s="72" t="s">
        <v>1330</v>
      </c>
    </row>
    <row r="158" spans="2:18" ht="25.5" x14ac:dyDescent="0.2">
      <c r="B158" s="135">
        <v>50</v>
      </c>
      <c r="C158" s="135" t="s">
        <v>1798</v>
      </c>
      <c r="D158" s="44">
        <v>151</v>
      </c>
      <c r="E158" s="72" t="s">
        <v>989</v>
      </c>
      <c r="F158" s="44" t="s">
        <v>6</v>
      </c>
      <c r="G158" s="44" t="s">
        <v>1642</v>
      </c>
      <c r="H158" s="44" t="s">
        <v>9</v>
      </c>
      <c r="I158" s="44" t="s">
        <v>1296</v>
      </c>
      <c r="J158" s="72" t="s">
        <v>1645</v>
      </c>
      <c r="K158" s="73">
        <v>23924</v>
      </c>
      <c r="L158" s="30">
        <v>1965</v>
      </c>
      <c r="M158" s="30">
        <f t="shared" si="13"/>
        <v>54</v>
      </c>
      <c r="N158" s="44" t="s">
        <v>3</v>
      </c>
      <c r="O158" s="44" t="s">
        <v>1229</v>
      </c>
      <c r="P158" s="72" t="s">
        <v>1320</v>
      </c>
      <c r="Q158" s="44"/>
      <c r="R158" s="72" t="s">
        <v>290</v>
      </c>
    </row>
    <row r="159" spans="2:18" x14ac:dyDescent="0.2">
      <c r="B159" s="135"/>
      <c r="C159" s="135"/>
      <c r="D159" s="44">
        <v>152</v>
      </c>
      <c r="E159" s="72" t="s">
        <v>1640</v>
      </c>
      <c r="F159" s="44" t="s">
        <v>16</v>
      </c>
      <c r="G159" s="44" t="s">
        <v>1643</v>
      </c>
      <c r="H159" s="44" t="s">
        <v>9</v>
      </c>
      <c r="I159" s="44" t="s">
        <v>13</v>
      </c>
      <c r="J159" s="72" t="s">
        <v>1228</v>
      </c>
      <c r="K159" s="73">
        <v>34447</v>
      </c>
      <c r="L159" s="30">
        <v>1994</v>
      </c>
      <c r="M159" s="30">
        <f t="shared" si="13"/>
        <v>25</v>
      </c>
      <c r="N159" s="44" t="s">
        <v>3</v>
      </c>
      <c r="O159" s="44" t="s">
        <v>1229</v>
      </c>
      <c r="P159" s="72" t="s">
        <v>1270</v>
      </c>
      <c r="Q159" s="44"/>
      <c r="R159" s="72" t="s">
        <v>5</v>
      </c>
    </row>
    <row r="160" spans="2:18" ht="25.5" x14ac:dyDescent="0.2">
      <c r="B160" s="135"/>
      <c r="C160" s="135"/>
      <c r="D160" s="44">
        <v>153</v>
      </c>
      <c r="E160" s="72" t="s">
        <v>1641</v>
      </c>
      <c r="F160" s="44" t="s">
        <v>16</v>
      </c>
      <c r="G160" s="44" t="s">
        <v>1644</v>
      </c>
      <c r="H160" s="44" t="s">
        <v>9</v>
      </c>
      <c r="I160" s="44" t="s">
        <v>13</v>
      </c>
      <c r="J160" s="72" t="s">
        <v>1376</v>
      </c>
      <c r="K160" s="73">
        <v>38668</v>
      </c>
      <c r="L160" s="30">
        <v>2005</v>
      </c>
      <c r="M160" s="30">
        <f t="shared" si="13"/>
        <v>14</v>
      </c>
      <c r="N160" s="44" t="s">
        <v>3</v>
      </c>
      <c r="O160" s="44" t="s">
        <v>1229</v>
      </c>
      <c r="P160" s="72" t="s">
        <v>1247</v>
      </c>
      <c r="Q160" s="44"/>
      <c r="R160" s="72" t="s">
        <v>1326</v>
      </c>
    </row>
    <row r="161" spans="2:18" x14ac:dyDescent="0.2">
      <c r="B161" s="90">
        <v>51</v>
      </c>
      <c r="C161" s="44"/>
      <c r="D161" s="44">
        <v>154</v>
      </c>
      <c r="E161" s="72" t="s">
        <v>792</v>
      </c>
      <c r="F161" s="44" t="s">
        <v>6</v>
      </c>
      <c r="G161" s="44">
        <v>0</v>
      </c>
      <c r="H161" s="44" t="s">
        <v>1</v>
      </c>
      <c r="I161" s="44" t="s">
        <v>95</v>
      </c>
      <c r="J161" s="72"/>
      <c r="K161" s="73">
        <v>14793</v>
      </c>
      <c r="L161" s="30">
        <f t="shared" ref="L161:L164" si="14">YEAR(K161)</f>
        <v>1940</v>
      </c>
      <c r="M161" s="30">
        <f t="shared" si="13"/>
        <v>79</v>
      </c>
      <c r="N161" s="44" t="s">
        <v>3</v>
      </c>
      <c r="O161" s="44"/>
      <c r="P161" s="72" t="s">
        <v>15</v>
      </c>
      <c r="Q161" s="44"/>
      <c r="R161" s="72" t="s">
        <v>34</v>
      </c>
    </row>
    <row r="162" spans="2:18" x14ac:dyDescent="0.2">
      <c r="B162" s="139">
        <v>52</v>
      </c>
      <c r="C162" s="139"/>
      <c r="D162" s="44">
        <v>155</v>
      </c>
      <c r="E162" s="72" t="s">
        <v>793</v>
      </c>
      <c r="F162" s="44" t="s">
        <v>6</v>
      </c>
      <c r="G162" s="44" t="s">
        <v>794</v>
      </c>
      <c r="H162" s="44" t="s">
        <v>1</v>
      </c>
      <c r="I162" s="44" t="s">
        <v>2</v>
      </c>
      <c r="J162" s="72"/>
      <c r="K162" s="73">
        <v>29932</v>
      </c>
      <c r="L162" s="30">
        <f t="shared" si="14"/>
        <v>1981</v>
      </c>
      <c r="M162" s="30">
        <f t="shared" si="13"/>
        <v>38</v>
      </c>
      <c r="N162" s="44" t="s">
        <v>3</v>
      </c>
      <c r="O162" s="44"/>
      <c r="P162" s="72" t="s">
        <v>15</v>
      </c>
      <c r="Q162" s="44"/>
      <c r="R162" s="72" t="s">
        <v>34</v>
      </c>
    </row>
    <row r="163" spans="2:18" x14ac:dyDescent="0.2">
      <c r="B163" s="140"/>
      <c r="C163" s="140"/>
      <c r="D163" s="44">
        <v>156</v>
      </c>
      <c r="E163" s="72" t="s">
        <v>795</v>
      </c>
      <c r="F163" s="44" t="s">
        <v>11</v>
      </c>
      <c r="G163" s="44" t="s">
        <v>796</v>
      </c>
      <c r="H163" s="44" t="s">
        <v>9</v>
      </c>
      <c r="I163" s="44" t="s">
        <v>2</v>
      </c>
      <c r="J163" s="72"/>
      <c r="K163" s="73">
        <v>32231</v>
      </c>
      <c r="L163" s="30">
        <f t="shared" si="14"/>
        <v>1988</v>
      </c>
      <c r="M163" s="30">
        <f t="shared" si="13"/>
        <v>31</v>
      </c>
      <c r="N163" s="44" t="s">
        <v>3</v>
      </c>
      <c r="O163" s="44"/>
      <c r="P163" s="72" t="s">
        <v>15</v>
      </c>
      <c r="Q163" s="44"/>
      <c r="R163" s="72" t="s">
        <v>34</v>
      </c>
    </row>
    <row r="164" spans="2:18" x14ac:dyDescent="0.2">
      <c r="B164" s="141"/>
      <c r="C164" s="141"/>
      <c r="D164" s="44">
        <v>157</v>
      </c>
      <c r="E164" s="72" t="s">
        <v>797</v>
      </c>
      <c r="F164" s="44" t="s">
        <v>16</v>
      </c>
      <c r="G164" s="44" t="s">
        <v>798</v>
      </c>
      <c r="H164" s="44" t="s">
        <v>1</v>
      </c>
      <c r="I164" s="44" t="s">
        <v>13</v>
      </c>
      <c r="J164" s="72"/>
      <c r="K164" s="73">
        <v>41608</v>
      </c>
      <c r="L164" s="30">
        <f t="shared" si="14"/>
        <v>2013</v>
      </c>
      <c r="M164" s="30">
        <f t="shared" si="13"/>
        <v>6</v>
      </c>
      <c r="N164" s="44" t="s">
        <v>3</v>
      </c>
      <c r="O164" s="44"/>
      <c r="P164" s="72" t="s">
        <v>15</v>
      </c>
      <c r="Q164" s="44"/>
      <c r="R164" s="72" t="s">
        <v>15</v>
      </c>
    </row>
    <row r="165" spans="2:18" ht="25.5" x14ac:dyDescent="0.2">
      <c r="B165" s="135">
        <v>53</v>
      </c>
      <c r="C165" s="119" t="s">
        <v>1704</v>
      </c>
      <c r="D165" s="44">
        <v>158</v>
      </c>
      <c r="E165" s="72" t="s">
        <v>799</v>
      </c>
      <c r="F165" s="44" t="s">
        <v>6</v>
      </c>
      <c r="G165" s="44" t="s">
        <v>800</v>
      </c>
      <c r="H165" s="44" t="s">
        <v>1</v>
      </c>
      <c r="I165" s="44" t="s">
        <v>2</v>
      </c>
      <c r="J165" s="72" t="s">
        <v>1228</v>
      </c>
      <c r="K165" s="73">
        <v>27582</v>
      </c>
      <c r="L165" s="30">
        <v>1975</v>
      </c>
      <c r="M165" s="30">
        <f t="shared" si="13"/>
        <v>44</v>
      </c>
      <c r="N165" s="44" t="s">
        <v>3</v>
      </c>
      <c r="O165" s="44" t="s">
        <v>1229</v>
      </c>
      <c r="P165" s="72" t="s">
        <v>1320</v>
      </c>
      <c r="Q165" s="44"/>
      <c r="R165" s="72" t="s">
        <v>1330</v>
      </c>
    </row>
    <row r="166" spans="2:18" ht="25.5" x14ac:dyDescent="0.2">
      <c r="B166" s="135"/>
      <c r="C166" s="119"/>
      <c r="D166" s="44">
        <v>159</v>
      </c>
      <c r="E166" s="72" t="s">
        <v>801</v>
      </c>
      <c r="F166" s="44" t="s">
        <v>11</v>
      </c>
      <c r="G166" s="44" t="s">
        <v>802</v>
      </c>
      <c r="H166" s="44" t="s">
        <v>9</v>
      </c>
      <c r="I166" s="44" t="s">
        <v>2</v>
      </c>
      <c r="J166" s="72" t="s">
        <v>1228</v>
      </c>
      <c r="K166" s="73">
        <v>32325</v>
      </c>
      <c r="L166" s="30">
        <v>1988</v>
      </c>
      <c r="M166" s="30">
        <f t="shared" si="13"/>
        <v>31</v>
      </c>
      <c r="N166" s="44" t="s">
        <v>3</v>
      </c>
      <c r="O166" s="44" t="s">
        <v>1229</v>
      </c>
      <c r="P166" s="72" t="s">
        <v>1233</v>
      </c>
      <c r="Q166" s="44"/>
      <c r="R166" s="72" t="s">
        <v>1330</v>
      </c>
    </row>
    <row r="167" spans="2:18" ht="25.5" x14ac:dyDescent="0.2">
      <c r="B167" s="135"/>
      <c r="C167" s="119"/>
      <c r="D167" s="44">
        <v>160</v>
      </c>
      <c r="E167" s="72" t="s">
        <v>376</v>
      </c>
      <c r="F167" s="44" t="s">
        <v>16</v>
      </c>
      <c r="G167" s="44" t="s">
        <v>1705</v>
      </c>
      <c r="H167" s="44" t="s">
        <v>9</v>
      </c>
      <c r="I167" s="44" t="s">
        <v>13</v>
      </c>
      <c r="J167" s="72" t="s">
        <v>1228</v>
      </c>
      <c r="K167" s="73">
        <v>36578</v>
      </c>
      <c r="L167" s="30">
        <v>2000</v>
      </c>
      <c r="M167" s="30">
        <f t="shared" si="13"/>
        <v>19</v>
      </c>
      <c r="N167" s="44" t="s">
        <v>3</v>
      </c>
      <c r="O167" s="44" t="s">
        <v>1229</v>
      </c>
      <c r="P167" s="72" t="s">
        <v>1320</v>
      </c>
      <c r="Q167" s="44"/>
      <c r="R167" s="72" t="s">
        <v>1332</v>
      </c>
    </row>
    <row r="168" spans="2:18" ht="25.5" x14ac:dyDescent="0.2">
      <c r="B168" s="135"/>
      <c r="C168" s="119"/>
      <c r="D168" s="44">
        <v>161</v>
      </c>
      <c r="E168" s="72" t="s">
        <v>803</v>
      </c>
      <c r="F168" s="44" t="s">
        <v>16</v>
      </c>
      <c r="G168" s="44" t="s">
        <v>804</v>
      </c>
      <c r="H168" s="44" t="s">
        <v>1</v>
      </c>
      <c r="I168" s="44" t="s">
        <v>13</v>
      </c>
      <c r="J168" s="72" t="s">
        <v>1228</v>
      </c>
      <c r="K168" s="73">
        <v>38538</v>
      </c>
      <c r="L168" s="30">
        <v>2005</v>
      </c>
      <c r="M168" s="30">
        <f t="shared" si="13"/>
        <v>14</v>
      </c>
      <c r="N168" s="44" t="s">
        <v>3</v>
      </c>
      <c r="O168" s="44" t="s">
        <v>1229</v>
      </c>
      <c r="P168" s="72" t="s">
        <v>1320</v>
      </c>
      <c r="Q168" s="44"/>
      <c r="R168" s="72" t="s">
        <v>1332</v>
      </c>
    </row>
    <row r="169" spans="2:18" x14ac:dyDescent="0.2">
      <c r="B169" s="135"/>
      <c r="C169" s="119"/>
      <c r="D169" s="44">
        <v>162</v>
      </c>
      <c r="E169" s="72" t="s">
        <v>805</v>
      </c>
      <c r="F169" s="44" t="s">
        <v>16</v>
      </c>
      <c r="G169" s="44">
        <v>0</v>
      </c>
      <c r="H169" s="44" t="s">
        <v>9</v>
      </c>
      <c r="I169" s="44" t="s">
        <v>13</v>
      </c>
      <c r="J169" s="72" t="s">
        <v>1228</v>
      </c>
      <c r="K169" s="73">
        <v>38275</v>
      </c>
      <c r="L169" s="30">
        <v>2004</v>
      </c>
      <c r="M169" s="30">
        <f t="shared" si="13"/>
        <v>15</v>
      </c>
      <c r="N169" s="44" t="s">
        <v>3</v>
      </c>
      <c r="O169" s="44" t="s">
        <v>1229</v>
      </c>
      <c r="P169" s="72" t="s">
        <v>15</v>
      </c>
      <c r="Q169" s="44"/>
      <c r="R169" s="72" t="s">
        <v>15</v>
      </c>
    </row>
    <row r="170" spans="2:18" x14ac:dyDescent="0.2">
      <c r="B170" s="135">
        <v>54</v>
      </c>
      <c r="C170" s="135"/>
      <c r="D170" s="44">
        <v>163</v>
      </c>
      <c r="E170" s="72" t="s">
        <v>806</v>
      </c>
      <c r="F170" s="44" t="s">
        <v>6</v>
      </c>
      <c r="G170" s="44" t="s">
        <v>807</v>
      </c>
      <c r="H170" s="44" t="s">
        <v>1</v>
      </c>
      <c r="I170" s="44" t="s">
        <v>95</v>
      </c>
      <c r="J170" s="72"/>
      <c r="K170" s="73">
        <v>14793</v>
      </c>
      <c r="L170" s="30">
        <f t="shared" ref="L170:L175" si="15">YEAR(K170)</f>
        <v>1940</v>
      </c>
      <c r="M170" s="30">
        <f t="shared" si="13"/>
        <v>79</v>
      </c>
      <c r="N170" s="44" t="s">
        <v>3</v>
      </c>
      <c r="O170" s="44"/>
      <c r="P170" s="72" t="s">
        <v>15</v>
      </c>
      <c r="Q170" s="44"/>
      <c r="R170" s="72" t="s">
        <v>598</v>
      </c>
    </row>
    <row r="171" spans="2:18" x14ac:dyDescent="0.2">
      <c r="B171" s="135"/>
      <c r="C171" s="135"/>
      <c r="D171" s="44">
        <v>164</v>
      </c>
      <c r="E171" s="72" t="s">
        <v>808</v>
      </c>
      <c r="F171" s="44" t="s">
        <v>11</v>
      </c>
      <c r="G171" s="44" t="s">
        <v>809</v>
      </c>
      <c r="H171" s="44" t="s">
        <v>9</v>
      </c>
      <c r="I171" s="44" t="s">
        <v>13</v>
      </c>
      <c r="J171" s="72"/>
      <c r="K171" s="73">
        <v>30681</v>
      </c>
      <c r="L171" s="30">
        <f t="shared" si="15"/>
        <v>1983</v>
      </c>
      <c r="M171" s="30">
        <f t="shared" si="13"/>
        <v>36</v>
      </c>
      <c r="N171" s="44" t="s">
        <v>3</v>
      </c>
      <c r="O171" s="44"/>
      <c r="P171" s="72" t="s">
        <v>15</v>
      </c>
      <c r="Q171" s="44"/>
      <c r="R171" s="72" t="s">
        <v>34</v>
      </c>
    </row>
    <row r="172" spans="2:18" x14ac:dyDescent="0.2">
      <c r="B172" s="135"/>
      <c r="C172" s="135"/>
      <c r="D172" s="44">
        <v>165</v>
      </c>
      <c r="E172" s="72" t="s">
        <v>376</v>
      </c>
      <c r="F172" s="44" t="s">
        <v>16</v>
      </c>
      <c r="G172" s="44" t="s">
        <v>810</v>
      </c>
      <c r="H172" s="44" t="s">
        <v>9</v>
      </c>
      <c r="I172" s="44" t="s">
        <v>13</v>
      </c>
      <c r="J172" s="72"/>
      <c r="K172" s="73">
        <v>36578</v>
      </c>
      <c r="L172" s="30">
        <f t="shared" si="15"/>
        <v>2000</v>
      </c>
      <c r="M172" s="30">
        <f t="shared" si="13"/>
        <v>19</v>
      </c>
      <c r="N172" s="44" t="s">
        <v>3</v>
      </c>
      <c r="O172" s="44"/>
      <c r="P172" s="72" t="s">
        <v>15</v>
      </c>
      <c r="Q172" s="44"/>
      <c r="R172" s="72" t="s">
        <v>15</v>
      </c>
    </row>
    <row r="173" spans="2:18" x14ac:dyDescent="0.2">
      <c r="B173" s="135"/>
      <c r="C173" s="135"/>
      <c r="D173" s="44">
        <v>166</v>
      </c>
      <c r="E173" s="72" t="s">
        <v>811</v>
      </c>
      <c r="F173" s="44" t="s">
        <v>714</v>
      </c>
      <c r="G173" s="44" t="s">
        <v>812</v>
      </c>
      <c r="H173" s="44" t="s">
        <v>9</v>
      </c>
      <c r="I173" s="44" t="s">
        <v>13</v>
      </c>
      <c r="J173" s="72"/>
      <c r="K173" s="73">
        <v>36748</v>
      </c>
      <c r="L173" s="30">
        <f t="shared" si="15"/>
        <v>2000</v>
      </c>
      <c r="M173" s="30">
        <f t="shared" si="13"/>
        <v>19</v>
      </c>
      <c r="N173" s="44" t="s">
        <v>3</v>
      </c>
      <c r="O173" s="44"/>
      <c r="P173" s="72" t="s">
        <v>15</v>
      </c>
      <c r="Q173" s="44"/>
      <c r="R173" s="72" t="s">
        <v>15</v>
      </c>
    </row>
    <row r="174" spans="2:18" x14ac:dyDescent="0.2">
      <c r="B174" s="135"/>
      <c r="C174" s="135"/>
      <c r="D174" s="44">
        <v>167</v>
      </c>
      <c r="E174" s="72" t="s">
        <v>813</v>
      </c>
      <c r="F174" s="44" t="s">
        <v>714</v>
      </c>
      <c r="G174" s="44" t="s">
        <v>814</v>
      </c>
      <c r="H174" s="44" t="s">
        <v>9</v>
      </c>
      <c r="I174" s="44" t="s">
        <v>13</v>
      </c>
      <c r="J174" s="72"/>
      <c r="K174" s="73">
        <v>37381</v>
      </c>
      <c r="L174" s="30">
        <f t="shared" si="15"/>
        <v>2002</v>
      </c>
      <c r="M174" s="30">
        <f t="shared" si="13"/>
        <v>17</v>
      </c>
      <c r="N174" s="44" t="s">
        <v>3</v>
      </c>
      <c r="O174" s="44"/>
      <c r="P174" s="72" t="s">
        <v>15</v>
      </c>
      <c r="Q174" s="44"/>
      <c r="R174" s="72" t="s">
        <v>15</v>
      </c>
    </row>
    <row r="175" spans="2:18" x14ac:dyDescent="0.2">
      <c r="B175" s="135"/>
      <c r="C175" s="135"/>
      <c r="D175" s="44">
        <v>168</v>
      </c>
      <c r="E175" s="72" t="s">
        <v>327</v>
      </c>
      <c r="F175" s="44" t="s">
        <v>714</v>
      </c>
      <c r="G175" s="44">
        <v>0</v>
      </c>
      <c r="H175" s="44" t="s">
        <v>1</v>
      </c>
      <c r="I175" s="44" t="s">
        <v>13</v>
      </c>
      <c r="J175" s="72"/>
      <c r="K175" s="73">
        <v>36160</v>
      </c>
      <c r="L175" s="30">
        <f t="shared" si="15"/>
        <v>1998</v>
      </c>
      <c r="M175" s="30">
        <f t="shared" si="13"/>
        <v>21</v>
      </c>
      <c r="N175" s="44" t="s">
        <v>3</v>
      </c>
      <c r="O175" s="44"/>
      <c r="P175" s="72" t="s">
        <v>14</v>
      </c>
      <c r="Q175" s="44"/>
      <c r="R175" s="72" t="s">
        <v>15</v>
      </c>
    </row>
    <row r="176" spans="2:18" x14ac:dyDescent="0.2">
      <c r="B176" s="135">
        <v>55</v>
      </c>
      <c r="C176" s="119" t="s">
        <v>1633</v>
      </c>
      <c r="D176" s="44">
        <v>169</v>
      </c>
      <c r="E176" s="72" t="s">
        <v>815</v>
      </c>
      <c r="F176" s="44" t="s">
        <v>6</v>
      </c>
      <c r="G176" s="44" t="s">
        <v>1635</v>
      </c>
      <c r="H176" s="44" t="s">
        <v>1</v>
      </c>
      <c r="I176" s="44" t="s">
        <v>2</v>
      </c>
      <c r="J176" s="72" t="s">
        <v>1228</v>
      </c>
      <c r="K176" s="73">
        <v>30681</v>
      </c>
      <c r="L176" s="30">
        <v>1983</v>
      </c>
      <c r="M176" s="30">
        <f t="shared" si="13"/>
        <v>36</v>
      </c>
      <c r="N176" s="44" t="s">
        <v>3</v>
      </c>
      <c r="O176" s="44" t="s">
        <v>1229</v>
      </c>
      <c r="P176" s="72" t="s">
        <v>1246</v>
      </c>
      <c r="Q176" s="44"/>
      <c r="R176" s="72" t="s">
        <v>5</v>
      </c>
    </row>
    <row r="177" spans="2:18" x14ac:dyDescent="0.2">
      <c r="B177" s="135"/>
      <c r="C177" s="119"/>
      <c r="D177" s="44">
        <v>170</v>
      </c>
      <c r="E177" s="72" t="s">
        <v>816</v>
      </c>
      <c r="F177" s="44" t="s">
        <v>11</v>
      </c>
      <c r="G177" s="44" t="s">
        <v>817</v>
      </c>
      <c r="H177" s="44" t="s">
        <v>9</v>
      </c>
      <c r="I177" s="44" t="s">
        <v>2</v>
      </c>
      <c r="J177" s="72" t="s">
        <v>1228</v>
      </c>
      <c r="K177" s="73">
        <v>30681</v>
      </c>
      <c r="L177" s="30">
        <v>1983</v>
      </c>
      <c r="M177" s="30">
        <f t="shared" si="13"/>
        <v>36</v>
      </c>
      <c r="N177" s="44" t="s">
        <v>3</v>
      </c>
      <c r="O177" s="44" t="s">
        <v>1229</v>
      </c>
      <c r="P177" s="72" t="s">
        <v>1246</v>
      </c>
      <c r="Q177" s="44"/>
      <c r="R177" s="72" t="s">
        <v>290</v>
      </c>
    </row>
    <row r="178" spans="2:18" ht="25.5" x14ac:dyDescent="0.2">
      <c r="B178" s="135"/>
      <c r="C178" s="119"/>
      <c r="D178" s="44">
        <v>171</v>
      </c>
      <c r="E178" s="72" t="s">
        <v>1634</v>
      </c>
      <c r="F178" s="44" t="s">
        <v>16</v>
      </c>
      <c r="G178" s="44" t="s">
        <v>818</v>
      </c>
      <c r="H178" s="44" t="s">
        <v>1</v>
      </c>
      <c r="I178" s="44" t="s">
        <v>13</v>
      </c>
      <c r="J178" s="72" t="s">
        <v>1466</v>
      </c>
      <c r="K178" s="73">
        <v>41136</v>
      </c>
      <c r="L178" s="30">
        <v>2012</v>
      </c>
      <c r="M178" s="30">
        <f t="shared" si="13"/>
        <v>7</v>
      </c>
      <c r="N178" s="44" t="s">
        <v>3</v>
      </c>
      <c r="O178" s="44" t="s">
        <v>1229</v>
      </c>
      <c r="P178" s="72" t="s">
        <v>1320</v>
      </c>
      <c r="Q178" s="44"/>
      <c r="R178" s="72" t="s">
        <v>1332</v>
      </c>
    </row>
    <row r="179" spans="2:18" ht="25.5" x14ac:dyDescent="0.2">
      <c r="B179" s="135">
        <v>56</v>
      </c>
      <c r="C179" s="119" t="s">
        <v>1616</v>
      </c>
      <c r="D179" s="44">
        <v>172</v>
      </c>
      <c r="E179" s="72" t="s">
        <v>411</v>
      </c>
      <c r="F179" s="44" t="s">
        <v>6</v>
      </c>
      <c r="G179" s="44" t="s">
        <v>1618</v>
      </c>
      <c r="H179" s="44" t="s">
        <v>1</v>
      </c>
      <c r="I179" s="44" t="s">
        <v>2</v>
      </c>
      <c r="J179" s="72" t="s">
        <v>1228</v>
      </c>
      <c r="K179" s="73">
        <v>26483</v>
      </c>
      <c r="L179" s="30">
        <v>1972</v>
      </c>
      <c r="M179" s="30">
        <f t="shared" si="13"/>
        <v>47</v>
      </c>
      <c r="N179" s="44" t="s">
        <v>3</v>
      </c>
      <c r="O179" s="44" t="s">
        <v>1229</v>
      </c>
      <c r="P179" s="72" t="s">
        <v>1233</v>
      </c>
      <c r="Q179" s="44"/>
      <c r="R179" s="72" t="s">
        <v>1330</v>
      </c>
    </row>
    <row r="180" spans="2:18" ht="25.5" x14ac:dyDescent="0.2">
      <c r="B180" s="135"/>
      <c r="C180" s="119"/>
      <c r="D180" s="44">
        <v>173</v>
      </c>
      <c r="E180" s="72" t="s">
        <v>819</v>
      </c>
      <c r="F180" s="44" t="s">
        <v>11</v>
      </c>
      <c r="G180" s="44" t="s">
        <v>1619</v>
      </c>
      <c r="H180" s="44" t="s">
        <v>9</v>
      </c>
      <c r="I180" s="44" t="s">
        <v>2</v>
      </c>
      <c r="J180" s="72" t="s">
        <v>1228</v>
      </c>
      <c r="K180" s="73">
        <v>27576</v>
      </c>
      <c r="L180" s="30">
        <v>1975</v>
      </c>
      <c r="M180" s="30">
        <f t="shared" si="13"/>
        <v>44</v>
      </c>
      <c r="N180" s="44" t="s">
        <v>3</v>
      </c>
      <c r="O180" s="44" t="s">
        <v>1229</v>
      </c>
      <c r="P180" s="72" t="s">
        <v>1233</v>
      </c>
      <c r="Q180" s="44"/>
      <c r="R180" s="72" t="s">
        <v>1330</v>
      </c>
    </row>
    <row r="181" spans="2:18" ht="25.5" x14ac:dyDescent="0.2">
      <c r="B181" s="135"/>
      <c r="C181" s="119"/>
      <c r="D181" s="44">
        <v>174</v>
      </c>
      <c r="E181" s="72" t="s">
        <v>1617</v>
      </c>
      <c r="F181" s="44" t="s">
        <v>16</v>
      </c>
      <c r="G181" s="44" t="s">
        <v>1620</v>
      </c>
      <c r="H181" s="44" t="s">
        <v>1</v>
      </c>
      <c r="I181" s="44" t="s">
        <v>13</v>
      </c>
      <c r="J181" s="72" t="s">
        <v>1228</v>
      </c>
      <c r="K181" s="73">
        <v>34489</v>
      </c>
      <c r="L181" s="30">
        <v>1994</v>
      </c>
      <c r="M181" s="30">
        <f t="shared" si="13"/>
        <v>25</v>
      </c>
      <c r="N181" s="44" t="s">
        <v>3</v>
      </c>
      <c r="O181" s="44" t="s">
        <v>1229</v>
      </c>
      <c r="P181" s="72" t="s">
        <v>1270</v>
      </c>
      <c r="Q181" s="44"/>
      <c r="R181" s="72" t="s">
        <v>1332</v>
      </c>
    </row>
    <row r="182" spans="2:18" ht="25.5" x14ac:dyDescent="0.2">
      <c r="B182" s="135"/>
      <c r="C182" s="119"/>
      <c r="D182" s="44">
        <v>175</v>
      </c>
      <c r="E182" s="72" t="s">
        <v>820</v>
      </c>
      <c r="F182" s="44" t="s">
        <v>16</v>
      </c>
      <c r="G182" s="44" t="s">
        <v>1621</v>
      </c>
      <c r="H182" s="44" t="s">
        <v>9</v>
      </c>
      <c r="I182" s="44" t="s">
        <v>13</v>
      </c>
      <c r="J182" s="72" t="s">
        <v>1228</v>
      </c>
      <c r="K182" s="73">
        <v>39903</v>
      </c>
      <c r="L182" s="30">
        <v>2009</v>
      </c>
      <c r="M182" s="30">
        <f t="shared" si="13"/>
        <v>10</v>
      </c>
      <c r="N182" s="44" t="s">
        <v>3</v>
      </c>
      <c r="O182" s="44" t="s">
        <v>1229</v>
      </c>
      <c r="P182" s="72" t="s">
        <v>1247</v>
      </c>
      <c r="Q182" s="44"/>
      <c r="R182" s="72" t="s">
        <v>1326</v>
      </c>
    </row>
    <row r="183" spans="2:18" ht="25.5" x14ac:dyDescent="0.2">
      <c r="B183" s="135">
        <v>57</v>
      </c>
      <c r="C183" s="119" t="s">
        <v>1685</v>
      </c>
      <c r="D183" s="44">
        <v>176</v>
      </c>
      <c r="E183" s="72" t="s">
        <v>1686</v>
      </c>
      <c r="F183" s="44" t="s">
        <v>6</v>
      </c>
      <c r="G183" s="44" t="s">
        <v>821</v>
      </c>
      <c r="H183" s="44" t="s">
        <v>1</v>
      </c>
      <c r="I183" s="44" t="s">
        <v>2</v>
      </c>
      <c r="J183" s="72" t="s">
        <v>1228</v>
      </c>
      <c r="K183" s="73">
        <v>21905</v>
      </c>
      <c r="L183" s="30">
        <v>1959</v>
      </c>
      <c r="M183" s="30">
        <f t="shared" si="13"/>
        <v>60</v>
      </c>
      <c r="N183" s="44" t="s">
        <v>3</v>
      </c>
      <c r="O183" s="44" t="s">
        <v>1229</v>
      </c>
      <c r="P183" s="72" t="s">
        <v>1233</v>
      </c>
      <c r="Q183" s="44"/>
      <c r="R183" s="72" t="s">
        <v>1330</v>
      </c>
    </row>
    <row r="184" spans="2:18" ht="25.5" x14ac:dyDescent="0.2">
      <c r="B184" s="135"/>
      <c r="C184" s="119"/>
      <c r="D184" s="44">
        <v>177</v>
      </c>
      <c r="E184" s="72" t="s">
        <v>553</v>
      </c>
      <c r="F184" s="44" t="s">
        <v>11</v>
      </c>
      <c r="G184" s="44" t="s">
        <v>822</v>
      </c>
      <c r="H184" s="44" t="s">
        <v>9</v>
      </c>
      <c r="I184" s="44" t="s">
        <v>2</v>
      </c>
      <c r="J184" s="72" t="s">
        <v>1228</v>
      </c>
      <c r="K184" s="73">
        <v>24107</v>
      </c>
      <c r="L184" s="30">
        <v>1965</v>
      </c>
      <c r="M184" s="30">
        <f t="shared" si="13"/>
        <v>54</v>
      </c>
      <c r="N184" s="44" t="s">
        <v>3</v>
      </c>
      <c r="O184" s="44" t="s">
        <v>1229</v>
      </c>
      <c r="P184" s="72" t="s">
        <v>1233</v>
      </c>
      <c r="Q184" s="44"/>
      <c r="R184" s="72" t="s">
        <v>1330</v>
      </c>
    </row>
    <row r="185" spans="2:18" ht="25.5" x14ac:dyDescent="0.2">
      <c r="B185" s="135"/>
      <c r="C185" s="119"/>
      <c r="D185" s="44">
        <v>178</v>
      </c>
      <c r="E185" s="72" t="s">
        <v>823</v>
      </c>
      <c r="F185" s="44" t="s">
        <v>16</v>
      </c>
      <c r="G185" s="44" t="s">
        <v>824</v>
      </c>
      <c r="H185" s="44" t="s">
        <v>9</v>
      </c>
      <c r="I185" s="44" t="s">
        <v>13</v>
      </c>
      <c r="J185" s="72" t="s">
        <v>1228</v>
      </c>
      <c r="K185" s="73">
        <v>31412</v>
      </c>
      <c r="L185" s="30">
        <v>1985</v>
      </c>
      <c r="M185" s="30">
        <f t="shared" si="13"/>
        <v>34</v>
      </c>
      <c r="N185" s="44" t="s">
        <v>3</v>
      </c>
      <c r="O185" s="44" t="s">
        <v>1229</v>
      </c>
      <c r="P185" s="72" t="s">
        <v>1246</v>
      </c>
      <c r="Q185" s="44"/>
      <c r="R185" s="72" t="s">
        <v>1330</v>
      </c>
    </row>
    <row r="186" spans="2:18" ht="25.5" x14ac:dyDescent="0.2">
      <c r="B186" s="135"/>
      <c r="C186" s="119"/>
      <c r="D186" s="44">
        <v>179</v>
      </c>
      <c r="E186" s="72" t="s">
        <v>197</v>
      </c>
      <c r="F186" s="44" t="s">
        <v>16</v>
      </c>
      <c r="G186" s="44" t="s">
        <v>1688</v>
      </c>
      <c r="H186" s="44" t="s">
        <v>1</v>
      </c>
      <c r="I186" s="44" t="s">
        <v>13</v>
      </c>
      <c r="J186" s="72" t="s">
        <v>1228</v>
      </c>
      <c r="K186" s="73">
        <v>35430</v>
      </c>
      <c r="L186" s="30">
        <v>1996</v>
      </c>
      <c r="M186" s="30">
        <f t="shared" si="13"/>
        <v>23</v>
      </c>
      <c r="N186" s="44" t="s">
        <v>3</v>
      </c>
      <c r="O186" s="44" t="s">
        <v>1229</v>
      </c>
      <c r="P186" s="72" t="s">
        <v>1233</v>
      </c>
      <c r="Q186" s="44"/>
      <c r="R186" s="72" t="s">
        <v>1332</v>
      </c>
    </row>
    <row r="187" spans="2:18" ht="25.5" x14ac:dyDescent="0.2">
      <c r="B187" s="135"/>
      <c r="C187" s="119"/>
      <c r="D187" s="44">
        <v>180</v>
      </c>
      <c r="E187" s="72" t="s">
        <v>825</v>
      </c>
      <c r="F187" s="44" t="s">
        <v>16</v>
      </c>
      <c r="G187" s="44" t="s">
        <v>1687</v>
      </c>
      <c r="H187" s="44" t="s">
        <v>1</v>
      </c>
      <c r="I187" s="44" t="s">
        <v>13</v>
      </c>
      <c r="J187" s="72" t="s">
        <v>1228</v>
      </c>
      <c r="K187" s="73">
        <v>38078</v>
      </c>
      <c r="L187" s="30">
        <v>2004</v>
      </c>
      <c r="M187" s="30">
        <f t="shared" si="13"/>
        <v>15</v>
      </c>
      <c r="N187" s="44" t="s">
        <v>3</v>
      </c>
      <c r="O187" s="44" t="s">
        <v>1229</v>
      </c>
      <c r="P187" s="72" t="s">
        <v>1247</v>
      </c>
      <c r="Q187" s="44"/>
      <c r="R187" s="72" t="s">
        <v>1332</v>
      </c>
    </row>
    <row r="188" spans="2:18" x14ac:dyDescent="0.2">
      <c r="B188" s="135">
        <v>58</v>
      </c>
      <c r="C188" s="135"/>
      <c r="D188" s="44">
        <v>181</v>
      </c>
      <c r="E188" s="72" t="s">
        <v>826</v>
      </c>
      <c r="F188" s="44" t="s">
        <v>6</v>
      </c>
      <c r="G188" s="44" t="s">
        <v>827</v>
      </c>
      <c r="H188" s="44" t="s">
        <v>1</v>
      </c>
      <c r="I188" s="44" t="s">
        <v>2</v>
      </c>
      <c r="J188" s="72"/>
      <c r="K188" s="73">
        <v>13515</v>
      </c>
      <c r="L188" s="30">
        <f t="shared" ref="L188:L189" si="16">YEAR(K188)</f>
        <v>1936</v>
      </c>
      <c r="M188" s="30">
        <f t="shared" si="13"/>
        <v>83</v>
      </c>
      <c r="N188" s="44" t="s">
        <v>3</v>
      </c>
      <c r="O188" s="44"/>
      <c r="P188" s="72" t="s">
        <v>15</v>
      </c>
      <c r="Q188" s="44"/>
      <c r="R188" s="72"/>
    </row>
    <row r="189" spans="2:18" x14ac:dyDescent="0.2">
      <c r="B189" s="135"/>
      <c r="C189" s="135"/>
      <c r="D189" s="44">
        <v>182</v>
      </c>
      <c r="E189" s="72" t="s">
        <v>828</v>
      </c>
      <c r="F189" s="44" t="s">
        <v>11</v>
      </c>
      <c r="G189" s="44" t="s">
        <v>829</v>
      </c>
      <c r="H189" s="44" t="s">
        <v>9</v>
      </c>
      <c r="I189" s="44" t="s">
        <v>2</v>
      </c>
      <c r="J189" s="72"/>
      <c r="K189" s="73">
        <v>24837</v>
      </c>
      <c r="L189" s="30">
        <f t="shared" si="16"/>
        <v>1967</v>
      </c>
      <c r="M189" s="30">
        <f t="shared" si="13"/>
        <v>52</v>
      </c>
      <c r="N189" s="44" t="s">
        <v>3</v>
      </c>
      <c r="O189" s="44"/>
      <c r="P189" s="72" t="s">
        <v>15</v>
      </c>
      <c r="Q189" s="44"/>
      <c r="R189" s="72" t="s">
        <v>10</v>
      </c>
    </row>
    <row r="190" spans="2:18" ht="25.5" x14ac:dyDescent="0.2">
      <c r="B190" s="135">
        <v>59</v>
      </c>
      <c r="C190" s="135"/>
      <c r="D190" s="44">
        <v>183</v>
      </c>
      <c r="E190" s="72" t="s">
        <v>616</v>
      </c>
      <c r="F190" s="44" t="s">
        <v>6</v>
      </c>
      <c r="G190" s="44" t="s">
        <v>1803</v>
      </c>
      <c r="H190" s="44" t="s">
        <v>1</v>
      </c>
      <c r="I190" s="44" t="s">
        <v>2</v>
      </c>
      <c r="J190" s="72" t="s">
        <v>1228</v>
      </c>
      <c r="K190" s="73">
        <v>28125</v>
      </c>
      <c r="L190" s="30">
        <v>1976</v>
      </c>
      <c r="M190" s="30">
        <f t="shared" si="13"/>
        <v>43</v>
      </c>
      <c r="N190" s="44" t="s">
        <v>3</v>
      </c>
      <c r="O190" s="44" t="s">
        <v>1229</v>
      </c>
      <c r="P190" s="72" t="s">
        <v>1320</v>
      </c>
      <c r="Q190" s="44"/>
      <c r="R190" s="72" t="s">
        <v>1370</v>
      </c>
    </row>
    <row r="191" spans="2:18" ht="25.5" x14ac:dyDescent="0.2">
      <c r="B191" s="135"/>
      <c r="C191" s="135"/>
      <c r="D191" s="44">
        <v>184</v>
      </c>
      <c r="E191" s="72" t="s">
        <v>414</v>
      </c>
      <c r="F191" s="44" t="s">
        <v>11</v>
      </c>
      <c r="G191" s="44" t="s">
        <v>1804</v>
      </c>
      <c r="H191" s="44" t="s">
        <v>9</v>
      </c>
      <c r="I191" s="44" t="s">
        <v>2</v>
      </c>
      <c r="J191" s="72" t="s">
        <v>1228</v>
      </c>
      <c r="K191" s="73">
        <v>28672</v>
      </c>
      <c r="L191" s="30">
        <v>1978</v>
      </c>
      <c r="M191" s="30">
        <f t="shared" ref="M191" si="17">2019-L191</f>
        <v>41</v>
      </c>
      <c r="N191" s="44" t="s">
        <v>3</v>
      </c>
      <c r="O191" s="44" t="s">
        <v>1229</v>
      </c>
      <c r="P191" s="72" t="s">
        <v>1320</v>
      </c>
      <c r="Q191" s="44"/>
      <c r="R191" s="72" t="s">
        <v>1360</v>
      </c>
    </row>
    <row r="192" spans="2:18" ht="25.5" x14ac:dyDescent="0.2">
      <c r="B192" s="135"/>
      <c r="C192" s="135"/>
      <c r="D192" s="44">
        <v>185</v>
      </c>
      <c r="E192" s="72" t="s">
        <v>333</v>
      </c>
      <c r="F192" s="44" t="s">
        <v>16</v>
      </c>
      <c r="G192" s="44" t="s">
        <v>15</v>
      </c>
      <c r="H192" s="44" t="s">
        <v>1</v>
      </c>
      <c r="I192" s="44" t="s">
        <v>1421</v>
      </c>
      <c r="J192" s="72" t="s">
        <v>1228</v>
      </c>
      <c r="K192" s="73">
        <v>33458</v>
      </c>
      <c r="L192" s="30">
        <v>1991</v>
      </c>
      <c r="M192" s="30">
        <f t="shared" si="13"/>
        <v>28</v>
      </c>
      <c r="N192" s="44" t="s">
        <v>3</v>
      </c>
      <c r="O192" s="44" t="s">
        <v>1229</v>
      </c>
      <c r="P192" s="72" t="s">
        <v>1233</v>
      </c>
      <c r="Q192" s="44"/>
      <c r="R192" s="72" t="s">
        <v>1330</v>
      </c>
    </row>
    <row r="193" spans="2:18" ht="25.5" x14ac:dyDescent="0.2">
      <c r="B193" s="135">
        <v>60</v>
      </c>
      <c r="C193" s="119" t="s">
        <v>1632</v>
      </c>
      <c r="D193" s="44">
        <v>186</v>
      </c>
      <c r="E193" s="72" t="s">
        <v>1628</v>
      </c>
      <c r="F193" s="44" t="s">
        <v>6</v>
      </c>
      <c r="G193" s="44" t="s">
        <v>831</v>
      </c>
      <c r="H193" s="44" t="s">
        <v>1</v>
      </c>
      <c r="I193" s="44" t="s">
        <v>2</v>
      </c>
      <c r="J193" s="72" t="s">
        <v>1228</v>
      </c>
      <c r="K193" s="73">
        <v>25538</v>
      </c>
      <c r="L193" s="30">
        <v>1969</v>
      </c>
      <c r="M193" s="30">
        <f t="shared" si="13"/>
        <v>50</v>
      </c>
      <c r="N193" s="44" t="s">
        <v>3</v>
      </c>
      <c r="O193" s="44" t="s">
        <v>1229</v>
      </c>
      <c r="P193" s="72" t="s">
        <v>1320</v>
      </c>
      <c r="Q193" s="44"/>
      <c r="R193" s="72" t="s">
        <v>1370</v>
      </c>
    </row>
    <row r="194" spans="2:18" ht="25.5" x14ac:dyDescent="0.2">
      <c r="B194" s="135"/>
      <c r="C194" s="119"/>
      <c r="D194" s="44">
        <v>187</v>
      </c>
      <c r="E194" s="72" t="s">
        <v>111</v>
      </c>
      <c r="F194" s="44" t="s">
        <v>11</v>
      </c>
      <c r="G194" s="44" t="s">
        <v>832</v>
      </c>
      <c r="H194" s="44" t="s">
        <v>9</v>
      </c>
      <c r="I194" s="44" t="s">
        <v>2</v>
      </c>
      <c r="J194" s="72" t="s">
        <v>1228</v>
      </c>
      <c r="K194" s="73">
        <v>25750</v>
      </c>
      <c r="L194" s="30">
        <v>1970</v>
      </c>
      <c r="M194" s="30">
        <f t="shared" si="13"/>
        <v>49</v>
      </c>
      <c r="N194" s="44" t="s">
        <v>3</v>
      </c>
      <c r="O194" s="44" t="s">
        <v>1229</v>
      </c>
      <c r="P194" s="72" t="s">
        <v>1320</v>
      </c>
      <c r="Q194" s="44"/>
      <c r="R194" s="72" t="s">
        <v>1370</v>
      </c>
    </row>
    <row r="195" spans="2:18" ht="25.5" x14ac:dyDescent="0.2">
      <c r="B195" s="135"/>
      <c r="C195" s="119"/>
      <c r="D195" s="44">
        <v>188</v>
      </c>
      <c r="E195" s="72" t="s">
        <v>833</v>
      </c>
      <c r="F195" s="44" t="s">
        <v>16</v>
      </c>
      <c r="G195" s="44" t="s">
        <v>1630</v>
      </c>
      <c r="H195" s="44" t="s">
        <v>9</v>
      </c>
      <c r="I195" s="44" t="s">
        <v>13</v>
      </c>
      <c r="J195" s="72" t="s">
        <v>1228</v>
      </c>
      <c r="K195" s="73">
        <v>33711</v>
      </c>
      <c r="L195" s="30">
        <v>1992</v>
      </c>
      <c r="M195" s="30">
        <f t="shared" si="13"/>
        <v>27</v>
      </c>
      <c r="N195" s="44" t="s">
        <v>3</v>
      </c>
      <c r="O195" s="44" t="s">
        <v>1229</v>
      </c>
      <c r="P195" s="72" t="s">
        <v>1270</v>
      </c>
      <c r="Q195" s="44"/>
      <c r="R195" s="72" t="s">
        <v>1326</v>
      </c>
    </row>
    <row r="196" spans="2:18" ht="25.5" x14ac:dyDescent="0.2">
      <c r="B196" s="135"/>
      <c r="C196" s="119"/>
      <c r="D196" s="44">
        <v>189</v>
      </c>
      <c r="E196" s="72" t="s">
        <v>1629</v>
      </c>
      <c r="F196" s="44" t="s">
        <v>16</v>
      </c>
      <c r="G196" s="44" t="s">
        <v>1631</v>
      </c>
      <c r="H196" s="44" t="s">
        <v>1</v>
      </c>
      <c r="I196" s="44" t="s">
        <v>13</v>
      </c>
      <c r="J196" s="72" t="s">
        <v>1228</v>
      </c>
      <c r="K196" s="73">
        <v>38487</v>
      </c>
      <c r="L196" s="30">
        <v>2005</v>
      </c>
      <c r="M196" s="30">
        <f t="shared" si="13"/>
        <v>14</v>
      </c>
      <c r="N196" s="44" t="s">
        <v>3</v>
      </c>
      <c r="O196" s="44" t="s">
        <v>1229</v>
      </c>
      <c r="P196" s="72" t="s">
        <v>1233</v>
      </c>
      <c r="Q196" s="44"/>
      <c r="R196" s="72" t="s">
        <v>1326</v>
      </c>
    </row>
    <row r="197" spans="2:18" ht="25.5" x14ac:dyDescent="0.2">
      <c r="B197" s="135">
        <v>61</v>
      </c>
      <c r="C197" s="119" t="s">
        <v>1736</v>
      </c>
      <c r="D197" s="44">
        <v>190</v>
      </c>
      <c r="E197" s="72" t="s">
        <v>1805</v>
      </c>
      <c r="F197" s="44" t="s">
        <v>6</v>
      </c>
      <c r="G197" s="44" t="s">
        <v>834</v>
      </c>
      <c r="H197" s="44" t="s">
        <v>1</v>
      </c>
      <c r="I197" s="44" t="s">
        <v>2</v>
      </c>
      <c r="J197" s="72" t="s">
        <v>1228</v>
      </c>
      <c r="K197" s="73">
        <v>18963</v>
      </c>
      <c r="L197" s="30">
        <v>1951</v>
      </c>
      <c r="M197" s="30">
        <f t="shared" si="13"/>
        <v>68</v>
      </c>
      <c r="N197" s="44" t="s">
        <v>3</v>
      </c>
      <c r="O197" s="44" t="s">
        <v>1229</v>
      </c>
      <c r="P197" s="72" t="s">
        <v>1247</v>
      </c>
      <c r="Q197" s="44"/>
      <c r="R197" s="72" t="s">
        <v>1330</v>
      </c>
    </row>
    <row r="198" spans="2:18" ht="25.5" x14ac:dyDescent="0.2">
      <c r="B198" s="135"/>
      <c r="C198" s="119"/>
      <c r="D198" s="44">
        <v>191</v>
      </c>
      <c r="E198" s="72" t="s">
        <v>615</v>
      </c>
      <c r="F198" s="44" t="s">
        <v>11</v>
      </c>
      <c r="G198" s="44" t="s">
        <v>835</v>
      </c>
      <c r="H198" s="44" t="s">
        <v>9</v>
      </c>
      <c r="I198" s="44" t="s">
        <v>2</v>
      </c>
      <c r="J198" s="72" t="s">
        <v>1228</v>
      </c>
      <c r="K198" s="73">
        <v>20271</v>
      </c>
      <c r="L198" s="30">
        <v>1955</v>
      </c>
      <c r="M198" s="30">
        <f t="shared" si="13"/>
        <v>64</v>
      </c>
      <c r="N198" s="44" t="s">
        <v>3</v>
      </c>
      <c r="O198" s="44" t="s">
        <v>1229</v>
      </c>
      <c r="P198" s="72" t="s">
        <v>1320</v>
      </c>
      <c r="Q198" s="44"/>
      <c r="R198" s="72" t="s">
        <v>1370</v>
      </c>
    </row>
    <row r="199" spans="2:18" ht="25.5" x14ac:dyDescent="0.2">
      <c r="B199" s="135"/>
      <c r="C199" s="119"/>
      <c r="D199" s="44">
        <v>192</v>
      </c>
      <c r="E199" s="72" t="s">
        <v>229</v>
      </c>
      <c r="F199" s="44" t="s">
        <v>16</v>
      </c>
      <c r="G199" s="44" t="s">
        <v>836</v>
      </c>
      <c r="H199" s="44" t="s">
        <v>9</v>
      </c>
      <c r="I199" s="44" t="s">
        <v>13</v>
      </c>
      <c r="J199" s="72" t="s">
        <v>1228</v>
      </c>
      <c r="K199" s="73">
        <v>30681</v>
      </c>
      <c r="L199" s="30">
        <v>1983</v>
      </c>
      <c r="M199" s="30">
        <f t="shared" si="13"/>
        <v>36</v>
      </c>
      <c r="N199" s="44" t="s">
        <v>3</v>
      </c>
      <c r="O199" s="44" t="s">
        <v>1229</v>
      </c>
      <c r="P199" s="72" t="s">
        <v>1233</v>
      </c>
      <c r="Q199" s="44"/>
      <c r="R199" s="72" t="s">
        <v>5</v>
      </c>
    </row>
    <row r="200" spans="2:18" ht="25.5" x14ac:dyDescent="0.2">
      <c r="B200" s="135">
        <v>62</v>
      </c>
      <c r="C200" s="135" t="s">
        <v>1591</v>
      </c>
      <c r="D200" s="44">
        <v>193</v>
      </c>
      <c r="E200" s="72" t="s">
        <v>1592</v>
      </c>
      <c r="F200" s="44" t="s">
        <v>6</v>
      </c>
      <c r="G200" s="44" t="s">
        <v>837</v>
      </c>
      <c r="H200" s="44" t="s">
        <v>1</v>
      </c>
      <c r="I200" s="44" t="s">
        <v>2</v>
      </c>
      <c r="J200" s="72" t="s">
        <v>1228</v>
      </c>
      <c r="K200" s="73">
        <v>29586</v>
      </c>
      <c r="L200" s="30">
        <v>1980</v>
      </c>
      <c r="M200" s="30">
        <f t="shared" si="13"/>
        <v>39</v>
      </c>
      <c r="N200" s="44" t="s">
        <v>3</v>
      </c>
      <c r="O200" s="44" t="s">
        <v>1229</v>
      </c>
      <c r="P200" s="72" t="s">
        <v>1233</v>
      </c>
      <c r="Q200" s="44"/>
      <c r="R200" s="72" t="s">
        <v>5</v>
      </c>
    </row>
    <row r="201" spans="2:18" ht="25.5" x14ac:dyDescent="0.2">
      <c r="B201" s="135"/>
      <c r="C201" s="135"/>
      <c r="D201" s="44">
        <v>194</v>
      </c>
      <c r="E201" s="72" t="s">
        <v>838</v>
      </c>
      <c r="F201" s="44" t="s">
        <v>11</v>
      </c>
      <c r="G201" s="44" t="s">
        <v>1596</v>
      </c>
      <c r="H201" s="44" t="s">
        <v>9</v>
      </c>
      <c r="I201" s="44" t="s">
        <v>2</v>
      </c>
      <c r="J201" s="72" t="s">
        <v>1228</v>
      </c>
      <c r="K201" s="73">
        <v>29586</v>
      </c>
      <c r="L201" s="30">
        <v>1980</v>
      </c>
      <c r="M201" s="30">
        <f t="shared" si="13"/>
        <v>39</v>
      </c>
      <c r="N201" s="44" t="s">
        <v>3</v>
      </c>
      <c r="O201" s="44" t="s">
        <v>1229</v>
      </c>
      <c r="P201" s="72" t="s">
        <v>1246</v>
      </c>
      <c r="Q201" s="44"/>
      <c r="R201" s="72" t="s">
        <v>1360</v>
      </c>
    </row>
    <row r="202" spans="2:18" ht="25.5" x14ac:dyDescent="0.2">
      <c r="B202" s="135"/>
      <c r="C202" s="135"/>
      <c r="D202" s="44">
        <v>195</v>
      </c>
      <c r="E202" s="72" t="s">
        <v>1593</v>
      </c>
      <c r="F202" s="44" t="s">
        <v>16</v>
      </c>
      <c r="G202" s="44" t="s">
        <v>1597</v>
      </c>
      <c r="H202" s="44" t="s">
        <v>9</v>
      </c>
      <c r="I202" s="44" t="s">
        <v>13</v>
      </c>
      <c r="J202" s="72" t="s">
        <v>1228</v>
      </c>
      <c r="K202" s="73">
        <v>37452</v>
      </c>
      <c r="L202" s="30">
        <v>2002</v>
      </c>
      <c r="M202" s="30">
        <f t="shared" si="13"/>
        <v>17</v>
      </c>
      <c r="N202" s="44" t="s">
        <v>3</v>
      </c>
      <c r="O202" s="44" t="s">
        <v>1229</v>
      </c>
      <c r="P202" s="72" t="s">
        <v>1247</v>
      </c>
      <c r="Q202" s="44"/>
      <c r="R202" s="72" t="s">
        <v>1326</v>
      </c>
    </row>
    <row r="203" spans="2:18" ht="25.5" x14ac:dyDescent="0.2">
      <c r="B203" s="135"/>
      <c r="C203" s="135"/>
      <c r="D203" s="44">
        <v>196</v>
      </c>
      <c r="E203" s="72" t="s">
        <v>1594</v>
      </c>
      <c r="F203" s="44" t="s">
        <v>16</v>
      </c>
      <c r="G203" s="44" t="s">
        <v>839</v>
      </c>
      <c r="H203" s="44" t="s">
        <v>1</v>
      </c>
      <c r="I203" s="44" t="s">
        <v>13</v>
      </c>
      <c r="J203" s="72" t="s">
        <v>1228</v>
      </c>
      <c r="K203" s="73">
        <v>41998</v>
      </c>
      <c r="L203" s="30">
        <v>2014</v>
      </c>
      <c r="M203" s="30">
        <f t="shared" ref="M203:M208" si="18">2019-L203</f>
        <v>5</v>
      </c>
      <c r="N203" s="44" t="s">
        <v>3</v>
      </c>
      <c r="O203" s="44" t="s">
        <v>1229</v>
      </c>
      <c r="P203" s="72" t="s">
        <v>1320</v>
      </c>
      <c r="Q203" s="44"/>
      <c r="R203" s="72" t="s">
        <v>1332</v>
      </c>
    </row>
    <row r="204" spans="2:18" ht="25.5" x14ac:dyDescent="0.2">
      <c r="B204" s="135">
        <v>63</v>
      </c>
      <c r="C204" s="119" t="s">
        <v>1657</v>
      </c>
      <c r="D204" s="44">
        <v>197</v>
      </c>
      <c r="E204" s="72" t="s">
        <v>840</v>
      </c>
      <c r="F204" s="44" t="s">
        <v>6</v>
      </c>
      <c r="G204" s="44" t="s">
        <v>1658</v>
      </c>
      <c r="H204" s="44" t="s">
        <v>1</v>
      </c>
      <c r="I204" s="44" t="s">
        <v>2</v>
      </c>
      <c r="J204" s="72" t="s">
        <v>1228</v>
      </c>
      <c r="K204" s="73">
        <v>24107</v>
      </c>
      <c r="L204" s="30">
        <v>1965</v>
      </c>
      <c r="M204" s="30">
        <f t="shared" si="18"/>
        <v>54</v>
      </c>
      <c r="N204" s="44" t="s">
        <v>3</v>
      </c>
      <c r="O204" s="44" t="s">
        <v>1229</v>
      </c>
      <c r="P204" s="72" t="s">
        <v>1233</v>
      </c>
      <c r="Q204" s="44"/>
      <c r="R204" s="72" t="s">
        <v>1370</v>
      </c>
    </row>
    <row r="205" spans="2:18" ht="25.5" x14ac:dyDescent="0.2">
      <c r="B205" s="135"/>
      <c r="C205" s="119"/>
      <c r="D205" s="44">
        <v>198</v>
      </c>
      <c r="E205" s="72" t="s">
        <v>841</v>
      </c>
      <c r="F205" s="44" t="s">
        <v>11</v>
      </c>
      <c r="G205" s="44" t="s">
        <v>1659</v>
      </c>
      <c r="H205" s="44" t="s">
        <v>9</v>
      </c>
      <c r="I205" s="44" t="s">
        <v>2</v>
      </c>
      <c r="J205" s="72" t="s">
        <v>1228</v>
      </c>
      <c r="K205" s="73">
        <v>25203</v>
      </c>
      <c r="L205" s="30">
        <v>1968</v>
      </c>
      <c r="M205" s="30">
        <f t="shared" si="18"/>
        <v>51</v>
      </c>
      <c r="N205" s="44" t="s">
        <v>3</v>
      </c>
      <c r="O205" s="44" t="s">
        <v>1229</v>
      </c>
      <c r="P205" s="72" t="s">
        <v>1233</v>
      </c>
      <c r="Q205" s="44"/>
      <c r="R205" s="72" t="s">
        <v>290</v>
      </c>
    </row>
    <row r="206" spans="2:18" x14ac:dyDescent="0.2">
      <c r="B206" s="135"/>
      <c r="C206" s="119"/>
      <c r="D206" s="44">
        <v>199</v>
      </c>
      <c r="E206" s="72" t="s">
        <v>842</v>
      </c>
      <c r="F206" s="44" t="s">
        <v>16</v>
      </c>
      <c r="G206" s="44" t="s">
        <v>1660</v>
      </c>
      <c r="H206" s="44" t="s">
        <v>1</v>
      </c>
      <c r="I206" s="44" t="s">
        <v>13</v>
      </c>
      <c r="J206" s="72" t="s">
        <v>1228</v>
      </c>
      <c r="K206" s="73">
        <v>33087</v>
      </c>
      <c r="L206" s="30">
        <v>1990</v>
      </c>
      <c r="M206" s="30">
        <f t="shared" si="18"/>
        <v>29</v>
      </c>
      <c r="N206" s="44" t="s">
        <v>3</v>
      </c>
      <c r="O206" s="44" t="s">
        <v>1229</v>
      </c>
      <c r="P206" s="72" t="s">
        <v>1270</v>
      </c>
      <c r="Q206" s="44"/>
      <c r="R206" s="72" t="s">
        <v>5</v>
      </c>
    </row>
    <row r="207" spans="2:18" x14ac:dyDescent="0.2">
      <c r="B207" s="135">
        <v>64</v>
      </c>
      <c r="C207" s="135"/>
      <c r="D207" s="44">
        <v>200</v>
      </c>
      <c r="E207" s="72" t="s">
        <v>843</v>
      </c>
      <c r="F207" s="44" t="s">
        <v>6</v>
      </c>
      <c r="G207" s="44" t="s">
        <v>844</v>
      </c>
      <c r="H207" s="44" t="s">
        <v>9</v>
      </c>
      <c r="I207" s="44" t="s">
        <v>19</v>
      </c>
      <c r="J207" s="72"/>
      <c r="K207" s="73">
        <v>28460</v>
      </c>
      <c r="L207" s="30">
        <f t="shared" ref="L207:L208" si="19">YEAR(K207)</f>
        <v>1977</v>
      </c>
      <c r="M207" s="30">
        <f t="shared" si="18"/>
        <v>42</v>
      </c>
      <c r="N207" s="44" t="s">
        <v>3</v>
      </c>
      <c r="O207" s="44"/>
      <c r="P207" s="72" t="s">
        <v>15</v>
      </c>
      <c r="Q207" s="44"/>
      <c r="R207" s="72" t="s">
        <v>34</v>
      </c>
    </row>
    <row r="208" spans="2:18" x14ac:dyDescent="0.2">
      <c r="B208" s="135"/>
      <c r="C208" s="135"/>
      <c r="D208" s="44">
        <v>201</v>
      </c>
      <c r="E208" s="72" t="s">
        <v>845</v>
      </c>
      <c r="F208" s="44" t="s">
        <v>16</v>
      </c>
      <c r="G208" s="44" t="s">
        <v>694</v>
      </c>
      <c r="H208" s="44" t="s">
        <v>1</v>
      </c>
      <c r="I208" s="44" t="s">
        <v>13</v>
      </c>
      <c r="J208" s="72"/>
      <c r="K208" s="73">
        <v>36321</v>
      </c>
      <c r="L208" s="30">
        <f t="shared" si="19"/>
        <v>1999</v>
      </c>
      <c r="M208" s="30">
        <f t="shared" si="18"/>
        <v>20</v>
      </c>
      <c r="N208" s="44" t="s">
        <v>3</v>
      </c>
      <c r="O208" s="44"/>
      <c r="P208" s="72" t="s">
        <v>4</v>
      </c>
      <c r="Q208" s="44"/>
      <c r="R208" s="72" t="s">
        <v>15</v>
      </c>
    </row>
    <row r="209" spans="2:18" ht="25.5" x14ac:dyDescent="0.2">
      <c r="B209" s="135">
        <v>65</v>
      </c>
      <c r="C209" s="119" t="s">
        <v>1708</v>
      </c>
      <c r="D209" s="44">
        <v>202</v>
      </c>
      <c r="E209" s="72" t="s">
        <v>1709</v>
      </c>
      <c r="F209" s="44" t="s">
        <v>6</v>
      </c>
      <c r="G209" s="44" t="s">
        <v>1712</v>
      </c>
      <c r="H209" s="44" t="s">
        <v>1</v>
      </c>
      <c r="I209" s="44" t="s">
        <v>2</v>
      </c>
      <c r="J209" s="72" t="s">
        <v>1228</v>
      </c>
      <c r="K209" s="73">
        <v>27455</v>
      </c>
      <c r="L209" s="30">
        <v>1975</v>
      </c>
      <c r="M209" s="30">
        <f t="shared" ref="M209:M248" si="20">2019-L209</f>
        <v>44</v>
      </c>
      <c r="N209" s="44" t="s">
        <v>3</v>
      </c>
      <c r="O209" s="44" t="s">
        <v>1229</v>
      </c>
      <c r="P209" s="72" t="s">
        <v>1233</v>
      </c>
      <c r="Q209" s="44"/>
      <c r="R209" s="72" t="s">
        <v>5</v>
      </c>
    </row>
    <row r="210" spans="2:18" ht="25.5" x14ac:dyDescent="0.2">
      <c r="B210" s="135"/>
      <c r="C210" s="119"/>
      <c r="D210" s="44">
        <v>203</v>
      </c>
      <c r="E210" s="72" t="s">
        <v>846</v>
      </c>
      <c r="F210" s="44" t="s">
        <v>11</v>
      </c>
      <c r="G210" s="44" t="s">
        <v>1713</v>
      </c>
      <c r="H210" s="44" t="s">
        <v>9</v>
      </c>
      <c r="I210" s="44" t="s">
        <v>2</v>
      </c>
      <c r="J210" s="72" t="s">
        <v>1228</v>
      </c>
      <c r="K210" s="73">
        <v>28930</v>
      </c>
      <c r="L210" s="30">
        <v>1979</v>
      </c>
      <c r="M210" s="30">
        <f t="shared" si="20"/>
        <v>40</v>
      </c>
      <c r="N210" s="44" t="s">
        <v>3</v>
      </c>
      <c r="O210" s="44" t="s">
        <v>1229</v>
      </c>
      <c r="P210" s="72" t="s">
        <v>1233</v>
      </c>
      <c r="Q210" s="44"/>
      <c r="R210" s="72" t="s">
        <v>5</v>
      </c>
    </row>
    <row r="211" spans="2:18" ht="25.5" x14ac:dyDescent="0.2">
      <c r="B211" s="135"/>
      <c r="C211" s="119"/>
      <c r="D211" s="44">
        <v>204</v>
      </c>
      <c r="E211" s="72" t="s">
        <v>198</v>
      </c>
      <c r="F211" s="44" t="s">
        <v>16</v>
      </c>
      <c r="G211" s="44" t="s">
        <v>1714</v>
      </c>
      <c r="H211" s="44" t="s">
        <v>9</v>
      </c>
      <c r="I211" s="44" t="s">
        <v>13</v>
      </c>
      <c r="J211" s="72" t="s">
        <v>1228</v>
      </c>
      <c r="K211" s="73">
        <v>34572</v>
      </c>
      <c r="L211" s="30">
        <v>1994</v>
      </c>
      <c r="M211" s="30">
        <f t="shared" si="20"/>
        <v>25</v>
      </c>
      <c r="N211" s="44" t="s">
        <v>3</v>
      </c>
      <c r="O211" s="44" t="s">
        <v>1229</v>
      </c>
      <c r="P211" s="72" t="s">
        <v>1246</v>
      </c>
      <c r="Q211" s="44"/>
      <c r="R211" s="72" t="s">
        <v>1332</v>
      </c>
    </row>
    <row r="212" spans="2:18" ht="25.5" x14ac:dyDescent="0.2">
      <c r="B212" s="135"/>
      <c r="C212" s="119"/>
      <c r="D212" s="44">
        <v>205</v>
      </c>
      <c r="E212" s="72" t="s">
        <v>1710</v>
      </c>
      <c r="F212" s="44" t="s">
        <v>16</v>
      </c>
      <c r="G212" s="44" t="s">
        <v>1715</v>
      </c>
      <c r="H212" s="44" t="s">
        <v>9</v>
      </c>
      <c r="I212" s="44" t="s">
        <v>13</v>
      </c>
      <c r="J212" s="72" t="s">
        <v>1228</v>
      </c>
      <c r="K212" s="73">
        <v>37335</v>
      </c>
      <c r="L212" s="30">
        <v>2002</v>
      </c>
      <c r="M212" s="30">
        <f t="shared" si="20"/>
        <v>17</v>
      </c>
      <c r="N212" s="44" t="s">
        <v>3</v>
      </c>
      <c r="O212" s="44" t="s">
        <v>1229</v>
      </c>
      <c r="P212" s="72" t="s">
        <v>1247</v>
      </c>
      <c r="Q212" s="44"/>
      <c r="R212" s="72" t="s">
        <v>1326</v>
      </c>
    </row>
    <row r="213" spans="2:18" ht="25.5" x14ac:dyDescent="0.2">
      <c r="B213" s="135"/>
      <c r="C213" s="119"/>
      <c r="D213" s="44">
        <v>206</v>
      </c>
      <c r="E213" s="72" t="s">
        <v>1711</v>
      </c>
      <c r="F213" s="44" t="s">
        <v>16</v>
      </c>
      <c r="G213" s="44" t="s">
        <v>1716</v>
      </c>
      <c r="H213" s="44" t="s">
        <v>1</v>
      </c>
      <c r="I213" s="44" t="s">
        <v>13</v>
      </c>
      <c r="J213" s="72" t="s">
        <v>1228</v>
      </c>
      <c r="K213" s="73">
        <v>37335</v>
      </c>
      <c r="L213" s="30">
        <v>2002</v>
      </c>
      <c r="M213" s="30">
        <f t="shared" si="20"/>
        <v>17</v>
      </c>
      <c r="N213" s="44" t="s">
        <v>3</v>
      </c>
      <c r="O213" s="44" t="s">
        <v>1229</v>
      </c>
      <c r="P213" s="72" t="s">
        <v>1247</v>
      </c>
      <c r="Q213" s="44"/>
      <c r="R213" s="72" t="s">
        <v>1326</v>
      </c>
    </row>
    <row r="214" spans="2:18" x14ac:dyDescent="0.2">
      <c r="B214" s="135">
        <v>66</v>
      </c>
      <c r="C214" s="119" t="s">
        <v>1717</v>
      </c>
      <c r="D214" s="44">
        <v>207</v>
      </c>
      <c r="E214" s="72" t="s">
        <v>847</v>
      </c>
      <c r="F214" s="44" t="s">
        <v>6</v>
      </c>
      <c r="G214" s="44" t="s">
        <v>848</v>
      </c>
      <c r="H214" s="44" t="s">
        <v>1</v>
      </c>
      <c r="I214" s="44" t="s">
        <v>2</v>
      </c>
      <c r="J214" s="72" t="s">
        <v>1228</v>
      </c>
      <c r="K214" s="73">
        <v>26744</v>
      </c>
      <c r="L214" s="30">
        <v>1973</v>
      </c>
      <c r="M214" s="30">
        <f t="shared" si="20"/>
        <v>46</v>
      </c>
      <c r="N214" s="44" t="s">
        <v>3</v>
      </c>
      <c r="O214" s="44" t="s">
        <v>1229</v>
      </c>
      <c r="P214" s="72" t="s">
        <v>1270</v>
      </c>
      <c r="Q214" s="44"/>
      <c r="R214" s="72" t="s">
        <v>1370</v>
      </c>
    </row>
    <row r="215" spans="2:18" ht="25.5" x14ac:dyDescent="0.2">
      <c r="B215" s="135"/>
      <c r="C215" s="119"/>
      <c r="D215" s="44">
        <v>208</v>
      </c>
      <c r="E215" s="72" t="s">
        <v>180</v>
      </c>
      <c r="F215" s="44" t="s">
        <v>11</v>
      </c>
      <c r="G215" s="44" t="s">
        <v>849</v>
      </c>
      <c r="H215" s="44" t="s">
        <v>9</v>
      </c>
      <c r="I215" s="44" t="s">
        <v>2</v>
      </c>
      <c r="J215" s="72" t="s">
        <v>1228</v>
      </c>
      <c r="K215" s="73">
        <v>27677</v>
      </c>
      <c r="L215" s="30">
        <v>1975</v>
      </c>
      <c r="M215" s="30">
        <f t="shared" si="20"/>
        <v>44</v>
      </c>
      <c r="N215" s="44" t="s">
        <v>3</v>
      </c>
      <c r="O215" s="44" t="s">
        <v>1229</v>
      </c>
      <c r="P215" s="72" t="s">
        <v>1233</v>
      </c>
      <c r="Q215" s="44"/>
      <c r="R215" s="72" t="s">
        <v>1370</v>
      </c>
    </row>
    <row r="216" spans="2:18" ht="25.5" x14ac:dyDescent="0.2">
      <c r="B216" s="135"/>
      <c r="C216" s="119"/>
      <c r="D216" s="44">
        <v>209</v>
      </c>
      <c r="E216" s="72" t="s">
        <v>850</v>
      </c>
      <c r="F216" s="44" t="s">
        <v>16</v>
      </c>
      <c r="G216" s="44" t="s">
        <v>851</v>
      </c>
      <c r="H216" s="44" t="s">
        <v>1</v>
      </c>
      <c r="I216" s="44" t="s">
        <v>13</v>
      </c>
      <c r="J216" s="72" t="s">
        <v>1228</v>
      </c>
      <c r="K216" s="73">
        <v>34500</v>
      </c>
      <c r="L216" s="30">
        <v>1994</v>
      </c>
      <c r="M216" s="30">
        <f t="shared" si="20"/>
        <v>25</v>
      </c>
      <c r="N216" s="44" t="s">
        <v>3</v>
      </c>
      <c r="O216" s="44" t="s">
        <v>1229</v>
      </c>
      <c r="P216" s="72" t="s">
        <v>1246</v>
      </c>
      <c r="Q216" s="44"/>
      <c r="R216" s="72" t="s">
        <v>1326</v>
      </c>
    </row>
    <row r="217" spans="2:18" ht="38.25" x14ac:dyDescent="0.2">
      <c r="B217" s="135"/>
      <c r="C217" s="119"/>
      <c r="D217" s="44">
        <v>210</v>
      </c>
      <c r="E217" s="72" t="s">
        <v>852</v>
      </c>
      <c r="F217" s="44" t="s">
        <v>16</v>
      </c>
      <c r="G217" s="44" t="s">
        <v>853</v>
      </c>
      <c r="H217" s="44" t="s">
        <v>1</v>
      </c>
      <c r="I217" s="44" t="s">
        <v>13</v>
      </c>
      <c r="J217" s="72" t="s">
        <v>1459</v>
      </c>
      <c r="K217" s="73">
        <v>40905</v>
      </c>
      <c r="L217" s="30">
        <v>2011</v>
      </c>
      <c r="M217" s="30">
        <f t="shared" si="20"/>
        <v>8</v>
      </c>
      <c r="N217" s="44" t="s">
        <v>3</v>
      </c>
      <c r="O217" s="44" t="s">
        <v>1229</v>
      </c>
      <c r="P217" s="72" t="s">
        <v>1320</v>
      </c>
      <c r="Q217" s="44"/>
      <c r="R217" s="72" t="s">
        <v>1332</v>
      </c>
    </row>
    <row r="218" spans="2:18" ht="25.5" x14ac:dyDescent="0.2">
      <c r="B218" s="135">
        <v>67</v>
      </c>
      <c r="C218" s="119" t="s">
        <v>1604</v>
      </c>
      <c r="D218" s="44">
        <v>211</v>
      </c>
      <c r="E218" s="72" t="s">
        <v>854</v>
      </c>
      <c r="F218" s="44" t="s">
        <v>6</v>
      </c>
      <c r="G218" s="44" t="s">
        <v>855</v>
      </c>
      <c r="H218" s="44" t="s">
        <v>1</v>
      </c>
      <c r="I218" s="44" t="s">
        <v>2</v>
      </c>
      <c r="J218" s="72" t="s">
        <v>1228</v>
      </c>
      <c r="K218" s="73">
        <v>20272</v>
      </c>
      <c r="L218" s="30">
        <v>1955</v>
      </c>
      <c r="M218" s="30">
        <f t="shared" si="20"/>
        <v>64</v>
      </c>
      <c r="N218" s="44" t="s">
        <v>3</v>
      </c>
      <c r="O218" s="44" t="s">
        <v>1229</v>
      </c>
      <c r="P218" s="72" t="s">
        <v>1233</v>
      </c>
      <c r="Q218" s="44"/>
      <c r="R218" s="72" t="s">
        <v>1330</v>
      </c>
    </row>
    <row r="219" spans="2:18" ht="25.5" x14ac:dyDescent="0.2">
      <c r="B219" s="135"/>
      <c r="C219" s="119"/>
      <c r="D219" s="44">
        <v>212</v>
      </c>
      <c r="E219" s="72" t="s">
        <v>856</v>
      </c>
      <c r="F219" s="44" t="s">
        <v>11</v>
      </c>
      <c r="G219" s="44" t="s">
        <v>857</v>
      </c>
      <c r="H219" s="44" t="s">
        <v>9</v>
      </c>
      <c r="I219" s="44" t="s">
        <v>2</v>
      </c>
      <c r="J219" s="72" t="s">
        <v>1228</v>
      </c>
      <c r="K219" s="73">
        <v>24654</v>
      </c>
      <c r="L219" s="30">
        <v>1967</v>
      </c>
      <c r="M219" s="30">
        <f t="shared" si="20"/>
        <v>52</v>
      </c>
      <c r="N219" s="44" t="s">
        <v>3</v>
      </c>
      <c r="O219" s="44" t="s">
        <v>1229</v>
      </c>
      <c r="P219" s="72" t="s">
        <v>1233</v>
      </c>
      <c r="Q219" s="44"/>
      <c r="R219" s="72" t="s">
        <v>1360</v>
      </c>
    </row>
    <row r="220" spans="2:18" ht="25.5" x14ac:dyDescent="0.2">
      <c r="B220" s="135"/>
      <c r="C220" s="119"/>
      <c r="D220" s="44">
        <v>213</v>
      </c>
      <c r="E220" s="72" t="s">
        <v>858</v>
      </c>
      <c r="F220" s="44" t="s">
        <v>16</v>
      </c>
      <c r="G220" s="44" t="s">
        <v>859</v>
      </c>
      <c r="H220" s="44" t="s">
        <v>9</v>
      </c>
      <c r="I220" s="44" t="s">
        <v>13</v>
      </c>
      <c r="J220" s="72" t="s">
        <v>1228</v>
      </c>
      <c r="K220" s="73">
        <v>33315</v>
      </c>
      <c r="L220" s="30">
        <v>1991</v>
      </c>
      <c r="M220" s="30">
        <f t="shared" si="20"/>
        <v>28</v>
      </c>
      <c r="N220" s="44" t="s">
        <v>3</v>
      </c>
      <c r="O220" s="44" t="s">
        <v>1229</v>
      </c>
      <c r="P220" s="72" t="s">
        <v>1270</v>
      </c>
      <c r="Q220" s="44"/>
      <c r="R220" s="72" t="s">
        <v>1326</v>
      </c>
    </row>
    <row r="221" spans="2:18" ht="25.5" x14ac:dyDescent="0.2">
      <c r="B221" s="135">
        <v>68</v>
      </c>
      <c r="C221" s="119" t="s">
        <v>1790</v>
      </c>
      <c r="D221" s="44">
        <v>214</v>
      </c>
      <c r="E221" s="72" t="s">
        <v>1791</v>
      </c>
      <c r="F221" s="44" t="s">
        <v>6</v>
      </c>
      <c r="G221" s="44" t="s">
        <v>860</v>
      </c>
      <c r="H221" s="44" t="s">
        <v>1</v>
      </c>
      <c r="I221" s="44" t="s">
        <v>2</v>
      </c>
      <c r="J221" s="72" t="s">
        <v>1228</v>
      </c>
      <c r="K221" s="73">
        <v>27576</v>
      </c>
      <c r="L221" s="30">
        <v>1975</v>
      </c>
      <c r="M221" s="30">
        <f t="shared" si="20"/>
        <v>44</v>
      </c>
      <c r="N221" s="44" t="s">
        <v>3</v>
      </c>
      <c r="O221" s="44" t="s">
        <v>1229</v>
      </c>
      <c r="P221" s="72" t="s">
        <v>1233</v>
      </c>
      <c r="Q221" s="44"/>
      <c r="R221" s="72" t="s">
        <v>1330</v>
      </c>
    </row>
    <row r="222" spans="2:18" ht="25.5" x14ac:dyDescent="0.2">
      <c r="B222" s="135"/>
      <c r="C222" s="119"/>
      <c r="D222" s="44">
        <v>215</v>
      </c>
      <c r="E222" s="72" t="s">
        <v>456</v>
      </c>
      <c r="F222" s="44" t="s">
        <v>11</v>
      </c>
      <c r="G222" s="44" t="s">
        <v>861</v>
      </c>
      <c r="H222" s="44" t="s">
        <v>9</v>
      </c>
      <c r="I222" s="44" t="s">
        <v>2</v>
      </c>
      <c r="J222" s="72" t="s">
        <v>1772</v>
      </c>
      <c r="K222" s="73">
        <v>29768</v>
      </c>
      <c r="L222" s="30">
        <v>1981</v>
      </c>
      <c r="M222" s="30">
        <f t="shared" si="20"/>
        <v>38</v>
      </c>
      <c r="N222" s="44" t="s">
        <v>3</v>
      </c>
      <c r="O222" s="44" t="s">
        <v>1229</v>
      </c>
      <c r="P222" s="72" t="s">
        <v>1320</v>
      </c>
      <c r="Q222" s="44"/>
      <c r="R222" s="72" t="s">
        <v>1330</v>
      </c>
    </row>
    <row r="223" spans="2:18" ht="25.5" x14ac:dyDescent="0.2">
      <c r="B223" s="135"/>
      <c r="C223" s="119"/>
      <c r="D223" s="44">
        <v>216</v>
      </c>
      <c r="E223" s="72" t="s">
        <v>1792</v>
      </c>
      <c r="F223" s="44" t="s">
        <v>16</v>
      </c>
      <c r="G223" s="44" t="s">
        <v>862</v>
      </c>
      <c r="H223" s="44" t="s">
        <v>9</v>
      </c>
      <c r="I223" s="44" t="s">
        <v>13</v>
      </c>
      <c r="J223" s="72" t="s">
        <v>1228</v>
      </c>
      <c r="K223" s="73">
        <v>36661</v>
      </c>
      <c r="L223" s="30">
        <v>2000</v>
      </c>
      <c r="M223" s="30">
        <f t="shared" si="20"/>
        <v>19</v>
      </c>
      <c r="N223" s="44" t="s">
        <v>3</v>
      </c>
      <c r="O223" s="44" t="s">
        <v>1229</v>
      </c>
      <c r="P223" s="72" t="s">
        <v>1246</v>
      </c>
      <c r="Q223" s="44"/>
      <c r="R223" s="72" t="s">
        <v>1332</v>
      </c>
    </row>
    <row r="224" spans="2:18" ht="25.5" x14ac:dyDescent="0.2">
      <c r="B224" s="135"/>
      <c r="C224" s="119"/>
      <c r="D224" s="44">
        <v>217</v>
      </c>
      <c r="E224" s="72" t="s">
        <v>1793</v>
      </c>
      <c r="F224" s="44" t="s">
        <v>16</v>
      </c>
      <c r="G224" s="44" t="s">
        <v>863</v>
      </c>
      <c r="H224" s="44" t="s">
        <v>9</v>
      </c>
      <c r="I224" s="44" t="s">
        <v>13</v>
      </c>
      <c r="J224" s="72" t="s">
        <v>1228</v>
      </c>
      <c r="K224" s="73">
        <v>41584</v>
      </c>
      <c r="L224" s="30">
        <v>2013</v>
      </c>
      <c r="M224" s="30">
        <f t="shared" si="20"/>
        <v>6</v>
      </c>
      <c r="N224" s="44" t="s">
        <v>3</v>
      </c>
      <c r="O224" s="44" t="s">
        <v>1229</v>
      </c>
      <c r="P224" s="72" t="s">
        <v>1320</v>
      </c>
      <c r="Q224" s="44"/>
      <c r="R224" s="72" t="s">
        <v>1332</v>
      </c>
    </row>
    <row r="225" spans="2:18" x14ac:dyDescent="0.2">
      <c r="B225" s="135">
        <v>69</v>
      </c>
      <c r="C225" s="135"/>
      <c r="D225" s="44">
        <v>218</v>
      </c>
      <c r="E225" s="72" t="s">
        <v>864</v>
      </c>
      <c r="F225" s="44" t="s">
        <v>6</v>
      </c>
      <c r="G225" s="44" t="s">
        <v>865</v>
      </c>
      <c r="H225" s="44" t="s">
        <v>1</v>
      </c>
      <c r="I225" s="44" t="s">
        <v>95</v>
      </c>
      <c r="J225" s="72"/>
      <c r="K225" s="73">
        <v>21711</v>
      </c>
      <c r="L225" s="30">
        <f t="shared" ref="L225:L229" si="21">YEAR(K225)</f>
        <v>1959</v>
      </c>
      <c r="M225" s="30">
        <f t="shared" si="20"/>
        <v>60</v>
      </c>
      <c r="N225" s="44" t="s">
        <v>3</v>
      </c>
      <c r="O225" s="44"/>
      <c r="P225" s="72" t="s">
        <v>28</v>
      </c>
      <c r="Q225" s="44"/>
      <c r="R225" s="72" t="s">
        <v>34</v>
      </c>
    </row>
    <row r="226" spans="2:18" x14ac:dyDescent="0.2">
      <c r="B226" s="135"/>
      <c r="C226" s="135"/>
      <c r="D226" s="44">
        <v>219</v>
      </c>
      <c r="E226" s="72" t="s">
        <v>866</v>
      </c>
      <c r="F226" s="44" t="s">
        <v>11</v>
      </c>
      <c r="G226" s="44" t="s">
        <v>867</v>
      </c>
      <c r="H226" s="44" t="s">
        <v>1</v>
      </c>
      <c r="I226" s="44" t="s">
        <v>13</v>
      </c>
      <c r="J226" s="72"/>
      <c r="K226" s="73">
        <v>34334</v>
      </c>
      <c r="L226" s="30">
        <f t="shared" si="21"/>
        <v>1993</v>
      </c>
      <c r="M226" s="30">
        <f t="shared" si="20"/>
        <v>26</v>
      </c>
      <c r="N226" s="44" t="s">
        <v>3</v>
      </c>
      <c r="O226" s="44"/>
      <c r="P226" s="72" t="s">
        <v>28</v>
      </c>
      <c r="Q226" s="44"/>
      <c r="R226" s="72" t="s">
        <v>15</v>
      </c>
    </row>
    <row r="227" spans="2:18" x14ac:dyDescent="0.2">
      <c r="B227" s="135"/>
      <c r="C227" s="135"/>
      <c r="D227" s="44">
        <v>220</v>
      </c>
      <c r="E227" s="72" t="s">
        <v>868</v>
      </c>
      <c r="F227" s="44" t="s">
        <v>16</v>
      </c>
      <c r="G227" s="44" t="s">
        <v>869</v>
      </c>
      <c r="H227" s="44" t="s">
        <v>1</v>
      </c>
      <c r="I227" s="44" t="s">
        <v>13</v>
      </c>
      <c r="J227" s="72"/>
      <c r="K227" s="73">
        <v>36015</v>
      </c>
      <c r="L227" s="30">
        <f t="shared" si="21"/>
        <v>1998</v>
      </c>
      <c r="M227" s="30">
        <f t="shared" si="20"/>
        <v>21</v>
      </c>
      <c r="N227" s="44" t="s">
        <v>3</v>
      </c>
      <c r="O227" s="44"/>
      <c r="P227" s="72" t="s">
        <v>14</v>
      </c>
      <c r="Q227" s="44"/>
      <c r="R227" s="72" t="s">
        <v>15</v>
      </c>
    </row>
    <row r="228" spans="2:18" x14ac:dyDescent="0.2">
      <c r="B228" s="135">
        <v>70</v>
      </c>
      <c r="C228" s="135"/>
      <c r="D228" s="44">
        <v>221</v>
      </c>
      <c r="E228" s="72" t="s">
        <v>870</v>
      </c>
      <c r="F228" s="44" t="s">
        <v>6</v>
      </c>
      <c r="G228" s="44" t="s">
        <v>871</v>
      </c>
      <c r="H228" s="44" t="s">
        <v>9</v>
      </c>
      <c r="I228" s="44" t="s">
        <v>19</v>
      </c>
      <c r="J228" s="72"/>
      <c r="K228" s="73">
        <v>14824</v>
      </c>
      <c r="L228" s="30">
        <f t="shared" si="21"/>
        <v>1940</v>
      </c>
      <c r="M228" s="30">
        <f t="shared" si="20"/>
        <v>79</v>
      </c>
      <c r="N228" s="44" t="s">
        <v>3</v>
      </c>
      <c r="O228" s="44"/>
      <c r="P228" s="72" t="s">
        <v>15</v>
      </c>
      <c r="Q228" s="44"/>
      <c r="R228" s="72" t="s">
        <v>15</v>
      </c>
    </row>
    <row r="229" spans="2:18" x14ac:dyDescent="0.2">
      <c r="B229" s="135"/>
      <c r="C229" s="135"/>
      <c r="D229" s="44">
        <v>222</v>
      </c>
      <c r="E229" s="72" t="s">
        <v>872</v>
      </c>
      <c r="F229" s="44" t="s">
        <v>16</v>
      </c>
      <c r="G229" s="44" t="s">
        <v>873</v>
      </c>
      <c r="H229" s="44" t="s">
        <v>1</v>
      </c>
      <c r="I229" s="44" t="s">
        <v>13</v>
      </c>
      <c r="J229" s="72"/>
      <c r="K229" s="73">
        <v>30498</v>
      </c>
      <c r="L229" s="30">
        <f t="shared" si="21"/>
        <v>1983</v>
      </c>
      <c r="M229" s="30">
        <f t="shared" si="20"/>
        <v>36</v>
      </c>
      <c r="N229" s="44" t="s">
        <v>3</v>
      </c>
      <c r="O229" s="44"/>
      <c r="P229" s="72" t="s">
        <v>14</v>
      </c>
      <c r="Q229" s="44"/>
      <c r="R229" s="72" t="s">
        <v>5</v>
      </c>
    </row>
    <row r="230" spans="2:18" ht="25.5" x14ac:dyDescent="0.2">
      <c r="B230" s="135">
        <v>71</v>
      </c>
      <c r="C230" s="119" t="s">
        <v>1661</v>
      </c>
      <c r="D230" s="44">
        <v>223</v>
      </c>
      <c r="E230" s="72" t="s">
        <v>1663</v>
      </c>
      <c r="F230" s="44" t="s">
        <v>6</v>
      </c>
      <c r="G230" s="44" t="s">
        <v>1669</v>
      </c>
      <c r="H230" s="44" t="s">
        <v>1</v>
      </c>
      <c r="I230" s="44" t="s">
        <v>2</v>
      </c>
      <c r="J230" s="72" t="s">
        <v>1228</v>
      </c>
      <c r="K230" s="73">
        <v>29951</v>
      </c>
      <c r="L230" s="30">
        <v>1981</v>
      </c>
      <c r="M230" s="30">
        <f t="shared" si="20"/>
        <v>38</v>
      </c>
      <c r="N230" s="44" t="s">
        <v>3</v>
      </c>
      <c r="O230" s="44" t="s">
        <v>1229</v>
      </c>
      <c r="P230" s="72" t="s">
        <v>1672</v>
      </c>
      <c r="Q230" s="44"/>
      <c r="R230" s="72" t="s">
        <v>1673</v>
      </c>
    </row>
    <row r="231" spans="2:18" x14ac:dyDescent="0.2">
      <c r="B231" s="135"/>
      <c r="C231" s="119"/>
      <c r="D231" s="44">
        <v>224</v>
      </c>
      <c r="E231" s="72" t="s">
        <v>1662</v>
      </c>
      <c r="F231" s="44" t="s">
        <v>11</v>
      </c>
      <c r="G231" s="44" t="s">
        <v>1670</v>
      </c>
      <c r="H231" s="44" t="s">
        <v>9</v>
      </c>
      <c r="I231" s="44" t="s">
        <v>2</v>
      </c>
      <c r="J231" s="72" t="s">
        <v>1228</v>
      </c>
      <c r="K231" s="73">
        <v>31412</v>
      </c>
      <c r="L231" s="30">
        <v>1985</v>
      </c>
      <c r="M231" s="30">
        <f t="shared" si="20"/>
        <v>34</v>
      </c>
      <c r="N231" s="44" t="s">
        <v>3</v>
      </c>
      <c r="O231" s="44" t="s">
        <v>1229</v>
      </c>
      <c r="P231" s="72" t="s">
        <v>1270</v>
      </c>
      <c r="Q231" s="44"/>
      <c r="R231" s="72" t="s">
        <v>5</v>
      </c>
    </row>
    <row r="232" spans="2:18" ht="25.5" x14ac:dyDescent="0.2">
      <c r="B232" s="135"/>
      <c r="C232" s="119"/>
      <c r="D232" s="44">
        <v>225</v>
      </c>
      <c r="E232" s="72" t="s">
        <v>1664</v>
      </c>
      <c r="F232" s="44" t="s">
        <v>16</v>
      </c>
      <c r="G232" s="44" t="s">
        <v>1671</v>
      </c>
      <c r="H232" s="44" t="s">
        <v>1</v>
      </c>
      <c r="I232" s="44" t="s">
        <v>13</v>
      </c>
      <c r="J232" s="72" t="s">
        <v>1376</v>
      </c>
      <c r="K232" s="73">
        <v>39019</v>
      </c>
      <c r="L232" s="30">
        <v>2006</v>
      </c>
      <c r="M232" s="30">
        <f t="shared" si="20"/>
        <v>13</v>
      </c>
      <c r="N232" s="44" t="s">
        <v>3</v>
      </c>
      <c r="O232" s="44" t="s">
        <v>1229</v>
      </c>
      <c r="P232" s="72" t="s">
        <v>1320</v>
      </c>
      <c r="Q232" s="44"/>
      <c r="R232" s="72" t="s">
        <v>1332</v>
      </c>
    </row>
    <row r="233" spans="2:18" ht="25.5" x14ac:dyDescent="0.2">
      <c r="B233" s="135"/>
      <c r="C233" s="119"/>
      <c r="D233" s="44">
        <v>226</v>
      </c>
      <c r="E233" s="72" t="s">
        <v>1665</v>
      </c>
      <c r="F233" s="44" t="s">
        <v>16</v>
      </c>
      <c r="G233" s="44" t="s">
        <v>1668</v>
      </c>
      <c r="H233" s="44" t="s">
        <v>1</v>
      </c>
      <c r="I233" s="44" t="s">
        <v>13</v>
      </c>
      <c r="J233" s="72" t="s">
        <v>1228</v>
      </c>
      <c r="K233" s="73">
        <v>40531</v>
      </c>
      <c r="L233" s="30">
        <v>2010</v>
      </c>
      <c r="M233" s="30">
        <f t="shared" si="20"/>
        <v>9</v>
      </c>
      <c r="N233" s="44" t="s">
        <v>3</v>
      </c>
      <c r="O233" s="44" t="s">
        <v>1229</v>
      </c>
      <c r="P233" s="72" t="s">
        <v>1320</v>
      </c>
      <c r="Q233" s="44"/>
      <c r="R233" s="72" t="s">
        <v>1332</v>
      </c>
    </row>
    <row r="234" spans="2:18" ht="25.5" x14ac:dyDescent="0.2">
      <c r="B234" s="135"/>
      <c r="C234" s="119"/>
      <c r="D234" s="44">
        <v>227</v>
      </c>
      <c r="E234" s="72" t="s">
        <v>1666</v>
      </c>
      <c r="F234" s="44" t="s">
        <v>16</v>
      </c>
      <c r="G234" s="44" t="s">
        <v>1667</v>
      </c>
      <c r="H234" s="44" t="s">
        <v>9</v>
      </c>
      <c r="I234" s="44" t="s">
        <v>13</v>
      </c>
      <c r="J234" s="72" t="s">
        <v>1466</v>
      </c>
      <c r="K234" s="73">
        <v>42427</v>
      </c>
      <c r="L234" s="30">
        <v>2016</v>
      </c>
      <c r="M234" s="30">
        <f t="shared" si="20"/>
        <v>3</v>
      </c>
      <c r="N234" s="44" t="s">
        <v>3</v>
      </c>
      <c r="O234" s="44" t="s">
        <v>1229</v>
      </c>
      <c r="P234" s="72" t="s">
        <v>1320</v>
      </c>
      <c r="Q234" s="44"/>
      <c r="R234" s="72" t="s">
        <v>1332</v>
      </c>
    </row>
    <row r="235" spans="2:18" ht="25.5" x14ac:dyDescent="0.2">
      <c r="B235" s="135">
        <v>72</v>
      </c>
      <c r="C235" s="119" t="s">
        <v>1703</v>
      </c>
      <c r="D235" s="44">
        <v>228</v>
      </c>
      <c r="E235" s="72" t="s">
        <v>874</v>
      </c>
      <c r="F235" s="44" t="s">
        <v>6</v>
      </c>
      <c r="G235" s="44" t="s">
        <v>875</v>
      </c>
      <c r="H235" s="44" t="s">
        <v>1</v>
      </c>
      <c r="I235" s="44" t="s">
        <v>2</v>
      </c>
      <c r="J235" s="72" t="s">
        <v>1228</v>
      </c>
      <c r="K235" s="73">
        <v>21732</v>
      </c>
      <c r="L235" s="30">
        <v>1959</v>
      </c>
      <c r="M235" s="30">
        <f t="shared" si="20"/>
        <v>60</v>
      </c>
      <c r="N235" s="44" t="s">
        <v>3</v>
      </c>
      <c r="O235" s="44" t="s">
        <v>1229</v>
      </c>
      <c r="P235" s="72" t="s">
        <v>1233</v>
      </c>
      <c r="Q235" s="44"/>
      <c r="R235" s="72" t="s">
        <v>5</v>
      </c>
    </row>
    <row r="236" spans="2:18" ht="25.5" x14ac:dyDescent="0.2">
      <c r="B236" s="135"/>
      <c r="C236" s="119"/>
      <c r="D236" s="44">
        <v>229</v>
      </c>
      <c r="E236" s="72" t="s">
        <v>272</v>
      </c>
      <c r="F236" s="44" t="s">
        <v>11</v>
      </c>
      <c r="G236" s="44" t="s">
        <v>876</v>
      </c>
      <c r="H236" s="44" t="s">
        <v>9</v>
      </c>
      <c r="I236" s="44" t="s">
        <v>2</v>
      </c>
      <c r="J236" s="72" t="s">
        <v>1228</v>
      </c>
      <c r="K236" s="73">
        <v>24654</v>
      </c>
      <c r="L236" s="30">
        <v>1967</v>
      </c>
      <c r="M236" s="30">
        <f t="shared" si="20"/>
        <v>52</v>
      </c>
      <c r="N236" s="44" t="s">
        <v>3</v>
      </c>
      <c r="O236" s="44" t="s">
        <v>1229</v>
      </c>
      <c r="P236" s="72" t="s">
        <v>1233</v>
      </c>
      <c r="Q236" s="44"/>
      <c r="R236" s="72" t="s">
        <v>5</v>
      </c>
    </row>
    <row r="237" spans="2:18" x14ac:dyDescent="0.2">
      <c r="B237" s="135">
        <v>73</v>
      </c>
      <c r="C237" s="119" t="s">
        <v>1750</v>
      </c>
      <c r="D237" s="44">
        <v>230</v>
      </c>
      <c r="E237" s="72" t="s">
        <v>1751</v>
      </c>
      <c r="F237" s="44" t="s">
        <v>6</v>
      </c>
      <c r="G237" s="44" t="s">
        <v>877</v>
      </c>
      <c r="H237" s="44" t="s">
        <v>1</v>
      </c>
      <c r="I237" s="44" t="s">
        <v>2</v>
      </c>
      <c r="J237" s="72" t="s">
        <v>1228</v>
      </c>
      <c r="K237" s="73">
        <v>29770</v>
      </c>
      <c r="L237" s="30">
        <v>1981</v>
      </c>
      <c r="M237" s="30">
        <f t="shared" si="20"/>
        <v>38</v>
      </c>
      <c r="N237" s="44" t="s">
        <v>3</v>
      </c>
      <c r="O237" s="44" t="s">
        <v>1229</v>
      </c>
      <c r="P237" s="72" t="s">
        <v>1270</v>
      </c>
      <c r="Q237" s="44"/>
      <c r="R237" s="72" t="s">
        <v>5</v>
      </c>
    </row>
    <row r="238" spans="2:18" x14ac:dyDescent="0.2">
      <c r="B238" s="135"/>
      <c r="C238" s="119"/>
      <c r="D238" s="44">
        <v>231</v>
      </c>
      <c r="E238" s="72" t="s">
        <v>878</v>
      </c>
      <c r="F238" s="44" t="s">
        <v>11</v>
      </c>
      <c r="G238" s="44" t="s">
        <v>1753</v>
      </c>
      <c r="H238" s="44" t="s">
        <v>33</v>
      </c>
      <c r="I238" s="44" t="s">
        <v>2</v>
      </c>
      <c r="J238" s="72" t="s">
        <v>1754</v>
      </c>
      <c r="K238" s="73">
        <v>30996</v>
      </c>
      <c r="L238" s="30">
        <v>1984</v>
      </c>
      <c r="M238" s="30">
        <f t="shared" si="20"/>
        <v>35</v>
      </c>
      <c r="N238" s="44" t="s">
        <v>3</v>
      </c>
      <c r="O238" s="44" t="s">
        <v>1229</v>
      </c>
      <c r="P238" s="72" t="s">
        <v>1246</v>
      </c>
      <c r="Q238" s="44"/>
      <c r="R238" s="72" t="s">
        <v>5</v>
      </c>
    </row>
    <row r="239" spans="2:18" ht="25.5" x14ac:dyDescent="0.2">
      <c r="B239" s="135"/>
      <c r="C239" s="119"/>
      <c r="D239" s="44">
        <v>232</v>
      </c>
      <c r="E239" s="72" t="s">
        <v>1752</v>
      </c>
      <c r="F239" s="44" t="s">
        <v>16</v>
      </c>
      <c r="G239" s="44">
        <v>0</v>
      </c>
      <c r="H239" s="44" t="s">
        <v>9</v>
      </c>
      <c r="I239" s="44" t="s">
        <v>13</v>
      </c>
      <c r="J239" s="72" t="s">
        <v>1466</v>
      </c>
      <c r="K239" s="73">
        <v>38060</v>
      </c>
      <c r="L239" s="30">
        <v>2004</v>
      </c>
      <c r="M239" s="30">
        <f t="shared" si="20"/>
        <v>15</v>
      </c>
      <c r="N239" s="44" t="s">
        <v>3</v>
      </c>
      <c r="O239" s="44" t="s">
        <v>1229</v>
      </c>
      <c r="P239" s="72" t="s">
        <v>1247</v>
      </c>
      <c r="Q239" s="44"/>
      <c r="R239" s="72" t="s">
        <v>1326</v>
      </c>
    </row>
    <row r="240" spans="2:18" ht="25.5" x14ac:dyDescent="0.2">
      <c r="B240" s="135">
        <v>74</v>
      </c>
      <c r="C240" s="119" t="s">
        <v>1761</v>
      </c>
      <c r="D240" s="44">
        <v>233</v>
      </c>
      <c r="E240" s="72" t="s">
        <v>1762</v>
      </c>
      <c r="F240" s="44" t="s">
        <v>6</v>
      </c>
      <c r="G240" s="44" t="s">
        <v>1766</v>
      </c>
      <c r="H240" s="44" t="s">
        <v>1</v>
      </c>
      <c r="I240" s="44" t="s">
        <v>2</v>
      </c>
      <c r="J240" s="72" t="s">
        <v>1228</v>
      </c>
      <c r="K240" s="73">
        <v>31047</v>
      </c>
      <c r="L240" s="30">
        <v>1984</v>
      </c>
      <c r="M240" s="30">
        <f t="shared" si="20"/>
        <v>35</v>
      </c>
      <c r="N240" s="44" t="s">
        <v>3</v>
      </c>
      <c r="O240" s="44" t="s">
        <v>1229</v>
      </c>
      <c r="P240" s="72" t="s">
        <v>1672</v>
      </c>
      <c r="Q240" s="44"/>
      <c r="R240" s="72" t="s">
        <v>1774</v>
      </c>
    </row>
    <row r="241" spans="2:18" x14ac:dyDescent="0.2">
      <c r="B241" s="135"/>
      <c r="C241" s="119"/>
      <c r="D241" s="44">
        <v>234</v>
      </c>
      <c r="E241" s="72" t="s">
        <v>1763</v>
      </c>
      <c r="F241" s="44" t="s">
        <v>11</v>
      </c>
      <c r="G241" s="44" t="s">
        <v>1767</v>
      </c>
      <c r="H241" s="44" t="s">
        <v>9</v>
      </c>
      <c r="I241" s="44" t="s">
        <v>2</v>
      </c>
      <c r="J241" s="72" t="s">
        <v>1770</v>
      </c>
      <c r="K241" s="73">
        <v>32422</v>
      </c>
      <c r="L241" s="30">
        <v>1988</v>
      </c>
      <c r="M241" s="30">
        <f t="shared" si="20"/>
        <v>31</v>
      </c>
      <c r="N241" s="44" t="s">
        <v>3</v>
      </c>
      <c r="O241" s="44" t="s">
        <v>1229</v>
      </c>
      <c r="P241" s="72" t="s">
        <v>1270</v>
      </c>
      <c r="Q241" s="44"/>
      <c r="R241" s="72" t="s">
        <v>1773</v>
      </c>
    </row>
    <row r="242" spans="2:18" ht="25.5" x14ac:dyDescent="0.2">
      <c r="B242" s="135"/>
      <c r="C242" s="119"/>
      <c r="D242" s="44">
        <v>235</v>
      </c>
      <c r="E242" s="72" t="s">
        <v>1764</v>
      </c>
      <c r="F242" s="44" t="s">
        <v>16</v>
      </c>
      <c r="G242" s="44" t="s">
        <v>1768</v>
      </c>
      <c r="H242" s="44" t="s">
        <v>1</v>
      </c>
      <c r="I242" s="44" t="s">
        <v>13</v>
      </c>
      <c r="J242" s="72" t="s">
        <v>1771</v>
      </c>
      <c r="K242" s="73">
        <v>40733</v>
      </c>
      <c r="L242" s="30">
        <v>2011</v>
      </c>
      <c r="M242" s="30">
        <f t="shared" ref="M242" si="22">2019-L242</f>
        <v>8</v>
      </c>
      <c r="N242" s="44" t="s">
        <v>3</v>
      </c>
      <c r="O242" s="44" t="s">
        <v>1229</v>
      </c>
      <c r="P242" s="72" t="s">
        <v>1320</v>
      </c>
      <c r="Q242" s="44"/>
      <c r="R242" s="72" t="s">
        <v>1332</v>
      </c>
    </row>
    <row r="243" spans="2:18" ht="25.5" x14ac:dyDescent="0.2">
      <c r="B243" s="135"/>
      <c r="C243" s="119"/>
      <c r="D243" s="44">
        <v>236</v>
      </c>
      <c r="E243" s="72" t="s">
        <v>1765</v>
      </c>
      <c r="F243" s="44" t="s">
        <v>16</v>
      </c>
      <c r="G243" s="44" t="s">
        <v>1769</v>
      </c>
      <c r="H243" s="44" t="s">
        <v>1</v>
      </c>
      <c r="I243" s="44" t="s">
        <v>13</v>
      </c>
      <c r="J243" s="72" t="s">
        <v>1772</v>
      </c>
      <c r="K243" s="73">
        <v>42560</v>
      </c>
      <c r="L243" s="30">
        <v>2016</v>
      </c>
      <c r="M243" s="30">
        <f t="shared" si="20"/>
        <v>3</v>
      </c>
      <c r="N243" s="44" t="s">
        <v>3</v>
      </c>
      <c r="O243" s="44" t="s">
        <v>1229</v>
      </c>
      <c r="P243" s="72" t="s">
        <v>1320</v>
      </c>
      <c r="Q243" s="44"/>
      <c r="R243" s="72" t="s">
        <v>1332</v>
      </c>
    </row>
    <row r="244" spans="2:18" ht="25.5" x14ac:dyDescent="0.2">
      <c r="B244" s="135">
        <v>75</v>
      </c>
      <c r="C244" s="135" t="s">
        <v>2253</v>
      </c>
      <c r="D244" s="44">
        <v>237</v>
      </c>
      <c r="E244" s="72" t="s">
        <v>879</v>
      </c>
      <c r="F244" s="44" t="s">
        <v>6</v>
      </c>
      <c r="G244" s="44" t="s">
        <v>880</v>
      </c>
      <c r="H244" s="44" t="s">
        <v>1</v>
      </c>
      <c r="I244" s="44" t="s">
        <v>2</v>
      </c>
      <c r="J244" s="72" t="s">
        <v>1228</v>
      </c>
      <c r="K244" s="73">
        <v>28307</v>
      </c>
      <c r="L244" s="30">
        <v>1977</v>
      </c>
      <c r="M244" s="30">
        <f t="shared" si="20"/>
        <v>42</v>
      </c>
      <c r="N244" s="44" t="s">
        <v>3</v>
      </c>
      <c r="O244" s="44" t="s">
        <v>1229</v>
      </c>
      <c r="P244" s="72" t="s">
        <v>1320</v>
      </c>
      <c r="Q244" s="44"/>
      <c r="R244" s="72" t="s">
        <v>1330</v>
      </c>
    </row>
    <row r="245" spans="2:18" ht="25.5" x14ac:dyDescent="0.2">
      <c r="B245" s="135"/>
      <c r="C245" s="135"/>
      <c r="D245" s="44">
        <v>238</v>
      </c>
      <c r="E245" s="72" t="s">
        <v>2251</v>
      </c>
      <c r="F245" s="44" t="s">
        <v>11</v>
      </c>
      <c r="G245" s="44" t="s">
        <v>881</v>
      </c>
      <c r="H245" s="44" t="s">
        <v>9</v>
      </c>
      <c r="I245" s="44" t="s">
        <v>2</v>
      </c>
      <c r="J245" s="72" t="s">
        <v>1228</v>
      </c>
      <c r="K245" s="73">
        <v>30316</v>
      </c>
      <c r="L245" s="30">
        <v>1982</v>
      </c>
      <c r="M245" s="30">
        <f t="shared" si="20"/>
        <v>37</v>
      </c>
      <c r="N245" s="44" t="s">
        <v>3</v>
      </c>
      <c r="O245" s="44" t="s">
        <v>1229</v>
      </c>
      <c r="P245" s="72" t="s">
        <v>1320</v>
      </c>
      <c r="Q245" s="44"/>
      <c r="R245" s="72" t="s">
        <v>5</v>
      </c>
    </row>
    <row r="246" spans="2:18" ht="25.5" x14ac:dyDescent="0.2">
      <c r="B246" s="135"/>
      <c r="C246" s="135"/>
      <c r="D246" s="44">
        <v>239</v>
      </c>
      <c r="E246" s="72" t="s">
        <v>2252</v>
      </c>
      <c r="F246" s="44" t="s">
        <v>16</v>
      </c>
      <c r="G246" s="44" t="s">
        <v>883</v>
      </c>
      <c r="H246" s="44" t="s">
        <v>9</v>
      </c>
      <c r="I246" s="44" t="s">
        <v>1421</v>
      </c>
      <c r="J246" s="72" t="s">
        <v>1228</v>
      </c>
      <c r="K246" s="73">
        <v>37256</v>
      </c>
      <c r="L246" s="30">
        <v>2001</v>
      </c>
      <c r="M246" s="30">
        <f t="shared" si="20"/>
        <v>18</v>
      </c>
      <c r="N246" s="44" t="s">
        <v>3</v>
      </c>
      <c r="O246" s="44" t="s">
        <v>1229</v>
      </c>
      <c r="P246" s="72" t="s">
        <v>1246</v>
      </c>
      <c r="Q246" s="44"/>
      <c r="R246" s="72" t="s">
        <v>1332</v>
      </c>
    </row>
    <row r="247" spans="2:18" ht="25.5" x14ac:dyDescent="0.2">
      <c r="B247" s="135"/>
      <c r="C247" s="135"/>
      <c r="D247" s="44">
        <v>240</v>
      </c>
      <c r="E247" s="72" t="s">
        <v>884</v>
      </c>
      <c r="F247" s="44" t="s">
        <v>16</v>
      </c>
      <c r="G247" s="44" t="s">
        <v>885</v>
      </c>
      <c r="H247" s="44" t="s">
        <v>1</v>
      </c>
      <c r="I247" s="44" t="s">
        <v>13</v>
      </c>
      <c r="J247" s="72" t="s">
        <v>1228</v>
      </c>
      <c r="K247" s="73">
        <v>40948</v>
      </c>
      <c r="L247" s="30">
        <v>2012</v>
      </c>
      <c r="M247" s="30">
        <f t="shared" si="20"/>
        <v>7</v>
      </c>
      <c r="N247" s="44" t="s">
        <v>3</v>
      </c>
      <c r="O247" s="44" t="s">
        <v>1229</v>
      </c>
      <c r="P247" s="72" t="s">
        <v>1320</v>
      </c>
      <c r="Q247" s="44"/>
      <c r="R247" s="72" t="s">
        <v>1332</v>
      </c>
    </row>
    <row r="248" spans="2:18" ht="25.5" x14ac:dyDescent="0.2">
      <c r="B248" s="90">
        <v>76</v>
      </c>
      <c r="C248" s="44" t="s">
        <v>1758</v>
      </c>
      <c r="D248" s="44">
        <v>241</v>
      </c>
      <c r="E248" s="72" t="s">
        <v>1759</v>
      </c>
      <c r="F248" s="44" t="s">
        <v>6</v>
      </c>
      <c r="G248" s="44" t="s">
        <v>1760</v>
      </c>
      <c r="H248" s="44" t="s">
        <v>9</v>
      </c>
      <c r="I248" s="44" t="s">
        <v>1296</v>
      </c>
      <c r="J248" s="72" t="s">
        <v>1228</v>
      </c>
      <c r="K248" s="73">
        <v>19906</v>
      </c>
      <c r="L248" s="30">
        <v>1954</v>
      </c>
      <c r="M248" s="30">
        <f t="shared" si="20"/>
        <v>65</v>
      </c>
      <c r="N248" s="44" t="s">
        <v>3</v>
      </c>
      <c r="O248" s="44" t="s">
        <v>1229</v>
      </c>
      <c r="P248" s="72" t="s">
        <v>1320</v>
      </c>
      <c r="Q248" s="44"/>
      <c r="R248" s="72" t="s">
        <v>1330</v>
      </c>
    </row>
    <row r="249" spans="2:18" ht="25.5" x14ac:dyDescent="0.2">
      <c r="B249" s="135">
        <v>77</v>
      </c>
      <c r="C249" s="119" t="s">
        <v>1598</v>
      </c>
      <c r="D249" s="44">
        <v>242</v>
      </c>
      <c r="E249" s="72" t="s">
        <v>886</v>
      </c>
      <c r="F249" s="44" t="s">
        <v>6</v>
      </c>
      <c r="G249" s="44" t="s">
        <v>887</v>
      </c>
      <c r="H249" s="44" t="s">
        <v>1</v>
      </c>
      <c r="I249" s="44" t="s">
        <v>2</v>
      </c>
      <c r="J249" s="72" t="s">
        <v>1228</v>
      </c>
      <c r="K249" s="73">
        <v>19541</v>
      </c>
      <c r="L249" s="30">
        <v>1953</v>
      </c>
      <c r="M249" s="30">
        <f>2019-L249</f>
        <v>66</v>
      </c>
      <c r="N249" s="44" t="s">
        <v>3</v>
      </c>
      <c r="O249" s="44" t="s">
        <v>1229</v>
      </c>
      <c r="P249" s="72" t="s">
        <v>1320</v>
      </c>
      <c r="Q249" s="44"/>
      <c r="R249" s="72" t="s">
        <v>1330</v>
      </c>
    </row>
    <row r="250" spans="2:18" ht="25.5" x14ac:dyDescent="0.2">
      <c r="B250" s="135"/>
      <c r="C250" s="119"/>
      <c r="D250" s="44">
        <v>243</v>
      </c>
      <c r="E250" s="72" t="s">
        <v>781</v>
      </c>
      <c r="F250" s="44" t="s">
        <v>11</v>
      </c>
      <c r="G250" s="44" t="s">
        <v>888</v>
      </c>
      <c r="H250" s="44" t="s">
        <v>9</v>
      </c>
      <c r="I250" s="44" t="s">
        <v>2</v>
      </c>
      <c r="J250" s="72" t="s">
        <v>1599</v>
      </c>
      <c r="K250" s="73">
        <v>20271</v>
      </c>
      <c r="L250" s="30">
        <v>1955</v>
      </c>
      <c r="M250" s="30">
        <f t="shared" ref="M250:M255" si="23">2019-L250</f>
        <v>64</v>
      </c>
      <c r="N250" s="44" t="s">
        <v>3</v>
      </c>
      <c r="O250" s="44" t="s">
        <v>1229</v>
      </c>
      <c r="P250" s="72" t="s">
        <v>1320</v>
      </c>
      <c r="Q250" s="44"/>
      <c r="R250" s="72" t="s">
        <v>1330</v>
      </c>
    </row>
    <row r="251" spans="2:18" ht="25.5" x14ac:dyDescent="0.2">
      <c r="B251" s="135"/>
      <c r="C251" s="119"/>
      <c r="D251" s="44">
        <v>244</v>
      </c>
      <c r="E251" s="72" t="s">
        <v>291</v>
      </c>
      <c r="F251" s="44" t="s">
        <v>16</v>
      </c>
      <c r="G251" s="44" t="s">
        <v>889</v>
      </c>
      <c r="H251" s="44" t="s">
        <v>1</v>
      </c>
      <c r="I251" s="44" t="s">
        <v>13</v>
      </c>
      <c r="J251" s="72" t="s">
        <v>1228</v>
      </c>
      <c r="K251" s="73">
        <v>35430</v>
      </c>
      <c r="L251" s="30">
        <v>1996</v>
      </c>
      <c r="M251" s="30">
        <f t="shared" si="23"/>
        <v>23</v>
      </c>
      <c r="N251" s="44" t="s">
        <v>3</v>
      </c>
      <c r="O251" s="44" t="s">
        <v>1229</v>
      </c>
      <c r="P251" s="72" t="s">
        <v>1246</v>
      </c>
      <c r="Q251" s="44"/>
      <c r="R251" s="72" t="s">
        <v>1332</v>
      </c>
    </row>
    <row r="252" spans="2:18" ht="25.5" x14ac:dyDescent="0.2">
      <c r="B252" s="135"/>
      <c r="C252" s="119"/>
      <c r="D252" s="44">
        <v>245</v>
      </c>
      <c r="E252" s="72" t="s">
        <v>1811</v>
      </c>
      <c r="F252" s="44" t="s">
        <v>16</v>
      </c>
      <c r="G252" s="44" t="s">
        <v>890</v>
      </c>
      <c r="H252" s="44" t="s">
        <v>1</v>
      </c>
      <c r="I252" s="44" t="s">
        <v>13</v>
      </c>
      <c r="J252" s="72" t="s">
        <v>1228</v>
      </c>
      <c r="K252" s="73">
        <v>36398</v>
      </c>
      <c r="L252" s="30">
        <v>1999</v>
      </c>
      <c r="M252" s="30">
        <f t="shared" si="23"/>
        <v>20</v>
      </c>
      <c r="N252" s="44" t="s">
        <v>3</v>
      </c>
      <c r="O252" s="44" t="s">
        <v>1229</v>
      </c>
      <c r="P252" s="72" t="s">
        <v>1246</v>
      </c>
      <c r="Q252" s="44"/>
      <c r="R252" s="72" t="s">
        <v>1332</v>
      </c>
    </row>
    <row r="253" spans="2:18" x14ac:dyDescent="0.2">
      <c r="B253" s="135">
        <v>78</v>
      </c>
      <c r="C253" s="135"/>
      <c r="D253" s="44">
        <v>246</v>
      </c>
      <c r="E253" s="72" t="s">
        <v>891</v>
      </c>
      <c r="F253" s="44" t="s">
        <v>6</v>
      </c>
      <c r="G253" s="44" t="s">
        <v>893</v>
      </c>
      <c r="H253" s="44" t="s">
        <v>1</v>
      </c>
      <c r="I253" s="44" t="s">
        <v>892</v>
      </c>
      <c r="J253" s="72"/>
      <c r="K253" s="73">
        <v>13585</v>
      </c>
      <c r="L253" s="30">
        <f t="shared" ref="L253:L255" si="24">YEAR(K253)</f>
        <v>1937</v>
      </c>
      <c r="M253" s="30">
        <f t="shared" si="23"/>
        <v>82</v>
      </c>
      <c r="N253" s="44" t="s">
        <v>3</v>
      </c>
      <c r="O253" s="44"/>
      <c r="P253" s="72" t="s">
        <v>15</v>
      </c>
      <c r="Q253" s="44"/>
      <c r="R253" s="72" t="s">
        <v>34</v>
      </c>
    </row>
    <row r="254" spans="2:18" x14ac:dyDescent="0.2">
      <c r="B254" s="135"/>
      <c r="C254" s="135"/>
      <c r="D254" s="44">
        <v>247</v>
      </c>
      <c r="E254" s="72" t="s">
        <v>184</v>
      </c>
      <c r="F254" s="44" t="s">
        <v>11</v>
      </c>
      <c r="G254" s="44" t="s">
        <v>894</v>
      </c>
      <c r="H254" s="44" t="s">
        <v>9</v>
      </c>
      <c r="I254" s="44" t="s">
        <v>2</v>
      </c>
      <c r="J254" s="72"/>
      <c r="K254" s="73">
        <v>30671</v>
      </c>
      <c r="L254" s="30">
        <f t="shared" si="24"/>
        <v>1983</v>
      </c>
      <c r="M254" s="30">
        <f t="shared" si="23"/>
        <v>36</v>
      </c>
      <c r="N254" s="44" t="s">
        <v>3</v>
      </c>
      <c r="O254" s="44"/>
      <c r="P254" s="72" t="s">
        <v>4</v>
      </c>
      <c r="Q254" s="44"/>
      <c r="R254" s="72" t="s">
        <v>34</v>
      </c>
    </row>
    <row r="255" spans="2:18" x14ac:dyDescent="0.2">
      <c r="B255" s="135"/>
      <c r="C255" s="135"/>
      <c r="D255" s="44">
        <v>248</v>
      </c>
      <c r="E255" s="72" t="s">
        <v>895</v>
      </c>
      <c r="F255" s="44" t="s">
        <v>16</v>
      </c>
      <c r="G255" s="44" t="s">
        <v>896</v>
      </c>
      <c r="H255" s="44" t="s">
        <v>9</v>
      </c>
      <c r="I255" s="44" t="s">
        <v>13</v>
      </c>
      <c r="J255" s="72"/>
      <c r="K255" s="73">
        <v>41004</v>
      </c>
      <c r="L255" s="30">
        <f t="shared" si="24"/>
        <v>2012</v>
      </c>
      <c r="M255" s="30">
        <f t="shared" si="23"/>
        <v>7</v>
      </c>
      <c r="N255" s="44" t="s">
        <v>3</v>
      </c>
      <c r="O255" s="44"/>
      <c r="P255" s="72" t="s">
        <v>15</v>
      </c>
      <c r="Q255" s="44"/>
      <c r="R255" s="72" t="s">
        <v>15</v>
      </c>
    </row>
    <row r="256" spans="2:18" s="35" customFormat="1" x14ac:dyDescent="0.25">
      <c r="B256" s="135">
        <v>79</v>
      </c>
      <c r="C256" s="119" t="s">
        <v>1578</v>
      </c>
      <c r="D256" s="44">
        <v>249</v>
      </c>
      <c r="E256" s="72" t="s">
        <v>1579</v>
      </c>
      <c r="F256" s="44" t="s">
        <v>6</v>
      </c>
      <c r="G256" s="44" t="s">
        <v>1582</v>
      </c>
      <c r="H256" s="44" t="s">
        <v>1</v>
      </c>
      <c r="I256" s="44" t="s">
        <v>2</v>
      </c>
      <c r="J256" s="72" t="s">
        <v>1228</v>
      </c>
      <c r="K256" s="73">
        <v>25903</v>
      </c>
      <c r="L256" s="30">
        <v>1970</v>
      </c>
      <c r="M256" s="30">
        <f>2019-L256</f>
        <v>49</v>
      </c>
      <c r="N256" s="44" t="s">
        <v>3</v>
      </c>
      <c r="O256" s="44" t="s">
        <v>1229</v>
      </c>
      <c r="P256" s="74" t="s">
        <v>1246</v>
      </c>
      <c r="Q256" s="44"/>
      <c r="R256" s="72" t="s">
        <v>5</v>
      </c>
    </row>
    <row r="257" spans="2:18" s="35" customFormat="1" ht="25.5" x14ac:dyDescent="0.25">
      <c r="B257" s="135"/>
      <c r="C257" s="119"/>
      <c r="D257" s="44">
        <v>250</v>
      </c>
      <c r="E257" s="72" t="s">
        <v>1580</v>
      </c>
      <c r="F257" s="44" t="s">
        <v>11</v>
      </c>
      <c r="G257" s="44" t="s">
        <v>1583</v>
      </c>
      <c r="H257" s="44" t="s">
        <v>9</v>
      </c>
      <c r="I257" s="44" t="s">
        <v>2</v>
      </c>
      <c r="J257" s="72" t="s">
        <v>1228</v>
      </c>
      <c r="K257" s="73">
        <v>26268</v>
      </c>
      <c r="L257" s="30">
        <v>1971</v>
      </c>
      <c r="M257" s="30">
        <f>2019-L257</f>
        <v>48</v>
      </c>
      <c r="N257" s="44" t="s">
        <v>3</v>
      </c>
      <c r="O257" s="44" t="s">
        <v>1229</v>
      </c>
      <c r="P257" s="74" t="s">
        <v>1233</v>
      </c>
      <c r="Q257" s="44"/>
      <c r="R257" s="72" t="s">
        <v>290</v>
      </c>
    </row>
    <row r="258" spans="2:18" s="35" customFormat="1" ht="38.25" x14ac:dyDescent="0.25">
      <c r="B258" s="135"/>
      <c r="C258" s="119"/>
      <c r="D258" s="44">
        <v>251</v>
      </c>
      <c r="E258" s="72" t="s">
        <v>1142</v>
      </c>
      <c r="F258" s="44" t="s">
        <v>16</v>
      </c>
      <c r="G258" s="44" t="s">
        <v>905</v>
      </c>
      <c r="H258" s="44" t="s">
        <v>9</v>
      </c>
      <c r="I258" s="44" t="s">
        <v>1421</v>
      </c>
      <c r="J258" s="72" t="s">
        <v>1228</v>
      </c>
      <c r="K258" s="73">
        <v>32633</v>
      </c>
      <c r="L258" s="30">
        <v>1989</v>
      </c>
      <c r="M258" s="30">
        <f>2019-L258</f>
        <v>30</v>
      </c>
      <c r="N258" s="44" t="s">
        <v>3</v>
      </c>
      <c r="O258" s="44" t="s">
        <v>1229</v>
      </c>
      <c r="P258" s="74" t="s">
        <v>1586</v>
      </c>
      <c r="Q258" s="44"/>
      <c r="R258" s="72" t="s">
        <v>1587</v>
      </c>
    </row>
    <row r="259" spans="2:18" s="35" customFormat="1" ht="25.5" x14ac:dyDescent="0.25">
      <c r="B259" s="135"/>
      <c r="C259" s="119"/>
      <c r="D259" s="44">
        <v>252</v>
      </c>
      <c r="E259" s="72" t="s">
        <v>903</v>
      </c>
      <c r="F259" s="44" t="s">
        <v>16</v>
      </c>
      <c r="G259" s="44" t="s">
        <v>1584</v>
      </c>
      <c r="H259" s="44" t="s">
        <v>9</v>
      </c>
      <c r="I259" s="44" t="s">
        <v>13</v>
      </c>
      <c r="J259" s="72" t="s">
        <v>1228</v>
      </c>
      <c r="K259" s="73">
        <v>36525</v>
      </c>
      <c r="L259" s="30">
        <v>1999</v>
      </c>
      <c r="M259" s="30">
        <f>2019-L259</f>
        <v>20</v>
      </c>
      <c r="N259" s="44" t="s">
        <v>3</v>
      </c>
      <c r="O259" s="44" t="s">
        <v>1229</v>
      </c>
      <c r="P259" s="74" t="s">
        <v>1270</v>
      </c>
      <c r="Q259" s="44"/>
      <c r="R259" s="72" t="s">
        <v>1326</v>
      </c>
    </row>
    <row r="260" spans="2:18" s="35" customFormat="1" ht="25.5" x14ac:dyDescent="0.25">
      <c r="B260" s="135"/>
      <c r="C260" s="119"/>
      <c r="D260" s="44">
        <v>253</v>
      </c>
      <c r="E260" s="72" t="s">
        <v>1581</v>
      </c>
      <c r="F260" s="44" t="s">
        <v>1301</v>
      </c>
      <c r="G260" s="44" t="s">
        <v>1585</v>
      </c>
      <c r="H260" s="44" t="s">
        <v>1</v>
      </c>
      <c r="I260" s="44" t="s">
        <v>13</v>
      </c>
      <c r="J260" s="72" t="s">
        <v>1228</v>
      </c>
      <c r="K260" s="73">
        <v>42005</v>
      </c>
      <c r="L260" s="30">
        <v>2015</v>
      </c>
      <c r="M260" s="30">
        <f>2019-L260</f>
        <v>4</v>
      </c>
      <c r="N260" s="44" t="s">
        <v>3</v>
      </c>
      <c r="O260" s="44" t="s">
        <v>1229</v>
      </c>
      <c r="P260" s="74" t="s">
        <v>1320</v>
      </c>
      <c r="Q260" s="44"/>
      <c r="R260" s="72" t="s">
        <v>1332</v>
      </c>
    </row>
    <row r="261" spans="2:18" x14ac:dyDescent="0.2">
      <c r="B261" s="135">
        <v>80</v>
      </c>
      <c r="C261" s="135"/>
      <c r="D261" s="44">
        <v>254</v>
      </c>
      <c r="E261" s="72" t="s">
        <v>897</v>
      </c>
      <c r="F261" s="44" t="s">
        <v>6</v>
      </c>
      <c r="G261" s="44" t="s">
        <v>898</v>
      </c>
      <c r="H261" s="44" t="s">
        <v>1</v>
      </c>
      <c r="I261" s="44" t="s">
        <v>13</v>
      </c>
      <c r="J261" s="72"/>
      <c r="K261" s="73">
        <v>25903</v>
      </c>
      <c r="L261" s="30">
        <f t="shared" ref="L261:L266" si="25">YEAR(K261)</f>
        <v>1970</v>
      </c>
      <c r="M261" s="30">
        <f t="shared" ref="M261:M266" si="26">2019-L261</f>
        <v>49</v>
      </c>
      <c r="N261" s="44" t="s">
        <v>3</v>
      </c>
      <c r="O261" s="44"/>
      <c r="P261" s="72" t="s">
        <v>14</v>
      </c>
      <c r="Q261" s="44"/>
      <c r="R261" s="72" t="s">
        <v>45</v>
      </c>
    </row>
    <row r="262" spans="2:18" x14ac:dyDescent="0.2">
      <c r="B262" s="135"/>
      <c r="C262" s="135"/>
      <c r="D262" s="44">
        <v>255</v>
      </c>
      <c r="E262" s="72" t="s">
        <v>899</v>
      </c>
      <c r="F262" s="44" t="s">
        <v>11</v>
      </c>
      <c r="G262" s="44" t="s">
        <v>900</v>
      </c>
      <c r="H262" s="44" t="s">
        <v>9</v>
      </c>
      <c r="I262" s="44" t="s">
        <v>13</v>
      </c>
      <c r="J262" s="72"/>
      <c r="K262" s="73">
        <v>26634</v>
      </c>
      <c r="L262" s="30">
        <f t="shared" si="25"/>
        <v>1972</v>
      </c>
      <c r="M262" s="30">
        <f t="shared" si="26"/>
        <v>47</v>
      </c>
      <c r="N262" s="44" t="s">
        <v>3</v>
      </c>
      <c r="O262" s="44"/>
      <c r="P262" s="72" t="s">
        <v>15</v>
      </c>
      <c r="Q262" s="44"/>
      <c r="R262" s="72" t="s">
        <v>416</v>
      </c>
    </row>
    <row r="263" spans="2:18" x14ac:dyDescent="0.2">
      <c r="B263" s="135"/>
      <c r="C263" s="135"/>
      <c r="D263" s="44">
        <v>256</v>
      </c>
      <c r="E263" s="72" t="s">
        <v>901</v>
      </c>
      <c r="F263" s="44" t="s">
        <v>16</v>
      </c>
      <c r="G263" s="44" t="s">
        <v>902</v>
      </c>
      <c r="H263" s="44" t="s">
        <v>9</v>
      </c>
      <c r="I263" s="44" t="s">
        <v>13</v>
      </c>
      <c r="J263" s="72"/>
      <c r="K263" s="73">
        <v>36495</v>
      </c>
      <c r="L263" s="30">
        <f t="shared" si="25"/>
        <v>1999</v>
      </c>
      <c r="M263" s="30">
        <f t="shared" si="26"/>
        <v>20</v>
      </c>
      <c r="N263" s="44" t="s">
        <v>3</v>
      </c>
      <c r="O263" s="44"/>
      <c r="P263" s="72" t="s">
        <v>14</v>
      </c>
      <c r="Q263" s="44"/>
      <c r="R263" s="72" t="s">
        <v>15</v>
      </c>
    </row>
    <row r="264" spans="2:18" ht="25.5" x14ac:dyDescent="0.2">
      <c r="B264" s="135"/>
      <c r="C264" s="135"/>
      <c r="D264" s="44">
        <v>257</v>
      </c>
      <c r="E264" s="72" t="s">
        <v>903</v>
      </c>
      <c r="F264" s="44" t="s">
        <v>16</v>
      </c>
      <c r="G264" s="44" t="s">
        <v>904</v>
      </c>
      <c r="H264" s="44" t="s">
        <v>9</v>
      </c>
      <c r="I264" s="44" t="s">
        <v>13</v>
      </c>
      <c r="J264" s="72"/>
      <c r="K264" s="73">
        <v>32633</v>
      </c>
      <c r="L264" s="30">
        <f t="shared" si="25"/>
        <v>1989</v>
      </c>
      <c r="M264" s="30">
        <f t="shared" si="26"/>
        <v>30</v>
      </c>
      <c r="N264" s="44" t="s">
        <v>3</v>
      </c>
      <c r="O264" s="44"/>
      <c r="P264" s="72" t="s">
        <v>28</v>
      </c>
      <c r="Q264" s="44"/>
      <c r="R264" s="72" t="s">
        <v>15</v>
      </c>
    </row>
    <row r="265" spans="2:18" x14ac:dyDescent="0.2">
      <c r="B265" s="135">
        <v>81</v>
      </c>
      <c r="C265" s="135"/>
      <c r="D265" s="44">
        <v>258</v>
      </c>
      <c r="E265" s="72" t="s">
        <v>899</v>
      </c>
      <c r="F265" s="44" t="s">
        <v>6</v>
      </c>
      <c r="G265" s="44" t="s">
        <v>905</v>
      </c>
      <c r="H265" s="44" t="s">
        <v>9</v>
      </c>
      <c r="I265" s="44" t="s">
        <v>19</v>
      </c>
      <c r="J265" s="72"/>
      <c r="K265" s="73">
        <v>32873</v>
      </c>
      <c r="L265" s="30">
        <f t="shared" si="25"/>
        <v>1989</v>
      </c>
      <c r="M265" s="30">
        <f t="shared" si="26"/>
        <v>30</v>
      </c>
      <c r="N265" s="44" t="s">
        <v>3</v>
      </c>
      <c r="O265" s="44"/>
      <c r="P265" s="72" t="s">
        <v>25</v>
      </c>
      <c r="Q265" s="44"/>
      <c r="R265" s="72" t="s">
        <v>367</v>
      </c>
    </row>
    <row r="266" spans="2:18" x14ac:dyDescent="0.2">
      <c r="B266" s="135"/>
      <c r="C266" s="135"/>
      <c r="D266" s="44">
        <v>259</v>
      </c>
      <c r="E266" s="72" t="s">
        <v>906</v>
      </c>
      <c r="F266" s="44" t="s">
        <v>16</v>
      </c>
      <c r="G266" s="44" t="s">
        <v>907</v>
      </c>
      <c r="H266" s="44" t="s">
        <v>1</v>
      </c>
      <c r="I266" s="44" t="s">
        <v>13</v>
      </c>
      <c r="J266" s="72"/>
      <c r="K266" s="73">
        <v>40878</v>
      </c>
      <c r="L266" s="30">
        <f t="shared" si="25"/>
        <v>2011</v>
      </c>
      <c r="M266" s="30">
        <f t="shared" si="26"/>
        <v>8</v>
      </c>
      <c r="N266" s="44" t="s">
        <v>3</v>
      </c>
      <c r="O266" s="44"/>
      <c r="P266" s="72" t="s">
        <v>15</v>
      </c>
      <c r="Q266" s="44"/>
      <c r="R266" s="72" t="s">
        <v>15</v>
      </c>
    </row>
    <row r="267" spans="2:18" ht="25.5" x14ac:dyDescent="0.2">
      <c r="B267" s="135">
        <v>82</v>
      </c>
      <c r="C267" s="119" t="s">
        <v>1627</v>
      </c>
      <c r="D267" s="44">
        <v>260</v>
      </c>
      <c r="E267" s="72" t="s">
        <v>753</v>
      </c>
      <c r="F267" s="44" t="s">
        <v>6</v>
      </c>
      <c r="G267" s="44" t="s">
        <v>1625</v>
      </c>
      <c r="H267" s="44" t="s">
        <v>1</v>
      </c>
      <c r="I267" s="44" t="s">
        <v>2</v>
      </c>
      <c r="J267" s="72" t="s">
        <v>1228</v>
      </c>
      <c r="K267" s="73">
        <v>32843</v>
      </c>
      <c r="L267" s="30">
        <v>1989</v>
      </c>
      <c r="M267" s="30">
        <f t="shared" ref="M267:M301" si="27">2019-L267</f>
        <v>30</v>
      </c>
      <c r="N267" s="44" t="s">
        <v>3</v>
      </c>
      <c r="O267" s="44" t="s">
        <v>1229</v>
      </c>
      <c r="P267" s="72" t="s">
        <v>1320</v>
      </c>
      <c r="Q267" s="44"/>
      <c r="R267" s="72" t="s">
        <v>1370</v>
      </c>
    </row>
    <row r="268" spans="2:18" ht="25.5" x14ac:dyDescent="0.2">
      <c r="B268" s="135"/>
      <c r="C268" s="119"/>
      <c r="D268" s="44">
        <v>261</v>
      </c>
      <c r="E268" s="72" t="s">
        <v>1622</v>
      </c>
      <c r="F268" s="44" t="s">
        <v>11</v>
      </c>
      <c r="G268" s="44" t="s">
        <v>908</v>
      </c>
      <c r="H268" s="44" t="s">
        <v>9</v>
      </c>
      <c r="I268" s="44" t="s">
        <v>2</v>
      </c>
      <c r="J268" s="72" t="s">
        <v>1228</v>
      </c>
      <c r="K268" s="73">
        <v>29377</v>
      </c>
      <c r="L268" s="30">
        <v>1980</v>
      </c>
      <c r="M268" s="30">
        <f t="shared" si="27"/>
        <v>39</v>
      </c>
      <c r="N268" s="44" t="s">
        <v>3</v>
      </c>
      <c r="O268" s="44" t="s">
        <v>1229</v>
      </c>
      <c r="P268" s="72" t="s">
        <v>1233</v>
      </c>
      <c r="Q268" s="44"/>
      <c r="R268" s="72" t="s">
        <v>1330</v>
      </c>
    </row>
    <row r="269" spans="2:18" ht="25.5" x14ac:dyDescent="0.2">
      <c r="B269" s="135"/>
      <c r="C269" s="119"/>
      <c r="D269" s="44">
        <v>262</v>
      </c>
      <c r="E269" s="72" t="s">
        <v>1623</v>
      </c>
      <c r="F269" s="44" t="s">
        <v>16</v>
      </c>
      <c r="G269" s="44" t="s">
        <v>1626</v>
      </c>
      <c r="H269" s="44" t="s">
        <v>1</v>
      </c>
      <c r="I269" s="44" t="s">
        <v>13</v>
      </c>
      <c r="J269" s="72" t="s">
        <v>1228</v>
      </c>
      <c r="K269" s="73">
        <v>35790</v>
      </c>
      <c r="L269" s="30">
        <v>1997</v>
      </c>
      <c r="M269" s="30">
        <f t="shared" si="27"/>
        <v>22</v>
      </c>
      <c r="N269" s="44" t="s">
        <v>3</v>
      </c>
      <c r="O269" s="44" t="s">
        <v>1229</v>
      </c>
      <c r="P269" s="72" t="s">
        <v>1270</v>
      </c>
      <c r="Q269" s="44"/>
      <c r="R269" s="72" t="s">
        <v>1326</v>
      </c>
    </row>
    <row r="270" spans="2:18" ht="25.5" x14ac:dyDescent="0.2">
      <c r="B270" s="135"/>
      <c r="C270" s="119"/>
      <c r="D270" s="44">
        <v>263</v>
      </c>
      <c r="E270" s="72" t="s">
        <v>1624</v>
      </c>
      <c r="F270" s="44" t="s">
        <v>16</v>
      </c>
      <c r="G270" s="44" t="s">
        <v>909</v>
      </c>
      <c r="H270" s="44" t="s">
        <v>9</v>
      </c>
      <c r="I270" s="44" t="s">
        <v>13</v>
      </c>
      <c r="J270" s="72" t="s">
        <v>1228</v>
      </c>
      <c r="K270" s="73">
        <v>38051</v>
      </c>
      <c r="L270" s="30">
        <v>2004</v>
      </c>
      <c r="M270" s="30">
        <f t="shared" si="27"/>
        <v>15</v>
      </c>
      <c r="N270" s="44" t="s">
        <v>3</v>
      </c>
      <c r="O270" s="44" t="s">
        <v>1229</v>
      </c>
      <c r="P270" s="72" t="s">
        <v>1246</v>
      </c>
      <c r="Q270" s="44"/>
      <c r="R270" s="72" t="s">
        <v>1326</v>
      </c>
    </row>
    <row r="271" spans="2:18" x14ac:dyDescent="0.2">
      <c r="B271" s="135">
        <v>83</v>
      </c>
      <c r="C271" s="135"/>
      <c r="D271" s="44">
        <v>264</v>
      </c>
      <c r="E271" s="72" t="s">
        <v>910</v>
      </c>
      <c r="F271" s="44" t="s">
        <v>6</v>
      </c>
      <c r="G271" s="44" t="s">
        <v>911</v>
      </c>
      <c r="H271" s="44" t="s">
        <v>9</v>
      </c>
      <c r="I271" s="44" t="s">
        <v>19</v>
      </c>
      <c r="J271" s="72"/>
      <c r="K271" s="73">
        <v>25780</v>
      </c>
      <c r="L271" s="30">
        <f t="shared" ref="L271:L281" si="28">YEAR(K271)</f>
        <v>1970</v>
      </c>
      <c r="M271" s="30">
        <f t="shared" si="27"/>
        <v>49</v>
      </c>
      <c r="N271" s="44" t="s">
        <v>3</v>
      </c>
      <c r="O271" s="44"/>
      <c r="P271" s="72" t="s">
        <v>15</v>
      </c>
      <c r="Q271" s="44"/>
      <c r="R271" s="72" t="s">
        <v>34</v>
      </c>
    </row>
    <row r="272" spans="2:18" x14ac:dyDescent="0.2">
      <c r="B272" s="135"/>
      <c r="C272" s="135"/>
      <c r="D272" s="44">
        <v>265</v>
      </c>
      <c r="E272" s="72" t="s">
        <v>912</v>
      </c>
      <c r="F272" s="44" t="s">
        <v>16</v>
      </c>
      <c r="G272" s="44" t="s">
        <v>913</v>
      </c>
      <c r="H272" s="44" t="s">
        <v>9</v>
      </c>
      <c r="I272" s="44" t="s">
        <v>13</v>
      </c>
      <c r="J272" s="72"/>
      <c r="K272" s="73">
        <v>35026</v>
      </c>
      <c r="L272" s="30">
        <f t="shared" si="28"/>
        <v>1995</v>
      </c>
      <c r="M272" s="30">
        <f t="shared" si="27"/>
        <v>24</v>
      </c>
      <c r="N272" s="44" t="s">
        <v>3</v>
      </c>
      <c r="O272" s="44"/>
      <c r="P272" s="72" t="s">
        <v>14</v>
      </c>
      <c r="Q272" s="44"/>
      <c r="R272" s="72" t="s">
        <v>34</v>
      </c>
    </row>
    <row r="273" spans="2:18" x14ac:dyDescent="0.2">
      <c r="B273" s="135">
        <v>84</v>
      </c>
      <c r="C273" s="135"/>
      <c r="D273" s="44">
        <v>266</v>
      </c>
      <c r="E273" s="72" t="s">
        <v>914</v>
      </c>
      <c r="F273" s="44" t="s">
        <v>6</v>
      </c>
      <c r="G273" s="44" t="s">
        <v>915</v>
      </c>
      <c r="H273" s="44" t="s">
        <v>1</v>
      </c>
      <c r="I273" s="44" t="s">
        <v>2</v>
      </c>
      <c r="J273" s="72"/>
      <c r="K273" s="73">
        <v>28550</v>
      </c>
      <c r="L273" s="30">
        <f t="shared" si="28"/>
        <v>1978</v>
      </c>
      <c r="M273" s="30">
        <f t="shared" si="27"/>
        <v>41</v>
      </c>
      <c r="N273" s="44" t="s">
        <v>3</v>
      </c>
      <c r="O273" s="44"/>
      <c r="P273" s="72" t="s">
        <v>15</v>
      </c>
      <c r="Q273" s="44"/>
      <c r="R273" s="72" t="s">
        <v>5</v>
      </c>
    </row>
    <row r="274" spans="2:18" x14ac:dyDescent="0.2">
      <c r="B274" s="135"/>
      <c r="C274" s="135"/>
      <c r="D274" s="44">
        <v>267</v>
      </c>
      <c r="E274" s="72" t="s">
        <v>789</v>
      </c>
      <c r="F274" s="44" t="s">
        <v>11</v>
      </c>
      <c r="G274" s="44">
        <v>0</v>
      </c>
      <c r="H274" s="44" t="s">
        <v>9</v>
      </c>
      <c r="I274" s="44" t="s">
        <v>2</v>
      </c>
      <c r="J274" s="72"/>
      <c r="K274" s="73">
        <v>30144</v>
      </c>
      <c r="L274" s="30">
        <f t="shared" si="28"/>
        <v>1982</v>
      </c>
      <c r="M274" s="30">
        <f t="shared" si="27"/>
        <v>37</v>
      </c>
      <c r="N274" s="44" t="s">
        <v>3</v>
      </c>
      <c r="O274" s="44"/>
      <c r="P274" s="72" t="s">
        <v>15</v>
      </c>
      <c r="Q274" s="44"/>
      <c r="R274" s="72" t="s">
        <v>5</v>
      </c>
    </row>
    <row r="275" spans="2:18" x14ac:dyDescent="0.2">
      <c r="B275" s="135"/>
      <c r="C275" s="135"/>
      <c r="D275" s="44">
        <v>268</v>
      </c>
      <c r="E275" s="72" t="s">
        <v>916</v>
      </c>
      <c r="F275" s="44" t="s">
        <v>16</v>
      </c>
      <c r="G275" s="44" t="s">
        <v>917</v>
      </c>
      <c r="H275" s="44" t="s">
        <v>9</v>
      </c>
      <c r="I275" s="44" t="s">
        <v>13</v>
      </c>
      <c r="J275" s="72"/>
      <c r="K275" s="73">
        <v>38074</v>
      </c>
      <c r="L275" s="30">
        <f t="shared" si="28"/>
        <v>2004</v>
      </c>
      <c r="M275" s="30">
        <f t="shared" si="27"/>
        <v>15</v>
      </c>
      <c r="N275" s="44" t="s">
        <v>3</v>
      </c>
      <c r="O275" s="44"/>
      <c r="P275" s="72" t="s">
        <v>15</v>
      </c>
      <c r="Q275" s="44"/>
      <c r="R275" s="72" t="s">
        <v>15</v>
      </c>
    </row>
    <row r="276" spans="2:18" x14ac:dyDescent="0.2">
      <c r="B276" s="135">
        <v>85</v>
      </c>
      <c r="C276" s="135"/>
      <c r="D276" s="44">
        <v>269</v>
      </c>
      <c r="E276" s="72" t="s">
        <v>918</v>
      </c>
      <c r="F276" s="44" t="s">
        <v>6</v>
      </c>
      <c r="G276" s="44" t="s">
        <v>919</v>
      </c>
      <c r="H276" s="44" t="s">
        <v>1</v>
      </c>
      <c r="I276" s="44" t="s">
        <v>95</v>
      </c>
      <c r="J276" s="72"/>
      <c r="K276" s="73">
        <v>12114</v>
      </c>
      <c r="L276" s="30">
        <f t="shared" si="28"/>
        <v>1933</v>
      </c>
      <c r="M276" s="30">
        <f t="shared" si="27"/>
        <v>86</v>
      </c>
      <c r="N276" s="44" t="s">
        <v>3</v>
      </c>
      <c r="O276" s="44"/>
      <c r="P276" s="72" t="s">
        <v>15</v>
      </c>
      <c r="Q276" s="44"/>
      <c r="R276" s="72" t="s">
        <v>15</v>
      </c>
    </row>
    <row r="277" spans="2:18" x14ac:dyDescent="0.2">
      <c r="B277" s="135"/>
      <c r="C277" s="135"/>
      <c r="D277" s="44">
        <v>270</v>
      </c>
      <c r="E277" s="72" t="s">
        <v>920</v>
      </c>
      <c r="F277" s="44" t="s">
        <v>16</v>
      </c>
      <c r="G277" s="44">
        <v>0</v>
      </c>
      <c r="H277" s="44" t="s">
        <v>1</v>
      </c>
      <c r="I277" s="44" t="s">
        <v>13</v>
      </c>
      <c r="J277" s="72"/>
      <c r="K277" s="73">
        <v>24654</v>
      </c>
      <c r="L277" s="30">
        <f t="shared" si="28"/>
        <v>1967</v>
      </c>
      <c r="M277" s="30">
        <f t="shared" si="27"/>
        <v>52</v>
      </c>
      <c r="N277" s="44" t="s">
        <v>3</v>
      </c>
      <c r="O277" s="44"/>
      <c r="P277" s="72" t="s">
        <v>15</v>
      </c>
      <c r="Q277" s="44"/>
      <c r="R277" s="72" t="s">
        <v>5</v>
      </c>
    </row>
    <row r="278" spans="2:18" x14ac:dyDescent="0.2">
      <c r="B278" s="135"/>
      <c r="C278" s="135"/>
      <c r="D278" s="44">
        <v>271</v>
      </c>
      <c r="E278" s="72" t="s">
        <v>267</v>
      </c>
      <c r="F278" s="44" t="s">
        <v>16</v>
      </c>
      <c r="G278" s="44" t="s">
        <v>921</v>
      </c>
      <c r="H278" s="44" t="s">
        <v>9</v>
      </c>
      <c r="I278" s="44" t="s">
        <v>13</v>
      </c>
      <c r="J278" s="72"/>
      <c r="K278" s="73">
        <v>29037</v>
      </c>
      <c r="L278" s="30">
        <f t="shared" si="28"/>
        <v>1979</v>
      </c>
      <c r="M278" s="30">
        <f t="shared" si="27"/>
        <v>40</v>
      </c>
      <c r="N278" s="44" t="s">
        <v>3</v>
      </c>
      <c r="O278" s="44"/>
      <c r="P278" s="72" t="s">
        <v>15</v>
      </c>
      <c r="Q278" s="44"/>
      <c r="R278" s="72" t="s">
        <v>34</v>
      </c>
    </row>
    <row r="279" spans="2:18" x14ac:dyDescent="0.2">
      <c r="B279" s="135">
        <v>86</v>
      </c>
      <c r="C279" s="135"/>
      <c r="D279" s="44">
        <v>272</v>
      </c>
      <c r="E279" s="72" t="s">
        <v>922</v>
      </c>
      <c r="F279" s="44" t="s">
        <v>6</v>
      </c>
      <c r="G279" s="44" t="s">
        <v>923</v>
      </c>
      <c r="H279" s="44" t="s">
        <v>1</v>
      </c>
      <c r="I279" s="44" t="s">
        <v>2</v>
      </c>
      <c r="J279" s="72"/>
      <c r="K279" s="73">
        <v>21602</v>
      </c>
      <c r="L279" s="30">
        <f t="shared" si="28"/>
        <v>1959</v>
      </c>
      <c r="M279" s="30">
        <f t="shared" si="27"/>
        <v>60</v>
      </c>
      <c r="N279" s="44" t="s">
        <v>3</v>
      </c>
      <c r="O279" s="44"/>
      <c r="P279" s="72" t="s">
        <v>25</v>
      </c>
      <c r="Q279" s="44"/>
      <c r="R279" s="72" t="s">
        <v>5</v>
      </c>
    </row>
    <row r="280" spans="2:18" x14ac:dyDescent="0.2">
      <c r="B280" s="135"/>
      <c r="C280" s="135"/>
      <c r="D280" s="44">
        <v>273</v>
      </c>
      <c r="E280" s="72" t="s">
        <v>924</v>
      </c>
      <c r="F280" s="44" t="s">
        <v>11</v>
      </c>
      <c r="G280" s="44" t="s">
        <v>925</v>
      </c>
      <c r="H280" s="44" t="s">
        <v>9</v>
      </c>
      <c r="I280" s="44" t="s">
        <v>2</v>
      </c>
      <c r="J280" s="72"/>
      <c r="K280" s="73">
        <v>32806</v>
      </c>
      <c r="L280" s="30">
        <f t="shared" si="28"/>
        <v>1989</v>
      </c>
      <c r="M280" s="30">
        <f t="shared" si="27"/>
        <v>30</v>
      </c>
      <c r="N280" s="44" t="s">
        <v>3</v>
      </c>
      <c r="O280" s="44"/>
      <c r="P280" s="72" t="s">
        <v>14</v>
      </c>
      <c r="Q280" s="44"/>
      <c r="R280" s="72" t="s">
        <v>5</v>
      </c>
    </row>
    <row r="281" spans="2:18" x14ac:dyDescent="0.2">
      <c r="B281" s="135"/>
      <c r="C281" s="135"/>
      <c r="D281" s="44">
        <v>274</v>
      </c>
      <c r="E281" s="72" t="s">
        <v>926</v>
      </c>
      <c r="F281" s="44" t="s">
        <v>16</v>
      </c>
      <c r="G281" s="44" t="s">
        <v>927</v>
      </c>
      <c r="H281" s="44" t="s">
        <v>9</v>
      </c>
      <c r="I281" s="44" t="s">
        <v>13</v>
      </c>
      <c r="J281" s="72"/>
      <c r="K281" s="73">
        <v>40214</v>
      </c>
      <c r="L281" s="30">
        <f t="shared" si="28"/>
        <v>2010</v>
      </c>
      <c r="M281" s="30">
        <f t="shared" si="27"/>
        <v>9</v>
      </c>
      <c r="N281" s="44" t="s">
        <v>3</v>
      </c>
      <c r="O281" s="44"/>
      <c r="P281" s="72" t="s">
        <v>15</v>
      </c>
      <c r="Q281" s="44"/>
      <c r="R281" s="72" t="s">
        <v>15</v>
      </c>
    </row>
    <row r="282" spans="2:18" ht="25.5" x14ac:dyDescent="0.2">
      <c r="B282" s="135">
        <v>87</v>
      </c>
      <c r="C282" s="119" t="s">
        <v>1684</v>
      </c>
      <c r="D282" s="44">
        <v>275</v>
      </c>
      <c r="E282" s="72" t="s">
        <v>928</v>
      </c>
      <c r="F282" s="44" t="s">
        <v>6</v>
      </c>
      <c r="G282" s="44" t="s">
        <v>929</v>
      </c>
      <c r="H282" s="44" t="s">
        <v>1</v>
      </c>
      <c r="I282" s="44" t="s">
        <v>2</v>
      </c>
      <c r="J282" s="72" t="s">
        <v>1228</v>
      </c>
      <c r="K282" s="73">
        <v>27364</v>
      </c>
      <c r="L282" s="30">
        <v>1974</v>
      </c>
      <c r="M282" s="30">
        <f t="shared" si="27"/>
        <v>45</v>
      </c>
      <c r="N282" s="44" t="s">
        <v>3</v>
      </c>
      <c r="O282" s="44" t="s">
        <v>1229</v>
      </c>
      <c r="P282" s="72" t="s">
        <v>1247</v>
      </c>
      <c r="Q282" s="44"/>
      <c r="R282" s="72" t="s">
        <v>1330</v>
      </c>
    </row>
    <row r="283" spans="2:18" ht="25.5" x14ac:dyDescent="0.2">
      <c r="B283" s="135"/>
      <c r="C283" s="119"/>
      <c r="D283" s="44">
        <v>276</v>
      </c>
      <c r="E283" s="72" t="s">
        <v>808</v>
      </c>
      <c r="F283" s="44" t="s">
        <v>11</v>
      </c>
      <c r="G283" s="44" t="s">
        <v>930</v>
      </c>
      <c r="H283" s="44" t="s">
        <v>9</v>
      </c>
      <c r="I283" s="44" t="s">
        <v>2</v>
      </c>
      <c r="J283" s="72" t="s">
        <v>1228</v>
      </c>
      <c r="K283" s="73">
        <v>29041</v>
      </c>
      <c r="L283" s="30">
        <v>1979</v>
      </c>
      <c r="M283" s="30">
        <f t="shared" si="27"/>
        <v>40</v>
      </c>
      <c r="N283" s="44" t="s">
        <v>3</v>
      </c>
      <c r="O283" s="44" t="s">
        <v>1229</v>
      </c>
      <c r="P283" s="72" t="s">
        <v>1233</v>
      </c>
      <c r="Q283" s="44"/>
      <c r="R283" s="72" t="s">
        <v>290</v>
      </c>
    </row>
    <row r="284" spans="2:18" ht="25.5" x14ac:dyDescent="0.2">
      <c r="B284" s="135"/>
      <c r="C284" s="119"/>
      <c r="D284" s="44">
        <v>277</v>
      </c>
      <c r="E284" s="72" t="s">
        <v>931</v>
      </c>
      <c r="F284" s="44" t="s">
        <v>16</v>
      </c>
      <c r="G284" s="44" t="s">
        <v>932</v>
      </c>
      <c r="H284" s="44" t="s">
        <v>9</v>
      </c>
      <c r="I284" s="44" t="s">
        <v>13</v>
      </c>
      <c r="J284" s="72" t="s">
        <v>1228</v>
      </c>
      <c r="K284" s="73">
        <v>36525</v>
      </c>
      <c r="L284" s="30">
        <v>1999</v>
      </c>
      <c r="M284" s="30">
        <f t="shared" si="27"/>
        <v>20</v>
      </c>
      <c r="N284" s="44" t="s">
        <v>3</v>
      </c>
      <c r="O284" s="44" t="s">
        <v>1229</v>
      </c>
      <c r="P284" s="72" t="s">
        <v>1233</v>
      </c>
      <c r="Q284" s="44"/>
      <c r="R284" s="72" t="s">
        <v>1326</v>
      </c>
    </row>
    <row r="285" spans="2:18" ht="25.5" x14ac:dyDescent="0.2">
      <c r="B285" s="135"/>
      <c r="C285" s="119"/>
      <c r="D285" s="44">
        <v>278</v>
      </c>
      <c r="E285" s="72" t="s">
        <v>1683</v>
      </c>
      <c r="F285" s="44" t="s">
        <v>16</v>
      </c>
      <c r="G285" s="44" t="s">
        <v>933</v>
      </c>
      <c r="H285" s="44" t="s">
        <v>1</v>
      </c>
      <c r="I285" s="44" t="s">
        <v>13</v>
      </c>
      <c r="J285" s="72" t="s">
        <v>1228</v>
      </c>
      <c r="K285" s="73">
        <v>38352</v>
      </c>
      <c r="L285" s="30">
        <v>2004</v>
      </c>
      <c r="M285" s="30">
        <f t="shared" si="27"/>
        <v>15</v>
      </c>
      <c r="N285" s="44" t="s">
        <v>3</v>
      </c>
      <c r="O285" s="44" t="s">
        <v>1229</v>
      </c>
      <c r="P285" s="72" t="s">
        <v>1233</v>
      </c>
      <c r="Q285" s="44"/>
      <c r="R285" s="72" t="s">
        <v>1326</v>
      </c>
    </row>
    <row r="286" spans="2:18" ht="25.5" x14ac:dyDescent="0.2">
      <c r="B286" s="135">
        <v>88</v>
      </c>
      <c r="C286" s="135"/>
      <c r="D286" s="44">
        <v>279</v>
      </c>
      <c r="E286" s="72" t="s">
        <v>934</v>
      </c>
      <c r="F286" s="44" t="s">
        <v>6</v>
      </c>
      <c r="G286" s="44">
        <v>0</v>
      </c>
      <c r="H286" s="44" t="s">
        <v>1</v>
      </c>
      <c r="I286" s="44" t="s">
        <v>13</v>
      </c>
      <c r="J286" s="72"/>
      <c r="K286" s="73">
        <v>31293</v>
      </c>
      <c r="L286" s="30">
        <f t="shared" ref="L286:L301" si="29">YEAR(K286)</f>
        <v>1985</v>
      </c>
      <c r="M286" s="30">
        <f t="shared" si="27"/>
        <v>34</v>
      </c>
      <c r="N286" s="44" t="s">
        <v>3</v>
      </c>
      <c r="O286" s="44"/>
      <c r="P286" s="72" t="s">
        <v>4</v>
      </c>
      <c r="Q286" s="44"/>
      <c r="R286" s="72" t="s">
        <v>34</v>
      </c>
    </row>
    <row r="287" spans="2:18" x14ac:dyDescent="0.2">
      <c r="B287" s="135"/>
      <c r="C287" s="135"/>
      <c r="D287" s="44">
        <v>280</v>
      </c>
      <c r="E287" s="72" t="s">
        <v>184</v>
      </c>
      <c r="F287" s="44" t="s">
        <v>11</v>
      </c>
      <c r="G287" s="44">
        <v>0</v>
      </c>
      <c r="H287" s="44" t="s">
        <v>9</v>
      </c>
      <c r="I287" s="44" t="s">
        <v>13</v>
      </c>
      <c r="J287" s="72"/>
      <c r="K287" s="73">
        <v>32725</v>
      </c>
      <c r="L287" s="30">
        <f t="shared" si="29"/>
        <v>1989</v>
      </c>
      <c r="M287" s="30">
        <f t="shared" si="27"/>
        <v>30</v>
      </c>
      <c r="N287" s="44" t="s">
        <v>3</v>
      </c>
      <c r="O287" s="44"/>
      <c r="P287" s="72" t="s">
        <v>4</v>
      </c>
      <c r="Q287" s="44"/>
      <c r="R287" s="72" t="s">
        <v>34</v>
      </c>
    </row>
    <row r="288" spans="2:18" x14ac:dyDescent="0.2">
      <c r="B288" s="135"/>
      <c r="C288" s="135"/>
      <c r="D288" s="44">
        <v>281</v>
      </c>
      <c r="E288" s="72" t="s">
        <v>935</v>
      </c>
      <c r="F288" s="44" t="s">
        <v>16</v>
      </c>
      <c r="G288" s="44">
        <v>0</v>
      </c>
      <c r="H288" s="44" t="s">
        <v>9</v>
      </c>
      <c r="I288" s="44" t="s">
        <v>13</v>
      </c>
      <c r="J288" s="72"/>
      <c r="K288" s="73">
        <v>41136</v>
      </c>
      <c r="L288" s="30">
        <f t="shared" si="29"/>
        <v>2012</v>
      </c>
      <c r="M288" s="30">
        <f t="shared" si="27"/>
        <v>7</v>
      </c>
      <c r="N288" s="44" t="s">
        <v>3</v>
      </c>
      <c r="O288" s="44"/>
      <c r="P288" s="72" t="s">
        <v>15</v>
      </c>
      <c r="Q288" s="44"/>
      <c r="R288" s="72" t="s">
        <v>15</v>
      </c>
    </row>
    <row r="289" spans="2:18" x14ac:dyDescent="0.2">
      <c r="B289" s="135">
        <v>89</v>
      </c>
      <c r="C289" s="135"/>
      <c r="D289" s="44">
        <v>282</v>
      </c>
      <c r="E289" s="72" t="s">
        <v>936</v>
      </c>
      <c r="F289" s="44" t="s">
        <v>6</v>
      </c>
      <c r="G289" s="44">
        <v>0</v>
      </c>
      <c r="H289" s="44" t="s">
        <v>1</v>
      </c>
      <c r="I289" s="44" t="s">
        <v>95</v>
      </c>
      <c r="J289" s="72"/>
      <c r="K289" s="73">
        <v>33390</v>
      </c>
      <c r="L289" s="30">
        <f t="shared" si="29"/>
        <v>1991</v>
      </c>
      <c r="M289" s="30">
        <f t="shared" si="27"/>
        <v>28</v>
      </c>
      <c r="N289" s="44" t="s">
        <v>3</v>
      </c>
      <c r="O289" s="44"/>
      <c r="P289" s="72" t="s">
        <v>14</v>
      </c>
      <c r="Q289" s="44"/>
      <c r="R289" s="72" t="s">
        <v>34</v>
      </c>
    </row>
    <row r="290" spans="2:18" x14ac:dyDescent="0.2">
      <c r="B290" s="135"/>
      <c r="C290" s="135"/>
      <c r="D290" s="44">
        <v>283</v>
      </c>
      <c r="E290" s="72" t="s">
        <v>937</v>
      </c>
      <c r="F290" s="44" t="s">
        <v>16</v>
      </c>
      <c r="G290" s="44">
        <v>0</v>
      </c>
      <c r="H290" s="44" t="s">
        <v>9</v>
      </c>
      <c r="I290" s="44" t="s">
        <v>13</v>
      </c>
      <c r="J290" s="72"/>
      <c r="K290" s="73">
        <v>41136</v>
      </c>
      <c r="L290" s="30">
        <f t="shared" si="29"/>
        <v>2012</v>
      </c>
      <c r="M290" s="30">
        <f t="shared" si="27"/>
        <v>7</v>
      </c>
      <c r="N290" s="44" t="s">
        <v>3</v>
      </c>
      <c r="O290" s="44"/>
      <c r="P290" s="72" t="s">
        <v>15</v>
      </c>
      <c r="Q290" s="44"/>
      <c r="R290" s="72" t="s">
        <v>15</v>
      </c>
    </row>
    <row r="291" spans="2:18" x14ac:dyDescent="0.2">
      <c r="B291" s="135">
        <v>90</v>
      </c>
      <c r="C291" s="135"/>
      <c r="D291" s="44">
        <v>284</v>
      </c>
      <c r="E291" s="72" t="s">
        <v>938</v>
      </c>
      <c r="F291" s="44" t="s">
        <v>6</v>
      </c>
      <c r="G291" s="44" t="s">
        <v>939</v>
      </c>
      <c r="H291" s="44" t="s">
        <v>9</v>
      </c>
      <c r="I291" s="44" t="s">
        <v>19</v>
      </c>
      <c r="J291" s="72"/>
      <c r="K291" s="73">
        <v>34926</v>
      </c>
      <c r="L291" s="30">
        <f t="shared" si="29"/>
        <v>1995</v>
      </c>
      <c r="M291" s="30">
        <f t="shared" si="27"/>
        <v>24</v>
      </c>
      <c r="N291" s="44" t="s">
        <v>3</v>
      </c>
      <c r="O291" s="44"/>
      <c r="P291" s="72" t="s">
        <v>15</v>
      </c>
      <c r="Q291" s="44"/>
      <c r="R291" s="72" t="s">
        <v>34</v>
      </c>
    </row>
    <row r="292" spans="2:18" x14ac:dyDescent="0.2">
      <c r="B292" s="135"/>
      <c r="C292" s="135"/>
      <c r="D292" s="44">
        <v>285</v>
      </c>
      <c r="E292" s="72" t="s">
        <v>940</v>
      </c>
      <c r="F292" s="44" t="s">
        <v>16</v>
      </c>
      <c r="G292" s="44" t="s">
        <v>941</v>
      </c>
      <c r="H292" s="44" t="s">
        <v>1</v>
      </c>
      <c r="I292" s="44" t="s">
        <v>13</v>
      </c>
      <c r="J292" s="72"/>
      <c r="K292" s="73">
        <v>40913</v>
      </c>
      <c r="L292" s="30">
        <f t="shared" si="29"/>
        <v>2012</v>
      </c>
      <c r="M292" s="30">
        <f t="shared" si="27"/>
        <v>7</v>
      </c>
      <c r="N292" s="44" t="s">
        <v>3</v>
      </c>
      <c r="O292" s="44"/>
      <c r="P292" s="72" t="s">
        <v>15</v>
      </c>
      <c r="Q292" s="44"/>
      <c r="R292" s="72" t="s">
        <v>15</v>
      </c>
    </row>
    <row r="293" spans="2:18" x14ac:dyDescent="0.2">
      <c r="B293" s="90">
        <v>91</v>
      </c>
      <c r="C293" s="44"/>
      <c r="D293" s="44">
        <v>286</v>
      </c>
      <c r="E293" s="72" t="s">
        <v>942</v>
      </c>
      <c r="F293" s="44" t="s">
        <v>6</v>
      </c>
      <c r="G293" s="44">
        <v>0</v>
      </c>
      <c r="H293" s="44" t="s">
        <v>1</v>
      </c>
      <c r="I293" s="44" t="s">
        <v>95</v>
      </c>
      <c r="J293" s="72"/>
      <c r="K293" s="73">
        <v>31203</v>
      </c>
      <c r="L293" s="30">
        <f t="shared" si="29"/>
        <v>1985</v>
      </c>
      <c r="M293" s="30">
        <f t="shared" si="27"/>
        <v>34</v>
      </c>
      <c r="N293" s="44" t="s">
        <v>3</v>
      </c>
      <c r="O293" s="44"/>
      <c r="P293" s="72" t="s">
        <v>14</v>
      </c>
      <c r="Q293" s="44"/>
      <c r="R293" s="72" t="s">
        <v>34</v>
      </c>
    </row>
    <row r="294" spans="2:18" x14ac:dyDescent="0.2">
      <c r="B294" s="135">
        <v>92</v>
      </c>
      <c r="C294" s="135"/>
      <c r="D294" s="44">
        <v>287</v>
      </c>
      <c r="E294" s="72" t="s">
        <v>943</v>
      </c>
      <c r="F294" s="44" t="s">
        <v>6</v>
      </c>
      <c r="G294" s="44" t="s">
        <v>944</v>
      </c>
      <c r="H294" s="44" t="s">
        <v>1</v>
      </c>
      <c r="I294" s="44" t="s">
        <v>2</v>
      </c>
      <c r="J294" s="72"/>
      <c r="K294" s="73">
        <v>27029</v>
      </c>
      <c r="L294" s="30">
        <f t="shared" si="29"/>
        <v>1973</v>
      </c>
      <c r="M294" s="30">
        <f t="shared" si="27"/>
        <v>46</v>
      </c>
      <c r="N294" s="44" t="s">
        <v>3</v>
      </c>
      <c r="O294" s="44"/>
      <c r="P294" s="72" t="s">
        <v>15</v>
      </c>
      <c r="Q294" s="44"/>
      <c r="R294" s="72" t="s">
        <v>5</v>
      </c>
    </row>
    <row r="295" spans="2:18" x14ac:dyDescent="0.2">
      <c r="B295" s="135"/>
      <c r="C295" s="135"/>
      <c r="D295" s="44">
        <v>288</v>
      </c>
      <c r="E295" s="72" t="s">
        <v>945</v>
      </c>
      <c r="F295" s="44" t="s">
        <v>11</v>
      </c>
      <c r="G295" s="44" t="s">
        <v>946</v>
      </c>
      <c r="H295" s="44" t="s">
        <v>9</v>
      </c>
      <c r="I295" s="44" t="s">
        <v>2</v>
      </c>
      <c r="J295" s="72"/>
      <c r="K295" s="73">
        <v>27394</v>
      </c>
      <c r="L295" s="30">
        <f t="shared" si="29"/>
        <v>1974</v>
      </c>
      <c r="M295" s="30">
        <f t="shared" si="27"/>
        <v>45</v>
      </c>
      <c r="N295" s="44" t="s">
        <v>3</v>
      </c>
      <c r="O295" s="44"/>
      <c r="P295" s="72" t="s">
        <v>14</v>
      </c>
      <c r="Q295" s="44"/>
      <c r="R295" s="72" t="s">
        <v>290</v>
      </c>
    </row>
    <row r="296" spans="2:18" x14ac:dyDescent="0.2">
      <c r="B296" s="135"/>
      <c r="C296" s="135"/>
      <c r="D296" s="44">
        <v>289</v>
      </c>
      <c r="E296" s="72" t="s">
        <v>947</v>
      </c>
      <c r="F296" s="44" t="s">
        <v>16</v>
      </c>
      <c r="G296" s="44" t="s">
        <v>948</v>
      </c>
      <c r="H296" s="44" t="s">
        <v>1</v>
      </c>
      <c r="I296" s="44" t="s">
        <v>13</v>
      </c>
      <c r="J296" s="72"/>
      <c r="K296" s="73">
        <v>35215</v>
      </c>
      <c r="L296" s="30">
        <f t="shared" si="29"/>
        <v>1996</v>
      </c>
      <c r="M296" s="30">
        <f t="shared" si="27"/>
        <v>23</v>
      </c>
      <c r="N296" s="44" t="s">
        <v>3</v>
      </c>
      <c r="O296" s="44"/>
      <c r="P296" s="72" t="s">
        <v>28</v>
      </c>
      <c r="Q296" s="44"/>
      <c r="R296" s="72" t="s">
        <v>15</v>
      </c>
    </row>
    <row r="297" spans="2:18" ht="25.5" x14ac:dyDescent="0.2">
      <c r="B297" s="135"/>
      <c r="C297" s="135"/>
      <c r="D297" s="44">
        <v>290</v>
      </c>
      <c r="E297" s="72" t="s">
        <v>949</v>
      </c>
      <c r="F297" s="44" t="s">
        <v>16</v>
      </c>
      <c r="G297" s="44" t="s">
        <v>950</v>
      </c>
      <c r="H297" s="44" t="s">
        <v>9</v>
      </c>
      <c r="I297" s="44" t="s">
        <v>13</v>
      </c>
      <c r="J297" s="72"/>
      <c r="K297" s="73">
        <v>38466</v>
      </c>
      <c r="L297" s="30">
        <f t="shared" si="29"/>
        <v>2005</v>
      </c>
      <c r="M297" s="30">
        <f t="shared" si="27"/>
        <v>14</v>
      </c>
      <c r="N297" s="44" t="s">
        <v>3</v>
      </c>
      <c r="O297" s="44"/>
      <c r="P297" s="72" t="s">
        <v>15</v>
      </c>
      <c r="Q297" s="44"/>
      <c r="R297" s="72" t="s">
        <v>15</v>
      </c>
    </row>
    <row r="298" spans="2:18" x14ac:dyDescent="0.2">
      <c r="B298" s="135">
        <v>93</v>
      </c>
      <c r="C298" s="135"/>
      <c r="D298" s="44">
        <v>291</v>
      </c>
      <c r="E298" s="72" t="s">
        <v>951</v>
      </c>
      <c r="F298" s="44" t="s">
        <v>6</v>
      </c>
      <c r="G298" s="44" t="s">
        <v>952</v>
      </c>
      <c r="H298" s="44" t="s">
        <v>9</v>
      </c>
      <c r="I298" s="44" t="s">
        <v>95</v>
      </c>
      <c r="J298" s="72"/>
      <c r="K298" s="73">
        <v>31079</v>
      </c>
      <c r="L298" s="30">
        <f t="shared" si="29"/>
        <v>1985</v>
      </c>
      <c r="M298" s="30">
        <f t="shared" si="27"/>
        <v>34</v>
      </c>
      <c r="N298" s="44" t="s">
        <v>3</v>
      </c>
      <c r="O298" s="44"/>
      <c r="P298" s="72" t="s">
        <v>15</v>
      </c>
      <c r="Q298" s="44"/>
      <c r="R298" s="72" t="s">
        <v>34</v>
      </c>
    </row>
    <row r="299" spans="2:18" x14ac:dyDescent="0.2">
      <c r="B299" s="135"/>
      <c r="C299" s="135"/>
      <c r="D299" s="44">
        <v>292</v>
      </c>
      <c r="E299" s="72" t="s">
        <v>94</v>
      </c>
      <c r="F299" s="44" t="s">
        <v>16</v>
      </c>
      <c r="G299" s="44">
        <v>0</v>
      </c>
      <c r="H299" s="44" t="s">
        <v>1</v>
      </c>
      <c r="I299" s="44" t="s">
        <v>13</v>
      </c>
      <c r="J299" s="72"/>
      <c r="K299" s="73">
        <v>28307</v>
      </c>
      <c r="L299" s="30">
        <f t="shared" si="29"/>
        <v>1977</v>
      </c>
      <c r="M299" s="30">
        <f t="shared" si="27"/>
        <v>42</v>
      </c>
      <c r="N299" s="44" t="s">
        <v>3</v>
      </c>
      <c r="O299" s="44"/>
      <c r="P299" s="72" t="s">
        <v>15</v>
      </c>
      <c r="Q299" s="44"/>
      <c r="R299" s="72" t="s">
        <v>34</v>
      </c>
    </row>
    <row r="300" spans="2:18" x14ac:dyDescent="0.2">
      <c r="B300" s="135"/>
      <c r="C300" s="135"/>
      <c r="D300" s="44">
        <v>293</v>
      </c>
      <c r="E300" s="72" t="s">
        <v>953</v>
      </c>
      <c r="F300" s="44" t="s">
        <v>16</v>
      </c>
      <c r="G300" s="44">
        <v>0</v>
      </c>
      <c r="H300" s="44" t="s">
        <v>9</v>
      </c>
      <c r="I300" s="44" t="s">
        <v>13</v>
      </c>
      <c r="J300" s="72"/>
      <c r="K300" s="73">
        <v>37470</v>
      </c>
      <c r="L300" s="30">
        <f t="shared" si="29"/>
        <v>2002</v>
      </c>
      <c r="M300" s="30">
        <f t="shared" si="27"/>
        <v>17</v>
      </c>
      <c r="N300" s="44" t="s">
        <v>3</v>
      </c>
      <c r="O300" s="44"/>
      <c r="P300" s="72" t="s">
        <v>4</v>
      </c>
      <c r="Q300" s="44"/>
      <c r="R300" s="72" t="s">
        <v>15</v>
      </c>
    </row>
    <row r="301" spans="2:18" x14ac:dyDescent="0.2">
      <c r="B301" s="90">
        <v>94</v>
      </c>
      <c r="C301" s="44"/>
      <c r="D301" s="44">
        <v>294</v>
      </c>
      <c r="E301" s="72" t="s">
        <v>954</v>
      </c>
      <c r="F301" s="44" t="s">
        <v>6</v>
      </c>
      <c r="G301" s="44">
        <v>0</v>
      </c>
      <c r="H301" s="44" t="s">
        <v>9</v>
      </c>
      <c r="I301" s="44" t="s">
        <v>19</v>
      </c>
      <c r="J301" s="72"/>
      <c r="K301" s="73">
        <v>19732</v>
      </c>
      <c r="L301" s="30">
        <f t="shared" si="29"/>
        <v>1954</v>
      </c>
      <c r="M301" s="30">
        <f t="shared" si="27"/>
        <v>65</v>
      </c>
      <c r="N301" s="44" t="s">
        <v>3</v>
      </c>
      <c r="O301" s="44"/>
      <c r="P301" s="72" t="s">
        <v>15</v>
      </c>
      <c r="Q301" s="44"/>
      <c r="R301" s="72" t="s">
        <v>15</v>
      </c>
    </row>
    <row r="302" spans="2:18" ht="25.5" x14ac:dyDescent="0.2">
      <c r="B302" s="135">
        <v>95</v>
      </c>
      <c r="C302" s="119" t="s">
        <v>1646</v>
      </c>
      <c r="D302" s="44">
        <v>295</v>
      </c>
      <c r="E302" s="72" t="s">
        <v>1647</v>
      </c>
      <c r="F302" s="44" t="s">
        <v>6</v>
      </c>
      <c r="G302" s="44" t="s">
        <v>1648</v>
      </c>
      <c r="H302" s="44" t="s">
        <v>1</v>
      </c>
      <c r="I302" s="44" t="s">
        <v>1649</v>
      </c>
      <c r="J302" s="72" t="s">
        <v>1228</v>
      </c>
      <c r="K302" s="73">
        <v>28125</v>
      </c>
      <c r="L302" s="30">
        <v>1976</v>
      </c>
      <c r="M302" s="30">
        <f>2019-L302</f>
        <v>43</v>
      </c>
      <c r="N302" s="44" t="s">
        <v>3</v>
      </c>
      <c r="O302" s="44" t="s">
        <v>1229</v>
      </c>
      <c r="P302" s="72" t="s">
        <v>1233</v>
      </c>
      <c r="Q302" s="44"/>
      <c r="R302" s="72" t="s">
        <v>1370</v>
      </c>
    </row>
    <row r="303" spans="2:18" ht="25.5" x14ac:dyDescent="0.2">
      <c r="B303" s="135"/>
      <c r="C303" s="119"/>
      <c r="D303" s="44">
        <v>296</v>
      </c>
      <c r="E303" s="72" t="s">
        <v>414</v>
      </c>
      <c r="F303" s="44" t="s">
        <v>11</v>
      </c>
      <c r="G303" s="44" t="s">
        <v>830</v>
      </c>
      <c r="H303" s="44" t="s">
        <v>9</v>
      </c>
      <c r="I303" s="44" t="s">
        <v>1649</v>
      </c>
      <c r="J303" s="72" t="s">
        <v>1228</v>
      </c>
      <c r="K303" s="73">
        <v>25355</v>
      </c>
      <c r="L303" s="30">
        <v>1969</v>
      </c>
      <c r="M303" s="30">
        <f>2019-L303</f>
        <v>50</v>
      </c>
      <c r="N303" s="44" t="s">
        <v>3</v>
      </c>
      <c r="O303" s="44" t="s">
        <v>1229</v>
      </c>
      <c r="P303" s="72" t="s">
        <v>1233</v>
      </c>
      <c r="Q303" s="44"/>
      <c r="R303" s="72" t="s">
        <v>1360</v>
      </c>
    </row>
    <row r="304" spans="2:18" ht="25.5" x14ac:dyDescent="0.2">
      <c r="B304" s="135">
        <v>96</v>
      </c>
      <c r="C304" s="119" t="s">
        <v>1650</v>
      </c>
      <c r="D304" s="44">
        <v>297</v>
      </c>
      <c r="E304" s="72" t="s">
        <v>380</v>
      </c>
      <c r="F304" s="44" t="s">
        <v>6</v>
      </c>
      <c r="G304" s="44" t="s">
        <v>1653</v>
      </c>
      <c r="H304" s="44" t="s">
        <v>1</v>
      </c>
      <c r="I304" s="44" t="s">
        <v>2</v>
      </c>
      <c r="J304" s="72" t="s">
        <v>1228</v>
      </c>
      <c r="K304" s="73">
        <v>31192</v>
      </c>
      <c r="L304" s="30">
        <v>1985</v>
      </c>
      <c r="M304" s="30">
        <f t="shared" ref="M304:M306" si="30">2019-L304</f>
        <v>34</v>
      </c>
      <c r="N304" s="44" t="s">
        <v>3</v>
      </c>
      <c r="O304" s="44" t="s">
        <v>1229</v>
      </c>
      <c r="P304" s="72" t="s">
        <v>1246</v>
      </c>
      <c r="Q304" s="44"/>
      <c r="R304" s="72" t="s">
        <v>1330</v>
      </c>
    </row>
    <row r="305" spans="2:25" ht="25.5" x14ac:dyDescent="0.2">
      <c r="B305" s="135"/>
      <c r="C305" s="119"/>
      <c r="D305" s="44">
        <v>298</v>
      </c>
      <c r="E305" s="72" t="s">
        <v>1651</v>
      </c>
      <c r="F305" s="44" t="s">
        <v>11</v>
      </c>
      <c r="G305" s="44" t="s">
        <v>1654</v>
      </c>
      <c r="H305" s="44" t="s">
        <v>9</v>
      </c>
      <c r="I305" s="44" t="s">
        <v>2</v>
      </c>
      <c r="J305" s="72" t="s">
        <v>1656</v>
      </c>
      <c r="K305" s="73">
        <v>30884</v>
      </c>
      <c r="L305" s="30">
        <v>1984</v>
      </c>
      <c r="M305" s="30">
        <f t="shared" si="30"/>
        <v>35</v>
      </c>
      <c r="N305" s="44" t="s">
        <v>3</v>
      </c>
      <c r="O305" s="44" t="s">
        <v>1229</v>
      </c>
      <c r="P305" s="72" t="s">
        <v>1246</v>
      </c>
      <c r="Q305" s="44"/>
      <c r="R305" s="72" t="s">
        <v>1360</v>
      </c>
    </row>
    <row r="306" spans="2:25" ht="25.5" x14ac:dyDescent="0.2">
      <c r="B306" s="135"/>
      <c r="C306" s="119"/>
      <c r="D306" s="44">
        <v>299</v>
      </c>
      <c r="E306" s="72" t="s">
        <v>1652</v>
      </c>
      <c r="F306" s="44" t="s">
        <v>16</v>
      </c>
      <c r="G306" s="44" t="s">
        <v>1655</v>
      </c>
      <c r="H306" s="44" t="s">
        <v>1</v>
      </c>
      <c r="I306" s="44" t="s">
        <v>13</v>
      </c>
      <c r="J306" s="72" t="s">
        <v>1228</v>
      </c>
      <c r="K306" s="73">
        <v>42674</v>
      </c>
      <c r="L306" s="30">
        <v>2016</v>
      </c>
      <c r="M306" s="30">
        <f t="shared" si="30"/>
        <v>3</v>
      </c>
      <c r="N306" s="44" t="s">
        <v>3</v>
      </c>
      <c r="O306" s="44" t="s">
        <v>1229</v>
      </c>
      <c r="P306" s="72" t="s">
        <v>1320</v>
      </c>
      <c r="Q306" s="44"/>
      <c r="R306" s="72" t="s">
        <v>1332</v>
      </c>
    </row>
    <row r="307" spans="2:25" ht="25.5" x14ac:dyDescent="0.2">
      <c r="B307" s="135">
        <v>97</v>
      </c>
      <c r="C307" s="119" t="s">
        <v>1741</v>
      </c>
      <c r="D307" s="44">
        <v>300</v>
      </c>
      <c r="E307" s="72" t="s">
        <v>1742</v>
      </c>
      <c r="F307" s="44" t="s">
        <v>6</v>
      </c>
      <c r="G307" s="44" t="s">
        <v>1745</v>
      </c>
      <c r="H307" s="44" t="s">
        <v>1</v>
      </c>
      <c r="I307" s="44" t="s">
        <v>2</v>
      </c>
      <c r="J307" s="72" t="s">
        <v>1228</v>
      </c>
      <c r="K307" s="73">
        <v>30125</v>
      </c>
      <c r="L307" s="30">
        <v>1982</v>
      </c>
      <c r="M307" s="30">
        <f t="shared" ref="M307:M313" si="31">2019-L307</f>
        <v>37</v>
      </c>
      <c r="N307" s="44" t="s">
        <v>3</v>
      </c>
      <c r="O307" s="44" t="s">
        <v>1229</v>
      </c>
      <c r="P307" s="74" t="s">
        <v>1672</v>
      </c>
      <c r="Q307" s="44"/>
      <c r="R307" s="72" t="s">
        <v>1673</v>
      </c>
      <c r="S307" s="126"/>
      <c r="T307" s="126"/>
      <c r="U307" s="126"/>
      <c r="V307" s="126"/>
      <c r="W307" s="126"/>
      <c r="X307" s="126"/>
      <c r="Y307" s="126"/>
    </row>
    <row r="308" spans="2:25" ht="25.5" x14ac:dyDescent="0.2">
      <c r="B308" s="135"/>
      <c r="C308" s="119"/>
      <c r="D308" s="44">
        <v>301</v>
      </c>
      <c r="E308" s="72" t="s">
        <v>1743</v>
      </c>
      <c r="F308" s="44" t="s">
        <v>11</v>
      </c>
      <c r="G308" s="44" t="s">
        <v>1746</v>
      </c>
      <c r="H308" s="44" t="s">
        <v>9</v>
      </c>
      <c r="I308" s="44" t="s">
        <v>2</v>
      </c>
      <c r="J308" s="72" t="s">
        <v>1749</v>
      </c>
      <c r="K308" s="73">
        <v>33247</v>
      </c>
      <c r="L308" s="30">
        <v>1991</v>
      </c>
      <c r="M308" s="30">
        <f t="shared" si="31"/>
        <v>28</v>
      </c>
      <c r="N308" s="44" t="s">
        <v>3</v>
      </c>
      <c r="O308" s="44" t="s">
        <v>1229</v>
      </c>
      <c r="P308" s="74" t="s">
        <v>1672</v>
      </c>
      <c r="Q308" s="44"/>
      <c r="R308" s="72" t="s">
        <v>1360</v>
      </c>
      <c r="S308" s="126"/>
      <c r="T308" s="126"/>
      <c r="U308" s="126"/>
      <c r="V308" s="126"/>
      <c r="W308" s="126"/>
      <c r="X308" s="126"/>
      <c r="Y308" s="126"/>
    </row>
    <row r="309" spans="2:25" ht="25.5" x14ac:dyDescent="0.2">
      <c r="B309" s="135"/>
      <c r="C309" s="119"/>
      <c r="D309" s="44">
        <v>302</v>
      </c>
      <c r="E309" s="72" t="s">
        <v>1172</v>
      </c>
      <c r="F309" s="44" t="s">
        <v>16</v>
      </c>
      <c r="G309" s="44" t="s">
        <v>1747</v>
      </c>
      <c r="H309" s="44" t="s">
        <v>1</v>
      </c>
      <c r="I309" s="44" t="s">
        <v>13</v>
      </c>
      <c r="J309" s="72" t="s">
        <v>1228</v>
      </c>
      <c r="K309" s="73">
        <v>40795</v>
      </c>
      <c r="L309" s="30">
        <v>2011</v>
      </c>
      <c r="M309" s="30">
        <f t="shared" si="31"/>
        <v>8</v>
      </c>
      <c r="N309" s="44" t="s">
        <v>3</v>
      </c>
      <c r="O309" s="44" t="s">
        <v>1229</v>
      </c>
      <c r="P309" s="74" t="s">
        <v>1320</v>
      </c>
      <c r="Q309" s="44"/>
      <c r="R309" s="72" t="s">
        <v>1332</v>
      </c>
      <c r="S309" s="126"/>
      <c r="T309" s="126"/>
      <c r="U309" s="126"/>
      <c r="V309" s="126"/>
      <c r="W309" s="126"/>
      <c r="X309" s="126"/>
      <c r="Y309" s="126"/>
    </row>
    <row r="310" spans="2:25" ht="25.5" x14ac:dyDescent="0.2">
      <c r="B310" s="139"/>
      <c r="C310" s="132"/>
      <c r="D310" s="92">
        <v>303</v>
      </c>
      <c r="E310" s="93" t="s">
        <v>1744</v>
      </c>
      <c r="F310" s="92" t="s">
        <v>16</v>
      </c>
      <c r="G310" s="92" t="s">
        <v>1748</v>
      </c>
      <c r="H310" s="92" t="s">
        <v>1</v>
      </c>
      <c r="I310" s="92" t="s">
        <v>13</v>
      </c>
      <c r="J310" s="93" t="s">
        <v>1228</v>
      </c>
      <c r="K310" s="94">
        <v>41157</v>
      </c>
      <c r="L310" s="95">
        <v>2012</v>
      </c>
      <c r="M310" s="95">
        <f t="shared" si="31"/>
        <v>7</v>
      </c>
      <c r="N310" s="92" t="s">
        <v>3</v>
      </c>
      <c r="O310" s="92" t="s">
        <v>1229</v>
      </c>
      <c r="P310" s="101" t="s">
        <v>1320</v>
      </c>
      <c r="Q310" s="92"/>
      <c r="R310" s="93" t="s">
        <v>1332</v>
      </c>
      <c r="S310" s="126"/>
      <c r="T310" s="126"/>
      <c r="U310" s="126"/>
      <c r="V310" s="126"/>
      <c r="W310" s="126"/>
      <c r="X310" s="126"/>
      <c r="Y310" s="126"/>
    </row>
    <row r="311" spans="2:25" x14ac:dyDescent="0.2">
      <c r="B311" s="132">
        <v>98</v>
      </c>
      <c r="C311" s="132"/>
      <c r="D311" s="44">
        <v>304</v>
      </c>
      <c r="E311" s="72" t="s">
        <v>291</v>
      </c>
      <c r="F311" s="44" t="s">
        <v>6</v>
      </c>
      <c r="G311" s="44" t="s">
        <v>889</v>
      </c>
      <c r="H311" s="44" t="s">
        <v>1</v>
      </c>
      <c r="I311" s="44" t="s">
        <v>2</v>
      </c>
      <c r="J311" s="72" t="s">
        <v>1228</v>
      </c>
      <c r="K311" s="73">
        <v>32873</v>
      </c>
      <c r="L311" s="30">
        <v>1989</v>
      </c>
      <c r="M311" s="30">
        <f t="shared" si="31"/>
        <v>30</v>
      </c>
      <c r="N311" s="44" t="s">
        <v>3</v>
      </c>
      <c r="O311" s="44" t="s">
        <v>1229</v>
      </c>
      <c r="P311" s="72" t="s">
        <v>1246</v>
      </c>
      <c r="Q311" s="44"/>
      <c r="R311" s="72" t="s">
        <v>5</v>
      </c>
    </row>
    <row r="312" spans="2:25" ht="25.5" x14ac:dyDescent="0.2">
      <c r="B312" s="134"/>
      <c r="C312" s="134"/>
      <c r="D312" s="44">
        <v>305</v>
      </c>
      <c r="E312" s="72" t="s">
        <v>1801</v>
      </c>
      <c r="F312" s="44" t="s">
        <v>11</v>
      </c>
      <c r="G312" s="44" t="s">
        <v>1420</v>
      </c>
      <c r="H312" s="44" t="s">
        <v>9</v>
      </c>
      <c r="I312" s="44" t="s">
        <v>2</v>
      </c>
      <c r="J312" s="72" t="s">
        <v>1228</v>
      </c>
      <c r="K312" s="73">
        <v>34881</v>
      </c>
      <c r="L312" s="30">
        <v>1995</v>
      </c>
      <c r="M312" s="30">
        <f t="shared" si="31"/>
        <v>24</v>
      </c>
      <c r="N312" s="44" t="s">
        <v>3</v>
      </c>
      <c r="O312" s="44" t="s">
        <v>1229</v>
      </c>
      <c r="P312" s="72" t="s">
        <v>1270</v>
      </c>
      <c r="Q312" s="44"/>
      <c r="R312" s="72" t="s">
        <v>1360</v>
      </c>
    </row>
    <row r="313" spans="2:25" x14ac:dyDescent="0.2">
      <c r="B313" s="132">
        <v>99</v>
      </c>
      <c r="C313" s="132" t="s">
        <v>2328</v>
      </c>
      <c r="D313" s="44">
        <v>306</v>
      </c>
      <c r="E313" s="72" t="s">
        <v>2329</v>
      </c>
      <c r="F313" s="44" t="s">
        <v>6</v>
      </c>
      <c r="G313" s="44" t="s">
        <v>2332</v>
      </c>
      <c r="H313" s="44" t="s">
        <v>1</v>
      </c>
      <c r="I313" s="44" t="s">
        <v>2</v>
      </c>
      <c r="J313" s="72" t="s">
        <v>1228</v>
      </c>
      <c r="K313" s="73">
        <v>32142</v>
      </c>
      <c r="L313" s="30">
        <v>1987</v>
      </c>
      <c r="M313" s="30">
        <f t="shared" si="31"/>
        <v>32</v>
      </c>
      <c r="N313" s="44" t="s">
        <v>3</v>
      </c>
      <c r="O313" s="44" t="s">
        <v>1229</v>
      </c>
      <c r="P313" s="72" t="s">
        <v>1270</v>
      </c>
      <c r="Q313" s="44"/>
      <c r="R313" s="72" t="s">
        <v>5</v>
      </c>
    </row>
    <row r="314" spans="2:25" x14ac:dyDescent="0.2">
      <c r="B314" s="133"/>
      <c r="C314" s="133"/>
      <c r="D314" s="44">
        <v>307</v>
      </c>
      <c r="E314" s="72" t="s">
        <v>2330</v>
      </c>
      <c r="F314" s="44" t="s">
        <v>11</v>
      </c>
      <c r="G314" s="44" t="s">
        <v>2333</v>
      </c>
      <c r="H314" s="44" t="s">
        <v>9</v>
      </c>
      <c r="I314" s="44" t="s">
        <v>2</v>
      </c>
      <c r="J314" s="72" t="s">
        <v>1228</v>
      </c>
      <c r="K314" s="73">
        <v>34162</v>
      </c>
      <c r="L314" s="30">
        <v>1993</v>
      </c>
      <c r="M314" s="30">
        <f t="shared" ref="M314:M315" si="32">2019-L314</f>
        <v>26</v>
      </c>
      <c r="N314" s="44" t="s">
        <v>3</v>
      </c>
      <c r="O314" s="44" t="s">
        <v>1229</v>
      </c>
      <c r="P314" s="72" t="s">
        <v>1270</v>
      </c>
      <c r="Q314" s="44"/>
      <c r="R314" s="72" t="s">
        <v>5</v>
      </c>
    </row>
    <row r="315" spans="2:25" ht="38.25" x14ac:dyDescent="0.2">
      <c r="B315" s="134"/>
      <c r="C315" s="134"/>
      <c r="D315" s="44">
        <v>308</v>
      </c>
      <c r="E315" s="72" t="s">
        <v>2331</v>
      </c>
      <c r="F315" s="44" t="s">
        <v>16</v>
      </c>
      <c r="G315" s="44" t="s">
        <v>2334</v>
      </c>
      <c r="H315" s="44" t="s">
        <v>1</v>
      </c>
      <c r="I315" s="44" t="s">
        <v>13</v>
      </c>
      <c r="J315" s="72" t="s">
        <v>1228</v>
      </c>
      <c r="K315" s="73">
        <v>41106</v>
      </c>
      <c r="L315" s="30">
        <v>2012</v>
      </c>
      <c r="M315" s="30">
        <f t="shared" si="32"/>
        <v>7</v>
      </c>
      <c r="N315" s="44" t="s">
        <v>3</v>
      </c>
      <c r="O315" s="44" t="s">
        <v>1229</v>
      </c>
      <c r="P315" s="72" t="s">
        <v>1320</v>
      </c>
      <c r="Q315" s="44"/>
      <c r="R315" s="72" t="s">
        <v>1332</v>
      </c>
    </row>
    <row r="319" spans="2:25" s="77" customFormat="1" ht="15" x14ac:dyDescent="0.25">
      <c r="D319" s="164" t="s">
        <v>2346</v>
      </c>
      <c r="E319" s="164"/>
      <c r="F319" s="164"/>
      <c r="L319" s="81"/>
      <c r="P319" s="79"/>
      <c r="R319" s="79"/>
    </row>
    <row r="320" spans="2:25" s="77" customFormat="1" ht="15" x14ac:dyDescent="0.25">
      <c r="D320" s="164" t="s">
        <v>2347</v>
      </c>
      <c r="E320" s="164"/>
      <c r="F320" s="164"/>
      <c r="L320" s="81"/>
      <c r="P320" s="157" t="s">
        <v>2348</v>
      </c>
      <c r="Q320" s="157"/>
      <c r="R320" s="79"/>
    </row>
    <row r="321" spans="4:18" s="77" customFormat="1" ht="15" x14ac:dyDescent="0.25">
      <c r="D321" s="165"/>
      <c r="E321" s="165"/>
      <c r="F321" s="165"/>
      <c r="L321" s="81"/>
      <c r="P321" s="166"/>
      <c r="Q321" s="166"/>
      <c r="R321" s="79"/>
    </row>
    <row r="322" spans="4:18" s="77" customFormat="1" ht="15" x14ac:dyDescent="0.25">
      <c r="D322" s="167"/>
      <c r="E322" s="168"/>
      <c r="F322" s="167"/>
      <c r="L322" s="81"/>
      <c r="P322" s="42"/>
      <c r="Q322" s="48"/>
      <c r="R322" s="79"/>
    </row>
    <row r="323" spans="4:18" s="77" customFormat="1" ht="15" x14ac:dyDescent="0.25">
      <c r="D323" s="167"/>
      <c r="E323" s="168"/>
      <c r="F323" s="167"/>
      <c r="L323" s="81"/>
      <c r="P323" s="42"/>
      <c r="Q323" s="48"/>
      <c r="R323" s="79"/>
    </row>
    <row r="324" spans="4:18" s="77" customFormat="1" ht="14.25" x14ac:dyDescent="0.2">
      <c r="D324" s="169" t="s">
        <v>2349</v>
      </c>
      <c r="E324" s="169"/>
      <c r="F324" s="169"/>
      <c r="L324" s="81"/>
      <c r="P324" s="158" t="s">
        <v>128</v>
      </c>
      <c r="Q324" s="158"/>
      <c r="R324" s="79"/>
    </row>
    <row r="325" spans="4:18" s="77" customFormat="1" ht="14.25" x14ac:dyDescent="0.2">
      <c r="D325" s="169" t="s">
        <v>2350</v>
      </c>
      <c r="E325" s="169"/>
      <c r="F325" s="169"/>
      <c r="L325" s="81"/>
      <c r="P325" s="79"/>
      <c r="R325" s="79"/>
    </row>
  </sheetData>
  <autoFilter ref="B7:R315"/>
  <mergeCells count="209">
    <mergeCell ref="D319:F319"/>
    <mergeCell ref="D320:F320"/>
    <mergeCell ref="P320:Q320"/>
    <mergeCell ref="D324:F324"/>
    <mergeCell ref="P324:Q324"/>
    <mergeCell ref="D325:F325"/>
    <mergeCell ref="C311:C312"/>
    <mergeCell ref="B44:B46"/>
    <mergeCell ref="C44:C46"/>
    <mergeCell ref="C47:C48"/>
    <mergeCell ref="C49:C52"/>
    <mergeCell ref="C53:C55"/>
    <mergeCell ref="B47:B48"/>
    <mergeCell ref="B49:B52"/>
    <mergeCell ref="B53:B55"/>
    <mergeCell ref="B179:B182"/>
    <mergeCell ref="B183:B187"/>
    <mergeCell ref="B107:B108"/>
    <mergeCell ref="B154:B157"/>
    <mergeCell ref="B112:B115"/>
    <mergeCell ref="B130:B131"/>
    <mergeCell ref="B127:B128"/>
    <mergeCell ref="B132:B134"/>
    <mergeCell ref="B135:B136"/>
    <mergeCell ref="B142:B144"/>
    <mergeCell ref="B100:B102"/>
    <mergeCell ref="C68:C73"/>
    <mergeCell ref="C65:C67"/>
    <mergeCell ref="C103:C106"/>
    <mergeCell ref="B78:B81"/>
    <mergeCell ref="C313:C315"/>
    <mergeCell ref="B311:B312"/>
    <mergeCell ref="B313:B315"/>
    <mergeCell ref="C271:C272"/>
    <mergeCell ref="C273:C275"/>
    <mergeCell ref="C276:C278"/>
    <mergeCell ref="C267:C270"/>
    <mergeCell ref="C249:C252"/>
    <mergeCell ref="B56:B57"/>
    <mergeCell ref="C56:C57"/>
    <mergeCell ref="C58:C61"/>
    <mergeCell ref="C62:C63"/>
    <mergeCell ref="C83:C86"/>
    <mergeCell ref="C87:C89"/>
    <mergeCell ref="B90:B95"/>
    <mergeCell ref="C90:C95"/>
    <mergeCell ref="B58:B61"/>
    <mergeCell ref="B62:B63"/>
    <mergeCell ref="B109:B111"/>
    <mergeCell ref="B116:B119"/>
    <mergeCell ref="B120:B123"/>
    <mergeCell ref="C218:C220"/>
    <mergeCell ref="C127:C128"/>
    <mergeCell ref="C132:C134"/>
    <mergeCell ref="S308:Y308"/>
    <mergeCell ref="S309:Y309"/>
    <mergeCell ref="S310:Y310"/>
    <mergeCell ref="B307:B310"/>
    <mergeCell ref="C307:C310"/>
    <mergeCell ref="C237:C239"/>
    <mergeCell ref="C197:C199"/>
    <mergeCell ref="C179:C182"/>
    <mergeCell ref="B188:B189"/>
    <mergeCell ref="C214:C217"/>
    <mergeCell ref="C200:C203"/>
    <mergeCell ref="C193:C196"/>
    <mergeCell ref="C183:C187"/>
    <mergeCell ref="B190:B192"/>
    <mergeCell ref="C225:C227"/>
    <mergeCell ref="C228:C229"/>
    <mergeCell ref="C244:C247"/>
    <mergeCell ref="C253:C255"/>
    <mergeCell ref="C261:C264"/>
    <mergeCell ref="C265:C266"/>
    <mergeCell ref="C235:C236"/>
    <mergeCell ref="B261:B264"/>
    <mergeCell ref="B265:B266"/>
    <mergeCell ref="C240:C243"/>
    <mergeCell ref="B137:B141"/>
    <mergeCell ref="C137:C141"/>
    <mergeCell ref="C116:C119"/>
    <mergeCell ref="C120:C123"/>
    <mergeCell ref="C124:C126"/>
    <mergeCell ref="B124:B126"/>
    <mergeCell ref="B40:B43"/>
    <mergeCell ref="C40:C43"/>
    <mergeCell ref="S307:Y307"/>
    <mergeCell ref="B146:B148"/>
    <mergeCell ref="B149:B150"/>
    <mergeCell ref="B151:B153"/>
    <mergeCell ref="B162:B164"/>
    <mergeCell ref="B158:B160"/>
    <mergeCell ref="C176:C178"/>
    <mergeCell ref="B68:B73"/>
    <mergeCell ref="B87:B89"/>
    <mergeCell ref="B103:B106"/>
    <mergeCell ref="B96:B99"/>
    <mergeCell ref="C96:C99"/>
    <mergeCell ref="B65:B67"/>
    <mergeCell ref="B74:B77"/>
    <mergeCell ref="B83:B86"/>
    <mergeCell ref="C74:C77"/>
    <mergeCell ref="B221:B224"/>
    <mergeCell ref="C221:C224"/>
    <mergeCell ref="C154:C157"/>
    <mergeCell ref="B197:B199"/>
    <mergeCell ref="B200:B203"/>
    <mergeCell ref="B204:B206"/>
    <mergeCell ref="B165:B169"/>
    <mergeCell ref="B170:B175"/>
    <mergeCell ref="B176:B178"/>
    <mergeCell ref="B193:B196"/>
    <mergeCell ref="C188:C189"/>
    <mergeCell ref="C190:C192"/>
    <mergeCell ref="C207:C208"/>
    <mergeCell ref="B24:B27"/>
    <mergeCell ref="B34:B36"/>
    <mergeCell ref="B37:B39"/>
    <mergeCell ref="B8:B10"/>
    <mergeCell ref="B11:B12"/>
    <mergeCell ref="B13:B16"/>
    <mergeCell ref="B20:B21"/>
    <mergeCell ref="B22:B23"/>
    <mergeCell ref="C8:C10"/>
    <mergeCell ref="C11:C12"/>
    <mergeCell ref="C13:C16"/>
    <mergeCell ref="B17:B19"/>
    <mergeCell ref="C17:C19"/>
    <mergeCell ref="B28:B30"/>
    <mergeCell ref="C28:C30"/>
    <mergeCell ref="B31:B33"/>
    <mergeCell ref="C31:C33"/>
    <mergeCell ref="C20:C21"/>
    <mergeCell ref="C22:C23"/>
    <mergeCell ref="C24:C27"/>
    <mergeCell ref="C34:C36"/>
    <mergeCell ref="C37:C39"/>
    <mergeCell ref="B5:B6"/>
    <mergeCell ref="E5:E6"/>
    <mergeCell ref="H5:H6"/>
    <mergeCell ref="I5:I6"/>
    <mergeCell ref="N5:N6"/>
    <mergeCell ref="D5:D6"/>
    <mergeCell ref="J5:L5"/>
    <mergeCell ref="M5:M6"/>
    <mergeCell ref="O5:O6"/>
    <mergeCell ref="C5:C6"/>
    <mergeCell ref="P5:P6"/>
    <mergeCell ref="R5:R6"/>
    <mergeCell ref="F5:F6"/>
    <mergeCell ref="G5:G6"/>
    <mergeCell ref="Q5:Q6"/>
    <mergeCell ref="C162:C164"/>
    <mergeCell ref="C170:C175"/>
    <mergeCell ref="C146:C148"/>
    <mergeCell ref="C149:C150"/>
    <mergeCell ref="C151:C153"/>
    <mergeCell ref="C165:C169"/>
    <mergeCell ref="C130:C131"/>
    <mergeCell ref="C158:C160"/>
    <mergeCell ref="C112:C115"/>
    <mergeCell ref="C109:C111"/>
    <mergeCell ref="C135:C136"/>
    <mergeCell ref="C107:C108"/>
    <mergeCell ref="C78:C81"/>
    <mergeCell ref="C142:C144"/>
    <mergeCell ref="C100:C102"/>
    <mergeCell ref="B225:B227"/>
    <mergeCell ref="B228:B229"/>
    <mergeCell ref="B302:B303"/>
    <mergeCell ref="C302:C303"/>
    <mergeCell ref="B256:B260"/>
    <mergeCell ref="C256:C260"/>
    <mergeCell ref="B235:B236"/>
    <mergeCell ref="B237:B239"/>
    <mergeCell ref="B240:B243"/>
    <mergeCell ref="B244:B247"/>
    <mergeCell ref="C298:C300"/>
    <mergeCell ref="B249:B252"/>
    <mergeCell ref="B253:B255"/>
    <mergeCell ref="C279:C281"/>
    <mergeCell ref="C286:C288"/>
    <mergeCell ref="C289:C290"/>
    <mergeCell ref="C291:C292"/>
    <mergeCell ref="C294:C297"/>
    <mergeCell ref="B1:R1"/>
    <mergeCell ref="B2:R2"/>
    <mergeCell ref="B304:B306"/>
    <mergeCell ref="C304:C306"/>
    <mergeCell ref="C204:C206"/>
    <mergeCell ref="B230:B234"/>
    <mergeCell ref="C230:C234"/>
    <mergeCell ref="C282:C285"/>
    <mergeCell ref="B294:B297"/>
    <mergeCell ref="B298:B300"/>
    <mergeCell ref="B276:B278"/>
    <mergeCell ref="B279:B281"/>
    <mergeCell ref="B282:B285"/>
    <mergeCell ref="B286:B288"/>
    <mergeCell ref="B289:B290"/>
    <mergeCell ref="B291:B292"/>
    <mergeCell ref="B267:B270"/>
    <mergeCell ref="B214:B217"/>
    <mergeCell ref="B218:B220"/>
    <mergeCell ref="B207:B208"/>
    <mergeCell ref="B271:B272"/>
    <mergeCell ref="B273:B275"/>
    <mergeCell ref="B209:B213"/>
    <mergeCell ref="C209:C213"/>
  </mergeCells>
  <pageMargins left="1.37795275590551" right="0.196850393700787" top="0.39370078740157499" bottom="0.643700787" header="0.31496062992126" footer="0.31496062992126"/>
  <pageSetup paperSize="10000" scale="82" orientation="landscape" horizontalDpi="300" verticalDpi="300" r:id="rId1"/>
  <headerFooter>
    <oddFooter>&amp;C&amp;"-,Bold"&amp;12&amp;P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R251"/>
  <sheetViews>
    <sheetView zoomScaleNormal="100" workbookViewId="0">
      <pane ySplit="6" topLeftCell="A7" activePane="bottomLeft" state="frozen"/>
      <selection pane="bottomLeft" activeCell="H16" sqref="H16"/>
    </sheetView>
  </sheetViews>
  <sheetFormatPr defaultRowHeight="12.75" x14ac:dyDescent="0.2"/>
  <cols>
    <col min="1" max="1" width="9.140625" style="31"/>
    <col min="2" max="2" width="3.140625" style="31" customWidth="1"/>
    <col min="3" max="3" width="15.7109375" style="31" customWidth="1"/>
    <col min="4" max="4" width="6.7109375" style="31" customWidth="1"/>
    <col min="5" max="5" width="12.7109375" style="89" customWidth="1"/>
    <col min="6" max="6" width="9.7109375" style="31" customWidth="1"/>
    <col min="7" max="7" width="15.7109375" style="31" customWidth="1"/>
    <col min="8" max="8" width="7.7109375" style="31" customWidth="1"/>
    <col min="9" max="9" width="10.7109375" style="31" customWidth="1"/>
    <col min="10" max="10" width="13.7109375" style="89" customWidth="1"/>
    <col min="11" max="11" width="15.140625" style="102" customWidth="1"/>
    <col min="12" max="12" width="5.7109375" style="31" customWidth="1"/>
    <col min="13" max="13" width="4.42578125" style="31" customWidth="1"/>
    <col min="14" max="14" width="5.7109375" style="31" customWidth="1"/>
    <col min="15" max="15" width="5.42578125" style="31" bestFit="1" customWidth="1"/>
    <col min="16" max="16" width="16.7109375" style="89" customWidth="1"/>
    <col min="17" max="17" width="7.5703125" style="31" customWidth="1"/>
    <col min="18" max="18" width="15.5703125" style="89" customWidth="1"/>
    <col min="19" max="16384" width="9.140625" style="31"/>
  </cols>
  <sheetData>
    <row r="1" spans="2:18" s="41" customFormat="1" ht="15.75" x14ac:dyDescent="0.25">
      <c r="B1" s="118" t="s">
        <v>2339</v>
      </c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</row>
    <row r="2" spans="2:18" s="41" customFormat="1" ht="15.75" x14ac:dyDescent="0.25">
      <c r="B2" s="118" t="s">
        <v>2340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</row>
    <row r="3" spans="2:18" s="41" customFormat="1" ht="15.75" x14ac:dyDescent="0.25">
      <c r="B3" s="107" t="s">
        <v>2307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</row>
    <row r="4" spans="2:18" ht="16.5" thickBot="1" x14ac:dyDescent="0.25">
      <c r="B4" s="107" t="s">
        <v>2342</v>
      </c>
    </row>
    <row r="5" spans="2:18" ht="20.100000000000001" customHeight="1" x14ac:dyDescent="0.2">
      <c r="B5" s="136" t="s">
        <v>347</v>
      </c>
      <c r="C5" s="142" t="s">
        <v>1224</v>
      </c>
      <c r="D5" s="138" t="s">
        <v>1225</v>
      </c>
      <c r="E5" s="138" t="s">
        <v>2341</v>
      </c>
      <c r="F5" s="138" t="s">
        <v>354</v>
      </c>
      <c r="G5" s="144" t="s">
        <v>355</v>
      </c>
      <c r="H5" s="138" t="s">
        <v>349</v>
      </c>
      <c r="I5" s="138" t="s">
        <v>350</v>
      </c>
      <c r="J5" s="142" t="s">
        <v>1207</v>
      </c>
      <c r="K5" s="142"/>
      <c r="L5" s="142"/>
      <c r="M5" s="142" t="s">
        <v>1217</v>
      </c>
      <c r="N5" s="142" t="s">
        <v>351</v>
      </c>
      <c r="O5" s="142" t="s">
        <v>1211</v>
      </c>
      <c r="P5" s="138" t="s">
        <v>352</v>
      </c>
      <c r="Q5" s="142" t="s">
        <v>1212</v>
      </c>
      <c r="R5" s="138" t="s">
        <v>353</v>
      </c>
    </row>
    <row r="6" spans="2:18" ht="20.100000000000001" customHeight="1" x14ac:dyDescent="0.2">
      <c r="B6" s="137"/>
      <c r="C6" s="121"/>
      <c r="D6" s="124"/>
      <c r="E6" s="124"/>
      <c r="F6" s="124"/>
      <c r="G6" s="125"/>
      <c r="H6" s="124"/>
      <c r="I6" s="124"/>
      <c r="J6" s="83" t="s">
        <v>1208</v>
      </c>
      <c r="K6" s="84" t="s">
        <v>1209</v>
      </c>
      <c r="L6" s="86" t="s">
        <v>1216</v>
      </c>
      <c r="M6" s="121"/>
      <c r="N6" s="121"/>
      <c r="O6" s="121"/>
      <c r="P6" s="124"/>
      <c r="Q6" s="121"/>
      <c r="R6" s="124"/>
    </row>
    <row r="7" spans="2:18" x14ac:dyDescent="0.2">
      <c r="B7" s="97"/>
      <c r="C7" s="86"/>
      <c r="D7" s="86"/>
      <c r="E7" s="83"/>
      <c r="F7" s="86"/>
      <c r="G7" s="87"/>
      <c r="H7" s="86"/>
      <c r="I7" s="86"/>
      <c r="J7" s="83"/>
      <c r="K7" s="84"/>
      <c r="L7" s="86"/>
      <c r="M7" s="86"/>
      <c r="N7" s="86"/>
      <c r="O7" s="86"/>
      <c r="P7" s="83"/>
      <c r="Q7" s="86"/>
      <c r="R7" s="83"/>
    </row>
    <row r="8" spans="2:18" ht="25.5" hidden="1" x14ac:dyDescent="0.2">
      <c r="B8" s="135">
        <v>1</v>
      </c>
      <c r="C8" s="119" t="s">
        <v>1988</v>
      </c>
      <c r="D8" s="44">
        <v>1</v>
      </c>
      <c r="E8" s="72" t="s">
        <v>356</v>
      </c>
      <c r="F8" s="44" t="s">
        <v>6</v>
      </c>
      <c r="G8" s="44" t="s">
        <v>1989</v>
      </c>
      <c r="H8" s="44" t="s">
        <v>1</v>
      </c>
      <c r="I8" s="44" t="s">
        <v>2</v>
      </c>
      <c r="J8" s="72" t="s">
        <v>1232</v>
      </c>
      <c r="K8" s="73">
        <v>30133</v>
      </c>
      <c r="L8" s="30">
        <v>1982</v>
      </c>
      <c r="M8" s="30">
        <f>2019-L8</f>
        <v>37</v>
      </c>
      <c r="N8" s="44" t="s">
        <v>3</v>
      </c>
      <c r="O8" s="44" t="s">
        <v>1229</v>
      </c>
      <c r="P8" s="72" t="s">
        <v>1270</v>
      </c>
      <c r="Q8" s="44"/>
      <c r="R8" s="72" t="s">
        <v>1330</v>
      </c>
    </row>
    <row r="9" spans="2:18" ht="25.5" hidden="1" x14ac:dyDescent="0.2">
      <c r="B9" s="135"/>
      <c r="C9" s="119"/>
      <c r="D9" s="44">
        <v>2</v>
      </c>
      <c r="E9" s="72" t="s">
        <v>1990</v>
      </c>
      <c r="F9" s="44" t="s">
        <v>11</v>
      </c>
      <c r="G9" s="44" t="s">
        <v>1991</v>
      </c>
      <c r="H9" s="44" t="s">
        <v>9</v>
      </c>
      <c r="I9" s="44" t="s">
        <v>2</v>
      </c>
      <c r="J9" s="72" t="s">
        <v>1232</v>
      </c>
      <c r="K9" s="73">
        <v>30633</v>
      </c>
      <c r="L9" s="30">
        <v>1983</v>
      </c>
      <c r="M9" s="30">
        <f t="shared" ref="M9:M77" si="0">2019-L9</f>
        <v>36</v>
      </c>
      <c r="N9" s="44" t="s">
        <v>3</v>
      </c>
      <c r="O9" s="44" t="s">
        <v>1229</v>
      </c>
      <c r="P9" s="72" t="s">
        <v>1992</v>
      </c>
      <c r="Q9" s="44"/>
      <c r="R9" s="72" t="s">
        <v>5</v>
      </c>
    </row>
    <row r="10" spans="2:18" ht="25.5" hidden="1" x14ac:dyDescent="0.2">
      <c r="B10" s="135"/>
      <c r="C10" s="119"/>
      <c r="D10" s="44">
        <v>3</v>
      </c>
      <c r="E10" s="72" t="s">
        <v>358</v>
      </c>
      <c r="F10" s="44" t="s">
        <v>16</v>
      </c>
      <c r="G10" s="44" t="s">
        <v>1993</v>
      </c>
      <c r="H10" s="44" t="s">
        <v>9</v>
      </c>
      <c r="I10" s="44" t="s">
        <v>13</v>
      </c>
      <c r="J10" s="72" t="s">
        <v>1232</v>
      </c>
      <c r="K10" s="73">
        <v>38213</v>
      </c>
      <c r="L10" s="30">
        <v>2004</v>
      </c>
      <c r="M10" s="30">
        <f t="shared" si="0"/>
        <v>15</v>
      </c>
      <c r="N10" s="44" t="s">
        <v>3</v>
      </c>
      <c r="O10" s="44" t="s">
        <v>1229</v>
      </c>
      <c r="P10" s="72" t="s">
        <v>1233</v>
      </c>
      <c r="Q10" s="44"/>
      <c r="R10" s="72" t="s">
        <v>1822</v>
      </c>
    </row>
    <row r="11" spans="2:18" hidden="1" x14ac:dyDescent="0.2">
      <c r="B11" s="135">
        <v>2</v>
      </c>
      <c r="C11" s="135"/>
      <c r="D11" s="44">
        <v>4</v>
      </c>
      <c r="E11" s="72" t="s">
        <v>359</v>
      </c>
      <c r="F11" s="44" t="s">
        <v>6</v>
      </c>
      <c r="G11" s="44">
        <v>0</v>
      </c>
      <c r="H11" s="44" t="s">
        <v>1</v>
      </c>
      <c r="I11" s="44" t="s">
        <v>2</v>
      </c>
      <c r="J11" s="72"/>
      <c r="K11" s="73">
        <v>32508</v>
      </c>
      <c r="L11" s="30">
        <v>1988</v>
      </c>
      <c r="M11" s="30">
        <f t="shared" si="0"/>
        <v>31</v>
      </c>
      <c r="N11" s="44" t="s">
        <v>3</v>
      </c>
      <c r="O11" s="44"/>
      <c r="P11" s="72" t="s">
        <v>28</v>
      </c>
      <c r="Q11" s="44"/>
      <c r="R11" s="72" t="s">
        <v>5</v>
      </c>
    </row>
    <row r="12" spans="2:18" hidden="1" x14ac:dyDescent="0.2">
      <c r="B12" s="135"/>
      <c r="C12" s="135"/>
      <c r="D12" s="44">
        <v>5</v>
      </c>
      <c r="E12" s="72" t="s">
        <v>360</v>
      </c>
      <c r="F12" s="44" t="s">
        <v>11</v>
      </c>
      <c r="G12" s="44">
        <v>0</v>
      </c>
      <c r="H12" s="44" t="s">
        <v>9</v>
      </c>
      <c r="I12" s="44" t="s">
        <v>2</v>
      </c>
      <c r="J12" s="72"/>
      <c r="K12" s="73">
        <v>32666</v>
      </c>
      <c r="L12" s="30">
        <v>1989</v>
      </c>
      <c r="M12" s="30">
        <f t="shared" si="0"/>
        <v>30</v>
      </c>
      <c r="N12" s="44" t="s">
        <v>3</v>
      </c>
      <c r="O12" s="44"/>
      <c r="P12" s="72" t="s">
        <v>28</v>
      </c>
      <c r="Q12" s="44"/>
      <c r="R12" s="72" t="s">
        <v>5</v>
      </c>
    </row>
    <row r="13" spans="2:18" ht="25.5" hidden="1" x14ac:dyDescent="0.2">
      <c r="B13" s="135"/>
      <c r="C13" s="135"/>
      <c r="D13" s="44">
        <v>6</v>
      </c>
      <c r="E13" s="72" t="s">
        <v>361</v>
      </c>
      <c r="F13" s="44" t="s">
        <v>16</v>
      </c>
      <c r="G13" s="44">
        <v>0</v>
      </c>
      <c r="H13" s="44" t="s">
        <v>1</v>
      </c>
      <c r="I13" s="44" t="s">
        <v>13</v>
      </c>
      <c r="J13" s="72"/>
      <c r="K13" s="73">
        <v>42059</v>
      </c>
      <c r="L13" s="30">
        <v>2015</v>
      </c>
      <c r="M13" s="30">
        <f t="shared" si="0"/>
        <v>4</v>
      </c>
      <c r="N13" s="44" t="s">
        <v>3</v>
      </c>
      <c r="O13" s="44"/>
      <c r="P13" s="72" t="s">
        <v>15</v>
      </c>
      <c r="Q13" s="44"/>
      <c r="R13" s="72" t="s">
        <v>15</v>
      </c>
    </row>
    <row r="14" spans="2:18" hidden="1" x14ac:dyDescent="0.2">
      <c r="B14" s="135">
        <v>3</v>
      </c>
      <c r="C14" s="135"/>
      <c r="D14" s="44">
        <v>7</v>
      </c>
      <c r="E14" s="72" t="s">
        <v>362</v>
      </c>
      <c r="F14" s="44" t="s">
        <v>6</v>
      </c>
      <c r="G14" s="44">
        <v>0</v>
      </c>
      <c r="H14" s="44" t="s">
        <v>1</v>
      </c>
      <c r="I14" s="44" t="s">
        <v>13</v>
      </c>
      <c r="J14" s="72"/>
      <c r="K14" s="73">
        <v>32873</v>
      </c>
      <c r="L14" s="30">
        <v>1989</v>
      </c>
      <c r="M14" s="30">
        <f t="shared" si="0"/>
        <v>30</v>
      </c>
      <c r="N14" s="44" t="s">
        <v>3</v>
      </c>
      <c r="O14" s="44"/>
      <c r="P14" s="72" t="s">
        <v>14</v>
      </c>
      <c r="Q14" s="44"/>
      <c r="R14" s="72" t="s">
        <v>34</v>
      </c>
    </row>
    <row r="15" spans="2:18" hidden="1" x14ac:dyDescent="0.2">
      <c r="B15" s="135"/>
      <c r="C15" s="135"/>
      <c r="D15" s="44">
        <v>8</v>
      </c>
      <c r="E15" s="72" t="s">
        <v>363</v>
      </c>
      <c r="F15" s="44" t="s">
        <v>20</v>
      </c>
      <c r="G15" s="44">
        <v>0</v>
      </c>
      <c r="H15" s="44" t="s">
        <v>1</v>
      </c>
      <c r="I15" s="44" t="s">
        <v>13</v>
      </c>
      <c r="J15" s="72"/>
      <c r="K15" s="73">
        <v>35064</v>
      </c>
      <c r="L15" s="30">
        <v>1995</v>
      </c>
      <c r="M15" s="30">
        <f t="shared" si="0"/>
        <v>24</v>
      </c>
      <c r="N15" s="44" t="s">
        <v>3</v>
      </c>
      <c r="O15" s="44"/>
      <c r="P15" s="72" t="s">
        <v>14</v>
      </c>
      <c r="Q15" s="44"/>
      <c r="R15" s="72" t="s">
        <v>15</v>
      </c>
    </row>
    <row r="16" spans="2:18" ht="25.5" x14ac:dyDescent="0.2">
      <c r="B16" s="90">
        <v>4</v>
      </c>
      <c r="C16" s="44"/>
      <c r="D16" s="44">
        <v>9</v>
      </c>
      <c r="E16" s="72" t="s">
        <v>364</v>
      </c>
      <c r="F16" s="44" t="s">
        <v>6</v>
      </c>
      <c r="G16" s="44" t="s">
        <v>365</v>
      </c>
      <c r="H16" s="44" t="s">
        <v>1</v>
      </c>
      <c r="I16" s="44" t="s">
        <v>95</v>
      </c>
      <c r="J16" s="72"/>
      <c r="K16" s="73">
        <v>18628</v>
      </c>
      <c r="L16" s="30">
        <v>1950</v>
      </c>
      <c r="M16" s="30">
        <f t="shared" si="0"/>
        <v>69</v>
      </c>
      <c r="N16" s="44" t="s">
        <v>3</v>
      </c>
      <c r="O16" s="44"/>
      <c r="P16" s="72" t="s">
        <v>4</v>
      </c>
      <c r="Q16" s="44"/>
      <c r="R16" s="72" t="s">
        <v>5</v>
      </c>
    </row>
    <row r="17" spans="2:18" ht="25.5" hidden="1" x14ac:dyDescent="0.2">
      <c r="B17" s="135">
        <v>5</v>
      </c>
      <c r="C17" s="119" t="s">
        <v>1994</v>
      </c>
      <c r="D17" s="44">
        <v>10</v>
      </c>
      <c r="E17" s="72" t="s">
        <v>1995</v>
      </c>
      <c r="F17" s="44" t="s">
        <v>6</v>
      </c>
      <c r="G17" s="44" t="s">
        <v>1996</v>
      </c>
      <c r="H17" s="44" t="s">
        <v>1</v>
      </c>
      <c r="I17" s="44" t="s">
        <v>2</v>
      </c>
      <c r="J17" s="72" t="s">
        <v>1232</v>
      </c>
      <c r="K17" s="73">
        <v>33368</v>
      </c>
      <c r="L17" s="30">
        <v>1991</v>
      </c>
      <c r="M17" s="30">
        <f t="shared" si="0"/>
        <v>28</v>
      </c>
      <c r="N17" s="44" t="s">
        <v>3</v>
      </c>
      <c r="O17" s="44" t="s">
        <v>1229</v>
      </c>
      <c r="P17" s="72" t="s">
        <v>1672</v>
      </c>
      <c r="Q17" s="44"/>
      <c r="R17" s="72" t="s">
        <v>1673</v>
      </c>
    </row>
    <row r="18" spans="2:18" ht="25.5" hidden="1" x14ac:dyDescent="0.2">
      <c r="B18" s="135"/>
      <c r="C18" s="119"/>
      <c r="D18" s="44">
        <v>11</v>
      </c>
      <c r="E18" s="72" t="s">
        <v>1997</v>
      </c>
      <c r="F18" s="44" t="s">
        <v>11</v>
      </c>
      <c r="G18" s="44" t="s">
        <v>1998</v>
      </c>
      <c r="H18" s="44" t="s">
        <v>9</v>
      </c>
      <c r="I18" s="44" t="s">
        <v>2</v>
      </c>
      <c r="J18" s="72" t="s">
        <v>1999</v>
      </c>
      <c r="K18" s="73">
        <v>33639</v>
      </c>
      <c r="L18" s="30">
        <v>1992</v>
      </c>
      <c r="M18" s="30">
        <f t="shared" si="0"/>
        <v>27</v>
      </c>
      <c r="N18" s="44" t="s">
        <v>3</v>
      </c>
      <c r="O18" s="44" t="s">
        <v>1229</v>
      </c>
      <c r="P18" s="72" t="s">
        <v>1672</v>
      </c>
      <c r="Q18" s="44"/>
      <c r="R18" s="72" t="s">
        <v>1673</v>
      </c>
    </row>
    <row r="19" spans="2:18" ht="25.5" hidden="1" x14ac:dyDescent="0.2">
      <c r="B19" s="135"/>
      <c r="C19" s="119"/>
      <c r="D19" s="44">
        <v>12</v>
      </c>
      <c r="E19" s="72" t="s">
        <v>2000</v>
      </c>
      <c r="F19" s="44" t="s">
        <v>16</v>
      </c>
      <c r="G19" s="44" t="s">
        <v>2001</v>
      </c>
      <c r="H19" s="44" t="s">
        <v>9</v>
      </c>
      <c r="I19" s="44" t="s">
        <v>13</v>
      </c>
      <c r="J19" s="72" t="s">
        <v>1232</v>
      </c>
      <c r="K19" s="73">
        <v>42992</v>
      </c>
      <c r="L19" s="30">
        <v>2017</v>
      </c>
      <c r="M19" s="30">
        <f t="shared" si="0"/>
        <v>2</v>
      </c>
      <c r="N19" s="44" t="s">
        <v>3</v>
      </c>
      <c r="O19" s="44" t="s">
        <v>1229</v>
      </c>
      <c r="P19" s="72" t="s">
        <v>1258</v>
      </c>
      <c r="Q19" s="44"/>
      <c r="R19" s="72" t="s">
        <v>1819</v>
      </c>
    </row>
    <row r="20" spans="2:18" hidden="1" x14ac:dyDescent="0.2">
      <c r="B20" s="135">
        <v>6</v>
      </c>
      <c r="C20" s="119" t="s">
        <v>2002</v>
      </c>
      <c r="D20" s="44">
        <v>13</v>
      </c>
      <c r="E20" s="72" t="s">
        <v>366</v>
      </c>
      <c r="F20" s="44" t="s">
        <v>6</v>
      </c>
      <c r="G20" s="44" t="s">
        <v>368</v>
      </c>
      <c r="H20" s="44" t="s">
        <v>1</v>
      </c>
      <c r="I20" s="44" t="s">
        <v>2</v>
      </c>
      <c r="J20" s="72" t="s">
        <v>1232</v>
      </c>
      <c r="K20" s="73">
        <v>32457</v>
      </c>
      <c r="L20" s="30">
        <v>1988</v>
      </c>
      <c r="M20" s="30">
        <f t="shared" si="0"/>
        <v>31</v>
      </c>
      <c r="N20" s="44" t="s">
        <v>3</v>
      </c>
      <c r="O20" s="44" t="s">
        <v>1229</v>
      </c>
      <c r="P20" s="72" t="s">
        <v>1270</v>
      </c>
      <c r="Q20" s="44"/>
      <c r="R20" s="72" t="s">
        <v>5</v>
      </c>
    </row>
    <row r="21" spans="2:18" ht="38.25" hidden="1" x14ac:dyDescent="0.2">
      <c r="B21" s="135"/>
      <c r="C21" s="119"/>
      <c r="D21" s="44">
        <v>14</v>
      </c>
      <c r="E21" s="72" t="s">
        <v>369</v>
      </c>
      <c r="F21" s="44" t="s">
        <v>11</v>
      </c>
      <c r="G21" s="44" t="s">
        <v>2003</v>
      </c>
      <c r="H21" s="44" t="s">
        <v>9</v>
      </c>
      <c r="I21" s="44" t="s">
        <v>2</v>
      </c>
      <c r="J21" s="72" t="s">
        <v>1232</v>
      </c>
      <c r="K21" s="73">
        <v>32489</v>
      </c>
      <c r="L21" s="30">
        <v>1988</v>
      </c>
      <c r="M21" s="30">
        <f t="shared" si="0"/>
        <v>31</v>
      </c>
      <c r="N21" s="44" t="s">
        <v>3</v>
      </c>
      <c r="O21" s="44" t="s">
        <v>1229</v>
      </c>
      <c r="P21" s="72" t="s">
        <v>2004</v>
      </c>
      <c r="Q21" s="44"/>
      <c r="R21" s="72" t="s">
        <v>1587</v>
      </c>
    </row>
    <row r="22" spans="2:18" ht="25.5" hidden="1" x14ac:dyDescent="0.2">
      <c r="B22" s="135"/>
      <c r="C22" s="119"/>
      <c r="D22" s="44">
        <v>15</v>
      </c>
      <c r="E22" s="72" t="s">
        <v>370</v>
      </c>
      <c r="F22" s="44" t="s">
        <v>16</v>
      </c>
      <c r="G22" s="44" t="s">
        <v>371</v>
      </c>
      <c r="H22" s="44" t="s">
        <v>9</v>
      </c>
      <c r="I22" s="44" t="s">
        <v>13</v>
      </c>
      <c r="J22" s="72" t="s">
        <v>1232</v>
      </c>
      <c r="K22" s="73">
        <v>41424</v>
      </c>
      <c r="L22" s="30">
        <v>2013</v>
      </c>
      <c r="M22" s="30">
        <f t="shared" si="0"/>
        <v>6</v>
      </c>
      <c r="N22" s="44" t="s">
        <v>3</v>
      </c>
      <c r="O22" s="44" t="s">
        <v>1229</v>
      </c>
      <c r="P22" s="72" t="s">
        <v>1258</v>
      </c>
      <c r="Q22" s="44"/>
      <c r="R22" s="72" t="s">
        <v>1819</v>
      </c>
    </row>
    <row r="23" spans="2:18" ht="38.25" hidden="1" x14ac:dyDescent="0.2">
      <c r="B23" s="135"/>
      <c r="C23" s="119"/>
      <c r="D23" s="44">
        <v>16</v>
      </c>
      <c r="E23" s="72" t="s">
        <v>2005</v>
      </c>
      <c r="F23" s="44" t="s">
        <v>16</v>
      </c>
      <c r="G23" s="44" t="s">
        <v>2006</v>
      </c>
      <c r="H23" s="44" t="s">
        <v>1</v>
      </c>
      <c r="I23" s="44" t="s">
        <v>13</v>
      </c>
      <c r="J23" s="72" t="s">
        <v>1232</v>
      </c>
      <c r="K23" s="73">
        <v>42733</v>
      </c>
      <c r="L23" s="30">
        <v>2016</v>
      </c>
      <c r="M23" s="30">
        <f t="shared" si="0"/>
        <v>3</v>
      </c>
      <c r="N23" s="44" t="s">
        <v>3</v>
      </c>
      <c r="O23" s="44" t="s">
        <v>1229</v>
      </c>
      <c r="P23" s="72" t="s">
        <v>1258</v>
      </c>
      <c r="Q23" s="44"/>
      <c r="R23" s="72" t="s">
        <v>1819</v>
      </c>
    </row>
    <row r="24" spans="2:18" ht="25.5" hidden="1" x14ac:dyDescent="0.2">
      <c r="B24" s="135">
        <v>7</v>
      </c>
      <c r="C24" s="119" t="s">
        <v>2007</v>
      </c>
      <c r="D24" s="44">
        <v>17</v>
      </c>
      <c r="E24" s="72" t="s">
        <v>372</v>
      </c>
      <c r="F24" s="44" t="s">
        <v>6</v>
      </c>
      <c r="G24" s="44" t="s">
        <v>373</v>
      </c>
      <c r="H24" s="44" t="s">
        <v>1</v>
      </c>
      <c r="I24" s="44" t="s">
        <v>2</v>
      </c>
      <c r="J24" s="72" t="s">
        <v>1232</v>
      </c>
      <c r="K24" s="73">
        <v>26562</v>
      </c>
      <c r="L24" s="30">
        <v>1972</v>
      </c>
      <c r="M24" s="30">
        <f t="shared" si="0"/>
        <v>47</v>
      </c>
      <c r="N24" s="44" t="s">
        <v>3</v>
      </c>
      <c r="O24" s="44" t="s">
        <v>1229</v>
      </c>
      <c r="P24" s="72" t="s">
        <v>1233</v>
      </c>
      <c r="Q24" s="44"/>
      <c r="R24" s="72" t="s">
        <v>5</v>
      </c>
    </row>
    <row r="25" spans="2:18" ht="25.5" hidden="1" x14ac:dyDescent="0.2">
      <c r="B25" s="135"/>
      <c r="C25" s="119"/>
      <c r="D25" s="44">
        <v>18</v>
      </c>
      <c r="E25" s="72" t="s">
        <v>374</v>
      </c>
      <c r="F25" s="44" t="s">
        <v>11</v>
      </c>
      <c r="G25" s="44" t="s">
        <v>375</v>
      </c>
      <c r="H25" s="44" t="s">
        <v>9</v>
      </c>
      <c r="I25" s="44" t="s">
        <v>2</v>
      </c>
      <c r="J25" s="72" t="s">
        <v>2008</v>
      </c>
      <c r="K25" s="73">
        <v>29586</v>
      </c>
      <c r="L25" s="30">
        <v>1980</v>
      </c>
      <c r="M25" s="30">
        <f t="shared" si="0"/>
        <v>39</v>
      </c>
      <c r="N25" s="44" t="s">
        <v>3</v>
      </c>
      <c r="O25" s="44" t="s">
        <v>1229</v>
      </c>
      <c r="P25" s="72" t="s">
        <v>1233</v>
      </c>
      <c r="Q25" s="44"/>
      <c r="R25" s="72" t="s">
        <v>5</v>
      </c>
    </row>
    <row r="26" spans="2:18" ht="25.5" hidden="1" x14ac:dyDescent="0.2">
      <c r="B26" s="135"/>
      <c r="C26" s="119"/>
      <c r="D26" s="44">
        <v>19</v>
      </c>
      <c r="E26" s="72" t="s">
        <v>376</v>
      </c>
      <c r="F26" s="44" t="s">
        <v>16</v>
      </c>
      <c r="G26" s="44" t="s">
        <v>377</v>
      </c>
      <c r="H26" s="44" t="s">
        <v>9</v>
      </c>
      <c r="I26" s="44" t="s">
        <v>13</v>
      </c>
      <c r="J26" s="72" t="s">
        <v>1232</v>
      </c>
      <c r="K26" s="73">
        <v>36088</v>
      </c>
      <c r="L26" s="30">
        <v>1998</v>
      </c>
      <c r="M26" s="30">
        <f t="shared" si="0"/>
        <v>21</v>
      </c>
      <c r="N26" s="44" t="s">
        <v>3</v>
      </c>
      <c r="O26" s="44" t="s">
        <v>1229</v>
      </c>
      <c r="P26" s="72" t="s">
        <v>2009</v>
      </c>
      <c r="Q26" s="44"/>
      <c r="R26" s="72" t="s">
        <v>1822</v>
      </c>
    </row>
    <row r="27" spans="2:18" ht="25.5" hidden="1" x14ac:dyDescent="0.2">
      <c r="B27" s="135"/>
      <c r="C27" s="119"/>
      <c r="D27" s="44">
        <v>20</v>
      </c>
      <c r="E27" s="72" t="s">
        <v>378</v>
      </c>
      <c r="F27" s="44" t="s">
        <v>16</v>
      </c>
      <c r="G27" s="44" t="s">
        <v>379</v>
      </c>
      <c r="H27" s="44" t="s">
        <v>1</v>
      </c>
      <c r="I27" s="44" t="s">
        <v>13</v>
      </c>
      <c r="J27" s="72" t="s">
        <v>1232</v>
      </c>
      <c r="K27" s="73">
        <v>39196</v>
      </c>
      <c r="L27" s="30">
        <v>2007</v>
      </c>
      <c r="M27" s="30">
        <f t="shared" si="0"/>
        <v>12</v>
      </c>
      <c r="N27" s="44" t="s">
        <v>3</v>
      </c>
      <c r="O27" s="44" t="s">
        <v>1229</v>
      </c>
      <c r="P27" s="72" t="s">
        <v>1258</v>
      </c>
      <c r="Q27" s="44"/>
      <c r="R27" s="72" t="s">
        <v>1819</v>
      </c>
    </row>
    <row r="28" spans="2:18" ht="25.5" hidden="1" x14ac:dyDescent="0.2">
      <c r="B28" s="135">
        <v>8</v>
      </c>
      <c r="C28" s="119" t="s">
        <v>2010</v>
      </c>
      <c r="D28" s="44">
        <v>21</v>
      </c>
      <c r="E28" s="72" t="s">
        <v>380</v>
      </c>
      <c r="F28" s="44" t="s">
        <v>6</v>
      </c>
      <c r="G28" s="44" t="s">
        <v>2011</v>
      </c>
      <c r="H28" s="44" t="s">
        <v>1</v>
      </c>
      <c r="I28" s="44" t="s">
        <v>2</v>
      </c>
      <c r="J28" s="72" t="s">
        <v>1232</v>
      </c>
      <c r="K28" s="73">
        <v>29220</v>
      </c>
      <c r="L28" s="30">
        <v>1979</v>
      </c>
      <c r="M28" s="30">
        <f t="shared" si="0"/>
        <v>40</v>
      </c>
      <c r="N28" s="44" t="s">
        <v>3</v>
      </c>
      <c r="O28" s="44" t="s">
        <v>1229</v>
      </c>
      <c r="P28" s="72" t="s">
        <v>1233</v>
      </c>
      <c r="Q28" s="44"/>
      <c r="R28" s="72" t="s">
        <v>381</v>
      </c>
    </row>
    <row r="29" spans="2:18" ht="25.5" hidden="1" x14ac:dyDescent="0.2">
      <c r="B29" s="135"/>
      <c r="C29" s="119"/>
      <c r="D29" s="44">
        <v>22</v>
      </c>
      <c r="E29" s="72" t="s">
        <v>2012</v>
      </c>
      <c r="F29" s="44" t="s">
        <v>11</v>
      </c>
      <c r="G29" s="44" t="s">
        <v>2013</v>
      </c>
      <c r="H29" s="44" t="s">
        <v>9</v>
      </c>
      <c r="I29" s="44" t="s">
        <v>2</v>
      </c>
      <c r="J29" s="72" t="s">
        <v>1232</v>
      </c>
      <c r="K29" s="73">
        <v>29220</v>
      </c>
      <c r="L29" s="30">
        <v>1979</v>
      </c>
      <c r="M29" s="30">
        <f t="shared" si="0"/>
        <v>40</v>
      </c>
      <c r="N29" s="44" t="s">
        <v>3</v>
      </c>
      <c r="O29" s="44" t="s">
        <v>1229</v>
      </c>
      <c r="P29" s="72" t="s">
        <v>1233</v>
      </c>
      <c r="Q29" s="44"/>
      <c r="R29" s="72" t="s">
        <v>5</v>
      </c>
    </row>
    <row r="30" spans="2:18" x14ac:dyDescent="0.2">
      <c r="B30" s="90">
        <v>9</v>
      </c>
      <c r="C30" s="44"/>
      <c r="D30" s="44">
        <v>23</v>
      </c>
      <c r="E30" s="72" t="s">
        <v>265</v>
      </c>
      <c r="F30" s="44" t="s">
        <v>6</v>
      </c>
      <c r="G30" s="44">
        <v>0</v>
      </c>
      <c r="H30" s="44" t="s">
        <v>9</v>
      </c>
      <c r="I30" s="44" t="s">
        <v>19</v>
      </c>
      <c r="J30" s="72"/>
      <c r="K30" s="73">
        <v>16802</v>
      </c>
      <c r="L30" s="30">
        <v>1945</v>
      </c>
      <c r="M30" s="30">
        <f t="shared" si="0"/>
        <v>74</v>
      </c>
      <c r="N30" s="44" t="s">
        <v>3</v>
      </c>
      <c r="O30" s="44"/>
      <c r="P30" s="72" t="s">
        <v>15</v>
      </c>
      <c r="Q30" s="44"/>
      <c r="R30" s="72" t="s">
        <v>15</v>
      </c>
    </row>
    <row r="31" spans="2:18" ht="25.5" hidden="1" x14ac:dyDescent="0.2">
      <c r="B31" s="135">
        <v>10</v>
      </c>
      <c r="C31" s="119" t="s">
        <v>2014</v>
      </c>
      <c r="D31" s="44">
        <v>24</v>
      </c>
      <c r="E31" s="72" t="s">
        <v>382</v>
      </c>
      <c r="F31" s="44" t="s">
        <v>6</v>
      </c>
      <c r="G31" s="44" t="s">
        <v>383</v>
      </c>
      <c r="H31" s="44" t="s">
        <v>1</v>
      </c>
      <c r="I31" s="44" t="s">
        <v>2</v>
      </c>
      <c r="J31" s="72" t="s">
        <v>1232</v>
      </c>
      <c r="K31" s="73">
        <v>26846</v>
      </c>
      <c r="L31" s="30">
        <v>1973</v>
      </c>
      <c r="M31" s="30">
        <f t="shared" si="0"/>
        <v>46</v>
      </c>
      <c r="N31" s="44" t="s">
        <v>3</v>
      </c>
      <c r="O31" s="44" t="s">
        <v>1229</v>
      </c>
      <c r="P31" s="72" t="s">
        <v>1258</v>
      </c>
      <c r="Q31" s="44"/>
      <c r="R31" s="72" t="s">
        <v>1330</v>
      </c>
    </row>
    <row r="32" spans="2:18" ht="25.5" hidden="1" x14ac:dyDescent="0.2">
      <c r="B32" s="135"/>
      <c r="C32" s="119"/>
      <c r="D32" s="44">
        <v>25</v>
      </c>
      <c r="E32" s="72" t="s">
        <v>384</v>
      </c>
      <c r="F32" s="44" t="s">
        <v>11</v>
      </c>
      <c r="G32" s="44" t="s">
        <v>385</v>
      </c>
      <c r="H32" s="44" t="s">
        <v>9</v>
      </c>
      <c r="I32" s="44" t="s">
        <v>2</v>
      </c>
      <c r="J32" s="72" t="s">
        <v>1232</v>
      </c>
      <c r="K32" s="73">
        <v>27576</v>
      </c>
      <c r="L32" s="30">
        <v>1975</v>
      </c>
      <c r="M32" s="30">
        <f t="shared" si="0"/>
        <v>44</v>
      </c>
      <c r="N32" s="44" t="s">
        <v>3</v>
      </c>
      <c r="O32" s="44" t="s">
        <v>1229</v>
      </c>
      <c r="P32" s="72" t="s">
        <v>1258</v>
      </c>
      <c r="Q32" s="44"/>
      <c r="R32" s="72" t="s">
        <v>1360</v>
      </c>
    </row>
    <row r="33" spans="2:18" ht="25.5" hidden="1" x14ac:dyDescent="0.2">
      <c r="B33" s="135"/>
      <c r="C33" s="119"/>
      <c r="D33" s="44">
        <v>26</v>
      </c>
      <c r="E33" s="72" t="s">
        <v>2015</v>
      </c>
      <c r="F33" s="44" t="s">
        <v>16</v>
      </c>
      <c r="G33" s="44" t="s">
        <v>2016</v>
      </c>
      <c r="H33" s="44" t="s">
        <v>1</v>
      </c>
      <c r="I33" s="44" t="s">
        <v>13</v>
      </c>
      <c r="J33" s="72" t="s">
        <v>1232</v>
      </c>
      <c r="K33" s="73">
        <v>34196</v>
      </c>
      <c r="L33" s="30">
        <v>1993</v>
      </c>
      <c r="M33" s="30">
        <f t="shared" si="0"/>
        <v>26</v>
      </c>
      <c r="N33" s="44" t="s">
        <v>3</v>
      </c>
      <c r="O33" s="44" t="s">
        <v>1229</v>
      </c>
      <c r="P33" s="72" t="s">
        <v>1246</v>
      </c>
      <c r="Q33" s="44"/>
      <c r="R33" s="72" t="s">
        <v>1330</v>
      </c>
    </row>
    <row r="34" spans="2:18" ht="25.5" hidden="1" x14ac:dyDescent="0.2">
      <c r="B34" s="135"/>
      <c r="C34" s="119"/>
      <c r="D34" s="44">
        <v>27</v>
      </c>
      <c r="E34" s="72" t="s">
        <v>386</v>
      </c>
      <c r="F34" s="44" t="s">
        <v>16</v>
      </c>
      <c r="G34" s="44" t="s">
        <v>2017</v>
      </c>
      <c r="H34" s="44" t="s">
        <v>9</v>
      </c>
      <c r="I34" s="44" t="s">
        <v>13</v>
      </c>
      <c r="J34" s="72" t="s">
        <v>1232</v>
      </c>
      <c r="K34" s="73">
        <v>36204</v>
      </c>
      <c r="L34" s="30">
        <v>1999</v>
      </c>
      <c r="M34" s="30">
        <f t="shared" si="0"/>
        <v>20</v>
      </c>
      <c r="N34" s="44" t="s">
        <v>3</v>
      </c>
      <c r="O34" s="44" t="s">
        <v>1229</v>
      </c>
      <c r="P34" s="72" t="s">
        <v>1246</v>
      </c>
      <c r="Q34" s="44"/>
      <c r="R34" s="72" t="s">
        <v>1330</v>
      </c>
    </row>
    <row r="35" spans="2:18" hidden="1" x14ac:dyDescent="0.2">
      <c r="B35" s="135">
        <v>11</v>
      </c>
      <c r="C35" s="135"/>
      <c r="D35" s="44">
        <v>28</v>
      </c>
      <c r="E35" s="72" t="s">
        <v>387</v>
      </c>
      <c r="F35" s="44" t="s">
        <v>6</v>
      </c>
      <c r="G35" s="44">
        <v>0</v>
      </c>
      <c r="H35" s="44" t="s">
        <v>1</v>
      </c>
      <c r="I35" s="44" t="s">
        <v>2</v>
      </c>
      <c r="J35" s="72"/>
      <c r="K35" s="73">
        <v>33238</v>
      </c>
      <c r="L35" s="30">
        <v>1990</v>
      </c>
      <c r="M35" s="30">
        <f t="shared" si="0"/>
        <v>29</v>
      </c>
      <c r="N35" s="44" t="s">
        <v>3</v>
      </c>
      <c r="O35" s="44"/>
      <c r="P35" s="72" t="s">
        <v>4</v>
      </c>
      <c r="Q35" s="44"/>
      <c r="R35" s="72" t="s">
        <v>34</v>
      </c>
    </row>
    <row r="36" spans="2:18" hidden="1" x14ac:dyDescent="0.2">
      <c r="B36" s="135"/>
      <c r="C36" s="135"/>
      <c r="D36" s="44">
        <v>29</v>
      </c>
      <c r="E36" s="72" t="s">
        <v>388</v>
      </c>
      <c r="F36" s="44" t="s">
        <v>11</v>
      </c>
      <c r="G36" s="44">
        <v>0</v>
      </c>
      <c r="H36" s="44" t="s">
        <v>9</v>
      </c>
      <c r="I36" s="44" t="s">
        <v>2</v>
      </c>
      <c r="J36" s="72"/>
      <c r="K36" s="73">
        <v>34334</v>
      </c>
      <c r="L36" s="30">
        <v>1993</v>
      </c>
      <c r="M36" s="30">
        <f t="shared" si="0"/>
        <v>26</v>
      </c>
      <c r="N36" s="44" t="s">
        <v>3</v>
      </c>
      <c r="O36" s="44"/>
      <c r="P36" s="72" t="s">
        <v>4</v>
      </c>
      <c r="Q36" s="44"/>
      <c r="R36" s="72" t="s">
        <v>34</v>
      </c>
    </row>
    <row r="37" spans="2:18" x14ac:dyDescent="0.2">
      <c r="B37" s="135">
        <v>12</v>
      </c>
      <c r="C37" s="135"/>
      <c r="D37" s="44">
        <v>30</v>
      </c>
      <c r="E37" s="72" t="s">
        <v>389</v>
      </c>
      <c r="F37" s="44" t="s">
        <v>6</v>
      </c>
      <c r="G37" s="44" t="s">
        <v>390</v>
      </c>
      <c r="H37" s="44" t="s">
        <v>1</v>
      </c>
      <c r="I37" s="44" t="s">
        <v>2</v>
      </c>
      <c r="J37" s="72"/>
      <c r="K37" s="73">
        <v>11322</v>
      </c>
      <c r="L37" s="30">
        <v>1930</v>
      </c>
      <c r="M37" s="30">
        <f t="shared" si="0"/>
        <v>89</v>
      </c>
      <c r="N37" s="44" t="s">
        <v>3</v>
      </c>
      <c r="O37" s="44"/>
      <c r="P37" s="72" t="s">
        <v>4</v>
      </c>
      <c r="Q37" s="44"/>
      <c r="R37" s="72" t="s">
        <v>10</v>
      </c>
    </row>
    <row r="38" spans="2:18" x14ac:dyDescent="0.2">
      <c r="B38" s="135"/>
      <c r="C38" s="135"/>
      <c r="D38" s="44">
        <v>31</v>
      </c>
      <c r="E38" s="72" t="s">
        <v>391</v>
      </c>
      <c r="F38" s="44" t="s">
        <v>11</v>
      </c>
      <c r="G38" s="44" t="s">
        <v>392</v>
      </c>
      <c r="H38" s="44" t="s">
        <v>9</v>
      </c>
      <c r="I38" s="44" t="s">
        <v>2</v>
      </c>
      <c r="J38" s="72"/>
      <c r="K38" s="73">
        <v>13148</v>
      </c>
      <c r="L38" s="30">
        <v>1935</v>
      </c>
      <c r="M38" s="30">
        <f t="shared" si="0"/>
        <v>84</v>
      </c>
      <c r="N38" s="44" t="s">
        <v>3</v>
      </c>
      <c r="O38" s="44"/>
      <c r="P38" s="72" t="s">
        <v>4</v>
      </c>
      <c r="Q38" s="44"/>
      <c r="R38" s="72" t="s">
        <v>5</v>
      </c>
    </row>
    <row r="39" spans="2:18" hidden="1" x14ac:dyDescent="0.2">
      <c r="B39" s="135"/>
      <c r="C39" s="135"/>
      <c r="D39" s="44">
        <v>32</v>
      </c>
      <c r="E39" s="72" t="s">
        <v>393</v>
      </c>
      <c r="F39" s="44" t="s">
        <v>16</v>
      </c>
      <c r="G39" s="44" t="s">
        <v>394</v>
      </c>
      <c r="H39" s="44" t="s">
        <v>1</v>
      </c>
      <c r="I39" s="44" t="s">
        <v>13</v>
      </c>
      <c r="J39" s="72"/>
      <c r="K39" s="73">
        <v>32306</v>
      </c>
      <c r="L39" s="30">
        <v>1988</v>
      </c>
      <c r="M39" s="30">
        <f t="shared" si="0"/>
        <v>31</v>
      </c>
      <c r="N39" s="44" t="s">
        <v>3</v>
      </c>
      <c r="O39" s="44"/>
      <c r="P39" s="72" t="s">
        <v>14</v>
      </c>
      <c r="Q39" s="44"/>
      <c r="R39" s="72" t="s">
        <v>34</v>
      </c>
    </row>
    <row r="40" spans="2:18" hidden="1" x14ac:dyDescent="0.2">
      <c r="B40" s="135"/>
      <c r="C40" s="135"/>
      <c r="D40" s="44">
        <v>33</v>
      </c>
      <c r="E40" s="72" t="s">
        <v>395</v>
      </c>
      <c r="F40" s="44" t="s">
        <v>16</v>
      </c>
      <c r="G40" s="44" t="s">
        <v>396</v>
      </c>
      <c r="H40" s="44" t="s">
        <v>1</v>
      </c>
      <c r="I40" s="44" t="s">
        <v>13</v>
      </c>
      <c r="J40" s="72"/>
      <c r="K40" s="73">
        <v>29587</v>
      </c>
      <c r="L40" s="30">
        <v>1981</v>
      </c>
      <c r="M40" s="30">
        <f t="shared" si="0"/>
        <v>38</v>
      </c>
      <c r="N40" s="44" t="s">
        <v>3</v>
      </c>
      <c r="O40" s="44"/>
      <c r="P40" s="72" t="s">
        <v>14</v>
      </c>
      <c r="Q40" s="44"/>
      <c r="R40" s="72" t="s">
        <v>34</v>
      </c>
    </row>
    <row r="41" spans="2:18" hidden="1" x14ac:dyDescent="0.2">
      <c r="B41" s="135">
        <v>13</v>
      </c>
      <c r="C41" s="119" t="s">
        <v>2018</v>
      </c>
      <c r="D41" s="44">
        <v>34</v>
      </c>
      <c r="E41" s="72" t="s">
        <v>397</v>
      </c>
      <c r="F41" s="44" t="s">
        <v>6</v>
      </c>
      <c r="G41" s="44" t="s">
        <v>2019</v>
      </c>
      <c r="H41" s="44" t="s">
        <v>1</v>
      </c>
      <c r="I41" s="44" t="s">
        <v>2</v>
      </c>
      <c r="J41" s="72" t="s">
        <v>1232</v>
      </c>
      <c r="K41" s="73">
        <v>33098</v>
      </c>
      <c r="L41" s="30">
        <v>1990</v>
      </c>
      <c r="M41" s="30">
        <f t="shared" si="0"/>
        <v>29</v>
      </c>
      <c r="N41" s="44" t="s">
        <v>3</v>
      </c>
      <c r="O41" s="44" t="s">
        <v>1229</v>
      </c>
      <c r="P41" s="72" t="s">
        <v>1270</v>
      </c>
      <c r="Q41" s="44"/>
      <c r="R41" s="72" t="s">
        <v>5</v>
      </c>
    </row>
    <row r="42" spans="2:18" ht="25.5" hidden="1" x14ac:dyDescent="0.2">
      <c r="B42" s="135"/>
      <c r="C42" s="119"/>
      <c r="D42" s="44">
        <v>35</v>
      </c>
      <c r="E42" s="72" t="s">
        <v>398</v>
      </c>
      <c r="F42" s="44" t="s">
        <v>11</v>
      </c>
      <c r="G42" s="44" t="s">
        <v>2020</v>
      </c>
      <c r="H42" s="44" t="s">
        <v>9</v>
      </c>
      <c r="I42" s="44" t="s">
        <v>2</v>
      </c>
      <c r="J42" s="72" t="s">
        <v>1937</v>
      </c>
      <c r="K42" s="73">
        <v>33623</v>
      </c>
      <c r="L42" s="30">
        <v>1992</v>
      </c>
      <c r="M42" s="30">
        <f t="shared" si="0"/>
        <v>27</v>
      </c>
      <c r="N42" s="44" t="s">
        <v>3</v>
      </c>
      <c r="O42" s="44" t="s">
        <v>1229</v>
      </c>
      <c r="P42" s="72" t="s">
        <v>1270</v>
      </c>
      <c r="Q42" s="44"/>
      <c r="R42" s="72" t="s">
        <v>1360</v>
      </c>
    </row>
    <row r="43" spans="2:18" ht="25.5" hidden="1" x14ac:dyDescent="0.2">
      <c r="B43" s="135"/>
      <c r="C43" s="119"/>
      <c r="D43" s="44">
        <v>36</v>
      </c>
      <c r="E43" s="72" t="s">
        <v>399</v>
      </c>
      <c r="F43" s="44" t="s">
        <v>16</v>
      </c>
      <c r="G43" s="44" t="s">
        <v>2021</v>
      </c>
      <c r="H43" s="44" t="s">
        <v>1</v>
      </c>
      <c r="I43" s="44" t="s">
        <v>13</v>
      </c>
      <c r="J43" s="72" t="s">
        <v>1232</v>
      </c>
      <c r="K43" s="73">
        <v>42073</v>
      </c>
      <c r="L43" s="30">
        <v>2015</v>
      </c>
      <c r="M43" s="30">
        <f t="shared" si="0"/>
        <v>4</v>
      </c>
      <c r="N43" s="44" t="s">
        <v>3</v>
      </c>
      <c r="O43" s="44" t="s">
        <v>1229</v>
      </c>
      <c r="P43" s="72" t="s">
        <v>1258</v>
      </c>
      <c r="Q43" s="44"/>
      <c r="R43" s="72" t="s">
        <v>1819</v>
      </c>
    </row>
    <row r="44" spans="2:18" hidden="1" x14ac:dyDescent="0.2">
      <c r="B44" s="135">
        <v>14</v>
      </c>
      <c r="C44" s="119" t="s">
        <v>2022</v>
      </c>
      <c r="D44" s="44">
        <v>37</v>
      </c>
      <c r="E44" s="72" t="s">
        <v>400</v>
      </c>
      <c r="F44" s="44" t="s">
        <v>6</v>
      </c>
      <c r="G44" s="44" t="s">
        <v>401</v>
      </c>
      <c r="H44" s="44" t="s">
        <v>1</v>
      </c>
      <c r="I44" s="44" t="s">
        <v>2</v>
      </c>
      <c r="J44" s="72" t="s">
        <v>1232</v>
      </c>
      <c r="K44" s="73">
        <v>25892</v>
      </c>
      <c r="L44" s="30">
        <v>1970</v>
      </c>
      <c r="M44" s="30">
        <f t="shared" si="0"/>
        <v>49</v>
      </c>
      <c r="N44" s="44" t="s">
        <v>3</v>
      </c>
      <c r="O44" s="44" t="s">
        <v>1229</v>
      </c>
      <c r="P44" s="72" t="s">
        <v>15</v>
      </c>
      <c r="Q44" s="44"/>
      <c r="R44" s="72" t="s">
        <v>34</v>
      </c>
    </row>
    <row r="45" spans="2:18" hidden="1" x14ac:dyDescent="0.2">
      <c r="B45" s="135"/>
      <c r="C45" s="119"/>
      <c r="D45" s="44">
        <v>38</v>
      </c>
      <c r="E45" s="72" t="s">
        <v>175</v>
      </c>
      <c r="F45" s="44" t="s">
        <v>11</v>
      </c>
      <c r="G45" s="44" t="s">
        <v>402</v>
      </c>
      <c r="H45" s="44" t="s">
        <v>9</v>
      </c>
      <c r="I45" s="44" t="s">
        <v>2</v>
      </c>
      <c r="J45" s="72" t="s">
        <v>1232</v>
      </c>
      <c r="K45" s="73">
        <v>28863</v>
      </c>
      <c r="L45" s="30">
        <v>1979</v>
      </c>
      <c r="M45" s="30">
        <f t="shared" si="0"/>
        <v>40</v>
      </c>
      <c r="N45" s="44" t="s">
        <v>3</v>
      </c>
      <c r="O45" s="44" t="s">
        <v>1229</v>
      </c>
      <c r="P45" s="72" t="s">
        <v>15</v>
      </c>
      <c r="Q45" s="44"/>
      <c r="R45" s="72" t="s">
        <v>34</v>
      </c>
    </row>
    <row r="46" spans="2:18" hidden="1" x14ac:dyDescent="0.2">
      <c r="B46" s="135"/>
      <c r="C46" s="119"/>
      <c r="D46" s="44">
        <v>39</v>
      </c>
      <c r="E46" s="72" t="s">
        <v>403</v>
      </c>
      <c r="F46" s="44" t="s">
        <v>16</v>
      </c>
      <c r="G46" s="44" t="s">
        <v>404</v>
      </c>
      <c r="H46" s="44" t="s">
        <v>9</v>
      </c>
      <c r="I46" s="44" t="s">
        <v>13</v>
      </c>
      <c r="J46" s="72" t="s">
        <v>1232</v>
      </c>
      <c r="K46" s="73">
        <v>37156</v>
      </c>
      <c r="L46" s="30">
        <v>2001</v>
      </c>
      <c r="M46" s="30">
        <f t="shared" si="0"/>
        <v>18</v>
      </c>
      <c r="N46" s="44" t="s">
        <v>3</v>
      </c>
      <c r="O46" s="44" t="s">
        <v>1229</v>
      </c>
      <c r="P46" s="72" t="s">
        <v>4</v>
      </c>
      <c r="Q46" s="44"/>
      <c r="R46" s="72" t="s">
        <v>15</v>
      </c>
    </row>
    <row r="47" spans="2:18" hidden="1" x14ac:dyDescent="0.2">
      <c r="B47" s="135"/>
      <c r="C47" s="119"/>
      <c r="D47" s="44">
        <v>40</v>
      </c>
      <c r="E47" s="72" t="s">
        <v>405</v>
      </c>
      <c r="F47" s="44" t="s">
        <v>16</v>
      </c>
      <c r="G47" s="44" t="s">
        <v>406</v>
      </c>
      <c r="H47" s="44" t="s">
        <v>1</v>
      </c>
      <c r="I47" s="44" t="s">
        <v>13</v>
      </c>
      <c r="J47" s="72" t="s">
        <v>1232</v>
      </c>
      <c r="K47" s="73">
        <v>39778</v>
      </c>
      <c r="L47" s="30">
        <v>2008</v>
      </c>
      <c r="M47" s="30">
        <f t="shared" si="0"/>
        <v>11</v>
      </c>
      <c r="N47" s="44" t="s">
        <v>3</v>
      </c>
      <c r="O47" s="44" t="s">
        <v>1229</v>
      </c>
      <c r="P47" s="72" t="s">
        <v>4</v>
      </c>
      <c r="Q47" s="44"/>
      <c r="R47" s="72" t="s">
        <v>15</v>
      </c>
    </row>
    <row r="48" spans="2:18" ht="25.5" hidden="1" x14ac:dyDescent="0.2">
      <c r="B48" s="135">
        <v>15</v>
      </c>
      <c r="C48" s="119" t="s">
        <v>2023</v>
      </c>
      <c r="D48" s="44">
        <v>41</v>
      </c>
      <c r="E48" s="72" t="s">
        <v>2201</v>
      </c>
      <c r="F48" s="44" t="s">
        <v>6</v>
      </c>
      <c r="G48" s="44" t="s">
        <v>2024</v>
      </c>
      <c r="H48" s="44" t="s">
        <v>1</v>
      </c>
      <c r="I48" s="44" t="s">
        <v>2</v>
      </c>
      <c r="J48" s="72" t="s">
        <v>1232</v>
      </c>
      <c r="K48" s="73">
        <v>25903</v>
      </c>
      <c r="L48" s="30">
        <v>1970</v>
      </c>
      <c r="M48" s="30">
        <f t="shared" si="0"/>
        <v>49</v>
      </c>
      <c r="N48" s="44" t="s">
        <v>3</v>
      </c>
      <c r="O48" s="44" t="s">
        <v>1229</v>
      </c>
      <c r="P48" s="72" t="s">
        <v>1233</v>
      </c>
      <c r="Q48" s="44"/>
      <c r="R48" s="72" t="s">
        <v>1330</v>
      </c>
    </row>
    <row r="49" spans="2:18" ht="25.5" hidden="1" x14ac:dyDescent="0.2">
      <c r="B49" s="135"/>
      <c r="C49" s="119"/>
      <c r="D49" s="44">
        <v>42</v>
      </c>
      <c r="E49" s="72" t="s">
        <v>2025</v>
      </c>
      <c r="F49" s="44" t="s">
        <v>11</v>
      </c>
      <c r="G49" s="44" t="s">
        <v>2026</v>
      </c>
      <c r="H49" s="44" t="s">
        <v>9</v>
      </c>
      <c r="I49" s="44" t="s">
        <v>2</v>
      </c>
      <c r="J49" s="72" t="s">
        <v>1232</v>
      </c>
      <c r="K49" s="73">
        <v>28855</v>
      </c>
      <c r="L49" s="30">
        <v>1978</v>
      </c>
      <c r="M49" s="30">
        <f t="shared" si="0"/>
        <v>41</v>
      </c>
      <c r="N49" s="44" t="s">
        <v>3</v>
      </c>
      <c r="O49" s="44" t="s">
        <v>1229</v>
      </c>
      <c r="P49" s="72" t="s">
        <v>1233</v>
      </c>
      <c r="Q49" s="44"/>
      <c r="R49" s="72" t="s">
        <v>1330</v>
      </c>
    </row>
    <row r="50" spans="2:18" ht="25.5" hidden="1" x14ac:dyDescent="0.2">
      <c r="B50" s="135"/>
      <c r="C50" s="119"/>
      <c r="D50" s="44">
        <v>43</v>
      </c>
      <c r="E50" s="72" t="s">
        <v>410</v>
      </c>
      <c r="F50" s="44" t="s">
        <v>16</v>
      </c>
      <c r="G50" s="44" t="s">
        <v>2027</v>
      </c>
      <c r="H50" s="44" t="s">
        <v>1</v>
      </c>
      <c r="I50" s="44" t="s">
        <v>13</v>
      </c>
      <c r="J50" s="72" t="s">
        <v>1232</v>
      </c>
      <c r="K50" s="73">
        <v>32873</v>
      </c>
      <c r="L50" s="30">
        <v>1989</v>
      </c>
      <c r="M50" s="30">
        <f t="shared" si="0"/>
        <v>30</v>
      </c>
      <c r="N50" s="44" t="s">
        <v>3</v>
      </c>
      <c r="O50" s="44" t="s">
        <v>1229</v>
      </c>
      <c r="P50" s="72" t="s">
        <v>1233</v>
      </c>
      <c r="Q50" s="44"/>
      <c r="R50" s="72" t="s">
        <v>1330</v>
      </c>
    </row>
    <row r="51" spans="2:18" hidden="1" x14ac:dyDescent="0.2">
      <c r="B51" s="135"/>
      <c r="C51" s="119"/>
      <c r="D51" s="44">
        <v>44</v>
      </c>
      <c r="E51" s="72" t="s">
        <v>411</v>
      </c>
      <c r="F51" s="44" t="s">
        <v>16</v>
      </c>
      <c r="G51" s="44" t="s">
        <v>2028</v>
      </c>
      <c r="H51" s="44" t="s">
        <v>1</v>
      </c>
      <c r="I51" s="44" t="s">
        <v>13</v>
      </c>
      <c r="J51" s="72" t="s">
        <v>1232</v>
      </c>
      <c r="K51" s="73">
        <v>36356</v>
      </c>
      <c r="L51" s="30">
        <v>1999</v>
      </c>
      <c r="M51" s="30">
        <f t="shared" si="0"/>
        <v>20</v>
      </c>
      <c r="N51" s="44" t="s">
        <v>3</v>
      </c>
      <c r="O51" s="44" t="s">
        <v>1229</v>
      </c>
      <c r="P51" s="72" t="s">
        <v>1246</v>
      </c>
      <c r="Q51" s="44"/>
      <c r="R51" s="72" t="s">
        <v>1822</v>
      </c>
    </row>
    <row r="52" spans="2:18" ht="25.5" hidden="1" x14ac:dyDescent="0.2">
      <c r="B52" s="135"/>
      <c r="C52" s="119"/>
      <c r="D52" s="44">
        <v>45</v>
      </c>
      <c r="E52" s="72" t="s">
        <v>408</v>
      </c>
      <c r="F52" s="44" t="s">
        <v>16</v>
      </c>
      <c r="G52" s="44" t="s">
        <v>409</v>
      </c>
      <c r="H52" s="44" t="s">
        <v>9</v>
      </c>
      <c r="I52" s="44" t="s">
        <v>13</v>
      </c>
      <c r="J52" s="72" t="s">
        <v>1232</v>
      </c>
      <c r="K52" s="73">
        <v>36605</v>
      </c>
      <c r="L52" s="30">
        <v>2000</v>
      </c>
      <c r="M52" s="30">
        <f t="shared" si="0"/>
        <v>19</v>
      </c>
      <c r="N52" s="44" t="s">
        <v>3</v>
      </c>
      <c r="O52" s="44" t="s">
        <v>1229</v>
      </c>
      <c r="P52" s="72" t="s">
        <v>1233</v>
      </c>
      <c r="Q52" s="44"/>
      <c r="R52" s="72" t="s">
        <v>1822</v>
      </c>
    </row>
    <row r="53" spans="2:18" ht="25.5" hidden="1" x14ac:dyDescent="0.2">
      <c r="B53" s="135"/>
      <c r="C53" s="119"/>
      <c r="D53" s="44">
        <v>46</v>
      </c>
      <c r="E53" s="72" t="s">
        <v>412</v>
      </c>
      <c r="F53" s="44" t="s">
        <v>16</v>
      </c>
      <c r="G53" s="44" t="s">
        <v>413</v>
      </c>
      <c r="H53" s="44" t="s">
        <v>1</v>
      </c>
      <c r="I53" s="44" t="s">
        <v>13</v>
      </c>
      <c r="J53" s="72" t="s">
        <v>1232</v>
      </c>
      <c r="K53" s="73">
        <v>39320</v>
      </c>
      <c r="L53" s="30">
        <v>2007</v>
      </c>
      <c r="M53" s="30">
        <f t="shared" si="0"/>
        <v>12</v>
      </c>
      <c r="N53" s="44" t="s">
        <v>3</v>
      </c>
      <c r="O53" s="44" t="s">
        <v>1229</v>
      </c>
      <c r="P53" s="72" t="s">
        <v>1258</v>
      </c>
      <c r="Q53" s="44"/>
      <c r="R53" s="72" t="s">
        <v>1819</v>
      </c>
    </row>
    <row r="54" spans="2:18" ht="25.5" hidden="1" x14ac:dyDescent="0.2">
      <c r="B54" s="135"/>
      <c r="C54" s="119"/>
      <c r="D54" s="44">
        <v>47</v>
      </c>
      <c r="E54" s="72" t="s">
        <v>2029</v>
      </c>
      <c r="F54" s="44" t="s">
        <v>1301</v>
      </c>
      <c r="G54" s="44" t="s">
        <v>2030</v>
      </c>
      <c r="H54" s="44" t="s">
        <v>1</v>
      </c>
      <c r="I54" s="44" t="s">
        <v>13</v>
      </c>
      <c r="J54" s="72" t="s">
        <v>1245</v>
      </c>
      <c r="K54" s="73">
        <v>39636</v>
      </c>
      <c r="L54" s="30">
        <v>2008</v>
      </c>
      <c r="M54" s="30">
        <f t="shared" si="0"/>
        <v>11</v>
      </c>
      <c r="N54" s="44" t="s">
        <v>3</v>
      </c>
      <c r="O54" s="44" t="s">
        <v>1229</v>
      </c>
      <c r="P54" s="72" t="s">
        <v>1258</v>
      </c>
      <c r="Q54" s="44"/>
      <c r="R54" s="72" t="s">
        <v>1819</v>
      </c>
    </row>
    <row r="55" spans="2:18" ht="25.5" hidden="1" x14ac:dyDescent="0.2">
      <c r="B55" s="135">
        <v>16</v>
      </c>
      <c r="C55" s="135"/>
      <c r="D55" s="44">
        <v>48</v>
      </c>
      <c r="E55" s="72" t="s">
        <v>414</v>
      </c>
      <c r="F55" s="44" t="s">
        <v>6</v>
      </c>
      <c r="G55" s="44" t="s">
        <v>2245</v>
      </c>
      <c r="H55" s="44" t="s">
        <v>9</v>
      </c>
      <c r="I55" s="44" t="s">
        <v>1296</v>
      </c>
      <c r="J55" s="72" t="s">
        <v>2246</v>
      </c>
      <c r="K55" s="73">
        <v>27576</v>
      </c>
      <c r="L55" s="30">
        <v>1975</v>
      </c>
      <c r="M55" s="30">
        <f t="shared" si="0"/>
        <v>44</v>
      </c>
      <c r="N55" s="44" t="s">
        <v>3</v>
      </c>
      <c r="O55" s="44" t="s">
        <v>1229</v>
      </c>
      <c r="P55" s="72" t="s">
        <v>1233</v>
      </c>
      <c r="Q55" s="44"/>
      <c r="R55" s="72" t="s">
        <v>1330</v>
      </c>
    </row>
    <row r="56" spans="2:18" ht="25.5" hidden="1" x14ac:dyDescent="0.2">
      <c r="B56" s="135"/>
      <c r="C56" s="135"/>
      <c r="D56" s="44">
        <v>49</v>
      </c>
      <c r="E56" s="72" t="s">
        <v>2243</v>
      </c>
      <c r="F56" s="44" t="s">
        <v>16</v>
      </c>
      <c r="G56" s="44" t="s">
        <v>2244</v>
      </c>
      <c r="H56" s="44" t="s">
        <v>1</v>
      </c>
      <c r="I56" s="44" t="s">
        <v>13</v>
      </c>
      <c r="J56" s="72" t="s">
        <v>1232</v>
      </c>
      <c r="K56" s="73">
        <v>34449</v>
      </c>
      <c r="L56" s="30">
        <v>1994</v>
      </c>
      <c r="M56" s="30">
        <f t="shared" si="0"/>
        <v>25</v>
      </c>
      <c r="N56" s="44" t="s">
        <v>3</v>
      </c>
      <c r="O56" s="44" t="s">
        <v>1229</v>
      </c>
      <c r="P56" s="72" t="s">
        <v>1270</v>
      </c>
      <c r="Q56" s="44"/>
      <c r="R56" s="72" t="s">
        <v>5</v>
      </c>
    </row>
    <row r="57" spans="2:18" hidden="1" x14ac:dyDescent="0.2">
      <c r="B57" s="135">
        <v>17</v>
      </c>
      <c r="C57" s="135"/>
      <c r="D57" s="44">
        <v>50</v>
      </c>
      <c r="E57" s="72" t="s">
        <v>415</v>
      </c>
      <c r="F57" s="44" t="s">
        <v>6</v>
      </c>
      <c r="G57" s="44" t="s">
        <v>417</v>
      </c>
      <c r="H57" s="44" t="s">
        <v>1</v>
      </c>
      <c r="I57" s="44" t="s">
        <v>2</v>
      </c>
      <c r="J57" s="72"/>
      <c r="K57" s="73">
        <v>28124</v>
      </c>
      <c r="L57" s="30">
        <v>1976</v>
      </c>
      <c r="M57" s="30">
        <f t="shared" si="0"/>
        <v>43</v>
      </c>
      <c r="N57" s="44" t="s">
        <v>3</v>
      </c>
      <c r="O57" s="44"/>
      <c r="P57" s="72" t="s">
        <v>15</v>
      </c>
      <c r="Q57" s="44"/>
      <c r="R57" s="72" t="s">
        <v>416</v>
      </c>
    </row>
    <row r="58" spans="2:18" hidden="1" x14ac:dyDescent="0.2">
      <c r="B58" s="135"/>
      <c r="C58" s="135"/>
      <c r="D58" s="44">
        <v>51</v>
      </c>
      <c r="E58" s="72" t="s">
        <v>418</v>
      </c>
      <c r="F58" s="44" t="s">
        <v>11</v>
      </c>
      <c r="G58" s="44" t="s">
        <v>419</v>
      </c>
      <c r="H58" s="44" t="s">
        <v>9</v>
      </c>
      <c r="I58" s="44" t="s">
        <v>2</v>
      </c>
      <c r="J58" s="72"/>
      <c r="K58" s="73">
        <v>29881</v>
      </c>
      <c r="L58" s="30">
        <v>1981</v>
      </c>
      <c r="M58" s="30">
        <f t="shared" si="0"/>
        <v>38</v>
      </c>
      <c r="N58" s="44" t="s">
        <v>3</v>
      </c>
      <c r="O58" s="44"/>
      <c r="P58" s="72" t="s">
        <v>15</v>
      </c>
      <c r="Q58" s="44"/>
      <c r="R58" s="72" t="s">
        <v>45</v>
      </c>
    </row>
    <row r="59" spans="2:18" hidden="1" x14ac:dyDescent="0.2">
      <c r="B59" s="135"/>
      <c r="C59" s="135"/>
      <c r="D59" s="44">
        <v>52</v>
      </c>
      <c r="E59" s="72" t="s">
        <v>420</v>
      </c>
      <c r="F59" s="44" t="s">
        <v>16</v>
      </c>
      <c r="G59" s="44" t="s">
        <v>421</v>
      </c>
      <c r="H59" s="44" t="s">
        <v>9</v>
      </c>
      <c r="I59" s="44" t="s">
        <v>13</v>
      </c>
      <c r="J59" s="72"/>
      <c r="K59" s="73">
        <v>35544</v>
      </c>
      <c r="L59" s="30">
        <v>1997</v>
      </c>
      <c r="M59" s="30">
        <f t="shared" si="0"/>
        <v>22</v>
      </c>
      <c r="N59" s="44" t="s">
        <v>3</v>
      </c>
      <c r="O59" s="44"/>
      <c r="P59" s="72" t="s">
        <v>28</v>
      </c>
      <c r="Q59" s="44"/>
      <c r="R59" s="72" t="s">
        <v>15</v>
      </c>
    </row>
    <row r="60" spans="2:18" hidden="1" x14ac:dyDescent="0.2">
      <c r="B60" s="135"/>
      <c r="C60" s="135"/>
      <c r="D60" s="44">
        <v>53</v>
      </c>
      <c r="E60" s="72" t="s">
        <v>422</v>
      </c>
      <c r="F60" s="44" t="s">
        <v>16</v>
      </c>
      <c r="G60" s="44" t="s">
        <v>423</v>
      </c>
      <c r="H60" s="44" t="s">
        <v>9</v>
      </c>
      <c r="I60" s="44" t="s">
        <v>13</v>
      </c>
      <c r="J60" s="72"/>
      <c r="K60" s="73">
        <v>36755</v>
      </c>
      <c r="L60" s="30">
        <v>2000</v>
      </c>
      <c r="M60" s="30">
        <f t="shared" si="0"/>
        <v>19</v>
      </c>
      <c r="N60" s="44" t="s">
        <v>3</v>
      </c>
      <c r="O60" s="44"/>
      <c r="P60" s="72" t="s">
        <v>4</v>
      </c>
      <c r="Q60" s="44"/>
      <c r="R60" s="72" t="s">
        <v>15</v>
      </c>
    </row>
    <row r="61" spans="2:18" hidden="1" x14ac:dyDescent="0.2">
      <c r="B61" s="135"/>
      <c r="C61" s="135"/>
      <c r="D61" s="44">
        <v>54</v>
      </c>
      <c r="E61" s="72" t="s">
        <v>424</v>
      </c>
      <c r="F61" s="44" t="s">
        <v>16</v>
      </c>
      <c r="G61" s="44" t="s">
        <v>425</v>
      </c>
      <c r="H61" s="44" t="s">
        <v>9</v>
      </c>
      <c r="I61" s="44" t="s">
        <v>13</v>
      </c>
      <c r="J61" s="72"/>
      <c r="K61" s="73">
        <v>40687</v>
      </c>
      <c r="L61" s="30">
        <v>2011</v>
      </c>
      <c r="M61" s="30">
        <f t="shared" si="0"/>
        <v>8</v>
      </c>
      <c r="N61" s="44" t="s">
        <v>3</v>
      </c>
      <c r="O61" s="44"/>
      <c r="P61" s="72" t="s">
        <v>15</v>
      </c>
      <c r="Q61" s="44"/>
      <c r="R61" s="72" t="s">
        <v>15</v>
      </c>
    </row>
    <row r="62" spans="2:18" ht="25.5" hidden="1" x14ac:dyDescent="0.2">
      <c r="B62" s="135">
        <v>18</v>
      </c>
      <c r="C62" s="119" t="s">
        <v>2031</v>
      </c>
      <c r="D62" s="44">
        <v>55</v>
      </c>
      <c r="E62" s="72" t="s">
        <v>426</v>
      </c>
      <c r="F62" s="44" t="s">
        <v>6</v>
      </c>
      <c r="G62" s="44" t="s">
        <v>427</v>
      </c>
      <c r="H62" s="44" t="s">
        <v>1</v>
      </c>
      <c r="I62" s="44" t="s">
        <v>2</v>
      </c>
      <c r="J62" s="72" t="s">
        <v>1232</v>
      </c>
      <c r="K62" s="73">
        <v>27916</v>
      </c>
      <c r="L62" s="30">
        <v>1976</v>
      </c>
      <c r="M62" s="30">
        <f t="shared" si="0"/>
        <v>43</v>
      </c>
      <c r="N62" s="44" t="s">
        <v>3</v>
      </c>
      <c r="O62" s="44" t="s">
        <v>1229</v>
      </c>
      <c r="P62" s="72" t="s">
        <v>1233</v>
      </c>
      <c r="Q62" s="44"/>
      <c r="R62" s="72" t="s">
        <v>5</v>
      </c>
    </row>
    <row r="63" spans="2:18" ht="25.5" hidden="1" x14ac:dyDescent="0.2">
      <c r="B63" s="135"/>
      <c r="C63" s="119"/>
      <c r="D63" s="44">
        <v>56</v>
      </c>
      <c r="E63" s="72" t="s">
        <v>428</v>
      </c>
      <c r="F63" s="44" t="s">
        <v>11</v>
      </c>
      <c r="G63" s="44" t="s">
        <v>429</v>
      </c>
      <c r="H63" s="44" t="s">
        <v>9</v>
      </c>
      <c r="I63" s="44" t="s">
        <v>2</v>
      </c>
      <c r="J63" s="72" t="s">
        <v>1232</v>
      </c>
      <c r="K63" s="73">
        <v>31229</v>
      </c>
      <c r="L63" s="30">
        <v>1985</v>
      </c>
      <c r="M63" s="30">
        <f t="shared" si="0"/>
        <v>34</v>
      </c>
      <c r="N63" s="44" t="s">
        <v>3</v>
      </c>
      <c r="O63" s="44" t="s">
        <v>1229</v>
      </c>
      <c r="P63" s="72" t="s">
        <v>1233</v>
      </c>
      <c r="Q63" s="44"/>
      <c r="R63" s="72" t="s">
        <v>1330</v>
      </c>
    </row>
    <row r="64" spans="2:18" ht="25.5" hidden="1" x14ac:dyDescent="0.2">
      <c r="B64" s="135"/>
      <c r="C64" s="119"/>
      <c r="D64" s="44">
        <v>57</v>
      </c>
      <c r="E64" s="72" t="s">
        <v>430</v>
      </c>
      <c r="F64" s="44" t="s">
        <v>16</v>
      </c>
      <c r="G64" s="44" t="s">
        <v>431</v>
      </c>
      <c r="H64" s="44" t="s">
        <v>9</v>
      </c>
      <c r="I64" s="44" t="s">
        <v>13</v>
      </c>
      <c r="J64" s="72" t="s">
        <v>1232</v>
      </c>
      <c r="K64" s="73">
        <v>41563</v>
      </c>
      <c r="L64" s="30">
        <v>2013</v>
      </c>
      <c r="M64" s="30">
        <f t="shared" ref="M64" si="1">2019-L64</f>
        <v>6</v>
      </c>
      <c r="N64" s="44" t="s">
        <v>3</v>
      </c>
      <c r="O64" s="44" t="s">
        <v>1229</v>
      </c>
      <c r="P64" s="72" t="s">
        <v>1258</v>
      </c>
      <c r="Q64" s="44"/>
      <c r="R64" s="72" t="s">
        <v>1819</v>
      </c>
    </row>
    <row r="65" spans="2:18" ht="25.5" hidden="1" x14ac:dyDescent="0.2">
      <c r="B65" s="135"/>
      <c r="C65" s="119"/>
      <c r="D65" s="44">
        <v>58</v>
      </c>
      <c r="E65" s="72" t="s">
        <v>2247</v>
      </c>
      <c r="F65" s="44" t="s">
        <v>16</v>
      </c>
      <c r="G65" s="44" t="s">
        <v>15</v>
      </c>
      <c r="H65" s="44" t="s">
        <v>9</v>
      </c>
      <c r="I65" s="44" t="s">
        <v>13</v>
      </c>
      <c r="J65" s="72" t="s">
        <v>1232</v>
      </c>
      <c r="K65" s="73">
        <v>43641</v>
      </c>
      <c r="L65" s="30">
        <v>2019</v>
      </c>
      <c r="M65" s="30">
        <f t="shared" si="0"/>
        <v>0</v>
      </c>
      <c r="N65" s="44" t="s">
        <v>3</v>
      </c>
      <c r="O65" s="44" t="s">
        <v>1229</v>
      </c>
      <c r="P65" s="72" t="s">
        <v>1258</v>
      </c>
      <c r="Q65" s="44"/>
      <c r="R65" s="72" t="s">
        <v>1819</v>
      </c>
    </row>
    <row r="66" spans="2:18" ht="25.5" hidden="1" x14ac:dyDescent="0.2">
      <c r="B66" s="135">
        <v>19</v>
      </c>
      <c r="C66" s="119" t="s">
        <v>2032</v>
      </c>
      <c r="D66" s="44">
        <v>59</v>
      </c>
      <c r="E66" s="72" t="s">
        <v>432</v>
      </c>
      <c r="F66" s="44" t="s">
        <v>6</v>
      </c>
      <c r="G66" s="44" t="s">
        <v>433</v>
      </c>
      <c r="H66" s="44" t="s">
        <v>1</v>
      </c>
      <c r="I66" s="44" t="s">
        <v>2</v>
      </c>
      <c r="J66" s="72" t="s">
        <v>1245</v>
      </c>
      <c r="K66" s="73">
        <v>25914</v>
      </c>
      <c r="L66" s="30">
        <v>1970</v>
      </c>
      <c r="M66" s="30">
        <f t="shared" si="0"/>
        <v>49</v>
      </c>
      <c r="N66" s="44" t="s">
        <v>3</v>
      </c>
      <c r="O66" s="44" t="s">
        <v>1229</v>
      </c>
      <c r="P66" s="72" t="s">
        <v>1233</v>
      </c>
      <c r="Q66" s="44"/>
      <c r="R66" s="72" t="s">
        <v>5</v>
      </c>
    </row>
    <row r="67" spans="2:18" ht="25.5" hidden="1" x14ac:dyDescent="0.2">
      <c r="B67" s="135"/>
      <c r="C67" s="119"/>
      <c r="D67" s="44">
        <v>60</v>
      </c>
      <c r="E67" s="72" t="s">
        <v>434</v>
      </c>
      <c r="F67" s="44" t="s">
        <v>11</v>
      </c>
      <c r="G67" s="44" t="s">
        <v>2033</v>
      </c>
      <c r="H67" s="44" t="s">
        <v>9</v>
      </c>
      <c r="I67" s="44" t="s">
        <v>2</v>
      </c>
      <c r="J67" s="72" t="s">
        <v>1245</v>
      </c>
      <c r="K67" s="73">
        <v>27759</v>
      </c>
      <c r="L67" s="30">
        <v>1975</v>
      </c>
      <c r="M67" s="30">
        <f t="shared" si="0"/>
        <v>44</v>
      </c>
      <c r="N67" s="44" t="s">
        <v>3</v>
      </c>
      <c r="O67" s="44" t="s">
        <v>1229</v>
      </c>
      <c r="P67" s="72" t="s">
        <v>1233</v>
      </c>
      <c r="Q67" s="44"/>
      <c r="R67" s="72" t="s">
        <v>5</v>
      </c>
    </row>
    <row r="68" spans="2:18" ht="25.5" hidden="1" x14ac:dyDescent="0.2">
      <c r="B68" s="135"/>
      <c r="C68" s="119"/>
      <c r="D68" s="44">
        <v>61</v>
      </c>
      <c r="E68" s="72" t="s">
        <v>435</v>
      </c>
      <c r="F68" s="44" t="s">
        <v>16</v>
      </c>
      <c r="G68" s="44" t="s">
        <v>436</v>
      </c>
      <c r="H68" s="44" t="s">
        <v>9</v>
      </c>
      <c r="I68" s="44" t="s">
        <v>13</v>
      </c>
      <c r="J68" s="72" t="s">
        <v>1232</v>
      </c>
      <c r="K68" s="73">
        <v>36525</v>
      </c>
      <c r="L68" s="30">
        <v>1999</v>
      </c>
      <c r="M68" s="30">
        <f t="shared" si="0"/>
        <v>20</v>
      </c>
      <c r="N68" s="44" t="s">
        <v>3</v>
      </c>
      <c r="O68" s="44" t="s">
        <v>1229</v>
      </c>
      <c r="P68" s="72" t="s">
        <v>1233</v>
      </c>
      <c r="Q68" s="44"/>
      <c r="R68" s="72" t="s">
        <v>1822</v>
      </c>
    </row>
    <row r="69" spans="2:18" ht="25.5" hidden="1" x14ac:dyDescent="0.2">
      <c r="B69" s="135"/>
      <c r="C69" s="119"/>
      <c r="D69" s="44">
        <v>62</v>
      </c>
      <c r="E69" s="72" t="s">
        <v>363</v>
      </c>
      <c r="F69" s="44" t="s">
        <v>16</v>
      </c>
      <c r="G69" s="44" t="s">
        <v>437</v>
      </c>
      <c r="H69" s="44" t="s">
        <v>1</v>
      </c>
      <c r="I69" s="44" t="s">
        <v>13</v>
      </c>
      <c r="J69" s="72" t="s">
        <v>1232</v>
      </c>
      <c r="K69" s="73">
        <v>38717</v>
      </c>
      <c r="L69" s="30">
        <v>2005</v>
      </c>
      <c r="M69" s="30">
        <f t="shared" si="0"/>
        <v>14</v>
      </c>
      <c r="N69" s="44" t="s">
        <v>3</v>
      </c>
      <c r="O69" s="44" t="s">
        <v>1229</v>
      </c>
      <c r="P69" s="72" t="s">
        <v>1233</v>
      </c>
      <c r="Q69" s="44"/>
      <c r="R69" s="72" t="s">
        <v>1822</v>
      </c>
    </row>
    <row r="70" spans="2:18" x14ac:dyDescent="0.2">
      <c r="B70" s="90">
        <v>20</v>
      </c>
      <c r="C70" s="44"/>
      <c r="D70" s="44">
        <v>63</v>
      </c>
      <c r="E70" s="72" t="s">
        <v>438</v>
      </c>
      <c r="F70" s="44" t="s">
        <v>6</v>
      </c>
      <c r="G70" s="44">
        <v>0</v>
      </c>
      <c r="H70" s="44" t="s">
        <v>9</v>
      </c>
      <c r="I70" s="44" t="s">
        <v>19</v>
      </c>
      <c r="J70" s="72"/>
      <c r="K70" s="73">
        <v>20454</v>
      </c>
      <c r="L70" s="30">
        <v>1955</v>
      </c>
      <c r="M70" s="30">
        <f t="shared" si="0"/>
        <v>64</v>
      </c>
      <c r="N70" s="44" t="s">
        <v>3</v>
      </c>
      <c r="O70" s="44"/>
      <c r="P70" s="72" t="s">
        <v>15</v>
      </c>
      <c r="Q70" s="44"/>
      <c r="R70" s="72" t="s">
        <v>15</v>
      </c>
    </row>
    <row r="71" spans="2:18" hidden="1" x14ac:dyDescent="0.2">
      <c r="B71" s="135">
        <v>21</v>
      </c>
      <c r="C71" s="119" t="s">
        <v>2034</v>
      </c>
      <c r="D71" s="44">
        <v>64</v>
      </c>
      <c r="E71" s="72" t="s">
        <v>439</v>
      </c>
      <c r="F71" s="44" t="s">
        <v>6</v>
      </c>
      <c r="G71" s="44" t="s">
        <v>2035</v>
      </c>
      <c r="H71" s="44" t="s">
        <v>1</v>
      </c>
      <c r="I71" s="44" t="s">
        <v>2</v>
      </c>
      <c r="J71" s="72" t="s">
        <v>1232</v>
      </c>
      <c r="K71" s="73">
        <v>28983</v>
      </c>
      <c r="L71" s="30">
        <v>1979</v>
      </c>
      <c r="M71" s="30">
        <f t="shared" si="0"/>
        <v>40</v>
      </c>
      <c r="N71" s="44" t="s">
        <v>3</v>
      </c>
      <c r="O71" s="44" t="s">
        <v>1229</v>
      </c>
      <c r="P71" s="72" t="s">
        <v>1246</v>
      </c>
      <c r="Q71" s="44"/>
      <c r="R71" s="72" t="s">
        <v>5</v>
      </c>
    </row>
    <row r="72" spans="2:18" hidden="1" x14ac:dyDescent="0.2">
      <c r="B72" s="135"/>
      <c r="C72" s="119"/>
      <c r="D72" s="44">
        <v>65</v>
      </c>
      <c r="E72" s="72" t="s">
        <v>440</v>
      </c>
      <c r="F72" s="44" t="s">
        <v>11</v>
      </c>
      <c r="G72" s="44" t="s">
        <v>441</v>
      </c>
      <c r="H72" s="44" t="s">
        <v>9</v>
      </c>
      <c r="I72" s="44" t="s">
        <v>2</v>
      </c>
      <c r="J72" s="72" t="s">
        <v>2036</v>
      </c>
      <c r="K72" s="73">
        <v>28991</v>
      </c>
      <c r="L72" s="30">
        <v>1979</v>
      </c>
      <c r="M72" s="30">
        <f t="shared" si="0"/>
        <v>40</v>
      </c>
      <c r="N72" s="44" t="s">
        <v>3</v>
      </c>
      <c r="O72" s="44" t="s">
        <v>1229</v>
      </c>
      <c r="P72" s="72" t="s">
        <v>1270</v>
      </c>
      <c r="Q72" s="44"/>
      <c r="R72" s="72" t="s">
        <v>5</v>
      </c>
    </row>
    <row r="73" spans="2:18" ht="25.5" hidden="1" x14ac:dyDescent="0.2">
      <c r="B73" s="135"/>
      <c r="C73" s="119"/>
      <c r="D73" s="44">
        <v>66</v>
      </c>
      <c r="E73" s="72" t="s">
        <v>2037</v>
      </c>
      <c r="F73" s="44" t="s">
        <v>16</v>
      </c>
      <c r="G73" s="44" t="s">
        <v>2038</v>
      </c>
      <c r="H73" s="44" t="s">
        <v>9</v>
      </c>
      <c r="I73" s="44" t="s">
        <v>13</v>
      </c>
      <c r="J73" s="72" t="s">
        <v>1232</v>
      </c>
      <c r="K73" s="73">
        <v>36748</v>
      </c>
      <c r="L73" s="30">
        <v>2000</v>
      </c>
      <c r="M73" s="30">
        <f t="shared" si="0"/>
        <v>19</v>
      </c>
      <c r="N73" s="44" t="s">
        <v>3</v>
      </c>
      <c r="O73" s="44" t="s">
        <v>1229</v>
      </c>
      <c r="P73" s="72" t="s">
        <v>1233</v>
      </c>
      <c r="Q73" s="44"/>
      <c r="R73" s="72" t="s">
        <v>1822</v>
      </c>
    </row>
    <row r="74" spans="2:18" ht="25.5" hidden="1" x14ac:dyDescent="0.2">
      <c r="B74" s="135"/>
      <c r="C74" s="119"/>
      <c r="D74" s="44">
        <v>67</v>
      </c>
      <c r="E74" s="72" t="s">
        <v>2039</v>
      </c>
      <c r="F74" s="44" t="s">
        <v>16</v>
      </c>
      <c r="G74" s="44" t="s">
        <v>442</v>
      </c>
      <c r="H74" s="44" t="s">
        <v>1</v>
      </c>
      <c r="I74" s="44" t="s">
        <v>13</v>
      </c>
      <c r="J74" s="72" t="s">
        <v>1818</v>
      </c>
      <c r="K74" s="73">
        <v>41110</v>
      </c>
      <c r="L74" s="30">
        <v>2012</v>
      </c>
      <c r="M74" s="30">
        <f t="shared" si="0"/>
        <v>7</v>
      </c>
      <c r="N74" s="44" t="s">
        <v>3</v>
      </c>
      <c r="O74" s="44" t="s">
        <v>1229</v>
      </c>
      <c r="P74" s="72" t="s">
        <v>1258</v>
      </c>
      <c r="Q74" s="44"/>
      <c r="R74" s="72" t="s">
        <v>1819</v>
      </c>
    </row>
    <row r="75" spans="2:18" x14ac:dyDescent="0.2">
      <c r="B75" s="135">
        <v>22</v>
      </c>
      <c r="C75" s="135"/>
      <c r="D75" s="44">
        <v>68</v>
      </c>
      <c r="E75" s="72" t="s">
        <v>443</v>
      </c>
      <c r="F75" s="44" t="s">
        <v>6</v>
      </c>
      <c r="G75" s="44">
        <v>0</v>
      </c>
      <c r="H75" s="44" t="s">
        <v>9</v>
      </c>
      <c r="I75" s="44" t="s">
        <v>19</v>
      </c>
      <c r="J75" s="72"/>
      <c r="K75" s="73">
        <v>20454</v>
      </c>
      <c r="L75" s="30">
        <v>1955</v>
      </c>
      <c r="M75" s="30">
        <f t="shared" si="0"/>
        <v>64</v>
      </c>
      <c r="N75" s="44" t="s">
        <v>3</v>
      </c>
      <c r="O75" s="44"/>
      <c r="P75" s="72" t="s">
        <v>15</v>
      </c>
      <c r="Q75" s="44"/>
      <c r="R75" s="72" t="s">
        <v>290</v>
      </c>
    </row>
    <row r="76" spans="2:18" hidden="1" x14ac:dyDescent="0.2">
      <c r="B76" s="135"/>
      <c r="C76" s="135"/>
      <c r="D76" s="44">
        <v>69</v>
      </c>
      <c r="E76" s="72" t="s">
        <v>444</v>
      </c>
      <c r="F76" s="44" t="s">
        <v>20</v>
      </c>
      <c r="G76" s="44">
        <v>0</v>
      </c>
      <c r="H76" s="44" t="s">
        <v>9</v>
      </c>
      <c r="I76" s="44" t="s">
        <v>13</v>
      </c>
      <c r="J76" s="72"/>
      <c r="K76" s="73">
        <v>33055</v>
      </c>
      <c r="L76" s="30">
        <v>1990</v>
      </c>
      <c r="M76" s="30">
        <f t="shared" si="0"/>
        <v>29</v>
      </c>
      <c r="N76" s="44" t="s">
        <v>3</v>
      </c>
      <c r="O76" s="44"/>
      <c r="P76" s="72" t="s">
        <v>28</v>
      </c>
      <c r="Q76" s="44"/>
      <c r="R76" s="72" t="s">
        <v>367</v>
      </c>
    </row>
    <row r="77" spans="2:18" ht="25.5" hidden="1" x14ac:dyDescent="0.2">
      <c r="B77" s="135">
        <v>23</v>
      </c>
      <c r="C77" s="119" t="s">
        <v>2040</v>
      </c>
      <c r="D77" s="44">
        <v>70</v>
      </c>
      <c r="E77" s="72" t="s">
        <v>2041</v>
      </c>
      <c r="F77" s="44" t="s">
        <v>6</v>
      </c>
      <c r="G77" s="44" t="s">
        <v>2042</v>
      </c>
      <c r="H77" s="44" t="s">
        <v>1</v>
      </c>
      <c r="I77" s="44" t="s">
        <v>2</v>
      </c>
      <c r="J77" s="72" t="s">
        <v>1232</v>
      </c>
      <c r="K77" s="73">
        <v>27508</v>
      </c>
      <c r="L77" s="30">
        <v>1975</v>
      </c>
      <c r="M77" s="30">
        <f t="shared" si="0"/>
        <v>44</v>
      </c>
      <c r="N77" s="44" t="s">
        <v>3</v>
      </c>
      <c r="O77" s="44" t="s">
        <v>1229</v>
      </c>
      <c r="P77" s="72" t="s">
        <v>1246</v>
      </c>
      <c r="Q77" s="44"/>
      <c r="R77" s="72" t="s">
        <v>1330</v>
      </c>
    </row>
    <row r="78" spans="2:18" ht="25.5" hidden="1" x14ac:dyDescent="0.2">
      <c r="B78" s="135"/>
      <c r="C78" s="119"/>
      <c r="D78" s="44">
        <v>71</v>
      </c>
      <c r="E78" s="72" t="s">
        <v>446</v>
      </c>
      <c r="F78" s="44" t="s">
        <v>11</v>
      </c>
      <c r="G78" s="44" t="s">
        <v>2043</v>
      </c>
      <c r="H78" s="44" t="s">
        <v>9</v>
      </c>
      <c r="I78" s="44" t="s">
        <v>2</v>
      </c>
      <c r="J78" s="72" t="s">
        <v>1232</v>
      </c>
      <c r="K78" s="73">
        <v>30133</v>
      </c>
      <c r="L78" s="30">
        <v>1982</v>
      </c>
      <c r="M78" s="30">
        <f t="shared" ref="M78:M143" si="2">2019-L78</f>
        <v>37</v>
      </c>
      <c r="N78" s="44" t="s">
        <v>3</v>
      </c>
      <c r="O78" s="44" t="s">
        <v>1229</v>
      </c>
      <c r="P78" s="72" t="s">
        <v>1246</v>
      </c>
      <c r="Q78" s="44"/>
      <c r="R78" s="72" t="s">
        <v>1330</v>
      </c>
    </row>
    <row r="79" spans="2:18" ht="25.5" hidden="1" x14ac:dyDescent="0.2">
      <c r="B79" s="135"/>
      <c r="C79" s="119"/>
      <c r="D79" s="44">
        <v>72</v>
      </c>
      <c r="E79" s="72" t="s">
        <v>2044</v>
      </c>
      <c r="F79" s="44" t="s">
        <v>16</v>
      </c>
      <c r="G79" s="44" t="s">
        <v>2045</v>
      </c>
      <c r="H79" s="44" t="s">
        <v>1</v>
      </c>
      <c r="I79" s="44" t="s">
        <v>13</v>
      </c>
      <c r="J79" s="72" t="s">
        <v>1232</v>
      </c>
      <c r="K79" s="73">
        <v>36602</v>
      </c>
      <c r="L79" s="30">
        <v>2000</v>
      </c>
      <c r="M79" s="30">
        <f t="shared" si="2"/>
        <v>19</v>
      </c>
      <c r="N79" s="44" t="s">
        <v>3</v>
      </c>
      <c r="O79" s="44" t="s">
        <v>1229</v>
      </c>
      <c r="P79" s="72" t="s">
        <v>1233</v>
      </c>
      <c r="Q79" s="44"/>
      <c r="R79" s="72" t="s">
        <v>1822</v>
      </c>
    </row>
    <row r="80" spans="2:18" ht="25.5" hidden="1" x14ac:dyDescent="0.2">
      <c r="B80" s="135"/>
      <c r="C80" s="119"/>
      <c r="D80" s="44">
        <v>73</v>
      </c>
      <c r="E80" s="72" t="s">
        <v>2046</v>
      </c>
      <c r="F80" s="44" t="s">
        <v>16</v>
      </c>
      <c r="G80" s="44" t="s">
        <v>2047</v>
      </c>
      <c r="H80" s="44" t="s">
        <v>1</v>
      </c>
      <c r="I80" s="44" t="s">
        <v>13</v>
      </c>
      <c r="J80" s="72" t="s">
        <v>1232</v>
      </c>
      <c r="K80" s="73">
        <v>42076</v>
      </c>
      <c r="L80" s="30">
        <v>2015</v>
      </c>
      <c r="M80" s="30">
        <f t="shared" si="2"/>
        <v>4</v>
      </c>
      <c r="N80" s="44" t="s">
        <v>3</v>
      </c>
      <c r="O80" s="44" t="s">
        <v>1229</v>
      </c>
      <c r="P80" s="72" t="s">
        <v>1258</v>
      </c>
      <c r="Q80" s="44"/>
      <c r="R80" s="72" t="s">
        <v>1819</v>
      </c>
    </row>
    <row r="81" spans="2:18" ht="25.5" x14ac:dyDescent="0.2">
      <c r="B81" s="135"/>
      <c r="C81" s="119"/>
      <c r="D81" s="44">
        <v>74</v>
      </c>
      <c r="E81" s="72" t="s">
        <v>2048</v>
      </c>
      <c r="F81" s="44" t="s">
        <v>1331</v>
      </c>
      <c r="G81" s="44" t="s">
        <v>2049</v>
      </c>
      <c r="H81" s="44" t="s">
        <v>1</v>
      </c>
      <c r="I81" s="44" t="s">
        <v>1296</v>
      </c>
      <c r="J81" s="72" t="s">
        <v>1232</v>
      </c>
      <c r="K81" s="73">
        <v>7488</v>
      </c>
      <c r="L81" s="30">
        <v>1920</v>
      </c>
      <c r="M81" s="30">
        <f>2019-L81</f>
        <v>99</v>
      </c>
      <c r="N81" s="44" t="s">
        <v>3</v>
      </c>
      <c r="O81" s="44" t="s">
        <v>1229</v>
      </c>
      <c r="P81" s="72" t="s">
        <v>1233</v>
      </c>
      <c r="Q81" s="44"/>
      <c r="R81" s="72" t="s">
        <v>1819</v>
      </c>
    </row>
    <row r="82" spans="2:18" ht="25.5" hidden="1" x14ac:dyDescent="0.2">
      <c r="B82" s="135">
        <v>24</v>
      </c>
      <c r="C82" s="119" t="s">
        <v>2050</v>
      </c>
      <c r="D82" s="44">
        <v>75</v>
      </c>
      <c r="E82" s="72" t="s">
        <v>447</v>
      </c>
      <c r="F82" s="44" t="s">
        <v>6</v>
      </c>
      <c r="G82" s="44" t="s">
        <v>2051</v>
      </c>
      <c r="H82" s="44" t="s">
        <v>1</v>
      </c>
      <c r="I82" s="44" t="s">
        <v>2</v>
      </c>
      <c r="J82" s="72" t="s">
        <v>1232</v>
      </c>
      <c r="K82" s="73">
        <v>25933</v>
      </c>
      <c r="L82" s="30">
        <v>1970</v>
      </c>
      <c r="M82" s="30">
        <f t="shared" si="2"/>
        <v>49</v>
      </c>
      <c r="N82" s="44" t="s">
        <v>3</v>
      </c>
      <c r="O82" s="44" t="s">
        <v>1229</v>
      </c>
      <c r="P82" s="72" t="s">
        <v>1233</v>
      </c>
      <c r="Q82" s="44"/>
      <c r="R82" s="72" t="s">
        <v>5</v>
      </c>
    </row>
    <row r="83" spans="2:18" ht="25.5" hidden="1" x14ac:dyDescent="0.2">
      <c r="B83" s="135"/>
      <c r="C83" s="119"/>
      <c r="D83" s="44">
        <v>76</v>
      </c>
      <c r="E83" s="72" t="s">
        <v>448</v>
      </c>
      <c r="F83" s="44" t="s">
        <v>11</v>
      </c>
      <c r="G83" s="44" t="s">
        <v>2052</v>
      </c>
      <c r="H83" s="44" t="s">
        <v>9</v>
      </c>
      <c r="I83" s="44" t="s">
        <v>2</v>
      </c>
      <c r="J83" s="72" t="s">
        <v>1232</v>
      </c>
      <c r="K83" s="73">
        <v>28855</v>
      </c>
      <c r="L83" s="30">
        <v>1978</v>
      </c>
      <c r="M83" s="30">
        <f t="shared" si="2"/>
        <v>41</v>
      </c>
      <c r="N83" s="44" t="s">
        <v>3</v>
      </c>
      <c r="O83" s="44" t="s">
        <v>1229</v>
      </c>
      <c r="P83" s="72" t="s">
        <v>1233</v>
      </c>
      <c r="Q83" s="44"/>
      <c r="R83" s="72" t="s">
        <v>1330</v>
      </c>
    </row>
    <row r="84" spans="2:18" hidden="1" x14ac:dyDescent="0.2">
      <c r="B84" s="135"/>
      <c r="C84" s="119"/>
      <c r="D84" s="44">
        <v>77</v>
      </c>
      <c r="E84" s="72" t="s">
        <v>449</v>
      </c>
      <c r="F84" s="44" t="s">
        <v>16</v>
      </c>
      <c r="G84" s="44" t="s">
        <v>2053</v>
      </c>
      <c r="H84" s="44" t="s">
        <v>1</v>
      </c>
      <c r="I84" s="44" t="s">
        <v>13</v>
      </c>
      <c r="J84" s="72" t="s">
        <v>1232</v>
      </c>
      <c r="K84" s="73">
        <v>35994</v>
      </c>
      <c r="L84" s="30">
        <v>1998</v>
      </c>
      <c r="M84" s="30">
        <f t="shared" si="2"/>
        <v>21</v>
      </c>
      <c r="N84" s="44" t="s">
        <v>3</v>
      </c>
      <c r="O84" s="44" t="s">
        <v>1229</v>
      </c>
      <c r="P84" s="72" t="s">
        <v>1270</v>
      </c>
      <c r="Q84" s="44"/>
      <c r="R84" s="72" t="s">
        <v>1822</v>
      </c>
    </row>
    <row r="85" spans="2:18" hidden="1" x14ac:dyDescent="0.2">
      <c r="B85" s="90">
        <v>25</v>
      </c>
      <c r="C85" s="44"/>
      <c r="D85" s="44">
        <v>78</v>
      </c>
      <c r="E85" s="72" t="s">
        <v>450</v>
      </c>
      <c r="F85" s="44" t="s">
        <v>6</v>
      </c>
      <c r="G85" s="44" t="s">
        <v>451</v>
      </c>
      <c r="H85" s="44" t="s">
        <v>9</v>
      </c>
      <c r="I85" s="44" t="s">
        <v>13</v>
      </c>
      <c r="J85" s="72"/>
      <c r="K85" s="73">
        <v>36525</v>
      </c>
      <c r="L85" s="30">
        <v>1999</v>
      </c>
      <c r="M85" s="30">
        <f t="shared" si="2"/>
        <v>20</v>
      </c>
      <c r="N85" s="44" t="s">
        <v>3</v>
      </c>
      <c r="O85" s="44"/>
      <c r="P85" s="72" t="s">
        <v>14</v>
      </c>
      <c r="Q85" s="44"/>
      <c r="R85" s="72" t="s">
        <v>15</v>
      </c>
    </row>
    <row r="86" spans="2:18" x14ac:dyDescent="0.2">
      <c r="B86" s="90">
        <v>26</v>
      </c>
      <c r="C86" s="44"/>
      <c r="D86" s="44">
        <v>79</v>
      </c>
      <c r="E86" s="72" t="s">
        <v>452</v>
      </c>
      <c r="F86" s="44" t="s">
        <v>6</v>
      </c>
      <c r="G86" s="44" t="s">
        <v>453</v>
      </c>
      <c r="H86" s="44" t="s">
        <v>9</v>
      </c>
      <c r="I86" s="44" t="s">
        <v>19</v>
      </c>
      <c r="J86" s="72"/>
      <c r="K86" s="73">
        <v>17961</v>
      </c>
      <c r="L86" s="30">
        <v>1949</v>
      </c>
      <c r="M86" s="30">
        <f t="shared" si="2"/>
        <v>70</v>
      </c>
      <c r="N86" s="44" t="s">
        <v>3</v>
      </c>
      <c r="O86" s="44"/>
      <c r="P86" s="72" t="s">
        <v>15</v>
      </c>
      <c r="Q86" s="44"/>
      <c r="R86" s="72" t="s">
        <v>15</v>
      </c>
    </row>
    <row r="87" spans="2:18" ht="25.5" hidden="1" x14ac:dyDescent="0.2">
      <c r="B87" s="135">
        <v>27</v>
      </c>
      <c r="C87" s="119" t="s">
        <v>2054</v>
      </c>
      <c r="D87" s="44">
        <v>80</v>
      </c>
      <c r="E87" s="72" t="s">
        <v>454</v>
      </c>
      <c r="F87" s="44" t="s">
        <v>6</v>
      </c>
      <c r="G87" s="44" t="s">
        <v>455</v>
      </c>
      <c r="H87" s="44" t="s">
        <v>1</v>
      </c>
      <c r="I87" s="44" t="s">
        <v>2</v>
      </c>
      <c r="J87" s="72" t="s">
        <v>1232</v>
      </c>
      <c r="K87" s="73">
        <v>25867</v>
      </c>
      <c r="L87" s="30">
        <v>1970</v>
      </c>
      <c r="M87" s="30">
        <f t="shared" si="2"/>
        <v>49</v>
      </c>
      <c r="N87" s="44" t="s">
        <v>3</v>
      </c>
      <c r="O87" s="44" t="s">
        <v>1229</v>
      </c>
      <c r="P87" s="72" t="s">
        <v>1233</v>
      </c>
      <c r="Q87" s="44"/>
      <c r="R87" s="72" t="s">
        <v>5</v>
      </c>
    </row>
    <row r="88" spans="2:18" ht="25.5" hidden="1" x14ac:dyDescent="0.2">
      <c r="B88" s="135"/>
      <c r="C88" s="119"/>
      <c r="D88" s="44">
        <v>81</v>
      </c>
      <c r="E88" s="72" t="s">
        <v>456</v>
      </c>
      <c r="F88" s="44" t="s">
        <v>11</v>
      </c>
      <c r="G88" s="44" t="s">
        <v>2055</v>
      </c>
      <c r="H88" s="44" t="s">
        <v>9</v>
      </c>
      <c r="I88" s="44" t="s">
        <v>2</v>
      </c>
      <c r="J88" s="72" t="s">
        <v>1232</v>
      </c>
      <c r="K88" s="73">
        <v>30316</v>
      </c>
      <c r="L88" s="30">
        <v>1982</v>
      </c>
      <c r="M88" s="30">
        <f t="shared" si="2"/>
        <v>37</v>
      </c>
      <c r="N88" s="44" t="s">
        <v>3</v>
      </c>
      <c r="O88" s="44" t="s">
        <v>1229</v>
      </c>
      <c r="P88" s="72" t="s">
        <v>1233</v>
      </c>
      <c r="Q88" s="44"/>
      <c r="R88" s="72" t="s">
        <v>5</v>
      </c>
    </row>
    <row r="89" spans="2:18" ht="25.5" hidden="1" x14ac:dyDescent="0.2">
      <c r="B89" s="135"/>
      <c r="C89" s="119"/>
      <c r="D89" s="44">
        <v>82</v>
      </c>
      <c r="E89" s="72" t="s">
        <v>262</v>
      </c>
      <c r="F89" s="44" t="s">
        <v>16</v>
      </c>
      <c r="G89" s="44" t="s">
        <v>457</v>
      </c>
      <c r="H89" s="44" t="s">
        <v>9</v>
      </c>
      <c r="I89" s="44" t="s">
        <v>13</v>
      </c>
      <c r="J89" s="72" t="s">
        <v>1232</v>
      </c>
      <c r="K89" s="73">
        <v>36102</v>
      </c>
      <c r="L89" s="30">
        <v>1998</v>
      </c>
      <c r="M89" s="30">
        <f t="shared" si="2"/>
        <v>21</v>
      </c>
      <c r="N89" s="44" t="s">
        <v>3</v>
      </c>
      <c r="O89" s="44" t="s">
        <v>1229</v>
      </c>
      <c r="P89" s="72" t="s">
        <v>1233</v>
      </c>
      <c r="Q89" s="44"/>
      <c r="R89" s="72" t="s">
        <v>1822</v>
      </c>
    </row>
    <row r="90" spans="2:18" ht="25.5" hidden="1" x14ac:dyDescent="0.2">
      <c r="B90" s="135"/>
      <c r="C90" s="119"/>
      <c r="D90" s="44">
        <v>83</v>
      </c>
      <c r="E90" s="72" t="s">
        <v>458</v>
      </c>
      <c r="F90" s="44" t="s">
        <v>16</v>
      </c>
      <c r="G90" s="44" t="s">
        <v>459</v>
      </c>
      <c r="H90" s="44" t="s">
        <v>9</v>
      </c>
      <c r="I90" s="44" t="s">
        <v>13</v>
      </c>
      <c r="J90" s="72" t="s">
        <v>1232</v>
      </c>
      <c r="K90" s="73">
        <v>38595</v>
      </c>
      <c r="L90" s="30">
        <v>2005</v>
      </c>
      <c r="M90" s="30">
        <f t="shared" si="2"/>
        <v>14</v>
      </c>
      <c r="N90" s="44" t="s">
        <v>3</v>
      </c>
      <c r="O90" s="44" t="s">
        <v>1229</v>
      </c>
      <c r="P90" s="72" t="s">
        <v>1258</v>
      </c>
      <c r="Q90" s="44"/>
      <c r="R90" s="72" t="s">
        <v>1819</v>
      </c>
    </row>
    <row r="91" spans="2:18" ht="25.5" hidden="1" x14ac:dyDescent="0.2">
      <c r="B91" s="135"/>
      <c r="C91" s="119"/>
      <c r="D91" s="44">
        <v>84</v>
      </c>
      <c r="E91" s="72" t="s">
        <v>460</v>
      </c>
      <c r="F91" s="44" t="s">
        <v>16</v>
      </c>
      <c r="G91" s="44">
        <v>0</v>
      </c>
      <c r="H91" s="44" t="s">
        <v>9</v>
      </c>
      <c r="I91" s="44" t="s">
        <v>13</v>
      </c>
      <c r="J91" s="72" t="s">
        <v>1232</v>
      </c>
      <c r="K91" s="73">
        <v>42071</v>
      </c>
      <c r="L91" s="30">
        <v>2015</v>
      </c>
      <c r="M91" s="30">
        <f t="shared" si="2"/>
        <v>4</v>
      </c>
      <c r="N91" s="44" t="s">
        <v>3</v>
      </c>
      <c r="O91" s="44" t="s">
        <v>1229</v>
      </c>
      <c r="P91" s="72" t="s">
        <v>1258</v>
      </c>
      <c r="Q91" s="44"/>
      <c r="R91" s="72" t="s">
        <v>1819</v>
      </c>
    </row>
    <row r="92" spans="2:18" hidden="1" x14ac:dyDescent="0.2">
      <c r="B92" s="135">
        <v>28</v>
      </c>
      <c r="C92" s="135"/>
      <c r="D92" s="44">
        <v>85</v>
      </c>
      <c r="E92" s="72" t="s">
        <v>461</v>
      </c>
      <c r="F92" s="44" t="s">
        <v>6</v>
      </c>
      <c r="G92" s="44" t="s">
        <v>462</v>
      </c>
      <c r="H92" s="44" t="s">
        <v>1</v>
      </c>
      <c r="I92" s="44" t="s">
        <v>2</v>
      </c>
      <c r="J92" s="72"/>
      <c r="K92" s="73">
        <v>28855</v>
      </c>
      <c r="L92" s="30">
        <f>YEAR(K92)</f>
        <v>1978</v>
      </c>
      <c r="M92" s="30">
        <f t="shared" si="2"/>
        <v>41</v>
      </c>
      <c r="N92" s="44" t="s">
        <v>3</v>
      </c>
      <c r="O92" s="44"/>
      <c r="P92" s="72" t="s">
        <v>4</v>
      </c>
      <c r="Q92" s="44"/>
      <c r="R92" s="72" t="s">
        <v>5</v>
      </c>
    </row>
    <row r="93" spans="2:18" hidden="1" x14ac:dyDescent="0.2">
      <c r="B93" s="135"/>
      <c r="C93" s="135"/>
      <c r="D93" s="44">
        <v>86</v>
      </c>
      <c r="E93" s="72" t="s">
        <v>463</v>
      </c>
      <c r="F93" s="44" t="s">
        <v>11</v>
      </c>
      <c r="G93" s="44" t="s">
        <v>464</v>
      </c>
      <c r="H93" s="44" t="s">
        <v>9</v>
      </c>
      <c r="I93" s="44" t="s">
        <v>2</v>
      </c>
      <c r="J93" s="72"/>
      <c r="K93" s="73">
        <v>29586</v>
      </c>
      <c r="L93" s="30">
        <f t="shared" ref="L93:L94" si="3">YEAR(K93)</f>
        <v>1980</v>
      </c>
      <c r="M93" s="30">
        <f t="shared" si="2"/>
        <v>39</v>
      </c>
      <c r="N93" s="44" t="s">
        <v>3</v>
      </c>
      <c r="O93" s="44"/>
      <c r="P93" s="72" t="s">
        <v>4</v>
      </c>
      <c r="Q93" s="44"/>
      <c r="R93" s="72" t="s">
        <v>10</v>
      </c>
    </row>
    <row r="94" spans="2:18" hidden="1" x14ac:dyDescent="0.2">
      <c r="B94" s="135"/>
      <c r="C94" s="135"/>
      <c r="D94" s="44">
        <v>87</v>
      </c>
      <c r="E94" s="72" t="s">
        <v>465</v>
      </c>
      <c r="F94" s="44" t="s">
        <v>16</v>
      </c>
      <c r="G94" s="44" t="s">
        <v>466</v>
      </c>
      <c r="H94" s="44" t="s">
        <v>1</v>
      </c>
      <c r="I94" s="44" t="s">
        <v>13</v>
      </c>
      <c r="J94" s="72"/>
      <c r="K94" s="73">
        <v>35430</v>
      </c>
      <c r="L94" s="30">
        <f t="shared" si="3"/>
        <v>1996</v>
      </c>
      <c r="M94" s="30">
        <f t="shared" si="2"/>
        <v>23</v>
      </c>
      <c r="N94" s="44" t="s">
        <v>3</v>
      </c>
      <c r="O94" s="44"/>
      <c r="P94" s="72" t="s">
        <v>28</v>
      </c>
      <c r="Q94" s="44"/>
      <c r="R94" s="72" t="s">
        <v>15</v>
      </c>
    </row>
    <row r="95" spans="2:18" ht="25.5" x14ac:dyDescent="0.2">
      <c r="B95" s="135">
        <v>29</v>
      </c>
      <c r="C95" s="119" t="s">
        <v>2056</v>
      </c>
      <c r="D95" s="44">
        <v>88</v>
      </c>
      <c r="E95" s="72" t="s">
        <v>323</v>
      </c>
      <c r="F95" s="44" t="s">
        <v>6</v>
      </c>
      <c r="G95" s="44" t="s">
        <v>467</v>
      </c>
      <c r="H95" s="44" t="s">
        <v>1</v>
      </c>
      <c r="I95" s="44" t="s">
        <v>2</v>
      </c>
      <c r="J95" s="72" t="s">
        <v>1232</v>
      </c>
      <c r="K95" s="73">
        <v>20454</v>
      </c>
      <c r="L95" s="30">
        <v>1955</v>
      </c>
      <c r="M95" s="30">
        <f t="shared" si="2"/>
        <v>64</v>
      </c>
      <c r="N95" s="44" t="s">
        <v>3</v>
      </c>
      <c r="O95" s="44" t="s">
        <v>1229</v>
      </c>
      <c r="P95" s="72" t="s">
        <v>1233</v>
      </c>
      <c r="Q95" s="44"/>
      <c r="R95" s="72" t="s">
        <v>1815</v>
      </c>
    </row>
    <row r="96" spans="2:18" ht="25.5" hidden="1" x14ac:dyDescent="0.2">
      <c r="B96" s="135"/>
      <c r="C96" s="119"/>
      <c r="D96" s="44">
        <v>89</v>
      </c>
      <c r="E96" s="72" t="s">
        <v>2057</v>
      </c>
      <c r="F96" s="44" t="s">
        <v>11</v>
      </c>
      <c r="G96" s="44" t="s">
        <v>469</v>
      </c>
      <c r="H96" s="44" t="s">
        <v>9</v>
      </c>
      <c r="I96" s="44" t="s">
        <v>2</v>
      </c>
      <c r="J96" s="72" t="s">
        <v>1232</v>
      </c>
      <c r="K96" s="73">
        <v>22250</v>
      </c>
      <c r="L96" s="30">
        <v>1960</v>
      </c>
      <c r="M96" s="30">
        <f t="shared" si="2"/>
        <v>59</v>
      </c>
      <c r="N96" s="44" t="s">
        <v>3</v>
      </c>
      <c r="O96" s="44" t="s">
        <v>1229</v>
      </c>
      <c r="P96" s="72" t="s">
        <v>1258</v>
      </c>
      <c r="Q96" s="44"/>
      <c r="R96" s="72" t="s">
        <v>1360</v>
      </c>
    </row>
    <row r="97" spans="2:18" ht="25.5" hidden="1" x14ac:dyDescent="0.2">
      <c r="B97" s="135"/>
      <c r="C97" s="119"/>
      <c r="D97" s="44">
        <v>90</v>
      </c>
      <c r="E97" s="72" t="s">
        <v>2058</v>
      </c>
      <c r="F97" s="44" t="s">
        <v>16</v>
      </c>
      <c r="G97" s="44" t="s">
        <v>471</v>
      </c>
      <c r="H97" s="44" t="s">
        <v>9</v>
      </c>
      <c r="I97" s="44" t="s">
        <v>13</v>
      </c>
      <c r="J97" s="72" t="s">
        <v>1232</v>
      </c>
      <c r="K97" s="73">
        <v>34952</v>
      </c>
      <c r="L97" s="30">
        <v>1995</v>
      </c>
      <c r="M97" s="30">
        <f t="shared" si="2"/>
        <v>24</v>
      </c>
      <c r="N97" s="44" t="s">
        <v>3</v>
      </c>
      <c r="O97" s="44" t="s">
        <v>1229</v>
      </c>
      <c r="P97" s="72" t="s">
        <v>1233</v>
      </c>
      <c r="Q97" s="44"/>
      <c r="R97" s="72" t="s">
        <v>1819</v>
      </c>
    </row>
    <row r="98" spans="2:18" ht="25.5" hidden="1" x14ac:dyDescent="0.2">
      <c r="B98" s="135"/>
      <c r="C98" s="119"/>
      <c r="D98" s="44">
        <v>91</v>
      </c>
      <c r="E98" s="72" t="s">
        <v>2059</v>
      </c>
      <c r="F98" s="44" t="s">
        <v>16</v>
      </c>
      <c r="G98" s="44" t="s">
        <v>472</v>
      </c>
      <c r="H98" s="44" t="s">
        <v>9</v>
      </c>
      <c r="I98" s="44" t="s">
        <v>13</v>
      </c>
      <c r="J98" s="72" t="s">
        <v>1232</v>
      </c>
      <c r="K98" s="73">
        <v>39482</v>
      </c>
      <c r="L98" s="30">
        <v>2008</v>
      </c>
      <c r="M98" s="30">
        <f t="shared" si="2"/>
        <v>11</v>
      </c>
      <c r="N98" s="44" t="s">
        <v>3</v>
      </c>
      <c r="O98" s="44" t="s">
        <v>1229</v>
      </c>
      <c r="P98" s="72" t="s">
        <v>1258</v>
      </c>
      <c r="Q98" s="44"/>
      <c r="R98" s="72" t="s">
        <v>1819</v>
      </c>
    </row>
    <row r="99" spans="2:18" ht="25.5" hidden="1" x14ac:dyDescent="0.2">
      <c r="B99" s="135">
        <v>30</v>
      </c>
      <c r="C99" s="119" t="s">
        <v>2060</v>
      </c>
      <c r="D99" s="44">
        <v>92</v>
      </c>
      <c r="E99" s="72" t="s">
        <v>473</v>
      </c>
      <c r="F99" s="44" t="s">
        <v>6</v>
      </c>
      <c r="G99" s="44" t="s">
        <v>474</v>
      </c>
      <c r="H99" s="44" t="s">
        <v>1</v>
      </c>
      <c r="I99" s="44" t="s">
        <v>2</v>
      </c>
      <c r="J99" s="72" t="s">
        <v>1232</v>
      </c>
      <c r="K99" s="73">
        <v>33126</v>
      </c>
      <c r="L99" s="30">
        <v>1990</v>
      </c>
      <c r="M99" s="30">
        <f t="shared" si="2"/>
        <v>29</v>
      </c>
      <c r="N99" s="44" t="s">
        <v>3</v>
      </c>
      <c r="O99" s="44" t="s">
        <v>1229</v>
      </c>
      <c r="P99" s="72" t="s">
        <v>1233</v>
      </c>
      <c r="Q99" s="44"/>
      <c r="R99" s="72" t="s">
        <v>1330</v>
      </c>
    </row>
    <row r="100" spans="2:18" ht="25.5" hidden="1" x14ac:dyDescent="0.2">
      <c r="B100" s="135"/>
      <c r="C100" s="119"/>
      <c r="D100" s="44">
        <v>93</v>
      </c>
      <c r="E100" s="72" t="s">
        <v>475</v>
      </c>
      <c r="F100" s="44" t="s">
        <v>11</v>
      </c>
      <c r="G100" s="44" t="s">
        <v>476</v>
      </c>
      <c r="H100" s="44" t="s">
        <v>9</v>
      </c>
      <c r="I100" s="44" t="s">
        <v>2</v>
      </c>
      <c r="J100" s="72" t="s">
        <v>1245</v>
      </c>
      <c r="K100" s="73">
        <v>32129</v>
      </c>
      <c r="L100" s="30">
        <v>1987</v>
      </c>
      <c r="M100" s="30">
        <f t="shared" si="2"/>
        <v>32</v>
      </c>
      <c r="N100" s="44" t="s">
        <v>3</v>
      </c>
      <c r="O100" s="44" t="s">
        <v>1229</v>
      </c>
      <c r="P100" s="72" t="s">
        <v>1233</v>
      </c>
      <c r="Q100" s="44"/>
      <c r="R100" s="72" t="s">
        <v>1360</v>
      </c>
    </row>
    <row r="101" spans="2:18" ht="25.5" hidden="1" x14ac:dyDescent="0.2">
      <c r="B101" s="135"/>
      <c r="C101" s="119"/>
      <c r="D101" s="44">
        <v>94</v>
      </c>
      <c r="E101" s="72" t="s">
        <v>2061</v>
      </c>
      <c r="F101" s="44" t="s">
        <v>16</v>
      </c>
      <c r="G101" s="44" t="s">
        <v>2062</v>
      </c>
      <c r="H101" s="44" t="s">
        <v>1</v>
      </c>
      <c r="I101" s="44" t="s">
        <v>13</v>
      </c>
      <c r="J101" s="72" t="s">
        <v>1232</v>
      </c>
      <c r="K101" s="73">
        <v>42268</v>
      </c>
      <c r="L101" s="30">
        <v>2015</v>
      </c>
      <c r="M101" s="30">
        <f t="shared" si="2"/>
        <v>4</v>
      </c>
      <c r="N101" s="44" t="s">
        <v>3</v>
      </c>
      <c r="O101" s="44" t="s">
        <v>1229</v>
      </c>
      <c r="P101" s="72" t="s">
        <v>1258</v>
      </c>
      <c r="Q101" s="44"/>
      <c r="R101" s="72" t="s">
        <v>1819</v>
      </c>
    </row>
    <row r="102" spans="2:18" x14ac:dyDescent="0.2">
      <c r="B102" s="135">
        <v>31</v>
      </c>
      <c r="C102" s="135"/>
      <c r="D102" s="44">
        <v>95</v>
      </c>
      <c r="E102" s="72" t="s">
        <v>477</v>
      </c>
      <c r="F102" s="44" t="s">
        <v>6</v>
      </c>
      <c r="G102" s="44">
        <v>0</v>
      </c>
      <c r="H102" s="44" t="s">
        <v>9</v>
      </c>
      <c r="I102" s="44" t="s">
        <v>19</v>
      </c>
      <c r="J102" s="72"/>
      <c r="K102" s="73">
        <v>18628</v>
      </c>
      <c r="L102" s="30">
        <f t="shared" ref="L102:L111" si="4">YEAR(K102)</f>
        <v>1950</v>
      </c>
      <c r="M102" s="30">
        <f t="shared" si="2"/>
        <v>69</v>
      </c>
      <c r="N102" s="44" t="s">
        <v>3</v>
      </c>
      <c r="O102" s="44"/>
      <c r="P102" s="72" t="s">
        <v>15</v>
      </c>
      <c r="Q102" s="44"/>
      <c r="R102" s="72" t="s">
        <v>34</v>
      </c>
    </row>
    <row r="103" spans="2:18" ht="25.5" hidden="1" x14ac:dyDescent="0.2">
      <c r="B103" s="135"/>
      <c r="C103" s="135"/>
      <c r="D103" s="44">
        <v>96</v>
      </c>
      <c r="E103" s="72" t="s">
        <v>478</v>
      </c>
      <c r="F103" s="44" t="s">
        <v>16</v>
      </c>
      <c r="G103" s="44">
        <v>0</v>
      </c>
      <c r="H103" s="44" t="s">
        <v>1</v>
      </c>
      <c r="I103" s="44" t="s">
        <v>13</v>
      </c>
      <c r="J103" s="72"/>
      <c r="K103" s="73">
        <v>35064</v>
      </c>
      <c r="L103" s="30">
        <f t="shared" si="4"/>
        <v>1995</v>
      </c>
      <c r="M103" s="30">
        <f t="shared" si="2"/>
        <v>24</v>
      </c>
      <c r="N103" s="44" t="s">
        <v>3</v>
      </c>
      <c r="O103" s="44"/>
      <c r="P103" s="72" t="s">
        <v>15</v>
      </c>
      <c r="Q103" s="44"/>
      <c r="R103" s="72" t="s">
        <v>15</v>
      </c>
    </row>
    <row r="104" spans="2:18" x14ac:dyDescent="0.2">
      <c r="B104" s="90">
        <v>32</v>
      </c>
      <c r="C104" s="44"/>
      <c r="D104" s="44">
        <v>97</v>
      </c>
      <c r="E104" s="72" t="s">
        <v>479</v>
      </c>
      <c r="F104" s="44" t="s">
        <v>6</v>
      </c>
      <c r="G104" s="44">
        <v>0</v>
      </c>
      <c r="H104" s="44" t="s">
        <v>1</v>
      </c>
      <c r="I104" s="44" t="s">
        <v>95</v>
      </c>
      <c r="J104" s="72"/>
      <c r="K104" s="73">
        <v>20454</v>
      </c>
      <c r="L104" s="30">
        <f t="shared" si="4"/>
        <v>1955</v>
      </c>
      <c r="M104" s="30">
        <f t="shared" si="2"/>
        <v>64</v>
      </c>
      <c r="N104" s="44" t="s">
        <v>3</v>
      </c>
      <c r="O104" s="44"/>
      <c r="P104" s="72" t="s">
        <v>15</v>
      </c>
      <c r="Q104" s="44"/>
      <c r="R104" s="72" t="s">
        <v>34</v>
      </c>
    </row>
    <row r="105" spans="2:18" hidden="1" x14ac:dyDescent="0.2">
      <c r="B105" s="135">
        <v>33</v>
      </c>
      <c r="C105" s="135"/>
      <c r="D105" s="44">
        <v>98</v>
      </c>
      <c r="E105" s="72" t="s">
        <v>480</v>
      </c>
      <c r="F105" s="44" t="s">
        <v>6</v>
      </c>
      <c r="G105" s="44">
        <v>0</v>
      </c>
      <c r="H105" s="44" t="s">
        <v>1</v>
      </c>
      <c r="I105" s="44" t="s">
        <v>2</v>
      </c>
      <c r="J105" s="72"/>
      <c r="K105" s="73">
        <v>27759</v>
      </c>
      <c r="L105" s="30">
        <f t="shared" si="4"/>
        <v>1975</v>
      </c>
      <c r="M105" s="30">
        <f t="shared" si="2"/>
        <v>44</v>
      </c>
      <c r="N105" s="44" t="s">
        <v>3</v>
      </c>
      <c r="O105" s="44"/>
      <c r="P105" s="72" t="s">
        <v>15</v>
      </c>
      <c r="Q105" s="44"/>
      <c r="R105" s="72" t="s">
        <v>34</v>
      </c>
    </row>
    <row r="106" spans="2:18" hidden="1" x14ac:dyDescent="0.2">
      <c r="B106" s="135"/>
      <c r="C106" s="135"/>
      <c r="D106" s="44">
        <v>99</v>
      </c>
      <c r="E106" s="72" t="s">
        <v>481</v>
      </c>
      <c r="F106" s="44" t="s">
        <v>11</v>
      </c>
      <c r="G106" s="44">
        <v>0</v>
      </c>
      <c r="H106" s="44" t="s">
        <v>9</v>
      </c>
      <c r="I106" s="44" t="s">
        <v>2</v>
      </c>
      <c r="J106" s="72"/>
      <c r="K106" s="73">
        <v>29586</v>
      </c>
      <c r="L106" s="30">
        <f t="shared" si="4"/>
        <v>1980</v>
      </c>
      <c r="M106" s="30">
        <f t="shared" si="2"/>
        <v>39</v>
      </c>
      <c r="N106" s="44" t="s">
        <v>3</v>
      </c>
      <c r="O106" s="44"/>
      <c r="P106" s="72" t="s">
        <v>15</v>
      </c>
      <c r="Q106" s="44"/>
      <c r="R106" s="72" t="s">
        <v>34</v>
      </c>
    </row>
    <row r="107" spans="2:18" hidden="1" x14ac:dyDescent="0.2">
      <c r="B107" s="135"/>
      <c r="C107" s="135"/>
      <c r="D107" s="44">
        <v>100</v>
      </c>
      <c r="E107" s="72" t="s">
        <v>54</v>
      </c>
      <c r="F107" s="44" t="s">
        <v>16</v>
      </c>
      <c r="G107" s="44">
        <v>0</v>
      </c>
      <c r="H107" s="44" t="s">
        <v>9</v>
      </c>
      <c r="I107" s="44" t="s">
        <v>13</v>
      </c>
      <c r="J107" s="72"/>
      <c r="K107" s="73">
        <v>41677</v>
      </c>
      <c r="L107" s="30">
        <f t="shared" si="4"/>
        <v>2014</v>
      </c>
      <c r="M107" s="30">
        <f t="shared" si="2"/>
        <v>5</v>
      </c>
      <c r="N107" s="44" t="s">
        <v>3</v>
      </c>
      <c r="O107" s="44"/>
      <c r="P107" s="72" t="s">
        <v>15</v>
      </c>
      <c r="Q107" s="44"/>
      <c r="R107" s="72" t="s">
        <v>15</v>
      </c>
    </row>
    <row r="108" spans="2:18" ht="25.5" hidden="1" x14ac:dyDescent="0.2">
      <c r="B108" s="139">
        <v>34</v>
      </c>
      <c r="C108" s="139"/>
      <c r="D108" s="44">
        <v>101</v>
      </c>
      <c r="E108" s="72" t="s">
        <v>482</v>
      </c>
      <c r="F108" s="44" t="s">
        <v>6</v>
      </c>
      <c r="G108" s="44" t="s">
        <v>483</v>
      </c>
      <c r="H108" s="44" t="s">
        <v>1</v>
      </c>
      <c r="I108" s="44" t="s">
        <v>2</v>
      </c>
      <c r="J108" s="72"/>
      <c r="K108" s="73">
        <v>25750</v>
      </c>
      <c r="L108" s="30">
        <f t="shared" si="4"/>
        <v>1970</v>
      </c>
      <c r="M108" s="30">
        <f t="shared" si="2"/>
        <v>49</v>
      </c>
      <c r="N108" s="44" t="s">
        <v>3</v>
      </c>
      <c r="O108" s="44"/>
      <c r="P108" s="72" t="s">
        <v>14</v>
      </c>
      <c r="Q108" s="44"/>
      <c r="R108" s="72" t="s">
        <v>5</v>
      </c>
    </row>
    <row r="109" spans="2:18" hidden="1" x14ac:dyDescent="0.2">
      <c r="B109" s="140"/>
      <c r="C109" s="140"/>
      <c r="D109" s="44">
        <v>102</v>
      </c>
      <c r="E109" s="72" t="s">
        <v>484</v>
      </c>
      <c r="F109" s="44" t="s">
        <v>11</v>
      </c>
      <c r="G109" s="44" t="s">
        <v>485</v>
      </c>
      <c r="H109" s="44" t="s">
        <v>9</v>
      </c>
      <c r="I109" s="44" t="s">
        <v>2</v>
      </c>
      <c r="J109" s="72"/>
      <c r="K109" s="73">
        <v>33100</v>
      </c>
      <c r="L109" s="30">
        <f t="shared" si="4"/>
        <v>1990</v>
      </c>
      <c r="M109" s="30">
        <f t="shared" si="2"/>
        <v>29</v>
      </c>
      <c r="N109" s="44" t="s">
        <v>3</v>
      </c>
      <c r="O109" s="44"/>
      <c r="P109" s="72" t="s">
        <v>4</v>
      </c>
      <c r="Q109" s="44"/>
      <c r="R109" s="72" t="s">
        <v>34</v>
      </c>
    </row>
    <row r="110" spans="2:18" hidden="1" x14ac:dyDescent="0.2">
      <c r="B110" s="140"/>
      <c r="C110" s="140"/>
      <c r="D110" s="44">
        <v>103</v>
      </c>
      <c r="E110" s="72" t="s">
        <v>486</v>
      </c>
      <c r="F110" s="44" t="s">
        <v>16</v>
      </c>
      <c r="G110" s="44" t="s">
        <v>487</v>
      </c>
      <c r="H110" s="44" t="s">
        <v>1</v>
      </c>
      <c r="I110" s="44" t="s">
        <v>13</v>
      </c>
      <c r="J110" s="72"/>
      <c r="K110" s="73">
        <v>39831</v>
      </c>
      <c r="L110" s="30">
        <f t="shared" si="4"/>
        <v>2009</v>
      </c>
      <c r="M110" s="30">
        <f t="shared" si="2"/>
        <v>10</v>
      </c>
      <c r="N110" s="44" t="s">
        <v>3</v>
      </c>
      <c r="O110" s="44"/>
      <c r="P110" s="72" t="s">
        <v>15</v>
      </c>
      <c r="Q110" s="44"/>
      <c r="R110" s="72" t="s">
        <v>15</v>
      </c>
    </row>
    <row r="111" spans="2:18" hidden="1" x14ac:dyDescent="0.2">
      <c r="B111" s="141"/>
      <c r="C111" s="141"/>
      <c r="D111" s="44">
        <v>104</v>
      </c>
      <c r="E111" s="72" t="s">
        <v>488</v>
      </c>
      <c r="F111" s="44" t="s">
        <v>16</v>
      </c>
      <c r="G111" s="44">
        <v>0</v>
      </c>
      <c r="H111" s="44" t="s">
        <v>9</v>
      </c>
      <c r="I111" s="44" t="s">
        <v>13</v>
      </c>
      <c r="J111" s="72"/>
      <c r="K111" s="73">
        <v>41835</v>
      </c>
      <c r="L111" s="30">
        <f t="shared" si="4"/>
        <v>2014</v>
      </c>
      <c r="M111" s="30">
        <f t="shared" si="2"/>
        <v>5</v>
      </c>
      <c r="N111" s="44" t="s">
        <v>3</v>
      </c>
      <c r="O111" s="44"/>
      <c r="P111" s="72" t="s">
        <v>15</v>
      </c>
      <c r="Q111" s="44"/>
      <c r="R111" s="72" t="s">
        <v>15</v>
      </c>
    </row>
    <row r="112" spans="2:18" hidden="1" x14ac:dyDescent="0.2">
      <c r="B112" s="135">
        <v>35</v>
      </c>
      <c r="C112" s="119" t="s">
        <v>2063</v>
      </c>
      <c r="D112" s="44">
        <v>105</v>
      </c>
      <c r="E112" s="72" t="s">
        <v>489</v>
      </c>
      <c r="F112" s="44" t="s">
        <v>6</v>
      </c>
      <c r="G112" s="44" t="s">
        <v>490</v>
      </c>
      <c r="H112" s="44" t="s">
        <v>1</v>
      </c>
      <c r="I112" s="44" t="s">
        <v>2</v>
      </c>
      <c r="J112" s="72" t="s">
        <v>1232</v>
      </c>
      <c r="K112" s="73">
        <v>28635</v>
      </c>
      <c r="L112" s="30">
        <v>1978</v>
      </c>
      <c r="M112" s="30">
        <f t="shared" si="2"/>
        <v>41</v>
      </c>
      <c r="N112" s="44" t="s">
        <v>3</v>
      </c>
      <c r="O112" s="44" t="s">
        <v>1229</v>
      </c>
      <c r="P112" s="72" t="s">
        <v>1270</v>
      </c>
      <c r="Q112" s="44"/>
      <c r="R112" s="72" t="s">
        <v>5</v>
      </c>
    </row>
    <row r="113" spans="2:18" hidden="1" x14ac:dyDescent="0.2">
      <c r="B113" s="135"/>
      <c r="C113" s="119"/>
      <c r="D113" s="44">
        <v>106</v>
      </c>
      <c r="E113" s="72" t="s">
        <v>491</v>
      </c>
      <c r="F113" s="44" t="s">
        <v>11</v>
      </c>
      <c r="G113" s="44" t="s">
        <v>492</v>
      </c>
      <c r="H113" s="44" t="s">
        <v>9</v>
      </c>
      <c r="I113" s="44" t="s">
        <v>2</v>
      </c>
      <c r="J113" s="72" t="s">
        <v>2064</v>
      </c>
      <c r="K113" s="73">
        <v>30134</v>
      </c>
      <c r="L113" s="30">
        <v>1982</v>
      </c>
      <c r="M113" s="30">
        <f t="shared" si="2"/>
        <v>37</v>
      </c>
      <c r="N113" s="44" t="s">
        <v>3</v>
      </c>
      <c r="O113" s="44" t="s">
        <v>1229</v>
      </c>
      <c r="P113" s="72" t="s">
        <v>1246</v>
      </c>
      <c r="Q113" s="44"/>
      <c r="R113" s="72" t="s">
        <v>290</v>
      </c>
    </row>
    <row r="114" spans="2:18" ht="25.5" hidden="1" x14ac:dyDescent="0.2">
      <c r="B114" s="135"/>
      <c r="C114" s="119"/>
      <c r="D114" s="44">
        <v>107</v>
      </c>
      <c r="E114" s="72" t="s">
        <v>493</v>
      </c>
      <c r="F114" s="44" t="s">
        <v>16</v>
      </c>
      <c r="G114" s="44" t="s">
        <v>494</v>
      </c>
      <c r="H114" s="44" t="s">
        <v>9</v>
      </c>
      <c r="I114" s="44" t="s">
        <v>13</v>
      </c>
      <c r="J114" s="72" t="s">
        <v>1232</v>
      </c>
      <c r="K114" s="73">
        <v>37770</v>
      </c>
      <c r="L114" s="30">
        <v>2003</v>
      </c>
      <c r="M114" s="30">
        <f t="shared" si="2"/>
        <v>16</v>
      </c>
      <c r="N114" s="44" t="s">
        <v>3</v>
      </c>
      <c r="O114" s="44" t="s">
        <v>1229</v>
      </c>
      <c r="P114" s="72" t="s">
        <v>1233</v>
      </c>
      <c r="Q114" s="44"/>
      <c r="R114" s="72" t="s">
        <v>1819</v>
      </c>
    </row>
    <row r="115" spans="2:18" ht="25.5" hidden="1" x14ac:dyDescent="0.2">
      <c r="B115" s="135"/>
      <c r="C115" s="119"/>
      <c r="D115" s="44">
        <v>108</v>
      </c>
      <c r="E115" s="72" t="s">
        <v>495</v>
      </c>
      <c r="F115" s="44" t="s">
        <v>16</v>
      </c>
      <c r="G115" s="44" t="s">
        <v>496</v>
      </c>
      <c r="H115" s="44" t="s">
        <v>1</v>
      </c>
      <c r="I115" s="44" t="s">
        <v>13</v>
      </c>
      <c r="J115" s="72" t="s">
        <v>1232</v>
      </c>
      <c r="K115" s="73">
        <v>40307</v>
      </c>
      <c r="L115" s="30">
        <v>2010</v>
      </c>
      <c r="M115" s="30">
        <f t="shared" si="2"/>
        <v>9</v>
      </c>
      <c r="N115" s="44" t="s">
        <v>3</v>
      </c>
      <c r="O115" s="44" t="s">
        <v>1229</v>
      </c>
      <c r="P115" s="72" t="s">
        <v>1247</v>
      </c>
      <c r="Q115" s="44"/>
      <c r="R115" s="72" t="s">
        <v>1819</v>
      </c>
    </row>
    <row r="116" spans="2:18" ht="25.5" hidden="1" x14ac:dyDescent="0.2">
      <c r="B116" s="135"/>
      <c r="C116" s="119"/>
      <c r="D116" s="44">
        <v>109</v>
      </c>
      <c r="E116" s="72" t="s">
        <v>497</v>
      </c>
      <c r="F116" s="44" t="s">
        <v>16</v>
      </c>
      <c r="G116" s="44" t="s">
        <v>498</v>
      </c>
      <c r="H116" s="44" t="s">
        <v>9</v>
      </c>
      <c r="I116" s="44" t="s">
        <v>13</v>
      </c>
      <c r="J116" s="72" t="s">
        <v>1232</v>
      </c>
      <c r="K116" s="73">
        <v>41723</v>
      </c>
      <c r="L116" s="30">
        <v>2014</v>
      </c>
      <c r="M116" s="30">
        <f t="shared" si="2"/>
        <v>5</v>
      </c>
      <c r="N116" s="44" t="s">
        <v>3</v>
      </c>
      <c r="O116" s="44" t="s">
        <v>1229</v>
      </c>
      <c r="P116" s="72" t="s">
        <v>1258</v>
      </c>
      <c r="Q116" s="44"/>
      <c r="R116" s="72" t="s">
        <v>1819</v>
      </c>
    </row>
    <row r="117" spans="2:18" x14ac:dyDescent="0.2">
      <c r="B117" s="90">
        <v>36</v>
      </c>
      <c r="C117" s="44"/>
      <c r="D117" s="44">
        <v>110</v>
      </c>
      <c r="E117" s="72" t="s">
        <v>499</v>
      </c>
      <c r="F117" s="44" t="s">
        <v>6</v>
      </c>
      <c r="G117" s="44">
        <v>0</v>
      </c>
      <c r="H117" s="44" t="s">
        <v>1</v>
      </c>
      <c r="I117" s="44" t="s">
        <v>95</v>
      </c>
      <c r="J117" s="72"/>
      <c r="K117" s="73">
        <v>11295</v>
      </c>
      <c r="L117" s="30">
        <f>YEAR(K117)</f>
        <v>1930</v>
      </c>
      <c r="M117" s="30">
        <f t="shared" si="2"/>
        <v>89</v>
      </c>
      <c r="N117" s="44" t="s">
        <v>3</v>
      </c>
      <c r="O117" s="44"/>
      <c r="P117" s="72" t="s">
        <v>4</v>
      </c>
      <c r="Q117" s="44"/>
      <c r="R117" s="72" t="s">
        <v>15</v>
      </c>
    </row>
    <row r="118" spans="2:18" hidden="1" x14ac:dyDescent="0.2">
      <c r="B118" s="135">
        <v>37</v>
      </c>
      <c r="C118" s="119" t="s">
        <v>2065</v>
      </c>
      <c r="D118" s="44">
        <v>111</v>
      </c>
      <c r="E118" s="72" t="s">
        <v>500</v>
      </c>
      <c r="F118" s="44" t="s">
        <v>6</v>
      </c>
      <c r="G118" s="44" t="s">
        <v>2066</v>
      </c>
      <c r="H118" s="44" t="s">
        <v>1</v>
      </c>
      <c r="I118" s="44" t="s">
        <v>2</v>
      </c>
      <c r="J118" s="72" t="s">
        <v>1232</v>
      </c>
      <c r="K118" s="73">
        <v>30197</v>
      </c>
      <c r="L118" s="30">
        <v>1982</v>
      </c>
      <c r="M118" s="30">
        <f t="shared" si="2"/>
        <v>37</v>
      </c>
      <c r="N118" s="44" t="s">
        <v>3</v>
      </c>
      <c r="O118" s="44" t="s">
        <v>1229</v>
      </c>
      <c r="P118" s="72" t="s">
        <v>1270</v>
      </c>
      <c r="Q118" s="44"/>
      <c r="R118" s="72" t="s">
        <v>5</v>
      </c>
    </row>
    <row r="119" spans="2:18" ht="25.5" hidden="1" x14ac:dyDescent="0.2">
      <c r="B119" s="135"/>
      <c r="C119" s="119"/>
      <c r="D119" s="44">
        <v>112</v>
      </c>
      <c r="E119" s="72" t="s">
        <v>501</v>
      </c>
      <c r="F119" s="44" t="s">
        <v>11</v>
      </c>
      <c r="G119" s="44" t="s">
        <v>2067</v>
      </c>
      <c r="H119" s="44" t="s">
        <v>9</v>
      </c>
      <c r="I119" s="44" t="s">
        <v>2</v>
      </c>
      <c r="J119" s="72" t="s">
        <v>2200</v>
      </c>
      <c r="K119" s="73">
        <v>30385</v>
      </c>
      <c r="L119" s="30">
        <v>1983</v>
      </c>
      <c r="M119" s="30">
        <f t="shared" si="2"/>
        <v>36</v>
      </c>
      <c r="N119" s="44" t="s">
        <v>3</v>
      </c>
      <c r="O119" s="44" t="s">
        <v>1229</v>
      </c>
      <c r="P119" s="72" t="s">
        <v>1270</v>
      </c>
      <c r="Q119" s="44"/>
      <c r="R119" s="72" t="s">
        <v>1360</v>
      </c>
    </row>
    <row r="120" spans="2:18" ht="25.5" hidden="1" x14ac:dyDescent="0.2">
      <c r="B120" s="135"/>
      <c r="C120" s="119"/>
      <c r="D120" s="44">
        <v>113</v>
      </c>
      <c r="E120" s="72" t="s">
        <v>2204</v>
      </c>
      <c r="F120" s="44" t="s">
        <v>16</v>
      </c>
      <c r="G120" s="44" t="s">
        <v>2068</v>
      </c>
      <c r="H120" s="44" t="s">
        <v>9</v>
      </c>
      <c r="I120" s="44" t="s">
        <v>13</v>
      </c>
      <c r="J120" s="72" t="s">
        <v>1818</v>
      </c>
      <c r="K120" s="73">
        <v>41385</v>
      </c>
      <c r="L120" s="30">
        <v>2013</v>
      </c>
      <c r="M120" s="30">
        <f t="shared" si="2"/>
        <v>6</v>
      </c>
      <c r="N120" s="44" t="s">
        <v>3</v>
      </c>
      <c r="O120" s="44" t="s">
        <v>1229</v>
      </c>
      <c r="P120" s="72" t="s">
        <v>1258</v>
      </c>
      <c r="Q120" s="44"/>
      <c r="R120" s="72" t="s">
        <v>2069</v>
      </c>
    </row>
    <row r="121" spans="2:18" ht="25.5" hidden="1" x14ac:dyDescent="0.2">
      <c r="B121" s="135">
        <v>38</v>
      </c>
      <c r="C121" s="119" t="s">
        <v>2070</v>
      </c>
      <c r="D121" s="44">
        <v>114</v>
      </c>
      <c r="E121" s="72" t="s">
        <v>2071</v>
      </c>
      <c r="F121" s="44" t="s">
        <v>6</v>
      </c>
      <c r="G121" s="44" t="s">
        <v>2072</v>
      </c>
      <c r="H121" s="44" t="s">
        <v>1</v>
      </c>
      <c r="I121" s="44" t="s">
        <v>2</v>
      </c>
      <c r="J121" s="72" t="s">
        <v>1232</v>
      </c>
      <c r="K121" s="73">
        <v>26893</v>
      </c>
      <c r="L121" s="30">
        <v>1973</v>
      </c>
      <c r="M121" s="30">
        <f t="shared" si="2"/>
        <v>46</v>
      </c>
      <c r="N121" s="44" t="s">
        <v>3</v>
      </c>
      <c r="O121" s="44" t="s">
        <v>1229</v>
      </c>
      <c r="P121" s="72" t="s">
        <v>1233</v>
      </c>
      <c r="Q121" s="44"/>
      <c r="R121" s="72" t="s">
        <v>5</v>
      </c>
    </row>
    <row r="122" spans="2:18" ht="25.5" hidden="1" x14ac:dyDescent="0.2">
      <c r="B122" s="135"/>
      <c r="C122" s="119"/>
      <c r="D122" s="44">
        <v>115</v>
      </c>
      <c r="E122" s="72" t="s">
        <v>2073</v>
      </c>
      <c r="F122" s="44" t="s">
        <v>11</v>
      </c>
      <c r="G122" s="44" t="s">
        <v>502</v>
      </c>
      <c r="H122" s="44" t="s">
        <v>9</v>
      </c>
      <c r="I122" s="44" t="s">
        <v>2</v>
      </c>
      <c r="J122" s="72" t="s">
        <v>1232</v>
      </c>
      <c r="K122" s="73">
        <v>29556</v>
      </c>
      <c r="L122" s="30">
        <v>1980</v>
      </c>
      <c r="M122" s="30">
        <f t="shared" si="2"/>
        <v>39</v>
      </c>
      <c r="N122" s="44" t="s">
        <v>3</v>
      </c>
      <c r="O122" s="44" t="s">
        <v>1229</v>
      </c>
      <c r="P122" s="72" t="s">
        <v>1233</v>
      </c>
      <c r="Q122" s="44"/>
      <c r="R122" s="72" t="s">
        <v>1360</v>
      </c>
    </row>
    <row r="123" spans="2:18" ht="25.5" hidden="1" x14ac:dyDescent="0.2">
      <c r="B123" s="135"/>
      <c r="C123" s="119"/>
      <c r="D123" s="44">
        <v>116</v>
      </c>
      <c r="E123" s="72" t="s">
        <v>2074</v>
      </c>
      <c r="F123" s="44" t="s">
        <v>16</v>
      </c>
      <c r="G123" s="44" t="s">
        <v>2075</v>
      </c>
      <c r="H123" s="44" t="s">
        <v>1</v>
      </c>
      <c r="I123" s="44" t="s">
        <v>13</v>
      </c>
      <c r="J123" s="72" t="s">
        <v>1316</v>
      </c>
      <c r="K123" s="73">
        <v>35463</v>
      </c>
      <c r="L123" s="30">
        <v>1997</v>
      </c>
      <c r="M123" s="30">
        <f t="shared" si="2"/>
        <v>22</v>
      </c>
      <c r="N123" s="44" t="s">
        <v>3</v>
      </c>
      <c r="O123" s="44" t="s">
        <v>1229</v>
      </c>
      <c r="P123" s="72" t="s">
        <v>1270</v>
      </c>
      <c r="Q123" s="44"/>
      <c r="R123" s="72" t="s">
        <v>1819</v>
      </c>
    </row>
    <row r="124" spans="2:18" ht="25.5" hidden="1" x14ac:dyDescent="0.2">
      <c r="B124" s="135"/>
      <c r="C124" s="119"/>
      <c r="D124" s="44">
        <v>117</v>
      </c>
      <c r="E124" s="72" t="s">
        <v>2076</v>
      </c>
      <c r="F124" s="44" t="s">
        <v>16</v>
      </c>
      <c r="G124" s="44" t="s">
        <v>2077</v>
      </c>
      <c r="H124" s="44" t="s">
        <v>1</v>
      </c>
      <c r="I124" s="44" t="s">
        <v>13</v>
      </c>
      <c r="J124" s="72" t="s">
        <v>1818</v>
      </c>
      <c r="K124" s="73">
        <v>39486</v>
      </c>
      <c r="L124" s="30">
        <v>2008</v>
      </c>
      <c r="M124" s="30">
        <f t="shared" si="2"/>
        <v>11</v>
      </c>
      <c r="N124" s="44" t="s">
        <v>3</v>
      </c>
      <c r="O124" s="44" t="s">
        <v>1229</v>
      </c>
      <c r="P124" s="72" t="s">
        <v>1247</v>
      </c>
      <c r="Q124" s="44"/>
      <c r="R124" s="72" t="s">
        <v>1822</v>
      </c>
    </row>
    <row r="125" spans="2:18" ht="25.5" hidden="1" x14ac:dyDescent="0.2">
      <c r="B125" s="135"/>
      <c r="C125" s="119"/>
      <c r="D125" s="44">
        <v>118</v>
      </c>
      <c r="E125" s="72" t="s">
        <v>2078</v>
      </c>
      <c r="F125" s="44" t="s">
        <v>16</v>
      </c>
      <c r="G125" s="44" t="s">
        <v>2079</v>
      </c>
      <c r="H125" s="44" t="s">
        <v>9</v>
      </c>
      <c r="I125" s="44" t="s">
        <v>13</v>
      </c>
      <c r="J125" s="72" t="s">
        <v>1316</v>
      </c>
      <c r="K125" s="73">
        <v>41488</v>
      </c>
      <c r="L125" s="30">
        <v>2013</v>
      </c>
      <c r="M125" s="30">
        <f t="shared" si="2"/>
        <v>6</v>
      </c>
      <c r="N125" s="44" t="s">
        <v>3</v>
      </c>
      <c r="O125" s="44" t="s">
        <v>1229</v>
      </c>
      <c r="P125" s="72" t="s">
        <v>1258</v>
      </c>
      <c r="Q125" s="44"/>
      <c r="R125" s="72" t="s">
        <v>1819</v>
      </c>
    </row>
    <row r="126" spans="2:18" x14ac:dyDescent="0.2">
      <c r="B126" s="90">
        <v>39</v>
      </c>
      <c r="C126" s="44"/>
      <c r="D126" s="44">
        <v>119</v>
      </c>
      <c r="E126" s="72" t="s">
        <v>503</v>
      </c>
      <c r="F126" s="44" t="s">
        <v>6</v>
      </c>
      <c r="G126" s="44" t="s">
        <v>504</v>
      </c>
      <c r="H126" s="44" t="s">
        <v>9</v>
      </c>
      <c r="I126" s="44" t="s">
        <v>19</v>
      </c>
      <c r="J126" s="72"/>
      <c r="K126" s="73">
        <v>16071</v>
      </c>
      <c r="L126" s="30">
        <f>YEAR(K126)</f>
        <v>1943</v>
      </c>
      <c r="M126" s="30">
        <f t="shared" si="2"/>
        <v>76</v>
      </c>
      <c r="N126" s="44" t="s">
        <v>3</v>
      </c>
      <c r="O126" s="44"/>
      <c r="P126" s="72" t="s">
        <v>15</v>
      </c>
      <c r="Q126" s="44"/>
      <c r="R126" s="72" t="s">
        <v>15</v>
      </c>
    </row>
    <row r="127" spans="2:18" ht="25.5" hidden="1" x14ac:dyDescent="0.2">
      <c r="B127" s="135">
        <v>40</v>
      </c>
      <c r="C127" s="119" t="s">
        <v>2080</v>
      </c>
      <c r="D127" s="44">
        <v>120</v>
      </c>
      <c r="E127" s="72" t="s">
        <v>505</v>
      </c>
      <c r="F127" s="44" t="s">
        <v>6</v>
      </c>
      <c r="G127" s="44" t="s">
        <v>2081</v>
      </c>
      <c r="H127" s="44" t="s">
        <v>9</v>
      </c>
      <c r="I127" s="44" t="s">
        <v>1296</v>
      </c>
      <c r="J127" s="72" t="s">
        <v>1232</v>
      </c>
      <c r="K127" s="73">
        <v>29586</v>
      </c>
      <c r="L127" s="30">
        <v>1980</v>
      </c>
      <c r="M127" s="30">
        <f t="shared" si="2"/>
        <v>39</v>
      </c>
      <c r="N127" s="44" t="s">
        <v>3</v>
      </c>
      <c r="O127" s="44" t="s">
        <v>1229</v>
      </c>
      <c r="P127" s="72" t="s">
        <v>1233</v>
      </c>
      <c r="Q127" s="44"/>
      <c r="R127" s="72" t="s">
        <v>1330</v>
      </c>
    </row>
    <row r="128" spans="2:18" ht="25.5" hidden="1" x14ac:dyDescent="0.2">
      <c r="B128" s="135"/>
      <c r="C128" s="119"/>
      <c r="D128" s="44">
        <v>121</v>
      </c>
      <c r="E128" s="72" t="s">
        <v>508</v>
      </c>
      <c r="F128" s="44" t="s">
        <v>16</v>
      </c>
      <c r="G128" s="44" t="s">
        <v>509</v>
      </c>
      <c r="H128" s="44" t="s">
        <v>1</v>
      </c>
      <c r="I128" s="44" t="s">
        <v>13</v>
      </c>
      <c r="J128" s="72" t="s">
        <v>1232</v>
      </c>
      <c r="K128" s="73">
        <v>37993</v>
      </c>
      <c r="L128" s="30">
        <v>2004</v>
      </c>
      <c r="M128" s="30">
        <f>2019-L128</f>
        <v>15</v>
      </c>
      <c r="N128" s="44" t="s">
        <v>3</v>
      </c>
      <c r="O128" s="44" t="s">
        <v>1229</v>
      </c>
      <c r="P128" s="72" t="s">
        <v>1233</v>
      </c>
      <c r="Q128" s="44"/>
      <c r="R128" s="72" t="s">
        <v>1822</v>
      </c>
    </row>
    <row r="129" spans="2:18" ht="25.5" hidden="1" x14ac:dyDescent="0.2">
      <c r="B129" s="135"/>
      <c r="C129" s="119"/>
      <c r="D129" s="44">
        <v>122</v>
      </c>
      <c r="E129" s="72" t="s">
        <v>506</v>
      </c>
      <c r="F129" s="44" t="s">
        <v>16</v>
      </c>
      <c r="G129" s="44" t="s">
        <v>507</v>
      </c>
      <c r="H129" s="44" t="s">
        <v>1</v>
      </c>
      <c r="I129" s="44" t="s">
        <v>13</v>
      </c>
      <c r="J129" s="72" t="s">
        <v>1232</v>
      </c>
      <c r="K129" s="73">
        <v>39026</v>
      </c>
      <c r="L129" s="30">
        <v>2006</v>
      </c>
      <c r="M129" s="30">
        <f t="shared" si="2"/>
        <v>13</v>
      </c>
      <c r="N129" s="44" t="s">
        <v>3</v>
      </c>
      <c r="O129" s="44" t="s">
        <v>1229</v>
      </c>
      <c r="P129" s="72" t="s">
        <v>1233</v>
      </c>
      <c r="Q129" s="44"/>
      <c r="R129" s="72" t="s">
        <v>1822</v>
      </c>
    </row>
    <row r="130" spans="2:18" hidden="1" x14ac:dyDescent="0.2">
      <c r="B130" s="135">
        <v>41</v>
      </c>
      <c r="C130" s="135"/>
      <c r="D130" s="44">
        <v>123</v>
      </c>
      <c r="E130" s="72" t="s">
        <v>510</v>
      </c>
      <c r="F130" s="44" t="s">
        <v>6</v>
      </c>
      <c r="G130" s="44" t="s">
        <v>511</v>
      </c>
      <c r="H130" s="44" t="s">
        <v>1</v>
      </c>
      <c r="I130" s="44" t="s">
        <v>2</v>
      </c>
      <c r="J130" s="72"/>
      <c r="K130" s="73">
        <v>24510</v>
      </c>
      <c r="L130" s="30">
        <f t="shared" ref="L130:L132" si="5">YEAR(K130)</f>
        <v>1967</v>
      </c>
      <c r="M130" s="30">
        <f t="shared" si="2"/>
        <v>52</v>
      </c>
      <c r="N130" s="44" t="s">
        <v>3</v>
      </c>
      <c r="O130" s="44"/>
      <c r="P130" s="72" t="s">
        <v>15</v>
      </c>
      <c r="Q130" s="44"/>
      <c r="R130" s="72" t="s">
        <v>34</v>
      </c>
    </row>
    <row r="131" spans="2:18" hidden="1" x14ac:dyDescent="0.2">
      <c r="B131" s="135"/>
      <c r="C131" s="135"/>
      <c r="D131" s="44">
        <v>124</v>
      </c>
      <c r="E131" s="72" t="s">
        <v>512</v>
      </c>
      <c r="F131" s="44" t="s">
        <v>11</v>
      </c>
      <c r="G131" s="44" t="s">
        <v>513</v>
      </c>
      <c r="H131" s="44" t="s">
        <v>9</v>
      </c>
      <c r="I131" s="44" t="s">
        <v>2</v>
      </c>
      <c r="J131" s="72"/>
      <c r="K131" s="73">
        <v>28126</v>
      </c>
      <c r="L131" s="30">
        <f t="shared" si="5"/>
        <v>1977</v>
      </c>
      <c r="M131" s="30">
        <f t="shared" si="2"/>
        <v>42</v>
      </c>
      <c r="N131" s="44" t="s">
        <v>3</v>
      </c>
      <c r="O131" s="44"/>
      <c r="P131" s="72" t="s">
        <v>15</v>
      </c>
      <c r="Q131" s="44"/>
      <c r="R131" s="72" t="s">
        <v>34</v>
      </c>
    </row>
    <row r="132" spans="2:18" hidden="1" x14ac:dyDescent="0.2">
      <c r="B132" s="90">
        <v>42</v>
      </c>
      <c r="C132" s="44"/>
      <c r="D132" s="44">
        <v>125</v>
      </c>
      <c r="E132" s="72" t="s">
        <v>514</v>
      </c>
      <c r="F132" s="44" t="s">
        <v>6</v>
      </c>
      <c r="G132" s="44" t="s">
        <v>515</v>
      </c>
      <c r="H132" s="44" t="s">
        <v>1</v>
      </c>
      <c r="I132" s="44" t="s">
        <v>95</v>
      </c>
      <c r="J132" s="72"/>
      <c r="K132" s="73">
        <v>31961</v>
      </c>
      <c r="L132" s="30">
        <f t="shared" si="5"/>
        <v>1987</v>
      </c>
      <c r="M132" s="30">
        <f t="shared" si="2"/>
        <v>32</v>
      </c>
      <c r="N132" s="44" t="s">
        <v>3</v>
      </c>
      <c r="O132" s="44"/>
      <c r="P132" s="72" t="s">
        <v>4</v>
      </c>
      <c r="Q132" s="44"/>
      <c r="R132" s="72" t="s">
        <v>34</v>
      </c>
    </row>
    <row r="133" spans="2:18" ht="25.5" hidden="1" x14ac:dyDescent="0.2">
      <c r="B133" s="135">
        <v>43</v>
      </c>
      <c r="C133" s="119" t="s">
        <v>2082</v>
      </c>
      <c r="D133" s="44">
        <v>126</v>
      </c>
      <c r="E133" s="72" t="s">
        <v>516</v>
      </c>
      <c r="F133" s="44" t="s">
        <v>6</v>
      </c>
      <c r="G133" s="44" t="s">
        <v>517</v>
      </c>
      <c r="H133" s="44" t="s">
        <v>1</v>
      </c>
      <c r="I133" s="44" t="s">
        <v>2</v>
      </c>
      <c r="J133" s="72" t="s">
        <v>1232</v>
      </c>
      <c r="K133" s="73">
        <v>28318</v>
      </c>
      <c r="L133" s="30">
        <v>1977</v>
      </c>
      <c r="M133" s="30">
        <f t="shared" si="2"/>
        <v>42</v>
      </c>
      <c r="N133" s="44" t="s">
        <v>3</v>
      </c>
      <c r="O133" s="44" t="s">
        <v>1229</v>
      </c>
      <c r="P133" s="72" t="s">
        <v>1247</v>
      </c>
      <c r="Q133" s="44"/>
      <c r="R133" s="72" t="s">
        <v>1815</v>
      </c>
    </row>
    <row r="134" spans="2:18" ht="25.5" hidden="1" x14ac:dyDescent="0.2">
      <c r="B134" s="135"/>
      <c r="C134" s="119"/>
      <c r="D134" s="44">
        <v>127</v>
      </c>
      <c r="E134" s="72" t="s">
        <v>518</v>
      </c>
      <c r="F134" s="44" t="s">
        <v>11</v>
      </c>
      <c r="G134" s="44" t="s">
        <v>519</v>
      </c>
      <c r="H134" s="44" t="s">
        <v>9</v>
      </c>
      <c r="I134" s="44" t="s">
        <v>2</v>
      </c>
      <c r="J134" s="72" t="s">
        <v>2036</v>
      </c>
      <c r="K134" s="73">
        <v>28703</v>
      </c>
      <c r="L134" s="30">
        <v>1978</v>
      </c>
      <c r="M134" s="30">
        <f t="shared" si="2"/>
        <v>41</v>
      </c>
      <c r="N134" s="44" t="s">
        <v>3</v>
      </c>
      <c r="O134" s="44" t="s">
        <v>1229</v>
      </c>
      <c r="P134" s="72" t="s">
        <v>1233</v>
      </c>
      <c r="Q134" s="44"/>
      <c r="R134" s="72" t="s">
        <v>1330</v>
      </c>
    </row>
    <row r="135" spans="2:18" ht="25.5" hidden="1" x14ac:dyDescent="0.2">
      <c r="B135" s="135"/>
      <c r="C135" s="119"/>
      <c r="D135" s="44">
        <v>128</v>
      </c>
      <c r="E135" s="72" t="s">
        <v>520</v>
      </c>
      <c r="F135" s="44" t="s">
        <v>16</v>
      </c>
      <c r="G135" s="44" t="s">
        <v>521</v>
      </c>
      <c r="H135" s="44" t="s">
        <v>1</v>
      </c>
      <c r="I135" s="44" t="s">
        <v>13</v>
      </c>
      <c r="J135" s="72" t="s">
        <v>1232</v>
      </c>
      <c r="K135" s="73">
        <v>36591</v>
      </c>
      <c r="L135" s="30">
        <v>2000</v>
      </c>
      <c r="M135" s="30">
        <f t="shared" si="2"/>
        <v>19</v>
      </c>
      <c r="N135" s="44" t="s">
        <v>3</v>
      </c>
      <c r="O135" s="44" t="s">
        <v>1229</v>
      </c>
      <c r="P135" s="72" t="s">
        <v>1233</v>
      </c>
      <c r="Q135" s="44"/>
      <c r="R135" s="72" t="s">
        <v>1822</v>
      </c>
    </row>
    <row r="136" spans="2:18" ht="25.5" hidden="1" x14ac:dyDescent="0.2">
      <c r="B136" s="135"/>
      <c r="C136" s="119"/>
      <c r="D136" s="44">
        <v>129</v>
      </c>
      <c r="E136" s="72" t="s">
        <v>522</v>
      </c>
      <c r="F136" s="44" t="s">
        <v>16</v>
      </c>
      <c r="G136" s="44" t="s">
        <v>523</v>
      </c>
      <c r="H136" s="44" t="s">
        <v>9</v>
      </c>
      <c r="I136" s="44" t="s">
        <v>13</v>
      </c>
      <c r="J136" s="72" t="s">
        <v>1232</v>
      </c>
      <c r="K136" s="73">
        <v>40127</v>
      </c>
      <c r="L136" s="30">
        <v>2009</v>
      </c>
      <c r="M136" s="30">
        <f t="shared" si="2"/>
        <v>10</v>
      </c>
      <c r="N136" s="44" t="s">
        <v>3</v>
      </c>
      <c r="O136" s="44" t="s">
        <v>1229</v>
      </c>
      <c r="P136" s="72" t="s">
        <v>1258</v>
      </c>
      <c r="Q136" s="44"/>
      <c r="R136" s="72" t="s">
        <v>1819</v>
      </c>
    </row>
    <row r="137" spans="2:18" ht="25.5" hidden="1" x14ac:dyDescent="0.2">
      <c r="B137" s="90">
        <v>44</v>
      </c>
      <c r="C137" s="44" t="s">
        <v>2083</v>
      </c>
      <c r="D137" s="44">
        <v>130</v>
      </c>
      <c r="E137" s="72" t="s">
        <v>62</v>
      </c>
      <c r="F137" s="44" t="s">
        <v>6</v>
      </c>
      <c r="G137" s="44" t="s">
        <v>524</v>
      </c>
      <c r="H137" s="44" t="s">
        <v>9</v>
      </c>
      <c r="I137" s="44" t="s">
        <v>1296</v>
      </c>
      <c r="J137" s="72" t="s">
        <v>1232</v>
      </c>
      <c r="K137" s="73">
        <v>25203</v>
      </c>
      <c r="L137" s="30">
        <v>1968</v>
      </c>
      <c r="M137" s="30">
        <f t="shared" si="2"/>
        <v>51</v>
      </c>
      <c r="N137" s="44" t="s">
        <v>3</v>
      </c>
      <c r="O137" s="44" t="s">
        <v>1229</v>
      </c>
      <c r="P137" s="72" t="s">
        <v>1233</v>
      </c>
      <c r="Q137" s="44"/>
      <c r="R137" s="72" t="s">
        <v>1815</v>
      </c>
    </row>
    <row r="138" spans="2:18" ht="25.5" hidden="1" x14ac:dyDescent="0.2">
      <c r="B138" s="135">
        <v>45</v>
      </c>
      <c r="C138" s="119" t="s">
        <v>2084</v>
      </c>
      <c r="D138" s="44">
        <v>131</v>
      </c>
      <c r="E138" s="72" t="s">
        <v>2085</v>
      </c>
      <c r="F138" s="44" t="s">
        <v>6</v>
      </c>
      <c r="G138" s="44" t="s">
        <v>525</v>
      </c>
      <c r="H138" s="44" t="s">
        <v>1</v>
      </c>
      <c r="I138" s="44" t="s">
        <v>2</v>
      </c>
      <c r="J138" s="72" t="s">
        <v>1232</v>
      </c>
      <c r="K138" s="73">
        <v>33006</v>
      </c>
      <c r="L138" s="30">
        <v>1990</v>
      </c>
      <c r="M138" s="30">
        <f t="shared" si="2"/>
        <v>29</v>
      </c>
      <c r="N138" s="44" t="s">
        <v>3</v>
      </c>
      <c r="O138" s="44" t="s">
        <v>1229</v>
      </c>
      <c r="P138" s="72" t="s">
        <v>1233</v>
      </c>
      <c r="Q138" s="44"/>
      <c r="R138" s="72" t="s">
        <v>1330</v>
      </c>
    </row>
    <row r="139" spans="2:18" ht="25.5" hidden="1" x14ac:dyDescent="0.2">
      <c r="B139" s="135"/>
      <c r="C139" s="119"/>
      <c r="D139" s="44">
        <v>132</v>
      </c>
      <c r="E139" s="72" t="s">
        <v>239</v>
      </c>
      <c r="F139" s="44" t="s">
        <v>11</v>
      </c>
      <c r="G139" s="44" t="s">
        <v>2086</v>
      </c>
      <c r="H139" s="44" t="s">
        <v>9</v>
      </c>
      <c r="I139" s="44" t="s">
        <v>2</v>
      </c>
      <c r="J139" s="72" t="s">
        <v>1232</v>
      </c>
      <c r="K139" s="73">
        <v>35419</v>
      </c>
      <c r="L139" s="30">
        <v>1996</v>
      </c>
      <c r="M139" s="30">
        <f t="shared" si="2"/>
        <v>23</v>
      </c>
      <c r="N139" s="44" t="s">
        <v>3</v>
      </c>
      <c r="O139" s="44" t="s">
        <v>1229</v>
      </c>
      <c r="P139" s="72" t="s">
        <v>1246</v>
      </c>
      <c r="Q139" s="44"/>
      <c r="R139" s="72" t="s">
        <v>1360</v>
      </c>
    </row>
    <row r="140" spans="2:18" ht="25.5" hidden="1" x14ac:dyDescent="0.2">
      <c r="B140" s="135"/>
      <c r="C140" s="119"/>
      <c r="D140" s="44">
        <v>133</v>
      </c>
      <c r="E140" s="72" t="s">
        <v>526</v>
      </c>
      <c r="F140" s="44" t="s">
        <v>16</v>
      </c>
      <c r="G140" s="44" t="s">
        <v>2087</v>
      </c>
      <c r="H140" s="44" t="s">
        <v>1</v>
      </c>
      <c r="I140" s="44" t="s">
        <v>13</v>
      </c>
      <c r="J140" s="72" t="s">
        <v>1232</v>
      </c>
      <c r="K140" s="73">
        <v>41896</v>
      </c>
      <c r="L140" s="30">
        <v>2014</v>
      </c>
      <c r="M140" s="30">
        <f t="shared" si="2"/>
        <v>5</v>
      </c>
      <c r="N140" s="44" t="s">
        <v>3</v>
      </c>
      <c r="O140" s="44" t="s">
        <v>1229</v>
      </c>
      <c r="P140" s="72" t="s">
        <v>1258</v>
      </c>
      <c r="Q140" s="44"/>
      <c r="R140" s="72" t="s">
        <v>1819</v>
      </c>
    </row>
    <row r="141" spans="2:18" ht="25.5" x14ac:dyDescent="0.2">
      <c r="B141" s="135">
        <v>46</v>
      </c>
      <c r="C141" s="119" t="s">
        <v>2088</v>
      </c>
      <c r="D141" s="44">
        <v>134</v>
      </c>
      <c r="E141" s="72" t="s">
        <v>527</v>
      </c>
      <c r="F141" s="44" t="s">
        <v>6</v>
      </c>
      <c r="G141" s="44" t="s">
        <v>2089</v>
      </c>
      <c r="H141" s="44" t="s">
        <v>1</v>
      </c>
      <c r="I141" s="44" t="s">
        <v>2</v>
      </c>
      <c r="J141" s="72" t="s">
        <v>1232</v>
      </c>
      <c r="K141" s="73">
        <v>20820</v>
      </c>
      <c r="L141" s="30">
        <v>1956</v>
      </c>
      <c r="M141" s="30">
        <f t="shared" si="2"/>
        <v>63</v>
      </c>
      <c r="N141" s="44" t="s">
        <v>3</v>
      </c>
      <c r="O141" s="44" t="s">
        <v>1229</v>
      </c>
      <c r="P141" s="72" t="s">
        <v>1233</v>
      </c>
      <c r="Q141" s="44"/>
      <c r="R141" s="72" t="s">
        <v>1330</v>
      </c>
    </row>
    <row r="142" spans="2:18" ht="25.5" x14ac:dyDescent="0.2">
      <c r="B142" s="135"/>
      <c r="C142" s="119"/>
      <c r="D142" s="44">
        <v>135</v>
      </c>
      <c r="E142" s="72" t="s">
        <v>528</v>
      </c>
      <c r="F142" s="44" t="s">
        <v>11</v>
      </c>
      <c r="G142" s="44" t="s">
        <v>529</v>
      </c>
      <c r="H142" s="44" t="s">
        <v>9</v>
      </c>
      <c r="I142" s="44" t="s">
        <v>2</v>
      </c>
      <c r="J142" s="72" t="s">
        <v>1232</v>
      </c>
      <c r="K142" s="73">
        <v>21185</v>
      </c>
      <c r="L142" s="30">
        <v>1957</v>
      </c>
      <c r="M142" s="30">
        <f t="shared" si="2"/>
        <v>62</v>
      </c>
      <c r="N142" s="44" t="s">
        <v>3</v>
      </c>
      <c r="O142" s="44" t="s">
        <v>1229</v>
      </c>
      <c r="P142" s="72" t="s">
        <v>1233</v>
      </c>
      <c r="Q142" s="44"/>
      <c r="R142" s="72" t="s">
        <v>1330</v>
      </c>
    </row>
    <row r="143" spans="2:18" hidden="1" x14ac:dyDescent="0.2">
      <c r="B143" s="135"/>
      <c r="C143" s="119"/>
      <c r="D143" s="44">
        <v>136</v>
      </c>
      <c r="E143" s="72" t="s">
        <v>530</v>
      </c>
      <c r="F143" s="44" t="s">
        <v>16</v>
      </c>
      <c r="G143" s="44" t="s">
        <v>2090</v>
      </c>
      <c r="H143" s="44" t="s">
        <v>1</v>
      </c>
      <c r="I143" s="44" t="s">
        <v>13</v>
      </c>
      <c r="J143" s="72" t="s">
        <v>1232</v>
      </c>
      <c r="K143" s="73">
        <v>33238</v>
      </c>
      <c r="L143" s="30">
        <v>1990</v>
      </c>
      <c r="M143" s="30">
        <f t="shared" si="2"/>
        <v>29</v>
      </c>
      <c r="N143" s="44" t="s">
        <v>3</v>
      </c>
      <c r="O143" s="44" t="s">
        <v>1229</v>
      </c>
      <c r="P143" s="72" t="s">
        <v>1246</v>
      </c>
      <c r="Q143" s="44"/>
      <c r="R143" s="72" t="s">
        <v>1822</v>
      </c>
    </row>
    <row r="144" spans="2:18" ht="25.5" hidden="1" x14ac:dyDescent="0.2">
      <c r="B144" s="135"/>
      <c r="C144" s="119"/>
      <c r="D144" s="44">
        <v>137</v>
      </c>
      <c r="E144" s="72" t="s">
        <v>531</v>
      </c>
      <c r="F144" s="44" t="s">
        <v>16</v>
      </c>
      <c r="G144" s="44" t="s">
        <v>2091</v>
      </c>
      <c r="H144" s="44" t="s">
        <v>9</v>
      </c>
      <c r="I144" s="44" t="s">
        <v>13</v>
      </c>
      <c r="J144" s="72" t="s">
        <v>1232</v>
      </c>
      <c r="K144" s="73">
        <v>38417</v>
      </c>
      <c r="L144" s="30">
        <v>2005</v>
      </c>
      <c r="M144" s="30">
        <f t="shared" ref="M144:M208" si="6">2019-L144</f>
        <v>14</v>
      </c>
      <c r="N144" s="44" t="s">
        <v>3</v>
      </c>
      <c r="O144" s="44" t="s">
        <v>1229</v>
      </c>
      <c r="P144" s="72" t="s">
        <v>1247</v>
      </c>
      <c r="Q144" s="44"/>
      <c r="R144" s="72" t="s">
        <v>1822</v>
      </c>
    </row>
    <row r="145" spans="2:18" hidden="1" x14ac:dyDescent="0.2">
      <c r="B145" s="135">
        <v>47</v>
      </c>
      <c r="C145" s="135"/>
      <c r="D145" s="44">
        <v>138</v>
      </c>
      <c r="E145" s="72" t="s">
        <v>532</v>
      </c>
      <c r="F145" s="44" t="s">
        <v>6</v>
      </c>
      <c r="G145" s="44" t="s">
        <v>533</v>
      </c>
      <c r="H145" s="44" t="s">
        <v>1</v>
      </c>
      <c r="I145" s="44" t="s">
        <v>2</v>
      </c>
      <c r="J145" s="72"/>
      <c r="K145" s="73">
        <v>31412</v>
      </c>
      <c r="L145" s="30">
        <f t="shared" ref="L145:L148" si="7">YEAR(K145)</f>
        <v>1985</v>
      </c>
      <c r="M145" s="30">
        <f t="shared" si="6"/>
        <v>34</v>
      </c>
      <c r="N145" s="44" t="s">
        <v>3</v>
      </c>
      <c r="O145" s="44"/>
      <c r="P145" s="72" t="s">
        <v>4</v>
      </c>
      <c r="Q145" s="44"/>
      <c r="R145" s="72" t="s">
        <v>34</v>
      </c>
    </row>
    <row r="146" spans="2:18" hidden="1" x14ac:dyDescent="0.2">
      <c r="B146" s="135"/>
      <c r="C146" s="135"/>
      <c r="D146" s="44">
        <v>139</v>
      </c>
      <c r="E146" s="72" t="s">
        <v>534</v>
      </c>
      <c r="F146" s="44" t="s">
        <v>11</v>
      </c>
      <c r="G146" s="44" t="s">
        <v>535</v>
      </c>
      <c r="H146" s="44" t="s">
        <v>9</v>
      </c>
      <c r="I146" s="44" t="s">
        <v>2</v>
      </c>
      <c r="J146" s="72"/>
      <c r="K146" s="73">
        <v>35587</v>
      </c>
      <c r="L146" s="30">
        <f t="shared" si="7"/>
        <v>1997</v>
      </c>
      <c r="M146" s="30">
        <f t="shared" si="6"/>
        <v>22</v>
      </c>
      <c r="N146" s="44" t="s">
        <v>3</v>
      </c>
      <c r="O146" s="44"/>
      <c r="P146" s="72" t="s">
        <v>4</v>
      </c>
      <c r="Q146" s="44"/>
      <c r="R146" s="72" t="s">
        <v>10</v>
      </c>
    </row>
    <row r="147" spans="2:18" hidden="1" x14ac:dyDescent="0.2">
      <c r="B147" s="135"/>
      <c r="C147" s="135"/>
      <c r="D147" s="44">
        <v>140</v>
      </c>
      <c r="E147" s="72" t="s">
        <v>536</v>
      </c>
      <c r="F147" s="44" t="s">
        <v>16</v>
      </c>
      <c r="G147" s="44">
        <v>0</v>
      </c>
      <c r="H147" s="44" t="s">
        <v>9</v>
      </c>
      <c r="I147" s="44" t="s">
        <v>13</v>
      </c>
      <c r="J147" s="72"/>
      <c r="K147" s="73">
        <v>41922</v>
      </c>
      <c r="L147" s="30">
        <f t="shared" si="7"/>
        <v>2014</v>
      </c>
      <c r="M147" s="30">
        <f t="shared" si="6"/>
        <v>5</v>
      </c>
      <c r="N147" s="44" t="s">
        <v>3</v>
      </c>
      <c r="O147" s="44"/>
      <c r="P147" s="72" t="s">
        <v>15</v>
      </c>
      <c r="Q147" s="44"/>
      <c r="R147" s="72" t="s">
        <v>15</v>
      </c>
    </row>
    <row r="148" spans="2:18" x14ac:dyDescent="0.2">
      <c r="B148" s="90">
        <v>48</v>
      </c>
      <c r="C148" s="44"/>
      <c r="D148" s="44">
        <v>141</v>
      </c>
      <c r="E148" s="72" t="s">
        <v>537</v>
      </c>
      <c r="F148" s="44" t="s">
        <v>6</v>
      </c>
      <c r="G148" s="44">
        <v>0</v>
      </c>
      <c r="H148" s="44" t="s">
        <v>9</v>
      </c>
      <c r="I148" s="44" t="s">
        <v>19</v>
      </c>
      <c r="J148" s="72"/>
      <c r="K148" s="73">
        <v>14976</v>
      </c>
      <c r="L148" s="30">
        <f t="shared" si="7"/>
        <v>1940</v>
      </c>
      <c r="M148" s="30">
        <f t="shared" si="6"/>
        <v>79</v>
      </c>
      <c r="N148" s="44" t="s">
        <v>3</v>
      </c>
      <c r="O148" s="44"/>
      <c r="P148" s="72" t="s">
        <v>15</v>
      </c>
      <c r="Q148" s="44"/>
      <c r="R148" s="72" t="s">
        <v>15</v>
      </c>
    </row>
    <row r="149" spans="2:18" ht="25.5" hidden="1" x14ac:dyDescent="0.2">
      <c r="B149" s="135">
        <v>49</v>
      </c>
      <c r="C149" s="119" t="s">
        <v>2092</v>
      </c>
      <c r="D149" s="44">
        <v>142</v>
      </c>
      <c r="E149" s="72" t="s">
        <v>286</v>
      </c>
      <c r="F149" s="44" t="s">
        <v>6</v>
      </c>
      <c r="G149" s="44" t="s">
        <v>538</v>
      </c>
      <c r="H149" s="44" t="s">
        <v>1</v>
      </c>
      <c r="I149" s="44" t="s">
        <v>2</v>
      </c>
      <c r="J149" s="72" t="s">
        <v>1232</v>
      </c>
      <c r="K149" s="73">
        <v>29074</v>
      </c>
      <c r="L149" s="30">
        <v>1979</v>
      </c>
      <c r="M149" s="30">
        <f t="shared" si="6"/>
        <v>40</v>
      </c>
      <c r="N149" s="44" t="s">
        <v>3</v>
      </c>
      <c r="O149" s="44" t="s">
        <v>1229</v>
      </c>
      <c r="P149" s="72" t="s">
        <v>1258</v>
      </c>
      <c r="Q149" s="44"/>
      <c r="R149" s="72" t="s">
        <v>1330</v>
      </c>
    </row>
    <row r="150" spans="2:18" ht="25.5" hidden="1" x14ac:dyDescent="0.2">
      <c r="B150" s="135"/>
      <c r="C150" s="119"/>
      <c r="D150" s="44">
        <v>143</v>
      </c>
      <c r="E150" s="72" t="s">
        <v>182</v>
      </c>
      <c r="F150" s="44" t="s">
        <v>11</v>
      </c>
      <c r="G150" s="44" t="s">
        <v>539</v>
      </c>
      <c r="H150" s="44" t="s">
        <v>9</v>
      </c>
      <c r="I150" s="44" t="s">
        <v>2</v>
      </c>
      <c r="J150" s="72" t="s">
        <v>1232</v>
      </c>
      <c r="K150" s="73">
        <v>27791</v>
      </c>
      <c r="L150" s="30">
        <v>1978</v>
      </c>
      <c r="M150" s="30">
        <f t="shared" si="6"/>
        <v>41</v>
      </c>
      <c r="N150" s="44" t="s">
        <v>3</v>
      </c>
      <c r="O150" s="44" t="s">
        <v>1229</v>
      </c>
      <c r="P150" s="72" t="s">
        <v>1258</v>
      </c>
      <c r="Q150" s="44"/>
      <c r="R150" s="72" t="s">
        <v>1330</v>
      </c>
    </row>
    <row r="151" spans="2:18" ht="25.5" hidden="1" x14ac:dyDescent="0.2">
      <c r="B151" s="135">
        <v>50</v>
      </c>
      <c r="C151" s="119" t="s">
        <v>2093</v>
      </c>
      <c r="D151" s="44">
        <v>144</v>
      </c>
      <c r="E151" s="72" t="s">
        <v>540</v>
      </c>
      <c r="F151" s="44" t="s">
        <v>6</v>
      </c>
      <c r="G151" s="44" t="s">
        <v>2094</v>
      </c>
      <c r="H151" s="44" t="s">
        <v>9</v>
      </c>
      <c r="I151" s="44" t="s">
        <v>1421</v>
      </c>
      <c r="J151" s="72" t="s">
        <v>1232</v>
      </c>
      <c r="K151" s="73">
        <v>31640</v>
      </c>
      <c r="L151" s="30">
        <v>1986</v>
      </c>
      <c r="M151" s="30">
        <f t="shared" si="6"/>
        <v>33</v>
      </c>
      <c r="N151" s="44" t="s">
        <v>3</v>
      </c>
      <c r="O151" s="44" t="s">
        <v>1229</v>
      </c>
      <c r="P151" s="72" t="s">
        <v>1233</v>
      </c>
      <c r="Q151" s="44"/>
      <c r="R151" s="72" t="s">
        <v>1360</v>
      </c>
    </row>
    <row r="152" spans="2:18" ht="25.5" hidden="1" x14ac:dyDescent="0.2">
      <c r="B152" s="135"/>
      <c r="C152" s="119"/>
      <c r="D152" s="44">
        <v>145</v>
      </c>
      <c r="E152" s="72" t="s">
        <v>2095</v>
      </c>
      <c r="F152" s="44" t="s">
        <v>11</v>
      </c>
      <c r="G152" s="44" t="s">
        <v>2096</v>
      </c>
      <c r="H152" s="44" t="s">
        <v>1</v>
      </c>
      <c r="I152" s="44" t="s">
        <v>13</v>
      </c>
      <c r="J152" s="72" t="s">
        <v>1232</v>
      </c>
      <c r="K152" s="73">
        <v>39200</v>
      </c>
      <c r="L152" s="30">
        <v>2007</v>
      </c>
      <c r="M152" s="30">
        <f t="shared" si="6"/>
        <v>12</v>
      </c>
      <c r="N152" s="44" t="s">
        <v>3</v>
      </c>
      <c r="O152" s="44" t="s">
        <v>1229</v>
      </c>
      <c r="P152" s="72" t="s">
        <v>1233</v>
      </c>
      <c r="Q152" s="44"/>
      <c r="R152" s="72" t="s">
        <v>1822</v>
      </c>
    </row>
    <row r="153" spans="2:18" ht="25.5" hidden="1" x14ac:dyDescent="0.2">
      <c r="B153" s="135">
        <v>51</v>
      </c>
      <c r="C153" s="119" t="s">
        <v>2097</v>
      </c>
      <c r="D153" s="44">
        <v>146</v>
      </c>
      <c r="E153" s="72" t="s">
        <v>541</v>
      </c>
      <c r="F153" s="44" t="s">
        <v>6</v>
      </c>
      <c r="G153" s="44" t="s">
        <v>542</v>
      </c>
      <c r="H153" s="44" t="s">
        <v>1</v>
      </c>
      <c r="I153" s="44" t="s">
        <v>2</v>
      </c>
      <c r="J153" s="72" t="s">
        <v>1232</v>
      </c>
      <c r="K153" s="73">
        <v>30187</v>
      </c>
      <c r="L153" s="30">
        <v>1982</v>
      </c>
      <c r="M153" s="30">
        <f t="shared" si="6"/>
        <v>37</v>
      </c>
      <c r="N153" s="44" t="s">
        <v>3</v>
      </c>
      <c r="O153" s="44" t="s">
        <v>1229</v>
      </c>
      <c r="P153" s="72" t="s">
        <v>1233</v>
      </c>
      <c r="Q153" s="44"/>
      <c r="R153" s="72" t="s">
        <v>5</v>
      </c>
    </row>
    <row r="154" spans="2:18" ht="25.5" hidden="1" x14ac:dyDescent="0.2">
      <c r="B154" s="135"/>
      <c r="C154" s="119"/>
      <c r="D154" s="44">
        <v>147</v>
      </c>
      <c r="E154" s="72" t="s">
        <v>543</v>
      </c>
      <c r="F154" s="44" t="s">
        <v>11</v>
      </c>
      <c r="G154" s="44" t="s">
        <v>2098</v>
      </c>
      <c r="H154" s="44" t="s">
        <v>9</v>
      </c>
      <c r="I154" s="44" t="s">
        <v>2</v>
      </c>
      <c r="J154" s="72" t="s">
        <v>1232</v>
      </c>
      <c r="K154" s="73">
        <v>32759</v>
      </c>
      <c r="L154" s="30">
        <v>1989</v>
      </c>
      <c r="M154" s="30">
        <f t="shared" si="6"/>
        <v>30</v>
      </c>
      <c r="N154" s="44" t="s">
        <v>3</v>
      </c>
      <c r="O154" s="44" t="s">
        <v>1229</v>
      </c>
      <c r="P154" s="72" t="s">
        <v>1233</v>
      </c>
      <c r="Q154" s="44"/>
      <c r="R154" s="72" t="s">
        <v>1360</v>
      </c>
    </row>
    <row r="155" spans="2:18" ht="25.5" hidden="1" x14ac:dyDescent="0.2">
      <c r="B155" s="135"/>
      <c r="C155" s="119"/>
      <c r="D155" s="44">
        <v>148</v>
      </c>
      <c r="E155" s="72" t="s">
        <v>544</v>
      </c>
      <c r="F155" s="44" t="s">
        <v>16</v>
      </c>
      <c r="G155" s="44" t="s">
        <v>545</v>
      </c>
      <c r="H155" s="44" t="s">
        <v>9</v>
      </c>
      <c r="I155" s="44" t="s">
        <v>13</v>
      </c>
      <c r="J155" s="72" t="s">
        <v>1232</v>
      </c>
      <c r="K155" s="73">
        <v>39951</v>
      </c>
      <c r="L155" s="30">
        <v>2009</v>
      </c>
      <c r="M155" s="30">
        <f t="shared" si="6"/>
        <v>10</v>
      </c>
      <c r="N155" s="44" t="s">
        <v>3</v>
      </c>
      <c r="O155" s="44" t="s">
        <v>1229</v>
      </c>
      <c r="P155" s="72" t="s">
        <v>1247</v>
      </c>
      <c r="Q155" s="44"/>
      <c r="R155" s="72" t="s">
        <v>1822</v>
      </c>
    </row>
    <row r="156" spans="2:18" ht="25.5" hidden="1" x14ac:dyDescent="0.2">
      <c r="B156" s="135">
        <v>52</v>
      </c>
      <c r="C156" s="119" t="s">
        <v>2099</v>
      </c>
      <c r="D156" s="44">
        <v>149</v>
      </c>
      <c r="E156" s="72" t="s">
        <v>2202</v>
      </c>
      <c r="F156" s="44" t="s">
        <v>6</v>
      </c>
      <c r="G156" s="44" t="s">
        <v>2100</v>
      </c>
      <c r="H156" s="44" t="s">
        <v>1</v>
      </c>
      <c r="I156" s="44" t="s">
        <v>2</v>
      </c>
      <c r="J156" s="72" t="s">
        <v>1900</v>
      </c>
      <c r="K156" s="73">
        <v>25933</v>
      </c>
      <c r="L156" s="30">
        <v>1970</v>
      </c>
      <c r="M156" s="30">
        <f t="shared" si="6"/>
        <v>49</v>
      </c>
      <c r="N156" s="44" t="s">
        <v>3</v>
      </c>
      <c r="O156" s="44" t="s">
        <v>1229</v>
      </c>
      <c r="P156" s="72" t="s">
        <v>1233</v>
      </c>
      <c r="Q156" s="44"/>
      <c r="R156" s="72" t="s">
        <v>1815</v>
      </c>
    </row>
    <row r="157" spans="2:18" ht="25.5" hidden="1" x14ac:dyDescent="0.2">
      <c r="B157" s="135"/>
      <c r="C157" s="119"/>
      <c r="D157" s="44">
        <v>150</v>
      </c>
      <c r="E157" s="72" t="s">
        <v>151</v>
      </c>
      <c r="F157" s="44" t="s">
        <v>11</v>
      </c>
      <c r="G157" s="44" t="s">
        <v>2101</v>
      </c>
      <c r="H157" s="44" t="s">
        <v>9</v>
      </c>
      <c r="I157" s="44" t="s">
        <v>2</v>
      </c>
      <c r="J157" s="72" t="s">
        <v>1232</v>
      </c>
      <c r="K157" s="73">
        <v>27791</v>
      </c>
      <c r="L157" s="30">
        <v>1976</v>
      </c>
      <c r="M157" s="30">
        <f t="shared" si="6"/>
        <v>43</v>
      </c>
      <c r="N157" s="44" t="s">
        <v>3</v>
      </c>
      <c r="O157" s="44" t="s">
        <v>1229</v>
      </c>
      <c r="P157" s="72" t="s">
        <v>1233</v>
      </c>
      <c r="Q157" s="44"/>
      <c r="R157" s="72" t="s">
        <v>290</v>
      </c>
    </row>
    <row r="158" spans="2:18" ht="25.5" hidden="1" x14ac:dyDescent="0.2">
      <c r="B158" s="135"/>
      <c r="C158" s="119"/>
      <c r="D158" s="44">
        <v>151</v>
      </c>
      <c r="E158" s="72" t="s">
        <v>546</v>
      </c>
      <c r="F158" s="44" t="s">
        <v>16</v>
      </c>
      <c r="G158" s="44" t="s">
        <v>2102</v>
      </c>
      <c r="H158" s="44" t="s">
        <v>1</v>
      </c>
      <c r="I158" s="44" t="s">
        <v>13</v>
      </c>
      <c r="J158" s="72" t="s">
        <v>1232</v>
      </c>
      <c r="K158" s="73">
        <v>36203</v>
      </c>
      <c r="L158" s="30">
        <v>1999</v>
      </c>
      <c r="M158" s="30">
        <f t="shared" si="6"/>
        <v>20</v>
      </c>
      <c r="N158" s="44" t="s">
        <v>3</v>
      </c>
      <c r="O158" s="44" t="s">
        <v>1229</v>
      </c>
      <c r="P158" s="72" t="s">
        <v>1233</v>
      </c>
      <c r="Q158" s="44"/>
      <c r="R158" s="72" t="s">
        <v>1822</v>
      </c>
    </row>
    <row r="159" spans="2:18" ht="25.5" hidden="1" x14ac:dyDescent="0.2">
      <c r="B159" s="135"/>
      <c r="C159" s="119"/>
      <c r="D159" s="44">
        <v>152</v>
      </c>
      <c r="E159" s="72" t="s">
        <v>2103</v>
      </c>
      <c r="F159" s="44" t="s">
        <v>16</v>
      </c>
      <c r="G159" s="44" t="s">
        <v>2104</v>
      </c>
      <c r="H159" s="44" t="s">
        <v>9</v>
      </c>
      <c r="I159" s="44" t="s">
        <v>13</v>
      </c>
      <c r="J159" s="72" t="s">
        <v>1232</v>
      </c>
      <c r="K159" s="73">
        <v>39037</v>
      </c>
      <c r="L159" s="30">
        <v>2006</v>
      </c>
      <c r="M159" s="30">
        <f t="shared" si="6"/>
        <v>13</v>
      </c>
      <c r="N159" s="44" t="s">
        <v>3</v>
      </c>
      <c r="O159" s="44" t="s">
        <v>1229</v>
      </c>
      <c r="P159" s="72" t="s">
        <v>1258</v>
      </c>
      <c r="Q159" s="44"/>
      <c r="R159" s="72" t="s">
        <v>1819</v>
      </c>
    </row>
    <row r="160" spans="2:18" hidden="1" x14ac:dyDescent="0.2">
      <c r="B160" s="135">
        <v>53</v>
      </c>
      <c r="C160" s="135"/>
      <c r="D160" s="44">
        <v>153</v>
      </c>
      <c r="E160" s="72" t="s">
        <v>547</v>
      </c>
      <c r="F160" s="44" t="s">
        <v>6</v>
      </c>
      <c r="G160" s="44" t="s">
        <v>548</v>
      </c>
      <c r="H160" s="44" t="s">
        <v>1</v>
      </c>
      <c r="I160" s="44" t="s">
        <v>2</v>
      </c>
      <c r="J160" s="72"/>
      <c r="K160" s="73">
        <v>28793</v>
      </c>
      <c r="L160" s="30">
        <f t="shared" ref="L160:L163" si="8">YEAR(K160)</f>
        <v>1978</v>
      </c>
      <c r="M160" s="30">
        <f t="shared" si="6"/>
        <v>41</v>
      </c>
      <c r="N160" s="44" t="s">
        <v>3</v>
      </c>
      <c r="O160" s="44"/>
      <c r="P160" s="72" t="s">
        <v>15</v>
      </c>
      <c r="Q160" s="44"/>
      <c r="R160" s="72" t="s">
        <v>34</v>
      </c>
    </row>
    <row r="161" spans="2:18" hidden="1" x14ac:dyDescent="0.2">
      <c r="B161" s="135"/>
      <c r="C161" s="135"/>
      <c r="D161" s="44">
        <v>154</v>
      </c>
      <c r="E161" s="72" t="s">
        <v>369</v>
      </c>
      <c r="F161" s="44" t="s">
        <v>11</v>
      </c>
      <c r="G161" s="44" t="s">
        <v>549</v>
      </c>
      <c r="H161" s="44" t="s">
        <v>9</v>
      </c>
      <c r="I161" s="44" t="s">
        <v>2</v>
      </c>
      <c r="J161" s="72"/>
      <c r="K161" s="73">
        <v>29808</v>
      </c>
      <c r="L161" s="30">
        <f t="shared" si="8"/>
        <v>1981</v>
      </c>
      <c r="M161" s="30">
        <f t="shared" si="6"/>
        <v>38</v>
      </c>
      <c r="N161" s="44" t="s">
        <v>3</v>
      </c>
      <c r="O161" s="44"/>
      <c r="P161" s="72" t="s">
        <v>15</v>
      </c>
      <c r="Q161" s="44"/>
      <c r="R161" s="72" t="s">
        <v>290</v>
      </c>
    </row>
    <row r="162" spans="2:18" hidden="1" x14ac:dyDescent="0.2">
      <c r="B162" s="135"/>
      <c r="C162" s="135"/>
      <c r="D162" s="44">
        <v>155</v>
      </c>
      <c r="E162" s="72" t="s">
        <v>550</v>
      </c>
      <c r="F162" s="44" t="s">
        <v>16</v>
      </c>
      <c r="G162" s="44" t="s">
        <v>551</v>
      </c>
      <c r="H162" s="44" t="s">
        <v>1</v>
      </c>
      <c r="I162" s="44" t="s">
        <v>13</v>
      </c>
      <c r="J162" s="72"/>
      <c r="K162" s="73">
        <v>35829</v>
      </c>
      <c r="L162" s="30">
        <f t="shared" si="8"/>
        <v>1998</v>
      </c>
      <c r="M162" s="30">
        <f t="shared" si="6"/>
        <v>21</v>
      </c>
      <c r="N162" s="44" t="s">
        <v>3</v>
      </c>
      <c r="O162" s="44"/>
      <c r="P162" s="72" t="s">
        <v>14</v>
      </c>
      <c r="Q162" s="44"/>
      <c r="R162" s="72" t="s">
        <v>15</v>
      </c>
    </row>
    <row r="163" spans="2:18" ht="25.5" hidden="1" x14ac:dyDescent="0.2">
      <c r="B163" s="135"/>
      <c r="C163" s="135"/>
      <c r="D163" s="44">
        <v>156</v>
      </c>
      <c r="E163" s="72" t="s">
        <v>552</v>
      </c>
      <c r="F163" s="44" t="s">
        <v>16</v>
      </c>
      <c r="G163" s="44">
        <v>0</v>
      </c>
      <c r="H163" s="44" t="s">
        <v>9</v>
      </c>
      <c r="I163" s="44" t="s">
        <v>13</v>
      </c>
      <c r="J163" s="72"/>
      <c r="K163" s="73">
        <v>40278</v>
      </c>
      <c r="L163" s="30">
        <f t="shared" si="8"/>
        <v>2010</v>
      </c>
      <c r="M163" s="30">
        <f t="shared" si="6"/>
        <v>9</v>
      </c>
      <c r="N163" s="44" t="s">
        <v>3</v>
      </c>
      <c r="O163" s="44"/>
      <c r="P163" s="72" t="s">
        <v>15</v>
      </c>
      <c r="Q163" s="44"/>
      <c r="R163" s="72" t="s">
        <v>15</v>
      </c>
    </row>
    <row r="164" spans="2:18" ht="25.5" hidden="1" x14ac:dyDescent="0.2">
      <c r="B164" s="135">
        <v>54</v>
      </c>
      <c r="C164" s="132" t="s">
        <v>2105</v>
      </c>
      <c r="D164" s="44">
        <v>157</v>
      </c>
      <c r="E164" s="72" t="s">
        <v>1727</v>
      </c>
      <c r="F164" s="44" t="s">
        <v>6</v>
      </c>
      <c r="G164" s="44" t="s">
        <v>2106</v>
      </c>
      <c r="H164" s="44" t="s">
        <v>1</v>
      </c>
      <c r="I164" s="44" t="s">
        <v>2</v>
      </c>
      <c r="J164" s="72" t="s">
        <v>1232</v>
      </c>
      <c r="K164" s="73">
        <v>25152</v>
      </c>
      <c r="L164" s="30">
        <v>1968</v>
      </c>
      <c r="M164" s="30">
        <f t="shared" si="6"/>
        <v>51</v>
      </c>
      <c r="N164" s="44" t="s">
        <v>3</v>
      </c>
      <c r="O164" s="44" t="s">
        <v>1229</v>
      </c>
      <c r="P164" s="72" t="s">
        <v>1233</v>
      </c>
      <c r="Q164" s="44"/>
      <c r="R164" s="72" t="s">
        <v>1815</v>
      </c>
    </row>
    <row r="165" spans="2:18" ht="25.5" hidden="1" x14ac:dyDescent="0.2">
      <c r="B165" s="135"/>
      <c r="C165" s="134"/>
      <c r="D165" s="44">
        <v>158</v>
      </c>
      <c r="E165" s="72" t="s">
        <v>553</v>
      </c>
      <c r="F165" s="44" t="s">
        <v>11</v>
      </c>
      <c r="G165" s="44" t="s">
        <v>2107</v>
      </c>
      <c r="H165" s="44" t="s">
        <v>9</v>
      </c>
      <c r="I165" s="44" t="s">
        <v>2</v>
      </c>
      <c r="J165" s="72" t="s">
        <v>1232</v>
      </c>
      <c r="K165" s="73">
        <v>25933</v>
      </c>
      <c r="L165" s="30">
        <v>1970</v>
      </c>
      <c r="M165" s="30">
        <f t="shared" si="6"/>
        <v>49</v>
      </c>
      <c r="N165" s="44" t="s">
        <v>3</v>
      </c>
      <c r="O165" s="44" t="s">
        <v>1229</v>
      </c>
      <c r="P165" s="72" t="s">
        <v>1233</v>
      </c>
      <c r="Q165" s="44"/>
      <c r="R165" s="72" t="s">
        <v>1815</v>
      </c>
    </row>
    <row r="166" spans="2:18" ht="25.5" hidden="1" x14ac:dyDescent="0.2">
      <c r="B166" s="139">
        <v>55</v>
      </c>
      <c r="C166" s="139"/>
      <c r="D166" s="44">
        <v>159</v>
      </c>
      <c r="E166" s="72" t="s">
        <v>380</v>
      </c>
      <c r="F166" s="44" t="s">
        <v>6</v>
      </c>
      <c r="G166" s="44" t="s">
        <v>2108</v>
      </c>
      <c r="H166" s="44" t="s">
        <v>1</v>
      </c>
      <c r="I166" s="44" t="s">
        <v>2</v>
      </c>
      <c r="J166" s="72" t="s">
        <v>2109</v>
      </c>
      <c r="K166" s="73">
        <v>30691</v>
      </c>
      <c r="L166" s="30">
        <v>1984</v>
      </c>
      <c r="M166" s="30">
        <f t="shared" si="6"/>
        <v>35</v>
      </c>
      <c r="N166" s="44" t="s">
        <v>3</v>
      </c>
      <c r="O166" s="44" t="s">
        <v>1229</v>
      </c>
      <c r="P166" s="72" t="s">
        <v>1233</v>
      </c>
      <c r="Q166" s="44"/>
      <c r="R166" s="72" t="s">
        <v>1330</v>
      </c>
    </row>
    <row r="167" spans="2:18" hidden="1" x14ac:dyDescent="0.2">
      <c r="B167" s="140"/>
      <c r="C167" s="140"/>
      <c r="D167" s="44">
        <v>160</v>
      </c>
      <c r="E167" s="72" t="s">
        <v>554</v>
      </c>
      <c r="F167" s="44" t="s">
        <v>11</v>
      </c>
      <c r="G167" s="44">
        <v>0</v>
      </c>
      <c r="H167" s="44" t="s">
        <v>9</v>
      </c>
      <c r="I167" s="44" t="s">
        <v>2</v>
      </c>
      <c r="J167" s="72"/>
      <c r="K167" s="73">
        <v>33238</v>
      </c>
      <c r="L167" s="30">
        <f t="shared" ref="L167:L169" si="9">YEAR(K167)</f>
        <v>1990</v>
      </c>
      <c r="M167" s="30">
        <f t="shared" si="6"/>
        <v>29</v>
      </c>
      <c r="N167" s="44" t="s">
        <v>3</v>
      </c>
      <c r="O167" s="44"/>
      <c r="P167" s="72" t="s">
        <v>4</v>
      </c>
      <c r="Q167" s="44"/>
      <c r="R167" s="72" t="s">
        <v>34</v>
      </c>
    </row>
    <row r="168" spans="2:18" hidden="1" x14ac:dyDescent="0.2">
      <c r="B168" s="139">
        <v>56</v>
      </c>
      <c r="C168" s="139"/>
      <c r="D168" s="44">
        <v>161</v>
      </c>
      <c r="E168" s="72" t="s">
        <v>555</v>
      </c>
      <c r="F168" s="44" t="s">
        <v>6</v>
      </c>
      <c r="G168" s="44">
        <v>0</v>
      </c>
      <c r="H168" s="44" t="s">
        <v>1</v>
      </c>
      <c r="I168" s="44" t="s">
        <v>2</v>
      </c>
      <c r="J168" s="72"/>
      <c r="K168" s="73">
        <v>29586</v>
      </c>
      <c r="L168" s="30">
        <f t="shared" si="9"/>
        <v>1980</v>
      </c>
      <c r="M168" s="30">
        <f t="shared" si="6"/>
        <v>39</v>
      </c>
      <c r="N168" s="44" t="s">
        <v>3</v>
      </c>
      <c r="O168" s="44"/>
      <c r="P168" s="72" t="s">
        <v>15</v>
      </c>
      <c r="Q168" s="44"/>
      <c r="R168" s="72" t="s">
        <v>34</v>
      </c>
    </row>
    <row r="169" spans="2:18" hidden="1" x14ac:dyDescent="0.2">
      <c r="B169" s="140"/>
      <c r="C169" s="140"/>
      <c r="D169" s="44">
        <v>162</v>
      </c>
      <c r="E169" s="72" t="s">
        <v>556</v>
      </c>
      <c r="F169" s="44" t="s">
        <v>11</v>
      </c>
      <c r="G169" s="44">
        <v>0</v>
      </c>
      <c r="H169" s="44" t="s">
        <v>9</v>
      </c>
      <c r="I169" s="44" t="s">
        <v>2</v>
      </c>
      <c r="J169" s="72"/>
      <c r="K169" s="73">
        <v>31412</v>
      </c>
      <c r="L169" s="30">
        <f t="shared" si="9"/>
        <v>1985</v>
      </c>
      <c r="M169" s="30">
        <f t="shared" si="6"/>
        <v>34</v>
      </c>
      <c r="N169" s="44" t="s">
        <v>3</v>
      </c>
      <c r="O169" s="44"/>
      <c r="P169" s="72" t="s">
        <v>15</v>
      </c>
      <c r="Q169" s="44"/>
      <c r="R169" s="72" t="s">
        <v>34</v>
      </c>
    </row>
    <row r="170" spans="2:18" ht="25.5" hidden="1" x14ac:dyDescent="0.2">
      <c r="B170" s="135">
        <v>57</v>
      </c>
      <c r="C170" s="119" t="s">
        <v>2110</v>
      </c>
      <c r="D170" s="44">
        <v>163</v>
      </c>
      <c r="E170" s="72" t="s">
        <v>2111</v>
      </c>
      <c r="F170" s="44" t="s">
        <v>6</v>
      </c>
      <c r="G170" s="44" t="s">
        <v>2112</v>
      </c>
      <c r="H170" s="44" t="s">
        <v>1</v>
      </c>
      <c r="I170" s="44" t="s">
        <v>2</v>
      </c>
      <c r="J170" s="72" t="s">
        <v>1232</v>
      </c>
      <c r="K170" s="73">
        <v>24213</v>
      </c>
      <c r="L170" s="30">
        <v>1966</v>
      </c>
      <c r="M170" s="30">
        <f t="shared" si="6"/>
        <v>53</v>
      </c>
      <c r="N170" s="44" t="s">
        <v>3</v>
      </c>
      <c r="O170" s="44" t="s">
        <v>1229</v>
      </c>
      <c r="P170" s="72" t="s">
        <v>1233</v>
      </c>
      <c r="Q170" s="44"/>
      <c r="R170" s="72" t="s">
        <v>5</v>
      </c>
    </row>
    <row r="171" spans="2:18" ht="25.5" hidden="1" x14ac:dyDescent="0.2">
      <c r="B171" s="135"/>
      <c r="C171" s="119"/>
      <c r="D171" s="44">
        <v>164</v>
      </c>
      <c r="E171" s="72" t="s">
        <v>2113</v>
      </c>
      <c r="F171" s="44" t="s">
        <v>11</v>
      </c>
      <c r="G171" s="44" t="s">
        <v>2114</v>
      </c>
      <c r="H171" s="44" t="s">
        <v>9</v>
      </c>
      <c r="I171" s="44" t="s">
        <v>2</v>
      </c>
      <c r="J171" s="72" t="s">
        <v>1232</v>
      </c>
      <c r="K171" s="73">
        <v>25570</v>
      </c>
      <c r="L171" s="30">
        <v>1970</v>
      </c>
      <c r="M171" s="30">
        <f t="shared" si="6"/>
        <v>49</v>
      </c>
      <c r="N171" s="44" t="s">
        <v>3</v>
      </c>
      <c r="O171" s="44" t="s">
        <v>1229</v>
      </c>
      <c r="P171" s="72" t="s">
        <v>1233</v>
      </c>
      <c r="Q171" s="44"/>
      <c r="R171" s="72" t="s">
        <v>2115</v>
      </c>
    </row>
    <row r="172" spans="2:18" ht="25.5" hidden="1" x14ac:dyDescent="0.2">
      <c r="B172" s="135"/>
      <c r="C172" s="119"/>
      <c r="D172" s="44">
        <v>165</v>
      </c>
      <c r="E172" s="72" t="s">
        <v>2116</v>
      </c>
      <c r="F172" s="44" t="s">
        <v>16</v>
      </c>
      <c r="G172" s="44" t="s">
        <v>2117</v>
      </c>
      <c r="H172" s="44" t="s">
        <v>1</v>
      </c>
      <c r="I172" s="44" t="s">
        <v>13</v>
      </c>
      <c r="J172" s="72" t="s">
        <v>1245</v>
      </c>
      <c r="K172" s="73">
        <v>32312</v>
      </c>
      <c r="L172" s="30">
        <v>1988</v>
      </c>
      <c r="M172" s="30">
        <f t="shared" si="6"/>
        <v>31</v>
      </c>
      <c r="N172" s="44" t="s">
        <v>3</v>
      </c>
      <c r="O172" s="44" t="s">
        <v>1229</v>
      </c>
      <c r="P172" s="72" t="s">
        <v>1246</v>
      </c>
      <c r="Q172" s="44"/>
      <c r="R172" s="72" t="s">
        <v>1330</v>
      </c>
    </row>
    <row r="173" spans="2:18" ht="25.5" hidden="1" x14ac:dyDescent="0.2">
      <c r="B173" s="135"/>
      <c r="C173" s="119"/>
      <c r="D173" s="44">
        <v>166</v>
      </c>
      <c r="E173" s="72" t="s">
        <v>557</v>
      </c>
      <c r="F173" s="44" t="s">
        <v>16</v>
      </c>
      <c r="G173" s="44" t="s">
        <v>2118</v>
      </c>
      <c r="H173" s="44" t="s">
        <v>9</v>
      </c>
      <c r="I173" s="44" t="s">
        <v>13</v>
      </c>
      <c r="J173" s="72" t="s">
        <v>1232</v>
      </c>
      <c r="K173" s="73">
        <v>37256</v>
      </c>
      <c r="L173" s="30">
        <v>2001</v>
      </c>
      <c r="M173" s="30">
        <f t="shared" si="6"/>
        <v>18</v>
      </c>
      <c r="N173" s="44" t="s">
        <v>3</v>
      </c>
      <c r="O173" s="44" t="s">
        <v>1229</v>
      </c>
      <c r="P173" s="72" t="s">
        <v>1233</v>
      </c>
      <c r="Q173" s="44"/>
      <c r="R173" s="72" t="s">
        <v>1822</v>
      </c>
    </row>
    <row r="174" spans="2:18" hidden="1" x14ac:dyDescent="0.2">
      <c r="B174" s="135">
        <v>58</v>
      </c>
      <c r="C174" s="135"/>
      <c r="D174" s="44">
        <v>167</v>
      </c>
      <c r="E174" s="72" t="s">
        <v>558</v>
      </c>
      <c r="F174" s="44" t="s">
        <v>6</v>
      </c>
      <c r="G174" s="44">
        <v>0</v>
      </c>
      <c r="H174" s="44" t="s">
        <v>1</v>
      </c>
      <c r="I174" s="44" t="s">
        <v>2</v>
      </c>
      <c r="J174" s="72"/>
      <c r="K174" s="73">
        <v>29951</v>
      </c>
      <c r="L174" s="30">
        <f t="shared" ref="L174:L176" si="10">YEAR(K174)</f>
        <v>1981</v>
      </c>
      <c r="M174" s="30">
        <f t="shared" si="6"/>
        <v>38</v>
      </c>
      <c r="N174" s="44" t="s">
        <v>3</v>
      </c>
      <c r="O174" s="44"/>
      <c r="P174" s="72" t="s">
        <v>14</v>
      </c>
      <c r="Q174" s="44"/>
      <c r="R174" s="72" t="s">
        <v>34</v>
      </c>
    </row>
    <row r="175" spans="2:18" hidden="1" x14ac:dyDescent="0.2">
      <c r="B175" s="135"/>
      <c r="C175" s="135"/>
      <c r="D175" s="44">
        <v>168</v>
      </c>
      <c r="E175" s="72" t="s">
        <v>559</v>
      </c>
      <c r="F175" s="44" t="s">
        <v>11</v>
      </c>
      <c r="G175" s="44">
        <v>0</v>
      </c>
      <c r="H175" s="44" t="s">
        <v>9</v>
      </c>
      <c r="I175" s="44" t="s">
        <v>2</v>
      </c>
      <c r="J175" s="72"/>
      <c r="K175" s="73">
        <v>29403</v>
      </c>
      <c r="L175" s="30">
        <f t="shared" si="10"/>
        <v>1980</v>
      </c>
      <c r="M175" s="30">
        <f t="shared" si="6"/>
        <v>39</v>
      </c>
      <c r="N175" s="44" t="s">
        <v>3</v>
      </c>
      <c r="O175" s="44"/>
      <c r="P175" s="72" t="s">
        <v>28</v>
      </c>
      <c r="Q175" s="44"/>
      <c r="R175" s="72" t="s">
        <v>10</v>
      </c>
    </row>
    <row r="176" spans="2:18" hidden="1" x14ac:dyDescent="0.2">
      <c r="B176" s="135"/>
      <c r="C176" s="135"/>
      <c r="D176" s="44">
        <v>169</v>
      </c>
      <c r="E176" s="72" t="s">
        <v>560</v>
      </c>
      <c r="F176" s="44" t="s">
        <v>16</v>
      </c>
      <c r="G176" s="44">
        <v>0</v>
      </c>
      <c r="H176" s="44" t="s">
        <v>1</v>
      </c>
      <c r="I176" s="44" t="s">
        <v>15</v>
      </c>
      <c r="J176" s="72"/>
      <c r="K176" s="73">
        <v>39626</v>
      </c>
      <c r="L176" s="30">
        <f t="shared" si="10"/>
        <v>2008</v>
      </c>
      <c r="M176" s="30">
        <f t="shared" si="6"/>
        <v>11</v>
      </c>
      <c r="N176" s="44" t="s">
        <v>3</v>
      </c>
      <c r="O176" s="44"/>
      <c r="P176" s="72" t="s">
        <v>15</v>
      </c>
      <c r="Q176" s="44"/>
      <c r="R176" s="72" t="s">
        <v>15</v>
      </c>
    </row>
    <row r="177" spans="2:18" ht="25.5" hidden="1" x14ac:dyDescent="0.2">
      <c r="B177" s="135">
        <v>59</v>
      </c>
      <c r="C177" s="119" t="s">
        <v>2119</v>
      </c>
      <c r="D177" s="44">
        <v>170</v>
      </c>
      <c r="E177" s="72" t="s">
        <v>2203</v>
      </c>
      <c r="F177" s="44" t="s">
        <v>6</v>
      </c>
      <c r="G177" s="44" t="s">
        <v>2120</v>
      </c>
      <c r="H177" s="44" t="s">
        <v>1</v>
      </c>
      <c r="I177" s="44" t="s">
        <v>2</v>
      </c>
      <c r="J177" s="72" t="s">
        <v>1245</v>
      </c>
      <c r="K177" s="73">
        <v>32997</v>
      </c>
      <c r="L177" s="30">
        <v>1990</v>
      </c>
      <c r="M177" s="30">
        <f t="shared" si="6"/>
        <v>29</v>
      </c>
      <c r="N177" s="44" t="s">
        <v>3</v>
      </c>
      <c r="O177" s="44" t="s">
        <v>1229</v>
      </c>
      <c r="P177" s="72" t="s">
        <v>1233</v>
      </c>
      <c r="Q177" s="44"/>
      <c r="R177" s="72" t="s">
        <v>5</v>
      </c>
    </row>
    <row r="178" spans="2:18" ht="25.5" hidden="1" x14ac:dyDescent="0.2">
      <c r="B178" s="135"/>
      <c r="C178" s="119"/>
      <c r="D178" s="44">
        <v>171</v>
      </c>
      <c r="E178" s="72" t="s">
        <v>561</v>
      </c>
      <c r="F178" s="44" t="s">
        <v>11</v>
      </c>
      <c r="G178" s="44" t="s">
        <v>2121</v>
      </c>
      <c r="H178" s="44" t="s">
        <v>9</v>
      </c>
      <c r="I178" s="44" t="s">
        <v>2</v>
      </c>
      <c r="J178" s="72" t="s">
        <v>1232</v>
      </c>
      <c r="K178" s="73">
        <v>34553</v>
      </c>
      <c r="L178" s="30">
        <v>1994</v>
      </c>
      <c r="M178" s="30">
        <f t="shared" si="6"/>
        <v>25</v>
      </c>
      <c r="N178" s="44" t="s">
        <v>3</v>
      </c>
      <c r="O178" s="44" t="s">
        <v>1229</v>
      </c>
      <c r="P178" s="72" t="s">
        <v>1270</v>
      </c>
      <c r="Q178" s="44"/>
      <c r="R178" s="72" t="s">
        <v>1360</v>
      </c>
    </row>
    <row r="179" spans="2:18" ht="25.5" hidden="1" x14ac:dyDescent="0.2">
      <c r="B179" s="135"/>
      <c r="C179" s="119"/>
      <c r="D179" s="44">
        <v>172</v>
      </c>
      <c r="E179" s="72" t="s">
        <v>2122</v>
      </c>
      <c r="F179" s="44" t="s">
        <v>16</v>
      </c>
      <c r="G179" s="44" t="s">
        <v>2123</v>
      </c>
      <c r="H179" s="44" t="s">
        <v>9</v>
      </c>
      <c r="I179" s="44" t="s">
        <v>13</v>
      </c>
      <c r="J179" s="72" t="s">
        <v>1232</v>
      </c>
      <c r="K179" s="73">
        <v>42431</v>
      </c>
      <c r="L179" s="30">
        <v>2016</v>
      </c>
      <c r="M179" s="30">
        <f>2019-L179</f>
        <v>3</v>
      </c>
      <c r="N179" s="44" t="s">
        <v>3</v>
      </c>
      <c r="O179" s="44" t="s">
        <v>1229</v>
      </c>
      <c r="P179" s="72" t="s">
        <v>1258</v>
      </c>
      <c r="Q179" s="44"/>
      <c r="R179" s="72" t="s">
        <v>1819</v>
      </c>
    </row>
    <row r="180" spans="2:18" ht="25.5" x14ac:dyDescent="0.2">
      <c r="B180" s="135">
        <v>60</v>
      </c>
      <c r="C180" s="119" t="s">
        <v>2124</v>
      </c>
      <c r="D180" s="44">
        <v>173</v>
      </c>
      <c r="E180" s="72" t="s">
        <v>2125</v>
      </c>
      <c r="F180" s="44" t="s">
        <v>6</v>
      </c>
      <c r="G180" s="44" t="s">
        <v>562</v>
      </c>
      <c r="H180" s="44" t="s">
        <v>9</v>
      </c>
      <c r="I180" s="44" t="s">
        <v>1296</v>
      </c>
      <c r="J180" s="72" t="s">
        <v>1232</v>
      </c>
      <c r="K180" s="73">
        <v>17960</v>
      </c>
      <c r="L180" s="30">
        <v>1949</v>
      </c>
      <c r="M180" s="30">
        <f t="shared" si="6"/>
        <v>70</v>
      </c>
      <c r="N180" s="44" t="s">
        <v>3</v>
      </c>
      <c r="O180" s="44" t="s">
        <v>1229</v>
      </c>
      <c r="P180" s="72" t="s">
        <v>1258</v>
      </c>
      <c r="Q180" s="44"/>
      <c r="R180" s="72" t="s">
        <v>1815</v>
      </c>
    </row>
    <row r="181" spans="2:18" ht="25.5" hidden="1" x14ac:dyDescent="0.2">
      <c r="B181" s="135"/>
      <c r="C181" s="119"/>
      <c r="D181" s="44">
        <v>174</v>
      </c>
      <c r="E181" s="72" t="s">
        <v>563</v>
      </c>
      <c r="F181" s="44" t="s">
        <v>1301</v>
      </c>
      <c r="G181" s="44" t="s">
        <v>564</v>
      </c>
      <c r="H181" s="44" t="s">
        <v>1</v>
      </c>
      <c r="I181" s="44" t="s">
        <v>13</v>
      </c>
      <c r="J181" s="72" t="s">
        <v>1232</v>
      </c>
      <c r="K181" s="73">
        <v>33742</v>
      </c>
      <c r="L181" s="30">
        <v>1992</v>
      </c>
      <c r="M181" s="30">
        <f t="shared" si="6"/>
        <v>27</v>
      </c>
      <c r="N181" s="44" t="s">
        <v>3</v>
      </c>
      <c r="O181" s="44" t="s">
        <v>1229</v>
      </c>
      <c r="P181" s="72" t="s">
        <v>1233</v>
      </c>
      <c r="Q181" s="44"/>
      <c r="R181" s="72" t="s">
        <v>1330</v>
      </c>
    </row>
    <row r="182" spans="2:18" ht="25.5" hidden="1" x14ac:dyDescent="0.2">
      <c r="B182" s="135"/>
      <c r="C182" s="119"/>
      <c r="D182" s="44">
        <v>175</v>
      </c>
      <c r="E182" s="72" t="s">
        <v>2126</v>
      </c>
      <c r="F182" s="44"/>
      <c r="G182" s="44"/>
      <c r="H182" s="44" t="s">
        <v>9</v>
      </c>
      <c r="I182" s="44"/>
      <c r="J182" s="72"/>
      <c r="K182" s="73">
        <v>39200</v>
      </c>
      <c r="L182" s="30">
        <f>YEAR(K182)</f>
        <v>2007</v>
      </c>
      <c r="M182" s="30">
        <f t="shared" si="6"/>
        <v>12</v>
      </c>
      <c r="N182" s="44" t="s">
        <v>3</v>
      </c>
      <c r="O182" s="44" t="s">
        <v>1229</v>
      </c>
      <c r="P182" s="72" t="s">
        <v>1233</v>
      </c>
      <c r="Q182" s="44"/>
      <c r="R182" s="72" t="s">
        <v>1330</v>
      </c>
    </row>
    <row r="183" spans="2:18" ht="25.5" x14ac:dyDescent="0.2">
      <c r="B183" s="135">
        <v>61</v>
      </c>
      <c r="C183" s="119" t="s">
        <v>2127</v>
      </c>
      <c r="D183" s="44">
        <v>176</v>
      </c>
      <c r="E183" s="72" t="s">
        <v>565</v>
      </c>
      <c r="F183" s="44" t="s">
        <v>6</v>
      </c>
      <c r="G183" s="44" t="s">
        <v>566</v>
      </c>
      <c r="H183" s="44" t="s">
        <v>1</v>
      </c>
      <c r="I183" s="44" t="s">
        <v>2</v>
      </c>
      <c r="J183" s="72" t="s">
        <v>1232</v>
      </c>
      <c r="K183" s="73">
        <v>21774</v>
      </c>
      <c r="L183" s="30">
        <v>1959</v>
      </c>
      <c r="M183" s="30">
        <f t="shared" si="6"/>
        <v>60</v>
      </c>
      <c r="N183" s="44" t="s">
        <v>3</v>
      </c>
      <c r="O183" s="44" t="s">
        <v>1229</v>
      </c>
      <c r="P183" s="72" t="s">
        <v>1233</v>
      </c>
      <c r="Q183" s="44"/>
      <c r="R183" s="72" t="s">
        <v>1330</v>
      </c>
    </row>
    <row r="184" spans="2:18" ht="25.5" x14ac:dyDescent="0.2">
      <c r="B184" s="135"/>
      <c r="C184" s="119"/>
      <c r="D184" s="44">
        <v>177</v>
      </c>
      <c r="E184" s="72" t="s">
        <v>567</v>
      </c>
      <c r="F184" s="44" t="s">
        <v>11</v>
      </c>
      <c r="G184" s="44" t="s">
        <v>568</v>
      </c>
      <c r="H184" s="44" t="s">
        <v>9</v>
      </c>
      <c r="I184" s="44" t="s">
        <v>2</v>
      </c>
      <c r="J184" s="72" t="s">
        <v>1232</v>
      </c>
      <c r="K184" s="73">
        <v>21065</v>
      </c>
      <c r="L184" s="30">
        <v>1957</v>
      </c>
      <c r="M184" s="30">
        <f t="shared" si="6"/>
        <v>62</v>
      </c>
      <c r="N184" s="44" t="s">
        <v>3</v>
      </c>
      <c r="O184" s="44" t="s">
        <v>1229</v>
      </c>
      <c r="P184" s="72" t="s">
        <v>1233</v>
      </c>
      <c r="Q184" s="44"/>
      <c r="R184" s="72" t="s">
        <v>1330</v>
      </c>
    </row>
    <row r="185" spans="2:18" ht="25.5" x14ac:dyDescent="0.2">
      <c r="B185" s="135">
        <v>62</v>
      </c>
      <c r="C185" s="119" t="s">
        <v>2128</v>
      </c>
      <c r="D185" s="44">
        <v>178</v>
      </c>
      <c r="E185" s="72" t="s">
        <v>569</v>
      </c>
      <c r="F185" s="44" t="s">
        <v>6</v>
      </c>
      <c r="G185" s="44" t="s">
        <v>570</v>
      </c>
      <c r="H185" s="44" t="s">
        <v>9</v>
      </c>
      <c r="I185" s="44" t="s">
        <v>1296</v>
      </c>
      <c r="J185" s="72" t="s">
        <v>1232</v>
      </c>
      <c r="K185" s="73">
        <v>21763</v>
      </c>
      <c r="L185" s="30">
        <v>1959</v>
      </c>
      <c r="M185" s="30">
        <f t="shared" si="6"/>
        <v>60</v>
      </c>
      <c r="N185" s="44" t="s">
        <v>3</v>
      </c>
      <c r="O185" s="44" t="s">
        <v>1229</v>
      </c>
      <c r="P185" s="72" t="s">
        <v>1258</v>
      </c>
      <c r="Q185" s="44"/>
      <c r="R185" s="72" t="s">
        <v>1330</v>
      </c>
    </row>
    <row r="186" spans="2:18" ht="25.5" hidden="1" x14ac:dyDescent="0.2">
      <c r="B186" s="135"/>
      <c r="C186" s="119"/>
      <c r="D186" s="44">
        <v>179</v>
      </c>
      <c r="E186" s="72" t="s">
        <v>571</v>
      </c>
      <c r="F186" s="44" t="s">
        <v>1301</v>
      </c>
      <c r="G186" s="44" t="s">
        <v>572</v>
      </c>
      <c r="H186" s="44" t="s">
        <v>9</v>
      </c>
      <c r="I186" s="44" t="s">
        <v>13</v>
      </c>
      <c r="J186" s="72" t="s">
        <v>1232</v>
      </c>
      <c r="K186" s="73">
        <v>39121</v>
      </c>
      <c r="L186" s="30">
        <v>2007</v>
      </c>
      <c r="M186" s="30">
        <f t="shared" si="6"/>
        <v>12</v>
      </c>
      <c r="N186" s="44" t="s">
        <v>3</v>
      </c>
      <c r="O186" s="44" t="s">
        <v>1229</v>
      </c>
      <c r="P186" s="72" t="s">
        <v>1247</v>
      </c>
      <c r="Q186" s="44"/>
      <c r="R186" s="72" t="s">
        <v>1822</v>
      </c>
    </row>
    <row r="187" spans="2:18" hidden="1" x14ac:dyDescent="0.2">
      <c r="B187" s="139">
        <v>63</v>
      </c>
      <c r="C187" s="139"/>
      <c r="D187" s="44">
        <v>180</v>
      </c>
      <c r="E187" s="72" t="s">
        <v>81</v>
      </c>
      <c r="F187" s="44" t="s">
        <v>6</v>
      </c>
      <c r="G187" s="44">
        <v>0</v>
      </c>
      <c r="H187" s="44" t="s">
        <v>1</v>
      </c>
      <c r="I187" s="44" t="s">
        <v>2</v>
      </c>
      <c r="J187" s="72"/>
      <c r="K187" s="73">
        <v>32873</v>
      </c>
      <c r="L187" s="30">
        <f t="shared" ref="L187:L189" si="11">YEAR(K187)</f>
        <v>1989</v>
      </c>
      <c r="M187" s="30">
        <f t="shared" si="6"/>
        <v>30</v>
      </c>
      <c r="N187" s="44" t="s">
        <v>3</v>
      </c>
      <c r="O187" s="44"/>
      <c r="P187" s="72" t="s">
        <v>4</v>
      </c>
      <c r="Q187" s="44"/>
      <c r="R187" s="72" t="s">
        <v>34</v>
      </c>
    </row>
    <row r="188" spans="2:18" hidden="1" x14ac:dyDescent="0.2">
      <c r="B188" s="140"/>
      <c r="C188" s="140"/>
      <c r="D188" s="44">
        <v>181</v>
      </c>
      <c r="E188" s="72" t="s">
        <v>573</v>
      </c>
      <c r="F188" s="44" t="s">
        <v>11</v>
      </c>
      <c r="G188" s="44">
        <v>0</v>
      </c>
      <c r="H188" s="44" t="s">
        <v>9</v>
      </c>
      <c r="I188" s="44" t="s">
        <v>2</v>
      </c>
      <c r="J188" s="72"/>
      <c r="K188" s="73">
        <v>33603</v>
      </c>
      <c r="L188" s="30">
        <f t="shared" si="11"/>
        <v>1991</v>
      </c>
      <c r="M188" s="30">
        <f t="shared" si="6"/>
        <v>28</v>
      </c>
      <c r="N188" s="44" t="s">
        <v>3</v>
      </c>
      <c r="O188" s="44"/>
      <c r="P188" s="72" t="s">
        <v>4</v>
      </c>
      <c r="Q188" s="44"/>
      <c r="R188" s="72" t="s">
        <v>34</v>
      </c>
    </row>
    <row r="189" spans="2:18" ht="25.5" hidden="1" x14ac:dyDescent="0.2">
      <c r="B189" s="141"/>
      <c r="C189" s="141"/>
      <c r="D189" s="44">
        <v>182</v>
      </c>
      <c r="E189" s="72" t="s">
        <v>574</v>
      </c>
      <c r="F189" s="44" t="s">
        <v>16</v>
      </c>
      <c r="G189" s="44">
        <v>0</v>
      </c>
      <c r="H189" s="44" t="s">
        <v>9</v>
      </c>
      <c r="I189" s="44" t="s">
        <v>13</v>
      </c>
      <c r="J189" s="72"/>
      <c r="K189" s="73">
        <v>41599</v>
      </c>
      <c r="L189" s="30">
        <f t="shared" si="11"/>
        <v>2013</v>
      </c>
      <c r="M189" s="30">
        <f t="shared" si="6"/>
        <v>6</v>
      </c>
      <c r="N189" s="44" t="s">
        <v>3</v>
      </c>
      <c r="O189" s="44"/>
      <c r="P189" s="72" t="s">
        <v>15</v>
      </c>
      <c r="Q189" s="44"/>
      <c r="R189" s="72" t="s">
        <v>15</v>
      </c>
    </row>
    <row r="190" spans="2:18" ht="25.5" hidden="1" x14ac:dyDescent="0.2">
      <c r="B190" s="135">
        <v>64</v>
      </c>
      <c r="C190" s="119" t="s">
        <v>2129</v>
      </c>
      <c r="D190" s="44">
        <v>183</v>
      </c>
      <c r="E190" s="72" t="s">
        <v>575</v>
      </c>
      <c r="F190" s="44" t="s">
        <v>6</v>
      </c>
      <c r="G190" s="44" t="s">
        <v>576</v>
      </c>
      <c r="H190" s="44" t="s">
        <v>1</v>
      </c>
      <c r="I190" s="44" t="s">
        <v>2</v>
      </c>
      <c r="J190" s="72" t="s">
        <v>1232</v>
      </c>
      <c r="K190" s="73">
        <v>24837</v>
      </c>
      <c r="L190" s="30">
        <v>1967</v>
      </c>
      <c r="M190" s="30">
        <f t="shared" si="6"/>
        <v>52</v>
      </c>
      <c r="N190" s="44" t="s">
        <v>3</v>
      </c>
      <c r="O190" s="44" t="s">
        <v>1229</v>
      </c>
      <c r="P190" s="72" t="s">
        <v>1233</v>
      </c>
      <c r="Q190" s="44"/>
      <c r="R190" s="72" t="s">
        <v>1330</v>
      </c>
    </row>
    <row r="191" spans="2:18" ht="25.5" hidden="1" x14ac:dyDescent="0.2">
      <c r="B191" s="135"/>
      <c r="C191" s="119"/>
      <c r="D191" s="44">
        <v>184</v>
      </c>
      <c r="E191" s="72" t="s">
        <v>2126</v>
      </c>
      <c r="F191" s="44" t="s">
        <v>11</v>
      </c>
      <c r="G191" s="44" t="s">
        <v>578</v>
      </c>
      <c r="H191" s="44" t="s">
        <v>9</v>
      </c>
      <c r="I191" s="44" t="s">
        <v>2</v>
      </c>
      <c r="J191" s="72" t="s">
        <v>1232</v>
      </c>
      <c r="K191" s="73">
        <v>25295</v>
      </c>
      <c r="L191" s="30">
        <v>1969</v>
      </c>
      <c r="M191" s="30">
        <f t="shared" si="6"/>
        <v>50</v>
      </c>
      <c r="N191" s="44" t="s">
        <v>3</v>
      </c>
      <c r="O191" s="44" t="s">
        <v>1229</v>
      </c>
      <c r="P191" s="72" t="s">
        <v>1233</v>
      </c>
      <c r="Q191" s="44"/>
      <c r="R191" s="72" t="s">
        <v>1330</v>
      </c>
    </row>
    <row r="192" spans="2:18" hidden="1" x14ac:dyDescent="0.2">
      <c r="B192" s="135"/>
      <c r="C192" s="119"/>
      <c r="D192" s="44">
        <v>185</v>
      </c>
      <c r="E192" s="72" t="s">
        <v>217</v>
      </c>
      <c r="F192" s="44" t="s">
        <v>16</v>
      </c>
      <c r="G192" s="44" t="s">
        <v>579</v>
      </c>
      <c r="H192" s="44" t="s">
        <v>1</v>
      </c>
      <c r="I192" s="44" t="s">
        <v>13</v>
      </c>
      <c r="J192" s="72" t="s">
        <v>1232</v>
      </c>
      <c r="K192" s="73">
        <v>35247</v>
      </c>
      <c r="L192" s="30">
        <v>1996</v>
      </c>
      <c r="M192" s="30">
        <f t="shared" si="6"/>
        <v>23</v>
      </c>
      <c r="N192" s="44" t="s">
        <v>3</v>
      </c>
      <c r="O192" s="44" t="s">
        <v>1229</v>
      </c>
      <c r="P192" s="72" t="s">
        <v>1270</v>
      </c>
      <c r="Q192" s="44"/>
      <c r="R192" s="72" t="s">
        <v>1822</v>
      </c>
    </row>
    <row r="193" spans="2:18" ht="25.5" hidden="1" x14ac:dyDescent="0.2">
      <c r="B193" s="135"/>
      <c r="C193" s="119"/>
      <c r="D193" s="44">
        <v>186</v>
      </c>
      <c r="E193" s="72" t="s">
        <v>2130</v>
      </c>
      <c r="F193" s="44" t="s">
        <v>16</v>
      </c>
      <c r="G193" s="44" t="s">
        <v>580</v>
      </c>
      <c r="H193" s="44" t="s">
        <v>1</v>
      </c>
      <c r="I193" s="44" t="s">
        <v>13</v>
      </c>
      <c r="J193" s="72" t="s">
        <v>1232</v>
      </c>
      <c r="K193" s="73">
        <v>36953</v>
      </c>
      <c r="L193" s="30">
        <v>2001</v>
      </c>
      <c r="M193" s="30">
        <f t="shared" si="6"/>
        <v>18</v>
      </c>
      <c r="N193" s="44" t="s">
        <v>3</v>
      </c>
      <c r="O193" s="44" t="s">
        <v>1229</v>
      </c>
      <c r="P193" s="72" t="s">
        <v>1247</v>
      </c>
      <c r="Q193" s="44"/>
      <c r="R193" s="72" t="s">
        <v>1822</v>
      </c>
    </row>
    <row r="194" spans="2:18" ht="25.5" hidden="1" x14ac:dyDescent="0.2">
      <c r="B194" s="135"/>
      <c r="C194" s="119"/>
      <c r="D194" s="44">
        <v>187</v>
      </c>
      <c r="E194" s="72" t="s">
        <v>581</v>
      </c>
      <c r="F194" s="44" t="s">
        <v>16</v>
      </c>
      <c r="G194" s="44" t="s">
        <v>582</v>
      </c>
      <c r="H194" s="44" t="s">
        <v>9</v>
      </c>
      <c r="I194" s="44" t="s">
        <v>13</v>
      </c>
      <c r="J194" s="72" t="s">
        <v>1232</v>
      </c>
      <c r="K194" s="73">
        <v>39365</v>
      </c>
      <c r="L194" s="30">
        <v>2007</v>
      </c>
      <c r="M194" s="30">
        <f t="shared" si="6"/>
        <v>12</v>
      </c>
      <c r="N194" s="44" t="s">
        <v>3</v>
      </c>
      <c r="O194" s="44" t="s">
        <v>1229</v>
      </c>
      <c r="P194" s="72" t="s">
        <v>1258</v>
      </c>
      <c r="Q194" s="44"/>
      <c r="R194" s="72" t="s">
        <v>1819</v>
      </c>
    </row>
    <row r="195" spans="2:18" x14ac:dyDescent="0.2">
      <c r="B195" s="90">
        <v>65</v>
      </c>
      <c r="C195" s="44"/>
      <c r="D195" s="44">
        <v>188</v>
      </c>
      <c r="E195" s="72" t="s">
        <v>583</v>
      </c>
      <c r="F195" s="44" t="s">
        <v>6</v>
      </c>
      <c r="G195" s="44">
        <v>0</v>
      </c>
      <c r="H195" s="44" t="s">
        <v>9</v>
      </c>
      <c r="I195" s="44" t="s">
        <v>19</v>
      </c>
      <c r="J195" s="72"/>
      <c r="K195" s="73">
        <v>14976</v>
      </c>
      <c r="L195" s="30">
        <f t="shared" ref="L195:L201" si="12">YEAR(K195)</f>
        <v>1940</v>
      </c>
      <c r="M195" s="30">
        <f t="shared" si="6"/>
        <v>79</v>
      </c>
      <c r="N195" s="44" t="s">
        <v>3</v>
      </c>
      <c r="O195" s="44"/>
      <c r="P195" s="72" t="s">
        <v>15</v>
      </c>
      <c r="Q195" s="44"/>
      <c r="R195" s="72" t="s">
        <v>15</v>
      </c>
    </row>
    <row r="196" spans="2:18" x14ac:dyDescent="0.2">
      <c r="B196" s="135">
        <v>66</v>
      </c>
      <c r="C196" s="135"/>
      <c r="D196" s="44">
        <v>189</v>
      </c>
      <c r="E196" s="72" t="s">
        <v>584</v>
      </c>
      <c r="F196" s="44" t="s">
        <v>6</v>
      </c>
      <c r="G196" s="44">
        <v>0</v>
      </c>
      <c r="H196" s="44" t="s">
        <v>1</v>
      </c>
      <c r="I196" s="44" t="s">
        <v>2</v>
      </c>
      <c r="J196" s="72"/>
      <c r="K196" s="73">
        <v>19031</v>
      </c>
      <c r="L196" s="30">
        <f t="shared" si="12"/>
        <v>1952</v>
      </c>
      <c r="M196" s="30">
        <f t="shared" si="6"/>
        <v>67</v>
      </c>
      <c r="N196" s="44" t="s">
        <v>3</v>
      </c>
      <c r="O196" s="44"/>
      <c r="P196" s="72" t="s">
        <v>15</v>
      </c>
      <c r="Q196" s="44"/>
      <c r="R196" s="72" t="s">
        <v>34</v>
      </c>
    </row>
    <row r="197" spans="2:18" x14ac:dyDescent="0.2">
      <c r="B197" s="135"/>
      <c r="C197" s="135"/>
      <c r="D197" s="44">
        <v>190</v>
      </c>
      <c r="E197" s="72" t="s">
        <v>585</v>
      </c>
      <c r="F197" s="44" t="s">
        <v>11</v>
      </c>
      <c r="G197" s="44">
        <v>0</v>
      </c>
      <c r="H197" s="44" t="s">
        <v>9</v>
      </c>
      <c r="I197" s="44" t="s">
        <v>2</v>
      </c>
      <c r="J197" s="72"/>
      <c r="K197" s="73">
        <v>21136</v>
      </c>
      <c r="L197" s="30">
        <f t="shared" si="12"/>
        <v>1957</v>
      </c>
      <c r="M197" s="30">
        <f t="shared" si="6"/>
        <v>62</v>
      </c>
      <c r="N197" s="44" t="s">
        <v>3</v>
      </c>
      <c r="O197" s="44"/>
      <c r="P197" s="72" t="s">
        <v>15</v>
      </c>
      <c r="Q197" s="44"/>
      <c r="R197" s="72" t="s">
        <v>34</v>
      </c>
    </row>
    <row r="198" spans="2:18" hidden="1" x14ac:dyDescent="0.2">
      <c r="B198" s="135">
        <v>67</v>
      </c>
      <c r="C198" s="135"/>
      <c r="D198" s="44">
        <v>191</v>
      </c>
      <c r="E198" s="72" t="s">
        <v>586</v>
      </c>
      <c r="F198" s="44" t="s">
        <v>6</v>
      </c>
      <c r="G198" s="44" t="s">
        <v>587</v>
      </c>
      <c r="H198" s="44" t="s">
        <v>1</v>
      </c>
      <c r="I198" s="44" t="s">
        <v>95</v>
      </c>
      <c r="J198" s="72"/>
      <c r="K198" s="73">
        <v>22552</v>
      </c>
      <c r="L198" s="30">
        <f t="shared" si="12"/>
        <v>1961</v>
      </c>
      <c r="M198" s="30">
        <f t="shared" si="6"/>
        <v>58</v>
      </c>
      <c r="N198" s="44" t="s">
        <v>3</v>
      </c>
      <c r="O198" s="44"/>
      <c r="P198" s="72" t="s">
        <v>15</v>
      </c>
      <c r="Q198" s="44"/>
      <c r="R198" s="72" t="s">
        <v>34</v>
      </c>
    </row>
    <row r="199" spans="2:18" hidden="1" x14ac:dyDescent="0.2">
      <c r="B199" s="135"/>
      <c r="C199" s="135"/>
      <c r="D199" s="44">
        <v>192</v>
      </c>
      <c r="E199" s="72" t="s">
        <v>588</v>
      </c>
      <c r="F199" s="44" t="s">
        <v>16</v>
      </c>
      <c r="G199" s="44" t="s">
        <v>589</v>
      </c>
      <c r="H199" s="44" t="s">
        <v>1</v>
      </c>
      <c r="I199" s="44" t="s">
        <v>13</v>
      </c>
      <c r="J199" s="72"/>
      <c r="K199" s="73">
        <v>32258</v>
      </c>
      <c r="L199" s="30">
        <f t="shared" si="12"/>
        <v>1988</v>
      </c>
      <c r="M199" s="30">
        <f t="shared" si="6"/>
        <v>31</v>
      </c>
      <c r="N199" s="44" t="s">
        <v>3</v>
      </c>
      <c r="O199" s="44"/>
      <c r="P199" s="72" t="s">
        <v>4</v>
      </c>
      <c r="Q199" s="44"/>
      <c r="R199" s="72" t="s">
        <v>15</v>
      </c>
    </row>
    <row r="200" spans="2:18" hidden="1" x14ac:dyDescent="0.2">
      <c r="B200" s="135"/>
      <c r="C200" s="135"/>
      <c r="D200" s="44">
        <v>193</v>
      </c>
      <c r="E200" s="72" t="s">
        <v>60</v>
      </c>
      <c r="F200" s="44" t="s">
        <v>16</v>
      </c>
      <c r="G200" s="44" t="s">
        <v>590</v>
      </c>
      <c r="H200" s="44" t="s">
        <v>1</v>
      </c>
      <c r="I200" s="44" t="s">
        <v>13</v>
      </c>
      <c r="J200" s="72"/>
      <c r="K200" s="73">
        <v>33559</v>
      </c>
      <c r="L200" s="30">
        <f t="shared" si="12"/>
        <v>1991</v>
      </c>
      <c r="M200" s="30">
        <f t="shared" si="6"/>
        <v>28</v>
      </c>
      <c r="N200" s="44" t="s">
        <v>3</v>
      </c>
      <c r="O200" s="44"/>
      <c r="P200" s="72" t="s">
        <v>4</v>
      </c>
      <c r="Q200" s="44"/>
      <c r="R200" s="72" t="s">
        <v>15</v>
      </c>
    </row>
    <row r="201" spans="2:18" x14ac:dyDescent="0.2">
      <c r="B201" s="90">
        <v>68</v>
      </c>
      <c r="C201" s="44"/>
      <c r="D201" s="44">
        <v>194</v>
      </c>
      <c r="E201" s="72" t="s">
        <v>591</v>
      </c>
      <c r="F201" s="44" t="s">
        <v>6</v>
      </c>
      <c r="G201" s="44">
        <v>0</v>
      </c>
      <c r="H201" s="44" t="s">
        <v>9</v>
      </c>
      <c r="I201" s="44" t="s">
        <v>19</v>
      </c>
      <c r="J201" s="72"/>
      <c r="K201" s="73">
        <v>14976</v>
      </c>
      <c r="L201" s="30">
        <f t="shared" si="12"/>
        <v>1940</v>
      </c>
      <c r="M201" s="30">
        <f t="shared" si="6"/>
        <v>79</v>
      </c>
      <c r="N201" s="44" t="s">
        <v>3</v>
      </c>
      <c r="O201" s="44"/>
      <c r="P201" s="72" t="s">
        <v>15</v>
      </c>
      <c r="Q201" s="44"/>
      <c r="R201" s="72" t="s">
        <v>15</v>
      </c>
    </row>
    <row r="202" spans="2:18" ht="25.5" hidden="1" x14ac:dyDescent="0.2">
      <c r="B202" s="135">
        <v>69</v>
      </c>
      <c r="C202" s="119" t="s">
        <v>2131</v>
      </c>
      <c r="D202" s="44">
        <v>195</v>
      </c>
      <c r="E202" s="72" t="s">
        <v>2132</v>
      </c>
      <c r="F202" s="44" t="s">
        <v>6</v>
      </c>
      <c r="G202" s="44" t="s">
        <v>2133</v>
      </c>
      <c r="H202" s="44" t="s">
        <v>1</v>
      </c>
      <c r="I202" s="44" t="s">
        <v>2</v>
      </c>
      <c r="J202" s="72" t="s">
        <v>2134</v>
      </c>
      <c r="K202" s="73">
        <v>31229</v>
      </c>
      <c r="L202" s="30">
        <v>1985</v>
      </c>
      <c r="M202" s="30">
        <f t="shared" si="6"/>
        <v>34</v>
      </c>
      <c r="N202" s="44" t="s">
        <v>3</v>
      </c>
      <c r="O202" s="44" t="s">
        <v>1229</v>
      </c>
      <c r="P202" s="72" t="s">
        <v>1233</v>
      </c>
      <c r="Q202" s="44"/>
      <c r="R202" s="72" t="s">
        <v>2135</v>
      </c>
    </row>
    <row r="203" spans="2:18" hidden="1" x14ac:dyDescent="0.2">
      <c r="B203" s="135"/>
      <c r="C203" s="119"/>
      <c r="D203" s="44">
        <v>196</v>
      </c>
      <c r="E203" s="72" t="s">
        <v>2136</v>
      </c>
      <c r="F203" s="44" t="s">
        <v>11</v>
      </c>
      <c r="G203" s="44" t="s">
        <v>2137</v>
      </c>
      <c r="H203" s="44" t="s">
        <v>9</v>
      </c>
      <c r="I203" s="44" t="s">
        <v>2</v>
      </c>
      <c r="J203" s="72" t="s">
        <v>1232</v>
      </c>
      <c r="K203" s="73">
        <v>30172</v>
      </c>
      <c r="L203" s="30">
        <v>1982</v>
      </c>
      <c r="M203" s="30">
        <f t="shared" si="6"/>
        <v>37</v>
      </c>
      <c r="N203" s="44" t="s">
        <v>3</v>
      </c>
      <c r="O203" s="44" t="s">
        <v>1229</v>
      </c>
      <c r="P203" s="72" t="s">
        <v>1246</v>
      </c>
      <c r="Q203" s="44"/>
      <c r="R203" s="72" t="s">
        <v>290</v>
      </c>
    </row>
    <row r="204" spans="2:18" ht="25.5" hidden="1" x14ac:dyDescent="0.2">
      <c r="B204" s="135"/>
      <c r="C204" s="119"/>
      <c r="D204" s="44">
        <v>197</v>
      </c>
      <c r="E204" s="72" t="s">
        <v>2138</v>
      </c>
      <c r="F204" s="44" t="s">
        <v>16</v>
      </c>
      <c r="G204" s="44" t="s">
        <v>2139</v>
      </c>
      <c r="H204" s="44" t="s">
        <v>1</v>
      </c>
      <c r="I204" s="44" t="s">
        <v>13</v>
      </c>
      <c r="J204" s="72" t="s">
        <v>1232</v>
      </c>
      <c r="K204" s="73">
        <v>37145</v>
      </c>
      <c r="L204" s="30">
        <v>2001</v>
      </c>
      <c r="M204" s="30">
        <f t="shared" si="6"/>
        <v>18</v>
      </c>
      <c r="N204" s="44" t="s">
        <v>3</v>
      </c>
      <c r="O204" s="44" t="s">
        <v>1229</v>
      </c>
      <c r="P204" s="72" t="s">
        <v>1233</v>
      </c>
      <c r="Q204" s="44"/>
      <c r="R204" s="72" t="s">
        <v>1822</v>
      </c>
    </row>
    <row r="205" spans="2:18" ht="25.5" hidden="1" x14ac:dyDescent="0.2">
      <c r="B205" s="135"/>
      <c r="C205" s="119"/>
      <c r="D205" s="44">
        <v>198</v>
      </c>
      <c r="E205" s="72" t="s">
        <v>2140</v>
      </c>
      <c r="F205" s="44" t="s">
        <v>16</v>
      </c>
      <c r="G205" s="44" t="s">
        <v>2141</v>
      </c>
      <c r="H205" s="44" t="s">
        <v>9</v>
      </c>
      <c r="I205" s="44" t="s">
        <v>13</v>
      </c>
      <c r="J205" s="72" t="s">
        <v>1232</v>
      </c>
      <c r="K205" s="73">
        <v>42514</v>
      </c>
      <c r="L205" s="30">
        <v>2016</v>
      </c>
      <c r="M205" s="30">
        <f t="shared" si="6"/>
        <v>3</v>
      </c>
      <c r="N205" s="44" t="s">
        <v>3</v>
      </c>
      <c r="O205" s="44" t="s">
        <v>1229</v>
      </c>
      <c r="P205" s="72" t="s">
        <v>1258</v>
      </c>
      <c r="Q205" s="44"/>
      <c r="R205" s="72" t="s">
        <v>1819</v>
      </c>
    </row>
    <row r="206" spans="2:18" ht="25.5" hidden="1" x14ac:dyDescent="0.2">
      <c r="B206" s="135">
        <v>70</v>
      </c>
      <c r="C206" s="119" t="s">
        <v>2142</v>
      </c>
      <c r="D206" s="44">
        <v>199</v>
      </c>
      <c r="E206" s="72" t="s">
        <v>2143</v>
      </c>
      <c r="F206" s="44" t="s">
        <v>6</v>
      </c>
      <c r="G206" s="44" t="s">
        <v>2144</v>
      </c>
      <c r="H206" s="44" t="s">
        <v>1</v>
      </c>
      <c r="I206" s="44" t="s">
        <v>2</v>
      </c>
      <c r="J206" s="72" t="s">
        <v>1232</v>
      </c>
      <c r="K206" s="73">
        <v>22629</v>
      </c>
      <c r="L206" s="30">
        <v>1961</v>
      </c>
      <c r="M206" s="30">
        <f t="shared" si="6"/>
        <v>58</v>
      </c>
      <c r="N206" s="44" t="s">
        <v>3</v>
      </c>
      <c r="O206" s="44" t="s">
        <v>1229</v>
      </c>
      <c r="P206" s="72" t="s">
        <v>1233</v>
      </c>
      <c r="Q206" s="44"/>
      <c r="R206" s="72" t="s">
        <v>1330</v>
      </c>
    </row>
    <row r="207" spans="2:18" ht="25.5" hidden="1" x14ac:dyDescent="0.2">
      <c r="B207" s="135"/>
      <c r="C207" s="119"/>
      <c r="D207" s="44">
        <v>200</v>
      </c>
      <c r="E207" s="72" t="s">
        <v>2145</v>
      </c>
      <c r="F207" s="44" t="s">
        <v>11</v>
      </c>
      <c r="G207" s="44" t="s">
        <v>2146</v>
      </c>
      <c r="H207" s="44" t="s">
        <v>9</v>
      </c>
      <c r="I207" s="44" t="s">
        <v>2</v>
      </c>
      <c r="J207" s="72" t="s">
        <v>1232</v>
      </c>
      <c r="K207" s="73">
        <v>22970</v>
      </c>
      <c r="L207" s="30">
        <v>1962</v>
      </c>
      <c r="M207" s="30">
        <f t="shared" si="6"/>
        <v>57</v>
      </c>
      <c r="N207" s="44" t="s">
        <v>3</v>
      </c>
      <c r="O207" s="44" t="s">
        <v>1229</v>
      </c>
      <c r="P207" s="72" t="s">
        <v>1233</v>
      </c>
      <c r="Q207" s="44"/>
      <c r="R207" s="72" t="s">
        <v>1330</v>
      </c>
    </row>
    <row r="208" spans="2:18" ht="25.5" hidden="1" x14ac:dyDescent="0.2">
      <c r="B208" s="135"/>
      <c r="C208" s="119"/>
      <c r="D208" s="44">
        <v>201</v>
      </c>
      <c r="E208" s="72" t="s">
        <v>2147</v>
      </c>
      <c r="F208" s="44" t="s">
        <v>16</v>
      </c>
      <c r="G208" s="44" t="s">
        <v>2148</v>
      </c>
      <c r="H208" s="44" t="s">
        <v>1</v>
      </c>
      <c r="I208" s="44" t="s">
        <v>13</v>
      </c>
      <c r="J208" s="72" t="s">
        <v>1232</v>
      </c>
      <c r="K208" s="73">
        <v>31047</v>
      </c>
      <c r="L208" s="30">
        <v>1984</v>
      </c>
      <c r="M208" s="30">
        <f t="shared" si="6"/>
        <v>35</v>
      </c>
      <c r="N208" s="44" t="s">
        <v>3</v>
      </c>
      <c r="O208" s="44" t="s">
        <v>1229</v>
      </c>
      <c r="P208" s="72" t="s">
        <v>1233</v>
      </c>
      <c r="Q208" s="44"/>
      <c r="R208" s="72" t="s">
        <v>1330</v>
      </c>
    </row>
    <row r="209" spans="2:18" ht="25.5" hidden="1" x14ac:dyDescent="0.2">
      <c r="B209" s="135"/>
      <c r="C209" s="119"/>
      <c r="D209" s="44">
        <v>202</v>
      </c>
      <c r="E209" s="72" t="s">
        <v>2149</v>
      </c>
      <c r="F209" s="44" t="s">
        <v>16</v>
      </c>
      <c r="G209" s="44" t="s">
        <v>2150</v>
      </c>
      <c r="H209" s="44" t="s">
        <v>9</v>
      </c>
      <c r="I209" s="44" t="s">
        <v>13</v>
      </c>
      <c r="J209" s="72" t="s">
        <v>1232</v>
      </c>
      <c r="K209" s="73">
        <v>32602</v>
      </c>
      <c r="L209" s="30">
        <v>1989</v>
      </c>
      <c r="M209" s="30">
        <f t="shared" ref="M209:M231" si="13">2019-L209</f>
        <v>30</v>
      </c>
      <c r="N209" s="44" t="s">
        <v>3</v>
      </c>
      <c r="O209" s="44" t="s">
        <v>1229</v>
      </c>
      <c r="P209" s="72" t="s">
        <v>1233</v>
      </c>
      <c r="Q209" s="44"/>
      <c r="R209" s="72" t="s">
        <v>1330</v>
      </c>
    </row>
    <row r="210" spans="2:18" ht="25.5" hidden="1" x14ac:dyDescent="0.2">
      <c r="B210" s="135">
        <v>71</v>
      </c>
      <c r="C210" s="119" t="s">
        <v>2151</v>
      </c>
      <c r="D210" s="44">
        <v>203</v>
      </c>
      <c r="E210" s="72" t="s">
        <v>1380</v>
      </c>
      <c r="F210" s="44" t="s">
        <v>6</v>
      </c>
      <c r="G210" s="44" t="s">
        <v>1065</v>
      </c>
      <c r="H210" s="44" t="s">
        <v>1</v>
      </c>
      <c r="I210" s="44" t="s">
        <v>2</v>
      </c>
      <c r="J210" s="72" t="s">
        <v>1232</v>
      </c>
      <c r="K210" s="73">
        <v>25750</v>
      </c>
      <c r="L210" s="30">
        <v>1970</v>
      </c>
      <c r="M210" s="30">
        <f t="shared" si="13"/>
        <v>49</v>
      </c>
      <c r="N210" s="44" t="s">
        <v>3</v>
      </c>
      <c r="O210" s="44" t="s">
        <v>1229</v>
      </c>
      <c r="P210" s="72" t="s">
        <v>1258</v>
      </c>
      <c r="Q210" s="44"/>
      <c r="R210" s="72" t="s">
        <v>1330</v>
      </c>
    </row>
    <row r="211" spans="2:18" ht="25.5" hidden="1" x14ac:dyDescent="0.2">
      <c r="B211" s="135"/>
      <c r="C211" s="119"/>
      <c r="D211" s="44">
        <v>204</v>
      </c>
      <c r="E211" s="72" t="s">
        <v>600</v>
      </c>
      <c r="F211" s="44" t="s">
        <v>11</v>
      </c>
      <c r="G211" s="44" t="s">
        <v>2152</v>
      </c>
      <c r="H211" s="44" t="s">
        <v>9</v>
      </c>
      <c r="I211" s="44" t="s">
        <v>2</v>
      </c>
      <c r="J211" s="72" t="s">
        <v>1232</v>
      </c>
      <c r="K211" s="73">
        <v>28672</v>
      </c>
      <c r="L211" s="30">
        <v>1978</v>
      </c>
      <c r="M211" s="30">
        <f t="shared" si="13"/>
        <v>41</v>
      </c>
      <c r="N211" s="44" t="s">
        <v>3</v>
      </c>
      <c r="O211" s="44" t="s">
        <v>1229</v>
      </c>
      <c r="P211" s="72" t="s">
        <v>1258</v>
      </c>
      <c r="Q211" s="44"/>
      <c r="R211" s="72" t="s">
        <v>1871</v>
      </c>
    </row>
    <row r="212" spans="2:18" ht="25.5" hidden="1" x14ac:dyDescent="0.2">
      <c r="B212" s="135"/>
      <c r="C212" s="119"/>
      <c r="D212" s="44">
        <v>205</v>
      </c>
      <c r="E212" s="72" t="s">
        <v>2153</v>
      </c>
      <c r="F212" s="44" t="s">
        <v>16</v>
      </c>
      <c r="G212" s="44" t="s">
        <v>2154</v>
      </c>
      <c r="H212" s="44" t="s">
        <v>1</v>
      </c>
      <c r="I212" s="44" t="s">
        <v>13</v>
      </c>
      <c r="J212" s="72" t="s">
        <v>1232</v>
      </c>
      <c r="K212" s="73">
        <v>37713</v>
      </c>
      <c r="L212" s="30">
        <v>2003</v>
      </c>
      <c r="M212" s="30">
        <f t="shared" si="13"/>
        <v>16</v>
      </c>
      <c r="N212" s="44" t="s">
        <v>3</v>
      </c>
      <c r="O212" s="44" t="s">
        <v>1229</v>
      </c>
      <c r="P212" s="72" t="s">
        <v>1247</v>
      </c>
      <c r="Q212" s="44"/>
      <c r="R212" s="72" t="s">
        <v>1822</v>
      </c>
    </row>
    <row r="213" spans="2:18" ht="25.5" hidden="1" x14ac:dyDescent="0.2">
      <c r="B213" s="135"/>
      <c r="C213" s="119"/>
      <c r="D213" s="44">
        <v>206</v>
      </c>
      <c r="E213" s="72" t="s">
        <v>2155</v>
      </c>
      <c r="F213" s="44" t="s">
        <v>16</v>
      </c>
      <c r="G213" s="44" t="s">
        <v>2156</v>
      </c>
      <c r="H213" s="44" t="s">
        <v>9</v>
      </c>
      <c r="I213" s="44" t="s">
        <v>13</v>
      </c>
      <c r="J213" s="72" t="s">
        <v>1232</v>
      </c>
      <c r="K213" s="73">
        <v>41556</v>
      </c>
      <c r="L213" s="30">
        <v>2013</v>
      </c>
      <c r="M213" s="30">
        <f t="shared" si="13"/>
        <v>6</v>
      </c>
      <c r="N213" s="44" t="s">
        <v>3</v>
      </c>
      <c r="O213" s="44" t="s">
        <v>1229</v>
      </c>
      <c r="P213" s="72" t="s">
        <v>1258</v>
      </c>
      <c r="Q213" s="44"/>
      <c r="R213" s="72" t="s">
        <v>1819</v>
      </c>
    </row>
    <row r="214" spans="2:18" ht="25.5" hidden="1" x14ac:dyDescent="0.2">
      <c r="B214" s="135">
        <v>72</v>
      </c>
      <c r="C214" s="119" t="s">
        <v>2157</v>
      </c>
      <c r="D214" s="44">
        <v>207</v>
      </c>
      <c r="E214" s="72" t="s">
        <v>1629</v>
      </c>
      <c r="F214" s="44" t="s">
        <v>6</v>
      </c>
      <c r="G214" s="44" t="s">
        <v>2158</v>
      </c>
      <c r="H214" s="44" t="s">
        <v>1</v>
      </c>
      <c r="I214" s="44" t="s">
        <v>2</v>
      </c>
      <c r="J214" s="72" t="s">
        <v>1232</v>
      </c>
      <c r="K214" s="73">
        <v>33887</v>
      </c>
      <c r="L214" s="30">
        <v>1992</v>
      </c>
      <c r="M214" s="30">
        <f t="shared" si="13"/>
        <v>27</v>
      </c>
      <c r="N214" s="44" t="s">
        <v>3</v>
      </c>
      <c r="O214" s="44" t="s">
        <v>1229</v>
      </c>
      <c r="P214" s="72" t="s">
        <v>1270</v>
      </c>
      <c r="Q214" s="44"/>
      <c r="R214" s="72" t="s">
        <v>1330</v>
      </c>
    </row>
    <row r="215" spans="2:18" ht="25.5" hidden="1" x14ac:dyDescent="0.2">
      <c r="B215" s="135"/>
      <c r="C215" s="119"/>
      <c r="D215" s="44">
        <v>208</v>
      </c>
      <c r="E215" s="72" t="s">
        <v>2159</v>
      </c>
      <c r="F215" s="44" t="s">
        <v>11</v>
      </c>
      <c r="G215" s="44" t="s">
        <v>2160</v>
      </c>
      <c r="H215" s="44" t="s">
        <v>9</v>
      </c>
      <c r="I215" s="44" t="s">
        <v>2</v>
      </c>
      <c r="J215" s="72" t="s">
        <v>2161</v>
      </c>
      <c r="K215" s="73">
        <v>35217</v>
      </c>
      <c r="L215" s="30">
        <v>1996</v>
      </c>
      <c r="M215" s="30">
        <f t="shared" si="13"/>
        <v>23</v>
      </c>
      <c r="N215" s="44" t="s">
        <v>3</v>
      </c>
      <c r="O215" s="44" t="s">
        <v>1229</v>
      </c>
      <c r="P215" s="72" t="s">
        <v>1270</v>
      </c>
      <c r="Q215" s="44"/>
      <c r="R215" s="72" t="s">
        <v>1360</v>
      </c>
    </row>
    <row r="216" spans="2:18" ht="25.5" hidden="1" x14ac:dyDescent="0.2">
      <c r="B216" s="135"/>
      <c r="C216" s="119"/>
      <c r="D216" s="44">
        <v>209</v>
      </c>
      <c r="E216" s="72" t="s">
        <v>2162</v>
      </c>
      <c r="F216" s="44" t="s">
        <v>16</v>
      </c>
      <c r="G216" s="44" t="s">
        <v>2163</v>
      </c>
      <c r="H216" s="44" t="s">
        <v>9</v>
      </c>
      <c r="I216" s="44" t="s">
        <v>13</v>
      </c>
      <c r="J216" s="72" t="s">
        <v>2161</v>
      </c>
      <c r="K216" s="73">
        <v>42992</v>
      </c>
      <c r="L216" s="30">
        <v>2017</v>
      </c>
      <c r="M216" s="30">
        <f t="shared" si="13"/>
        <v>2</v>
      </c>
      <c r="N216" s="44" t="s">
        <v>3</v>
      </c>
      <c r="O216" s="44" t="s">
        <v>1229</v>
      </c>
      <c r="P216" s="72" t="s">
        <v>1258</v>
      </c>
      <c r="Q216" s="44"/>
      <c r="R216" s="72" t="s">
        <v>1819</v>
      </c>
    </row>
    <row r="217" spans="2:18" ht="25.5" x14ac:dyDescent="0.2">
      <c r="B217" s="90">
        <v>73</v>
      </c>
      <c r="C217" s="44" t="s">
        <v>2164</v>
      </c>
      <c r="D217" s="44">
        <v>210</v>
      </c>
      <c r="E217" s="72" t="s">
        <v>468</v>
      </c>
      <c r="F217" s="44" t="s">
        <v>6</v>
      </c>
      <c r="G217" s="44" t="s">
        <v>504</v>
      </c>
      <c r="H217" s="44" t="s">
        <v>9</v>
      </c>
      <c r="I217" s="44" t="s">
        <v>1296</v>
      </c>
      <c r="J217" s="72" t="s">
        <v>1232</v>
      </c>
      <c r="K217" s="73">
        <v>16071</v>
      </c>
      <c r="L217" s="30">
        <v>1943</v>
      </c>
      <c r="M217" s="30">
        <f t="shared" si="13"/>
        <v>76</v>
      </c>
      <c r="N217" s="44" t="s">
        <v>3</v>
      </c>
      <c r="O217" s="44" t="s">
        <v>1229</v>
      </c>
      <c r="P217" s="72" t="s">
        <v>1258</v>
      </c>
      <c r="Q217" s="44"/>
      <c r="R217" s="72" t="s">
        <v>1819</v>
      </c>
    </row>
    <row r="218" spans="2:18" ht="25.5" x14ac:dyDescent="0.2">
      <c r="B218" s="90">
        <v>74</v>
      </c>
      <c r="C218" s="44" t="s">
        <v>2165</v>
      </c>
      <c r="D218" s="44">
        <v>211</v>
      </c>
      <c r="E218" s="72" t="s">
        <v>2166</v>
      </c>
      <c r="F218" s="44" t="s">
        <v>6</v>
      </c>
      <c r="G218" s="44" t="s">
        <v>2167</v>
      </c>
      <c r="H218" s="44" t="s">
        <v>9</v>
      </c>
      <c r="I218" s="44" t="s">
        <v>1296</v>
      </c>
      <c r="J218" s="72" t="s">
        <v>1232</v>
      </c>
      <c r="K218" s="73">
        <v>17961</v>
      </c>
      <c r="L218" s="30">
        <v>1949</v>
      </c>
      <c r="M218" s="30">
        <f t="shared" si="13"/>
        <v>70</v>
      </c>
      <c r="N218" s="44" t="s">
        <v>3</v>
      </c>
      <c r="O218" s="44" t="s">
        <v>1229</v>
      </c>
      <c r="P218" s="72" t="s">
        <v>1258</v>
      </c>
      <c r="Q218" s="44"/>
      <c r="R218" s="72" t="s">
        <v>1360</v>
      </c>
    </row>
    <row r="219" spans="2:18" ht="25.5" x14ac:dyDescent="0.2">
      <c r="B219" s="90">
        <v>75</v>
      </c>
      <c r="C219" s="44" t="s">
        <v>2168</v>
      </c>
      <c r="D219" s="44">
        <v>212</v>
      </c>
      <c r="E219" s="72" t="s">
        <v>2169</v>
      </c>
      <c r="F219" s="44" t="s">
        <v>6</v>
      </c>
      <c r="G219" s="44" t="s">
        <v>2170</v>
      </c>
      <c r="H219" s="44" t="s">
        <v>1</v>
      </c>
      <c r="I219" s="44" t="s">
        <v>1296</v>
      </c>
      <c r="J219" s="72" t="s">
        <v>1232</v>
      </c>
      <c r="K219" s="73">
        <v>18598</v>
      </c>
      <c r="L219" s="30">
        <v>1950</v>
      </c>
      <c r="M219" s="30">
        <f t="shared" si="13"/>
        <v>69</v>
      </c>
      <c r="N219" s="44" t="s">
        <v>3</v>
      </c>
      <c r="O219" s="44" t="s">
        <v>1229</v>
      </c>
      <c r="P219" s="72" t="s">
        <v>1246</v>
      </c>
      <c r="Q219" s="44"/>
      <c r="R219" s="72" t="s">
        <v>5</v>
      </c>
    </row>
    <row r="220" spans="2:18" ht="25.5" hidden="1" x14ac:dyDescent="0.2">
      <c r="B220" s="135">
        <v>76</v>
      </c>
      <c r="C220" s="119" t="s">
        <v>2171</v>
      </c>
      <c r="D220" s="44">
        <v>213</v>
      </c>
      <c r="E220" s="72" t="s">
        <v>2172</v>
      </c>
      <c r="F220" s="44" t="s">
        <v>6</v>
      </c>
      <c r="G220" s="44" t="s">
        <v>2173</v>
      </c>
      <c r="H220" s="44" t="s">
        <v>1</v>
      </c>
      <c r="I220" s="44" t="s">
        <v>2</v>
      </c>
      <c r="J220" s="72" t="s">
        <v>1232</v>
      </c>
      <c r="K220" s="73">
        <v>28302</v>
      </c>
      <c r="L220" s="30">
        <v>1977</v>
      </c>
      <c r="M220" s="30">
        <f t="shared" si="13"/>
        <v>42</v>
      </c>
      <c r="N220" s="44" t="s">
        <v>3</v>
      </c>
      <c r="O220" s="44" t="s">
        <v>1229</v>
      </c>
      <c r="P220" s="72" t="s">
        <v>1233</v>
      </c>
      <c r="Q220" s="44"/>
      <c r="R220" s="72" t="s">
        <v>2174</v>
      </c>
    </row>
    <row r="221" spans="2:18" ht="25.5" hidden="1" x14ac:dyDescent="0.2">
      <c r="B221" s="135"/>
      <c r="C221" s="119"/>
      <c r="D221" s="44">
        <v>214</v>
      </c>
      <c r="E221" s="72" t="s">
        <v>951</v>
      </c>
      <c r="F221" s="44" t="s">
        <v>11</v>
      </c>
      <c r="G221" s="44" t="s">
        <v>2175</v>
      </c>
      <c r="H221" s="44" t="s">
        <v>9</v>
      </c>
      <c r="I221" s="44" t="s">
        <v>2</v>
      </c>
      <c r="J221" s="72" t="s">
        <v>2176</v>
      </c>
      <c r="K221" s="73">
        <v>28307</v>
      </c>
      <c r="L221" s="30">
        <v>1977</v>
      </c>
      <c r="M221" s="30">
        <f t="shared" si="13"/>
        <v>42</v>
      </c>
      <c r="N221" s="44" t="s">
        <v>3</v>
      </c>
      <c r="O221" s="44" t="s">
        <v>1229</v>
      </c>
      <c r="P221" s="72" t="s">
        <v>1233</v>
      </c>
      <c r="Q221" s="44"/>
      <c r="R221" s="72" t="s">
        <v>1360</v>
      </c>
    </row>
    <row r="222" spans="2:18" ht="25.5" hidden="1" x14ac:dyDescent="0.2">
      <c r="B222" s="135"/>
      <c r="C222" s="119"/>
      <c r="D222" s="44">
        <v>215</v>
      </c>
      <c r="E222" s="72" t="s">
        <v>2177</v>
      </c>
      <c r="F222" s="44" t="s">
        <v>16</v>
      </c>
      <c r="G222" s="44" t="s">
        <v>2178</v>
      </c>
      <c r="H222" s="44" t="s">
        <v>1</v>
      </c>
      <c r="I222" s="44" t="s">
        <v>2</v>
      </c>
      <c r="J222" s="72" t="s">
        <v>1232</v>
      </c>
      <c r="K222" s="73">
        <v>37462</v>
      </c>
      <c r="L222" s="30">
        <v>2002</v>
      </c>
      <c r="M222" s="30">
        <f t="shared" si="13"/>
        <v>17</v>
      </c>
      <c r="N222" s="44" t="s">
        <v>3</v>
      </c>
      <c r="O222" s="44" t="s">
        <v>1229</v>
      </c>
      <c r="P222" s="72" t="s">
        <v>1233</v>
      </c>
      <c r="Q222" s="44"/>
      <c r="R222" s="72" t="s">
        <v>1822</v>
      </c>
    </row>
    <row r="223" spans="2:18" ht="25.5" hidden="1" x14ac:dyDescent="0.2">
      <c r="B223" s="135">
        <v>77</v>
      </c>
      <c r="C223" s="119" t="s">
        <v>2179</v>
      </c>
      <c r="D223" s="44">
        <v>216</v>
      </c>
      <c r="E223" s="72" t="s">
        <v>209</v>
      </c>
      <c r="F223" s="44" t="s">
        <v>6</v>
      </c>
      <c r="G223" s="44" t="s">
        <v>2180</v>
      </c>
      <c r="H223" s="44" t="s">
        <v>1</v>
      </c>
      <c r="I223" s="44" t="s">
        <v>2</v>
      </c>
      <c r="J223" s="72" t="s">
        <v>1232</v>
      </c>
      <c r="K223" s="73">
        <v>31229</v>
      </c>
      <c r="L223" s="30">
        <v>1985</v>
      </c>
      <c r="M223" s="30">
        <f t="shared" si="13"/>
        <v>34</v>
      </c>
      <c r="N223" s="44" t="s">
        <v>3</v>
      </c>
      <c r="O223" s="44" t="s">
        <v>1229</v>
      </c>
      <c r="P223" s="72" t="s">
        <v>1233</v>
      </c>
      <c r="Q223" s="44"/>
      <c r="R223" s="72" t="s">
        <v>1330</v>
      </c>
    </row>
    <row r="224" spans="2:18" ht="25.5" hidden="1" x14ac:dyDescent="0.2">
      <c r="B224" s="135"/>
      <c r="C224" s="119"/>
      <c r="D224" s="44">
        <v>217</v>
      </c>
      <c r="E224" s="72" t="s">
        <v>2181</v>
      </c>
      <c r="F224" s="44" t="s">
        <v>11</v>
      </c>
      <c r="G224" s="44" t="s">
        <v>2182</v>
      </c>
      <c r="H224" s="44" t="s">
        <v>9</v>
      </c>
      <c r="I224" s="44" t="s">
        <v>2</v>
      </c>
      <c r="J224" s="72" t="s">
        <v>2183</v>
      </c>
      <c r="K224" s="73">
        <v>31229</v>
      </c>
      <c r="L224" s="30">
        <v>1985</v>
      </c>
      <c r="M224" s="30">
        <f t="shared" si="13"/>
        <v>34</v>
      </c>
      <c r="N224" s="44" t="s">
        <v>3</v>
      </c>
      <c r="O224" s="44" t="s">
        <v>1229</v>
      </c>
      <c r="P224" s="72" t="s">
        <v>1246</v>
      </c>
      <c r="Q224" s="44"/>
      <c r="R224" s="72" t="s">
        <v>1330</v>
      </c>
    </row>
    <row r="225" spans="2:18" ht="25.5" x14ac:dyDescent="0.2">
      <c r="B225" s="135">
        <v>78</v>
      </c>
      <c r="C225" s="119" t="s">
        <v>2184</v>
      </c>
      <c r="D225" s="44">
        <v>218</v>
      </c>
      <c r="E225" s="72" t="s">
        <v>2185</v>
      </c>
      <c r="F225" s="44" t="s">
        <v>6</v>
      </c>
      <c r="G225" s="44" t="s">
        <v>2186</v>
      </c>
      <c r="H225" s="44" t="s">
        <v>1</v>
      </c>
      <c r="I225" s="44" t="s">
        <v>2</v>
      </c>
      <c r="J225" s="72" t="s">
        <v>1232</v>
      </c>
      <c r="K225" s="73">
        <v>14976</v>
      </c>
      <c r="L225" s="30">
        <v>1940</v>
      </c>
      <c r="M225" s="30">
        <f t="shared" si="13"/>
        <v>79</v>
      </c>
      <c r="N225" s="44" t="s">
        <v>3</v>
      </c>
      <c r="O225" s="44" t="s">
        <v>1229</v>
      </c>
      <c r="P225" s="72" t="s">
        <v>1258</v>
      </c>
      <c r="Q225" s="44"/>
      <c r="R225" s="72" t="s">
        <v>1815</v>
      </c>
    </row>
    <row r="226" spans="2:18" ht="25.5" x14ac:dyDescent="0.2">
      <c r="B226" s="135"/>
      <c r="C226" s="119"/>
      <c r="D226" s="44">
        <v>219</v>
      </c>
      <c r="E226" s="72" t="s">
        <v>1789</v>
      </c>
      <c r="F226" s="44" t="s">
        <v>11</v>
      </c>
      <c r="G226" s="44" t="s">
        <v>2187</v>
      </c>
      <c r="H226" s="44" t="s">
        <v>9</v>
      </c>
      <c r="I226" s="44" t="s">
        <v>2</v>
      </c>
      <c r="J226" s="72" t="s">
        <v>1232</v>
      </c>
      <c r="K226" s="73">
        <v>16071</v>
      </c>
      <c r="L226" s="30">
        <v>1943</v>
      </c>
      <c r="M226" s="30">
        <f t="shared" si="13"/>
        <v>76</v>
      </c>
      <c r="N226" s="44" t="s">
        <v>3</v>
      </c>
      <c r="O226" s="44" t="s">
        <v>1229</v>
      </c>
      <c r="P226" s="72" t="s">
        <v>1258</v>
      </c>
      <c r="Q226" s="44"/>
      <c r="R226" s="72" t="s">
        <v>290</v>
      </c>
    </row>
    <row r="227" spans="2:18" hidden="1" x14ac:dyDescent="0.2">
      <c r="B227" s="135"/>
      <c r="C227" s="119"/>
      <c r="D227" s="44">
        <v>220</v>
      </c>
      <c r="E227" s="72" t="s">
        <v>400</v>
      </c>
      <c r="F227" s="44" t="s">
        <v>16</v>
      </c>
      <c r="G227" s="44" t="s">
        <v>2188</v>
      </c>
      <c r="H227" s="44" t="s">
        <v>1</v>
      </c>
      <c r="I227" s="44" t="s">
        <v>13</v>
      </c>
      <c r="J227" s="72" t="s">
        <v>1232</v>
      </c>
      <c r="K227" s="73">
        <v>29251</v>
      </c>
      <c r="L227" s="30">
        <v>1980</v>
      </c>
      <c r="M227" s="30">
        <f t="shared" si="13"/>
        <v>39</v>
      </c>
      <c r="N227" s="44" t="s">
        <v>3</v>
      </c>
      <c r="O227" s="44" t="s">
        <v>1229</v>
      </c>
      <c r="P227" s="72" t="s">
        <v>1270</v>
      </c>
      <c r="Q227" s="44"/>
      <c r="R227" s="72" t="s">
        <v>5</v>
      </c>
    </row>
    <row r="228" spans="2:18" ht="25.5" hidden="1" x14ac:dyDescent="0.2">
      <c r="B228" s="135"/>
      <c r="C228" s="119"/>
      <c r="D228" s="44">
        <v>221</v>
      </c>
      <c r="E228" s="72" t="s">
        <v>2189</v>
      </c>
      <c r="F228" s="44" t="s">
        <v>16</v>
      </c>
      <c r="G228" s="44" t="s">
        <v>2190</v>
      </c>
      <c r="H228" s="44" t="s">
        <v>9</v>
      </c>
      <c r="I228" s="44" t="s">
        <v>13</v>
      </c>
      <c r="J228" s="72" t="s">
        <v>1232</v>
      </c>
      <c r="K228" s="73">
        <v>31047</v>
      </c>
      <c r="L228" s="30">
        <v>1984</v>
      </c>
      <c r="M228" s="30">
        <f t="shared" si="13"/>
        <v>35</v>
      </c>
      <c r="N228" s="44" t="s">
        <v>3</v>
      </c>
      <c r="O228" s="44" t="s">
        <v>1229</v>
      </c>
      <c r="P228" s="72" t="s">
        <v>1233</v>
      </c>
      <c r="Q228" s="44"/>
      <c r="R228" s="72" t="s">
        <v>1330</v>
      </c>
    </row>
    <row r="229" spans="2:18" ht="25.5" hidden="1" x14ac:dyDescent="0.2">
      <c r="B229" s="135"/>
      <c r="C229" s="119"/>
      <c r="D229" s="44">
        <v>222</v>
      </c>
      <c r="E229" s="72" t="s">
        <v>267</v>
      </c>
      <c r="F229" s="44" t="s">
        <v>16</v>
      </c>
      <c r="G229" s="44" t="s">
        <v>2191</v>
      </c>
      <c r="H229" s="44" t="s">
        <v>9</v>
      </c>
      <c r="I229" s="44" t="s">
        <v>13</v>
      </c>
      <c r="J229" s="72" t="s">
        <v>1232</v>
      </c>
      <c r="K229" s="73">
        <v>31777</v>
      </c>
      <c r="L229" s="30">
        <v>1986</v>
      </c>
      <c r="M229" s="30">
        <f t="shared" si="13"/>
        <v>33</v>
      </c>
      <c r="N229" s="44" t="s">
        <v>3</v>
      </c>
      <c r="O229" s="44" t="s">
        <v>1229</v>
      </c>
      <c r="P229" s="72" t="s">
        <v>1233</v>
      </c>
      <c r="Q229" s="44"/>
      <c r="R229" s="72" t="s">
        <v>1330</v>
      </c>
    </row>
    <row r="230" spans="2:18" ht="25.5" hidden="1" x14ac:dyDescent="0.2">
      <c r="B230" s="135"/>
      <c r="C230" s="119"/>
      <c r="D230" s="44">
        <v>223</v>
      </c>
      <c r="E230" s="72" t="s">
        <v>393</v>
      </c>
      <c r="F230" s="44" t="s">
        <v>16</v>
      </c>
      <c r="G230" s="44" t="s">
        <v>2192</v>
      </c>
      <c r="H230" s="44" t="s">
        <v>1</v>
      </c>
      <c r="I230" s="44" t="s">
        <v>13</v>
      </c>
      <c r="J230" s="72" t="s">
        <v>1232</v>
      </c>
      <c r="K230" s="73">
        <v>32508</v>
      </c>
      <c r="L230" s="30">
        <v>1988</v>
      </c>
      <c r="M230" s="30">
        <f t="shared" si="13"/>
        <v>31</v>
      </c>
      <c r="N230" s="44" t="s">
        <v>3</v>
      </c>
      <c r="O230" s="44" t="s">
        <v>1229</v>
      </c>
      <c r="P230" s="72" t="s">
        <v>1233</v>
      </c>
      <c r="Q230" s="44"/>
      <c r="R230" s="72" t="s">
        <v>1330</v>
      </c>
    </row>
    <row r="231" spans="2:18" hidden="1" x14ac:dyDescent="0.2">
      <c r="B231" s="135"/>
      <c r="C231" s="119"/>
      <c r="D231" s="44">
        <v>224</v>
      </c>
      <c r="E231" s="72" t="s">
        <v>395</v>
      </c>
      <c r="F231" s="44" t="s">
        <v>16</v>
      </c>
      <c r="G231" s="44" t="s">
        <v>2193</v>
      </c>
      <c r="H231" s="44" t="s">
        <v>1</v>
      </c>
      <c r="I231" s="44" t="s">
        <v>13</v>
      </c>
      <c r="J231" s="72" t="s">
        <v>1232</v>
      </c>
      <c r="K231" s="73">
        <v>33552</v>
      </c>
      <c r="L231" s="30">
        <v>1991</v>
      </c>
      <c r="M231" s="30">
        <f t="shared" si="13"/>
        <v>28</v>
      </c>
      <c r="N231" s="44" t="s">
        <v>3</v>
      </c>
      <c r="O231" s="44" t="s">
        <v>1229</v>
      </c>
      <c r="P231" s="72" t="s">
        <v>1246</v>
      </c>
      <c r="Q231" s="44"/>
      <c r="R231" s="72" t="s">
        <v>1822</v>
      </c>
    </row>
    <row r="232" spans="2:18" ht="25.5" hidden="1" x14ac:dyDescent="0.2">
      <c r="B232" s="135">
        <v>79</v>
      </c>
      <c r="C232" s="119" t="s">
        <v>2205</v>
      </c>
      <c r="D232" s="44">
        <v>225</v>
      </c>
      <c r="E232" s="72" t="s">
        <v>274</v>
      </c>
      <c r="F232" s="44" t="s">
        <v>6</v>
      </c>
      <c r="G232" s="44" t="s">
        <v>2209</v>
      </c>
      <c r="H232" s="44" t="s">
        <v>1</v>
      </c>
      <c r="I232" s="44" t="s">
        <v>2</v>
      </c>
      <c r="J232" s="72" t="s">
        <v>1232</v>
      </c>
      <c r="K232" s="73">
        <v>29206</v>
      </c>
      <c r="L232" s="30">
        <v>1979</v>
      </c>
      <c r="M232" s="30">
        <f t="shared" ref="M232:M238" si="14">2019-L232</f>
        <v>40</v>
      </c>
      <c r="N232" s="44" t="s">
        <v>3</v>
      </c>
      <c r="O232" s="44" t="s">
        <v>1229</v>
      </c>
      <c r="P232" s="72" t="s">
        <v>1233</v>
      </c>
      <c r="Q232" s="44"/>
      <c r="R232" s="72" t="s">
        <v>1330</v>
      </c>
    </row>
    <row r="233" spans="2:18" ht="25.5" hidden="1" x14ac:dyDescent="0.2">
      <c r="B233" s="135"/>
      <c r="C233" s="119"/>
      <c r="D233" s="44">
        <v>226</v>
      </c>
      <c r="E233" s="72" t="s">
        <v>2206</v>
      </c>
      <c r="F233" s="44" t="s">
        <v>11</v>
      </c>
      <c r="G233" s="44" t="s">
        <v>2210</v>
      </c>
      <c r="H233" s="44" t="s">
        <v>9</v>
      </c>
      <c r="I233" s="44" t="s">
        <v>2</v>
      </c>
      <c r="J233" s="72" t="s">
        <v>1232</v>
      </c>
      <c r="K233" s="73">
        <v>29563</v>
      </c>
      <c r="L233" s="30">
        <v>1980</v>
      </c>
      <c r="M233" s="30">
        <f t="shared" si="14"/>
        <v>39</v>
      </c>
      <c r="N233" s="44" t="s">
        <v>3</v>
      </c>
      <c r="O233" s="44" t="s">
        <v>1229</v>
      </c>
      <c r="P233" s="72" t="s">
        <v>1258</v>
      </c>
      <c r="Q233" s="44"/>
      <c r="R233" s="72" t="s">
        <v>1360</v>
      </c>
    </row>
    <row r="234" spans="2:18" hidden="1" x14ac:dyDescent="0.2">
      <c r="B234" s="135"/>
      <c r="C234" s="119"/>
      <c r="D234" s="44">
        <v>227</v>
      </c>
      <c r="E234" s="72" t="s">
        <v>2207</v>
      </c>
      <c r="F234" s="44" t="s">
        <v>16</v>
      </c>
      <c r="G234" s="44" t="s">
        <v>2211</v>
      </c>
      <c r="H234" s="44" t="s">
        <v>9</v>
      </c>
      <c r="I234" s="44" t="s">
        <v>13</v>
      </c>
      <c r="J234" s="72" t="s">
        <v>1232</v>
      </c>
      <c r="K234" s="73">
        <v>36110</v>
      </c>
      <c r="L234" s="30">
        <v>1998</v>
      </c>
      <c r="M234" s="30">
        <f t="shared" si="14"/>
        <v>21</v>
      </c>
      <c r="N234" s="44" t="s">
        <v>3</v>
      </c>
      <c r="O234" s="44" t="s">
        <v>1229</v>
      </c>
      <c r="P234" s="72" t="s">
        <v>1270</v>
      </c>
      <c r="Q234" s="44"/>
      <c r="R234" s="72" t="s">
        <v>1822</v>
      </c>
    </row>
    <row r="235" spans="2:18" ht="25.5" hidden="1" x14ac:dyDescent="0.2">
      <c r="B235" s="135"/>
      <c r="C235" s="119"/>
      <c r="D235" s="44">
        <v>228</v>
      </c>
      <c r="E235" s="72" t="s">
        <v>2208</v>
      </c>
      <c r="F235" s="44" t="s">
        <v>16</v>
      </c>
      <c r="G235" s="44" t="s">
        <v>2212</v>
      </c>
      <c r="H235" s="44" t="s">
        <v>1</v>
      </c>
      <c r="I235" s="44" t="s">
        <v>13</v>
      </c>
      <c r="J235" s="72" t="s">
        <v>1232</v>
      </c>
      <c r="K235" s="73">
        <v>39207</v>
      </c>
      <c r="L235" s="30">
        <v>2007</v>
      </c>
      <c r="M235" s="30">
        <f t="shared" si="14"/>
        <v>12</v>
      </c>
      <c r="N235" s="44" t="s">
        <v>3</v>
      </c>
      <c r="O235" s="44" t="s">
        <v>1229</v>
      </c>
      <c r="P235" s="72" t="s">
        <v>1258</v>
      </c>
      <c r="Q235" s="44"/>
      <c r="R235" s="72" t="s">
        <v>1819</v>
      </c>
    </row>
    <row r="236" spans="2:18" hidden="1" x14ac:dyDescent="0.2">
      <c r="B236" s="135">
        <v>80</v>
      </c>
      <c r="C236" s="119" t="s">
        <v>2213</v>
      </c>
      <c r="D236" s="44">
        <v>229</v>
      </c>
      <c r="E236" s="72" t="s">
        <v>2214</v>
      </c>
      <c r="F236" s="44" t="s">
        <v>6</v>
      </c>
      <c r="G236" s="44" t="s">
        <v>2217</v>
      </c>
      <c r="H236" s="44" t="s">
        <v>1</v>
      </c>
      <c r="I236" s="44" t="s">
        <v>2</v>
      </c>
      <c r="J236" s="72" t="s">
        <v>1232</v>
      </c>
      <c r="K236" s="73">
        <v>32258</v>
      </c>
      <c r="L236" s="30">
        <v>1988</v>
      </c>
      <c r="M236" s="30">
        <f t="shared" si="14"/>
        <v>31</v>
      </c>
      <c r="N236" s="44" t="s">
        <v>3</v>
      </c>
      <c r="O236" s="44" t="s">
        <v>1229</v>
      </c>
      <c r="P236" s="72" t="s">
        <v>1246</v>
      </c>
      <c r="Q236" s="44"/>
      <c r="R236" s="72" t="s">
        <v>5</v>
      </c>
    </row>
    <row r="237" spans="2:18" ht="25.5" hidden="1" x14ac:dyDescent="0.2">
      <c r="B237" s="135"/>
      <c r="C237" s="119"/>
      <c r="D237" s="44">
        <v>230</v>
      </c>
      <c r="E237" s="72" t="s">
        <v>2215</v>
      </c>
      <c r="F237" s="44" t="s">
        <v>11</v>
      </c>
      <c r="G237" s="44" t="s">
        <v>2218</v>
      </c>
      <c r="H237" s="44" t="s">
        <v>9</v>
      </c>
      <c r="I237" s="44" t="s">
        <v>2</v>
      </c>
      <c r="J237" s="72" t="s">
        <v>2220</v>
      </c>
      <c r="K237" s="73">
        <v>34984</v>
      </c>
      <c r="L237" s="30">
        <v>1995</v>
      </c>
      <c r="M237" s="30">
        <f t="shared" si="14"/>
        <v>24</v>
      </c>
      <c r="N237" s="44" t="s">
        <v>3</v>
      </c>
      <c r="O237" s="44" t="s">
        <v>1229</v>
      </c>
      <c r="P237" s="72" t="s">
        <v>1270</v>
      </c>
      <c r="Q237" s="44"/>
      <c r="R237" s="72" t="s">
        <v>1360</v>
      </c>
    </row>
    <row r="238" spans="2:18" ht="25.5" hidden="1" x14ac:dyDescent="0.2">
      <c r="B238" s="135"/>
      <c r="C238" s="119"/>
      <c r="D238" s="44">
        <v>231</v>
      </c>
      <c r="E238" s="72" t="s">
        <v>2216</v>
      </c>
      <c r="F238" s="44" t="s">
        <v>16</v>
      </c>
      <c r="G238" s="44" t="s">
        <v>2219</v>
      </c>
      <c r="H238" s="44" t="s">
        <v>1</v>
      </c>
      <c r="I238" s="44" t="s">
        <v>13</v>
      </c>
      <c r="J238" s="72" t="s">
        <v>1818</v>
      </c>
      <c r="K238" s="73">
        <v>42690</v>
      </c>
      <c r="L238" s="30">
        <v>2016</v>
      </c>
      <c r="M238" s="30">
        <f t="shared" si="14"/>
        <v>3</v>
      </c>
      <c r="N238" s="44" t="s">
        <v>3</v>
      </c>
      <c r="O238" s="44" t="s">
        <v>1229</v>
      </c>
      <c r="P238" s="72" t="s">
        <v>1258</v>
      </c>
      <c r="Q238" s="44"/>
      <c r="R238" s="72" t="s">
        <v>1819</v>
      </c>
    </row>
    <row r="239" spans="2:18" hidden="1" x14ac:dyDescent="0.2">
      <c r="B239" s="135">
        <v>81</v>
      </c>
      <c r="C239" s="119" t="s">
        <v>2221</v>
      </c>
      <c r="D239" s="44">
        <v>232</v>
      </c>
      <c r="E239" s="72" t="s">
        <v>372</v>
      </c>
      <c r="F239" s="44" t="s">
        <v>6</v>
      </c>
      <c r="G239" s="44" t="s">
        <v>2224</v>
      </c>
      <c r="H239" s="44" t="s">
        <v>1</v>
      </c>
      <c r="I239" s="44" t="s">
        <v>2</v>
      </c>
      <c r="J239" s="72" t="s">
        <v>1232</v>
      </c>
      <c r="K239" s="73">
        <v>31777</v>
      </c>
      <c r="L239" s="30">
        <v>1986</v>
      </c>
      <c r="M239" s="30">
        <f t="shared" ref="M239:M241" si="15">2019-L239</f>
        <v>33</v>
      </c>
      <c r="N239" s="44" t="s">
        <v>3</v>
      </c>
      <c r="O239" s="44" t="s">
        <v>1229</v>
      </c>
      <c r="P239" s="72" t="s">
        <v>1270</v>
      </c>
      <c r="Q239" s="44"/>
      <c r="R239" s="72" t="s">
        <v>5</v>
      </c>
    </row>
    <row r="240" spans="2:18" ht="25.5" hidden="1" x14ac:dyDescent="0.2">
      <c r="B240" s="135"/>
      <c r="C240" s="119"/>
      <c r="D240" s="44">
        <v>233</v>
      </c>
      <c r="E240" s="72" t="s">
        <v>2149</v>
      </c>
      <c r="F240" s="44" t="s">
        <v>11</v>
      </c>
      <c r="G240" s="44" t="s">
        <v>2225</v>
      </c>
      <c r="H240" s="44" t="s">
        <v>9</v>
      </c>
      <c r="I240" s="44" t="s">
        <v>2</v>
      </c>
      <c r="J240" s="72" t="s">
        <v>1245</v>
      </c>
      <c r="K240" s="73">
        <v>33552</v>
      </c>
      <c r="L240" s="30">
        <v>1991</v>
      </c>
      <c r="M240" s="30">
        <f t="shared" si="15"/>
        <v>28</v>
      </c>
      <c r="N240" s="44" t="s">
        <v>3</v>
      </c>
      <c r="O240" s="44" t="s">
        <v>1229</v>
      </c>
      <c r="P240" s="72" t="s">
        <v>1233</v>
      </c>
      <c r="Q240" s="44"/>
      <c r="R240" s="72" t="s">
        <v>1360</v>
      </c>
    </row>
    <row r="241" spans="2:18" ht="26.25" hidden="1" thickBot="1" x14ac:dyDescent="0.25">
      <c r="B241" s="145"/>
      <c r="C241" s="146"/>
      <c r="D241" s="44">
        <v>234</v>
      </c>
      <c r="E241" s="103" t="s">
        <v>2222</v>
      </c>
      <c r="F241" s="104" t="s">
        <v>16</v>
      </c>
      <c r="G241" s="104" t="s">
        <v>2223</v>
      </c>
      <c r="H241" s="104" t="s">
        <v>1</v>
      </c>
      <c r="I241" s="104" t="s">
        <v>13</v>
      </c>
      <c r="J241" s="103" t="s">
        <v>1316</v>
      </c>
      <c r="K241" s="105">
        <v>41232</v>
      </c>
      <c r="L241" s="106">
        <v>2012</v>
      </c>
      <c r="M241" s="106">
        <f t="shared" si="15"/>
        <v>7</v>
      </c>
      <c r="N241" s="104" t="s">
        <v>3</v>
      </c>
      <c r="O241" s="104" t="s">
        <v>1229</v>
      </c>
      <c r="P241" s="103" t="s">
        <v>1258</v>
      </c>
      <c r="Q241" s="104"/>
      <c r="R241" s="103" t="s">
        <v>1819</v>
      </c>
    </row>
    <row r="245" spans="2:18" s="77" customFormat="1" ht="15" x14ac:dyDescent="0.25">
      <c r="D245" s="164" t="s">
        <v>2346</v>
      </c>
      <c r="E245" s="164"/>
      <c r="F245" s="164"/>
      <c r="L245" s="81"/>
      <c r="P245" s="79"/>
      <c r="R245" s="79"/>
    </row>
    <row r="246" spans="2:18" s="77" customFormat="1" ht="15" x14ac:dyDescent="0.25">
      <c r="D246" s="164" t="s">
        <v>2347</v>
      </c>
      <c r="E246" s="164"/>
      <c r="F246" s="164"/>
      <c r="L246" s="81"/>
      <c r="P246" s="157" t="s">
        <v>2348</v>
      </c>
      <c r="Q246" s="157"/>
      <c r="R246" s="79"/>
    </row>
    <row r="247" spans="2:18" s="77" customFormat="1" ht="15" x14ac:dyDescent="0.25">
      <c r="D247" s="165"/>
      <c r="E247" s="165"/>
      <c r="F247" s="165"/>
      <c r="L247" s="81"/>
      <c r="P247" s="166"/>
      <c r="Q247" s="166"/>
      <c r="R247" s="79"/>
    </row>
    <row r="248" spans="2:18" s="77" customFormat="1" ht="15" x14ac:dyDescent="0.25">
      <c r="D248" s="167"/>
      <c r="E248" s="168"/>
      <c r="F248" s="167"/>
      <c r="L248" s="81"/>
      <c r="P248" s="42"/>
      <c r="Q248" s="48"/>
      <c r="R248" s="79"/>
    </row>
    <row r="249" spans="2:18" s="77" customFormat="1" ht="15" x14ac:dyDescent="0.25">
      <c r="D249" s="167"/>
      <c r="E249" s="168"/>
      <c r="F249" s="167"/>
      <c r="L249" s="81"/>
      <c r="P249" s="42"/>
      <c r="Q249" s="48"/>
      <c r="R249" s="79"/>
    </row>
    <row r="250" spans="2:18" s="77" customFormat="1" ht="14.25" x14ac:dyDescent="0.2">
      <c r="D250" s="169" t="s">
        <v>2349</v>
      </c>
      <c r="E250" s="169"/>
      <c r="F250" s="169"/>
      <c r="L250" s="81"/>
      <c r="P250" s="158" t="s">
        <v>128</v>
      </c>
      <c r="Q250" s="158"/>
      <c r="R250" s="79"/>
    </row>
    <row r="251" spans="2:18" s="77" customFormat="1" ht="14.25" x14ac:dyDescent="0.2">
      <c r="D251" s="169" t="s">
        <v>2350</v>
      </c>
      <c r="E251" s="169"/>
      <c r="F251" s="169"/>
      <c r="L251" s="81"/>
      <c r="P251" s="79"/>
      <c r="R251" s="79"/>
    </row>
  </sheetData>
  <autoFilter ref="B7:R241">
    <filterColumn colId="11">
      <filters>
        <filter val="60"/>
        <filter val="62"/>
        <filter val="63"/>
        <filter val="64"/>
        <filter val="67"/>
        <filter val="69"/>
        <filter val="70"/>
        <filter val="74"/>
        <filter val="76"/>
        <filter val="79"/>
        <filter val="84"/>
        <filter val="89"/>
        <filter val="99"/>
      </filters>
    </filterColumn>
  </autoFilter>
  <mergeCells count="153">
    <mergeCell ref="D251:F251"/>
    <mergeCell ref="B223:B224"/>
    <mergeCell ref="C223:C224"/>
    <mergeCell ref="B220:B222"/>
    <mergeCell ref="C220:C222"/>
    <mergeCell ref="B156:B159"/>
    <mergeCell ref="D245:F245"/>
    <mergeCell ref="D246:F246"/>
    <mergeCell ref="P246:Q246"/>
    <mergeCell ref="D250:F250"/>
    <mergeCell ref="P250:Q250"/>
    <mergeCell ref="B112:B116"/>
    <mergeCell ref="B118:B120"/>
    <mergeCell ref="B87:B91"/>
    <mergeCell ref="B133:B136"/>
    <mergeCell ref="B138:B140"/>
    <mergeCell ref="B239:B241"/>
    <mergeCell ref="C239:C241"/>
    <mergeCell ref="B108:B111"/>
    <mergeCell ref="B187:B189"/>
    <mergeCell ref="B166:B167"/>
    <mergeCell ref="B168:B169"/>
    <mergeCell ref="C166:C167"/>
    <mergeCell ref="C168:C169"/>
    <mergeCell ref="B214:B216"/>
    <mergeCell ref="C214:C216"/>
    <mergeCell ref="B210:B213"/>
    <mergeCell ref="C210:C213"/>
    <mergeCell ref="B232:B235"/>
    <mergeCell ref="C232:C235"/>
    <mergeCell ref="B236:B238"/>
    <mergeCell ref="C236:C238"/>
    <mergeCell ref="C164:C165"/>
    <mergeCell ref="B225:B231"/>
    <mergeCell ref="C225:C231"/>
    <mergeCell ref="B198:B200"/>
    <mergeCell ref="C185:C186"/>
    <mergeCell ref="C153:C155"/>
    <mergeCell ref="B170:B173"/>
    <mergeCell ref="B174:B176"/>
    <mergeCell ref="B183:B184"/>
    <mergeCell ref="B185:B186"/>
    <mergeCell ref="B149:B150"/>
    <mergeCell ref="B151:B152"/>
    <mergeCell ref="B153:B155"/>
    <mergeCell ref="B160:B163"/>
    <mergeCell ref="B164:B165"/>
    <mergeCell ref="C151:C152"/>
    <mergeCell ref="G5:G6"/>
    <mergeCell ref="P5:P6"/>
    <mergeCell ref="B202:B205"/>
    <mergeCell ref="C202:C205"/>
    <mergeCell ref="B206:B209"/>
    <mergeCell ref="C206:C209"/>
    <mergeCell ref="B92:B94"/>
    <mergeCell ref="B190:B194"/>
    <mergeCell ref="B196:B197"/>
    <mergeCell ref="C133:C136"/>
    <mergeCell ref="C87:C91"/>
    <mergeCell ref="B121:B125"/>
    <mergeCell ref="B130:B131"/>
    <mergeCell ref="B127:B129"/>
    <mergeCell ref="C187:C189"/>
    <mergeCell ref="B177:B179"/>
    <mergeCell ref="C112:C116"/>
    <mergeCell ref="B141:B144"/>
    <mergeCell ref="B145:B147"/>
    <mergeCell ref="C156:C159"/>
    <mergeCell ref="B180:B182"/>
    <mergeCell ref="C180:C182"/>
    <mergeCell ref="C127:C129"/>
    <mergeCell ref="B105:B107"/>
    <mergeCell ref="C31:C34"/>
    <mergeCell ref="B20:B23"/>
    <mergeCell ref="C20:C23"/>
    <mergeCell ref="C24:C27"/>
    <mergeCell ref="B71:B74"/>
    <mergeCell ref="B75:B76"/>
    <mergeCell ref="C82:C84"/>
    <mergeCell ref="C11:C13"/>
    <mergeCell ref="C14:C15"/>
    <mergeCell ref="C35:C36"/>
    <mergeCell ref="B17:B19"/>
    <mergeCell ref="C17:C19"/>
    <mergeCell ref="C62:C65"/>
    <mergeCell ref="C41:C43"/>
    <mergeCell ref="C28:C29"/>
    <mergeCell ref="B77:B81"/>
    <mergeCell ref="C77:C81"/>
    <mergeCell ref="C66:C69"/>
    <mergeCell ref="C44:C47"/>
    <mergeCell ref="B48:B54"/>
    <mergeCell ref="C48:C54"/>
    <mergeCell ref="B24:B27"/>
    <mergeCell ref="B57:B61"/>
    <mergeCell ref="B62:B65"/>
    <mergeCell ref="B102:B103"/>
    <mergeCell ref="B95:B98"/>
    <mergeCell ref="B35:B36"/>
    <mergeCell ref="B37:B40"/>
    <mergeCell ref="B41:B43"/>
    <mergeCell ref="B44:B47"/>
    <mergeCell ref="B8:B10"/>
    <mergeCell ref="B11:B13"/>
    <mergeCell ref="B14:B15"/>
    <mergeCell ref="B99:B101"/>
    <mergeCell ref="C196:C197"/>
    <mergeCell ref="C198:C200"/>
    <mergeCell ref="C37:C40"/>
    <mergeCell ref="C55:C56"/>
    <mergeCell ref="C57:C61"/>
    <mergeCell ref="C75:C76"/>
    <mergeCell ref="C92:C94"/>
    <mergeCell ref="C102:C103"/>
    <mergeCell ref="C105:C107"/>
    <mergeCell ref="C108:C111"/>
    <mergeCell ref="C130:C131"/>
    <mergeCell ref="C177:C179"/>
    <mergeCell ref="C71:C74"/>
    <mergeCell ref="C95:C98"/>
    <mergeCell ref="C149:C150"/>
    <mergeCell ref="C190:C194"/>
    <mergeCell ref="C183:C184"/>
    <mergeCell ref="C170:C173"/>
    <mergeCell ref="C141:C144"/>
    <mergeCell ref="C118:C120"/>
    <mergeCell ref="C99:C101"/>
    <mergeCell ref="C138:C140"/>
    <mergeCell ref="C121:C125"/>
    <mergeCell ref="B28:B29"/>
    <mergeCell ref="B31:B34"/>
    <mergeCell ref="B66:B69"/>
    <mergeCell ref="B55:B56"/>
    <mergeCell ref="B82:B84"/>
    <mergeCell ref="C145:C147"/>
    <mergeCell ref="C160:C163"/>
    <mergeCell ref="C174:C176"/>
    <mergeCell ref="B1:R1"/>
    <mergeCell ref="B2:R2"/>
    <mergeCell ref="C8:C10"/>
    <mergeCell ref="R5:R6"/>
    <mergeCell ref="O5:O6"/>
    <mergeCell ref="B5:B6"/>
    <mergeCell ref="E5:E6"/>
    <mergeCell ref="H5:H6"/>
    <mergeCell ref="I5:I6"/>
    <mergeCell ref="N5:N6"/>
    <mergeCell ref="F5:F6"/>
    <mergeCell ref="C5:C6"/>
    <mergeCell ref="D5:D6"/>
    <mergeCell ref="M5:M6"/>
    <mergeCell ref="J5:L5"/>
    <mergeCell ref="Q5:Q6"/>
  </mergeCells>
  <pageMargins left="1.37795275590551" right="0.196850393700787" top="0.39370078740157499" bottom="0.643700787" header="0.31496062992126" footer="0.31496062992126"/>
  <pageSetup paperSize="10000" scale="82" orientation="landscape" horizontalDpi="300" verticalDpi="300" r:id="rId1"/>
  <headerFooter>
    <oddFooter>&amp;C&amp;"-,Bold"&amp;12&amp;P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00"/>
  <sheetViews>
    <sheetView workbookViewId="0">
      <pane ySplit="3" topLeftCell="A21" activePane="bottomLeft" state="frozen"/>
      <selection pane="bottomLeft" activeCell="D28" sqref="D28"/>
    </sheetView>
  </sheetViews>
  <sheetFormatPr defaultRowHeight="12.75" x14ac:dyDescent="0.2"/>
  <cols>
    <col min="1" max="1" width="3.140625" style="43" bestFit="1" customWidth="1"/>
    <col min="2" max="2" width="18.140625" style="43" bestFit="1" customWidth="1"/>
    <col min="3" max="3" width="13.7109375" style="43" bestFit="1" customWidth="1"/>
    <col min="4" max="4" width="23.28515625" style="43" bestFit="1" customWidth="1"/>
    <col min="5" max="5" width="23" style="43" bestFit="1" customWidth="1"/>
    <col min="6" max="6" width="18.5703125" style="43" bestFit="1" customWidth="1"/>
    <col min="7" max="7" width="16.85546875" style="43" bestFit="1" customWidth="1"/>
    <col min="8" max="8" width="16" style="43" bestFit="1" customWidth="1"/>
    <col min="9" max="9" width="14.140625" style="43" bestFit="1" customWidth="1"/>
    <col min="10" max="10" width="7.42578125" style="43" bestFit="1" customWidth="1"/>
    <col min="11" max="11" width="6" style="43" bestFit="1" customWidth="1"/>
    <col min="12" max="12" width="4.42578125" style="43" bestFit="1" customWidth="1"/>
    <col min="13" max="13" width="6.42578125" style="43" bestFit="1" customWidth="1"/>
    <col min="14" max="14" width="5.85546875" style="43" bestFit="1" customWidth="1"/>
    <col min="15" max="15" width="27.5703125" style="43" bestFit="1" customWidth="1"/>
    <col min="16" max="16" width="7.5703125" style="43" bestFit="1" customWidth="1"/>
    <col min="17" max="17" width="26.85546875" style="43" bestFit="1" customWidth="1"/>
    <col min="18" max="18" width="6.42578125" style="43" bestFit="1" customWidth="1"/>
    <col min="19" max="19" width="5.140625" style="43" bestFit="1" customWidth="1"/>
    <col min="20" max="20" width="3.5703125" style="43" bestFit="1" customWidth="1"/>
    <col min="21" max="21" width="8.28515625" style="43" bestFit="1" customWidth="1"/>
    <col min="22" max="22" width="11.28515625" style="43" bestFit="1" customWidth="1"/>
    <col min="23" max="16384" width="9.140625" style="43"/>
  </cols>
  <sheetData>
    <row r="2" spans="1:23" ht="15" customHeight="1" x14ac:dyDescent="0.2">
      <c r="A2" s="148" t="s">
        <v>347</v>
      </c>
      <c r="B2" s="149" t="s">
        <v>1213</v>
      </c>
      <c r="C2" s="150" t="s">
        <v>1214</v>
      </c>
      <c r="D2" s="148" t="s">
        <v>348</v>
      </c>
      <c r="E2" s="148" t="s">
        <v>354</v>
      </c>
      <c r="F2" s="149" t="s">
        <v>355</v>
      </c>
      <c r="G2" s="148" t="s">
        <v>349</v>
      </c>
      <c r="H2" s="148" t="s">
        <v>350</v>
      </c>
      <c r="I2" s="148" t="s">
        <v>1207</v>
      </c>
      <c r="J2" s="148"/>
      <c r="K2" s="148"/>
      <c r="L2" s="147" t="s">
        <v>1217</v>
      </c>
      <c r="M2" s="148" t="s">
        <v>351</v>
      </c>
      <c r="N2" s="148" t="s">
        <v>1211</v>
      </c>
      <c r="O2" s="147" t="s">
        <v>352</v>
      </c>
      <c r="P2" s="148" t="s">
        <v>1212</v>
      </c>
      <c r="Q2" s="148" t="s">
        <v>353</v>
      </c>
      <c r="R2" s="148" t="s">
        <v>1220</v>
      </c>
      <c r="S2" s="148"/>
      <c r="T2" s="148" t="s">
        <v>1221</v>
      </c>
      <c r="U2" s="148"/>
      <c r="V2" s="148"/>
      <c r="W2" s="40"/>
    </row>
    <row r="3" spans="1:23" x14ac:dyDescent="0.2">
      <c r="A3" s="148"/>
      <c r="B3" s="149"/>
      <c r="C3" s="151"/>
      <c r="D3" s="148"/>
      <c r="E3" s="148"/>
      <c r="F3" s="149"/>
      <c r="G3" s="148"/>
      <c r="H3" s="148"/>
      <c r="I3" s="38" t="s">
        <v>1215</v>
      </c>
      <c r="J3" s="37" t="s">
        <v>1209</v>
      </c>
      <c r="K3" s="39" t="s">
        <v>1216</v>
      </c>
      <c r="L3" s="147"/>
      <c r="M3" s="148"/>
      <c r="N3" s="148"/>
      <c r="O3" s="147"/>
      <c r="P3" s="148"/>
      <c r="Q3" s="148"/>
      <c r="R3" s="38" t="s">
        <v>1219</v>
      </c>
      <c r="S3" s="38" t="s">
        <v>1218</v>
      </c>
      <c r="T3" s="38" t="s">
        <v>6</v>
      </c>
      <c r="U3" s="38" t="s">
        <v>1222</v>
      </c>
      <c r="V3" s="38" t="s">
        <v>1223</v>
      </c>
      <c r="W3" s="40"/>
    </row>
    <row r="4" spans="1:23" x14ac:dyDescent="0.2">
      <c r="A4" s="38"/>
      <c r="B4" s="39"/>
      <c r="C4" s="38"/>
      <c r="D4" s="38"/>
      <c r="E4" s="38"/>
      <c r="F4" s="39"/>
      <c r="G4" s="38"/>
      <c r="H4" s="38"/>
      <c r="I4" s="38"/>
      <c r="J4" s="37"/>
      <c r="K4" s="39"/>
      <c r="L4" s="37"/>
      <c r="M4" s="38"/>
      <c r="N4" s="38"/>
      <c r="O4" s="37"/>
      <c r="P4" s="38"/>
      <c r="Q4" s="38"/>
      <c r="R4" s="38"/>
      <c r="S4" s="38"/>
      <c r="T4" s="38"/>
      <c r="U4" s="38"/>
      <c r="V4" s="38"/>
      <c r="W4" s="40"/>
    </row>
    <row r="5" spans="1:23" s="46" customFormat="1" x14ac:dyDescent="0.2">
      <c r="A5" s="40">
        <v>1</v>
      </c>
      <c r="B5" s="33">
        <v>5201011308120030</v>
      </c>
      <c r="C5" s="40">
        <v>1</v>
      </c>
      <c r="D5" s="40" t="s">
        <v>1230</v>
      </c>
      <c r="E5" s="40" t="s">
        <v>6</v>
      </c>
      <c r="F5" s="40" t="s">
        <v>1231</v>
      </c>
      <c r="G5" s="40" t="s">
        <v>1</v>
      </c>
      <c r="H5" s="40" t="s">
        <v>2</v>
      </c>
      <c r="I5" s="40" t="s">
        <v>1232</v>
      </c>
      <c r="J5" s="45">
        <v>43830</v>
      </c>
      <c r="K5" s="40">
        <v>1968</v>
      </c>
      <c r="L5" s="40">
        <f t="shared" ref="L5:L37" si="0">2019-K5</f>
        <v>51</v>
      </c>
      <c r="M5" s="40" t="s">
        <v>3</v>
      </c>
      <c r="N5" s="40" t="s">
        <v>1229</v>
      </c>
      <c r="O5" s="40" t="s">
        <v>1233</v>
      </c>
      <c r="P5" s="40"/>
      <c r="Q5" s="40" t="s">
        <v>1234</v>
      </c>
      <c r="R5" s="40"/>
      <c r="S5" s="40"/>
      <c r="T5" s="40"/>
      <c r="U5" s="40"/>
      <c r="V5" s="40"/>
      <c r="W5" s="40"/>
    </row>
    <row r="6" spans="1:23" s="46" customFormat="1" x14ac:dyDescent="0.2">
      <c r="A6" s="40"/>
      <c r="B6" s="40"/>
      <c r="C6" s="40">
        <v>2</v>
      </c>
      <c r="D6" s="40" t="s">
        <v>1235</v>
      </c>
      <c r="E6" s="40" t="s">
        <v>11</v>
      </c>
      <c r="F6" s="40" t="s">
        <v>1237</v>
      </c>
      <c r="G6" s="40" t="s">
        <v>9</v>
      </c>
      <c r="H6" s="40" t="s">
        <v>2</v>
      </c>
      <c r="I6" s="40" t="s">
        <v>1232</v>
      </c>
      <c r="J6" s="45">
        <v>43830</v>
      </c>
      <c r="K6" s="40">
        <v>1970</v>
      </c>
      <c r="L6" s="40">
        <f t="shared" si="0"/>
        <v>49</v>
      </c>
      <c r="M6" s="40" t="s">
        <v>3</v>
      </c>
      <c r="N6" s="40" t="s">
        <v>1229</v>
      </c>
      <c r="O6" s="40" t="s">
        <v>1233</v>
      </c>
      <c r="P6" s="40"/>
      <c r="Q6" s="40" t="s">
        <v>1248</v>
      </c>
      <c r="R6" s="40"/>
      <c r="S6" s="40"/>
      <c r="T6" s="40"/>
      <c r="U6" s="40"/>
      <c r="V6" s="40"/>
      <c r="W6" s="40"/>
    </row>
    <row r="7" spans="1:23" s="46" customFormat="1" x14ac:dyDescent="0.2">
      <c r="A7" s="40"/>
      <c r="B7" s="40"/>
      <c r="C7" s="40">
        <v>3</v>
      </c>
      <c r="D7" s="40" t="s">
        <v>1236</v>
      </c>
      <c r="E7" s="40" t="s">
        <v>16</v>
      </c>
      <c r="F7" s="40" t="s">
        <v>1238</v>
      </c>
      <c r="G7" s="40" t="s">
        <v>1</v>
      </c>
      <c r="H7" s="40" t="s">
        <v>1244</v>
      </c>
      <c r="I7" s="40" t="s">
        <v>1232</v>
      </c>
      <c r="J7" s="45">
        <v>43667</v>
      </c>
      <c r="K7" s="40">
        <v>1988</v>
      </c>
      <c r="L7" s="40">
        <f t="shared" si="0"/>
        <v>31</v>
      </c>
      <c r="M7" s="40" t="s">
        <v>3</v>
      </c>
      <c r="N7" s="40" t="s">
        <v>1229</v>
      </c>
      <c r="O7" s="40" t="s">
        <v>1233</v>
      </c>
      <c r="P7" s="40"/>
      <c r="Q7" s="40" t="s">
        <v>1249</v>
      </c>
      <c r="R7" s="40"/>
      <c r="S7" s="40"/>
      <c r="T7" s="40"/>
      <c r="U7" s="40"/>
      <c r="V7" s="40"/>
      <c r="W7" s="40"/>
    </row>
    <row r="8" spans="1:23" s="46" customFormat="1" x14ac:dyDescent="0.2">
      <c r="A8" s="40"/>
      <c r="B8" s="40"/>
      <c r="C8" s="40">
        <v>4</v>
      </c>
      <c r="D8" s="40" t="s">
        <v>454</v>
      </c>
      <c r="E8" s="40" t="s">
        <v>16</v>
      </c>
      <c r="F8" s="40" t="s">
        <v>1239</v>
      </c>
      <c r="G8" s="40" t="s">
        <v>1</v>
      </c>
      <c r="H8" s="40" t="s">
        <v>1244</v>
      </c>
      <c r="I8" s="40" t="s">
        <v>1245</v>
      </c>
      <c r="J8" s="45">
        <v>43576</v>
      </c>
      <c r="K8" s="40">
        <v>1998</v>
      </c>
      <c r="L8" s="40">
        <f t="shared" si="0"/>
        <v>21</v>
      </c>
      <c r="M8" s="40" t="s">
        <v>3</v>
      </c>
      <c r="N8" s="40" t="s">
        <v>1229</v>
      </c>
      <c r="O8" s="40" t="s">
        <v>1246</v>
      </c>
      <c r="P8" s="40"/>
      <c r="Q8" s="40" t="s">
        <v>1249</v>
      </c>
      <c r="R8" s="40"/>
      <c r="S8" s="40"/>
      <c r="T8" s="40"/>
      <c r="U8" s="40"/>
      <c r="V8" s="40"/>
      <c r="W8" s="40"/>
    </row>
    <row r="9" spans="1:23" s="46" customFormat="1" x14ac:dyDescent="0.2">
      <c r="A9" s="40"/>
      <c r="B9" s="40"/>
      <c r="C9" s="40">
        <v>5</v>
      </c>
      <c r="D9" s="40" t="s">
        <v>1240</v>
      </c>
      <c r="E9" s="40" t="s">
        <v>16</v>
      </c>
      <c r="F9" s="40" t="s">
        <v>1241</v>
      </c>
      <c r="G9" s="40" t="s">
        <v>1</v>
      </c>
      <c r="H9" s="40" t="s">
        <v>1244</v>
      </c>
      <c r="I9" s="40" t="s">
        <v>1232</v>
      </c>
      <c r="J9" s="45">
        <v>43641</v>
      </c>
      <c r="K9" s="40">
        <v>2001</v>
      </c>
      <c r="L9" s="40">
        <f t="shared" si="0"/>
        <v>18</v>
      </c>
      <c r="M9" s="40" t="s">
        <v>3</v>
      </c>
      <c r="N9" s="40" t="s">
        <v>1229</v>
      </c>
      <c r="O9" s="40" t="s">
        <v>1233</v>
      </c>
      <c r="P9" s="40"/>
      <c r="Q9" s="40" t="s">
        <v>1249</v>
      </c>
      <c r="R9" s="40"/>
      <c r="S9" s="40"/>
      <c r="T9" s="40"/>
      <c r="U9" s="40"/>
      <c r="V9" s="40"/>
      <c r="W9" s="40"/>
    </row>
    <row r="10" spans="1:23" s="46" customFormat="1" x14ac:dyDescent="0.2">
      <c r="A10" s="40"/>
      <c r="B10" s="40"/>
      <c r="C10" s="40">
        <v>6</v>
      </c>
      <c r="D10" s="40" t="s">
        <v>1242</v>
      </c>
      <c r="E10" s="40" t="s">
        <v>16</v>
      </c>
      <c r="F10" s="40" t="s">
        <v>1243</v>
      </c>
      <c r="G10" s="40" t="s">
        <v>1</v>
      </c>
      <c r="H10" s="40" t="s">
        <v>1244</v>
      </c>
      <c r="I10" s="40" t="s">
        <v>1232</v>
      </c>
      <c r="J10" s="45">
        <v>43800</v>
      </c>
      <c r="K10" s="40">
        <v>2002</v>
      </c>
      <c r="L10" s="40">
        <f t="shared" si="0"/>
        <v>17</v>
      </c>
      <c r="M10" s="40" t="s">
        <v>3</v>
      </c>
      <c r="N10" s="40" t="s">
        <v>1229</v>
      </c>
      <c r="O10" s="40" t="s">
        <v>1247</v>
      </c>
      <c r="P10" s="40"/>
      <c r="Q10" s="40" t="s">
        <v>1249</v>
      </c>
      <c r="R10" s="40"/>
      <c r="S10" s="40"/>
      <c r="T10" s="40"/>
      <c r="U10" s="40"/>
      <c r="V10" s="40"/>
      <c r="W10" s="40"/>
    </row>
    <row r="11" spans="1:23" s="46" customFormat="1" x14ac:dyDescent="0.2">
      <c r="A11" s="40">
        <v>2</v>
      </c>
      <c r="B11" s="40" t="s">
        <v>1253</v>
      </c>
      <c r="C11" s="40">
        <v>7</v>
      </c>
      <c r="D11" s="40" t="s">
        <v>675</v>
      </c>
      <c r="E11" s="40" t="s">
        <v>6</v>
      </c>
      <c r="F11" s="40" t="s">
        <v>1254</v>
      </c>
      <c r="G11" s="40" t="s">
        <v>1</v>
      </c>
      <c r="H11" s="40" t="s">
        <v>2</v>
      </c>
      <c r="I11" s="40" t="s">
        <v>1232</v>
      </c>
      <c r="J11" s="45">
        <v>43566</v>
      </c>
      <c r="K11" s="40">
        <v>1977</v>
      </c>
      <c r="L11" s="40">
        <f t="shared" si="0"/>
        <v>42</v>
      </c>
      <c r="M11" s="40" t="s">
        <v>3</v>
      </c>
      <c r="N11" s="40" t="s">
        <v>1229</v>
      </c>
      <c r="O11" s="40" t="s">
        <v>1233</v>
      </c>
      <c r="P11" s="40"/>
      <c r="Q11" s="40" t="s">
        <v>1259</v>
      </c>
      <c r="R11" s="40"/>
      <c r="S11" s="40"/>
      <c r="T11" s="40"/>
      <c r="U11" s="40"/>
      <c r="V11" s="40"/>
      <c r="W11" s="40"/>
    </row>
    <row r="12" spans="1:23" s="46" customFormat="1" x14ac:dyDescent="0.2">
      <c r="A12" s="40"/>
      <c r="B12" s="40"/>
      <c r="C12" s="40">
        <v>8</v>
      </c>
      <c r="D12" s="40" t="s">
        <v>1250</v>
      </c>
      <c r="E12" s="40" t="s">
        <v>11</v>
      </c>
      <c r="F12" s="40" t="s">
        <v>1255</v>
      </c>
      <c r="G12" s="40" t="s">
        <v>9</v>
      </c>
      <c r="H12" s="40" t="s">
        <v>2</v>
      </c>
      <c r="I12" s="40" t="s">
        <v>1232</v>
      </c>
      <c r="J12" s="45">
        <v>43575</v>
      </c>
      <c r="K12" s="40">
        <v>1987</v>
      </c>
      <c r="L12" s="40">
        <f t="shared" si="0"/>
        <v>32</v>
      </c>
      <c r="M12" s="40" t="s">
        <v>3</v>
      </c>
      <c r="N12" s="40" t="s">
        <v>1229</v>
      </c>
      <c r="O12" s="40" t="s">
        <v>1258</v>
      </c>
      <c r="P12" s="40"/>
      <c r="Q12" s="40" t="s">
        <v>1259</v>
      </c>
      <c r="R12" s="40"/>
      <c r="S12" s="40"/>
      <c r="T12" s="40"/>
      <c r="U12" s="40"/>
      <c r="V12" s="40"/>
      <c r="W12" s="40"/>
    </row>
    <row r="13" spans="1:23" s="46" customFormat="1" x14ac:dyDescent="0.2">
      <c r="A13" s="40"/>
      <c r="B13" s="40"/>
      <c r="C13" s="40">
        <v>9</v>
      </c>
      <c r="D13" s="40" t="s">
        <v>1251</v>
      </c>
      <c r="E13" s="40" t="s">
        <v>16</v>
      </c>
      <c r="F13" s="40" t="s">
        <v>1256</v>
      </c>
      <c r="G13" s="40" t="s">
        <v>9</v>
      </c>
      <c r="H13" s="40" t="s">
        <v>1244</v>
      </c>
      <c r="I13" s="40" t="s">
        <v>1232</v>
      </c>
      <c r="J13" s="45">
        <v>43527</v>
      </c>
      <c r="K13" s="40">
        <v>2010</v>
      </c>
      <c r="L13" s="40">
        <f t="shared" si="0"/>
        <v>9</v>
      </c>
      <c r="M13" s="40" t="s">
        <v>3</v>
      </c>
      <c r="N13" s="40" t="s">
        <v>1229</v>
      </c>
      <c r="O13" s="40" t="s">
        <v>1258</v>
      </c>
      <c r="P13" s="40"/>
      <c r="Q13" s="40" t="s">
        <v>1260</v>
      </c>
      <c r="R13" s="40"/>
      <c r="S13" s="40"/>
      <c r="T13" s="40"/>
      <c r="U13" s="40"/>
      <c r="V13" s="40"/>
      <c r="W13" s="40"/>
    </row>
    <row r="14" spans="1:23" s="46" customFormat="1" x14ac:dyDescent="0.2">
      <c r="A14" s="40"/>
      <c r="B14" s="40"/>
      <c r="C14" s="40">
        <v>10</v>
      </c>
      <c r="D14" s="40" t="s">
        <v>1252</v>
      </c>
      <c r="E14" s="40" t="s">
        <v>16</v>
      </c>
      <c r="F14" s="40" t="s">
        <v>1257</v>
      </c>
      <c r="G14" s="40" t="s">
        <v>1</v>
      </c>
      <c r="H14" s="40" t="s">
        <v>1244</v>
      </c>
      <c r="I14" s="40" t="s">
        <v>1232</v>
      </c>
      <c r="J14" s="45">
        <v>43593</v>
      </c>
      <c r="K14" s="40">
        <v>2011</v>
      </c>
      <c r="L14" s="40">
        <f t="shared" si="0"/>
        <v>8</v>
      </c>
      <c r="M14" s="40" t="s">
        <v>3</v>
      </c>
      <c r="N14" s="40" t="s">
        <v>1229</v>
      </c>
      <c r="O14" s="40" t="s">
        <v>1258</v>
      </c>
      <c r="P14" s="40"/>
      <c r="Q14" s="40" t="s">
        <v>1260</v>
      </c>
      <c r="R14" s="40"/>
      <c r="S14" s="40"/>
      <c r="T14" s="40"/>
      <c r="U14" s="40"/>
      <c r="V14" s="40"/>
      <c r="W14" s="40"/>
    </row>
    <row r="15" spans="1:23" s="46" customFormat="1" x14ac:dyDescent="0.2">
      <c r="A15" s="40">
        <v>3</v>
      </c>
      <c r="B15" s="40" t="s">
        <v>1261</v>
      </c>
      <c r="C15" s="40">
        <v>11</v>
      </c>
      <c r="D15" s="40" t="s">
        <v>1262</v>
      </c>
      <c r="E15" s="40" t="s">
        <v>6</v>
      </c>
      <c r="F15" s="40" t="s">
        <v>1266</v>
      </c>
      <c r="G15" s="40" t="s">
        <v>1</v>
      </c>
      <c r="H15" s="40" t="s">
        <v>2</v>
      </c>
      <c r="I15" s="40" t="s">
        <v>1232</v>
      </c>
      <c r="J15" s="45">
        <v>43830</v>
      </c>
      <c r="K15" s="40">
        <v>1960</v>
      </c>
      <c r="L15" s="40">
        <f t="shared" si="0"/>
        <v>59</v>
      </c>
      <c r="M15" s="40" t="s">
        <v>3</v>
      </c>
      <c r="N15" s="40" t="s">
        <v>1229</v>
      </c>
      <c r="O15" s="40" t="s">
        <v>1233</v>
      </c>
      <c r="P15" s="40"/>
      <c r="Q15" s="40" t="s">
        <v>1259</v>
      </c>
      <c r="R15" s="40"/>
      <c r="S15" s="40"/>
      <c r="T15" s="40"/>
      <c r="U15" s="40"/>
      <c r="V15" s="40"/>
      <c r="W15" s="40"/>
    </row>
    <row r="16" spans="1:23" s="46" customFormat="1" x14ac:dyDescent="0.2">
      <c r="A16" s="40"/>
      <c r="B16" s="40"/>
      <c r="C16" s="40">
        <v>12</v>
      </c>
      <c r="D16" s="40" t="s">
        <v>1263</v>
      </c>
      <c r="E16" s="40" t="s">
        <v>11</v>
      </c>
      <c r="F16" s="40" t="s">
        <v>1267</v>
      </c>
      <c r="G16" s="40" t="s">
        <v>9</v>
      </c>
      <c r="H16" s="40" t="s">
        <v>2</v>
      </c>
      <c r="I16" s="40" t="s">
        <v>1232</v>
      </c>
      <c r="J16" s="45">
        <v>43830</v>
      </c>
      <c r="K16" s="40">
        <v>1973</v>
      </c>
      <c r="L16" s="40">
        <f t="shared" si="0"/>
        <v>46</v>
      </c>
      <c r="M16" s="40" t="s">
        <v>3</v>
      </c>
      <c r="N16" s="40" t="s">
        <v>1229</v>
      </c>
      <c r="O16" s="40" t="s">
        <v>1233</v>
      </c>
      <c r="P16" s="40"/>
      <c r="Q16" s="40" t="s">
        <v>1259</v>
      </c>
      <c r="R16" s="40"/>
      <c r="S16" s="40"/>
      <c r="T16" s="40"/>
      <c r="U16" s="40"/>
      <c r="V16" s="40"/>
      <c r="W16" s="40"/>
    </row>
    <row r="17" spans="1:23" s="46" customFormat="1" x14ac:dyDescent="0.2">
      <c r="A17" s="40"/>
      <c r="B17" s="40"/>
      <c r="C17" s="40">
        <v>13</v>
      </c>
      <c r="D17" s="40" t="s">
        <v>1264</v>
      </c>
      <c r="E17" s="40" t="s">
        <v>16</v>
      </c>
      <c r="F17" s="40" t="s">
        <v>1268</v>
      </c>
      <c r="G17" s="40" t="s">
        <v>1</v>
      </c>
      <c r="H17" s="40" t="s">
        <v>1244</v>
      </c>
      <c r="I17" s="40" t="s">
        <v>1232</v>
      </c>
      <c r="J17" s="45">
        <v>43830</v>
      </c>
      <c r="K17" s="40">
        <v>1984</v>
      </c>
      <c r="L17" s="40">
        <f t="shared" si="0"/>
        <v>35</v>
      </c>
      <c r="M17" s="40" t="s">
        <v>3</v>
      </c>
      <c r="N17" s="40" t="s">
        <v>1229</v>
      </c>
      <c r="O17" s="40" t="s">
        <v>1270</v>
      </c>
      <c r="P17" s="40"/>
      <c r="Q17" s="40" t="s">
        <v>1234</v>
      </c>
      <c r="R17" s="40"/>
      <c r="S17" s="40"/>
      <c r="T17" s="40"/>
      <c r="U17" s="40"/>
      <c r="V17" s="40"/>
      <c r="W17" s="40"/>
    </row>
    <row r="18" spans="1:23" s="46" customFormat="1" x14ac:dyDescent="0.2">
      <c r="A18" s="40"/>
      <c r="B18" s="40"/>
      <c r="C18" s="40">
        <v>14</v>
      </c>
      <c r="D18" s="40" t="s">
        <v>1265</v>
      </c>
      <c r="E18" s="40" t="s">
        <v>16</v>
      </c>
      <c r="F18" s="40" t="s">
        <v>1269</v>
      </c>
      <c r="G18" s="40" t="s">
        <v>1</v>
      </c>
      <c r="H18" s="40" t="s">
        <v>1244</v>
      </c>
      <c r="I18" s="40" t="s">
        <v>1232</v>
      </c>
      <c r="J18" s="45">
        <v>43748</v>
      </c>
      <c r="K18" s="40">
        <v>1998</v>
      </c>
      <c r="L18" s="40">
        <f t="shared" si="0"/>
        <v>21</v>
      </c>
      <c r="M18" s="40" t="s">
        <v>3</v>
      </c>
      <c r="N18" s="40" t="s">
        <v>1229</v>
      </c>
      <c r="O18" s="40" t="s">
        <v>1233</v>
      </c>
      <c r="P18" s="40"/>
      <c r="Q18" s="40" t="s">
        <v>1249</v>
      </c>
      <c r="R18" s="40"/>
      <c r="S18" s="40"/>
      <c r="T18" s="40"/>
      <c r="U18" s="40"/>
      <c r="V18" s="40"/>
      <c r="W18" s="40"/>
    </row>
    <row r="19" spans="1:23" s="46" customFormat="1" x14ac:dyDescent="0.2">
      <c r="A19" s="40">
        <v>4</v>
      </c>
      <c r="B19" s="40" t="s">
        <v>1271</v>
      </c>
      <c r="C19" s="40">
        <v>15</v>
      </c>
      <c r="D19" s="40" t="s">
        <v>1272</v>
      </c>
      <c r="E19" s="40" t="s">
        <v>6</v>
      </c>
      <c r="F19" s="40" t="s">
        <v>1275</v>
      </c>
      <c r="G19" s="40" t="s">
        <v>1</v>
      </c>
      <c r="H19" s="40" t="s">
        <v>2</v>
      </c>
      <c r="I19" s="40" t="s">
        <v>1232</v>
      </c>
      <c r="J19" s="45">
        <v>43573</v>
      </c>
      <c r="K19" s="40">
        <v>1954</v>
      </c>
      <c r="L19" s="40">
        <f t="shared" si="0"/>
        <v>65</v>
      </c>
      <c r="M19" s="40" t="s">
        <v>3</v>
      </c>
      <c r="N19" s="40" t="s">
        <v>1229</v>
      </c>
      <c r="O19" s="40" t="s">
        <v>1233</v>
      </c>
      <c r="P19" s="40"/>
      <c r="Q19" s="40" t="s">
        <v>1279</v>
      </c>
      <c r="R19" s="40"/>
      <c r="S19" s="40"/>
      <c r="T19" s="40"/>
      <c r="U19" s="40"/>
      <c r="V19" s="40"/>
      <c r="W19" s="40"/>
    </row>
    <row r="20" spans="1:23" s="46" customFormat="1" x14ac:dyDescent="0.2">
      <c r="A20" s="40"/>
      <c r="B20" s="40"/>
      <c r="C20" s="40">
        <v>16</v>
      </c>
      <c r="D20" s="40" t="s">
        <v>787</v>
      </c>
      <c r="E20" s="40" t="s">
        <v>11</v>
      </c>
      <c r="F20" s="40" t="s">
        <v>1276</v>
      </c>
      <c r="G20" s="40" t="s">
        <v>9</v>
      </c>
      <c r="H20" s="40" t="s">
        <v>2</v>
      </c>
      <c r="I20" s="40" t="s">
        <v>1232</v>
      </c>
      <c r="J20" s="45">
        <v>43711</v>
      </c>
      <c r="K20" s="40">
        <v>1958</v>
      </c>
      <c r="L20" s="40">
        <f t="shared" si="0"/>
        <v>61</v>
      </c>
      <c r="M20" s="40" t="s">
        <v>3</v>
      </c>
      <c r="N20" s="40" t="s">
        <v>1229</v>
      </c>
      <c r="O20" s="40" t="s">
        <v>1258</v>
      </c>
      <c r="P20" s="40"/>
      <c r="Q20" s="40" t="s">
        <v>1279</v>
      </c>
      <c r="R20" s="40"/>
      <c r="S20" s="40"/>
      <c r="T20" s="40"/>
      <c r="U20" s="40"/>
      <c r="V20" s="40"/>
      <c r="W20" s="40"/>
    </row>
    <row r="21" spans="1:23" x14ac:dyDescent="0.2">
      <c r="A21" s="40"/>
      <c r="B21" s="40"/>
      <c r="C21" s="44">
        <v>17</v>
      </c>
      <c r="D21" s="44" t="s">
        <v>1273</v>
      </c>
      <c r="E21" s="44" t="s">
        <v>16</v>
      </c>
      <c r="F21" s="40" t="s">
        <v>1277</v>
      </c>
      <c r="G21" s="44" t="s">
        <v>1</v>
      </c>
      <c r="H21" s="44" t="s">
        <v>1244</v>
      </c>
      <c r="I21" s="44" t="s">
        <v>1232</v>
      </c>
      <c r="J21" s="45">
        <v>43804</v>
      </c>
      <c r="K21" s="44">
        <v>1984</v>
      </c>
      <c r="L21" s="44">
        <f t="shared" si="0"/>
        <v>35</v>
      </c>
      <c r="M21" s="44" t="s">
        <v>3</v>
      </c>
      <c r="N21" s="44" t="s">
        <v>1229</v>
      </c>
      <c r="O21" s="44" t="s">
        <v>1246</v>
      </c>
      <c r="P21" s="40"/>
      <c r="Q21" s="44" t="s">
        <v>1279</v>
      </c>
      <c r="R21" s="40"/>
      <c r="S21" s="40"/>
      <c r="T21" s="40"/>
      <c r="U21" s="40"/>
      <c r="V21" s="40"/>
      <c r="W21" s="40"/>
    </row>
    <row r="22" spans="1:23" x14ac:dyDescent="0.2">
      <c r="A22" s="40"/>
      <c r="B22" s="40"/>
      <c r="C22" s="44">
        <v>18</v>
      </c>
      <c r="D22" s="44" t="s">
        <v>1274</v>
      </c>
      <c r="E22" s="44" t="s">
        <v>16</v>
      </c>
      <c r="F22" s="40" t="s">
        <v>1278</v>
      </c>
      <c r="G22" s="44" t="s">
        <v>9</v>
      </c>
      <c r="H22" s="44" t="s">
        <v>1244</v>
      </c>
      <c r="I22" s="44" t="s">
        <v>1232</v>
      </c>
      <c r="J22" s="45">
        <v>43610</v>
      </c>
      <c r="K22" s="44">
        <v>1998</v>
      </c>
      <c r="L22" s="44">
        <f t="shared" si="0"/>
        <v>21</v>
      </c>
      <c r="M22" s="44" t="s">
        <v>3</v>
      </c>
      <c r="N22" s="44" t="s">
        <v>1229</v>
      </c>
      <c r="O22" s="44" t="s">
        <v>1233</v>
      </c>
      <c r="P22" s="40"/>
      <c r="Q22" s="44" t="s">
        <v>1260</v>
      </c>
      <c r="R22" s="40"/>
      <c r="S22" s="40"/>
      <c r="T22" s="40"/>
      <c r="U22" s="40"/>
      <c r="V22" s="40"/>
      <c r="W22" s="40"/>
    </row>
    <row r="23" spans="1:23" x14ac:dyDescent="0.2">
      <c r="A23" s="40">
        <v>5</v>
      </c>
      <c r="B23" s="40" t="s">
        <v>1280</v>
      </c>
      <c r="C23" s="44">
        <v>19</v>
      </c>
      <c r="D23" s="44" t="s">
        <v>1281</v>
      </c>
      <c r="E23" s="44" t="s">
        <v>6</v>
      </c>
      <c r="F23" s="40" t="s">
        <v>1285</v>
      </c>
      <c r="G23" s="44" t="s">
        <v>1</v>
      </c>
      <c r="H23" s="44" t="s">
        <v>2</v>
      </c>
      <c r="I23" s="44" t="s">
        <v>1232</v>
      </c>
      <c r="J23" s="47">
        <v>43728</v>
      </c>
      <c r="K23" s="44">
        <v>1956</v>
      </c>
      <c r="L23" s="44">
        <f t="shared" si="0"/>
        <v>63</v>
      </c>
      <c r="M23" s="44" t="s">
        <v>3</v>
      </c>
      <c r="N23" s="44" t="s">
        <v>1229</v>
      </c>
      <c r="O23" s="44" t="s">
        <v>1233</v>
      </c>
      <c r="P23" s="40"/>
      <c r="Q23" s="44" t="s">
        <v>1279</v>
      </c>
      <c r="R23" s="40"/>
      <c r="S23" s="40"/>
      <c r="T23" s="40"/>
      <c r="U23" s="40"/>
      <c r="V23" s="40"/>
      <c r="W23" s="40"/>
    </row>
    <row r="24" spans="1:23" x14ac:dyDescent="0.2">
      <c r="A24" s="40"/>
      <c r="B24" s="40"/>
      <c r="C24" s="44">
        <v>20</v>
      </c>
      <c r="D24" s="44" t="s">
        <v>1282</v>
      </c>
      <c r="E24" s="44" t="s">
        <v>11</v>
      </c>
      <c r="F24" s="40" t="s">
        <v>1286</v>
      </c>
      <c r="G24" s="44" t="s">
        <v>9</v>
      </c>
      <c r="H24" s="44" t="s">
        <v>2</v>
      </c>
      <c r="I24" s="44" t="s">
        <v>1232</v>
      </c>
      <c r="J24" s="45">
        <v>43529</v>
      </c>
      <c r="K24" s="44">
        <v>1960</v>
      </c>
      <c r="L24" s="44">
        <f t="shared" si="0"/>
        <v>59</v>
      </c>
      <c r="M24" s="44" t="s">
        <v>3</v>
      </c>
      <c r="N24" s="44" t="s">
        <v>1229</v>
      </c>
      <c r="O24" s="44" t="s">
        <v>1258</v>
      </c>
      <c r="P24" s="40"/>
      <c r="Q24" s="44" t="s">
        <v>1279</v>
      </c>
      <c r="R24" s="40"/>
      <c r="S24" s="40"/>
      <c r="T24" s="40"/>
      <c r="U24" s="40"/>
      <c r="V24" s="40"/>
      <c r="W24" s="40"/>
    </row>
    <row r="25" spans="1:23" x14ac:dyDescent="0.2">
      <c r="A25" s="40"/>
      <c r="B25" s="40"/>
      <c r="C25" s="44">
        <v>21</v>
      </c>
      <c r="D25" s="44" t="s">
        <v>1283</v>
      </c>
      <c r="E25" s="44" t="s">
        <v>16</v>
      </c>
      <c r="F25" s="40" t="s">
        <v>1287</v>
      </c>
      <c r="G25" s="44" t="s">
        <v>1</v>
      </c>
      <c r="H25" s="44" t="s">
        <v>1244</v>
      </c>
      <c r="I25" s="44" t="s">
        <v>1232</v>
      </c>
      <c r="J25" s="45">
        <v>43685</v>
      </c>
      <c r="K25" s="44">
        <v>1985</v>
      </c>
      <c r="L25" s="44">
        <f t="shared" si="0"/>
        <v>34</v>
      </c>
      <c r="M25" s="44" t="s">
        <v>3</v>
      </c>
      <c r="N25" s="44" t="s">
        <v>1229</v>
      </c>
      <c r="O25" s="44" t="s">
        <v>1233</v>
      </c>
      <c r="P25" s="40"/>
      <c r="Q25" s="44" t="s">
        <v>1279</v>
      </c>
      <c r="R25" s="40"/>
      <c r="S25" s="40"/>
      <c r="T25" s="40"/>
      <c r="U25" s="40"/>
      <c r="V25" s="40"/>
      <c r="W25" s="40"/>
    </row>
    <row r="26" spans="1:23" x14ac:dyDescent="0.2">
      <c r="A26" s="40"/>
      <c r="B26" s="40"/>
      <c r="C26" s="44">
        <v>22</v>
      </c>
      <c r="D26" s="44" t="s">
        <v>1284</v>
      </c>
      <c r="E26" s="44" t="s">
        <v>16</v>
      </c>
      <c r="F26" s="40" t="s">
        <v>1288</v>
      </c>
      <c r="G26" s="44" t="s">
        <v>1</v>
      </c>
      <c r="H26" s="44" t="s">
        <v>1244</v>
      </c>
      <c r="I26" s="44" t="s">
        <v>1232</v>
      </c>
      <c r="J26" s="45">
        <v>43669</v>
      </c>
      <c r="K26" s="44">
        <v>1995</v>
      </c>
      <c r="L26" s="44">
        <f t="shared" si="0"/>
        <v>24</v>
      </c>
      <c r="M26" s="44" t="s">
        <v>3</v>
      </c>
      <c r="N26" s="44" t="s">
        <v>1229</v>
      </c>
      <c r="O26" s="44" t="s">
        <v>1246</v>
      </c>
      <c r="P26" s="40"/>
      <c r="Q26" s="44" t="s">
        <v>1289</v>
      </c>
      <c r="R26" s="40"/>
      <c r="S26" s="40"/>
      <c r="T26" s="40"/>
      <c r="U26" s="40"/>
      <c r="V26" s="40"/>
      <c r="W26" s="40"/>
    </row>
    <row r="27" spans="1:23" x14ac:dyDescent="0.2">
      <c r="A27" s="40">
        <v>6</v>
      </c>
      <c r="B27" s="40" t="s">
        <v>1290</v>
      </c>
      <c r="C27" s="44">
        <v>23</v>
      </c>
      <c r="D27" s="44" t="s">
        <v>1291</v>
      </c>
      <c r="E27" s="44" t="s">
        <v>6</v>
      </c>
      <c r="F27" s="40" t="s">
        <v>1293</v>
      </c>
      <c r="G27" s="44" t="s">
        <v>9</v>
      </c>
      <c r="H27" s="44" t="s">
        <v>1296</v>
      </c>
      <c r="I27" s="44" t="s">
        <v>1232</v>
      </c>
      <c r="J27" s="45">
        <v>43830</v>
      </c>
      <c r="K27" s="44">
        <v>1952</v>
      </c>
      <c r="L27" s="44">
        <f t="shared" si="0"/>
        <v>67</v>
      </c>
      <c r="M27" s="44" t="s">
        <v>3</v>
      </c>
      <c r="N27" s="44" t="s">
        <v>1229</v>
      </c>
      <c r="O27" s="44" t="s">
        <v>1233</v>
      </c>
      <c r="P27" s="40"/>
      <c r="Q27" s="44" t="s">
        <v>1248</v>
      </c>
      <c r="R27" s="40"/>
      <c r="S27" s="40"/>
      <c r="T27" s="40"/>
      <c r="U27" s="40"/>
      <c r="V27" s="40"/>
      <c r="W27" s="40"/>
    </row>
    <row r="28" spans="1:23" x14ac:dyDescent="0.2">
      <c r="A28" s="40"/>
      <c r="B28" s="40"/>
      <c r="C28" s="44">
        <v>24</v>
      </c>
      <c r="D28" s="44" t="s">
        <v>184</v>
      </c>
      <c r="E28" s="44" t="s">
        <v>16</v>
      </c>
      <c r="F28" s="40" t="s">
        <v>1294</v>
      </c>
      <c r="G28" s="44" t="s">
        <v>9</v>
      </c>
      <c r="H28" s="44" t="s">
        <v>1244</v>
      </c>
      <c r="I28" s="44" t="s">
        <v>1232</v>
      </c>
      <c r="J28" s="45">
        <v>43830</v>
      </c>
      <c r="K28" s="44">
        <v>1991</v>
      </c>
      <c r="L28" s="44">
        <f t="shared" si="0"/>
        <v>28</v>
      </c>
      <c r="M28" s="44" t="s">
        <v>3</v>
      </c>
      <c r="N28" s="44" t="s">
        <v>1229</v>
      </c>
      <c r="O28" s="44" t="s">
        <v>1270</v>
      </c>
      <c r="P28" s="40"/>
      <c r="Q28" s="44" t="s">
        <v>1260</v>
      </c>
      <c r="R28" s="40"/>
      <c r="S28" s="40"/>
      <c r="T28" s="40"/>
      <c r="U28" s="40"/>
      <c r="V28" s="40"/>
      <c r="W28" s="40"/>
    </row>
    <row r="29" spans="1:23" x14ac:dyDescent="0.2">
      <c r="A29" s="40"/>
      <c r="B29" s="40"/>
      <c r="C29" s="44">
        <v>25</v>
      </c>
      <c r="D29" s="44" t="s">
        <v>1292</v>
      </c>
      <c r="E29" s="44" t="s">
        <v>16</v>
      </c>
      <c r="F29" s="40" t="s">
        <v>1295</v>
      </c>
      <c r="G29" s="44" t="s">
        <v>1</v>
      </c>
      <c r="H29" s="44" t="s">
        <v>1244</v>
      </c>
      <c r="I29" s="44" t="s">
        <v>1232</v>
      </c>
      <c r="J29" s="45">
        <v>43830</v>
      </c>
      <c r="K29" s="44">
        <v>1993</v>
      </c>
      <c r="L29" s="44">
        <f t="shared" si="0"/>
        <v>26</v>
      </c>
      <c r="M29" s="44" t="s">
        <v>3</v>
      </c>
      <c r="N29" s="44" t="s">
        <v>1229</v>
      </c>
      <c r="O29" s="44" t="s">
        <v>1246</v>
      </c>
      <c r="P29" s="40"/>
      <c r="Q29" s="44" t="s">
        <v>1260</v>
      </c>
      <c r="R29" s="40"/>
      <c r="S29" s="40"/>
      <c r="T29" s="40"/>
      <c r="U29" s="40"/>
      <c r="V29" s="40"/>
      <c r="W29" s="40"/>
    </row>
    <row r="30" spans="1:23" x14ac:dyDescent="0.2">
      <c r="A30" s="40">
        <v>7</v>
      </c>
      <c r="B30" s="40" t="s">
        <v>1298</v>
      </c>
      <c r="C30" s="44">
        <v>26</v>
      </c>
      <c r="D30" s="44" t="s">
        <v>1299</v>
      </c>
      <c r="E30" s="44" t="s">
        <v>6</v>
      </c>
      <c r="F30" s="44" t="s">
        <v>1302</v>
      </c>
      <c r="G30" s="44" t="s">
        <v>9</v>
      </c>
      <c r="H30" s="44" t="s">
        <v>1296</v>
      </c>
      <c r="I30" s="44" t="s">
        <v>1245</v>
      </c>
      <c r="J30" s="45">
        <v>43647</v>
      </c>
      <c r="K30" s="44">
        <v>1940</v>
      </c>
      <c r="L30" s="44">
        <f t="shared" si="0"/>
        <v>79</v>
      </c>
      <c r="M30" s="44" t="s">
        <v>3</v>
      </c>
      <c r="N30" s="44" t="s">
        <v>1229</v>
      </c>
      <c r="O30" s="44" t="s">
        <v>1233</v>
      </c>
      <c r="P30" s="40"/>
      <c r="Q30" s="44" t="s">
        <v>1259</v>
      </c>
      <c r="R30" s="40"/>
      <c r="S30" s="40"/>
      <c r="T30" s="40"/>
      <c r="U30" s="40"/>
      <c r="V30" s="40"/>
      <c r="W30" s="40"/>
    </row>
    <row r="31" spans="1:23" x14ac:dyDescent="0.2">
      <c r="A31" s="40"/>
      <c r="B31" s="40"/>
      <c r="C31" s="44">
        <v>27</v>
      </c>
      <c r="D31" s="44" t="s">
        <v>1300</v>
      </c>
      <c r="E31" s="44" t="s">
        <v>1301</v>
      </c>
      <c r="F31" s="40" t="s">
        <v>1303</v>
      </c>
      <c r="G31" s="44" t="s">
        <v>9</v>
      </c>
      <c r="H31" s="44" t="s">
        <v>1244</v>
      </c>
      <c r="I31" s="44" t="s">
        <v>1232</v>
      </c>
      <c r="J31" s="45">
        <v>43543</v>
      </c>
      <c r="K31" s="44">
        <v>1999</v>
      </c>
      <c r="L31" s="44">
        <f t="shared" si="0"/>
        <v>20</v>
      </c>
      <c r="M31" s="44" t="s">
        <v>3</v>
      </c>
      <c r="N31" s="44" t="s">
        <v>1229</v>
      </c>
      <c r="O31" s="44" t="s">
        <v>1246</v>
      </c>
      <c r="P31" s="40"/>
      <c r="Q31" s="44" t="s">
        <v>1249</v>
      </c>
      <c r="R31" s="40"/>
      <c r="S31" s="40"/>
      <c r="T31" s="40"/>
      <c r="U31" s="40"/>
      <c r="V31" s="40"/>
      <c r="W31" s="40"/>
    </row>
    <row r="32" spans="1:23" x14ac:dyDescent="0.2">
      <c r="A32" s="40"/>
      <c r="B32" s="40"/>
      <c r="C32" s="44">
        <v>28</v>
      </c>
      <c r="D32" s="44" t="s">
        <v>1177</v>
      </c>
      <c r="E32" s="44" t="s">
        <v>1301</v>
      </c>
      <c r="F32" s="40" t="s">
        <v>1304</v>
      </c>
      <c r="G32" s="44" t="s">
        <v>9</v>
      </c>
      <c r="H32" s="44" t="s">
        <v>1244</v>
      </c>
      <c r="I32" s="44" t="s">
        <v>1232</v>
      </c>
      <c r="J32" s="45">
        <v>43706</v>
      </c>
      <c r="K32" s="44">
        <v>2007</v>
      </c>
      <c r="L32" s="44">
        <f t="shared" si="0"/>
        <v>12</v>
      </c>
      <c r="M32" s="44" t="s">
        <v>3</v>
      </c>
      <c r="N32" s="44" t="s">
        <v>1229</v>
      </c>
      <c r="O32" s="44" t="s">
        <v>1258</v>
      </c>
      <c r="P32" s="40"/>
      <c r="Q32" s="44" t="s">
        <v>1260</v>
      </c>
      <c r="R32" s="40"/>
      <c r="S32" s="40"/>
      <c r="T32" s="40"/>
      <c r="U32" s="40"/>
      <c r="V32" s="40"/>
      <c r="W32" s="40"/>
    </row>
    <row r="33" spans="1:23" x14ac:dyDescent="0.2">
      <c r="A33" s="40">
        <v>8</v>
      </c>
      <c r="B33" s="40" t="s">
        <v>1305</v>
      </c>
      <c r="C33" s="44">
        <v>29</v>
      </c>
      <c r="D33" s="44" t="s">
        <v>1306</v>
      </c>
      <c r="E33" s="44" t="s">
        <v>6</v>
      </c>
      <c r="F33" s="40" t="s">
        <v>1310</v>
      </c>
      <c r="G33" s="44" t="s">
        <v>1</v>
      </c>
      <c r="H33" s="44" t="s">
        <v>2</v>
      </c>
      <c r="I33" s="44" t="s">
        <v>1315</v>
      </c>
      <c r="J33" s="45">
        <v>43718</v>
      </c>
      <c r="K33" s="44">
        <v>1970</v>
      </c>
      <c r="L33" s="44">
        <f t="shared" si="0"/>
        <v>49</v>
      </c>
      <c r="M33" s="44" t="s">
        <v>3</v>
      </c>
      <c r="N33" s="44" t="s">
        <v>1229</v>
      </c>
      <c r="O33" s="44" t="s">
        <v>1270</v>
      </c>
      <c r="P33" s="40"/>
      <c r="Q33" s="44" t="s">
        <v>1234</v>
      </c>
      <c r="R33" s="40"/>
      <c r="S33" s="40"/>
      <c r="T33" s="40"/>
      <c r="U33" s="40"/>
      <c r="V33" s="40"/>
      <c r="W33" s="40"/>
    </row>
    <row r="34" spans="1:23" x14ac:dyDescent="0.2">
      <c r="A34" s="40"/>
      <c r="B34" s="40"/>
      <c r="C34" s="44">
        <v>30</v>
      </c>
      <c r="D34" s="44" t="s">
        <v>1179</v>
      </c>
      <c r="E34" s="44" t="s">
        <v>11</v>
      </c>
      <c r="F34" s="40" t="s">
        <v>1311</v>
      </c>
      <c r="G34" s="44" t="s">
        <v>9</v>
      </c>
      <c r="H34" s="44" t="s">
        <v>2</v>
      </c>
      <c r="I34" s="44" t="s">
        <v>1316</v>
      </c>
      <c r="J34" s="45">
        <v>43576</v>
      </c>
      <c r="K34" s="44">
        <v>1970</v>
      </c>
      <c r="L34" s="44">
        <f t="shared" si="0"/>
        <v>49</v>
      </c>
      <c r="M34" s="44" t="s">
        <v>3</v>
      </c>
      <c r="N34" s="44" t="s">
        <v>1229</v>
      </c>
      <c r="O34" s="44" t="s">
        <v>1270</v>
      </c>
      <c r="P34" s="40"/>
      <c r="Q34" s="44" t="s">
        <v>1317</v>
      </c>
      <c r="R34" s="40"/>
      <c r="S34" s="40"/>
      <c r="T34" s="40"/>
      <c r="U34" s="40"/>
      <c r="V34" s="40"/>
      <c r="W34" s="40"/>
    </row>
    <row r="35" spans="1:23" x14ac:dyDescent="0.2">
      <c r="A35" s="40"/>
      <c r="B35" s="40"/>
      <c r="C35" s="44">
        <v>31</v>
      </c>
      <c r="D35" s="44" t="s">
        <v>1307</v>
      </c>
      <c r="E35" s="44" t="s">
        <v>16</v>
      </c>
      <c r="F35" s="40" t="s">
        <v>1312</v>
      </c>
      <c r="G35" s="44" t="s">
        <v>1</v>
      </c>
      <c r="H35" s="44" t="s">
        <v>1244</v>
      </c>
      <c r="I35" s="44" t="s">
        <v>1315</v>
      </c>
      <c r="J35" s="45">
        <v>43530</v>
      </c>
      <c r="K35" s="44">
        <v>1995</v>
      </c>
      <c r="L35" s="44">
        <f t="shared" si="0"/>
        <v>24</v>
      </c>
      <c r="M35" s="44" t="s">
        <v>3</v>
      </c>
      <c r="N35" s="44" t="s">
        <v>1229</v>
      </c>
      <c r="O35" s="44" t="s">
        <v>1270</v>
      </c>
      <c r="P35" s="40"/>
      <c r="Q35" s="44" t="s">
        <v>1249</v>
      </c>
      <c r="R35" s="40"/>
      <c r="S35" s="40"/>
      <c r="T35" s="40"/>
      <c r="U35" s="40"/>
      <c r="V35" s="40"/>
      <c r="W35" s="40"/>
    </row>
    <row r="36" spans="1:23" x14ac:dyDescent="0.2">
      <c r="A36" s="40"/>
      <c r="B36" s="40"/>
      <c r="C36" s="44">
        <v>32</v>
      </c>
      <c r="D36" s="44" t="s">
        <v>1308</v>
      </c>
      <c r="E36" s="44" t="s">
        <v>16</v>
      </c>
      <c r="F36" s="40" t="s">
        <v>1313</v>
      </c>
      <c r="G36" s="44" t="s">
        <v>1</v>
      </c>
      <c r="H36" s="44" t="s">
        <v>1244</v>
      </c>
      <c r="I36" s="44" t="s">
        <v>1316</v>
      </c>
      <c r="J36" s="45">
        <v>43499</v>
      </c>
      <c r="K36" s="44">
        <v>1999</v>
      </c>
      <c r="L36" s="44">
        <f t="shared" si="0"/>
        <v>20</v>
      </c>
      <c r="M36" s="44" t="s">
        <v>3</v>
      </c>
      <c r="N36" s="44" t="s">
        <v>1229</v>
      </c>
      <c r="O36" s="44" t="s">
        <v>1233</v>
      </c>
      <c r="P36" s="40"/>
      <c r="Q36" s="44" t="s">
        <v>1249</v>
      </c>
      <c r="R36" s="40"/>
      <c r="S36" s="40"/>
      <c r="T36" s="40"/>
      <c r="U36" s="40"/>
      <c r="V36" s="40"/>
      <c r="W36" s="40"/>
    </row>
    <row r="37" spans="1:23" x14ac:dyDescent="0.2">
      <c r="A37" s="40"/>
      <c r="B37" s="40"/>
      <c r="C37" s="44">
        <v>33</v>
      </c>
      <c r="D37" s="44" t="s">
        <v>1309</v>
      </c>
      <c r="E37" s="44" t="s">
        <v>16</v>
      </c>
      <c r="F37" s="40" t="s">
        <v>1314</v>
      </c>
      <c r="G37" s="44" t="s">
        <v>9</v>
      </c>
      <c r="H37" s="44" t="s">
        <v>1244</v>
      </c>
      <c r="I37" s="44" t="s">
        <v>1315</v>
      </c>
      <c r="J37" s="45">
        <v>43734</v>
      </c>
      <c r="K37" s="44">
        <v>2005</v>
      </c>
      <c r="L37" s="44">
        <f t="shared" si="0"/>
        <v>14</v>
      </c>
      <c r="M37" s="44" t="s">
        <v>3</v>
      </c>
      <c r="N37" s="44" t="s">
        <v>1229</v>
      </c>
      <c r="O37" s="44" t="s">
        <v>1247</v>
      </c>
      <c r="P37" s="40"/>
      <c r="Q37" s="44" t="s">
        <v>1249</v>
      </c>
      <c r="R37" s="40"/>
      <c r="S37" s="40"/>
      <c r="T37" s="40"/>
      <c r="U37" s="40"/>
      <c r="V37" s="40"/>
      <c r="W37" s="40"/>
    </row>
    <row r="38" spans="1:23" x14ac:dyDescent="0.2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</row>
    <row r="39" spans="1:23" x14ac:dyDescent="0.2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</row>
    <row r="40" spans="1:23" x14ac:dyDescent="0.2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</row>
    <row r="41" spans="1:23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</row>
    <row r="42" spans="1:23" x14ac:dyDescent="0.2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</row>
    <row r="43" spans="1:23" x14ac:dyDescent="0.2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</row>
    <row r="44" spans="1:23" x14ac:dyDescent="0.2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</row>
    <row r="45" spans="1:23" x14ac:dyDescent="0.2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</row>
    <row r="46" spans="1:23" x14ac:dyDescent="0.2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</row>
    <row r="47" spans="1:23" x14ac:dyDescent="0.2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</row>
    <row r="48" spans="1:23" x14ac:dyDescent="0.2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</row>
    <row r="49" spans="1:23" x14ac:dyDescent="0.2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</row>
    <row r="50" spans="1:23" x14ac:dyDescent="0.2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</row>
    <row r="51" spans="1:23" x14ac:dyDescent="0.2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</row>
    <row r="52" spans="1:23" x14ac:dyDescent="0.2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</row>
    <row r="53" spans="1:23" x14ac:dyDescent="0.2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</row>
    <row r="54" spans="1:23" x14ac:dyDescent="0.2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</row>
    <row r="55" spans="1:23" x14ac:dyDescent="0.2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</row>
    <row r="56" spans="1:23" x14ac:dyDescent="0.2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</row>
    <row r="57" spans="1:23" x14ac:dyDescent="0.2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</row>
    <row r="58" spans="1:23" x14ac:dyDescent="0.2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</row>
    <row r="59" spans="1:23" x14ac:dyDescent="0.2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</row>
    <row r="60" spans="1:23" x14ac:dyDescent="0.2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</row>
    <row r="61" spans="1:23" x14ac:dyDescent="0.2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</row>
    <row r="62" spans="1:23" x14ac:dyDescent="0.2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</row>
    <row r="63" spans="1:23" x14ac:dyDescent="0.2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</row>
    <row r="64" spans="1:23" x14ac:dyDescent="0.2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</row>
    <row r="65" spans="1:23" x14ac:dyDescent="0.2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</row>
    <row r="66" spans="1:23" x14ac:dyDescent="0.2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</row>
    <row r="67" spans="1:23" x14ac:dyDescent="0.2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</row>
    <row r="68" spans="1:23" x14ac:dyDescent="0.2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</row>
    <row r="69" spans="1:23" x14ac:dyDescent="0.2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</row>
    <row r="70" spans="1:23" x14ac:dyDescent="0.2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</row>
    <row r="71" spans="1:23" x14ac:dyDescent="0.2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</row>
    <row r="72" spans="1:23" x14ac:dyDescent="0.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</row>
    <row r="73" spans="1:23" x14ac:dyDescent="0.2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</row>
    <row r="74" spans="1:23" x14ac:dyDescent="0.2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</row>
    <row r="75" spans="1:23" x14ac:dyDescent="0.2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</row>
    <row r="76" spans="1:23" x14ac:dyDescent="0.2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</row>
    <row r="77" spans="1:23" x14ac:dyDescent="0.2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</row>
    <row r="78" spans="1:23" x14ac:dyDescent="0.2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</row>
    <row r="79" spans="1:23" x14ac:dyDescent="0.2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</row>
    <row r="80" spans="1:23" x14ac:dyDescent="0.2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</row>
    <row r="81" spans="1:23" x14ac:dyDescent="0.2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</row>
    <row r="82" spans="1:23" x14ac:dyDescent="0.2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</row>
    <row r="83" spans="1:23" x14ac:dyDescent="0.2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</row>
    <row r="84" spans="1:23" x14ac:dyDescent="0.2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</row>
    <row r="85" spans="1:23" x14ac:dyDescent="0.2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</row>
    <row r="86" spans="1:23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</row>
    <row r="87" spans="1:23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</row>
    <row r="88" spans="1:23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</row>
    <row r="89" spans="1:23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</row>
    <row r="90" spans="1:23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</row>
    <row r="91" spans="1:23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</row>
    <row r="92" spans="1:23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</row>
    <row r="93" spans="1:23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</row>
    <row r="94" spans="1:23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</row>
    <row r="95" spans="1:23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</row>
    <row r="96" spans="1:23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</row>
    <row r="97" spans="1:23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</row>
    <row r="98" spans="1:23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</row>
    <row r="99" spans="1:23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</row>
    <row r="100" spans="1:23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</row>
  </sheetData>
  <autoFilter ref="A4:W4"/>
  <mergeCells count="17">
    <mergeCell ref="N2:N3"/>
    <mergeCell ref="A2:A3"/>
    <mergeCell ref="B2:B3"/>
    <mergeCell ref="C2:C3"/>
    <mergeCell ref="D2:D3"/>
    <mergeCell ref="E2:E3"/>
    <mergeCell ref="F2:F3"/>
    <mergeCell ref="G2:G3"/>
    <mergeCell ref="H2:H3"/>
    <mergeCell ref="I2:K2"/>
    <mergeCell ref="L2:L3"/>
    <mergeCell ref="M2:M3"/>
    <mergeCell ref="O2:O3"/>
    <mergeCell ref="P2:P3"/>
    <mergeCell ref="Q2:Q3"/>
    <mergeCell ref="R2:S2"/>
    <mergeCell ref="T2:V2"/>
  </mergeCells>
  <pageMargins left="0.7" right="0.7" top="0.75" bottom="0.75" header="0.3" footer="0.3"/>
  <pageSetup paperSize="9" orientation="portrait" horizontalDpi="4294967294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10"/>
  <sheetViews>
    <sheetView workbookViewId="0">
      <pane ySplit="3" topLeftCell="A4" activePane="bottomLeft" state="frozen"/>
      <selection pane="bottomLeft" activeCell="D12" sqref="D12"/>
    </sheetView>
  </sheetViews>
  <sheetFormatPr defaultRowHeight="15" x14ac:dyDescent="0.25"/>
  <cols>
    <col min="1" max="1" width="3.140625" bestFit="1" customWidth="1"/>
    <col min="2" max="2" width="11" bestFit="1" customWidth="1"/>
    <col min="3" max="3" width="13.7109375" bestFit="1" customWidth="1"/>
    <col min="4" max="4" width="21.42578125" bestFit="1" customWidth="1"/>
    <col min="5" max="5" width="23" bestFit="1" customWidth="1"/>
    <col min="6" max="6" width="15.28515625" bestFit="1" customWidth="1"/>
    <col min="7" max="7" width="16.85546875" bestFit="1" customWidth="1"/>
    <col min="8" max="8" width="16" bestFit="1" customWidth="1"/>
    <col min="9" max="9" width="7.140625" bestFit="1" customWidth="1"/>
    <col min="10" max="10" width="14.7109375" bestFit="1" customWidth="1"/>
    <col min="11" max="11" width="6" bestFit="1" customWidth="1"/>
    <col min="12" max="12" width="4.42578125" bestFit="1" customWidth="1"/>
    <col min="13" max="13" width="6.42578125" bestFit="1" customWidth="1"/>
    <col min="14" max="14" width="5" bestFit="1" customWidth="1"/>
    <col min="15" max="15" width="17.85546875" bestFit="1" customWidth="1"/>
    <col min="16" max="16" width="7.5703125" bestFit="1" customWidth="1"/>
    <col min="17" max="17" width="10.85546875" bestFit="1" customWidth="1"/>
    <col min="18" max="18" width="6.42578125" bestFit="1" customWidth="1"/>
    <col min="19" max="19" width="5.140625" bestFit="1" customWidth="1"/>
    <col min="20" max="20" width="3.5703125" bestFit="1" customWidth="1"/>
    <col min="21" max="21" width="8.28515625" bestFit="1" customWidth="1"/>
    <col min="22" max="22" width="11.28515625" bestFit="1" customWidth="1"/>
  </cols>
  <sheetData>
    <row r="2" spans="1:29" ht="15" customHeight="1" x14ac:dyDescent="0.25">
      <c r="A2" s="148" t="s">
        <v>347</v>
      </c>
      <c r="B2" s="154" t="s">
        <v>1213</v>
      </c>
      <c r="C2" s="150" t="s">
        <v>1214</v>
      </c>
      <c r="D2" s="150" t="s">
        <v>348</v>
      </c>
      <c r="E2" s="148" t="s">
        <v>354</v>
      </c>
      <c r="F2" s="149" t="s">
        <v>355</v>
      </c>
      <c r="G2" s="148" t="s">
        <v>349</v>
      </c>
      <c r="H2" s="148" t="s">
        <v>350</v>
      </c>
      <c r="I2" s="148" t="s">
        <v>1207</v>
      </c>
      <c r="J2" s="148"/>
      <c r="K2" s="148"/>
      <c r="L2" s="147" t="s">
        <v>1217</v>
      </c>
      <c r="M2" s="148" t="s">
        <v>351</v>
      </c>
      <c r="N2" s="148" t="s">
        <v>1211</v>
      </c>
      <c r="O2" s="147" t="s">
        <v>352</v>
      </c>
      <c r="P2" s="148" t="s">
        <v>1212</v>
      </c>
      <c r="Q2" s="148" t="s">
        <v>353</v>
      </c>
      <c r="R2" s="148" t="s">
        <v>1220</v>
      </c>
      <c r="S2" s="148"/>
      <c r="T2" s="148" t="s">
        <v>1221</v>
      </c>
      <c r="U2" s="148"/>
      <c r="V2" s="148"/>
      <c r="W2" t="s">
        <v>1297</v>
      </c>
    </row>
    <row r="3" spans="1:29" ht="15.75" thickBot="1" x14ac:dyDescent="0.3">
      <c r="A3" s="148"/>
      <c r="B3" s="155"/>
      <c r="C3" s="156"/>
      <c r="D3" s="156"/>
      <c r="E3" s="148"/>
      <c r="F3" s="149"/>
      <c r="G3" s="148"/>
      <c r="H3" s="148"/>
      <c r="I3" s="15" t="s">
        <v>1215</v>
      </c>
      <c r="J3" s="16" t="s">
        <v>1209</v>
      </c>
      <c r="K3" s="14" t="s">
        <v>1216</v>
      </c>
      <c r="L3" s="147"/>
      <c r="M3" s="148"/>
      <c r="N3" s="148"/>
      <c r="O3" s="147"/>
      <c r="P3" s="148"/>
      <c r="Q3" s="148"/>
      <c r="R3" s="15" t="s">
        <v>1219</v>
      </c>
      <c r="S3" s="15" t="s">
        <v>1218</v>
      </c>
      <c r="T3" s="15" t="s">
        <v>6</v>
      </c>
      <c r="U3" s="15" t="s">
        <v>1222</v>
      </c>
      <c r="V3" s="15" t="s">
        <v>1223</v>
      </c>
    </row>
    <row r="4" spans="1:29" ht="15.75" thickBot="1" x14ac:dyDescent="0.3">
      <c r="A4" s="3"/>
      <c r="B4" s="4"/>
      <c r="C4" s="3"/>
      <c r="D4" s="5"/>
      <c r="E4" s="3"/>
      <c r="F4" s="4"/>
      <c r="G4" s="3"/>
      <c r="H4" s="3"/>
      <c r="I4" s="3"/>
      <c r="J4" s="17"/>
      <c r="K4" s="6"/>
      <c r="L4" s="6"/>
      <c r="M4" s="3"/>
      <c r="N4" s="3"/>
      <c r="O4" s="6"/>
      <c r="P4" s="3"/>
      <c r="Q4" s="3"/>
      <c r="R4" s="3"/>
      <c r="S4" s="3"/>
      <c r="T4" s="3"/>
      <c r="U4" s="3"/>
      <c r="V4" s="3"/>
    </row>
    <row r="5" spans="1:29" ht="15.75" thickBot="1" x14ac:dyDescent="0.3">
      <c r="A5" s="21"/>
      <c r="B5" s="12"/>
      <c r="C5" s="13"/>
      <c r="D5" s="7" t="s">
        <v>1193</v>
      </c>
      <c r="E5" s="7" t="s">
        <v>16</v>
      </c>
      <c r="F5" s="7" t="s">
        <v>1194</v>
      </c>
      <c r="G5" s="7" t="s">
        <v>1</v>
      </c>
      <c r="H5" s="7" t="s">
        <v>13</v>
      </c>
      <c r="I5" s="7"/>
      <c r="J5" s="18">
        <v>33969</v>
      </c>
      <c r="K5" s="8"/>
      <c r="L5" s="8">
        <f t="shared" ref="L5:L10" si="0">2019-K5</f>
        <v>2019</v>
      </c>
      <c r="M5" s="7" t="s">
        <v>3</v>
      </c>
      <c r="N5" s="7"/>
      <c r="O5" s="10" t="s">
        <v>14</v>
      </c>
      <c r="P5" s="11"/>
      <c r="Q5" s="11" t="s">
        <v>34</v>
      </c>
      <c r="R5" s="11"/>
      <c r="S5" s="11"/>
      <c r="T5" s="11"/>
      <c r="U5" s="11"/>
      <c r="V5" s="11"/>
      <c r="W5" s="152"/>
      <c r="X5" s="153"/>
      <c r="Y5" s="153"/>
      <c r="Z5" s="153"/>
      <c r="AA5" s="153"/>
      <c r="AB5" s="153"/>
      <c r="AC5" s="153"/>
    </row>
    <row r="6" spans="1:29" ht="15.75" thickBot="1" x14ac:dyDescent="0.3">
      <c r="A6" s="21"/>
      <c r="B6" s="12"/>
      <c r="C6" s="13"/>
      <c r="D6" s="7" t="s">
        <v>1147</v>
      </c>
      <c r="E6" s="7" t="s">
        <v>16</v>
      </c>
      <c r="F6" s="7" t="s">
        <v>1148</v>
      </c>
      <c r="G6" s="7" t="s">
        <v>9</v>
      </c>
      <c r="H6" s="7" t="s">
        <v>19</v>
      </c>
      <c r="I6" s="7"/>
      <c r="J6" s="18">
        <v>34425</v>
      </c>
      <c r="K6" s="8"/>
      <c r="L6" s="8">
        <f t="shared" si="0"/>
        <v>2019</v>
      </c>
      <c r="M6" s="7" t="s">
        <v>3</v>
      </c>
      <c r="N6" s="7"/>
      <c r="O6" s="10" t="s">
        <v>14</v>
      </c>
      <c r="P6" s="11"/>
      <c r="Q6" s="11" t="s">
        <v>10</v>
      </c>
      <c r="R6" s="11"/>
      <c r="S6" s="11"/>
      <c r="T6" s="11"/>
      <c r="U6" s="11"/>
      <c r="V6" s="11"/>
      <c r="W6" s="152"/>
      <c r="X6" s="153"/>
      <c r="Y6" s="153"/>
      <c r="Z6" s="153"/>
      <c r="AA6" s="153"/>
      <c r="AB6" s="153"/>
      <c r="AC6" s="153"/>
    </row>
    <row r="7" spans="1:29" ht="15.75" thickBot="1" x14ac:dyDescent="0.3">
      <c r="A7" s="22"/>
      <c r="B7" s="9"/>
      <c r="C7" s="7"/>
      <c r="D7" s="7" t="s">
        <v>1097</v>
      </c>
      <c r="E7" s="7" t="s">
        <v>16</v>
      </c>
      <c r="F7" s="7" t="s">
        <v>1098</v>
      </c>
      <c r="G7" s="7" t="s">
        <v>9</v>
      </c>
      <c r="H7" s="7" t="s">
        <v>13</v>
      </c>
      <c r="I7" s="7"/>
      <c r="J7" s="18">
        <v>35795</v>
      </c>
      <c r="K7" s="8"/>
      <c r="L7" s="8">
        <f t="shared" si="0"/>
        <v>2019</v>
      </c>
      <c r="M7" s="7" t="s">
        <v>3</v>
      </c>
      <c r="N7" s="7"/>
      <c r="O7" s="10" t="s">
        <v>4</v>
      </c>
      <c r="P7" s="11"/>
      <c r="Q7" s="11" t="s">
        <v>15</v>
      </c>
      <c r="R7" s="11"/>
      <c r="S7" s="11"/>
      <c r="T7" s="11"/>
      <c r="U7" s="11"/>
      <c r="V7" s="11"/>
      <c r="W7" s="152"/>
      <c r="X7" s="153"/>
      <c r="Y7" s="153"/>
      <c r="Z7" s="153"/>
      <c r="AA7" s="153"/>
      <c r="AB7" s="153"/>
      <c r="AC7" s="153"/>
    </row>
    <row r="8" spans="1:29" ht="15.75" thickBot="1" x14ac:dyDescent="0.3">
      <c r="A8" s="22"/>
      <c r="B8" s="9"/>
      <c r="C8" s="7"/>
      <c r="D8" s="7" t="s">
        <v>982</v>
      </c>
      <c r="E8" s="7" t="s">
        <v>16</v>
      </c>
      <c r="F8" s="7">
        <v>0</v>
      </c>
      <c r="G8" s="7" t="s">
        <v>1</v>
      </c>
      <c r="H8" s="7" t="s">
        <v>13</v>
      </c>
      <c r="I8" s="7"/>
      <c r="J8" s="18">
        <v>35796</v>
      </c>
      <c r="K8" s="8"/>
      <c r="L8" s="8">
        <f t="shared" si="0"/>
        <v>2019</v>
      </c>
      <c r="M8" s="7" t="s">
        <v>3</v>
      </c>
      <c r="N8" s="7"/>
      <c r="O8" s="10" t="s">
        <v>28</v>
      </c>
      <c r="P8" s="11"/>
      <c r="Q8" s="11" t="s">
        <v>15</v>
      </c>
      <c r="R8" s="11"/>
      <c r="S8" s="11"/>
      <c r="T8" s="11"/>
      <c r="U8" s="11"/>
      <c r="V8" s="11"/>
      <c r="W8" s="152"/>
      <c r="X8" s="153"/>
      <c r="Y8" s="153"/>
      <c r="Z8" s="153"/>
      <c r="AA8" s="153"/>
      <c r="AB8" s="153"/>
      <c r="AC8" s="153"/>
    </row>
    <row r="9" spans="1:29" s="19" customFormat="1" x14ac:dyDescent="0.25">
      <c r="A9" s="29"/>
      <c r="B9" s="23"/>
      <c r="C9" s="23"/>
      <c r="D9" s="23" t="s">
        <v>75</v>
      </c>
      <c r="E9" s="23" t="s">
        <v>16</v>
      </c>
      <c r="F9" s="23" t="s">
        <v>609</v>
      </c>
      <c r="G9" s="23" t="s">
        <v>1</v>
      </c>
      <c r="H9" s="23" t="s">
        <v>13</v>
      </c>
      <c r="I9" s="23"/>
      <c r="J9" s="24">
        <v>34719</v>
      </c>
      <c r="K9" s="20"/>
      <c r="L9" s="20">
        <f t="shared" si="0"/>
        <v>2019</v>
      </c>
      <c r="M9" s="23" t="s">
        <v>3</v>
      </c>
      <c r="N9" s="23"/>
      <c r="O9" s="23" t="s">
        <v>4</v>
      </c>
      <c r="P9" s="23"/>
      <c r="Q9" s="23" t="s">
        <v>15</v>
      </c>
      <c r="R9" s="23"/>
      <c r="S9" s="23"/>
      <c r="T9" s="23"/>
      <c r="U9" s="23"/>
      <c r="V9" s="23"/>
    </row>
    <row r="10" spans="1:29" s="19" customFormat="1" x14ac:dyDescent="0.25">
      <c r="A10" s="28"/>
      <c r="B10" s="23"/>
      <c r="C10" s="23"/>
      <c r="D10" s="23" t="s">
        <v>380</v>
      </c>
      <c r="E10" s="23" t="s">
        <v>16</v>
      </c>
      <c r="F10" s="23" t="s">
        <v>712</v>
      </c>
      <c r="G10" s="23" t="s">
        <v>1</v>
      </c>
      <c r="H10" s="23" t="s">
        <v>13</v>
      </c>
      <c r="I10" s="23"/>
      <c r="J10" s="24">
        <v>32276</v>
      </c>
      <c r="K10" s="20"/>
      <c r="L10" s="20">
        <f t="shared" si="0"/>
        <v>2019</v>
      </c>
      <c r="M10" s="23" t="s">
        <v>3</v>
      </c>
      <c r="N10" s="23"/>
      <c r="O10" s="23" t="s">
        <v>4</v>
      </c>
      <c r="P10" s="23"/>
      <c r="Q10" s="23" t="s">
        <v>15</v>
      </c>
      <c r="R10" s="23"/>
      <c r="S10" s="23"/>
      <c r="T10" s="23"/>
      <c r="U10" s="23"/>
      <c r="V10" s="23"/>
    </row>
  </sheetData>
  <autoFilter ref="A4:AC4"/>
  <mergeCells count="21">
    <mergeCell ref="F2:F3"/>
    <mergeCell ref="W6:AC6"/>
    <mergeCell ref="W7:AC7"/>
    <mergeCell ref="W8:AC8"/>
    <mergeCell ref="A2:A3"/>
    <mergeCell ref="B2:B3"/>
    <mergeCell ref="C2:C3"/>
    <mergeCell ref="D2:D3"/>
    <mergeCell ref="E2:E3"/>
    <mergeCell ref="W5:AC5"/>
    <mergeCell ref="G2:G3"/>
    <mergeCell ref="H2:H3"/>
    <mergeCell ref="I2:K2"/>
    <mergeCell ref="L2:L3"/>
    <mergeCell ref="M2:M3"/>
    <mergeCell ref="N2:N3"/>
    <mergeCell ref="O2:O3"/>
    <mergeCell ref="P2:P3"/>
    <mergeCell ref="Q2:Q3"/>
    <mergeCell ref="R2:S2"/>
    <mergeCell ref="T2:V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Y5"/>
  <sheetViews>
    <sheetView workbookViewId="0">
      <pane ySplit="3" topLeftCell="A4" activePane="bottomLeft" state="frozen"/>
      <selection pane="bottomLeft" activeCell="V10" sqref="V10"/>
    </sheetView>
  </sheetViews>
  <sheetFormatPr defaultRowHeight="15" x14ac:dyDescent="0.25"/>
  <cols>
    <col min="1" max="1" width="3.140625" bestFit="1" customWidth="1"/>
    <col min="2" max="2" width="11" bestFit="1" customWidth="1"/>
    <col min="3" max="3" width="13.7109375" bestFit="1" customWidth="1"/>
    <col min="4" max="4" width="21.42578125" bestFit="1" customWidth="1"/>
    <col min="5" max="5" width="23" bestFit="1" customWidth="1"/>
    <col min="6" max="6" width="5.140625" bestFit="1" customWidth="1"/>
    <col min="7" max="7" width="16.85546875" bestFit="1" customWidth="1"/>
    <col min="8" max="8" width="16" bestFit="1" customWidth="1"/>
    <col min="9" max="9" width="10.5703125" bestFit="1" customWidth="1"/>
    <col min="10" max="10" width="11.42578125" bestFit="1" customWidth="1"/>
    <col min="11" max="11" width="11.5703125" bestFit="1" customWidth="1"/>
    <col min="12" max="12" width="4.42578125" bestFit="1" customWidth="1"/>
    <col min="13" max="13" width="6.42578125" bestFit="1" customWidth="1"/>
    <col min="14" max="14" width="5" bestFit="1" customWidth="1"/>
    <col min="15" max="15" width="17.85546875" bestFit="1" customWidth="1"/>
    <col min="16" max="16" width="21.7109375" bestFit="1" customWidth="1"/>
    <col min="18" max="18" width="16.28515625" bestFit="1" customWidth="1"/>
    <col min="19" max="19" width="5.140625" bestFit="1" customWidth="1"/>
    <col min="20" max="20" width="3.5703125" bestFit="1" customWidth="1"/>
    <col min="21" max="21" width="8.28515625" bestFit="1" customWidth="1"/>
    <col min="22" max="22" width="11.28515625" bestFit="1" customWidth="1"/>
  </cols>
  <sheetData>
    <row r="2" spans="1:51" ht="15" customHeight="1" x14ac:dyDescent="0.25">
      <c r="A2" s="148" t="s">
        <v>347</v>
      </c>
      <c r="B2" s="154" t="s">
        <v>1213</v>
      </c>
      <c r="C2" s="150" t="s">
        <v>1214</v>
      </c>
      <c r="D2" s="150" t="s">
        <v>348</v>
      </c>
      <c r="E2" s="148" t="s">
        <v>354</v>
      </c>
      <c r="F2" s="149" t="s">
        <v>355</v>
      </c>
      <c r="G2" s="148" t="s">
        <v>349</v>
      </c>
      <c r="H2" s="148" t="s">
        <v>350</v>
      </c>
      <c r="I2" s="148" t="s">
        <v>1207</v>
      </c>
      <c r="J2" s="148"/>
      <c r="K2" s="148"/>
      <c r="L2" s="147" t="s">
        <v>1217</v>
      </c>
      <c r="M2" s="148" t="s">
        <v>351</v>
      </c>
      <c r="N2" s="148" t="s">
        <v>1211</v>
      </c>
      <c r="O2" s="147" t="s">
        <v>352</v>
      </c>
      <c r="P2" s="148" t="s">
        <v>1212</v>
      </c>
      <c r="Q2" s="148" t="s">
        <v>353</v>
      </c>
      <c r="R2" s="148" t="s">
        <v>1220</v>
      </c>
      <c r="S2" s="148"/>
      <c r="T2" s="148" t="s">
        <v>1221</v>
      </c>
      <c r="U2" s="148"/>
      <c r="V2" s="148"/>
    </row>
    <row r="3" spans="1:51" ht="15.75" thickBot="1" x14ac:dyDescent="0.3">
      <c r="A3" s="148"/>
      <c r="B3" s="155"/>
      <c r="C3" s="156"/>
      <c r="D3" s="156"/>
      <c r="E3" s="148"/>
      <c r="F3" s="149"/>
      <c r="G3" s="148"/>
      <c r="H3" s="148"/>
      <c r="I3" s="1" t="s">
        <v>1215</v>
      </c>
      <c r="J3" s="16" t="s">
        <v>1209</v>
      </c>
      <c r="K3" s="2" t="s">
        <v>1216</v>
      </c>
      <c r="L3" s="147"/>
      <c r="M3" s="148"/>
      <c r="N3" s="148"/>
      <c r="O3" s="147"/>
      <c r="P3" s="148"/>
      <c r="Q3" s="148"/>
      <c r="R3" s="1" t="s">
        <v>1219</v>
      </c>
      <c r="S3" s="1" t="s">
        <v>1218</v>
      </c>
      <c r="T3" s="1" t="s">
        <v>6</v>
      </c>
      <c r="U3" s="1" t="s">
        <v>1222</v>
      </c>
      <c r="V3" s="1" t="s">
        <v>1223</v>
      </c>
    </row>
    <row r="4" spans="1:51" ht="15.75" thickBot="1" x14ac:dyDescent="0.3">
      <c r="A4" s="3"/>
      <c r="B4" s="4"/>
      <c r="C4" s="3"/>
      <c r="D4" s="5"/>
      <c r="E4" s="3"/>
      <c r="F4" s="4"/>
      <c r="G4" s="3"/>
      <c r="H4" s="3"/>
      <c r="I4" s="3"/>
      <c r="J4" s="17"/>
      <c r="K4" s="6"/>
      <c r="L4" s="6"/>
      <c r="M4" s="3"/>
      <c r="N4" s="3"/>
      <c r="O4" s="6"/>
      <c r="P4" s="3"/>
      <c r="Q4" s="3"/>
      <c r="R4" s="3"/>
      <c r="S4" s="3"/>
      <c r="T4" s="3"/>
      <c r="U4" s="3"/>
      <c r="V4" s="3"/>
    </row>
    <row r="5" spans="1:51" s="19" customFormat="1" x14ac:dyDescent="0.25">
      <c r="A5" s="27"/>
      <c r="B5" s="36"/>
      <c r="C5" s="28"/>
      <c r="D5" s="25">
        <v>174</v>
      </c>
      <c r="E5" s="25" t="s">
        <v>1403</v>
      </c>
      <c r="F5" s="25" t="s">
        <v>16</v>
      </c>
      <c r="G5" s="25" t="s">
        <v>1136</v>
      </c>
      <c r="H5" s="25" t="s">
        <v>1</v>
      </c>
      <c r="I5" s="25" t="s">
        <v>13</v>
      </c>
      <c r="J5" s="25" t="s">
        <v>1228</v>
      </c>
      <c r="K5" s="24">
        <v>36980</v>
      </c>
      <c r="L5" s="20">
        <v>2001</v>
      </c>
      <c r="M5" s="20">
        <f>2019-L5</f>
        <v>18</v>
      </c>
      <c r="N5" s="25" t="s">
        <v>3</v>
      </c>
      <c r="O5" s="25" t="s">
        <v>1229</v>
      </c>
      <c r="P5" s="20" t="s">
        <v>1233</v>
      </c>
      <c r="Q5" s="25"/>
      <c r="R5" s="25" t="s">
        <v>1326</v>
      </c>
      <c r="S5" s="25"/>
      <c r="T5" s="25"/>
      <c r="U5" s="25"/>
      <c r="V5" s="25"/>
      <c r="W5" s="26"/>
      <c r="X5" s="26"/>
      <c r="Y5" s="26"/>
      <c r="Z5" s="26"/>
      <c r="AA5" s="26"/>
      <c r="AB5" s="26"/>
      <c r="AC5" s="26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</row>
  </sheetData>
  <autoFilter ref="A4:AB4"/>
  <mergeCells count="17">
    <mergeCell ref="N2:N3"/>
    <mergeCell ref="A2:A3"/>
    <mergeCell ref="B2:B3"/>
    <mergeCell ref="C2:C3"/>
    <mergeCell ref="D2:D3"/>
    <mergeCell ref="E2:E3"/>
    <mergeCell ref="F2:F3"/>
    <mergeCell ref="G2:G3"/>
    <mergeCell ref="H2:H3"/>
    <mergeCell ref="I2:K2"/>
    <mergeCell ref="L2:L3"/>
    <mergeCell ref="M2:M3"/>
    <mergeCell ref="O2:O3"/>
    <mergeCell ref="P2:P3"/>
    <mergeCell ref="Q2:Q3"/>
    <mergeCell ref="R2:S2"/>
    <mergeCell ref="T2: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Rekap</vt:lpstr>
      <vt:lpstr>RT 01</vt:lpstr>
      <vt:lpstr>RT 02</vt:lpstr>
      <vt:lpstr>RT 03</vt:lpstr>
      <vt:lpstr>RT 04</vt:lpstr>
      <vt:lpstr>Sheet1</vt:lpstr>
      <vt:lpstr>Pindah Keluar</vt:lpstr>
      <vt:lpstr>Meninggal</vt:lpstr>
      <vt:lpstr>Rekap!Print_Area</vt:lpstr>
      <vt:lpstr>'RT 01'!Print_Area</vt:lpstr>
      <vt:lpstr>'RT 02'!Print_Area</vt:lpstr>
      <vt:lpstr>'RT 03'!Print_Area</vt:lpstr>
      <vt:lpstr>'RT 04'!Print_Area</vt:lpstr>
      <vt:lpstr>'RT 01'!Print_Titles</vt:lpstr>
      <vt:lpstr>'RT 02'!Print_Titles</vt:lpstr>
      <vt:lpstr>'RT 03'!Print_Titles</vt:lpstr>
      <vt:lpstr>'RT 04'!Print_Titles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user</cp:lastModifiedBy>
  <cp:lastPrinted>2019-08-30T23:59:12Z</cp:lastPrinted>
  <dcterms:created xsi:type="dcterms:W3CDTF">2015-10-08T02:54:30Z</dcterms:created>
  <dcterms:modified xsi:type="dcterms:W3CDTF">2019-08-31T00:01:16Z</dcterms:modified>
</cp:coreProperties>
</file>