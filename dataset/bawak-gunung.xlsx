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 activeTab="4"/>
  </bookViews>
  <sheets>
    <sheet name="Rekap" sheetId="8" r:id="rId1"/>
    <sheet name="RT 01" sheetId="1" r:id="rId2"/>
    <sheet name="RT 02" sheetId="2" r:id="rId3"/>
    <sheet name="RT 03" sheetId="3" r:id="rId4"/>
    <sheet name="RT 04" sheetId="4" r:id="rId5"/>
    <sheet name="Jumlah Semua" sheetId="5" r:id="rId6"/>
    <sheet name="Pindah Keluar" sheetId="6" r:id="rId7"/>
    <sheet name="Meninggal" sheetId="7" r:id="rId8"/>
  </sheets>
  <definedNames>
    <definedName name="_xlnm._FilterDatabase" localSheetId="6" hidden="1">'Pindah Keluar'!$A$6:$W$6</definedName>
    <definedName name="_xlnm._FilterDatabase" localSheetId="1" hidden="1">'RT 01'!$B$7:$T$396</definedName>
    <definedName name="_xlnm._FilterDatabase" localSheetId="2" hidden="1">'RT 02'!$B$7:$R$204</definedName>
    <definedName name="_xlnm._FilterDatabase" localSheetId="3" hidden="1">'RT 03'!$B$7:$R$293</definedName>
    <definedName name="_xlnm._FilterDatabase" localSheetId="4" hidden="1">'RT 04'!$B$7:$V$169</definedName>
    <definedName name="_xlnm.Print_Area" localSheetId="0">Rekap!$B$2:$N$20</definedName>
    <definedName name="_xlnm.Print_Area" localSheetId="1">'RT 01'!$B$1:$R$406</definedName>
    <definedName name="_xlnm.Print_Area" localSheetId="2">'RT 02'!$B$1:$R$214</definedName>
    <definedName name="_xlnm.Print_Area" localSheetId="3">'RT 03'!$B$1:$R$297</definedName>
    <definedName name="_xlnm.Print_Area" localSheetId="4">'RT 04'!$B$1:$R$173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  <definedName name="_xlnm.Print_Titles" localSheetId="4">'RT 04'!$1:$7</definedName>
  </definedNames>
  <calcPr calcId="124519" concurrentCalc="0"/>
</workbook>
</file>

<file path=xl/calcChain.xml><?xml version="1.0" encoding="utf-8"?>
<calcChain xmlns="http://schemas.openxmlformats.org/spreadsheetml/2006/main">
  <c r="J9" i="8"/>
  <c r="J8"/>
  <c r="J7"/>
  <c r="J6"/>
  <c r="I9"/>
  <c r="I8"/>
  <c r="I7"/>
  <c r="I6"/>
  <c r="L146" i="4" l="1"/>
  <c r="L145"/>
  <c r="L144"/>
  <c r="L140"/>
  <c r="L139"/>
  <c r="L138"/>
  <c r="L132"/>
  <c r="L128"/>
  <c r="L127"/>
  <c r="L126"/>
  <c r="L125"/>
  <c r="L124"/>
  <c r="L123"/>
  <c r="L122"/>
  <c r="L121"/>
  <c r="L120"/>
  <c r="L119"/>
  <c r="L118"/>
  <c r="L117"/>
  <c r="L116"/>
  <c r="L115"/>
  <c r="L114"/>
  <c r="L84"/>
  <c r="L83"/>
  <c r="L77"/>
  <c r="L74"/>
  <c r="L73"/>
  <c r="L72"/>
  <c r="L71"/>
  <c r="L70"/>
  <c r="L69"/>
  <c r="L68"/>
  <c r="L67"/>
  <c r="L66"/>
  <c r="L65"/>
  <c r="L64"/>
  <c r="L63"/>
  <c r="L62"/>
  <c r="L61"/>
  <c r="L60"/>
  <c r="L59"/>
  <c r="L58"/>
  <c r="L55"/>
  <c r="L54"/>
  <c r="L53"/>
  <c r="L52"/>
  <c r="L51"/>
  <c r="L50"/>
  <c r="L28"/>
  <c r="L27"/>
  <c r="L26"/>
  <c r="L25"/>
  <c r="L24"/>
  <c r="L23"/>
  <c r="L22"/>
  <c r="L21"/>
  <c r="L286" i="3"/>
  <c r="L285"/>
  <c r="L284"/>
  <c r="L283"/>
  <c r="L278"/>
  <c r="L277"/>
  <c r="L276"/>
  <c r="L275"/>
  <c r="L274"/>
  <c r="L267"/>
  <c r="L266"/>
  <c r="L265"/>
  <c r="L264"/>
  <c r="L261"/>
  <c r="L260"/>
  <c r="L259"/>
  <c r="L258"/>
  <c r="L251"/>
  <c r="L250"/>
  <c r="L247"/>
  <c r="L246"/>
  <c r="L245"/>
  <c r="L244"/>
  <c r="L240"/>
  <c r="L239"/>
  <c r="L238"/>
  <c r="L237"/>
  <c r="L234"/>
  <c r="L233"/>
  <c r="L232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5"/>
  <c r="L194"/>
  <c r="L193"/>
  <c r="L172"/>
  <c r="L171"/>
  <c r="L170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8"/>
  <c r="L107"/>
  <c r="L106"/>
  <c r="L105"/>
  <c r="L94"/>
  <c r="L76"/>
  <c r="L75"/>
  <c r="L74"/>
  <c r="L62"/>
  <c r="L61"/>
  <c r="L60"/>
  <c r="L59"/>
  <c r="L58"/>
  <c r="L57"/>
  <c r="L56"/>
  <c r="L55"/>
  <c r="L54"/>
  <c r="L53"/>
  <c r="L52"/>
  <c r="L51"/>
  <c r="L50"/>
  <c r="L49"/>
  <c r="L48"/>
  <c r="L47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17"/>
  <c r="L16"/>
  <c r="L15"/>
  <c r="L14"/>
  <c r="L13"/>
  <c r="L11"/>
  <c r="L10"/>
  <c r="L9"/>
  <c r="L8"/>
  <c r="L189" i="2"/>
  <c r="L188"/>
  <c r="L187"/>
  <c r="L186"/>
  <c r="L185"/>
  <c r="L184"/>
  <c r="L183"/>
  <c r="L182"/>
  <c r="L181"/>
  <c r="L180"/>
  <c r="L179"/>
  <c r="L175"/>
  <c r="L174"/>
  <c r="L173"/>
  <c r="L172"/>
  <c r="L171"/>
  <c r="L170"/>
  <c r="L166"/>
  <c r="L165"/>
  <c r="L164"/>
  <c r="L160"/>
  <c r="L159"/>
  <c r="L158"/>
  <c r="L157"/>
  <c r="L156"/>
  <c r="L155"/>
  <c r="L154"/>
  <c r="L153"/>
  <c r="L146"/>
  <c r="L145"/>
  <c r="L144"/>
  <c r="L143"/>
  <c r="L142"/>
  <c r="L138"/>
  <c r="L137"/>
  <c r="L136"/>
  <c r="L135"/>
  <c r="L124"/>
  <c r="L123"/>
  <c r="L110"/>
  <c r="L109"/>
  <c r="L108"/>
  <c r="L107"/>
  <c r="L106"/>
  <c r="L105"/>
  <c r="L104"/>
  <c r="L103"/>
  <c r="L97"/>
  <c r="L96"/>
  <c r="L95"/>
  <c r="L94"/>
  <c r="L93"/>
  <c r="L90"/>
  <c r="L75"/>
  <c r="L62"/>
  <c r="L61"/>
  <c r="L60"/>
  <c r="L57"/>
  <c r="L56"/>
  <c r="L55"/>
  <c r="L49"/>
  <c r="L48"/>
  <c r="L47"/>
  <c r="L46"/>
  <c r="L32"/>
  <c r="L28"/>
  <c r="L347" i="1"/>
  <c r="L346"/>
  <c r="L345"/>
  <c r="L336"/>
  <c r="L321"/>
  <c r="L290"/>
  <c r="L289"/>
  <c r="L288"/>
  <c r="L287"/>
  <c r="L286"/>
  <c r="L274"/>
  <c r="L273"/>
  <c r="L272"/>
  <c r="L271"/>
  <c r="L247"/>
  <c r="L246"/>
  <c r="L237"/>
  <c r="L236"/>
  <c r="L235"/>
  <c r="L234"/>
  <c r="L233"/>
  <c r="L206"/>
  <c r="L205"/>
  <c r="L197"/>
  <c r="L196"/>
  <c r="L195"/>
  <c r="L194"/>
  <c r="L181"/>
  <c r="L180"/>
  <c r="L179"/>
  <c r="L167"/>
  <c r="L166"/>
  <c r="L165"/>
  <c r="L164"/>
  <c r="L163"/>
  <c r="L162"/>
  <c r="L161"/>
  <c r="L160"/>
  <c r="L159"/>
  <c r="L158"/>
  <c r="L153"/>
  <c r="L152"/>
  <c r="L151"/>
  <c r="L150"/>
  <c r="L149"/>
  <c r="L124"/>
  <c r="L123"/>
  <c r="L104"/>
  <c r="L103"/>
  <c r="L93"/>
  <c r="L92"/>
  <c r="L91"/>
  <c r="L90"/>
  <c r="L89"/>
  <c r="L88"/>
  <c r="L87"/>
  <c r="L86"/>
  <c r="L85"/>
  <c r="L84"/>
  <c r="L83"/>
  <c r="L82"/>
  <c r="L72"/>
  <c r="L71"/>
  <c r="L70"/>
  <c r="L69"/>
  <c r="L68"/>
  <c r="L67"/>
  <c r="L63"/>
  <c r="L62"/>
  <c r="L52"/>
  <c r="L51"/>
  <c r="L47"/>
  <c r="L46"/>
  <c r="L45"/>
  <c r="L44"/>
  <c r="L43"/>
  <c r="L42"/>
  <c r="L41"/>
  <c r="L40"/>
  <c r="L36"/>
  <c r="L35"/>
  <c r="L34"/>
  <c r="L33"/>
  <c r="L32"/>
  <c r="L31"/>
  <c r="L30"/>
  <c r="L29"/>
  <c r="L28"/>
  <c r="L12"/>
  <c r="L11"/>
  <c r="L10"/>
  <c r="L9"/>
  <c r="L8"/>
  <c r="M396" l="1"/>
  <c r="M395"/>
  <c r="M273" i="3" l="1"/>
  <c r="M13" i="7"/>
  <c r="G9" i="8" l="1"/>
  <c r="G8"/>
  <c r="G7"/>
  <c r="G6"/>
  <c r="F9"/>
  <c r="F8"/>
  <c r="F7"/>
  <c r="F6"/>
  <c r="D9"/>
  <c r="D8"/>
  <c r="D7"/>
  <c r="D6"/>
  <c r="C9"/>
  <c r="C8"/>
  <c r="C7"/>
  <c r="C6"/>
  <c r="M10"/>
  <c r="L10"/>
  <c r="N9"/>
  <c r="N8"/>
  <c r="N7"/>
  <c r="N6"/>
  <c r="N10" l="1"/>
  <c r="K9"/>
  <c r="K7"/>
  <c r="J10"/>
  <c r="K8"/>
  <c r="I10"/>
  <c r="H9"/>
  <c r="H7"/>
  <c r="G10"/>
  <c r="H8"/>
  <c r="F10"/>
  <c r="E9"/>
  <c r="E7"/>
  <c r="D10"/>
  <c r="E8"/>
  <c r="C10"/>
  <c r="H6"/>
  <c r="E6"/>
  <c r="K6"/>
  <c r="H10" l="1"/>
  <c r="K10"/>
  <c r="E10"/>
  <c r="M167" i="4"/>
  <c r="M166"/>
  <c r="L12" i="7"/>
  <c r="M153" i="4"/>
  <c r="M152"/>
  <c r="M151"/>
  <c r="L20" i="6"/>
  <c r="L19"/>
  <c r="M150" i="4"/>
  <c r="M149"/>
  <c r="M148"/>
  <c r="M147"/>
  <c r="L18" i="6" l="1"/>
  <c r="L17"/>
  <c r="M169" i="2"/>
  <c r="M194"/>
  <c r="M195"/>
  <c r="M196"/>
  <c r="M197"/>
  <c r="M371" i="1" l="1"/>
  <c r="M372"/>
  <c r="M373"/>
  <c r="M374"/>
  <c r="M368"/>
  <c r="M369"/>
  <c r="M370"/>
  <c r="L16" i="6"/>
  <c r="L15" l="1"/>
  <c r="L11" i="7"/>
  <c r="M394" i="1" l="1"/>
  <c r="M393"/>
  <c r="M392"/>
  <c r="M193" i="2"/>
  <c r="M192"/>
  <c r="M191"/>
  <c r="M190"/>
  <c r="M391" i="1" l="1"/>
  <c r="M390"/>
  <c r="M389"/>
  <c r="M388"/>
  <c r="M387"/>
  <c r="M386"/>
  <c r="M385"/>
  <c r="M384"/>
  <c r="M383"/>
  <c r="M382"/>
  <c r="M381"/>
  <c r="M203" i="2" l="1"/>
  <c r="M204"/>
  <c r="L10" i="7"/>
  <c r="M201" i="2" l="1"/>
  <c r="M202"/>
  <c r="M198"/>
  <c r="M199"/>
  <c r="M200"/>
  <c r="M161" i="4"/>
  <c r="M162"/>
  <c r="M163"/>
  <c r="M164"/>
  <c r="M165"/>
  <c r="M156" l="1"/>
  <c r="M157"/>
  <c r="M158"/>
  <c r="M159"/>
  <c r="M160"/>
  <c r="M289" i="3"/>
  <c r="M290"/>
  <c r="M291"/>
  <c r="M287"/>
  <c r="M288"/>
  <c r="M378" i="1" l="1"/>
  <c r="M379"/>
  <c r="M380"/>
  <c r="M377"/>
  <c r="M376"/>
  <c r="M375"/>
  <c r="M108" i="4"/>
  <c r="M155"/>
  <c r="M154"/>
  <c r="M101" i="3" l="1"/>
  <c r="M181"/>
  <c r="M192"/>
  <c r="L14" i="6"/>
  <c r="L13"/>
  <c r="M18" i="1" l="1"/>
  <c r="M100"/>
  <c r="M178"/>
  <c r="M175"/>
  <c r="M148" l="1"/>
  <c r="M361"/>
  <c r="M221"/>
  <c r="M355"/>
  <c r="M263"/>
  <c r="M141"/>
  <c r="L12" i="6"/>
  <c r="M339" i="1"/>
  <c r="M330"/>
  <c r="M331"/>
  <c r="M66" l="1"/>
  <c r="L11" i="6"/>
  <c r="L10" l="1"/>
  <c r="L9"/>
  <c r="M76" i="1"/>
  <c r="M367" l="1"/>
  <c r="M366"/>
  <c r="L8" i="6" l="1"/>
  <c r="M38" i="4"/>
  <c r="M39"/>
  <c r="M34" i="2"/>
  <c r="M46" i="3"/>
  <c r="M118" i="4"/>
  <c r="M119"/>
  <c r="M116" i="2"/>
  <c r="M115"/>
  <c r="M54"/>
  <c r="M18"/>
  <c r="M17"/>
  <c r="M16"/>
  <c r="M19"/>
  <c r="M20"/>
  <c r="M9"/>
  <c r="M10"/>
  <c r="M11"/>
  <c r="M12"/>
  <c r="M13"/>
  <c r="M14"/>
  <c r="M15"/>
  <c r="M21"/>
  <c r="M22"/>
  <c r="M23"/>
  <c r="M24"/>
  <c r="M25"/>
  <c r="M26"/>
  <c r="M27"/>
  <c r="M28"/>
  <c r="M29"/>
  <c r="M30"/>
  <c r="M31"/>
  <c r="M32"/>
  <c r="M33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L9" i="7"/>
  <c r="L8"/>
  <c r="L7"/>
  <c r="M365" i="1"/>
  <c r="M364"/>
  <c r="M363"/>
  <c r="M362"/>
  <c r="M9" i="4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9"/>
  <c r="M110"/>
  <c r="M111"/>
  <c r="M112"/>
  <c r="M113"/>
  <c r="M114"/>
  <c r="M115"/>
  <c r="M116"/>
  <c r="M117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8"/>
  <c r="M9" i="3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2"/>
  <c r="M183"/>
  <c r="M184"/>
  <c r="M185"/>
  <c r="M186"/>
  <c r="M187"/>
  <c r="M188"/>
  <c r="M189"/>
  <c r="M190"/>
  <c r="M191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4"/>
  <c r="M275"/>
  <c r="M276"/>
  <c r="M277"/>
  <c r="M278"/>
  <c r="M279"/>
  <c r="M280"/>
  <c r="M281"/>
  <c r="M282"/>
  <c r="M283"/>
  <c r="M284"/>
  <c r="M285"/>
  <c r="M286"/>
  <c r="M8"/>
  <c r="M8" i="2"/>
  <c r="L7" i="6"/>
  <c r="M9" i="1"/>
  <c r="M10"/>
  <c r="M11"/>
  <c r="M12"/>
  <c r="M13"/>
  <c r="M14"/>
  <c r="M15"/>
  <c r="M16"/>
  <c r="M17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7"/>
  <c r="M68"/>
  <c r="M69"/>
  <c r="M70"/>
  <c r="M71"/>
  <c r="M72"/>
  <c r="M73"/>
  <c r="M74"/>
  <c r="M75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6"/>
  <c r="M127"/>
  <c r="M128"/>
  <c r="M129"/>
  <c r="M130"/>
  <c r="M131"/>
  <c r="M132"/>
  <c r="M133"/>
  <c r="M134"/>
  <c r="M135"/>
  <c r="M136"/>
  <c r="M137"/>
  <c r="M138"/>
  <c r="M139"/>
  <c r="M140"/>
  <c r="M142"/>
  <c r="M143"/>
  <c r="M144"/>
  <c r="M145"/>
  <c r="M146"/>
  <c r="M147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6"/>
  <c r="M177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125"/>
  <c r="M214"/>
  <c r="M215"/>
  <c r="M216"/>
  <c r="M217"/>
  <c r="M218"/>
  <c r="M219"/>
  <c r="M220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2"/>
  <c r="M333"/>
  <c r="M334"/>
  <c r="M335"/>
  <c r="M336"/>
  <c r="M337"/>
  <c r="M338"/>
  <c r="M340"/>
  <c r="M341"/>
  <c r="M342"/>
  <c r="M343"/>
  <c r="M344"/>
  <c r="M345"/>
  <c r="M346"/>
  <c r="M347"/>
  <c r="M348"/>
  <c r="M349"/>
  <c r="M350"/>
  <c r="M351"/>
  <c r="M352"/>
  <c r="M353"/>
  <c r="M354"/>
  <c r="M356"/>
  <c r="M357"/>
  <c r="M358"/>
  <c r="M359"/>
  <c r="M360"/>
  <c r="M8"/>
  <c r="C5" i="5"/>
  <c r="A5"/>
</calcChain>
</file>

<file path=xl/sharedStrings.xml><?xml version="1.0" encoding="utf-8"?>
<sst xmlns="http://schemas.openxmlformats.org/spreadsheetml/2006/main" count="9993" uniqueCount="2208">
  <si>
    <t>No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</si>
  <si>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</si>
  <si>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</si>
  <si>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</si>
  <si>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</si>
  <si>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</si>
  <si>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</si>
  <si>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</si>
  <si>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Haji Mukhtar</t>
  </si>
  <si>
    <t>L</t>
  </si>
  <si>
    <t>Kawin</t>
  </si>
  <si>
    <t>Islam</t>
  </si>
  <si>
    <t>SLTA/MA</t>
  </si>
  <si>
    <t>Pegawai swasta</t>
  </si>
  <si>
    <t>KK</t>
  </si>
  <si>
    <t>520101 3112720143</t>
  </si>
  <si>
    <t>Rosipah</t>
  </si>
  <si>
    <t>P</t>
  </si>
  <si>
    <t>-</t>
  </si>
  <si>
    <t>Pedagang</t>
  </si>
  <si>
    <t>Istri</t>
  </si>
  <si>
    <t>520101 7112750199</t>
  </si>
  <si>
    <t>Sihabudin</t>
  </si>
  <si>
    <t>Belum kawin</t>
  </si>
  <si>
    <t>Pekerja lepas</t>
  </si>
  <si>
    <t>Anak</t>
  </si>
  <si>
    <t>520101 1901950001</t>
  </si>
  <si>
    <t>Khairul Anan</t>
  </si>
  <si>
    <t>SD/MI</t>
  </si>
  <si>
    <t>520101 0811040002</t>
  </si>
  <si>
    <t>Suhra Wardi</t>
  </si>
  <si>
    <t>520101 2803120002</t>
  </si>
  <si>
    <t>Arta Winata</t>
  </si>
  <si>
    <t>SLTP/MTSN</t>
  </si>
  <si>
    <t>520101 1210810003</t>
  </si>
  <si>
    <t>Surianti</t>
  </si>
  <si>
    <t>PT/Akademi</t>
  </si>
  <si>
    <t>520101 7112870166</t>
  </si>
  <si>
    <t>Cahaya Artanti</t>
  </si>
  <si>
    <t>520101 4409090003</t>
  </si>
  <si>
    <t>Mujiah</t>
  </si>
  <si>
    <t>Basri</t>
  </si>
  <si>
    <t>520101 1312701001</t>
  </si>
  <si>
    <t>Ma’ah</t>
  </si>
  <si>
    <t>520101 7112701007</t>
  </si>
  <si>
    <t>Vera Pasira</t>
  </si>
  <si>
    <t>520101 4206971001</t>
  </si>
  <si>
    <t>520101 0107051001</t>
  </si>
  <si>
    <t>Nurhadi</t>
  </si>
  <si>
    <t>Wiraswasta</t>
  </si>
  <si>
    <t>Helmianti</t>
  </si>
  <si>
    <t>Ayudia Asanti</t>
  </si>
  <si>
    <t>Belum  kawin</t>
  </si>
  <si>
    <t>Iwan Saputra</t>
  </si>
  <si>
    <t>520101 0505830002</t>
  </si>
  <si>
    <t>Miskah</t>
  </si>
  <si>
    <t>Haziaratul Nasuha</t>
  </si>
  <si>
    <t>Hajjah  Saibah Ilhami</t>
  </si>
  <si>
    <t>Petani</t>
  </si>
  <si>
    <t>520101 1712850282</t>
  </si>
  <si>
    <t>Katrun Nada</t>
  </si>
  <si>
    <t>520101 8907080002</t>
  </si>
  <si>
    <t>Mahsun</t>
  </si>
  <si>
    <t>520101 1312850003</t>
  </si>
  <si>
    <t>Sahini</t>
  </si>
  <si>
    <t>520101 7112860162</t>
  </si>
  <si>
    <t>Mariah</t>
  </si>
  <si>
    <t>Janda</t>
  </si>
  <si>
    <t>Tohri</t>
  </si>
  <si>
    <t>Naswin</t>
  </si>
  <si>
    <t>520101 0107821020</t>
  </si>
  <si>
    <t>Juliantin</t>
  </si>
  <si>
    <t>520101 5708850002</t>
  </si>
  <si>
    <t>Nela Deswita Putri</t>
  </si>
  <si>
    <t>520101 6812040001</t>
  </si>
  <si>
    <t>Rosihin</t>
  </si>
  <si>
    <t>Munirah</t>
  </si>
  <si>
    <t>Jumisah</t>
  </si>
  <si>
    <t>520101 1302740005</t>
  </si>
  <si>
    <t>Hamnah</t>
  </si>
  <si>
    <t>520101 530270008</t>
  </si>
  <si>
    <t>Noni Sintia</t>
  </si>
  <si>
    <t>520101 8808010001</t>
  </si>
  <si>
    <t>Muhammad Ali Syaputra</t>
  </si>
  <si>
    <t>520101 2711070001</t>
  </si>
  <si>
    <t>Sairun</t>
  </si>
  <si>
    <t>520101 3112670082</t>
  </si>
  <si>
    <t>Sapaah</t>
  </si>
  <si>
    <t>520101 71126900105</t>
  </si>
  <si>
    <t>Sarpin</t>
  </si>
  <si>
    <t>520101 1000030003</t>
  </si>
  <si>
    <t>Mustar</t>
  </si>
  <si>
    <t>Anoar Sapar</t>
  </si>
  <si>
    <t>520101 1112710001</t>
  </si>
  <si>
    <t>Suniyati</t>
  </si>
  <si>
    <t>520101 7112750017</t>
  </si>
  <si>
    <t>Reni Puspita Sari</t>
  </si>
  <si>
    <t>520101 580800001</t>
  </si>
  <si>
    <t>Ersi Mauliya</t>
  </si>
  <si>
    <t>520101 4408090001</t>
  </si>
  <si>
    <t>Bisma Ridwanullah</t>
  </si>
  <si>
    <t>Mustajab</t>
  </si>
  <si>
    <t>Rohani</t>
  </si>
  <si>
    <t>Hardi</t>
  </si>
  <si>
    <t>Harlin Yuliani</t>
  </si>
  <si>
    <t>SLTA/MTSN</t>
  </si>
  <si>
    <t>Haerunnisa</t>
  </si>
  <si>
    <t>Alimudin</t>
  </si>
  <si>
    <t>520101 1212560001</t>
  </si>
  <si>
    <t>Saderah</t>
  </si>
  <si>
    <t>520101 5212610003</t>
  </si>
  <si>
    <t>520101 1304900001</t>
  </si>
  <si>
    <t>Hidayanti</t>
  </si>
  <si>
    <t>520101 4910940002</t>
  </si>
  <si>
    <t>Wildan Haji</t>
  </si>
  <si>
    <t>520101 0107700001</t>
  </si>
  <si>
    <t>Sanaah</t>
  </si>
  <si>
    <t>520101 4107750002</t>
  </si>
  <si>
    <t>Eliza Januarti</t>
  </si>
  <si>
    <t>520101 6801010001</t>
  </si>
  <si>
    <t>Mawaddatul Uma</t>
  </si>
  <si>
    <t>520101 6810060001</t>
  </si>
  <si>
    <t>Deni Yulianti</t>
  </si>
  <si>
    <t>Duda</t>
  </si>
  <si>
    <t>Lainnya</t>
  </si>
  <si>
    <t>520101 5207930003</t>
  </si>
  <si>
    <t>Muhammad Alfhatid Wahyudha U</t>
  </si>
  <si>
    <t>520101 1607121001</t>
  </si>
  <si>
    <t>Miskinah</t>
  </si>
  <si>
    <t>520101 7112700033</t>
  </si>
  <si>
    <t>Abdul Hafiz</t>
  </si>
  <si>
    <t>520101 1007960003</t>
  </si>
  <si>
    <t>Yulia Rahma</t>
  </si>
  <si>
    <t>520101 5407070001</t>
  </si>
  <si>
    <t>Abdul Halil</t>
  </si>
  <si>
    <t>Zohriyanti</t>
  </si>
  <si>
    <t>Mudahar</t>
  </si>
  <si>
    <t>520101 1806690002</t>
  </si>
  <si>
    <t>Rakmah</t>
  </si>
  <si>
    <t>520101 7112700012</t>
  </si>
  <si>
    <t>Heri Hanafi</t>
  </si>
  <si>
    <t>520101 0501980001</t>
  </si>
  <si>
    <t>Risgiyati</t>
  </si>
  <si>
    <t>520101 4511010001</t>
  </si>
  <si>
    <t>520101 5909080001</t>
  </si>
  <si>
    <t>Nurhidayah</t>
  </si>
  <si>
    <t>520101 7512970052</t>
  </si>
  <si>
    <t>Andriawan</t>
  </si>
  <si>
    <t>520101 2402050002</t>
  </si>
  <si>
    <t>Bagus Satriawan</t>
  </si>
  <si>
    <t>520101 2007080003</t>
  </si>
  <si>
    <t>Husni</t>
  </si>
  <si>
    <t>520101 3112800345</t>
  </si>
  <si>
    <t>Hajjah  Salamah</t>
  </si>
  <si>
    <t>520101 7112820230</t>
  </si>
  <si>
    <t>Mujlis</t>
  </si>
  <si>
    <t>520101 0107930044</t>
  </si>
  <si>
    <t>Mukinah</t>
  </si>
  <si>
    <t>520101 3112820217</t>
  </si>
  <si>
    <t>Joni</t>
  </si>
  <si>
    <t>520101 7112870177</t>
  </si>
  <si>
    <t>Ali</t>
  </si>
  <si>
    <t>520101 5607060002</t>
  </si>
  <si>
    <t>Misdah</t>
  </si>
  <si>
    <t>520101 312820217</t>
  </si>
  <si>
    <t>Paoziah</t>
  </si>
  <si>
    <t>520101 128701177</t>
  </si>
  <si>
    <t>Sriwulandari</t>
  </si>
  <si>
    <t>Amin</t>
  </si>
  <si>
    <t>Senah</t>
  </si>
  <si>
    <t>Dedi</t>
  </si>
  <si>
    <t>Aini</t>
  </si>
  <si>
    <t>520101 6505980001</t>
  </si>
  <si>
    <t>Salman</t>
  </si>
  <si>
    <t>Nurhayati</t>
  </si>
  <si>
    <t>520101 7112900129</t>
  </si>
  <si>
    <t>Zakiruloh</t>
  </si>
  <si>
    <t>520101 2202100002</t>
  </si>
  <si>
    <t>Mustiah</t>
  </si>
  <si>
    <t xml:space="preserve">Hamidah </t>
  </si>
  <si>
    <t>Isrti</t>
  </si>
  <si>
    <t>Sahlan</t>
  </si>
  <si>
    <t>520101 0307770007</t>
  </si>
  <si>
    <t>Muniah</t>
  </si>
  <si>
    <t>520101 5412800001</t>
  </si>
  <si>
    <t>Sahdan</t>
  </si>
  <si>
    <t>520101 1909560001</t>
  </si>
  <si>
    <t>Minerah</t>
  </si>
  <si>
    <t>520101 5203600001</t>
  </si>
  <si>
    <t>Nursan</t>
  </si>
  <si>
    <t>520101 2006830001</t>
  </si>
  <si>
    <t>Maknah</t>
  </si>
  <si>
    <t>520101 6001801001</t>
  </si>
  <si>
    <t>Desi Fitriana</t>
  </si>
  <si>
    <t>520101 6004001001</t>
  </si>
  <si>
    <t>Rosidin</t>
  </si>
  <si>
    <t>520101 2910840001</t>
  </si>
  <si>
    <t>Kurniawati</t>
  </si>
  <si>
    <t>520101 4810930002</t>
  </si>
  <si>
    <t>520101 2105131001</t>
  </si>
  <si>
    <t>Anjab</t>
  </si>
  <si>
    <t>520101 3008840001</t>
  </si>
  <si>
    <t>Rabiah</t>
  </si>
  <si>
    <t>520101 5011840009</t>
  </si>
  <si>
    <t>Robiallah</t>
  </si>
  <si>
    <t>Jamaludin</t>
  </si>
  <si>
    <t>Sumarni</t>
  </si>
  <si>
    <t>Iza Lestari</t>
  </si>
  <si>
    <t>Rumisah</t>
  </si>
  <si>
    <t>520101 7112630102</t>
  </si>
  <si>
    <t>Herudin</t>
  </si>
  <si>
    <t>520101 2408890002</t>
  </si>
  <si>
    <t>Susilawati</t>
  </si>
  <si>
    <t>520101 4805960002</t>
  </si>
  <si>
    <t>Fatimah</t>
  </si>
  <si>
    <t>Padilawati</t>
  </si>
  <si>
    <t>520101 4712990001</t>
  </si>
  <si>
    <t>Juliati</t>
  </si>
  <si>
    <t>520101 5410010002</t>
  </si>
  <si>
    <t>Napisah</t>
  </si>
  <si>
    <t>Samidah</t>
  </si>
  <si>
    <t>520101 0102570002</t>
  </si>
  <si>
    <t>Anisah</t>
  </si>
  <si>
    <t>520101 4107620402</t>
  </si>
  <si>
    <t>Mujmal</t>
  </si>
  <si>
    <t>520101 2512920002</t>
  </si>
  <si>
    <t>Junaidi</t>
  </si>
  <si>
    <t>520101 3112860173</t>
  </si>
  <si>
    <t>Roniati</t>
  </si>
  <si>
    <t>520101 7112870013</t>
  </si>
  <si>
    <t>520101 2206140001</t>
  </si>
  <si>
    <t>Munisah</t>
  </si>
  <si>
    <t>Paidawati</t>
  </si>
  <si>
    <t>520101 8004990001</t>
  </si>
  <si>
    <t>Sumiati</t>
  </si>
  <si>
    <t>Anti</t>
  </si>
  <si>
    <t>Widya Juliana</t>
  </si>
  <si>
    <t>Suhaimi</t>
  </si>
  <si>
    <t>520101 3112830028</t>
  </si>
  <si>
    <t>Faizah</t>
  </si>
  <si>
    <t>Sanah</t>
  </si>
  <si>
    <t>520101 7112590045</t>
  </si>
  <si>
    <t>Maksah</t>
  </si>
  <si>
    <t>520101 6301830001</t>
  </si>
  <si>
    <t>Udin</t>
  </si>
  <si>
    <t>Hulniati</t>
  </si>
  <si>
    <t>Naela Mariana</t>
  </si>
  <si>
    <t>Saleh</t>
  </si>
  <si>
    <t>520101 0107770283</t>
  </si>
  <si>
    <t>Nikmah</t>
  </si>
  <si>
    <t>520101 7112740008</t>
  </si>
  <si>
    <t>Herwin</t>
  </si>
  <si>
    <t>520101 1109980004</t>
  </si>
  <si>
    <t>520101 4412050003</t>
  </si>
  <si>
    <t>Sinarah</t>
  </si>
  <si>
    <t>Salikin</t>
  </si>
  <si>
    <t>520101 1801730001</t>
  </si>
  <si>
    <t>Misaah</t>
  </si>
  <si>
    <t>520101 5105820005</t>
  </si>
  <si>
    <t>Parida Sukmawati</t>
  </si>
  <si>
    <t>520101 6302020004</t>
  </si>
  <si>
    <t>Ulivia Ulfa</t>
  </si>
  <si>
    <t>520101 5309100001</t>
  </si>
  <si>
    <t>Mujahidin</t>
  </si>
  <si>
    <t>Huriah</t>
  </si>
  <si>
    <t>520101 5011910102</t>
  </si>
  <si>
    <t>Ulfiana Novita Dewi</t>
  </si>
  <si>
    <t>Ridowan</t>
  </si>
  <si>
    <t>520101 0107750597</t>
  </si>
  <si>
    <t>Mukmin</t>
  </si>
  <si>
    <t>520101 7114770105</t>
  </si>
  <si>
    <t>Melinda</t>
  </si>
  <si>
    <t>520101 4408030001</t>
  </si>
  <si>
    <t>Nahu</t>
  </si>
  <si>
    <t>520101 4107770537</t>
  </si>
  <si>
    <t>520101 4309011002</t>
  </si>
  <si>
    <t>Kadir</t>
  </si>
  <si>
    <t>520101 0602740001</t>
  </si>
  <si>
    <t>Sorni</t>
  </si>
  <si>
    <t>520101 6111840002</t>
  </si>
  <si>
    <t>Hidayati</t>
  </si>
  <si>
    <t>Heni Liana</t>
  </si>
  <si>
    <t>Mar’i</t>
  </si>
  <si>
    <t>520101 3112650004</t>
  </si>
  <si>
    <t>Mujisah</t>
  </si>
  <si>
    <t>520101 7112690005</t>
  </si>
  <si>
    <t>Muhammad Roi</t>
  </si>
  <si>
    <t>520101 0507000001</t>
  </si>
  <si>
    <t>Marhamah</t>
  </si>
  <si>
    <t>Muhammad Wasil</t>
  </si>
  <si>
    <t>520101 3008120002</t>
  </si>
  <si>
    <t>Sukini</t>
  </si>
  <si>
    <t>Nawisin</t>
  </si>
  <si>
    <t>Muhit</t>
  </si>
  <si>
    <t>Hamdi</t>
  </si>
  <si>
    <t>520101 1717910001</t>
  </si>
  <si>
    <t>Samnah</t>
  </si>
  <si>
    <t>520101 481280003</t>
  </si>
  <si>
    <t>Novianti</t>
  </si>
  <si>
    <t>520101 5111981001</t>
  </si>
  <si>
    <t>Jeni Hardianto</t>
  </si>
  <si>
    <t>520101 0505070001</t>
  </si>
  <si>
    <t>Amanah</t>
  </si>
  <si>
    <t>520101 3112720013</t>
  </si>
  <si>
    <t>Saenab</t>
  </si>
  <si>
    <t>520101 4107740320</t>
  </si>
  <si>
    <t>Lina Sulistiawan</t>
  </si>
  <si>
    <t>520101 4310100002</t>
  </si>
  <si>
    <t>Lisa Sulistinati</t>
  </si>
  <si>
    <t>Sanisah</t>
  </si>
  <si>
    <t>Zibawaeh</t>
  </si>
  <si>
    <t>520101 1711830001</t>
  </si>
  <si>
    <t>Susanti</t>
  </si>
  <si>
    <t>520101 5405920003</t>
  </si>
  <si>
    <t>Wardi</t>
  </si>
  <si>
    <t>Nabila Januarti</t>
  </si>
  <si>
    <t>Jadiah</t>
  </si>
  <si>
    <t>520101 5801410001</t>
  </si>
  <si>
    <t>Nuramah</t>
  </si>
  <si>
    <t>520101 6908930001</t>
  </si>
  <si>
    <t>Haji  Husin</t>
  </si>
  <si>
    <t>520101 3112690124</t>
  </si>
  <si>
    <t>Duduk</t>
  </si>
  <si>
    <t>520101 6503600002</t>
  </si>
  <si>
    <t>Haji  Misbah Sugiasiah</t>
  </si>
  <si>
    <t>520101 3112600177</t>
  </si>
  <si>
    <t>Sahinip</t>
  </si>
  <si>
    <t>520101 7112650111</t>
  </si>
  <si>
    <t>Ramdan</t>
  </si>
  <si>
    <t>520101 1001860002</t>
  </si>
  <si>
    <t>Muhsinin Haji</t>
  </si>
  <si>
    <t>Zaini</t>
  </si>
  <si>
    <t>Wraswasta</t>
  </si>
  <si>
    <t>520101 0107760322</t>
  </si>
  <si>
    <t>Alimah</t>
  </si>
  <si>
    <t>520101 4107840026</t>
  </si>
  <si>
    <t>Nuraliza Fitri</t>
  </si>
  <si>
    <t>520101 4110070001</t>
  </si>
  <si>
    <t>Alwani Izzatun Nisa</t>
  </si>
  <si>
    <t>520101 6610140001</t>
  </si>
  <si>
    <t>Muksin</t>
  </si>
  <si>
    <t>520101 1404850005</t>
  </si>
  <si>
    <t>Nurmalia</t>
  </si>
  <si>
    <t>520101 7112800121</t>
  </si>
  <si>
    <t>Sulton</t>
  </si>
  <si>
    <t>Sukri</t>
  </si>
  <si>
    <t>520101 1403800001</t>
  </si>
  <si>
    <t>Rahmin</t>
  </si>
  <si>
    <t>520101 7012820001</t>
  </si>
  <si>
    <t>Amir Hamdani</t>
  </si>
  <si>
    <t>520101 2105980001</t>
  </si>
  <si>
    <t>Sopiana</t>
  </si>
  <si>
    <t>Awaludin</t>
  </si>
  <si>
    <t>520101 0703840001</t>
  </si>
  <si>
    <t>Muhimah</t>
  </si>
  <si>
    <t>Samidin</t>
  </si>
  <si>
    <t>520101 1211840002</t>
  </si>
  <si>
    <t>520101 7112810088</t>
  </si>
  <si>
    <t>Muharodi</t>
  </si>
  <si>
    <t>520101 0510990003</t>
  </si>
  <si>
    <t>Saebah</t>
  </si>
  <si>
    <t>Mutawalli</t>
  </si>
  <si>
    <t>520101 0107770262</t>
  </si>
  <si>
    <t>Hikmah</t>
  </si>
  <si>
    <t>520101 4812870004</t>
  </si>
  <si>
    <t>Lina Sulistiana</t>
  </si>
  <si>
    <t>520101 7001130001</t>
  </si>
  <si>
    <t>Supardi</t>
  </si>
  <si>
    <t>520101 3112710071</t>
  </si>
  <si>
    <t>Sahnim</t>
  </si>
  <si>
    <t>520101 7112720001</t>
  </si>
  <si>
    <t>Rizal Andri</t>
  </si>
  <si>
    <t>520101 1607900001</t>
  </si>
  <si>
    <t>Jeki Hariadi</t>
  </si>
  <si>
    <t>Toni</t>
  </si>
  <si>
    <t>Nurhidayati</t>
  </si>
  <si>
    <t>Hoh Yusron Watoni</t>
  </si>
  <si>
    <t>Amenah</t>
  </si>
  <si>
    <t>520101 7112570066</t>
  </si>
  <si>
    <t>520101 0107760057</t>
  </si>
  <si>
    <t xml:space="preserve">Azra Alesha Henna Kultum </t>
  </si>
  <si>
    <t>Lukman</t>
  </si>
  <si>
    <t>Rameni</t>
  </si>
  <si>
    <t>Budiman Rizaldi</t>
  </si>
  <si>
    <t>Ruslan Jayadi</t>
  </si>
  <si>
    <t>520101 2907960001</t>
  </si>
  <si>
    <t>Radiah</t>
  </si>
  <si>
    <t>Budiah</t>
  </si>
  <si>
    <t>Masidah</t>
  </si>
  <si>
    <t>Makiyah</t>
  </si>
  <si>
    <t>Mislah</t>
  </si>
  <si>
    <t>Lain-Lain</t>
  </si>
  <si>
    <t>520101 4405750002</t>
  </si>
  <si>
    <t>520101 0107720183</t>
  </si>
  <si>
    <t>Sakrah</t>
  </si>
  <si>
    <t>520101 4107730432</t>
  </si>
  <si>
    <t>Julia Sari</t>
  </si>
  <si>
    <t>Siti Aisyah</t>
  </si>
  <si>
    <t>Rosaal Jannah</t>
  </si>
  <si>
    <t>Sahwin</t>
  </si>
  <si>
    <t>520101 1712780002</t>
  </si>
  <si>
    <t>Mahnep</t>
  </si>
  <si>
    <t>520101 3112000010</t>
  </si>
  <si>
    <t>520101 3112770003</t>
  </si>
  <si>
    <t>Maryam</t>
  </si>
  <si>
    <t>520101 1009010002</t>
  </si>
  <si>
    <t>520101 2011080002</t>
  </si>
  <si>
    <t>31-21-1956</t>
  </si>
  <si>
    <t>Lain-lain</t>
  </si>
  <si>
    <t>Sanusi</t>
  </si>
  <si>
    <t>Munaah</t>
  </si>
  <si>
    <t>Maulidiani</t>
  </si>
  <si>
    <t>Anan</t>
  </si>
  <si>
    <t>Ramenah</t>
  </si>
  <si>
    <t>Muhammad Reza</t>
  </si>
  <si>
    <t>520101 0107670379</t>
  </si>
  <si>
    <t>Maenah</t>
  </si>
  <si>
    <t>520101 4107690219</t>
  </si>
  <si>
    <t>Rupai</t>
  </si>
  <si>
    <t>Sahnah</t>
  </si>
  <si>
    <t>Muhajirin</t>
  </si>
  <si>
    <t>520101 8712910001</t>
  </si>
  <si>
    <t>Muhammad Rizki</t>
  </si>
  <si>
    <t>520101 1608740001</t>
  </si>
  <si>
    <t>Muliyati</t>
  </si>
  <si>
    <t>520101 1108970001</t>
  </si>
  <si>
    <t>Maylara</t>
  </si>
  <si>
    <t>Salehun</t>
  </si>
  <si>
    <t>Wahyudi Utama</t>
  </si>
  <si>
    <t>Husni Thamrin</t>
  </si>
  <si>
    <t>520101 0808630001</t>
  </si>
  <si>
    <t>Gita Rohani</t>
  </si>
  <si>
    <t>520101 1510871001</t>
  </si>
  <si>
    <t>Adhya Setia Pratama</t>
  </si>
  <si>
    <t>520101 2012910001</t>
  </si>
  <si>
    <t>Andra Dwi Satria</t>
  </si>
  <si>
    <t>520101 2012950001</t>
  </si>
  <si>
    <t>Yuanita Harisa Maulidya</t>
  </si>
  <si>
    <t>520101 6406990001</t>
  </si>
  <si>
    <t>Loherli</t>
  </si>
  <si>
    <t>Musleh</t>
  </si>
  <si>
    <t>Abdul Waris</t>
  </si>
  <si>
    <t>Muhammad Rizkiawan</t>
  </si>
  <si>
    <t>Salihin</t>
  </si>
  <si>
    <t>520101 3112850023</t>
  </si>
  <si>
    <t>Muliani</t>
  </si>
  <si>
    <t>520101 6901880001</t>
  </si>
  <si>
    <t>Afdal Rizki Ali Ikhsan</t>
  </si>
  <si>
    <t>520101 0804140001</t>
  </si>
  <si>
    <t>Mustamin</t>
  </si>
  <si>
    <t>Murni</t>
  </si>
  <si>
    <t>Kahpi</t>
  </si>
  <si>
    <t>Meluk</t>
  </si>
  <si>
    <t>31-12-1942</t>
  </si>
  <si>
    <t>520101 4107620247</t>
  </si>
  <si>
    <t>520101 4404770001</t>
  </si>
  <si>
    <t>520101 0406990001</t>
  </si>
  <si>
    <t>Wahyu Sidiq</t>
  </si>
  <si>
    <t>520101 4210050001</t>
  </si>
  <si>
    <t>Suhrawardi</t>
  </si>
  <si>
    <t>Riasih</t>
  </si>
  <si>
    <t>Kordi</t>
  </si>
  <si>
    <t>Maisah</t>
  </si>
  <si>
    <t>520101 4107720454</t>
  </si>
  <si>
    <t>Esan</t>
  </si>
  <si>
    <t>520101 2112870005</t>
  </si>
  <si>
    <t>Saini</t>
  </si>
  <si>
    <t>520101 4107920092</t>
  </si>
  <si>
    <t>Reza Saputra</t>
  </si>
  <si>
    <t>520101 1005131001</t>
  </si>
  <si>
    <t>520101 1308720001</t>
  </si>
  <si>
    <t>Sayuni</t>
  </si>
  <si>
    <t>520101 3112671002</t>
  </si>
  <si>
    <t>Ramisah</t>
  </si>
  <si>
    <t>520101 7112721003</t>
  </si>
  <si>
    <t>520101 1012971001</t>
  </si>
  <si>
    <t>520101 2904051001</t>
  </si>
  <si>
    <t>Irawati</t>
  </si>
  <si>
    <t>Amira Nurmayani</t>
  </si>
  <si>
    <t>Sinalim</t>
  </si>
  <si>
    <t>520101 6112720001</t>
  </si>
  <si>
    <t>Rahman</t>
  </si>
  <si>
    <t>520101 3112650101</t>
  </si>
  <si>
    <t>Amnah</t>
  </si>
  <si>
    <t>520101 4107640501</t>
  </si>
  <si>
    <t>Mardiana</t>
  </si>
  <si>
    <t>520101 4108050004</t>
  </si>
  <si>
    <t>Mardiani</t>
  </si>
  <si>
    <t>520101 5403020003</t>
  </si>
  <si>
    <t>Inak Ukik</t>
  </si>
  <si>
    <t>520101 5201570001</t>
  </si>
  <si>
    <t>Baheriyah</t>
  </si>
  <si>
    <t>Saniah</t>
  </si>
  <si>
    <t>520101 0107570340</t>
  </si>
  <si>
    <t>Minesi</t>
  </si>
  <si>
    <t>520101 4107470044</t>
  </si>
  <si>
    <t>520101 3112761010</t>
  </si>
  <si>
    <t>Asmiatun</t>
  </si>
  <si>
    <t>520101 7112820206</t>
  </si>
  <si>
    <t>520101 6402131001</t>
  </si>
  <si>
    <t>Padlah</t>
  </si>
  <si>
    <t>520101 1201620002</t>
  </si>
  <si>
    <t>520101 7112600002</t>
  </si>
  <si>
    <t>Indrawati Aprilia</t>
  </si>
  <si>
    <t>520101 5804110001</t>
  </si>
  <si>
    <t>Saidun</t>
  </si>
  <si>
    <t>520101 3112500070</t>
  </si>
  <si>
    <t>Ani</t>
  </si>
  <si>
    <t>520101 7112520021</t>
  </si>
  <si>
    <t>Mayadi</t>
  </si>
  <si>
    <t>520101 3112820076</t>
  </si>
  <si>
    <t>Salamah</t>
  </si>
  <si>
    <t>Muhammad Nizam Bakri</t>
  </si>
  <si>
    <t>Hamdani</t>
  </si>
  <si>
    <t>Minartin</t>
  </si>
  <si>
    <t>520101 1802031001</t>
  </si>
  <si>
    <t>520101 2406091001</t>
  </si>
  <si>
    <t>DATA INDUK PENDUDUK KELURAHAN DASAN GERES</t>
  </si>
  <si>
    <t>Husne</t>
  </si>
  <si>
    <t>520101 4107700243</t>
  </si>
  <si>
    <t>Gusni</t>
  </si>
  <si>
    <t>520101 0107830116</t>
  </si>
  <si>
    <t>520101 6510830003</t>
  </si>
  <si>
    <t>Zurriyatun Toyyibah</t>
  </si>
  <si>
    <t>520101 5002090004</t>
  </si>
  <si>
    <t>Ilham</t>
  </si>
  <si>
    <t>520101 0111800001</t>
  </si>
  <si>
    <t>Maria Ulfa</t>
  </si>
  <si>
    <t>520101 5311050001</t>
  </si>
  <si>
    <t>Ainul Arifah</t>
  </si>
  <si>
    <t>520101 4209120002</t>
  </si>
  <si>
    <t>Uswatun Hasanah</t>
  </si>
  <si>
    <t>Almah</t>
  </si>
  <si>
    <t>520101 7112700186</t>
  </si>
  <si>
    <t>Ahyar Rosidi</t>
  </si>
  <si>
    <t>Musabbi Baskiar Hollid</t>
  </si>
  <si>
    <t>520101 1206090002</t>
  </si>
  <si>
    <t>520101 0107840438</t>
  </si>
  <si>
    <t>Yulianti</t>
  </si>
  <si>
    <t>520101 5707870004</t>
  </si>
  <si>
    <t>520101 2702130002</t>
  </si>
  <si>
    <t>Kecah</t>
  </si>
  <si>
    <t>Inaq Bah</t>
  </si>
  <si>
    <t>520101 4107400027</t>
  </si>
  <si>
    <t>Lia Izmi</t>
  </si>
  <si>
    <t>520101 0107610155</t>
  </si>
  <si>
    <t>Saibi</t>
  </si>
  <si>
    <t>520101 3112740142</t>
  </si>
  <si>
    <t>Maswah</t>
  </si>
  <si>
    <t>520101 7112740138</t>
  </si>
  <si>
    <t>Zulmarwatika</t>
  </si>
  <si>
    <t>520101 5504970001</t>
  </si>
  <si>
    <t>520101 5411110001</t>
  </si>
  <si>
    <t>Muhammad Hifdzi</t>
  </si>
  <si>
    <t>Bahmin</t>
  </si>
  <si>
    <t>520101 3112620014</t>
  </si>
  <si>
    <t>Khadijah</t>
  </si>
  <si>
    <t>520101 7112640024</t>
  </si>
  <si>
    <t>520101 1903990001</t>
  </si>
  <si>
    <t>520101 4503060001</t>
  </si>
  <si>
    <t>Samsul Hadi</t>
  </si>
  <si>
    <t>520101 2804140001</t>
  </si>
  <si>
    <t>Yudian Canda Pratama</t>
  </si>
  <si>
    <t>520101 2804140002</t>
  </si>
  <si>
    <t>Muhidi</t>
  </si>
  <si>
    <t>520101 1302820003</t>
  </si>
  <si>
    <t>Atik</t>
  </si>
  <si>
    <t>520101 5008990003</t>
  </si>
  <si>
    <t>520101 3112750041</t>
  </si>
  <si>
    <t>Rosida</t>
  </si>
  <si>
    <t>520101 7012950002</t>
  </si>
  <si>
    <t>Sahrun</t>
  </si>
  <si>
    <t>Sahiri</t>
  </si>
  <si>
    <t>520101 2805131001</t>
  </si>
  <si>
    <t>Mei</t>
  </si>
  <si>
    <t>Pendi</t>
  </si>
  <si>
    <t>520101 3112960031</t>
  </si>
  <si>
    <t>Muhammad  Idham</t>
  </si>
  <si>
    <t>520101 3112050005</t>
  </si>
  <si>
    <t>Sahnan</t>
  </si>
  <si>
    <t>520101 4107670843</t>
  </si>
  <si>
    <t>Mita Nurhayati</t>
  </si>
  <si>
    <t>520101 5005021002</t>
  </si>
  <si>
    <t>Janudin</t>
  </si>
  <si>
    <t>520101 3112870551</t>
  </si>
  <si>
    <t>Sabaah</t>
  </si>
  <si>
    <t>520101 5711920001</t>
  </si>
  <si>
    <t>Akila Mulia</t>
  </si>
  <si>
    <t>Marsuni</t>
  </si>
  <si>
    <t>520101 3112760030</t>
  </si>
  <si>
    <t>520101 7112780041</t>
  </si>
  <si>
    <t>Ismayani</t>
  </si>
  <si>
    <t>520101 5007990002</t>
  </si>
  <si>
    <t>Siskiawan</t>
  </si>
  <si>
    <t>520101 5405040001</t>
  </si>
  <si>
    <t>Kedun</t>
  </si>
  <si>
    <t>520101 0107720663</t>
  </si>
  <si>
    <t>Sakiah</t>
  </si>
  <si>
    <t>520101 4107640111</t>
  </si>
  <si>
    <t>520101 3112880177</t>
  </si>
  <si>
    <t>Isnawati</t>
  </si>
  <si>
    <t>520101 4807830004</t>
  </si>
  <si>
    <t>Muhammad Farhan Izwan</t>
  </si>
  <si>
    <t>520101 1402130004</t>
  </si>
  <si>
    <t>Imok Sanjaya</t>
  </si>
  <si>
    <t>Minrah</t>
  </si>
  <si>
    <t>Abdul Wahid</t>
  </si>
  <si>
    <t>Sofiani</t>
  </si>
  <si>
    <t>Rudiwi Jaya</t>
  </si>
  <si>
    <t>Indasah</t>
  </si>
  <si>
    <t>520101 0107700309</t>
  </si>
  <si>
    <t>Diki Wahyudi</t>
  </si>
  <si>
    <t>520101 0107990056</t>
  </si>
  <si>
    <t>520101 0107050293</t>
  </si>
  <si>
    <t>520101 7112621004</t>
  </si>
  <si>
    <t>Yusup S.Pd</t>
  </si>
  <si>
    <t>520101 3112841012</t>
  </si>
  <si>
    <t>Rita Wahyuni</t>
  </si>
  <si>
    <t>520101 7112931002</t>
  </si>
  <si>
    <t>Haji Yasin</t>
  </si>
  <si>
    <t>Sahabudin</t>
  </si>
  <si>
    <t>Pegawai lepas</t>
  </si>
  <si>
    <t>Nawisah</t>
  </si>
  <si>
    <t>520101 4107670612</t>
  </si>
  <si>
    <t>Markinun</t>
  </si>
  <si>
    <t>520101 3112780040</t>
  </si>
  <si>
    <t>Daah</t>
  </si>
  <si>
    <t>520101 7011780021</t>
  </si>
  <si>
    <t>Nasrah</t>
  </si>
  <si>
    <t>520101 3112571001</t>
  </si>
  <si>
    <t>Miyah</t>
  </si>
  <si>
    <t>520101 7112591001</t>
  </si>
  <si>
    <t>Hajjah Salma</t>
  </si>
  <si>
    <t>Murad Herli Ripai</t>
  </si>
  <si>
    <t>Hatniati</t>
  </si>
  <si>
    <t>Haerudin</t>
  </si>
  <si>
    <t>520101 7112870121</t>
  </si>
  <si>
    <t>Gina Ulan Herlina</t>
  </si>
  <si>
    <t>520101 6703120003</t>
  </si>
  <si>
    <t>Saludin</t>
  </si>
  <si>
    <t>520101 0503810003</t>
  </si>
  <si>
    <t>520101 7112850152</t>
  </si>
  <si>
    <t>Muhammad Kamarudin</t>
  </si>
  <si>
    <t>520101 0402000000</t>
  </si>
  <si>
    <t>Zaira</t>
  </si>
  <si>
    <t>Menah</t>
  </si>
  <si>
    <t>Zainudin</t>
  </si>
  <si>
    <t>520101 0107770295</t>
  </si>
  <si>
    <t>Kilam</t>
  </si>
  <si>
    <t>Rupawan</t>
  </si>
  <si>
    <t>520101 0107670663</t>
  </si>
  <si>
    <t>Sitah</t>
  </si>
  <si>
    <t>520101 4107720453</t>
  </si>
  <si>
    <t>Sartini</t>
  </si>
  <si>
    <t>520101 5002820004</t>
  </si>
  <si>
    <t>Rhasid Alfasi</t>
  </si>
  <si>
    <t>520101 1304120001</t>
  </si>
  <si>
    <t>Jamiludin</t>
  </si>
  <si>
    <t>Sriatun</t>
  </si>
  <si>
    <t>Nur Syazwatun Alyya</t>
  </si>
  <si>
    <t>520101 7010100001</t>
  </si>
  <si>
    <t>Tahlil</t>
  </si>
  <si>
    <t>Murini</t>
  </si>
  <si>
    <t>Yakub</t>
  </si>
  <si>
    <t>520101 2106880001</t>
  </si>
  <si>
    <t>520101 4212910001</t>
  </si>
  <si>
    <t>Mahrup</t>
  </si>
  <si>
    <t>Pajirah</t>
  </si>
  <si>
    <t>Tahsan</t>
  </si>
  <si>
    <t>Sahmin</t>
  </si>
  <si>
    <t>520101 3112800013</t>
  </si>
  <si>
    <t>Hamidah</t>
  </si>
  <si>
    <t>520101 7112820005</t>
  </si>
  <si>
    <t>Turmuzi</t>
  </si>
  <si>
    <t>520101 3112930002</t>
  </si>
  <si>
    <t>Doniman</t>
  </si>
  <si>
    <t>520101 3112000002</t>
  </si>
  <si>
    <t>520101 0107570361</t>
  </si>
  <si>
    <t>Akmaludin</t>
  </si>
  <si>
    <t>520101 0107700588</t>
  </si>
  <si>
    <t>520101 0107870214</t>
  </si>
  <si>
    <t>520101 2112890002</t>
  </si>
  <si>
    <t>Supiani</t>
  </si>
  <si>
    <t>520101 4503930001</t>
  </si>
  <si>
    <t>Muhammad Adnika</t>
  </si>
  <si>
    <t>520101 2608000002</t>
  </si>
  <si>
    <t>Haji Mustawan</t>
  </si>
  <si>
    <t>Hera</t>
  </si>
  <si>
    <t>520101 1603720001</t>
  </si>
  <si>
    <t>520101 4409790001</t>
  </si>
  <si>
    <t>520101 2808021001</t>
  </si>
  <si>
    <t>Milawati</t>
  </si>
  <si>
    <t>520101 5105081001</t>
  </si>
  <si>
    <t>520101 7001770001</t>
  </si>
  <si>
    <t>Heni Hidayanti</t>
  </si>
  <si>
    <t>520101 4109990008</t>
  </si>
  <si>
    <t>Kameran</t>
  </si>
  <si>
    <t>520101 4107470061</t>
  </si>
  <si>
    <t>Haji Mahsun</t>
  </si>
  <si>
    <t>520101 0408750001</t>
  </si>
  <si>
    <t>Hajjah Horiah</t>
  </si>
  <si>
    <t>520101 7112680010</t>
  </si>
  <si>
    <t>Zulkarnen</t>
  </si>
  <si>
    <t>520101 0306010001</t>
  </si>
  <si>
    <t>Haji Nasrudin</t>
  </si>
  <si>
    <t>Muzaki</t>
  </si>
  <si>
    <t>520101 2011861001</t>
  </si>
  <si>
    <t>Ita Afriani</t>
  </si>
  <si>
    <t>520101 4404951001</t>
  </si>
  <si>
    <t>Muhammad Zainul Farhan</t>
  </si>
  <si>
    <t>520101 2409131003</t>
  </si>
  <si>
    <t>Haji Ulul Azmi</t>
  </si>
  <si>
    <t>520101 3112590005</t>
  </si>
  <si>
    <t>520101 7112600005</t>
  </si>
  <si>
    <t>Ulul Azmi</t>
  </si>
  <si>
    <t>Fahrurrozi</t>
  </si>
  <si>
    <t>520101 0502870002</t>
  </si>
  <si>
    <t>Mariyati</t>
  </si>
  <si>
    <t>520101 5011850007</t>
  </si>
  <si>
    <t>Halawatul Fitri</t>
  </si>
  <si>
    <t>520101 6707140002</t>
  </si>
  <si>
    <t>Sahdi</t>
  </si>
  <si>
    <t>520101 1609700002</t>
  </si>
  <si>
    <t>Mainah</t>
  </si>
  <si>
    <t>Joko Sujiatmoko</t>
  </si>
  <si>
    <t>520101 1112820002</t>
  </si>
  <si>
    <t>Supiana</t>
  </si>
  <si>
    <t>520101 7112910044</t>
  </si>
  <si>
    <t>Ulfa Ramadina</t>
  </si>
  <si>
    <t>520101 4308110001</t>
  </si>
  <si>
    <t>Ulfi Ramadini</t>
  </si>
  <si>
    <t>520101 4308110002</t>
  </si>
  <si>
    <t>Ilma</t>
  </si>
  <si>
    <t>Sahni</t>
  </si>
  <si>
    <t>520101 0107520274</t>
  </si>
  <si>
    <t>520101 4107530257</t>
  </si>
  <si>
    <t>520101 4107820733</t>
  </si>
  <si>
    <t>Haji Mugni</t>
  </si>
  <si>
    <t>520101 1211850002</t>
  </si>
  <si>
    <t>Hajjah Muriah</t>
  </si>
  <si>
    <t>520101 7112860229</t>
  </si>
  <si>
    <t>Astamatul Hidayah</t>
  </si>
  <si>
    <t>520101 5009120004</t>
  </si>
  <si>
    <t>Husen</t>
  </si>
  <si>
    <t>Mukyah</t>
  </si>
  <si>
    <t>Hajjah Hayyun</t>
  </si>
  <si>
    <t>Belum Kawin</t>
  </si>
  <si>
    <t xml:space="preserve">Anak </t>
  </si>
  <si>
    <t>Burhan</t>
  </si>
  <si>
    <t>Sukria</t>
  </si>
  <si>
    <t>520101 110770288</t>
  </si>
  <si>
    <t>Janah</t>
  </si>
  <si>
    <t>Suparlan</t>
  </si>
  <si>
    <t>520101 3112981003</t>
  </si>
  <si>
    <t>Riatul Adaha</t>
  </si>
  <si>
    <t>520101 5010071001</t>
  </si>
  <si>
    <t>Haji Fahrul</t>
  </si>
  <si>
    <t>520101 0308680001</t>
  </si>
  <si>
    <t>Sahidin</t>
  </si>
  <si>
    <t>520101 1003790002</t>
  </si>
  <si>
    <t>Haerani</t>
  </si>
  <si>
    <t>520101 7112800173</t>
  </si>
  <si>
    <t>Qanita Majwa Khalisah</t>
  </si>
  <si>
    <t>520101 5412110002</t>
  </si>
  <si>
    <t>Aminah</t>
  </si>
  <si>
    <t>520101 3112670155</t>
  </si>
  <si>
    <t>Haji Nasir</t>
  </si>
  <si>
    <t>520101 1607720001</t>
  </si>
  <si>
    <t>520101 3012760001</t>
  </si>
  <si>
    <t>Ismie Aton Hasanah</t>
  </si>
  <si>
    <t>520101 5007990001</t>
  </si>
  <si>
    <t>Sulis No vita Dewi</t>
  </si>
  <si>
    <t>520101 5811080001</t>
  </si>
  <si>
    <t>520101 3112760073</t>
  </si>
  <si>
    <t>Aeniah</t>
  </si>
  <si>
    <t>Hajjah Maemunah</t>
  </si>
  <si>
    <t>Swasta</t>
  </si>
  <si>
    <t>520101 7112510010</t>
  </si>
  <si>
    <t>Zulkipli</t>
  </si>
  <si>
    <t>520101 3112850081</t>
  </si>
  <si>
    <t>Sudirman</t>
  </si>
  <si>
    <t>520101 0808900001</t>
  </si>
  <si>
    <t>Mugni</t>
  </si>
  <si>
    <t>Marwatika</t>
  </si>
  <si>
    <t>520101 4111780003</t>
  </si>
  <si>
    <t>Haji ANo ar Hadi</t>
  </si>
  <si>
    <t>520101 0107570345</t>
  </si>
  <si>
    <t>520101 4107620384</t>
  </si>
  <si>
    <t>Haji Budiman</t>
  </si>
  <si>
    <t>520101 3112850031</t>
  </si>
  <si>
    <t>Hajjah Raodah</t>
  </si>
  <si>
    <t>520101 4107570569</t>
  </si>
  <si>
    <t>Yusup</t>
  </si>
  <si>
    <t>520101 0412810091</t>
  </si>
  <si>
    <t>Ansori</t>
  </si>
  <si>
    <t>520101 5307880001</t>
  </si>
  <si>
    <t>Siti Auriya</t>
  </si>
  <si>
    <t>520101 4504090001</t>
  </si>
  <si>
    <t>Haji Suhaemi</t>
  </si>
  <si>
    <t>520101 0110730001</t>
  </si>
  <si>
    <t>Hajjah Nuraini</t>
  </si>
  <si>
    <t>520101 5203821001</t>
  </si>
  <si>
    <t>Wahyu Saputra</t>
  </si>
  <si>
    <t>520101 0707020002</t>
  </si>
  <si>
    <t>Raditia Adaha</t>
  </si>
  <si>
    <t>520101 1510131002</t>
  </si>
  <si>
    <t>Hajjah Huriyah</t>
  </si>
  <si>
    <t>520101 4107520251</t>
  </si>
  <si>
    <t>Hajjah Nurasiah</t>
  </si>
  <si>
    <t>520101 7112650113</t>
  </si>
  <si>
    <t>Ahmad Musihir</t>
  </si>
  <si>
    <t>Titik Dewi Jayanti</t>
  </si>
  <si>
    <t>520101 5505940002</t>
  </si>
  <si>
    <t>520101 3112670106</t>
  </si>
  <si>
    <t>Napsah</t>
  </si>
  <si>
    <t>520101 7112700213</t>
  </si>
  <si>
    <t>Muhasim</t>
  </si>
  <si>
    <t>520101 1405930003</t>
  </si>
  <si>
    <t>520101 0109720002</t>
  </si>
  <si>
    <t>520101 4802770001</t>
  </si>
  <si>
    <t>Muhammad Ibrahim</t>
  </si>
  <si>
    <t>520101 1201900006</t>
  </si>
  <si>
    <t>Masirah</t>
  </si>
  <si>
    <t>520101 5111920003</t>
  </si>
  <si>
    <t>Anita Agustina</t>
  </si>
  <si>
    <t>520101 4608100001</t>
  </si>
  <si>
    <t>Tiara Safitri</t>
  </si>
  <si>
    <t>520101 5810120001</t>
  </si>
  <si>
    <t>Haji Imam Muktamat</t>
  </si>
  <si>
    <t>520101 0107670383</t>
  </si>
  <si>
    <t>Hajjah Faoziah</t>
  </si>
  <si>
    <t>520101 4804690001</t>
  </si>
  <si>
    <t>Faoziah S.Pd</t>
  </si>
  <si>
    <t>520101 4107870453</t>
  </si>
  <si>
    <t>Naharudin</t>
  </si>
  <si>
    <t>520101 0103770021</t>
  </si>
  <si>
    <t>Haeriah</t>
  </si>
  <si>
    <t>520101 5502780001</t>
  </si>
  <si>
    <t>Ayu Rohmatul Umi</t>
  </si>
  <si>
    <t>520101 8207980001</t>
  </si>
  <si>
    <t>Imam Dwi Pebrian</t>
  </si>
  <si>
    <t>520101 1102050001</t>
  </si>
  <si>
    <t>Haji Marita</t>
  </si>
  <si>
    <t>520101 3112550097</t>
  </si>
  <si>
    <t>Mahnan</t>
  </si>
  <si>
    <t>520101 7112600143</t>
  </si>
  <si>
    <t>Padlawati</t>
  </si>
  <si>
    <t>520101 5304780001</t>
  </si>
  <si>
    <t>No vian Kamarudin</t>
  </si>
  <si>
    <t>520101 1811920007</t>
  </si>
  <si>
    <t>Wawan Satria Pratama</t>
  </si>
  <si>
    <t>520101 1405070005</t>
  </si>
  <si>
    <t>Saharudin</t>
  </si>
  <si>
    <t>520101 4504000004</t>
  </si>
  <si>
    <t>Saparudin</t>
  </si>
  <si>
    <t>520101 7112850083</t>
  </si>
  <si>
    <t>520101 4205100002</t>
  </si>
  <si>
    <t>520101 3112560055</t>
  </si>
  <si>
    <t>Sukinah</t>
  </si>
  <si>
    <t>520101 7112820142</t>
  </si>
  <si>
    <t>520101 4101820004</t>
  </si>
  <si>
    <t>520101 0107670708</t>
  </si>
  <si>
    <t>520101 4107770532</t>
  </si>
  <si>
    <t>Minaye</t>
  </si>
  <si>
    <t>Samsudin</t>
  </si>
  <si>
    <t>520101 3112600003</t>
  </si>
  <si>
    <t>Khalidi</t>
  </si>
  <si>
    <t>520101 2003840001</t>
  </si>
  <si>
    <t>520101 3112680126</t>
  </si>
  <si>
    <t>520101 7112710070</t>
  </si>
  <si>
    <t>Nursanti</t>
  </si>
  <si>
    <t>520101 5011990004</t>
  </si>
  <si>
    <t>Samiun</t>
  </si>
  <si>
    <t>520101 3112570008</t>
  </si>
  <si>
    <t>Mukminah</t>
  </si>
  <si>
    <t>520101 7112600008</t>
  </si>
  <si>
    <t>Ismiatun</t>
  </si>
  <si>
    <t>520101 4911920001</t>
  </si>
  <si>
    <t>Bihani</t>
  </si>
  <si>
    <t>Nadia Pebrianti</t>
  </si>
  <si>
    <t>520101 4702040001</t>
  </si>
  <si>
    <t>Sopian</t>
  </si>
  <si>
    <t>520101 2511820002</t>
  </si>
  <si>
    <t>520101 4107860450</t>
  </si>
  <si>
    <t>Siti Alini</t>
  </si>
  <si>
    <t>520101 6305090003</t>
  </si>
  <si>
    <t>Siti Alina</t>
  </si>
  <si>
    <t>520101 6305090002</t>
  </si>
  <si>
    <t>520101 1704770001</t>
  </si>
  <si>
    <t>520101 4910790001</t>
  </si>
  <si>
    <t>520101 1504000005</t>
  </si>
  <si>
    <t>520101 4103050003</t>
  </si>
  <si>
    <t>Hajjah Ropiah</t>
  </si>
  <si>
    <t>Mutmainah</t>
  </si>
  <si>
    <t>520101 7112670215</t>
  </si>
  <si>
    <t>Miwah</t>
  </si>
  <si>
    <t>520101 7112680214</t>
  </si>
  <si>
    <t>Masiah</t>
  </si>
  <si>
    <t>Sopian Hadi</t>
  </si>
  <si>
    <t>Lisa Septiani</t>
  </si>
  <si>
    <t>520101 0107570329</t>
  </si>
  <si>
    <t>Ramli</t>
  </si>
  <si>
    <t>520101 1207870001</t>
  </si>
  <si>
    <t>Mahuni</t>
  </si>
  <si>
    <t>520101 4312770001</t>
  </si>
  <si>
    <t>520101 3112741002</t>
  </si>
  <si>
    <t>Rihi</t>
  </si>
  <si>
    <t>520101 6508820001</t>
  </si>
  <si>
    <t>Eja Hidayah</t>
  </si>
  <si>
    <t>520101 4809991001</t>
  </si>
  <si>
    <t>Salwa Hidayah</t>
  </si>
  <si>
    <t>520101 6508111001</t>
  </si>
  <si>
    <t>Sakyah</t>
  </si>
  <si>
    <t>520101 0104470218</t>
  </si>
  <si>
    <t>520101 4107670179</t>
  </si>
  <si>
    <t>Silah</t>
  </si>
  <si>
    <t>520101 7113800080</t>
  </si>
  <si>
    <t>520101 3112700871</t>
  </si>
  <si>
    <t>Jamil</t>
  </si>
  <si>
    <t>520101 3012720001</t>
  </si>
  <si>
    <t>Johariyah</t>
  </si>
  <si>
    <t>520101 4607770001</t>
  </si>
  <si>
    <t>Dina Kholida</t>
  </si>
  <si>
    <t>520101 4202000001</t>
  </si>
  <si>
    <t>Dwi Algiputra</t>
  </si>
  <si>
    <t>520101 1301040001</t>
  </si>
  <si>
    <t>Haji Agus Azmi</t>
  </si>
  <si>
    <t>520101 1408770001</t>
  </si>
  <si>
    <t>Hajjah Nurul Hasanah</t>
  </si>
  <si>
    <t>520101 4512750001</t>
  </si>
  <si>
    <t>Aulia Annisa</t>
  </si>
  <si>
    <t>520101 4508990001</t>
  </si>
  <si>
    <t>Muhammad Gilang Mardatillah</t>
  </si>
  <si>
    <t>520101 2208020001</t>
  </si>
  <si>
    <t>Haji Hafiz</t>
  </si>
  <si>
    <t>520101 0107570343</t>
  </si>
  <si>
    <t>Hajjah Rohani</t>
  </si>
  <si>
    <t>520101 4107670608</t>
  </si>
  <si>
    <t>Munzir</t>
  </si>
  <si>
    <t>520101 3112820145</t>
  </si>
  <si>
    <t>Tutiq Alawiah</t>
  </si>
  <si>
    <t>520101 7112850191</t>
  </si>
  <si>
    <t>Melyzatun Maulia</t>
  </si>
  <si>
    <t>520101 4705131004</t>
  </si>
  <si>
    <t>Muhlis</t>
  </si>
  <si>
    <t>520101 0107670592</t>
  </si>
  <si>
    <t>520101 4608690001</t>
  </si>
  <si>
    <t>Mashur</t>
  </si>
  <si>
    <t>520101 1908840003</t>
  </si>
  <si>
    <t>Hayati</t>
  </si>
  <si>
    <t>520101 4207720001</t>
  </si>
  <si>
    <t>Suhaiwin</t>
  </si>
  <si>
    <t>520101 0812920001</t>
  </si>
  <si>
    <t>Hilman</t>
  </si>
  <si>
    <t>520101 0705030001</t>
  </si>
  <si>
    <t>Mahyun</t>
  </si>
  <si>
    <t>Darwan</t>
  </si>
  <si>
    <t>520101 3112680189</t>
  </si>
  <si>
    <t>520101 7112700239</t>
  </si>
  <si>
    <t>Marzuki</t>
  </si>
  <si>
    <t>520101 2104980003</t>
  </si>
  <si>
    <t>Muhadisin</t>
  </si>
  <si>
    <t>520101 2506010003</t>
  </si>
  <si>
    <t>Khaerani</t>
  </si>
  <si>
    <t>520101 0112020005</t>
  </si>
  <si>
    <t>Sahuri</t>
  </si>
  <si>
    <t>520101 0810830001</t>
  </si>
  <si>
    <t>520101 4107961003</t>
  </si>
  <si>
    <t>Mahnun</t>
  </si>
  <si>
    <t>520101 7112640058</t>
  </si>
  <si>
    <t>520101 1407920001</t>
  </si>
  <si>
    <t>Alia</t>
  </si>
  <si>
    <t>Amat</t>
  </si>
  <si>
    <t>Jumakyah</t>
  </si>
  <si>
    <t>520101 3112850000</t>
  </si>
  <si>
    <t>Suhaini</t>
  </si>
  <si>
    <t>520101 4101380002</t>
  </si>
  <si>
    <t>Wira Andani</t>
  </si>
  <si>
    <t>520101 2201130002</t>
  </si>
  <si>
    <t>520101 0309871001</t>
  </si>
  <si>
    <t>520101 5011881001</t>
  </si>
  <si>
    <t>Saumi Fitri</t>
  </si>
  <si>
    <t>520101 4708131003</t>
  </si>
  <si>
    <t>Mardiah</t>
  </si>
  <si>
    <t>520101 4107570116</t>
  </si>
  <si>
    <t>520101 0107570359</t>
  </si>
  <si>
    <t>520101 4412820003</t>
  </si>
  <si>
    <t>Mahsin</t>
  </si>
  <si>
    <t>520101 0122820001</t>
  </si>
  <si>
    <t>520101 8503800021</t>
  </si>
  <si>
    <t>Muhammad Irwan Karomi</t>
  </si>
  <si>
    <t>520101 0204100002</t>
  </si>
  <si>
    <t>Sariah</t>
  </si>
  <si>
    <t>Tahmin</t>
  </si>
  <si>
    <t>Siti Aisah</t>
  </si>
  <si>
    <t>Haji Sukur</t>
  </si>
  <si>
    <t>Imran</t>
  </si>
  <si>
    <t>Rohimah</t>
  </si>
  <si>
    <t>Saenudin</t>
  </si>
  <si>
    <t>520101 0107620440</t>
  </si>
  <si>
    <t>Sene</t>
  </si>
  <si>
    <t>520101 4107670163</t>
  </si>
  <si>
    <t>Raini</t>
  </si>
  <si>
    <t>520101 5210800002</t>
  </si>
  <si>
    <t>Mahsan</t>
  </si>
  <si>
    <t>520101 4107670548</t>
  </si>
  <si>
    <t>Susah</t>
  </si>
  <si>
    <t>Haji Haris</t>
  </si>
  <si>
    <t>520101 3112280175</t>
  </si>
  <si>
    <t>Siti Nurhidayah</t>
  </si>
  <si>
    <t>520101 0107800391</t>
  </si>
  <si>
    <t>Raodah</t>
  </si>
  <si>
    <t>520101 4107820688</t>
  </si>
  <si>
    <t>Raodatul Utari</t>
  </si>
  <si>
    <t>Esah</t>
  </si>
  <si>
    <t>520101 4107570129</t>
  </si>
  <si>
    <t>Ka’amida</t>
  </si>
  <si>
    <t>520101 4910121001</t>
  </si>
  <si>
    <t>Eson</t>
  </si>
  <si>
    <t>520101 7112450016</t>
  </si>
  <si>
    <t>Iswandi</t>
  </si>
  <si>
    <t>520101 1412870003</t>
  </si>
  <si>
    <t>Ana Muliana</t>
  </si>
  <si>
    <t>520101 7112910047</t>
  </si>
  <si>
    <t>520101 3012110001</t>
  </si>
  <si>
    <t>Rismayadi</t>
  </si>
  <si>
    <t>Mita</t>
  </si>
  <si>
    <t>Melina Rosa</t>
  </si>
  <si>
    <t>520101 3112820070</t>
  </si>
  <si>
    <t>520101 7112840104</t>
  </si>
  <si>
    <t>Sarokyah</t>
  </si>
  <si>
    <t>Raonah</t>
  </si>
  <si>
    <t>Muhammad Rapida</t>
  </si>
  <si>
    <t>Nuraini</t>
  </si>
  <si>
    <t>Haji Zulkipli</t>
  </si>
  <si>
    <t>520101 3112840017</t>
  </si>
  <si>
    <t>Maskanah</t>
  </si>
  <si>
    <t>520101 7112870026</t>
  </si>
  <si>
    <t>Citra Amira Najwa</t>
  </si>
  <si>
    <t>520101 4812070001</t>
  </si>
  <si>
    <t>Ahmad Kholid</t>
  </si>
  <si>
    <t>520101 0610120001</t>
  </si>
  <si>
    <t>Haji Halil</t>
  </si>
  <si>
    <t>520101 3112570052</t>
  </si>
  <si>
    <t>Hajjah Nurul Atni</t>
  </si>
  <si>
    <t>520101 7112790135</t>
  </si>
  <si>
    <t>Haji Sopian</t>
  </si>
  <si>
    <t>Hendra</t>
  </si>
  <si>
    <t>520101 3112870030</t>
  </si>
  <si>
    <t>Baiq Aniswatun</t>
  </si>
  <si>
    <t>520101 5010900004</t>
  </si>
  <si>
    <t>Vita Rohima</t>
  </si>
  <si>
    <t>520101 6503100002</t>
  </si>
  <si>
    <t>520101 0107470241</t>
  </si>
  <si>
    <t>Kamariah</t>
  </si>
  <si>
    <t>520101 4107720462</t>
  </si>
  <si>
    <t>520101 0107620139</t>
  </si>
  <si>
    <t>Lili Hernawati</t>
  </si>
  <si>
    <t>Sahidir</t>
  </si>
  <si>
    <t>520101 1912870002</t>
  </si>
  <si>
    <t>Nurjannah S.Pd</t>
  </si>
  <si>
    <t>520101 2468870002</t>
  </si>
  <si>
    <t>Padilalizamul Ilmi</t>
  </si>
  <si>
    <t>520101 6511130003</t>
  </si>
  <si>
    <t>Kiyah</t>
  </si>
  <si>
    <t>520101 4107470215</t>
  </si>
  <si>
    <t>Saimok</t>
  </si>
  <si>
    <t>Zaenudin Arif</t>
  </si>
  <si>
    <t>520101 0706930003</t>
  </si>
  <si>
    <t>Muliati</t>
  </si>
  <si>
    <t>520101 7112951008</t>
  </si>
  <si>
    <t>520101 1808140003</t>
  </si>
  <si>
    <t>520101 1401730001</t>
  </si>
  <si>
    <t>Sai’in</t>
  </si>
  <si>
    <t>520101 7112650001</t>
  </si>
  <si>
    <t>Horianti</t>
  </si>
  <si>
    <t>520101 4708990001</t>
  </si>
  <si>
    <t>Miskiah</t>
  </si>
  <si>
    <t>Muhammad Haerul Fikri</t>
  </si>
  <si>
    <t>520101 2703820001</t>
  </si>
  <si>
    <t>Diani</t>
  </si>
  <si>
    <t>520101 4612870002</t>
  </si>
  <si>
    <t>Heru Septiawan</t>
  </si>
  <si>
    <t>520101 2609080002</t>
  </si>
  <si>
    <t>Muhammad Haekal</t>
  </si>
  <si>
    <t>Muslehudin</t>
  </si>
  <si>
    <t>Haji Saripudin</t>
  </si>
  <si>
    <t>Haji Satar</t>
  </si>
  <si>
    <t>520101 3112400041</t>
  </si>
  <si>
    <t>Hajjah Kasipah</t>
  </si>
  <si>
    <t>520101 7112490028</t>
  </si>
  <si>
    <t>520101 1611770001</t>
  </si>
  <si>
    <t>520101 7112770058</t>
  </si>
  <si>
    <t>Muhson</t>
  </si>
  <si>
    <t>520101 0107940383</t>
  </si>
  <si>
    <t>Marwadi</t>
  </si>
  <si>
    <t>520101 3112600161</t>
  </si>
  <si>
    <t>Saenal</t>
  </si>
  <si>
    <t>520101 7112730111</t>
  </si>
  <si>
    <t>Muhammad Aziz</t>
  </si>
  <si>
    <t>520101 3112840140</t>
  </si>
  <si>
    <t>Rizaldi</t>
  </si>
  <si>
    <t>520101 0010980001</t>
  </si>
  <si>
    <t>Aceh</t>
  </si>
  <si>
    <t>520101 3112570060</t>
  </si>
  <si>
    <t>Ibah</t>
  </si>
  <si>
    <t>520101 4401720002</t>
  </si>
  <si>
    <t>Kenduk</t>
  </si>
  <si>
    <t>Suparman</t>
  </si>
  <si>
    <t>520101 1705900001</t>
  </si>
  <si>
    <t>Riska Nurul Yakin</t>
  </si>
  <si>
    <t>520101 6209930001</t>
  </si>
  <si>
    <t>Hairul Rahman</t>
  </si>
  <si>
    <t>520101 2705140002</t>
  </si>
  <si>
    <t>520101 0709910001</t>
  </si>
  <si>
    <t>Un’ Aini</t>
  </si>
  <si>
    <t>520101 7012950004</t>
  </si>
  <si>
    <t>520101 0308130001</t>
  </si>
  <si>
    <t>520101 2002730001</t>
  </si>
  <si>
    <t>Putri</t>
  </si>
  <si>
    <t>Bah</t>
  </si>
  <si>
    <t>520101 0605770001</t>
  </si>
  <si>
    <t>520101 6601820002</t>
  </si>
  <si>
    <t>520101 0610720001</t>
  </si>
  <si>
    <t>Yuliamah</t>
  </si>
  <si>
    <t>520101 5004950002</t>
  </si>
  <si>
    <t>520101 1901880001</t>
  </si>
  <si>
    <t>Rohaini</t>
  </si>
  <si>
    <t>520101 8911990001</t>
  </si>
  <si>
    <t>Devi Salsabila</t>
  </si>
  <si>
    <t>520101 5912120001</t>
  </si>
  <si>
    <t>Ipah</t>
  </si>
  <si>
    <t>Ramelah</t>
  </si>
  <si>
    <t>520101 0901950001</t>
  </si>
  <si>
    <t>Satman</t>
  </si>
  <si>
    <t>520101 3112851009</t>
  </si>
  <si>
    <t>Surni</t>
  </si>
  <si>
    <t>520101 7112861006</t>
  </si>
  <si>
    <t>520101 6610081001</t>
  </si>
  <si>
    <t>520101 7012461001</t>
  </si>
  <si>
    <t>Haji Baharudin</t>
  </si>
  <si>
    <t>520101 0107870388</t>
  </si>
  <si>
    <t>Hajjah Marwahidah</t>
  </si>
  <si>
    <t>520101 4107820385</t>
  </si>
  <si>
    <t>Suherli</t>
  </si>
  <si>
    <t>520101 3006770001</t>
  </si>
  <si>
    <t>Muriah</t>
  </si>
  <si>
    <t>520101 5112770001</t>
  </si>
  <si>
    <t>Muhammad Suhendra</t>
  </si>
  <si>
    <t>520101 0501980002</t>
  </si>
  <si>
    <t>Dwi Handika Saputra</t>
  </si>
  <si>
    <t>520101 2512080001</t>
  </si>
  <si>
    <t>Jalaludin</t>
  </si>
  <si>
    <t>520101 1303720001</t>
  </si>
  <si>
    <t>520101 4510770001</t>
  </si>
  <si>
    <t>Nurfatilawati</t>
  </si>
  <si>
    <t>520101 4208050001</t>
  </si>
  <si>
    <t>Munah</t>
  </si>
  <si>
    <t>Muhibin</t>
  </si>
  <si>
    <t>520101 1512810002</t>
  </si>
  <si>
    <t>520101 6505880002</t>
  </si>
  <si>
    <t>Muhammad Zulfa Haibin</t>
  </si>
  <si>
    <t>520101 7501100002</t>
  </si>
  <si>
    <t>Cinok</t>
  </si>
  <si>
    <t>520101 0107520259</t>
  </si>
  <si>
    <t>Muhsinin</t>
  </si>
  <si>
    <t>520101 1204970001</t>
  </si>
  <si>
    <t>Hunaen</t>
  </si>
  <si>
    <t>520101 1104771001</t>
  </si>
  <si>
    <t>520101 6004871001</t>
  </si>
  <si>
    <t>520101 4303101001</t>
  </si>
  <si>
    <t>Muhammad Hanafi</t>
  </si>
  <si>
    <t>520101 0805111001</t>
  </si>
  <si>
    <t>520101 4904790003</t>
  </si>
  <si>
    <t>520101 1002930004</t>
  </si>
  <si>
    <t>520101 0101081001</t>
  </si>
  <si>
    <t>Rasidah</t>
  </si>
  <si>
    <t>520101 107570365</t>
  </si>
  <si>
    <t>Fadhil</t>
  </si>
  <si>
    <t>520101 3112861025</t>
  </si>
  <si>
    <t>520101 7112921007</t>
  </si>
  <si>
    <t>Naufal Arrasid</t>
  </si>
  <si>
    <t>Ayub</t>
  </si>
  <si>
    <t>520101 3112650125</t>
  </si>
  <si>
    <t>Joni Iskandar</t>
  </si>
  <si>
    <t>520101 0210850002</t>
  </si>
  <si>
    <t>520101 2112820001</t>
  </si>
  <si>
    <t>520101 4107870454</t>
  </si>
  <si>
    <t>520101 6305120001</t>
  </si>
  <si>
    <t>520101 0107720188</t>
  </si>
  <si>
    <t>Caah</t>
  </si>
  <si>
    <t>520101 4107770526</t>
  </si>
  <si>
    <t>Jamiah</t>
  </si>
  <si>
    <t>520101 7112400045</t>
  </si>
  <si>
    <t>520101 3112670107</t>
  </si>
  <si>
    <t>520101 7112760124</t>
  </si>
  <si>
    <t>Cenim</t>
  </si>
  <si>
    <t>520101 4107570389</t>
  </si>
  <si>
    <t>520101 5303890001</t>
  </si>
  <si>
    <t>Sokni</t>
  </si>
  <si>
    <t>520101 6209880001</t>
  </si>
  <si>
    <t>520101 1102070001</t>
  </si>
  <si>
    <t>520101 3112780010</t>
  </si>
  <si>
    <t>Rohaeni</t>
  </si>
  <si>
    <t>520101 1904990021</t>
  </si>
  <si>
    <t>Abdul Muziz Firdaus</t>
  </si>
  <si>
    <t>520101 2407090022</t>
  </si>
  <si>
    <t>520101 0107870253</t>
  </si>
  <si>
    <t>Saodah</t>
  </si>
  <si>
    <t>520101 4107910123</t>
  </si>
  <si>
    <t>520101 4202100005</t>
  </si>
  <si>
    <t>Haji Asmuni</t>
  </si>
  <si>
    <t>520101 3112580005</t>
  </si>
  <si>
    <t>Baiq Mardiah</t>
  </si>
  <si>
    <t>Rohini</t>
  </si>
  <si>
    <t>520101 7112750028</t>
  </si>
  <si>
    <t>Suriani</t>
  </si>
  <si>
    <t>520101 7112850032</t>
  </si>
  <si>
    <t>520101 3112890021</t>
  </si>
  <si>
    <t>Asniah</t>
  </si>
  <si>
    <t>SMA/SLTA</t>
  </si>
  <si>
    <t>520101 2005920003</t>
  </si>
  <si>
    <t>520101 0107570330</t>
  </si>
  <si>
    <t>520101 4107620255</t>
  </si>
  <si>
    <t>Haji Abdul Aziz</t>
  </si>
  <si>
    <t>Hajjah Ulfayani</t>
  </si>
  <si>
    <t>Zulfasriani Dewi</t>
  </si>
  <si>
    <t>Aulia Apriani</t>
  </si>
  <si>
    <t>Haji Harmaen</t>
  </si>
  <si>
    <t>520101 3112400016</t>
  </si>
  <si>
    <t>520101 7112530007</t>
  </si>
  <si>
    <t>Haji Hendrawan Aziz</t>
  </si>
  <si>
    <t>520101 1102820001</t>
  </si>
  <si>
    <t>Haji Taharidin</t>
  </si>
  <si>
    <t>520101 3112400012</t>
  </si>
  <si>
    <t>Peni</t>
  </si>
  <si>
    <t>520101 7112420101</t>
  </si>
  <si>
    <t>520101 7112820018</t>
  </si>
  <si>
    <t>520101 7112840117</t>
  </si>
  <si>
    <t>520101 3112850043</t>
  </si>
  <si>
    <t>Mustaal</t>
  </si>
  <si>
    <t>520101 3112800029</t>
  </si>
  <si>
    <t>Mueni</t>
  </si>
  <si>
    <t>520101 107730002</t>
  </si>
  <si>
    <t>Wahyuni</t>
  </si>
  <si>
    <t>520101 4208790001</t>
  </si>
  <si>
    <t>Muhammad Aguswari Ardiansyah</t>
  </si>
  <si>
    <t>520101 1708000002</t>
  </si>
  <si>
    <t>Ulmida Oktaviana</t>
  </si>
  <si>
    <t>520101 5710120001</t>
  </si>
  <si>
    <t>520101 4107520320</t>
  </si>
  <si>
    <t>520101 0709870001</t>
  </si>
  <si>
    <t>520101 4107620262</t>
  </si>
  <si>
    <t>Husniah</t>
  </si>
  <si>
    <t>520101 6411900001</t>
  </si>
  <si>
    <t>Suriatiniya</t>
  </si>
  <si>
    <t>520101 7112620139</t>
  </si>
  <si>
    <t>Dedi Hartono</t>
  </si>
  <si>
    <t>520101 3112930067</t>
  </si>
  <si>
    <t>Dahrim</t>
  </si>
  <si>
    <t>Nurmin</t>
  </si>
  <si>
    <t>520101 7112570080</t>
  </si>
  <si>
    <t>Jinmin</t>
  </si>
  <si>
    <t>520101 0104820005</t>
  </si>
  <si>
    <t>Desi Mayani</t>
  </si>
  <si>
    <t>520101 7112870211</t>
  </si>
  <si>
    <t>520101 0906131001</t>
  </si>
  <si>
    <t>Rusdi</t>
  </si>
  <si>
    <t>520101 0107720206</t>
  </si>
  <si>
    <t>520101 4107770553</t>
  </si>
  <si>
    <t>520101 3110931001</t>
  </si>
  <si>
    <t>Sarpiana</t>
  </si>
  <si>
    <t>520101 2508091001</t>
  </si>
  <si>
    <t>Muhammad Ilyas</t>
  </si>
  <si>
    <t>520101 1406131001</t>
  </si>
  <si>
    <t>Rimah</t>
  </si>
  <si>
    <t>Ayim</t>
  </si>
  <si>
    <t>520101 0107620046</t>
  </si>
  <si>
    <t>520101 1410870001</t>
  </si>
  <si>
    <t>520101 1001770001</t>
  </si>
  <si>
    <t>Samariyah</t>
  </si>
  <si>
    <t>520101 5606861001</t>
  </si>
  <si>
    <t>Siti Sadariyah</t>
  </si>
  <si>
    <t>520101 4206981001</t>
  </si>
  <si>
    <t>Siti Suhada</t>
  </si>
  <si>
    <t>520101 5908041001</t>
  </si>
  <si>
    <t>Hajjah Nurhasanah</t>
  </si>
  <si>
    <t>Adi Juana Kusuma</t>
  </si>
  <si>
    <t>Muhammad Maliki</t>
  </si>
  <si>
    <t>Hambali</t>
  </si>
  <si>
    <t>Aulia Hilmiati</t>
  </si>
  <si>
    <t>520101 0406720002</t>
  </si>
  <si>
    <t>520101 5005810005</t>
  </si>
  <si>
    <t>Heni Hayani</t>
  </si>
  <si>
    <t>520101 6508970002</t>
  </si>
  <si>
    <t>520101 2005010002</t>
  </si>
  <si>
    <t>Senun</t>
  </si>
  <si>
    <t>520101 2011580002</t>
  </si>
  <si>
    <t>Mairah</t>
  </si>
  <si>
    <t>520101 4603600001</t>
  </si>
  <si>
    <t>Muhnah</t>
  </si>
  <si>
    <t>520101 2307850001</t>
  </si>
  <si>
    <t>Nasrulah</t>
  </si>
  <si>
    <t>520101 2307950001</t>
  </si>
  <si>
    <t>Redoan</t>
  </si>
  <si>
    <t>520101 0107570341</t>
  </si>
  <si>
    <t>520101 4107670605</t>
  </si>
  <si>
    <t>520101 7112580015</t>
  </si>
  <si>
    <t>Batiah</t>
  </si>
  <si>
    <t>Juriah</t>
  </si>
  <si>
    <t>520101 4603720003</t>
  </si>
  <si>
    <t>Mas’a</t>
  </si>
  <si>
    <t>Nurhidayanti</t>
  </si>
  <si>
    <t>Muhammad Zulhikam</t>
  </si>
  <si>
    <t>Haji Abdul Manaf</t>
  </si>
  <si>
    <t>520101 3112570046</t>
  </si>
  <si>
    <t>Ma’anani</t>
  </si>
  <si>
    <t>520101 7112580044</t>
  </si>
  <si>
    <t>520101 1308900005</t>
  </si>
  <si>
    <t>Muhammad Ahyar Rosidi</t>
  </si>
  <si>
    <t>520101 1711000002</t>
  </si>
  <si>
    <t>Nasrudin</t>
  </si>
  <si>
    <t>Siah</t>
  </si>
  <si>
    <t>520101 7112590025</t>
  </si>
  <si>
    <t>520101 7112770057</t>
  </si>
  <si>
    <t>520101 6110940002</t>
  </si>
  <si>
    <t>Hajjah Muhar</t>
  </si>
  <si>
    <t>520101 4107570199</t>
  </si>
  <si>
    <t>520101 7112630310</t>
  </si>
  <si>
    <t>520101 3112650070</t>
  </si>
  <si>
    <t>520101 7112660034</t>
  </si>
  <si>
    <t>Suhaebon</t>
  </si>
  <si>
    <t>520101 0606910002</t>
  </si>
  <si>
    <t>520101 4707950005</t>
  </si>
  <si>
    <t>Abdul Hayati</t>
  </si>
  <si>
    <t>520101 3112850123</t>
  </si>
  <si>
    <t>Istihani</t>
  </si>
  <si>
    <t>520101 5502800008</t>
  </si>
  <si>
    <t>Amera Khanza Adila</t>
  </si>
  <si>
    <t>520101 6310120001</t>
  </si>
  <si>
    <t>520101 0107570365</t>
  </si>
  <si>
    <t>520101 4107620393</t>
  </si>
  <si>
    <t>Rosihun</t>
  </si>
  <si>
    <t>520101 2110910001</t>
  </si>
  <si>
    <t>Jamilah</t>
  </si>
  <si>
    <t>520101 4404940001</t>
  </si>
  <si>
    <t>Haji Faozan</t>
  </si>
  <si>
    <t>Hajjah Haerani</t>
  </si>
  <si>
    <t>Hendri</t>
  </si>
  <si>
    <t>No.</t>
  </si>
  <si>
    <t>Nomor KK</t>
  </si>
  <si>
    <t>Jumlah Jiwa</t>
  </si>
  <si>
    <t>Nama Lengkap / Panggilan</t>
  </si>
  <si>
    <t>Lahir</t>
  </si>
  <si>
    <t>Tempat</t>
  </si>
  <si>
    <t>Tanggal</t>
  </si>
  <si>
    <t>Tahun</t>
  </si>
  <si>
    <t>Usia</t>
  </si>
  <si>
    <t>Etnis</t>
  </si>
  <si>
    <t>Jurusan</t>
  </si>
  <si>
    <t>Mental</t>
  </si>
  <si>
    <t>Fisik</t>
  </si>
  <si>
    <t>Cacat</t>
  </si>
  <si>
    <t>KTP/KIA</t>
  </si>
  <si>
    <t>Buku Nikah</t>
  </si>
  <si>
    <t>Akte Kelahiran</t>
  </si>
  <si>
    <t>Ada / Tidak</t>
  </si>
  <si>
    <t>520101 0503088485</t>
  </si>
  <si>
    <t>Bawak Gunung</t>
  </si>
  <si>
    <t>Sasak</t>
  </si>
  <si>
    <t>SD/SEDERAJAT</t>
  </si>
  <si>
    <t>Buruh Harian Lepas</t>
  </si>
  <si>
    <t>520101 4107620726</t>
  </si>
  <si>
    <t>Mengurus Rumah Tangga</t>
  </si>
  <si>
    <t>M. Daeffulloh</t>
  </si>
  <si>
    <t>BELUM TAMAT SD/SEDERAJAT</t>
  </si>
  <si>
    <t>Pelajar / Mahasiswa</t>
  </si>
  <si>
    <t>M. Ziadul Haq</t>
  </si>
  <si>
    <t>TIDAK/BELUM SEKOLAH</t>
  </si>
  <si>
    <t>Tidak Bekerja</t>
  </si>
  <si>
    <t>520101 0503089377</t>
  </si>
  <si>
    <t>520101 0107670673</t>
  </si>
  <si>
    <t>Sana'ah</t>
  </si>
  <si>
    <t>520101 4107670603</t>
  </si>
  <si>
    <t>520101 0908870001</t>
  </si>
  <si>
    <t>SLTP/SEDERAJAT</t>
  </si>
  <si>
    <t>520101 1076940001</t>
  </si>
  <si>
    <t>Aik Ampat</t>
  </si>
  <si>
    <t>SLTA/SEDERAJAT</t>
  </si>
  <si>
    <t>Belum / Tidak Bekerja</t>
  </si>
  <si>
    <t>520101 5502990003</t>
  </si>
  <si>
    <t>520101 0503088514</t>
  </si>
  <si>
    <t>520101 2802770001</t>
  </si>
  <si>
    <t>TAMAT SD/SEDERAJAT</t>
  </si>
  <si>
    <t>520101 4903870001</t>
  </si>
  <si>
    <t>Reyan</t>
  </si>
  <si>
    <t>Maulida Hafifin</t>
  </si>
  <si>
    <t>520101 7012000001</t>
  </si>
  <si>
    <t>Safa Mara'ah</t>
  </si>
  <si>
    <t>520101 5211100004</t>
  </si>
  <si>
    <t>520101 0602141007</t>
  </si>
  <si>
    <t>520101 0503089123</t>
  </si>
  <si>
    <t>Tukang Kayu</t>
  </si>
  <si>
    <t>520101 2311100046</t>
  </si>
  <si>
    <t>520101 3112600105</t>
  </si>
  <si>
    <t>Petani / Pekebun</t>
  </si>
  <si>
    <t>Nafisah</t>
  </si>
  <si>
    <t>520101 7112620051</t>
  </si>
  <si>
    <t>520101 1011900002</t>
  </si>
  <si>
    <t>520101 4505930003</t>
  </si>
  <si>
    <t>520101 0503089004</t>
  </si>
  <si>
    <t>Muna'ah</t>
  </si>
  <si>
    <t>Fitriah</t>
  </si>
  <si>
    <t>Juma'ah</t>
  </si>
  <si>
    <t>520101 0503088906</t>
  </si>
  <si>
    <t>Gumese</t>
  </si>
  <si>
    <t>520101 6609980001</t>
  </si>
  <si>
    <t>520101 6612070001</t>
  </si>
  <si>
    <t>520101 0106150009</t>
  </si>
  <si>
    <t>520101 4107620388</t>
  </si>
  <si>
    <t>Ahmad Zaenudin</t>
  </si>
  <si>
    <t>Nahjul Istiqomah</t>
  </si>
  <si>
    <t>520101 0503088748</t>
  </si>
  <si>
    <t>Salvita Sari</t>
  </si>
  <si>
    <t>520101 2312090044</t>
  </si>
  <si>
    <t>TIDAK/BLM SEKOLAH</t>
  </si>
  <si>
    <t>520101 0503088630</t>
  </si>
  <si>
    <t>520101 4107800361</t>
  </si>
  <si>
    <t>520101 4107030061</t>
  </si>
  <si>
    <t>M. Urwatil Wutsqo</t>
  </si>
  <si>
    <t>anak</t>
  </si>
  <si>
    <t>520101 1020170003</t>
  </si>
  <si>
    <t>520101 0503088645</t>
  </si>
  <si>
    <t>520101 0503088651</t>
  </si>
  <si>
    <t>520101 4107620500</t>
  </si>
  <si>
    <t>520101 2210180005</t>
  </si>
  <si>
    <t>Sarilah</t>
  </si>
  <si>
    <t>520101 0304770001</t>
  </si>
  <si>
    <t>Cemare</t>
  </si>
  <si>
    <t>Suahimi</t>
  </si>
  <si>
    <t>520101 0107950017</t>
  </si>
  <si>
    <t>520101 0107790351</t>
  </si>
  <si>
    <t>520101 4107820738</t>
  </si>
  <si>
    <t>Mesanggok</t>
  </si>
  <si>
    <t>520101 4107020179</t>
  </si>
  <si>
    <t>Muhamad Arkan</t>
  </si>
  <si>
    <t>Orang Tua</t>
  </si>
  <si>
    <t>520101 7112500214</t>
  </si>
  <si>
    <t>Cerai Mati</t>
  </si>
  <si>
    <t>520101 3103120011</t>
  </si>
  <si>
    <t>H. Agus Muliadi</t>
  </si>
  <si>
    <t>520101 0405800002</t>
  </si>
  <si>
    <t>Sweta</t>
  </si>
  <si>
    <t>Dewi Sekar Indrawati</t>
  </si>
  <si>
    <t>520101 5906050001</t>
  </si>
  <si>
    <t>Gerung</t>
  </si>
  <si>
    <t>Mertua</t>
  </si>
  <si>
    <t>Famili Lain</t>
  </si>
  <si>
    <t>520101 4107270016</t>
  </si>
  <si>
    <t>520101 0612090048</t>
  </si>
  <si>
    <t>Petani/Pekebun</t>
  </si>
  <si>
    <t>M. Suhaebon</t>
  </si>
  <si>
    <t>Suci Ramadani</t>
  </si>
  <si>
    <t>Cucu</t>
  </si>
  <si>
    <t>520101 0503088142</t>
  </si>
  <si>
    <t>M. Rendi</t>
  </si>
  <si>
    <t>520101 0503088120</t>
  </si>
  <si>
    <t>520101 0107670700</t>
  </si>
  <si>
    <t>520101 4107720494</t>
  </si>
  <si>
    <t>520101 4107890098</t>
  </si>
  <si>
    <t>Srikanti</t>
  </si>
  <si>
    <t>520101 4107930146</t>
  </si>
  <si>
    <t>Nita Utami</t>
  </si>
  <si>
    <t>M. Arki Mauladi</t>
  </si>
  <si>
    <t>520101 4107970349</t>
  </si>
  <si>
    <t>520101 0107030138</t>
  </si>
  <si>
    <t>Bile Kedit Selatan</t>
  </si>
  <si>
    <t>520101 2503089364</t>
  </si>
  <si>
    <t>Nursam</t>
  </si>
  <si>
    <t>520101 1012820001</t>
  </si>
  <si>
    <t>Ade Irmawati</t>
  </si>
  <si>
    <t>520101 4101951001</t>
  </si>
  <si>
    <t>Bile Kedit</t>
  </si>
  <si>
    <t>520101 0503089526</t>
  </si>
  <si>
    <t>520101 7112640009</t>
  </si>
  <si>
    <t>Menang Timur</t>
  </si>
  <si>
    <t>Belum /Tidak Bekerja</t>
  </si>
  <si>
    <t>520101 0703160002</t>
  </si>
  <si>
    <t>520101 1604890001</t>
  </si>
  <si>
    <t>Dasan Geres</t>
  </si>
  <si>
    <t>Siti Ulpina</t>
  </si>
  <si>
    <t>520101 0503088104</t>
  </si>
  <si>
    <t>520101 0205870001</t>
  </si>
  <si>
    <t>Rabi'ah</t>
  </si>
  <si>
    <t>520101 4601880001</t>
  </si>
  <si>
    <t>520101 0503089666</t>
  </si>
  <si>
    <t>Ma at</t>
  </si>
  <si>
    <t>Jenah</t>
  </si>
  <si>
    <t>520101 4107520246</t>
  </si>
  <si>
    <t>520101 0503088154</t>
  </si>
  <si>
    <t>520101 2007840002</t>
  </si>
  <si>
    <t>Rina</t>
  </si>
  <si>
    <t>520112 4107800386</t>
  </si>
  <si>
    <t>Karang Bayan</t>
  </si>
  <si>
    <t>520101 0503088778</t>
  </si>
  <si>
    <t>Cerai Hidup</t>
  </si>
  <si>
    <t>520101 2705130010</t>
  </si>
  <si>
    <t>520101 3103120008</t>
  </si>
  <si>
    <t>520101 3112600210</t>
  </si>
  <si>
    <t>520101 0108860003</t>
  </si>
  <si>
    <t>Menang</t>
  </si>
  <si>
    <t>520101 2003120014</t>
  </si>
  <si>
    <t>Sami'in</t>
  </si>
  <si>
    <t>520101 3112610083</t>
  </si>
  <si>
    <t>520101 040430008</t>
  </si>
  <si>
    <t>520101 0201120041</t>
  </si>
  <si>
    <t>520101 5703830001</t>
  </si>
  <si>
    <t>M. Wiliadi</t>
  </si>
  <si>
    <t>Saniatuzzakrah</t>
  </si>
  <si>
    <t>520101 6206100001</t>
  </si>
  <si>
    <t>Dasan Tebu</t>
  </si>
  <si>
    <t>520101 2709120087</t>
  </si>
  <si>
    <t>520101 2502150030</t>
  </si>
  <si>
    <t>520101 0503089437</t>
  </si>
  <si>
    <t>520101 2511090007</t>
  </si>
  <si>
    <t>Jenggala</t>
  </si>
  <si>
    <t>520101 3011690008</t>
  </si>
  <si>
    <t>520101 6009970001</t>
  </si>
  <si>
    <t>520101 1207110010</t>
  </si>
  <si>
    <t>520101 30101200039</t>
  </si>
  <si>
    <t>Bohari Bahman</t>
  </si>
  <si>
    <t>520101 6106050002</t>
  </si>
  <si>
    <t>Sahratun Nisa</t>
  </si>
  <si>
    <t>520101 4711140002</t>
  </si>
  <si>
    <t>520101 0503088176</t>
  </si>
  <si>
    <t>520101 0904150005</t>
  </si>
  <si>
    <t>520101 2709120084</t>
  </si>
  <si>
    <t>Mahnam</t>
  </si>
  <si>
    <t>520101 1909131017</t>
  </si>
  <si>
    <t>520101 0503088901</t>
  </si>
  <si>
    <t>Hilmiah</t>
  </si>
  <si>
    <t>Mujiburrahman</t>
  </si>
  <si>
    <t>520101 0111760003</t>
  </si>
  <si>
    <t>520101 4107820720</t>
  </si>
  <si>
    <t>520101 0107940277</t>
  </si>
  <si>
    <t>520101 0503088820</t>
  </si>
  <si>
    <t>Ariawan</t>
  </si>
  <si>
    <t>520101 0107670664</t>
  </si>
  <si>
    <t>Eva Maulida Putri</t>
  </si>
  <si>
    <t>Dinda Harfanti</t>
  </si>
  <si>
    <t>520101 0701100008</t>
  </si>
  <si>
    <t>520101 3112870021</t>
  </si>
  <si>
    <t>520101 4405900001</t>
  </si>
  <si>
    <t>520101 6001080001</t>
  </si>
  <si>
    <t>520101 6712150002</t>
  </si>
  <si>
    <t>Belum/Tidak Bekerja</t>
  </si>
  <si>
    <t>520101 2809120041</t>
  </si>
  <si>
    <t>Muhamad Yuki Akbar</t>
  </si>
  <si>
    <t>520101 1407130003</t>
  </si>
  <si>
    <t>Kediri</t>
  </si>
  <si>
    <t>520101 2701110070</t>
  </si>
  <si>
    <t>520101 3011090014</t>
  </si>
  <si>
    <t>520101 4305050001</t>
  </si>
  <si>
    <t>30 Desmber 1982</t>
  </si>
  <si>
    <t>520101 2910131006</t>
  </si>
  <si>
    <t>Pemasir</t>
  </si>
  <si>
    <t>Buruh Tani/Perkebunan</t>
  </si>
  <si>
    <t>520101 2611090009</t>
  </si>
  <si>
    <t>M. Havizan</t>
  </si>
  <si>
    <t>520101 1002820001</t>
  </si>
  <si>
    <t>520101 4017860063</t>
  </si>
  <si>
    <t>520101 412070002</t>
  </si>
  <si>
    <t>Pelajar/Mahasiswa</t>
  </si>
  <si>
    <t>520101 3011090058</t>
  </si>
  <si>
    <t>M. Sa'i</t>
  </si>
  <si>
    <t>520101 2501770003</t>
  </si>
  <si>
    <t>520101 7010850001</t>
  </si>
  <si>
    <t>520101 1008020002</t>
  </si>
  <si>
    <t>Murniati</t>
  </si>
  <si>
    <t>Rahul Huda</t>
  </si>
  <si>
    <t>520101 1808150004</t>
  </si>
  <si>
    <t>520101 1210750001</t>
  </si>
  <si>
    <t>520101 6508820002</t>
  </si>
  <si>
    <t>520101 0504020002</t>
  </si>
  <si>
    <t>520101 2705111469</t>
  </si>
  <si>
    <t>Rian Hidayat</t>
  </si>
  <si>
    <t>Muhamad Dian Hakiki</t>
  </si>
  <si>
    <t>520101 0107680342</t>
  </si>
  <si>
    <t>520101 4107770508</t>
  </si>
  <si>
    <t>520101 2405010001</t>
  </si>
  <si>
    <t>520101 2509090003</t>
  </si>
  <si>
    <t>520101 0111160005</t>
  </si>
  <si>
    <t>520101 7112710015</t>
  </si>
  <si>
    <t>Via Aprita Harlini</t>
  </si>
  <si>
    <t>Idham</t>
  </si>
  <si>
    <t>520101 0503088955</t>
  </si>
  <si>
    <t>520101 0107780051</t>
  </si>
  <si>
    <t>520101 4107800326</t>
  </si>
  <si>
    <t>520101 0307000003</t>
  </si>
  <si>
    <t>520101 6001090002</t>
  </si>
  <si>
    <t>520101 0503088804</t>
  </si>
  <si>
    <t>H Warid Junaidi</t>
  </si>
  <si>
    <t>Medina Waris</t>
  </si>
  <si>
    <t>520101 0107670665</t>
  </si>
  <si>
    <t>520101 4107700232</t>
  </si>
  <si>
    <t>520101 0107900086</t>
  </si>
  <si>
    <t>520101 0107980257</t>
  </si>
  <si>
    <t>520101 4107070136</t>
  </si>
  <si>
    <t>Muhamad Samsul Hadi</t>
  </si>
  <si>
    <t>520101 0503089050</t>
  </si>
  <si>
    <t>520101 0503088431</t>
  </si>
  <si>
    <t>Hasan Haliludin</t>
  </si>
  <si>
    <t>520101 0604150001</t>
  </si>
  <si>
    <t>520101 1017820576</t>
  </si>
  <si>
    <t>520101 4107870472</t>
  </si>
  <si>
    <t>520101 0201120025</t>
  </si>
  <si>
    <t>M.Farihan Putra Hidayatullah</t>
  </si>
  <si>
    <t>520101 0607150001</t>
  </si>
  <si>
    <t>Telotok</t>
  </si>
  <si>
    <t>520101 1803150024</t>
  </si>
  <si>
    <t>520101 1307150007</t>
  </si>
  <si>
    <t>520101 0708780004</t>
  </si>
  <si>
    <t>520101 5901890001</t>
  </si>
  <si>
    <t>Siti Rosyadah</t>
  </si>
  <si>
    <t>M. Wira Suntana</t>
  </si>
  <si>
    <t>520101 1911090054</t>
  </si>
  <si>
    <t>520101 1604770002</t>
  </si>
  <si>
    <t>520101 5106790001</t>
  </si>
  <si>
    <t>520101 4405980004</t>
  </si>
  <si>
    <t>520101 0904040001</t>
  </si>
  <si>
    <t>Haji Haeroni Hidattulloh</t>
  </si>
  <si>
    <t>520101 0503088975</t>
  </si>
  <si>
    <t>Buruh Tani/Perkebun</t>
  </si>
  <si>
    <t>520101 0503089130</t>
  </si>
  <si>
    <t>520101 1211090015</t>
  </si>
  <si>
    <t>Salimudin</t>
  </si>
  <si>
    <t>520101 2705760001</t>
  </si>
  <si>
    <t>520101 7112700017</t>
  </si>
  <si>
    <t>Muhamad Rofid Atabaruk</t>
  </si>
  <si>
    <t>520101 7004890002</t>
  </si>
  <si>
    <t>520101 3011130001</t>
  </si>
  <si>
    <t>520101 1505150003</t>
  </si>
  <si>
    <t>520101 1511160037</t>
  </si>
  <si>
    <t>Muhamad Rizki Ramdan</t>
  </si>
  <si>
    <t>520101 4312820001</t>
  </si>
  <si>
    <t>520101 1407120008</t>
  </si>
  <si>
    <t>520101 5603690001</t>
  </si>
  <si>
    <t>Aik Ampat Bawak Gunung</t>
  </si>
  <si>
    <t>H.  Rambli</t>
  </si>
  <si>
    <t>Yulia Sari</t>
  </si>
  <si>
    <t>520101 0102570001</t>
  </si>
  <si>
    <t>520101 7112620217</t>
  </si>
  <si>
    <t>520101 5211860001</t>
  </si>
  <si>
    <t>520101 4107020051</t>
  </si>
  <si>
    <t>Tukang Batu</t>
  </si>
  <si>
    <t>520101 0503088969</t>
  </si>
  <si>
    <t>Kambeng</t>
  </si>
  <si>
    <t>520101 0503089160</t>
  </si>
  <si>
    <t>08 Desembr 1976</t>
  </si>
  <si>
    <t>520101 0812110045</t>
  </si>
  <si>
    <t>aik Ampat</t>
  </si>
  <si>
    <t>Arista Adinda Zahrani</t>
  </si>
  <si>
    <t>520101 2411170003</t>
  </si>
  <si>
    <t>520101 0112090074</t>
  </si>
  <si>
    <t>Dewi Anjani</t>
  </si>
  <si>
    <t>Riyan</t>
  </si>
  <si>
    <t>buruh harian lepas</t>
  </si>
  <si>
    <t>520101 0503088813</t>
  </si>
  <si>
    <t>520101 0107770264</t>
  </si>
  <si>
    <t>520101 4107820711</t>
  </si>
  <si>
    <t>520101 4107000317</t>
  </si>
  <si>
    <t>520101 5203080002</t>
  </si>
  <si>
    <t>520101 2809120013</t>
  </si>
  <si>
    <t>520101 0503088784</t>
  </si>
  <si>
    <t>520101 0107850383</t>
  </si>
  <si>
    <t>520101 4107870449</t>
  </si>
  <si>
    <t>520101 5104110006</t>
  </si>
  <si>
    <t>Batu Mulik</t>
  </si>
  <si>
    <t>11 April 20011</t>
  </si>
  <si>
    <t>Warid Al Junaid</t>
  </si>
  <si>
    <t>520101 0206140005</t>
  </si>
  <si>
    <t>520101 0707080001</t>
  </si>
  <si>
    <t>520101 0211120008</t>
  </si>
  <si>
    <t>M. Faisal</t>
  </si>
  <si>
    <t>520101 2008040001</t>
  </si>
  <si>
    <t>520101 1006120001</t>
  </si>
  <si>
    <t>520101 5404870002</t>
  </si>
  <si>
    <t>Kayuk Putih</t>
  </si>
  <si>
    <t>520101 3005130016</t>
  </si>
  <si>
    <t>520101 1003830001</t>
  </si>
  <si>
    <t>520101 5409890004</t>
  </si>
  <si>
    <t>520101 6010100005</t>
  </si>
  <si>
    <t>Afika Zahra</t>
  </si>
  <si>
    <t>Adi Saputra</t>
  </si>
  <si>
    <t>520101 2411090054</t>
  </si>
  <si>
    <t>520101 5007821002</t>
  </si>
  <si>
    <t>520101 1402020009</t>
  </si>
  <si>
    <t>520101 6303150003</t>
  </si>
  <si>
    <t>520101 0104150004</t>
  </si>
  <si>
    <t>520101 7112870228</t>
  </si>
  <si>
    <t>520101 4710110003</t>
  </si>
  <si>
    <t>520101 0411110019</t>
  </si>
  <si>
    <t>Dedi Kusuma</t>
  </si>
  <si>
    <t>520101 0202891002</t>
  </si>
  <si>
    <t>520101 4906841002</t>
  </si>
  <si>
    <t>520101 6712130003</t>
  </si>
  <si>
    <t>Martubung Medan</t>
  </si>
  <si>
    <t>520101 1421110036</t>
  </si>
  <si>
    <t>M. Indrawan</t>
  </si>
  <si>
    <t>M. Ripqi</t>
  </si>
  <si>
    <t>Riska</t>
  </si>
  <si>
    <t>520101 4104170001</t>
  </si>
  <si>
    <t>520101 6003880001</t>
  </si>
  <si>
    <t>520101 3112790104</t>
  </si>
  <si>
    <t>Septiani</t>
  </si>
  <si>
    <t>520101 4609150002</t>
  </si>
  <si>
    <t>520101 5110840001</t>
  </si>
  <si>
    <t>520101 0210140018</t>
  </si>
  <si>
    <t>520101 3011110026</t>
  </si>
  <si>
    <t>520101 1112880003</t>
  </si>
  <si>
    <t>520101 2906120002</t>
  </si>
  <si>
    <t xml:space="preserve">Telotok Asri </t>
  </si>
  <si>
    <t>Muhammad Kadar Risman</t>
  </si>
  <si>
    <t>520101 2008140002</t>
  </si>
  <si>
    <t>520101 1011140001</t>
  </si>
  <si>
    <t>520101 3103150002</t>
  </si>
  <si>
    <t>520101 3112500174</t>
  </si>
  <si>
    <t>520101 7112590119</t>
  </si>
  <si>
    <t>520101 2901130003</t>
  </si>
  <si>
    <t>520101 3112590032</t>
  </si>
  <si>
    <t>520101 7112620024</t>
  </si>
  <si>
    <t>520101 2010910002</t>
  </si>
  <si>
    <t>520101 0503088460</t>
  </si>
  <si>
    <t>520101 0409090001</t>
  </si>
  <si>
    <t>520101 2603150011</t>
  </si>
  <si>
    <t>Haji Marni</t>
  </si>
  <si>
    <t>Tomy Pratama</t>
  </si>
  <si>
    <t>520101 1011090023</t>
  </si>
  <si>
    <t>M. Alimudin</t>
  </si>
  <si>
    <t>Aprido Bagus Setiawan</t>
  </si>
  <si>
    <t>520101 4107870457</t>
  </si>
  <si>
    <t>520101 7005070002</t>
  </si>
  <si>
    <t>520101 0503088213</t>
  </si>
  <si>
    <t>Muhammad Zulkarnaen</t>
  </si>
  <si>
    <t>520101 1606800006</t>
  </si>
  <si>
    <t>520101 7112820130</t>
  </si>
  <si>
    <t>520101 2511160002</t>
  </si>
  <si>
    <t>520101 2509120088</t>
  </si>
  <si>
    <t>520101 2308070002</t>
  </si>
  <si>
    <t>Muhamad Adwan Juanda</t>
  </si>
  <si>
    <t>520101 2708120038</t>
  </si>
  <si>
    <t>Zahratul Azizah</t>
  </si>
  <si>
    <t>520101 0704150009</t>
  </si>
  <si>
    <t>520101 2001940005</t>
  </si>
  <si>
    <t>520101 4107920023</t>
  </si>
  <si>
    <t>520101 7004160001</t>
  </si>
  <si>
    <t>520101 0503089140</t>
  </si>
  <si>
    <t>520101 4107670845</t>
  </si>
  <si>
    <t>520101 1803160002</t>
  </si>
  <si>
    <t>Alifa Ramadani</t>
  </si>
  <si>
    <t>520101 1905830001</t>
  </si>
  <si>
    <t>520101 5707920001</t>
  </si>
  <si>
    <t>520101 1007140003</t>
  </si>
  <si>
    <t>Mendawe</t>
  </si>
  <si>
    <t>520101 0503088760</t>
  </si>
  <si>
    <t>520101 3112760081</t>
  </si>
  <si>
    <t>520101 7112860067</t>
  </si>
  <si>
    <t>520101 0905080001</t>
  </si>
  <si>
    <t>520101 0503088830</t>
  </si>
  <si>
    <t>520101 1304120010</t>
  </si>
  <si>
    <t>Junaetullah</t>
  </si>
  <si>
    <t>Lia Marmi Faeny</t>
  </si>
  <si>
    <t>520101 1711780003</t>
  </si>
  <si>
    <t>520101 5312110001</t>
  </si>
  <si>
    <t>Sidutan</t>
  </si>
  <si>
    <t>520101 4107810061</t>
  </si>
  <si>
    <t>520101 1209120033</t>
  </si>
  <si>
    <t>520101 0804110004</t>
  </si>
  <si>
    <t>520101 3112980011</t>
  </si>
  <si>
    <t>520101 1109120008</t>
  </si>
  <si>
    <t>Lembar</t>
  </si>
  <si>
    <t>DIPLOMA IV/STRATA 1</t>
  </si>
  <si>
    <t>Karyawan Swasta</t>
  </si>
  <si>
    <t>Guru</t>
  </si>
  <si>
    <t>520101 0503088427</t>
  </si>
  <si>
    <t>520101 0107870528</t>
  </si>
  <si>
    <t>520101 4107860066</t>
  </si>
  <si>
    <t>520101 6111100001</t>
  </si>
  <si>
    <t>520101 0404130004</t>
  </si>
  <si>
    <t>M. Azrul Pratama</t>
  </si>
  <si>
    <t>M. Azril Saputra</t>
  </si>
  <si>
    <t>520101 2105131002</t>
  </si>
  <si>
    <t>520101 0503088909</t>
  </si>
  <si>
    <t>Suryani Ningsih</t>
  </si>
  <si>
    <t>Ida Hidayati</t>
  </si>
  <si>
    <t>520101 2012720002</t>
  </si>
  <si>
    <t>520101 5303770001</t>
  </si>
  <si>
    <t>520101 6406930001</t>
  </si>
  <si>
    <t>520101 6906000001</t>
  </si>
  <si>
    <t>520101 6005070001</t>
  </si>
  <si>
    <t>AKADEMI/DIPLOMA III/SARJANA MUDA</t>
  </si>
  <si>
    <t>Azifa Naela</t>
  </si>
  <si>
    <t>520101 2011090012</t>
  </si>
  <si>
    <t>520101 1709830001</t>
  </si>
  <si>
    <t>520101 4104170005</t>
  </si>
  <si>
    <t>Dasan Tapen</t>
  </si>
  <si>
    <t>Buruh Tani/Perkbunan</t>
  </si>
  <si>
    <t>Muhamad Haekam</t>
  </si>
  <si>
    <t>520101 2210120017</t>
  </si>
  <si>
    <t>Murjiah</t>
  </si>
  <si>
    <t>520101 3112880035</t>
  </si>
  <si>
    <t>520101 4606910001</t>
  </si>
  <si>
    <t>520101 0307150002</t>
  </si>
  <si>
    <t>520101 1407160004</t>
  </si>
  <si>
    <t>Nashir</t>
  </si>
  <si>
    <t>520101 0608790002</t>
  </si>
  <si>
    <t>520101 7112830115</t>
  </si>
  <si>
    <t>520101 1003110005</t>
  </si>
  <si>
    <t>520101 2505120015</t>
  </si>
  <si>
    <t>520101 0906830004</t>
  </si>
  <si>
    <t>520101 0503088547</t>
  </si>
  <si>
    <t>520101 2502141010</t>
  </si>
  <si>
    <t>520101 0503088676</t>
  </si>
  <si>
    <t>520101 3112680056</t>
  </si>
  <si>
    <t>520101 4112750004</t>
  </si>
  <si>
    <t>520101 0803930002</t>
  </si>
  <si>
    <t>520101 4812940001</t>
  </si>
  <si>
    <t>520101 0503088527</t>
  </si>
  <si>
    <t>Hapidin</t>
  </si>
  <si>
    <t>Sahram</t>
  </si>
  <si>
    <t>Mutia Hapid</t>
  </si>
  <si>
    <t>520101 1307770001</t>
  </si>
  <si>
    <t>520101 5812810001</t>
  </si>
  <si>
    <t>520101 0503088601</t>
  </si>
  <si>
    <t>Hj. Muslimah</t>
  </si>
  <si>
    <t>520101 4107950033</t>
  </si>
  <si>
    <t>520101 1611150025</t>
  </si>
  <si>
    <t>520101 0107620108</t>
  </si>
  <si>
    <t>520101 7112760049</t>
  </si>
  <si>
    <t>520101 0107770244</t>
  </si>
  <si>
    <t>520101 0503088551</t>
  </si>
  <si>
    <t>520101 4706860004</t>
  </si>
  <si>
    <t>520101 0503088495</t>
  </si>
  <si>
    <t>H. Pauzi</t>
  </si>
  <si>
    <t>Raihan</t>
  </si>
  <si>
    <t>Muhamad Sakdullah</t>
  </si>
  <si>
    <t>M. Rezal  Hadi</t>
  </si>
  <si>
    <t>520101 4107690215</t>
  </si>
  <si>
    <t>520101 0107920159</t>
  </si>
  <si>
    <t>SLTP/MA</t>
  </si>
  <si>
    <t>520101 0503088700</t>
  </si>
  <si>
    <t>H. Junaidi</t>
  </si>
  <si>
    <t>Hj. Soleha</t>
  </si>
  <si>
    <t>Hj. Rohil</t>
  </si>
  <si>
    <t>M. Irpan</t>
  </si>
  <si>
    <t>M. Iqbal</t>
  </si>
  <si>
    <t>M. Ihsan Saputra</t>
  </si>
  <si>
    <t>520101 0305170009</t>
  </si>
  <si>
    <t>520101 0107700026</t>
  </si>
  <si>
    <t>520101 4107810102</t>
  </si>
  <si>
    <t>520101 0702000003</t>
  </si>
  <si>
    <t>520101 0702000001</t>
  </si>
  <si>
    <t>520101 1008080002</t>
  </si>
  <si>
    <t>Taman</t>
  </si>
  <si>
    <t>Sopir</t>
  </si>
  <si>
    <t>520101 0503088668</t>
  </si>
  <si>
    <t>520101 0107570386</t>
  </si>
  <si>
    <t>520101 0503088133</t>
  </si>
  <si>
    <t>H. Zaini</t>
  </si>
  <si>
    <t>Hj. Muliyati</t>
  </si>
  <si>
    <t>520101 0107570392</t>
  </si>
  <si>
    <t>520101 2705130011</t>
  </si>
  <si>
    <t>520101 0406811001</t>
  </si>
  <si>
    <t>520101 4204900002</t>
  </si>
  <si>
    <t>520101 0609120045</t>
  </si>
  <si>
    <t>520101 1403120017</t>
  </si>
  <si>
    <t>Siti Habibah</t>
  </si>
  <si>
    <t>520101 5803991001</t>
  </si>
  <si>
    <t>520101 6908071001</t>
  </si>
  <si>
    <t>520101 2405130008</t>
  </si>
  <si>
    <t>H. Alimudin</t>
  </si>
  <si>
    <t>M. Arjan Risqi</t>
  </si>
  <si>
    <t>M. Ahlal</t>
  </si>
  <si>
    <t>520101 2311140001</t>
  </si>
  <si>
    <t>Sumbawa</t>
  </si>
  <si>
    <t>520101 3103120010</t>
  </si>
  <si>
    <t>Azzahra Wani</t>
  </si>
  <si>
    <t>520101 2004150001</t>
  </si>
  <si>
    <t>Lombok Barat</t>
  </si>
  <si>
    <t>520101 0503088712</t>
  </si>
  <si>
    <t>Inaq Senep</t>
  </si>
  <si>
    <t>520101 0503088421</t>
  </si>
  <si>
    <t>520101 0503089481</t>
  </si>
  <si>
    <t>R. Fahrurozi</t>
  </si>
  <si>
    <t>520101 0107570313</t>
  </si>
  <si>
    <t>520101 4104821001</t>
  </si>
  <si>
    <t>520101 2008900003</t>
  </si>
  <si>
    <t>520101 4506951001</t>
  </si>
  <si>
    <t>520101 5410011001</t>
  </si>
  <si>
    <t>520101 2202180017</t>
  </si>
  <si>
    <t>520101 3112800300</t>
  </si>
  <si>
    <t>Mu'az</t>
  </si>
  <si>
    <t>M. Sardian Afrizal</t>
  </si>
  <si>
    <t>Hayatun Nufus</t>
  </si>
  <si>
    <t>Ilma Nafi'a</t>
  </si>
  <si>
    <t>520101 1909140006</t>
  </si>
  <si>
    <t>520101 6904150001</t>
  </si>
  <si>
    <t>520101 2804140013</t>
  </si>
  <si>
    <t>Moh. Fadil Ramadani</t>
  </si>
  <si>
    <t>Menang Barat</t>
  </si>
  <si>
    <t>520101 2505130010</t>
  </si>
  <si>
    <t>Zahratun Laila</t>
  </si>
  <si>
    <t>520101 6403941001</t>
  </si>
  <si>
    <t>520101 4309131002</t>
  </si>
  <si>
    <t>Alfarizi</t>
  </si>
  <si>
    <t>Musahaf</t>
  </si>
  <si>
    <t>520101 2708120039</t>
  </si>
  <si>
    <t>520101 1302760001</t>
  </si>
  <si>
    <t>520101 6807820001</t>
  </si>
  <si>
    <t>520101 1008030001</t>
  </si>
  <si>
    <t>520101 1105120034</t>
  </si>
  <si>
    <t>520101 1107120012</t>
  </si>
  <si>
    <t>520101 7112620116</t>
  </si>
  <si>
    <t>520101 2604120018</t>
  </si>
  <si>
    <t>520101 1512160007</t>
  </si>
  <si>
    <t>520101 1107790001</t>
  </si>
  <si>
    <t>520101 7011890001</t>
  </si>
  <si>
    <t>520101 0912080003</t>
  </si>
  <si>
    <t>520101 1505120010</t>
  </si>
  <si>
    <t>Syakiratun Niami</t>
  </si>
  <si>
    <t>Muhamad Rizky</t>
  </si>
  <si>
    <t>520101 6403160003</t>
  </si>
  <si>
    <t>Jeruk Poto</t>
  </si>
  <si>
    <t>520101 0503088425</t>
  </si>
  <si>
    <t>Muhamad Hanawi Saputra</t>
  </si>
  <si>
    <t>520101 0111160003</t>
  </si>
  <si>
    <t>520101 6602050002</t>
  </si>
  <si>
    <t>520101 0503089536</t>
  </si>
  <si>
    <t>Radi</t>
  </si>
  <si>
    <t>Badri</t>
  </si>
  <si>
    <t>520101 0503088096</t>
  </si>
  <si>
    <t>520101 2309120005</t>
  </si>
  <si>
    <t>520101 0503089639</t>
  </si>
  <si>
    <t>520101 0503088023</t>
  </si>
  <si>
    <t>Miskiyah</t>
  </si>
  <si>
    <t>Riky Supratama</t>
  </si>
  <si>
    <t>520101 3004790001</t>
  </si>
  <si>
    <t>520101 6002820001</t>
  </si>
  <si>
    <t>520101 1102020004</t>
  </si>
  <si>
    <t>520101 0801120003</t>
  </si>
  <si>
    <t>520101 1603170002</t>
  </si>
  <si>
    <t>Sohib Sakbani</t>
  </si>
  <si>
    <t>520101 1105170002</t>
  </si>
  <si>
    <t>520101 4801020001</t>
  </si>
  <si>
    <t>520101 0911970001</t>
  </si>
  <si>
    <t>520101 4302770001</t>
  </si>
  <si>
    <t>520101 3112770075</t>
  </si>
  <si>
    <t>520101 1209131004</t>
  </si>
  <si>
    <t>Selampang</t>
  </si>
  <si>
    <t>520101 0503088087</t>
  </si>
  <si>
    <t>520101 0503088204</t>
  </si>
  <si>
    <t>520101 0107510028</t>
  </si>
  <si>
    <t>520101 0107980008</t>
  </si>
  <si>
    <t>520101 1107140005</t>
  </si>
  <si>
    <t>M. Ajlin Pratama</t>
  </si>
  <si>
    <t>520101 0503088025</t>
  </si>
  <si>
    <t>520101 2705111786</t>
  </si>
  <si>
    <t>520101 0503089097</t>
  </si>
  <si>
    <t>Muat Jalil</t>
  </si>
  <si>
    <t>Saba'ah</t>
  </si>
  <si>
    <t>TIDAK/BELUM SKOLAH</t>
  </si>
  <si>
    <t>520101 0503089316</t>
  </si>
  <si>
    <t>520101 2405120008</t>
  </si>
  <si>
    <t>Saeun</t>
  </si>
  <si>
    <t>Ajit Hidayat</t>
  </si>
  <si>
    <t>520101 1207790005</t>
  </si>
  <si>
    <t>520101 0503088433</t>
  </si>
  <si>
    <t>520101 1611090027</t>
  </si>
  <si>
    <t>H. Haerudin</t>
  </si>
  <si>
    <t>Muhamad Harsil</t>
  </si>
  <si>
    <t>520101 1107840002</t>
  </si>
  <si>
    <t>520101 5109860003</t>
  </si>
  <si>
    <t>520101 0503089339</t>
  </si>
  <si>
    <t>520101 4107670168</t>
  </si>
  <si>
    <t>cucu</t>
  </si>
  <si>
    <t>520101 2705111216</t>
  </si>
  <si>
    <t>Badriyah</t>
  </si>
  <si>
    <t>Sayadi</t>
  </si>
  <si>
    <t>520101 1508120013</t>
  </si>
  <si>
    <t>Muliaten</t>
  </si>
  <si>
    <t>Mayanita</t>
  </si>
  <si>
    <t>M. Hanafi</t>
  </si>
  <si>
    <t>520101 2612120007</t>
  </si>
  <si>
    <t>Muhamad Torip</t>
  </si>
  <si>
    <t>520101 2309120006</t>
  </si>
  <si>
    <t>520101 3112520073</t>
  </si>
  <si>
    <t>520101 0510120002</t>
  </si>
  <si>
    <t>Saskia Febriana</t>
  </si>
  <si>
    <t>HJ. Haerun</t>
  </si>
  <si>
    <t>520101 2910140013</t>
  </si>
  <si>
    <t>520101 0503089558</t>
  </si>
  <si>
    <t>520101 0503089577</t>
  </si>
  <si>
    <t>H M. Nurul Husni</t>
  </si>
  <si>
    <t>520101 2502150032</t>
  </si>
  <si>
    <t>520101 2810120007</t>
  </si>
  <si>
    <t>Mansur</t>
  </si>
  <si>
    <t>520101 0503089307</t>
  </si>
  <si>
    <t>Hj.  Ramlan</t>
  </si>
  <si>
    <t>Suroyah</t>
  </si>
  <si>
    <t>520101 0503089449</t>
  </si>
  <si>
    <t>H. Nurhadi</t>
  </si>
  <si>
    <t>Widia Kusuma Wardani</t>
  </si>
  <si>
    <t>520101 0107670248</t>
  </si>
  <si>
    <t>520101 4804720001</t>
  </si>
  <si>
    <t>520101 1307960001</t>
  </si>
  <si>
    <t>520101 5006050001</t>
  </si>
  <si>
    <t>520101 1912100016</t>
  </si>
  <si>
    <t>520101 1811090035</t>
  </si>
  <si>
    <t>Muhammad Fahrain Aziz</t>
  </si>
  <si>
    <t>520101 7112770025</t>
  </si>
  <si>
    <t>520101 0503089412</t>
  </si>
  <si>
    <t>H. Mas'ud</t>
  </si>
  <si>
    <t>Hj. Paridah</t>
  </si>
  <si>
    <t>520101 2011170008</t>
  </si>
  <si>
    <t>520101 2502150042</t>
  </si>
  <si>
    <t>Muhamad Syukur</t>
  </si>
  <si>
    <t>Majenan</t>
  </si>
  <si>
    <t>Siti Urfina</t>
  </si>
  <si>
    <t>520101 0503089442</t>
  </si>
  <si>
    <t>Nurlaelani</t>
  </si>
  <si>
    <t>Hj. Nurul</t>
  </si>
  <si>
    <t>Suriyah</t>
  </si>
  <si>
    <t>520101 4410990002</t>
  </si>
  <si>
    <t>520101 4107470046</t>
  </si>
  <si>
    <t>520101 4803820001</t>
  </si>
  <si>
    <t>520101 2402100018</t>
  </si>
  <si>
    <t>Mulianti</t>
  </si>
  <si>
    <t>520101 1712890001</t>
  </si>
  <si>
    <t>520113 6305890001</t>
  </si>
  <si>
    <t>Kebon Talo</t>
  </si>
  <si>
    <t>520101 0210120032</t>
  </si>
  <si>
    <t>Tamrin</t>
  </si>
  <si>
    <t>Siti Salwana</t>
  </si>
  <si>
    <t>Fawaz Ali</t>
  </si>
  <si>
    <t>520101 1401810003</t>
  </si>
  <si>
    <t>520101 7112890131</t>
  </si>
  <si>
    <t>520101 5709131003</t>
  </si>
  <si>
    <t>520101 2707170002</t>
  </si>
  <si>
    <t>520101 2203170001</t>
  </si>
  <si>
    <t>Patimah</t>
  </si>
  <si>
    <t>Mahban</t>
  </si>
  <si>
    <t>520101 4107350034</t>
  </si>
  <si>
    <t>Yaneh</t>
  </si>
  <si>
    <t>520101 2811160001</t>
  </si>
  <si>
    <t>520101 1512160012</t>
  </si>
  <si>
    <t>H. Haris</t>
  </si>
  <si>
    <t>Siti Maharani</t>
  </si>
  <si>
    <t>Alifatudza Tilizza</t>
  </si>
  <si>
    <t>520101 3112890116</t>
  </si>
  <si>
    <t>520101 5604930002</t>
  </si>
  <si>
    <t>520101 5607170002</t>
  </si>
  <si>
    <t>520101 0503089629</t>
  </si>
  <si>
    <t>520101 0503089361</t>
  </si>
  <si>
    <t>Irok</t>
  </si>
  <si>
    <t>Nasrullah</t>
  </si>
  <si>
    <t>520101 1207670001</t>
  </si>
  <si>
    <t>520101 4412690002</t>
  </si>
  <si>
    <t>520101 2810820001</t>
  </si>
  <si>
    <t>520101 1209970001</t>
  </si>
  <si>
    <t>520101 0503089418</t>
  </si>
  <si>
    <t>H. Haeruman</t>
  </si>
  <si>
    <t>Mariyam</t>
  </si>
  <si>
    <t>H. Hendrawan Aziz</t>
  </si>
  <si>
    <t>520101 0107670391</t>
  </si>
  <si>
    <t>520101 4107670167</t>
  </si>
  <si>
    <t>H. Rosidin</t>
  </si>
  <si>
    <t>Hj. Amenah</t>
  </si>
  <si>
    <t>520101 0808160011</t>
  </si>
  <si>
    <t>Sulaepi</t>
  </si>
  <si>
    <t>Nurhamah</t>
  </si>
  <si>
    <t>Mirawati Yumna Agnia</t>
  </si>
  <si>
    <t>520101 0905870002</t>
  </si>
  <si>
    <t>520101 4303920001</t>
  </si>
  <si>
    <t>520101 5907170001</t>
  </si>
  <si>
    <t>520101 1006140016</t>
  </si>
  <si>
    <t>H. Mustaman</t>
  </si>
  <si>
    <t>Erni Herawati</t>
  </si>
  <si>
    <t>Ahmad Farid Yusron</t>
  </si>
  <si>
    <t>520101 3112870017</t>
  </si>
  <si>
    <t>520101 5604950001</t>
  </si>
  <si>
    <t>520101 2902160004</t>
  </si>
  <si>
    <t>520101 3108160007</t>
  </si>
  <si>
    <t>520101 0503088577</t>
  </si>
  <si>
    <t xml:space="preserve">Haji Rahmat </t>
  </si>
  <si>
    <t>520101 0209690001</t>
  </si>
  <si>
    <t>520101 0503088571</t>
  </si>
  <si>
    <t>520101 1202180022</t>
  </si>
  <si>
    <t>520101 5704960004</t>
  </si>
  <si>
    <t>520101 1207110005</t>
  </si>
  <si>
    <t>Deni</t>
  </si>
  <si>
    <t>Firmansyah</t>
  </si>
  <si>
    <t>Fita Alfiana Nurhaji</t>
  </si>
  <si>
    <t>520101 2106760001</t>
  </si>
  <si>
    <t>520101 1212010001</t>
  </si>
  <si>
    <t>520101 8403000001</t>
  </si>
  <si>
    <t>Mataram</t>
  </si>
  <si>
    <t>520101 7112880088</t>
  </si>
  <si>
    <t>520101 2401180014</t>
  </si>
  <si>
    <t>Rohili Yulianti</t>
  </si>
  <si>
    <t>Arya Saputra</t>
  </si>
  <si>
    <t>520101 0107000147</t>
  </si>
  <si>
    <t>520101 5007980002</t>
  </si>
  <si>
    <t>520101 2204180003</t>
  </si>
  <si>
    <t>Karang Langko</t>
  </si>
  <si>
    <t>520101 6011100003</t>
  </si>
  <si>
    <t>Beremi</t>
  </si>
  <si>
    <t>Novia Eliana Zahra</t>
  </si>
  <si>
    <t>520101 2001150001</t>
  </si>
  <si>
    <t>Jainudin</t>
  </si>
  <si>
    <t>Ba'ah</t>
  </si>
  <si>
    <t>Aqila Mauliana</t>
  </si>
  <si>
    <t>520101 6204150001</t>
  </si>
  <si>
    <t>520101 3011160001</t>
  </si>
  <si>
    <t>Jediah</t>
  </si>
  <si>
    <t>520101 7112770048</t>
  </si>
  <si>
    <t>Intan Azlina</t>
  </si>
  <si>
    <t>Kayu Putiq</t>
  </si>
  <si>
    <t>Hurun</t>
  </si>
  <si>
    <t>H. Pahri</t>
  </si>
  <si>
    <t>520101 0503089408</t>
  </si>
  <si>
    <t>520101 0503088216</t>
  </si>
  <si>
    <t>Aniswati, A.Md. Farm</t>
  </si>
  <si>
    <t>520101 2905150001</t>
  </si>
  <si>
    <t>520101 5112870007</t>
  </si>
  <si>
    <t>520101 1611131002</t>
  </si>
  <si>
    <t>520101 2803120033</t>
  </si>
  <si>
    <t>Tompak</t>
  </si>
  <si>
    <t>520101 1409120039</t>
  </si>
  <si>
    <t>520101 1003160004</t>
  </si>
  <si>
    <t>Rinawati</t>
  </si>
  <si>
    <t>Aina Lufiatun Nisa</t>
  </si>
  <si>
    <t>520101 1109870001</t>
  </si>
  <si>
    <t>520101 4107940087</t>
  </si>
  <si>
    <t>520101 4710160001</t>
  </si>
  <si>
    <t>520101 0503089034</t>
  </si>
  <si>
    <t>Adelia Juanita Putri</t>
  </si>
  <si>
    <t>520101 2801820001</t>
  </si>
  <si>
    <t>520101 4410850003</t>
  </si>
  <si>
    <t>520101 5707070004</t>
  </si>
  <si>
    <t>520101 4605130003</t>
  </si>
  <si>
    <t>Miin</t>
  </si>
  <si>
    <t>520101 3112701032</t>
  </si>
  <si>
    <t>520101 7112711009</t>
  </si>
  <si>
    <t>520101 3112901021</t>
  </si>
  <si>
    <t>Widya Rahmawati</t>
  </si>
  <si>
    <t>520101 5710150002</t>
  </si>
  <si>
    <t>520101 3112750176</t>
  </si>
  <si>
    <t>520101 5807830001</t>
  </si>
  <si>
    <t>520101 4109990001</t>
  </si>
  <si>
    <t>Haeniah</t>
  </si>
  <si>
    <t>520101 6011970001</t>
  </si>
  <si>
    <t>520101 0107670658</t>
  </si>
  <si>
    <t>520101 4804720002</t>
  </si>
  <si>
    <t>520101 2201180012</t>
  </si>
  <si>
    <t>Hj. Liana</t>
  </si>
  <si>
    <t>520805 7107800003</t>
  </si>
  <si>
    <t>Teluk Kombal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</si>
  <si>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</si>
  <si>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</si>
  <si>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</si>
  <si>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</si>
  <si>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</si>
  <si>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</si>
  <si>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</si>
  <si>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</si>
  <si>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RT 4</t>
  </si>
  <si>
    <t>JUMLAH TOTAL</t>
  </si>
  <si>
    <t>Sri Oktopiani</t>
  </si>
  <si>
    <t>BELUM/TIDAK SEKOLAH</t>
  </si>
  <si>
    <t>Sulmayani</t>
  </si>
  <si>
    <t>520101 017620046</t>
  </si>
  <si>
    <t>TIDAK TAMAT SD</t>
  </si>
  <si>
    <t>Kurniati</t>
  </si>
  <si>
    <t>520101 4505890001</t>
  </si>
  <si>
    <t>DIII</t>
  </si>
  <si>
    <t>Karyawan Honorer</t>
  </si>
  <si>
    <t>520101 0503088056</t>
  </si>
  <si>
    <t>H. Yusril Amri</t>
  </si>
  <si>
    <t>Yusri Sara</t>
  </si>
  <si>
    <t>Anisa Putri</t>
  </si>
  <si>
    <t>520101 6401020001</t>
  </si>
  <si>
    <t>520101 4809090004</t>
  </si>
  <si>
    <t>520101 1210760002</t>
  </si>
  <si>
    <t>TAHUN 2019</t>
  </si>
  <si>
    <t>LINGKUNGAN BAWAK GUNUNG</t>
  </si>
  <si>
    <t>Nama Lengkap/ Panggilan</t>
  </si>
  <si>
    <t>RT 04</t>
  </si>
  <si>
    <t>RT 01</t>
  </si>
  <si>
    <t>RT 02</t>
  </si>
  <si>
    <t>RT 03</t>
  </si>
  <si>
    <t>Mengetahui</t>
  </si>
  <si>
    <t>Lurah Dasan Geres</t>
  </si>
  <si>
    <t>Kepala Lingkungan</t>
  </si>
  <si>
    <t>Hulaifi, S.H.</t>
  </si>
  <si>
    <t>NIP. 19841231 201101 1 023</t>
  </si>
  <si>
    <t>747202 4209920000</t>
  </si>
  <si>
    <t>REKAP DATA PENDUDUK</t>
  </si>
  <si>
    <t>RT</t>
  </si>
</sst>
</file>

<file path=xl/styles.xml><?xml version="1.0" encoding="utf-8"?>
<styleSheet xmlns="http://schemas.openxmlformats.org/spreadsheetml/2006/main">
  <numFmts count="1">
    <numFmt numFmtId="164" formatCode="[$-421]dd\ mmmm\ yyyy;@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u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164" fontId="1" fillId="2" borderId="7" xfId="0" applyNumberFormat="1" applyFont="1" applyFill="1" applyBorder="1" applyAlignment="1">
      <alignment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1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3" borderId="7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/>
    <xf numFmtId="0" fontId="1" fillId="4" borderId="7" xfId="0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0" fontId="0" fillId="4" borderId="7" xfId="0" applyFill="1" applyBorder="1"/>
    <xf numFmtId="0" fontId="2" fillId="0" borderId="0" xfId="0" applyFont="1" applyFill="1"/>
    <xf numFmtId="3" fontId="2" fillId="0" borderId="0" xfId="0" applyNumberFormat="1" applyFont="1"/>
    <xf numFmtId="3" fontId="4" fillId="0" borderId="23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3" fontId="2" fillId="0" borderId="29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3" fontId="2" fillId="0" borderId="31" xfId="0" applyNumberFormat="1" applyFont="1" applyBorder="1" applyAlignment="1">
      <alignment horizontal="center" vertical="center"/>
    </xf>
    <xf numFmtId="3" fontId="2" fillId="0" borderId="32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3" fontId="2" fillId="0" borderId="34" xfId="0" applyNumberFormat="1" applyFont="1" applyBorder="1" applyAlignment="1">
      <alignment horizontal="center" vertical="center"/>
    </xf>
    <xf numFmtId="3" fontId="5" fillId="0" borderId="35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/>
    </xf>
    <xf numFmtId="0" fontId="3" fillId="5" borderId="7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164" fontId="1" fillId="5" borderId="7" xfId="0" applyNumberFormat="1" applyFont="1" applyFill="1" applyBorder="1" applyAlignment="1">
      <alignment horizontal="center" vertical="center"/>
    </xf>
    <xf numFmtId="0" fontId="1" fillId="5" borderId="7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164" fontId="1" fillId="0" borderId="8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3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3" fontId="4" fillId="0" borderId="2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20"/>
  <sheetViews>
    <sheetView workbookViewId="0">
      <selection activeCell="B4" sqref="B4:B5"/>
    </sheetView>
  </sheetViews>
  <sheetFormatPr defaultRowHeight="15"/>
  <cols>
    <col min="2" max="2" width="19.140625" bestFit="1" customWidth="1"/>
    <col min="9" max="10" width="10.7109375" customWidth="1"/>
    <col min="12" max="13" width="11.7109375" customWidth="1"/>
  </cols>
  <sheetData>
    <row r="1" spans="2:15" ht="15.75" thickBot="1"/>
    <row r="2" spans="2:15" s="1" customFormat="1" ht="15.75" thickBot="1">
      <c r="B2" s="112" t="s">
        <v>2206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  <c r="O2" s="65"/>
    </row>
    <row r="3" spans="2:15" s="1" customFormat="1" ht="15.75" thickBot="1">
      <c r="B3" s="115" t="s">
        <v>2194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7"/>
      <c r="O3" s="65"/>
    </row>
    <row r="4" spans="2:15" ht="15.75">
      <c r="B4" s="118" t="s">
        <v>2207</v>
      </c>
      <c r="C4" s="119" t="s">
        <v>2167</v>
      </c>
      <c r="D4" s="120"/>
      <c r="E4" s="121" t="s">
        <v>2168</v>
      </c>
      <c r="F4" s="123" t="s">
        <v>2169</v>
      </c>
      <c r="G4" s="124"/>
      <c r="H4" s="125" t="s">
        <v>2168</v>
      </c>
      <c r="I4" s="119" t="s">
        <v>2170</v>
      </c>
      <c r="J4" s="120"/>
      <c r="K4" s="121" t="s">
        <v>2168</v>
      </c>
      <c r="L4" s="123" t="s">
        <v>2171</v>
      </c>
      <c r="M4" s="124"/>
      <c r="N4" s="128" t="s">
        <v>2168</v>
      </c>
    </row>
    <row r="5" spans="2:15">
      <c r="B5" s="118"/>
      <c r="C5" s="69" t="s">
        <v>9</v>
      </c>
      <c r="D5" s="50" t="s">
        <v>17</v>
      </c>
      <c r="E5" s="122"/>
      <c r="F5" s="68" t="s">
        <v>9</v>
      </c>
      <c r="G5" s="50" t="s">
        <v>17</v>
      </c>
      <c r="H5" s="126"/>
      <c r="I5" s="69" t="s">
        <v>9</v>
      </c>
      <c r="J5" s="50" t="s">
        <v>17</v>
      </c>
      <c r="K5" s="122"/>
      <c r="L5" s="68" t="s">
        <v>9</v>
      </c>
      <c r="M5" s="50" t="s">
        <v>17</v>
      </c>
      <c r="N5" s="122"/>
    </row>
    <row r="6" spans="2:15" ht="15.75">
      <c r="B6" s="67" t="s">
        <v>2172</v>
      </c>
      <c r="C6" s="69">
        <f>COUNTIF('RT 01'!$H$8:$H$394,"L")</f>
        <v>187</v>
      </c>
      <c r="D6" s="50">
        <f>COUNTIF('RT 01'!$H$8:$H$394,"P")</f>
        <v>200</v>
      </c>
      <c r="E6" s="66">
        <f>SUM(C6:D6)</f>
        <v>387</v>
      </c>
      <c r="F6" s="68">
        <f>COUNTIFS('RT 01'!$F$8:$F$394,"KK",'RT 01'!$H$8:$H$394,"L")</f>
        <v>104</v>
      </c>
      <c r="G6" s="50">
        <f>COUNTIFS('RT 01'!$F$8:$F$394,"KK",'RT 01'!$H$8:$H$394,"P")</f>
        <v>20</v>
      </c>
      <c r="H6" s="70">
        <f>SUM(F6:G6)</f>
        <v>124</v>
      </c>
      <c r="I6" s="69">
        <f>COUNTIFS('RT 01'!$I$8:$I$394,"Cerai Mati",'RT 01'!$H$8:$H$394,"L")+COUNTIFS('RT 01'!$I$8:$I$394,"Cerai Hidup",'RT 01'!$H$8:$H$394,"L")+COUNTIFS('RT 01'!$I$8:$I$394,"Duda",'RT 01'!$H$8:$H$394,"L")</f>
        <v>3</v>
      </c>
      <c r="J6" s="50">
        <f>COUNTIFS('RT 01'!$I$8:$I$394,"Cerai Mati",'RT 01'!$H$8:$H$394,"P")+COUNTIFS('RT 01'!$I$8:$I$394,"Cerai Hidup",'RT 01'!$H$8:$H$394,"P")+COUNTIFS('RT 01'!$I$8:$I$394,"Janda",'RT 01'!$H$8:$H$394,"P")</f>
        <v>21</v>
      </c>
      <c r="K6" s="66">
        <f>SUM(I6:J6)</f>
        <v>24</v>
      </c>
      <c r="L6" s="68">
        <v>16</v>
      </c>
      <c r="M6" s="50">
        <v>15</v>
      </c>
      <c r="N6" s="66">
        <f>SUM(L6:M6)</f>
        <v>31</v>
      </c>
    </row>
    <row r="7" spans="2:15" ht="15.75">
      <c r="B7" s="67" t="s">
        <v>2173</v>
      </c>
      <c r="C7" s="69">
        <f>COUNTIF('RT 02'!$H$8:$H$204,"L")</f>
        <v>94</v>
      </c>
      <c r="D7" s="50">
        <f>COUNTIF('RT 02'!$H$8:$H$204,"P")</f>
        <v>103</v>
      </c>
      <c r="E7" s="66">
        <f t="shared" ref="E7:E9" si="0">SUM(C7:D7)</f>
        <v>197</v>
      </c>
      <c r="F7" s="68">
        <f>COUNTIFS('RT 02'!$F$8:$F$204,"KK",'RT 02'!$H$8:$H$204,"L")</f>
        <v>53</v>
      </c>
      <c r="G7" s="50">
        <f>COUNTIFS('RT 02'!$F$8:$F$204,"KK",'RT 02'!$H$8:$H$204,"P")</f>
        <v>13</v>
      </c>
      <c r="H7" s="70">
        <f t="shared" ref="H7:H9" si="1">SUM(F7:G7)</f>
        <v>66</v>
      </c>
      <c r="I7" s="69">
        <f>COUNTIFS('RT 02'!$I$8:$I$204,"Cerai Mati",'RT 02'!$H$8:$H$204,"L")+COUNTIFS('RT 02'!$I$8:$I$204,"Cerai Hidup",'RT 02'!$H$8:$H$204,"L")+COUNTIFS('RT 02'!$I$8:$I$204,"Duda",'RT 02'!$H$8:$H$204,"L")</f>
        <v>4</v>
      </c>
      <c r="J7" s="50">
        <f>COUNTIFS('RT 02'!$I$8:$I$204,"Cerai Mati",'RT 02'!$H$8:$H$204,"P")+COUNTIFS('RT 02'!$I$8:$I$204,"Cerai Hidup",'RT 02'!$H$8:$H$204,"P")+COUNTIFS('RT 02'!$I$8:$I$204,"Janda",'RT 02'!$H$8:$H$204,"P")</f>
        <v>15</v>
      </c>
      <c r="K7" s="66">
        <f t="shared" ref="K7:K9" si="2">SUM(I7:J7)</f>
        <v>19</v>
      </c>
      <c r="L7" s="68">
        <v>10</v>
      </c>
      <c r="M7" s="50">
        <v>11</v>
      </c>
      <c r="N7" s="66">
        <f t="shared" ref="N7:N9" si="3">SUM(L7:M7)</f>
        <v>21</v>
      </c>
    </row>
    <row r="8" spans="2:15" ht="15.75">
      <c r="B8" s="67" t="s">
        <v>2174</v>
      </c>
      <c r="C8" s="69">
        <f>COUNTIF('RT 03'!$H$8:$H$291,"L")</f>
        <v>123</v>
      </c>
      <c r="D8" s="50">
        <f>COUNTIF('RT 03'!$H$8:$H$291,"P")</f>
        <v>161</v>
      </c>
      <c r="E8" s="66">
        <f t="shared" si="0"/>
        <v>284</v>
      </c>
      <c r="F8" s="68">
        <f>COUNTIFS('RT 03'!$F$8:$F$291,"KK",'RT 03'!$H$8:$H$291,"L")</f>
        <v>76</v>
      </c>
      <c r="G8" s="50">
        <f>COUNTIFS('RT 03'!$F$8:$F$291,"KK",'RT 03'!$H$8:$H$291,"P")</f>
        <v>29</v>
      </c>
      <c r="H8" s="70">
        <f t="shared" si="1"/>
        <v>105</v>
      </c>
      <c r="I8" s="69">
        <f>COUNTIFS('RT 03'!$I$8:$I$291,"Cerai Mati",'RT 03'!$H$8:$H$291,"L")+COUNTIFS('RT 03'!$I$8:$I$291,"Cerai Hidup",'RT 03'!$H$8:$H$291,"L")+COUNTIFS('RT 03'!$I$8:$I$291,"Duda",'RT 03'!$H$8:$H$291,"L")</f>
        <v>6</v>
      </c>
      <c r="J8" s="50">
        <f>COUNTIFS('RT 03'!$I$8:$I$291,"Cerai Mati",'RT 03'!$H$8:$H$291,"P")+COUNTIFS('RT 03'!$I$8:$I$291,"Cerai Hidup",'RT 03'!$H$8:$H$291,"P")+COUNTIFS('RT 03'!$I$8:$I$291,"Janda",'RT 03'!$H$8:$H$291,"P")</f>
        <v>34</v>
      </c>
      <c r="K8" s="66">
        <f t="shared" si="2"/>
        <v>40</v>
      </c>
      <c r="L8" s="68">
        <v>18</v>
      </c>
      <c r="M8" s="50">
        <v>29</v>
      </c>
      <c r="N8" s="66">
        <f t="shared" si="3"/>
        <v>47</v>
      </c>
    </row>
    <row r="9" spans="2:15" ht="16.5" thickBot="1">
      <c r="B9" s="71" t="s">
        <v>2175</v>
      </c>
      <c r="C9" s="72">
        <f>COUNTIF('RT 04'!$H$8:$H$167,"L")</f>
        <v>76</v>
      </c>
      <c r="D9" s="73">
        <f>COUNTIF('RT 04'!$H$8:$H$167,"P")</f>
        <v>84</v>
      </c>
      <c r="E9" s="74">
        <f t="shared" si="0"/>
        <v>160</v>
      </c>
      <c r="F9" s="75">
        <f>COUNTIFS('RT 04'!$F$8:$F$167,"KK",'RT 04'!$H$8:$H$167,"L")</f>
        <v>41</v>
      </c>
      <c r="G9" s="73">
        <f>COUNTIFS('RT 04'!$F$8:$F$167,"KK",'RT 04'!$H$8:$H$167,"P")</f>
        <v>13</v>
      </c>
      <c r="H9" s="76">
        <f t="shared" si="1"/>
        <v>54</v>
      </c>
      <c r="I9" s="72">
        <f>COUNTIFS('RT 04'!$I$8:$I$167,"Cerai Mati",'RT 04'!$H$8:$H$167,"L")+COUNTIFS('RT 04'!$I$8:$I$167,"Cerai Hidup",'RT 04'!$H$8:$H$167,"L")+COUNTIFS('RT 04'!$I$8:$I$167,"Duda",'RT 04'!$H$8:$H$167,"L")</f>
        <v>4</v>
      </c>
      <c r="J9" s="73">
        <f>COUNTIFS('RT 04'!$I$8:$I$167,"Cerai Mati",'RT 04'!$H$8:$H$167,"P")+COUNTIFS('RT 04'!$I$8:$I$167,"Cerai Hidup",'RT 04'!$H$8:$H$167,"P")+COUNTIFS('RT 04'!$I$8:$I$167,"Janda",'RT 04'!$H$8:$H$167,"P")</f>
        <v>21</v>
      </c>
      <c r="K9" s="74">
        <f t="shared" si="2"/>
        <v>25</v>
      </c>
      <c r="L9" s="75">
        <v>13</v>
      </c>
      <c r="M9" s="73">
        <v>17</v>
      </c>
      <c r="N9" s="74">
        <f t="shared" si="3"/>
        <v>30</v>
      </c>
    </row>
    <row r="10" spans="2:15" ht="16.5" thickBot="1">
      <c r="B10" s="77" t="s">
        <v>2176</v>
      </c>
      <c r="C10" s="78">
        <f>SUM(C6:C9)</f>
        <v>480</v>
      </c>
      <c r="D10" s="79">
        <f t="shared" ref="D10:N10" si="4">SUM(D6:D9)</f>
        <v>548</v>
      </c>
      <c r="E10" s="80">
        <f t="shared" si="4"/>
        <v>1028</v>
      </c>
      <c r="F10" s="81">
        <f t="shared" si="4"/>
        <v>274</v>
      </c>
      <c r="G10" s="79">
        <f t="shared" si="4"/>
        <v>75</v>
      </c>
      <c r="H10" s="82">
        <f t="shared" si="4"/>
        <v>349</v>
      </c>
      <c r="I10" s="78">
        <f t="shared" si="4"/>
        <v>17</v>
      </c>
      <c r="J10" s="79">
        <f t="shared" si="4"/>
        <v>91</v>
      </c>
      <c r="K10" s="80">
        <f t="shared" si="4"/>
        <v>108</v>
      </c>
      <c r="L10" s="81">
        <f t="shared" si="4"/>
        <v>57</v>
      </c>
      <c r="M10" s="79">
        <f t="shared" si="4"/>
        <v>72</v>
      </c>
      <c r="N10" s="80">
        <f t="shared" si="4"/>
        <v>129</v>
      </c>
    </row>
    <row r="14" spans="2:15" s="1" customFormat="1">
      <c r="C14" s="129" t="s">
        <v>2200</v>
      </c>
      <c r="D14" s="129"/>
      <c r="E14" s="129"/>
      <c r="F14" s="65"/>
      <c r="G14" s="65"/>
      <c r="H14" s="65"/>
      <c r="I14" s="65"/>
      <c r="J14" s="65"/>
      <c r="K14" s="129"/>
      <c r="L14" s="129"/>
      <c r="M14" s="65"/>
      <c r="N14" s="65"/>
    </row>
    <row r="15" spans="2:15" s="1" customFormat="1">
      <c r="C15" s="129" t="s">
        <v>2201</v>
      </c>
      <c r="D15" s="129"/>
      <c r="E15" s="129"/>
      <c r="F15" s="65"/>
      <c r="G15" s="65"/>
      <c r="H15" s="65"/>
      <c r="I15" s="65"/>
      <c r="J15" s="65"/>
      <c r="K15" s="129" t="s">
        <v>2202</v>
      </c>
      <c r="L15" s="129"/>
      <c r="M15" s="65"/>
      <c r="N15" s="65"/>
    </row>
    <row r="16" spans="2:15" s="1" customFormat="1">
      <c r="C16" s="65"/>
      <c r="E16" s="65"/>
      <c r="F16" s="65"/>
      <c r="G16" s="65"/>
      <c r="H16" s="65"/>
      <c r="I16" s="65"/>
      <c r="J16" s="65"/>
      <c r="L16" s="65"/>
      <c r="M16" s="65"/>
      <c r="N16" s="65"/>
    </row>
    <row r="17" spans="3:14" s="1" customFormat="1">
      <c r="C17" s="65"/>
      <c r="E17" s="65"/>
      <c r="F17" s="65"/>
      <c r="G17" s="65"/>
      <c r="H17" s="65"/>
      <c r="I17" s="65"/>
      <c r="J17" s="65"/>
      <c r="L17" s="65"/>
      <c r="M17" s="65"/>
      <c r="N17" s="65"/>
    </row>
    <row r="18" spans="3:14" s="1" customFormat="1">
      <c r="C18" s="65"/>
      <c r="E18" s="65"/>
      <c r="F18" s="65"/>
      <c r="G18" s="65"/>
      <c r="H18" s="65"/>
      <c r="I18" s="65"/>
      <c r="J18" s="65"/>
      <c r="L18" s="65"/>
      <c r="M18" s="65"/>
      <c r="N18" s="65"/>
    </row>
    <row r="19" spans="3:14" s="1" customFormat="1">
      <c r="C19" s="127" t="s">
        <v>2203</v>
      </c>
      <c r="D19" s="127"/>
      <c r="E19" s="127"/>
      <c r="F19" s="65"/>
      <c r="G19" s="65"/>
      <c r="H19" s="65"/>
      <c r="I19" s="65"/>
      <c r="J19" s="65"/>
      <c r="K19" s="127" t="s">
        <v>1058</v>
      </c>
      <c r="L19" s="127"/>
      <c r="M19" s="65"/>
      <c r="N19" s="65"/>
    </row>
    <row r="20" spans="3:14" s="1" customFormat="1">
      <c r="C20" s="127" t="s">
        <v>2204</v>
      </c>
      <c r="D20" s="127"/>
      <c r="E20" s="127"/>
      <c r="F20" s="65"/>
      <c r="G20" s="65"/>
      <c r="H20" s="65"/>
      <c r="I20" s="65"/>
      <c r="J20" s="65"/>
      <c r="K20" s="127"/>
      <c r="L20" s="127"/>
      <c r="M20" s="65"/>
      <c r="N20" s="65"/>
    </row>
  </sheetData>
  <mergeCells count="19">
    <mergeCell ref="C20:E20"/>
    <mergeCell ref="K20:L20"/>
    <mergeCell ref="K4:K5"/>
    <mergeCell ref="L4:M4"/>
    <mergeCell ref="N4:N5"/>
    <mergeCell ref="I4:J4"/>
    <mergeCell ref="C14:E14"/>
    <mergeCell ref="K14:L14"/>
    <mergeCell ref="C15:E15"/>
    <mergeCell ref="K15:L15"/>
    <mergeCell ref="C19:E19"/>
    <mergeCell ref="K19:L19"/>
    <mergeCell ref="B2:N2"/>
    <mergeCell ref="B3:N3"/>
    <mergeCell ref="B4:B5"/>
    <mergeCell ref="C4:D4"/>
    <mergeCell ref="E4:E5"/>
    <mergeCell ref="F4:G4"/>
    <mergeCell ref="H4:H5"/>
  </mergeCells>
  <printOptions horizontalCentered="1" verticalCentered="1"/>
  <pageMargins left="1.37795275590551" right="0.39370078740157499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6"/>
  <sheetViews>
    <sheetView workbookViewId="0">
      <pane ySplit="6" topLeftCell="A376" activePane="bottomLeft" state="frozen"/>
      <selection pane="bottomLeft" activeCell="F384" sqref="F384"/>
    </sheetView>
  </sheetViews>
  <sheetFormatPr defaultRowHeight="12.75"/>
  <cols>
    <col min="1" max="1" width="9.140625" style="49"/>
    <col min="2" max="2" width="3.7109375" style="49" bestFit="1" customWidth="1"/>
    <col min="3" max="3" width="15.7109375" style="49" customWidth="1"/>
    <col min="4" max="4" width="6.7109375" style="49" customWidth="1"/>
    <col min="5" max="5" width="12.7109375" style="90" customWidth="1"/>
    <col min="6" max="6" width="9.7109375" style="49" customWidth="1"/>
    <col min="7" max="7" width="15.7109375" style="49" customWidth="1"/>
    <col min="8" max="8" width="7.7109375" style="49" customWidth="1"/>
    <col min="9" max="9" width="10.7109375" style="49" customWidth="1"/>
    <col min="10" max="10" width="13.7109375" style="90" customWidth="1"/>
    <col min="11" max="11" width="16.28515625" style="91" bestFit="1" customWidth="1"/>
    <col min="12" max="12" width="6.28515625" style="92" bestFit="1" customWidth="1"/>
    <col min="13" max="13" width="4.85546875" style="92" bestFit="1" customWidth="1"/>
    <col min="14" max="14" width="6.42578125" style="49" bestFit="1" customWidth="1"/>
    <col min="15" max="15" width="5.42578125" style="49" bestFit="1" customWidth="1"/>
    <col min="16" max="16" width="16.7109375" style="90" customWidth="1"/>
    <col min="17" max="17" width="7.5703125" style="49" bestFit="1" customWidth="1"/>
    <col min="18" max="18" width="15.7109375" style="90" customWidth="1"/>
    <col min="19" max="16384" width="9.140625" style="49"/>
  </cols>
  <sheetData>
    <row r="1" spans="2:18" s="64" customFormat="1" ht="15.75">
      <c r="B1" s="139" t="s">
        <v>517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2:18" s="64" customFormat="1" ht="15.75">
      <c r="B2" s="139" t="s">
        <v>2193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</row>
    <row r="3" spans="2:18" s="64" customFormat="1" ht="15.75">
      <c r="B3" s="106" t="s">
        <v>2194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ht="15.75">
      <c r="B4" s="106" t="s">
        <v>2197</v>
      </c>
      <c r="D4" s="57"/>
      <c r="E4" s="84"/>
      <c r="F4" s="57"/>
      <c r="G4" s="57"/>
      <c r="H4" s="57"/>
      <c r="I4" s="57"/>
      <c r="J4" s="84"/>
      <c r="K4" s="85"/>
      <c r="L4" s="86"/>
      <c r="M4" s="86"/>
      <c r="N4" s="57"/>
      <c r="O4" s="57"/>
      <c r="P4" s="84"/>
      <c r="Q4" s="57"/>
      <c r="R4" s="84"/>
    </row>
    <row r="5" spans="2:18" ht="20.100000000000001" customHeight="1">
      <c r="B5" s="134" t="s">
        <v>1349</v>
      </c>
      <c r="C5" s="134" t="s">
        <v>1350</v>
      </c>
      <c r="D5" s="135" t="s">
        <v>1351</v>
      </c>
      <c r="E5" s="135" t="s">
        <v>1352</v>
      </c>
      <c r="F5" s="135" t="s">
        <v>6</v>
      </c>
      <c r="G5" s="134" t="s">
        <v>7</v>
      </c>
      <c r="H5" s="135" t="s">
        <v>1</v>
      </c>
      <c r="I5" s="135" t="s">
        <v>2</v>
      </c>
      <c r="J5" s="134" t="s">
        <v>1353</v>
      </c>
      <c r="K5" s="134"/>
      <c r="L5" s="134"/>
      <c r="M5" s="136" t="s">
        <v>1357</v>
      </c>
      <c r="N5" s="134" t="s">
        <v>3</v>
      </c>
      <c r="O5" s="134" t="s">
        <v>1358</v>
      </c>
      <c r="P5" s="135" t="s">
        <v>4</v>
      </c>
      <c r="Q5" s="134" t="s">
        <v>1359</v>
      </c>
      <c r="R5" s="135" t="s">
        <v>5</v>
      </c>
    </row>
    <row r="6" spans="2:18" ht="20.100000000000001" customHeight="1">
      <c r="B6" s="134"/>
      <c r="C6" s="134"/>
      <c r="D6" s="135"/>
      <c r="E6" s="135"/>
      <c r="F6" s="135"/>
      <c r="G6" s="134"/>
      <c r="H6" s="135"/>
      <c r="I6" s="135"/>
      <c r="J6" s="93" t="s">
        <v>1354</v>
      </c>
      <c r="K6" s="94" t="s">
        <v>1355</v>
      </c>
      <c r="L6" s="95" t="s">
        <v>1356</v>
      </c>
      <c r="M6" s="136"/>
      <c r="N6" s="134"/>
      <c r="O6" s="134"/>
      <c r="P6" s="135"/>
      <c r="Q6" s="134"/>
      <c r="R6" s="135"/>
    </row>
    <row r="7" spans="2:18">
      <c r="B7" s="96"/>
      <c r="C7" s="96"/>
      <c r="D7" s="96"/>
      <c r="E7" s="97"/>
      <c r="F7" s="96"/>
      <c r="G7" s="96"/>
      <c r="H7" s="96"/>
      <c r="I7" s="96"/>
      <c r="J7" s="97"/>
      <c r="K7" s="98"/>
      <c r="L7" s="99"/>
      <c r="M7" s="99"/>
      <c r="N7" s="96"/>
      <c r="O7" s="96"/>
      <c r="P7" s="97"/>
      <c r="Q7" s="96"/>
      <c r="R7" s="97"/>
    </row>
    <row r="8" spans="2:18">
      <c r="B8" s="130">
        <v>1</v>
      </c>
      <c r="C8" s="130"/>
      <c r="D8" s="48">
        <v>1</v>
      </c>
      <c r="E8" s="87" t="s">
        <v>8</v>
      </c>
      <c r="F8" s="48" t="s">
        <v>14</v>
      </c>
      <c r="G8" s="48" t="s">
        <v>15</v>
      </c>
      <c r="H8" s="48" t="s">
        <v>9</v>
      </c>
      <c r="I8" s="48" t="s">
        <v>10</v>
      </c>
      <c r="J8" s="87"/>
      <c r="K8" s="88">
        <v>26664</v>
      </c>
      <c r="L8" s="89">
        <f>YEAR(K8)</f>
        <v>1972</v>
      </c>
      <c r="M8" s="89">
        <f t="shared" ref="M8:M71" si="0">2019-L8</f>
        <v>47</v>
      </c>
      <c r="N8" s="48" t="s">
        <v>11</v>
      </c>
      <c r="O8" s="48"/>
      <c r="P8" s="87" t="s">
        <v>12</v>
      </c>
      <c r="Q8" s="48"/>
      <c r="R8" s="87" t="s">
        <v>13</v>
      </c>
    </row>
    <row r="9" spans="2:18">
      <c r="B9" s="130"/>
      <c r="C9" s="130"/>
      <c r="D9" s="48">
        <v>2</v>
      </c>
      <c r="E9" s="87" t="s">
        <v>16</v>
      </c>
      <c r="F9" s="48" t="s">
        <v>20</v>
      </c>
      <c r="G9" s="48" t="s">
        <v>21</v>
      </c>
      <c r="H9" s="48" t="s">
        <v>17</v>
      </c>
      <c r="I9" s="48" t="s">
        <v>10</v>
      </c>
      <c r="J9" s="87"/>
      <c r="K9" s="88">
        <v>27759</v>
      </c>
      <c r="L9" s="89">
        <f t="shared" ref="L9:L12" si="1">YEAR(K9)</f>
        <v>1975</v>
      </c>
      <c r="M9" s="89">
        <f t="shared" si="0"/>
        <v>44</v>
      </c>
      <c r="N9" s="48" t="s">
        <v>11</v>
      </c>
      <c r="O9" s="48"/>
      <c r="P9" s="87" t="s">
        <v>18</v>
      </c>
      <c r="Q9" s="48"/>
      <c r="R9" s="87" t="s">
        <v>19</v>
      </c>
    </row>
    <row r="10" spans="2:18">
      <c r="B10" s="130"/>
      <c r="C10" s="130"/>
      <c r="D10" s="48">
        <v>3</v>
      </c>
      <c r="E10" s="87" t="s">
        <v>22</v>
      </c>
      <c r="F10" s="48" t="s">
        <v>25</v>
      </c>
      <c r="G10" s="48" t="s">
        <v>26</v>
      </c>
      <c r="H10" s="48" t="s">
        <v>9</v>
      </c>
      <c r="I10" s="48" t="s">
        <v>23</v>
      </c>
      <c r="J10" s="87"/>
      <c r="K10" s="88">
        <v>34718</v>
      </c>
      <c r="L10" s="89">
        <f t="shared" si="1"/>
        <v>1995</v>
      </c>
      <c r="M10" s="89">
        <f t="shared" si="0"/>
        <v>24</v>
      </c>
      <c r="N10" s="48" t="s">
        <v>11</v>
      </c>
      <c r="O10" s="48"/>
      <c r="P10" s="87" t="s">
        <v>12</v>
      </c>
      <c r="Q10" s="48"/>
      <c r="R10" s="87" t="s">
        <v>24</v>
      </c>
    </row>
    <row r="11" spans="2:18">
      <c r="B11" s="130"/>
      <c r="C11" s="130"/>
      <c r="D11" s="48">
        <v>4</v>
      </c>
      <c r="E11" s="87" t="s">
        <v>27</v>
      </c>
      <c r="F11" s="48" t="s">
        <v>25</v>
      </c>
      <c r="G11" s="48" t="s">
        <v>29</v>
      </c>
      <c r="H11" s="48" t="s">
        <v>9</v>
      </c>
      <c r="I11" s="48" t="s">
        <v>23</v>
      </c>
      <c r="J11" s="87"/>
      <c r="K11" s="88">
        <v>38210</v>
      </c>
      <c r="L11" s="89">
        <f t="shared" si="1"/>
        <v>2004</v>
      </c>
      <c r="M11" s="89">
        <f t="shared" si="0"/>
        <v>15</v>
      </c>
      <c r="N11" s="48" t="s">
        <v>11</v>
      </c>
      <c r="O11" s="48"/>
      <c r="P11" s="87" t="s">
        <v>28</v>
      </c>
      <c r="Q11" s="48"/>
      <c r="R11" s="87" t="s">
        <v>18</v>
      </c>
    </row>
    <row r="12" spans="2:18">
      <c r="B12" s="130"/>
      <c r="C12" s="130"/>
      <c r="D12" s="48">
        <v>5</v>
      </c>
      <c r="E12" s="87" t="s">
        <v>30</v>
      </c>
      <c r="F12" s="48" t="s">
        <v>25</v>
      </c>
      <c r="G12" s="48" t="s">
        <v>31</v>
      </c>
      <c r="H12" s="48" t="s">
        <v>9</v>
      </c>
      <c r="I12" s="48" t="s">
        <v>23</v>
      </c>
      <c r="J12" s="87"/>
      <c r="K12" s="88">
        <v>40996</v>
      </c>
      <c r="L12" s="89">
        <f t="shared" si="1"/>
        <v>2012</v>
      </c>
      <c r="M12" s="89">
        <f t="shared" si="0"/>
        <v>7</v>
      </c>
      <c r="N12" s="48" t="s">
        <v>11</v>
      </c>
      <c r="O12" s="48"/>
      <c r="P12" s="87" t="s">
        <v>18</v>
      </c>
      <c r="Q12" s="48"/>
      <c r="R12" s="87" t="s">
        <v>18</v>
      </c>
    </row>
    <row r="13" spans="2:18">
      <c r="B13" s="130">
        <v>2</v>
      </c>
      <c r="C13" s="130" t="s">
        <v>1779</v>
      </c>
      <c r="D13" s="48">
        <v>6</v>
      </c>
      <c r="E13" s="87" t="s">
        <v>32</v>
      </c>
      <c r="F13" s="48" t="s">
        <v>14</v>
      </c>
      <c r="G13" s="48" t="s">
        <v>34</v>
      </c>
      <c r="H13" s="48" t="s">
        <v>9</v>
      </c>
      <c r="I13" s="48" t="s">
        <v>10</v>
      </c>
      <c r="J13" s="87" t="s">
        <v>1780</v>
      </c>
      <c r="K13" s="88">
        <v>29871</v>
      </c>
      <c r="L13" s="89">
        <v>1981</v>
      </c>
      <c r="M13" s="89">
        <f t="shared" si="0"/>
        <v>38</v>
      </c>
      <c r="N13" s="48" t="s">
        <v>11</v>
      </c>
      <c r="O13" s="48" t="s">
        <v>1369</v>
      </c>
      <c r="P13" s="87" t="s">
        <v>1388</v>
      </c>
      <c r="Q13" s="48"/>
      <c r="R13" s="87" t="s">
        <v>1782</v>
      </c>
    </row>
    <row r="14" spans="2:18" ht="25.5">
      <c r="B14" s="130"/>
      <c r="C14" s="130"/>
      <c r="D14" s="48">
        <v>7</v>
      </c>
      <c r="E14" s="87" t="s">
        <v>35</v>
      </c>
      <c r="F14" s="48" t="s">
        <v>20</v>
      </c>
      <c r="G14" s="48" t="s">
        <v>37</v>
      </c>
      <c r="H14" s="48" t="s">
        <v>17</v>
      </c>
      <c r="I14" s="48" t="s">
        <v>10</v>
      </c>
      <c r="J14" s="87" t="s">
        <v>1387</v>
      </c>
      <c r="K14" s="88">
        <v>32142</v>
      </c>
      <c r="L14" s="89">
        <v>1987</v>
      </c>
      <c r="M14" s="89">
        <f t="shared" si="0"/>
        <v>32</v>
      </c>
      <c r="N14" s="48" t="s">
        <v>11</v>
      </c>
      <c r="O14" s="48" t="s">
        <v>1369</v>
      </c>
      <c r="P14" s="87" t="s">
        <v>1781</v>
      </c>
      <c r="Q14" s="48"/>
      <c r="R14" s="87" t="s">
        <v>1783</v>
      </c>
    </row>
    <row r="15" spans="2:18" ht="25.5">
      <c r="B15" s="130"/>
      <c r="C15" s="130"/>
      <c r="D15" s="48">
        <v>8</v>
      </c>
      <c r="E15" s="87" t="s">
        <v>38</v>
      </c>
      <c r="F15" s="48" t="s">
        <v>25</v>
      </c>
      <c r="G15" s="48" t="s">
        <v>39</v>
      </c>
      <c r="H15" s="48" t="s">
        <v>17</v>
      </c>
      <c r="I15" s="48" t="s">
        <v>23</v>
      </c>
      <c r="J15" s="87" t="s">
        <v>1455</v>
      </c>
      <c r="K15" s="88">
        <v>40060</v>
      </c>
      <c r="L15" s="89">
        <v>2009</v>
      </c>
      <c r="M15" s="89">
        <f t="shared" si="0"/>
        <v>10</v>
      </c>
      <c r="N15" s="48" t="s">
        <v>11</v>
      </c>
      <c r="O15" s="48" t="s">
        <v>1369</v>
      </c>
      <c r="P15" s="87" t="s">
        <v>1378</v>
      </c>
      <c r="Q15" s="48"/>
      <c r="R15" s="87" t="s">
        <v>1555</v>
      </c>
    </row>
    <row r="16" spans="2:18" ht="25.5">
      <c r="B16" s="130">
        <v>3</v>
      </c>
      <c r="C16" s="130" t="s">
        <v>1808</v>
      </c>
      <c r="D16" s="48">
        <v>9</v>
      </c>
      <c r="E16" s="87" t="s">
        <v>1546</v>
      </c>
      <c r="F16" s="48" t="s">
        <v>14</v>
      </c>
      <c r="G16" s="48" t="s">
        <v>1810</v>
      </c>
      <c r="H16" s="48" t="s">
        <v>9</v>
      </c>
      <c r="I16" s="48" t="s">
        <v>10</v>
      </c>
      <c r="J16" s="87" t="s">
        <v>1387</v>
      </c>
      <c r="K16" s="88">
        <v>32345</v>
      </c>
      <c r="L16" s="89">
        <v>1988</v>
      </c>
      <c r="M16" s="89">
        <f t="shared" si="0"/>
        <v>31</v>
      </c>
      <c r="N16" s="48" t="s">
        <v>11</v>
      </c>
      <c r="O16" s="48" t="s">
        <v>1369</v>
      </c>
      <c r="P16" s="87" t="s">
        <v>1378</v>
      </c>
      <c r="Q16" s="48"/>
      <c r="R16" s="87" t="s">
        <v>1666</v>
      </c>
    </row>
    <row r="17" spans="2:18" ht="25.5">
      <c r="B17" s="130"/>
      <c r="C17" s="130"/>
      <c r="D17" s="48">
        <v>10</v>
      </c>
      <c r="E17" s="87" t="s">
        <v>1809</v>
      </c>
      <c r="F17" s="48" t="s">
        <v>20</v>
      </c>
      <c r="G17" s="48" t="s">
        <v>1811</v>
      </c>
      <c r="H17" s="48" t="s">
        <v>17</v>
      </c>
      <c r="I17" s="48" t="s">
        <v>10</v>
      </c>
      <c r="J17" s="87" t="s">
        <v>1438</v>
      </c>
      <c r="K17" s="88">
        <v>33395</v>
      </c>
      <c r="L17" s="89">
        <v>1991</v>
      </c>
      <c r="M17" s="89">
        <f t="shared" si="0"/>
        <v>28</v>
      </c>
      <c r="N17" s="48" t="s">
        <v>11</v>
      </c>
      <c r="O17" s="48" t="s">
        <v>1369</v>
      </c>
      <c r="P17" s="87" t="s">
        <v>28</v>
      </c>
      <c r="Q17" s="48"/>
      <c r="R17" s="87" t="s">
        <v>1555</v>
      </c>
    </row>
    <row r="18" spans="2:18" ht="25.5">
      <c r="B18" s="130"/>
      <c r="C18" s="130"/>
      <c r="D18" s="48">
        <v>11</v>
      </c>
      <c r="E18" s="87" t="s">
        <v>1807</v>
      </c>
      <c r="F18" s="48" t="s">
        <v>25</v>
      </c>
      <c r="G18" s="48" t="s">
        <v>1812</v>
      </c>
      <c r="H18" s="48" t="s">
        <v>9</v>
      </c>
      <c r="I18" s="48" t="s">
        <v>23</v>
      </c>
      <c r="J18" s="87" t="s">
        <v>1387</v>
      </c>
      <c r="K18" s="88">
        <v>42188</v>
      </c>
      <c r="L18" s="89">
        <v>2015</v>
      </c>
      <c r="M18" s="89">
        <f t="shared" si="0"/>
        <v>4</v>
      </c>
      <c r="N18" s="48" t="s">
        <v>11</v>
      </c>
      <c r="O18" s="48" t="s">
        <v>1369</v>
      </c>
      <c r="P18" s="87" t="s">
        <v>1378</v>
      </c>
      <c r="Q18" s="48"/>
      <c r="R18" s="87" t="s">
        <v>1555</v>
      </c>
    </row>
    <row r="19" spans="2:18" ht="25.5">
      <c r="B19" s="130">
        <v>4</v>
      </c>
      <c r="C19" s="130" t="s">
        <v>1609</v>
      </c>
      <c r="D19" s="48">
        <v>12</v>
      </c>
      <c r="E19" s="87" t="s">
        <v>41</v>
      </c>
      <c r="F19" s="48" t="s">
        <v>14</v>
      </c>
      <c r="G19" s="48" t="s">
        <v>42</v>
      </c>
      <c r="H19" s="48" t="s">
        <v>9</v>
      </c>
      <c r="I19" s="48" t="s">
        <v>10</v>
      </c>
      <c r="J19" s="87" t="s">
        <v>1368</v>
      </c>
      <c r="K19" s="88">
        <v>25915</v>
      </c>
      <c r="L19" s="89">
        <v>1970</v>
      </c>
      <c r="M19" s="89">
        <f t="shared" si="0"/>
        <v>49</v>
      </c>
      <c r="N19" s="48" t="s">
        <v>11</v>
      </c>
      <c r="O19" s="48" t="s">
        <v>1369</v>
      </c>
      <c r="P19" s="87" t="s">
        <v>1378</v>
      </c>
      <c r="Q19" s="48"/>
      <c r="R19" s="87" t="s">
        <v>1371</v>
      </c>
    </row>
    <row r="20" spans="2:18" ht="25.5">
      <c r="B20" s="130"/>
      <c r="C20" s="130"/>
      <c r="D20" s="48">
        <v>13</v>
      </c>
      <c r="E20" s="87" t="s">
        <v>43</v>
      </c>
      <c r="F20" s="48" t="s">
        <v>20</v>
      </c>
      <c r="G20" s="48" t="s">
        <v>44</v>
      </c>
      <c r="H20" s="48" t="s">
        <v>17</v>
      </c>
      <c r="I20" s="48" t="s">
        <v>10</v>
      </c>
      <c r="J20" s="87" t="s">
        <v>1368</v>
      </c>
      <c r="K20" s="88">
        <v>25933</v>
      </c>
      <c r="L20" s="89">
        <v>1970</v>
      </c>
      <c r="M20" s="89">
        <f t="shared" si="0"/>
        <v>49</v>
      </c>
      <c r="N20" s="48" t="s">
        <v>11</v>
      </c>
      <c r="O20" s="48" t="s">
        <v>1369</v>
      </c>
      <c r="P20" s="87" t="s">
        <v>1393</v>
      </c>
      <c r="Q20" s="48"/>
      <c r="R20" s="87" t="s">
        <v>1371</v>
      </c>
    </row>
    <row r="21" spans="2:18" ht="25.5">
      <c r="B21" s="130"/>
      <c r="C21" s="130"/>
      <c r="D21" s="48">
        <v>14</v>
      </c>
      <c r="E21" s="87" t="s">
        <v>1608</v>
      </c>
      <c r="F21" s="48" t="s">
        <v>25</v>
      </c>
      <c r="G21" s="48" t="s">
        <v>47</v>
      </c>
      <c r="H21" s="48" t="s">
        <v>9</v>
      </c>
      <c r="I21" s="48" t="s">
        <v>23</v>
      </c>
      <c r="J21" s="87" t="s">
        <v>1368</v>
      </c>
      <c r="K21" s="88">
        <v>38534</v>
      </c>
      <c r="L21" s="89">
        <v>2005</v>
      </c>
      <c r="M21" s="89">
        <f t="shared" si="0"/>
        <v>14</v>
      </c>
      <c r="N21" s="48" t="s">
        <v>11</v>
      </c>
      <c r="O21" s="48" t="s">
        <v>1369</v>
      </c>
      <c r="P21" s="87" t="s">
        <v>1375</v>
      </c>
      <c r="Q21" s="48"/>
      <c r="R21" s="87" t="s">
        <v>1572</v>
      </c>
    </row>
    <row r="22" spans="2:18">
      <c r="B22" s="130">
        <v>5</v>
      </c>
      <c r="C22" s="130" t="s">
        <v>1673</v>
      </c>
      <c r="D22" s="48">
        <v>15</v>
      </c>
      <c r="E22" s="87" t="s">
        <v>48</v>
      </c>
      <c r="F22" s="48" t="s">
        <v>14</v>
      </c>
      <c r="G22" s="48" t="s">
        <v>1674</v>
      </c>
      <c r="H22" s="48" t="s">
        <v>9</v>
      </c>
      <c r="I22" s="48" t="s">
        <v>10</v>
      </c>
      <c r="J22" s="87" t="s">
        <v>1368</v>
      </c>
      <c r="K22" s="88">
        <v>31229</v>
      </c>
      <c r="L22" s="89">
        <v>1985</v>
      </c>
      <c r="M22" s="89">
        <f t="shared" si="0"/>
        <v>34</v>
      </c>
      <c r="N22" s="48" t="s">
        <v>11</v>
      </c>
      <c r="O22" s="48" t="s">
        <v>1369</v>
      </c>
      <c r="P22" s="87" t="s">
        <v>28</v>
      </c>
      <c r="Q22" s="48"/>
      <c r="R22" s="87" t="s">
        <v>49</v>
      </c>
    </row>
    <row r="23" spans="2:18" ht="25.5">
      <c r="B23" s="130"/>
      <c r="C23" s="130"/>
      <c r="D23" s="48">
        <v>16</v>
      </c>
      <c r="E23" s="87" t="s">
        <v>50</v>
      </c>
      <c r="F23" s="48" t="s">
        <v>20</v>
      </c>
      <c r="G23" s="48" t="s">
        <v>1675</v>
      </c>
      <c r="H23" s="48" t="s">
        <v>17</v>
      </c>
      <c r="I23" s="48" t="s">
        <v>10</v>
      </c>
      <c r="J23" s="87" t="s">
        <v>1677</v>
      </c>
      <c r="K23" s="88">
        <v>32965</v>
      </c>
      <c r="L23" s="89">
        <v>1990</v>
      </c>
      <c r="M23" s="89">
        <f t="shared" si="0"/>
        <v>29</v>
      </c>
      <c r="N23" s="48" t="s">
        <v>11</v>
      </c>
      <c r="O23" s="48" t="s">
        <v>1369</v>
      </c>
      <c r="P23" s="87" t="s">
        <v>28</v>
      </c>
      <c r="Q23" s="48"/>
      <c r="R23" s="87" t="s">
        <v>1373</v>
      </c>
    </row>
    <row r="24" spans="2:18" ht="25.5">
      <c r="B24" s="130"/>
      <c r="C24" s="130"/>
      <c r="D24" s="48">
        <v>17</v>
      </c>
      <c r="E24" s="87" t="s">
        <v>51</v>
      </c>
      <c r="F24" s="48" t="s">
        <v>25</v>
      </c>
      <c r="G24" s="48" t="s">
        <v>1676</v>
      </c>
      <c r="H24" s="48" t="s">
        <v>17</v>
      </c>
      <c r="I24" s="48" t="s">
        <v>52</v>
      </c>
      <c r="J24" s="87" t="s">
        <v>1368</v>
      </c>
      <c r="K24" s="88" t="s">
        <v>1678</v>
      </c>
      <c r="L24" s="89">
        <v>2011</v>
      </c>
      <c r="M24" s="89">
        <f t="shared" si="0"/>
        <v>8</v>
      </c>
      <c r="N24" s="48" t="s">
        <v>11</v>
      </c>
      <c r="O24" s="48" t="s">
        <v>1369</v>
      </c>
      <c r="P24" s="87" t="s">
        <v>1378</v>
      </c>
      <c r="Q24" s="48"/>
      <c r="R24" s="87" t="s">
        <v>1555</v>
      </c>
    </row>
    <row r="25" spans="2:18">
      <c r="B25" s="130">
        <v>6</v>
      </c>
      <c r="C25" s="130" t="s">
        <v>1698</v>
      </c>
      <c r="D25" s="48">
        <v>18</v>
      </c>
      <c r="E25" s="87" t="s">
        <v>53</v>
      </c>
      <c r="F25" s="48" t="s">
        <v>14</v>
      </c>
      <c r="G25" s="48" t="s">
        <v>54</v>
      </c>
      <c r="H25" s="48" t="s">
        <v>9</v>
      </c>
      <c r="I25" s="48" t="s">
        <v>10</v>
      </c>
      <c r="J25" s="87" t="s">
        <v>1368</v>
      </c>
      <c r="K25" s="88">
        <v>30441</v>
      </c>
      <c r="L25" s="89">
        <v>1983</v>
      </c>
      <c r="M25" s="89">
        <f t="shared" si="0"/>
        <v>36</v>
      </c>
      <c r="N25" s="48" t="s">
        <v>11</v>
      </c>
      <c r="O25" s="48" t="s">
        <v>1369</v>
      </c>
      <c r="P25" s="87" t="s">
        <v>28</v>
      </c>
      <c r="Q25" s="48"/>
      <c r="R25" s="87" t="s">
        <v>49</v>
      </c>
    </row>
    <row r="26" spans="2:18" ht="25.5">
      <c r="B26" s="130"/>
      <c r="C26" s="130"/>
      <c r="D26" s="48">
        <v>19</v>
      </c>
      <c r="E26" s="87" t="s">
        <v>55</v>
      </c>
      <c r="F26" s="48" t="s">
        <v>20</v>
      </c>
      <c r="G26" s="48" t="s">
        <v>1699</v>
      </c>
      <c r="H26" s="48" t="s">
        <v>17</v>
      </c>
      <c r="I26" s="48" t="s">
        <v>10</v>
      </c>
      <c r="J26" s="87" t="s">
        <v>1368</v>
      </c>
      <c r="K26" s="88">
        <v>32142</v>
      </c>
      <c r="L26" s="89">
        <v>1987</v>
      </c>
      <c r="M26" s="89">
        <f t="shared" si="0"/>
        <v>32</v>
      </c>
      <c r="N26" s="48" t="s">
        <v>11</v>
      </c>
      <c r="O26" s="48" t="s">
        <v>1369</v>
      </c>
      <c r="P26" s="87" t="s">
        <v>28</v>
      </c>
      <c r="Q26" s="48"/>
      <c r="R26" s="87" t="s">
        <v>1373</v>
      </c>
    </row>
    <row r="27" spans="2:18" ht="25.5">
      <c r="B27" s="130"/>
      <c r="C27" s="130"/>
      <c r="D27" s="48">
        <v>20</v>
      </c>
      <c r="E27" s="87" t="s">
        <v>56</v>
      </c>
      <c r="F27" s="48" t="s">
        <v>25</v>
      </c>
      <c r="G27" s="48" t="s">
        <v>1700</v>
      </c>
      <c r="H27" s="48" t="s">
        <v>17</v>
      </c>
      <c r="I27" s="48" t="s">
        <v>23</v>
      </c>
      <c r="J27" s="87" t="s">
        <v>1387</v>
      </c>
      <c r="K27" s="88">
        <v>40823</v>
      </c>
      <c r="L27" s="89">
        <v>2011</v>
      </c>
      <c r="M27" s="89">
        <f t="shared" si="0"/>
        <v>8</v>
      </c>
      <c r="N27" s="48" t="s">
        <v>11</v>
      </c>
      <c r="O27" s="48" t="s">
        <v>1369</v>
      </c>
      <c r="P27" s="87" t="s">
        <v>1378</v>
      </c>
      <c r="Q27" s="48"/>
      <c r="R27" s="87" t="s">
        <v>1555</v>
      </c>
    </row>
    <row r="28" spans="2:18" ht="25.5">
      <c r="B28" s="130">
        <v>7</v>
      </c>
      <c r="C28" s="130"/>
      <c r="D28" s="48">
        <v>21</v>
      </c>
      <c r="E28" s="87" t="s">
        <v>57</v>
      </c>
      <c r="F28" s="48" t="s">
        <v>14</v>
      </c>
      <c r="G28" s="48" t="s">
        <v>59</v>
      </c>
      <c r="H28" s="48" t="s">
        <v>17</v>
      </c>
      <c r="I28" s="48" t="s">
        <v>10</v>
      </c>
      <c r="J28" s="87"/>
      <c r="K28" s="88">
        <v>31412</v>
      </c>
      <c r="L28" s="89">
        <f t="shared" ref="L28:L36" si="2">YEAR(K28)</f>
        <v>1985</v>
      </c>
      <c r="M28" s="89">
        <f t="shared" si="0"/>
        <v>34</v>
      </c>
      <c r="N28" s="48" t="s">
        <v>11</v>
      </c>
      <c r="O28" s="48"/>
      <c r="P28" s="87" t="s">
        <v>33</v>
      </c>
      <c r="Q28" s="48"/>
      <c r="R28" s="87" t="s">
        <v>58</v>
      </c>
    </row>
    <row r="29" spans="2:18">
      <c r="B29" s="130"/>
      <c r="C29" s="130"/>
      <c r="D29" s="48">
        <v>22</v>
      </c>
      <c r="E29" s="87" t="s">
        <v>60</v>
      </c>
      <c r="F29" s="48" t="s">
        <v>25</v>
      </c>
      <c r="G29" s="48" t="s">
        <v>61</v>
      </c>
      <c r="H29" s="48" t="s">
        <v>17</v>
      </c>
      <c r="I29" s="48" t="s">
        <v>23</v>
      </c>
      <c r="J29" s="87"/>
      <c r="K29" s="88">
        <v>39654</v>
      </c>
      <c r="L29" s="89">
        <f t="shared" si="2"/>
        <v>2008</v>
      </c>
      <c r="M29" s="89">
        <f t="shared" si="0"/>
        <v>11</v>
      </c>
      <c r="N29" s="48" t="s">
        <v>11</v>
      </c>
      <c r="O29" s="48"/>
      <c r="P29" s="87" t="s">
        <v>18</v>
      </c>
      <c r="Q29" s="48"/>
      <c r="R29" s="87" t="s">
        <v>18</v>
      </c>
    </row>
    <row r="30" spans="2:18">
      <c r="B30" s="130">
        <v>8</v>
      </c>
      <c r="C30" s="130"/>
      <c r="D30" s="48">
        <v>23</v>
      </c>
      <c r="E30" s="87" t="s">
        <v>62</v>
      </c>
      <c r="F30" s="48" t="s">
        <v>14</v>
      </c>
      <c r="G30" s="48" t="s">
        <v>63</v>
      </c>
      <c r="H30" s="48" t="s">
        <v>9</v>
      </c>
      <c r="I30" s="48" t="s">
        <v>10</v>
      </c>
      <c r="J30" s="87"/>
      <c r="K30" s="88">
        <v>30594</v>
      </c>
      <c r="L30" s="89">
        <f t="shared" si="2"/>
        <v>1983</v>
      </c>
      <c r="M30" s="89">
        <f t="shared" si="0"/>
        <v>36</v>
      </c>
      <c r="N30" s="48" t="s">
        <v>11</v>
      </c>
      <c r="O30" s="48"/>
      <c r="P30" s="87" t="s">
        <v>28</v>
      </c>
      <c r="Q30" s="48"/>
      <c r="R30" s="87" t="s">
        <v>24</v>
      </c>
    </row>
    <row r="31" spans="2:18">
      <c r="B31" s="130"/>
      <c r="C31" s="130"/>
      <c r="D31" s="48">
        <v>24</v>
      </c>
      <c r="E31" s="87" t="s">
        <v>64</v>
      </c>
      <c r="F31" s="48" t="s">
        <v>20</v>
      </c>
      <c r="G31" s="48" t="s">
        <v>65</v>
      </c>
      <c r="H31" s="48" t="s">
        <v>17</v>
      </c>
      <c r="I31" s="48" t="s">
        <v>10</v>
      </c>
      <c r="J31" s="87"/>
      <c r="K31" s="88">
        <v>32508</v>
      </c>
      <c r="L31" s="89">
        <f t="shared" si="2"/>
        <v>1988</v>
      </c>
      <c r="M31" s="89">
        <f t="shared" si="0"/>
        <v>31</v>
      </c>
      <c r="N31" s="48" t="s">
        <v>11</v>
      </c>
      <c r="O31" s="48"/>
      <c r="P31" s="87" t="s">
        <v>28</v>
      </c>
      <c r="Q31" s="48"/>
      <c r="R31" s="87" t="s">
        <v>24</v>
      </c>
    </row>
    <row r="32" spans="2:18">
      <c r="B32" s="130">
        <v>9</v>
      </c>
      <c r="C32" s="130"/>
      <c r="D32" s="48">
        <v>25</v>
      </c>
      <c r="E32" s="87" t="s">
        <v>66</v>
      </c>
      <c r="F32" s="48" t="s">
        <v>14</v>
      </c>
      <c r="G32" s="48">
        <v>0</v>
      </c>
      <c r="H32" s="48" t="s">
        <v>17</v>
      </c>
      <c r="I32" s="48" t="s">
        <v>67</v>
      </c>
      <c r="J32" s="87"/>
      <c r="K32" s="88">
        <v>24022</v>
      </c>
      <c r="L32" s="89">
        <f t="shared" si="2"/>
        <v>1965</v>
      </c>
      <c r="M32" s="89">
        <f t="shared" si="0"/>
        <v>54</v>
      </c>
      <c r="N32" s="48" t="s">
        <v>11</v>
      </c>
      <c r="O32" s="48"/>
      <c r="P32" s="87" t="s">
        <v>18</v>
      </c>
      <c r="Q32" s="48"/>
      <c r="R32" s="87" t="s">
        <v>24</v>
      </c>
    </row>
    <row r="33" spans="2:18">
      <c r="B33" s="130"/>
      <c r="C33" s="130"/>
      <c r="D33" s="48">
        <v>26</v>
      </c>
      <c r="E33" s="87" t="s">
        <v>68</v>
      </c>
      <c r="F33" s="48" t="s">
        <v>25</v>
      </c>
      <c r="G33" s="48">
        <v>0</v>
      </c>
      <c r="H33" s="48" t="s">
        <v>9</v>
      </c>
      <c r="I33" s="48" t="s">
        <v>23</v>
      </c>
      <c r="J33" s="87"/>
      <c r="K33" s="88">
        <v>33610</v>
      </c>
      <c r="L33" s="89">
        <f t="shared" si="2"/>
        <v>1992</v>
      </c>
      <c r="M33" s="89">
        <f t="shared" si="0"/>
        <v>27</v>
      </c>
      <c r="N33" s="48" t="s">
        <v>11</v>
      </c>
      <c r="O33" s="48"/>
      <c r="P33" s="87" t="s">
        <v>33</v>
      </c>
      <c r="Q33" s="48"/>
      <c r="R33" s="87" t="s">
        <v>24</v>
      </c>
    </row>
    <row r="34" spans="2:18">
      <c r="B34" s="130">
        <v>10</v>
      </c>
      <c r="C34" s="130"/>
      <c r="D34" s="48">
        <v>27</v>
      </c>
      <c r="E34" s="87" t="s">
        <v>69</v>
      </c>
      <c r="F34" s="48" t="s">
        <v>14</v>
      </c>
      <c r="G34" s="48" t="s">
        <v>70</v>
      </c>
      <c r="H34" s="48" t="s">
        <v>9</v>
      </c>
      <c r="I34" s="48" t="s">
        <v>10</v>
      </c>
      <c r="J34" s="87"/>
      <c r="K34" s="88">
        <v>12054</v>
      </c>
      <c r="L34" s="89">
        <f t="shared" si="2"/>
        <v>1932</v>
      </c>
      <c r="M34" s="89">
        <f t="shared" si="0"/>
        <v>87</v>
      </c>
      <c r="N34" s="48" t="s">
        <v>11</v>
      </c>
      <c r="O34" s="48"/>
      <c r="P34" s="87" t="s">
        <v>33</v>
      </c>
      <c r="Q34" s="48"/>
      <c r="R34" s="87" t="s">
        <v>49</v>
      </c>
    </row>
    <row r="35" spans="2:18">
      <c r="B35" s="130"/>
      <c r="C35" s="130"/>
      <c r="D35" s="48">
        <v>28</v>
      </c>
      <c r="E35" s="87" t="s">
        <v>71</v>
      </c>
      <c r="F35" s="48" t="s">
        <v>20</v>
      </c>
      <c r="G35" s="48" t="s">
        <v>72</v>
      </c>
      <c r="H35" s="48" t="s">
        <v>17</v>
      </c>
      <c r="I35" s="48" t="s">
        <v>10</v>
      </c>
      <c r="J35" s="87"/>
      <c r="K35" s="88">
        <v>31215</v>
      </c>
      <c r="L35" s="89">
        <f t="shared" si="2"/>
        <v>1985</v>
      </c>
      <c r="M35" s="89">
        <f t="shared" si="0"/>
        <v>34</v>
      </c>
      <c r="N35" s="48" t="s">
        <v>11</v>
      </c>
      <c r="O35" s="48"/>
      <c r="P35" s="87" t="s">
        <v>12</v>
      </c>
      <c r="Q35" s="48"/>
      <c r="R35" s="87" t="s">
        <v>18</v>
      </c>
    </row>
    <row r="36" spans="2:18" ht="25.5">
      <c r="B36" s="130"/>
      <c r="C36" s="130"/>
      <c r="D36" s="48">
        <v>29</v>
      </c>
      <c r="E36" s="87" t="s">
        <v>73</v>
      </c>
      <c r="F36" s="48" t="s">
        <v>25</v>
      </c>
      <c r="G36" s="48" t="s">
        <v>74</v>
      </c>
      <c r="H36" s="48" t="s">
        <v>17</v>
      </c>
      <c r="I36" s="48" t="s">
        <v>23</v>
      </c>
      <c r="J36" s="87"/>
      <c r="K36" s="88">
        <v>38349</v>
      </c>
      <c r="L36" s="89">
        <f t="shared" si="2"/>
        <v>2004</v>
      </c>
      <c r="M36" s="89">
        <f t="shared" si="0"/>
        <v>15</v>
      </c>
      <c r="N36" s="48" t="s">
        <v>11</v>
      </c>
      <c r="O36" s="48"/>
      <c r="P36" s="87" t="s">
        <v>18</v>
      </c>
      <c r="Q36" s="48"/>
      <c r="R36" s="87" t="s">
        <v>18</v>
      </c>
    </row>
    <row r="37" spans="2:18" ht="25.5">
      <c r="B37" s="130">
        <v>11</v>
      </c>
      <c r="C37" s="130" t="s">
        <v>1567</v>
      </c>
      <c r="D37" s="48">
        <v>30</v>
      </c>
      <c r="E37" s="87" t="s">
        <v>75</v>
      </c>
      <c r="F37" s="48" t="s">
        <v>14</v>
      </c>
      <c r="G37" s="48" t="s">
        <v>1569</v>
      </c>
      <c r="H37" s="48" t="s">
        <v>9</v>
      </c>
      <c r="I37" s="48" t="s">
        <v>10</v>
      </c>
      <c r="J37" s="87" t="s">
        <v>1387</v>
      </c>
      <c r="K37" s="88">
        <v>30316</v>
      </c>
      <c r="L37" s="89">
        <v>1982</v>
      </c>
      <c r="M37" s="89">
        <f t="shared" si="0"/>
        <v>37</v>
      </c>
      <c r="N37" s="48" t="s">
        <v>11</v>
      </c>
      <c r="O37" s="48" t="s">
        <v>1369</v>
      </c>
      <c r="P37" s="87" t="s">
        <v>1393</v>
      </c>
      <c r="Q37" s="48"/>
      <c r="R37" s="87" t="s">
        <v>49</v>
      </c>
    </row>
    <row r="38" spans="2:18" ht="25.5">
      <c r="B38" s="130"/>
      <c r="C38" s="130"/>
      <c r="D38" s="48">
        <v>31</v>
      </c>
      <c r="E38" s="87" t="s">
        <v>76</v>
      </c>
      <c r="F38" s="48" t="s">
        <v>20</v>
      </c>
      <c r="G38" s="48" t="s">
        <v>1570</v>
      </c>
      <c r="H38" s="48" t="s">
        <v>17</v>
      </c>
      <c r="I38" s="48" t="s">
        <v>10</v>
      </c>
      <c r="J38" s="87" t="s">
        <v>1368</v>
      </c>
      <c r="K38" s="88">
        <v>31594</v>
      </c>
      <c r="L38" s="89">
        <v>1986</v>
      </c>
      <c r="M38" s="89">
        <f t="shared" si="0"/>
        <v>33</v>
      </c>
      <c r="N38" s="48" t="s">
        <v>11</v>
      </c>
      <c r="O38" s="48" t="s">
        <v>1369</v>
      </c>
      <c r="P38" s="87" t="s">
        <v>1385</v>
      </c>
      <c r="Q38" s="48"/>
      <c r="R38" s="87" t="s">
        <v>1373</v>
      </c>
    </row>
    <row r="39" spans="2:18" ht="25.5">
      <c r="B39" s="130"/>
      <c r="C39" s="130"/>
      <c r="D39" s="48">
        <v>32</v>
      </c>
      <c r="E39" s="87" t="s">
        <v>1568</v>
      </c>
      <c r="F39" s="48" t="s">
        <v>25</v>
      </c>
      <c r="G39" s="48" t="s">
        <v>1571</v>
      </c>
      <c r="H39" s="48" t="s">
        <v>9</v>
      </c>
      <c r="I39" s="48" t="s">
        <v>23</v>
      </c>
      <c r="J39" s="87" t="s">
        <v>1368</v>
      </c>
      <c r="K39" s="88">
        <v>39420</v>
      </c>
      <c r="L39" s="89">
        <v>2007</v>
      </c>
      <c r="M39" s="89">
        <f t="shared" si="0"/>
        <v>12</v>
      </c>
      <c r="N39" s="48" t="s">
        <v>11</v>
      </c>
      <c r="O39" s="48" t="s">
        <v>1369</v>
      </c>
      <c r="P39" s="87" t="s">
        <v>1375</v>
      </c>
      <c r="Q39" s="48"/>
      <c r="R39" s="87" t="s">
        <v>1572</v>
      </c>
    </row>
    <row r="40" spans="2:18">
      <c r="B40" s="130">
        <v>12</v>
      </c>
      <c r="C40" s="130"/>
      <c r="D40" s="48">
        <v>33</v>
      </c>
      <c r="E40" s="87" t="s">
        <v>77</v>
      </c>
      <c r="F40" s="48" t="s">
        <v>14</v>
      </c>
      <c r="G40" s="48" t="s">
        <v>78</v>
      </c>
      <c r="H40" s="48" t="s">
        <v>9</v>
      </c>
      <c r="I40" s="48" t="s">
        <v>10</v>
      </c>
      <c r="J40" s="87"/>
      <c r="K40" s="88">
        <v>27073</v>
      </c>
      <c r="L40" s="89">
        <f t="shared" ref="L40:L47" si="3">YEAR(K40)</f>
        <v>1974</v>
      </c>
      <c r="M40" s="89">
        <f t="shared" si="0"/>
        <v>45</v>
      </c>
      <c r="N40" s="48" t="s">
        <v>11</v>
      </c>
      <c r="O40" s="48"/>
      <c r="P40" s="87" t="s">
        <v>28</v>
      </c>
      <c r="Q40" s="48"/>
      <c r="R40" s="87" t="s">
        <v>24</v>
      </c>
    </row>
    <row r="41" spans="2:18">
      <c r="B41" s="130"/>
      <c r="C41" s="130"/>
      <c r="D41" s="48">
        <v>34</v>
      </c>
      <c r="E41" s="87" t="s">
        <v>79</v>
      </c>
      <c r="F41" s="48" t="s">
        <v>20</v>
      </c>
      <c r="G41" s="48" t="s">
        <v>80</v>
      </c>
      <c r="H41" s="48" t="s">
        <v>17</v>
      </c>
      <c r="I41" s="48" t="s">
        <v>10</v>
      </c>
      <c r="J41" s="87"/>
      <c r="K41" s="88">
        <v>26708</v>
      </c>
      <c r="L41" s="89">
        <f t="shared" si="3"/>
        <v>1973</v>
      </c>
      <c r="M41" s="89">
        <f t="shared" si="0"/>
        <v>46</v>
      </c>
      <c r="N41" s="48" t="s">
        <v>11</v>
      </c>
      <c r="O41" s="48"/>
      <c r="P41" s="87" t="s">
        <v>28</v>
      </c>
      <c r="Q41" s="48"/>
      <c r="R41" s="87" t="s">
        <v>19</v>
      </c>
    </row>
    <row r="42" spans="2:18">
      <c r="B42" s="130"/>
      <c r="C42" s="130"/>
      <c r="D42" s="48">
        <v>35</v>
      </c>
      <c r="E42" s="87" t="s">
        <v>81</v>
      </c>
      <c r="F42" s="48" t="s">
        <v>25</v>
      </c>
      <c r="G42" s="48" t="s">
        <v>82</v>
      </c>
      <c r="H42" s="48" t="s">
        <v>17</v>
      </c>
      <c r="I42" s="48" t="s">
        <v>23</v>
      </c>
      <c r="J42" s="87"/>
      <c r="K42" s="88">
        <v>37131</v>
      </c>
      <c r="L42" s="89">
        <f t="shared" si="3"/>
        <v>2001</v>
      </c>
      <c r="M42" s="89">
        <f t="shared" si="0"/>
        <v>18</v>
      </c>
      <c r="N42" s="48" t="s">
        <v>11</v>
      </c>
      <c r="O42" s="48"/>
      <c r="P42" s="87" t="s">
        <v>33</v>
      </c>
      <c r="Q42" s="48"/>
      <c r="R42" s="87" t="s">
        <v>18</v>
      </c>
    </row>
    <row r="43" spans="2:18" ht="25.5">
      <c r="B43" s="130"/>
      <c r="C43" s="130"/>
      <c r="D43" s="48">
        <v>36</v>
      </c>
      <c r="E43" s="87" t="s">
        <v>83</v>
      </c>
      <c r="F43" s="48" t="s">
        <v>25</v>
      </c>
      <c r="G43" s="48" t="s">
        <v>84</v>
      </c>
      <c r="H43" s="48" t="s">
        <v>9</v>
      </c>
      <c r="I43" s="48" t="s">
        <v>23</v>
      </c>
      <c r="J43" s="87"/>
      <c r="K43" s="88">
        <v>39413</v>
      </c>
      <c r="L43" s="89">
        <f t="shared" si="3"/>
        <v>2007</v>
      </c>
      <c r="M43" s="89">
        <f t="shared" si="0"/>
        <v>12</v>
      </c>
      <c r="N43" s="48" t="s">
        <v>11</v>
      </c>
      <c r="O43" s="48"/>
      <c r="P43" s="87" t="s">
        <v>18</v>
      </c>
      <c r="Q43" s="48"/>
      <c r="R43" s="87" t="s">
        <v>18</v>
      </c>
    </row>
    <row r="44" spans="2:18">
      <c r="B44" s="130">
        <v>13</v>
      </c>
      <c r="C44" s="130"/>
      <c r="D44" s="48">
        <v>37</v>
      </c>
      <c r="E44" s="87" t="s">
        <v>85</v>
      </c>
      <c r="F44" s="48" t="s">
        <v>14</v>
      </c>
      <c r="G44" s="48" t="s">
        <v>86</v>
      </c>
      <c r="H44" s="48" t="s">
        <v>9</v>
      </c>
      <c r="I44" s="48" t="s">
        <v>10</v>
      </c>
      <c r="J44" s="87"/>
      <c r="K44" s="88">
        <v>24837</v>
      </c>
      <c r="L44" s="89">
        <f t="shared" si="3"/>
        <v>1967</v>
      </c>
      <c r="M44" s="89">
        <f t="shared" si="0"/>
        <v>52</v>
      </c>
      <c r="N44" s="48" t="s">
        <v>11</v>
      </c>
      <c r="O44" s="48"/>
      <c r="P44" s="87" t="s">
        <v>18</v>
      </c>
      <c r="Q44" s="48"/>
      <c r="R44" s="87" t="s">
        <v>19</v>
      </c>
    </row>
    <row r="45" spans="2:18">
      <c r="B45" s="130"/>
      <c r="C45" s="130"/>
      <c r="D45" s="48">
        <v>38</v>
      </c>
      <c r="E45" s="87" t="s">
        <v>87</v>
      </c>
      <c r="F45" s="48" t="s">
        <v>20</v>
      </c>
      <c r="G45" s="48" t="s">
        <v>88</v>
      </c>
      <c r="H45" s="48" t="s">
        <v>17</v>
      </c>
      <c r="I45" s="48" t="s">
        <v>10</v>
      </c>
      <c r="J45" s="87"/>
      <c r="K45" s="88">
        <v>25203</v>
      </c>
      <c r="L45" s="89">
        <f t="shared" si="3"/>
        <v>1968</v>
      </c>
      <c r="M45" s="89">
        <f t="shared" si="0"/>
        <v>51</v>
      </c>
      <c r="N45" s="48" t="s">
        <v>11</v>
      </c>
      <c r="O45" s="48"/>
      <c r="P45" s="87" t="s">
        <v>18</v>
      </c>
      <c r="Q45" s="48"/>
      <c r="R45" s="87" t="s">
        <v>24</v>
      </c>
    </row>
    <row r="46" spans="2:18">
      <c r="B46" s="130"/>
      <c r="C46" s="130"/>
      <c r="D46" s="48">
        <v>39</v>
      </c>
      <c r="E46" s="87" t="s">
        <v>89</v>
      </c>
      <c r="F46" s="48" t="s">
        <v>25</v>
      </c>
      <c r="G46" s="48" t="s">
        <v>90</v>
      </c>
      <c r="H46" s="48" t="s">
        <v>9</v>
      </c>
      <c r="I46" s="48" t="s">
        <v>23</v>
      </c>
      <c r="J46" s="87"/>
      <c r="K46" s="88">
        <v>34251</v>
      </c>
      <c r="L46" s="89">
        <f t="shared" si="3"/>
        <v>1993</v>
      </c>
      <c r="M46" s="89">
        <f t="shared" si="0"/>
        <v>26</v>
      </c>
      <c r="N46" s="48" t="s">
        <v>11</v>
      </c>
      <c r="O46" s="48"/>
      <c r="P46" s="87" t="s">
        <v>33</v>
      </c>
      <c r="Q46" s="48"/>
      <c r="R46" s="87" t="s">
        <v>24</v>
      </c>
    </row>
    <row r="47" spans="2:18">
      <c r="B47" s="130"/>
      <c r="C47" s="130"/>
      <c r="D47" s="48">
        <v>40</v>
      </c>
      <c r="E47" s="87" t="s">
        <v>91</v>
      </c>
      <c r="F47" s="48" t="s">
        <v>25</v>
      </c>
      <c r="G47" s="48">
        <v>0</v>
      </c>
      <c r="H47" s="48" t="s">
        <v>9</v>
      </c>
      <c r="I47" s="48" t="s">
        <v>23</v>
      </c>
      <c r="J47" s="87"/>
      <c r="K47" s="88">
        <v>33153</v>
      </c>
      <c r="L47" s="89">
        <f t="shared" si="3"/>
        <v>1990</v>
      </c>
      <c r="M47" s="89">
        <f t="shared" si="0"/>
        <v>29</v>
      </c>
      <c r="N47" s="48" t="s">
        <v>11</v>
      </c>
      <c r="O47" s="48"/>
      <c r="P47" s="87" t="s">
        <v>33</v>
      </c>
      <c r="Q47" s="48"/>
      <c r="R47" s="87" t="s">
        <v>24</v>
      </c>
    </row>
    <row r="48" spans="2:18" ht="25.5">
      <c r="B48" s="130">
        <v>14</v>
      </c>
      <c r="C48" s="130" t="s">
        <v>1524</v>
      </c>
      <c r="D48" s="48">
        <v>41</v>
      </c>
      <c r="E48" s="87" t="s">
        <v>92</v>
      </c>
      <c r="F48" s="48" t="s">
        <v>14</v>
      </c>
      <c r="G48" s="48" t="s">
        <v>93</v>
      </c>
      <c r="H48" s="48" t="s">
        <v>9</v>
      </c>
      <c r="I48" s="48" t="s">
        <v>10</v>
      </c>
      <c r="J48" s="87" t="s">
        <v>1387</v>
      </c>
      <c r="K48" s="88">
        <v>26278</v>
      </c>
      <c r="L48" s="89">
        <v>1971</v>
      </c>
      <c r="M48" s="89">
        <f t="shared" si="0"/>
        <v>48</v>
      </c>
      <c r="N48" s="48" t="s">
        <v>11</v>
      </c>
      <c r="O48" s="48" t="s">
        <v>1369</v>
      </c>
      <c r="P48" s="87" t="s">
        <v>1378</v>
      </c>
      <c r="Q48" s="48"/>
      <c r="R48" s="87" t="s">
        <v>49</v>
      </c>
    </row>
    <row r="49" spans="2:18" ht="25.5">
      <c r="B49" s="130"/>
      <c r="C49" s="130"/>
      <c r="D49" s="48">
        <v>42</v>
      </c>
      <c r="E49" s="87" t="s">
        <v>94</v>
      </c>
      <c r="F49" s="48" t="s">
        <v>20</v>
      </c>
      <c r="G49" s="48" t="s">
        <v>95</v>
      </c>
      <c r="H49" s="48" t="s">
        <v>17</v>
      </c>
      <c r="I49" s="48" t="s">
        <v>10</v>
      </c>
      <c r="J49" s="87" t="s">
        <v>1525</v>
      </c>
      <c r="K49" s="88">
        <v>27759</v>
      </c>
      <c r="L49" s="89">
        <v>1975</v>
      </c>
      <c r="M49" s="89">
        <f t="shared" si="0"/>
        <v>44</v>
      </c>
      <c r="N49" s="48" t="s">
        <v>11</v>
      </c>
      <c r="O49" s="48" t="s">
        <v>1369</v>
      </c>
      <c r="P49" s="87" t="s">
        <v>1378</v>
      </c>
      <c r="Q49" s="48"/>
      <c r="R49" s="87" t="s">
        <v>49</v>
      </c>
    </row>
    <row r="50" spans="2:18" ht="25.5">
      <c r="B50" s="130"/>
      <c r="C50" s="130"/>
      <c r="D50" s="48">
        <v>43</v>
      </c>
      <c r="E50" s="87" t="s">
        <v>96</v>
      </c>
      <c r="F50" s="48" t="s">
        <v>25</v>
      </c>
      <c r="G50" s="48" t="s">
        <v>97</v>
      </c>
      <c r="H50" s="48" t="s">
        <v>17</v>
      </c>
      <c r="I50" s="48" t="s">
        <v>23</v>
      </c>
      <c r="J50" s="87"/>
      <c r="K50" s="88">
        <v>37060</v>
      </c>
      <c r="L50" s="89">
        <v>2001</v>
      </c>
      <c r="M50" s="89">
        <f t="shared" si="0"/>
        <v>18</v>
      </c>
      <c r="N50" s="48" t="s">
        <v>11</v>
      </c>
      <c r="O50" s="48"/>
      <c r="P50" s="87" t="s">
        <v>33</v>
      </c>
      <c r="Q50" s="48"/>
      <c r="R50" s="87" t="s">
        <v>18</v>
      </c>
    </row>
    <row r="51" spans="2:18">
      <c r="B51" s="130"/>
      <c r="C51" s="130"/>
      <c r="D51" s="48">
        <v>44</v>
      </c>
      <c r="E51" s="87" t="s">
        <v>98</v>
      </c>
      <c r="F51" s="48" t="s">
        <v>25</v>
      </c>
      <c r="G51" s="48" t="s">
        <v>99</v>
      </c>
      <c r="H51" s="48" t="s">
        <v>17</v>
      </c>
      <c r="I51" s="48" t="s">
        <v>23</v>
      </c>
      <c r="J51" s="87"/>
      <c r="K51" s="88">
        <v>39911</v>
      </c>
      <c r="L51" s="89">
        <f t="shared" ref="L51:L52" si="4">YEAR(K51)</f>
        <v>2009</v>
      </c>
      <c r="M51" s="89">
        <f t="shared" si="0"/>
        <v>10</v>
      </c>
      <c r="N51" s="48" t="s">
        <v>11</v>
      </c>
      <c r="O51" s="48"/>
      <c r="P51" s="87" t="s">
        <v>18</v>
      </c>
      <c r="Q51" s="48"/>
      <c r="R51" s="87" t="s">
        <v>18</v>
      </c>
    </row>
    <row r="52" spans="2:18" ht="25.5">
      <c r="B52" s="130"/>
      <c r="C52" s="130"/>
      <c r="D52" s="48">
        <v>45</v>
      </c>
      <c r="E52" s="87" t="s">
        <v>100</v>
      </c>
      <c r="F52" s="48" t="s">
        <v>25</v>
      </c>
      <c r="G52" s="48">
        <v>0</v>
      </c>
      <c r="H52" s="48" t="s">
        <v>9</v>
      </c>
      <c r="I52" s="48" t="s">
        <v>23</v>
      </c>
      <c r="J52" s="87"/>
      <c r="K52" s="88">
        <v>41824</v>
      </c>
      <c r="L52" s="89">
        <f t="shared" si="4"/>
        <v>2014</v>
      </c>
      <c r="M52" s="89">
        <f t="shared" si="0"/>
        <v>5</v>
      </c>
      <c r="N52" s="48" t="s">
        <v>11</v>
      </c>
      <c r="O52" s="48"/>
      <c r="P52" s="87" t="s">
        <v>18</v>
      </c>
      <c r="Q52" s="48"/>
      <c r="R52" s="87" t="s">
        <v>18</v>
      </c>
    </row>
    <row r="53" spans="2:18" ht="25.5">
      <c r="B53" s="130">
        <v>15</v>
      </c>
      <c r="C53" s="130" t="s">
        <v>1584</v>
      </c>
      <c r="D53" s="48">
        <v>46</v>
      </c>
      <c r="E53" s="87" t="s">
        <v>101</v>
      </c>
      <c r="F53" s="48" t="s">
        <v>14</v>
      </c>
      <c r="G53" s="48" t="s">
        <v>1587</v>
      </c>
      <c r="H53" s="48" t="s">
        <v>9</v>
      </c>
      <c r="I53" s="48" t="s">
        <v>10</v>
      </c>
      <c r="J53" s="87" t="s">
        <v>1368</v>
      </c>
      <c r="K53" s="88">
        <v>25020</v>
      </c>
      <c r="L53" s="89">
        <v>1968</v>
      </c>
      <c r="M53" s="89">
        <f t="shared" si="0"/>
        <v>51</v>
      </c>
      <c r="N53" s="48" t="s">
        <v>11</v>
      </c>
      <c r="O53" s="48" t="s">
        <v>1369</v>
      </c>
      <c r="P53" s="87" t="s">
        <v>1393</v>
      </c>
      <c r="Q53" s="48"/>
      <c r="R53" s="87" t="s">
        <v>49</v>
      </c>
    </row>
    <row r="54" spans="2:18" ht="25.5">
      <c r="B54" s="130"/>
      <c r="C54" s="130"/>
      <c r="D54" s="48">
        <v>47</v>
      </c>
      <c r="E54" s="87" t="s">
        <v>102</v>
      </c>
      <c r="F54" s="48" t="s">
        <v>20</v>
      </c>
      <c r="G54" s="48" t="s">
        <v>1588</v>
      </c>
      <c r="H54" s="48" t="s">
        <v>17</v>
      </c>
      <c r="I54" s="48" t="s">
        <v>10</v>
      </c>
      <c r="J54" s="87" t="s">
        <v>1368</v>
      </c>
      <c r="K54" s="88">
        <v>28307</v>
      </c>
      <c r="L54" s="89">
        <v>1977</v>
      </c>
      <c r="M54" s="89">
        <f t="shared" si="0"/>
        <v>42</v>
      </c>
      <c r="N54" s="48" t="s">
        <v>11</v>
      </c>
      <c r="O54" s="48" t="s">
        <v>1369</v>
      </c>
      <c r="P54" s="87" t="s">
        <v>28</v>
      </c>
      <c r="Q54" s="48"/>
      <c r="R54" s="87" t="s">
        <v>1371</v>
      </c>
    </row>
    <row r="55" spans="2:18">
      <c r="B55" s="130"/>
      <c r="C55" s="130"/>
      <c r="D55" s="48">
        <v>48</v>
      </c>
      <c r="E55" s="87" t="s">
        <v>1585</v>
      </c>
      <c r="F55" s="48" t="s">
        <v>25</v>
      </c>
      <c r="G55" s="48" t="s">
        <v>1589</v>
      </c>
      <c r="H55" s="48" t="s">
        <v>9</v>
      </c>
      <c r="I55" s="48" t="s">
        <v>23</v>
      </c>
      <c r="J55" s="87" t="s">
        <v>1368</v>
      </c>
      <c r="K55" s="88">
        <v>37075</v>
      </c>
      <c r="L55" s="89">
        <v>2001</v>
      </c>
      <c r="M55" s="89">
        <f t="shared" si="0"/>
        <v>18</v>
      </c>
      <c r="N55" s="48" t="s">
        <v>11</v>
      </c>
      <c r="O55" s="48" t="s">
        <v>1369</v>
      </c>
      <c r="P55" s="87" t="s">
        <v>28</v>
      </c>
      <c r="Q55" s="48"/>
      <c r="R55" s="87" t="s">
        <v>1572</v>
      </c>
    </row>
    <row r="56" spans="2:18" ht="25.5">
      <c r="B56" s="130"/>
      <c r="C56" s="130"/>
      <c r="D56" s="48">
        <v>49</v>
      </c>
      <c r="E56" s="87" t="s">
        <v>1586</v>
      </c>
      <c r="F56" s="48" t="s">
        <v>25</v>
      </c>
      <c r="G56" s="48" t="s">
        <v>1590</v>
      </c>
      <c r="H56" s="48" t="s">
        <v>9</v>
      </c>
      <c r="I56" s="48" t="s">
        <v>23</v>
      </c>
      <c r="J56" s="87" t="s">
        <v>1368</v>
      </c>
      <c r="K56" s="88">
        <v>40081</v>
      </c>
      <c r="L56" s="89">
        <v>2009</v>
      </c>
      <c r="M56" s="89">
        <f t="shared" si="0"/>
        <v>10</v>
      </c>
      <c r="N56" s="48" t="s">
        <v>11</v>
      </c>
      <c r="O56" s="48" t="s">
        <v>1369</v>
      </c>
      <c r="P56" s="87" t="s">
        <v>1375</v>
      </c>
      <c r="Q56" s="48"/>
      <c r="R56" s="87" t="s">
        <v>1572</v>
      </c>
    </row>
    <row r="57" spans="2:18">
      <c r="B57" s="130">
        <v>16</v>
      </c>
      <c r="C57" s="130" t="s">
        <v>1792</v>
      </c>
      <c r="D57" s="48">
        <v>50</v>
      </c>
      <c r="E57" s="87" t="s">
        <v>103</v>
      </c>
      <c r="F57" s="48" t="s">
        <v>14</v>
      </c>
      <c r="G57" s="48" t="s">
        <v>1795</v>
      </c>
      <c r="H57" s="48" t="s">
        <v>9</v>
      </c>
      <c r="I57" s="48" t="s">
        <v>10</v>
      </c>
      <c r="J57" s="87" t="s">
        <v>1387</v>
      </c>
      <c r="K57" s="88">
        <v>27211</v>
      </c>
      <c r="L57" s="89">
        <v>1974</v>
      </c>
      <c r="M57" s="89">
        <f t="shared" si="0"/>
        <v>45</v>
      </c>
      <c r="N57" s="48" t="s">
        <v>11</v>
      </c>
      <c r="O57" s="48" t="s">
        <v>1369</v>
      </c>
      <c r="P57" s="87" t="s">
        <v>28</v>
      </c>
      <c r="Q57" s="48"/>
      <c r="R57" s="87" t="s">
        <v>49</v>
      </c>
    </row>
    <row r="58" spans="2:18" ht="25.5">
      <c r="B58" s="130"/>
      <c r="C58" s="130"/>
      <c r="D58" s="48">
        <v>51</v>
      </c>
      <c r="E58" s="87" t="s">
        <v>1793</v>
      </c>
      <c r="F58" s="48" t="s">
        <v>20</v>
      </c>
      <c r="G58" s="48" t="s">
        <v>1796</v>
      </c>
      <c r="H58" s="48" t="s">
        <v>17</v>
      </c>
      <c r="I58" s="48" t="s">
        <v>10</v>
      </c>
      <c r="J58" s="87" t="s">
        <v>1368</v>
      </c>
      <c r="K58" s="88">
        <v>28258</v>
      </c>
      <c r="L58" s="89">
        <v>1977</v>
      </c>
      <c r="M58" s="89">
        <f t="shared" si="0"/>
        <v>42</v>
      </c>
      <c r="N58" s="48" t="s">
        <v>11</v>
      </c>
      <c r="O58" s="48" t="s">
        <v>1369</v>
      </c>
      <c r="P58" s="87" t="s">
        <v>28</v>
      </c>
      <c r="Q58" s="48"/>
      <c r="R58" s="87" t="s">
        <v>1373</v>
      </c>
    </row>
    <row r="59" spans="2:18" ht="38.25">
      <c r="B59" s="130"/>
      <c r="C59" s="130"/>
      <c r="D59" s="48">
        <v>52</v>
      </c>
      <c r="E59" s="87" t="s">
        <v>104</v>
      </c>
      <c r="F59" s="48" t="s">
        <v>25</v>
      </c>
      <c r="G59" s="48" t="s">
        <v>1797</v>
      </c>
      <c r="H59" s="48" t="s">
        <v>17</v>
      </c>
      <c r="I59" s="48" t="s">
        <v>23</v>
      </c>
      <c r="J59" s="87" t="s">
        <v>1387</v>
      </c>
      <c r="K59" s="88">
        <v>34509</v>
      </c>
      <c r="L59" s="89">
        <v>1994</v>
      </c>
      <c r="M59" s="89">
        <f t="shared" si="0"/>
        <v>25</v>
      </c>
      <c r="N59" s="48" t="s">
        <v>11</v>
      </c>
      <c r="O59" s="48" t="s">
        <v>1369</v>
      </c>
      <c r="P59" s="87" t="s">
        <v>1800</v>
      </c>
      <c r="Q59" s="48"/>
      <c r="R59" s="87" t="s">
        <v>1555</v>
      </c>
    </row>
    <row r="60" spans="2:18">
      <c r="B60" s="130"/>
      <c r="C60" s="130"/>
      <c r="D60" s="48">
        <v>53</v>
      </c>
      <c r="E60" s="87" t="s">
        <v>1794</v>
      </c>
      <c r="F60" s="48" t="s">
        <v>25</v>
      </c>
      <c r="G60" s="48" t="s">
        <v>1798</v>
      </c>
      <c r="H60" s="48" t="s">
        <v>17</v>
      </c>
      <c r="I60" s="48" t="s">
        <v>23</v>
      </c>
      <c r="J60" s="87" t="s">
        <v>1368</v>
      </c>
      <c r="K60" s="88">
        <v>37071</v>
      </c>
      <c r="L60" s="89">
        <v>2001</v>
      </c>
      <c r="M60" s="89">
        <f t="shared" si="0"/>
        <v>18</v>
      </c>
      <c r="N60" s="48" t="s">
        <v>11</v>
      </c>
      <c r="O60" s="48" t="s">
        <v>1369</v>
      </c>
      <c r="P60" s="87" t="s">
        <v>33</v>
      </c>
      <c r="Q60" s="48"/>
      <c r="R60" s="87" t="s">
        <v>1572</v>
      </c>
    </row>
    <row r="61" spans="2:18" ht="25.5">
      <c r="B61" s="130"/>
      <c r="C61" s="130"/>
      <c r="D61" s="48">
        <v>54</v>
      </c>
      <c r="E61" s="87" t="s">
        <v>106</v>
      </c>
      <c r="F61" s="48" t="s">
        <v>25</v>
      </c>
      <c r="G61" s="48" t="s">
        <v>1799</v>
      </c>
      <c r="H61" s="48" t="s">
        <v>17</v>
      </c>
      <c r="I61" s="48" t="s">
        <v>23</v>
      </c>
      <c r="J61" s="87" t="s">
        <v>1368</v>
      </c>
      <c r="K61" s="88">
        <v>39253</v>
      </c>
      <c r="L61" s="89">
        <v>2007</v>
      </c>
      <c r="M61" s="89">
        <f t="shared" si="0"/>
        <v>12</v>
      </c>
      <c r="N61" s="48" t="s">
        <v>11</v>
      </c>
      <c r="O61" s="48" t="s">
        <v>1369</v>
      </c>
      <c r="P61" s="87" t="s">
        <v>1375</v>
      </c>
      <c r="Q61" s="48"/>
      <c r="R61" s="87" t="s">
        <v>1572</v>
      </c>
    </row>
    <row r="62" spans="2:18">
      <c r="B62" s="130">
        <v>17</v>
      </c>
      <c r="C62" s="130"/>
      <c r="D62" s="48">
        <v>55</v>
      </c>
      <c r="E62" s="87" t="s">
        <v>107</v>
      </c>
      <c r="F62" s="48" t="s">
        <v>14</v>
      </c>
      <c r="G62" s="48" t="s">
        <v>108</v>
      </c>
      <c r="H62" s="48" t="s">
        <v>9</v>
      </c>
      <c r="I62" s="48" t="s">
        <v>10</v>
      </c>
      <c r="J62" s="87"/>
      <c r="K62" s="88">
        <v>18609</v>
      </c>
      <c r="L62" s="89">
        <f t="shared" ref="L62:L63" si="5">YEAR(K62)</f>
        <v>1950</v>
      </c>
      <c r="M62" s="89">
        <f t="shared" si="0"/>
        <v>69</v>
      </c>
      <c r="N62" s="48" t="s">
        <v>11</v>
      </c>
      <c r="O62" s="48"/>
      <c r="P62" s="87" t="s">
        <v>18</v>
      </c>
      <c r="Q62" s="48"/>
      <c r="R62" s="87" t="s">
        <v>58</v>
      </c>
    </row>
    <row r="63" spans="2:18">
      <c r="B63" s="130"/>
      <c r="C63" s="130"/>
      <c r="D63" s="48">
        <v>56</v>
      </c>
      <c r="E63" s="87" t="s">
        <v>109</v>
      </c>
      <c r="F63" s="48" t="s">
        <v>20</v>
      </c>
      <c r="G63" s="48" t="s">
        <v>110</v>
      </c>
      <c r="H63" s="48" t="s">
        <v>17</v>
      </c>
      <c r="I63" s="48" t="s">
        <v>10</v>
      </c>
      <c r="J63" s="87"/>
      <c r="K63" s="88">
        <v>18974</v>
      </c>
      <c r="L63" s="89">
        <f t="shared" si="5"/>
        <v>1951</v>
      </c>
      <c r="M63" s="89">
        <f t="shared" si="0"/>
        <v>68</v>
      </c>
      <c r="N63" s="48" t="s">
        <v>11</v>
      </c>
      <c r="O63" s="48"/>
      <c r="P63" s="87" t="s">
        <v>18</v>
      </c>
      <c r="Q63" s="48"/>
      <c r="R63" s="87" t="s">
        <v>58</v>
      </c>
    </row>
    <row r="64" spans="2:18" ht="25.5">
      <c r="B64" s="130">
        <v>18</v>
      </c>
      <c r="C64" s="130" t="s">
        <v>1619</v>
      </c>
      <c r="D64" s="48">
        <v>57</v>
      </c>
      <c r="E64" s="87" t="s">
        <v>1630</v>
      </c>
      <c r="F64" s="48" t="s">
        <v>14</v>
      </c>
      <c r="G64" s="48" t="s">
        <v>111</v>
      </c>
      <c r="H64" s="48" t="s">
        <v>9</v>
      </c>
      <c r="I64" s="48" t="s">
        <v>10</v>
      </c>
      <c r="J64" s="87" t="s">
        <v>1387</v>
      </c>
      <c r="K64" s="88">
        <v>32976</v>
      </c>
      <c r="L64" s="89">
        <v>1990</v>
      </c>
      <c r="M64" s="89">
        <f t="shared" si="0"/>
        <v>29</v>
      </c>
      <c r="N64" s="48" t="s">
        <v>11</v>
      </c>
      <c r="O64" s="48" t="s">
        <v>1369</v>
      </c>
      <c r="P64" s="87" t="s">
        <v>12</v>
      </c>
      <c r="Q64" s="48"/>
      <c r="R64" s="87" t="s">
        <v>49</v>
      </c>
    </row>
    <row r="65" spans="2:18">
      <c r="B65" s="130"/>
      <c r="C65" s="130"/>
      <c r="D65" s="48">
        <v>58</v>
      </c>
      <c r="E65" s="87" t="s">
        <v>112</v>
      </c>
      <c r="F65" s="48" t="s">
        <v>20</v>
      </c>
      <c r="G65" s="48" t="s">
        <v>113</v>
      </c>
      <c r="H65" s="48" t="s">
        <v>17</v>
      </c>
      <c r="I65" s="48" t="s">
        <v>10</v>
      </c>
      <c r="J65" s="87" t="s">
        <v>1618</v>
      </c>
      <c r="K65" s="88">
        <v>34616</v>
      </c>
      <c r="L65" s="89">
        <v>1994</v>
      </c>
      <c r="M65" s="89">
        <f t="shared" si="0"/>
        <v>25</v>
      </c>
      <c r="N65" s="48" t="s">
        <v>11</v>
      </c>
      <c r="O65" s="48" t="s">
        <v>1369</v>
      </c>
      <c r="P65" s="87" t="s">
        <v>12</v>
      </c>
      <c r="Q65" s="48"/>
      <c r="R65" s="87" t="s">
        <v>49</v>
      </c>
    </row>
    <row r="66" spans="2:18" ht="38.25">
      <c r="B66" s="130"/>
      <c r="C66" s="130"/>
      <c r="D66" s="48">
        <v>59</v>
      </c>
      <c r="E66" s="87" t="s">
        <v>1616</v>
      </c>
      <c r="F66" s="48" t="s">
        <v>25</v>
      </c>
      <c r="G66" s="48" t="s">
        <v>1617</v>
      </c>
      <c r="H66" s="48" t="s">
        <v>9</v>
      </c>
      <c r="I66" s="48" t="s">
        <v>23</v>
      </c>
      <c r="J66" s="87" t="s">
        <v>1489</v>
      </c>
      <c r="K66" s="88">
        <v>42191</v>
      </c>
      <c r="L66" s="89">
        <v>2015</v>
      </c>
      <c r="M66" s="89">
        <f t="shared" si="0"/>
        <v>4</v>
      </c>
      <c r="N66" s="48" t="s">
        <v>11</v>
      </c>
      <c r="O66" s="48" t="s">
        <v>1369</v>
      </c>
      <c r="P66" s="87" t="s">
        <v>1378</v>
      </c>
      <c r="Q66" s="48"/>
      <c r="R66" s="87" t="s">
        <v>1555</v>
      </c>
    </row>
    <row r="67" spans="2:18">
      <c r="B67" s="130">
        <v>19</v>
      </c>
      <c r="C67" s="130"/>
      <c r="D67" s="48">
        <v>60</v>
      </c>
      <c r="E67" s="87" t="s">
        <v>114</v>
      </c>
      <c r="F67" s="48" t="s">
        <v>14</v>
      </c>
      <c r="G67" s="48" t="s">
        <v>115</v>
      </c>
      <c r="H67" s="48" t="s">
        <v>9</v>
      </c>
      <c r="I67" s="48" t="s">
        <v>10</v>
      </c>
      <c r="J67" s="87"/>
      <c r="K67" s="88">
        <v>25575</v>
      </c>
      <c r="L67" s="89">
        <f t="shared" ref="L67:L72" si="6">YEAR(K67)</f>
        <v>1970</v>
      </c>
      <c r="M67" s="89">
        <f t="shared" si="0"/>
        <v>49</v>
      </c>
      <c r="N67" s="48" t="s">
        <v>11</v>
      </c>
      <c r="O67" s="48"/>
      <c r="P67" s="87" t="s">
        <v>18</v>
      </c>
      <c r="Q67" s="48"/>
      <c r="R67" s="87" t="s">
        <v>19</v>
      </c>
    </row>
    <row r="68" spans="2:18">
      <c r="B68" s="130"/>
      <c r="C68" s="130"/>
      <c r="D68" s="48">
        <v>61</v>
      </c>
      <c r="E68" s="87" t="s">
        <v>116</v>
      </c>
      <c r="F68" s="48" t="s">
        <v>20</v>
      </c>
      <c r="G68" s="48" t="s">
        <v>117</v>
      </c>
      <c r="H68" s="48" t="s">
        <v>17</v>
      </c>
      <c r="I68" s="48" t="s">
        <v>10</v>
      </c>
      <c r="J68" s="87"/>
      <c r="K68" s="88">
        <v>27401</v>
      </c>
      <c r="L68" s="89">
        <f t="shared" si="6"/>
        <v>1975</v>
      </c>
      <c r="M68" s="89">
        <f t="shared" si="0"/>
        <v>44</v>
      </c>
      <c r="N68" s="48" t="s">
        <v>11</v>
      </c>
      <c r="O68" s="48"/>
      <c r="P68" s="87" t="s">
        <v>18</v>
      </c>
      <c r="Q68" s="48"/>
      <c r="R68" s="87" t="s">
        <v>58</v>
      </c>
    </row>
    <row r="69" spans="2:18">
      <c r="B69" s="130"/>
      <c r="C69" s="130"/>
      <c r="D69" s="48">
        <v>62</v>
      </c>
      <c r="E69" s="87" t="s">
        <v>118</v>
      </c>
      <c r="F69" s="48" t="s">
        <v>25</v>
      </c>
      <c r="G69" s="48" t="s">
        <v>119</v>
      </c>
      <c r="H69" s="48" t="s">
        <v>17</v>
      </c>
      <c r="I69" s="48" t="s">
        <v>23</v>
      </c>
      <c r="J69" s="87"/>
      <c r="K69" s="88">
        <v>36919</v>
      </c>
      <c r="L69" s="89">
        <f t="shared" si="6"/>
        <v>2001</v>
      </c>
      <c r="M69" s="89">
        <f t="shared" si="0"/>
        <v>18</v>
      </c>
      <c r="N69" s="48" t="s">
        <v>11</v>
      </c>
      <c r="O69" s="48"/>
      <c r="P69" s="87" t="s">
        <v>33</v>
      </c>
      <c r="Q69" s="48"/>
      <c r="R69" s="87" t="s">
        <v>18</v>
      </c>
    </row>
    <row r="70" spans="2:18" ht="25.5">
      <c r="B70" s="130"/>
      <c r="C70" s="130"/>
      <c r="D70" s="48">
        <v>63</v>
      </c>
      <c r="E70" s="87" t="s">
        <v>120</v>
      </c>
      <c r="F70" s="48" t="s">
        <v>25</v>
      </c>
      <c r="G70" s="48" t="s">
        <v>121</v>
      </c>
      <c r="H70" s="48" t="s">
        <v>17</v>
      </c>
      <c r="I70" s="48" t="s">
        <v>23</v>
      </c>
      <c r="J70" s="87"/>
      <c r="K70" s="88">
        <v>39018</v>
      </c>
      <c r="L70" s="89">
        <f t="shared" si="6"/>
        <v>2006</v>
      </c>
      <c r="M70" s="89">
        <f t="shared" si="0"/>
        <v>13</v>
      </c>
      <c r="N70" s="48" t="s">
        <v>11</v>
      </c>
      <c r="O70" s="48"/>
      <c r="P70" s="87" t="s">
        <v>18</v>
      </c>
      <c r="Q70" s="48"/>
      <c r="R70" s="87" t="s">
        <v>18</v>
      </c>
    </row>
    <row r="71" spans="2:18">
      <c r="B71" s="130">
        <v>20</v>
      </c>
      <c r="C71" s="130"/>
      <c r="D71" s="48">
        <v>64</v>
      </c>
      <c r="E71" s="87" t="s">
        <v>122</v>
      </c>
      <c r="F71" s="48" t="s">
        <v>14</v>
      </c>
      <c r="G71" s="48" t="s">
        <v>125</v>
      </c>
      <c r="H71" s="48" t="s">
        <v>9</v>
      </c>
      <c r="I71" s="48" t="s">
        <v>123</v>
      </c>
      <c r="J71" s="87"/>
      <c r="K71" s="88">
        <v>34310</v>
      </c>
      <c r="L71" s="89">
        <f t="shared" si="6"/>
        <v>1993</v>
      </c>
      <c r="M71" s="89">
        <f t="shared" si="0"/>
        <v>26</v>
      </c>
      <c r="N71" s="48" t="s">
        <v>11</v>
      </c>
      <c r="O71" s="48"/>
      <c r="P71" s="87" t="s">
        <v>12</v>
      </c>
      <c r="Q71" s="48"/>
      <c r="R71" s="87" t="s">
        <v>124</v>
      </c>
    </row>
    <row r="72" spans="2:18" ht="38.25">
      <c r="B72" s="130"/>
      <c r="C72" s="130"/>
      <c r="D72" s="48">
        <v>65</v>
      </c>
      <c r="E72" s="87" t="s">
        <v>126</v>
      </c>
      <c r="F72" s="48" t="s">
        <v>25</v>
      </c>
      <c r="G72" s="48" t="s">
        <v>127</v>
      </c>
      <c r="H72" s="48" t="s">
        <v>9</v>
      </c>
      <c r="I72" s="48" t="s">
        <v>23</v>
      </c>
      <c r="J72" s="87"/>
      <c r="K72" s="88">
        <v>41106</v>
      </c>
      <c r="L72" s="89">
        <f t="shared" si="6"/>
        <v>2012</v>
      </c>
      <c r="M72" s="89">
        <f t="shared" ref="M72:M135" si="7">2019-L72</f>
        <v>7</v>
      </c>
      <c r="N72" s="48" t="s">
        <v>11</v>
      </c>
      <c r="O72" s="48"/>
      <c r="P72" s="87" t="s">
        <v>18</v>
      </c>
      <c r="Q72" s="48"/>
      <c r="R72" s="87" t="s">
        <v>18</v>
      </c>
    </row>
    <row r="73" spans="2:18">
      <c r="B73" s="130">
        <v>21</v>
      </c>
      <c r="C73" s="130" t="s">
        <v>1550</v>
      </c>
      <c r="D73" s="48">
        <v>66</v>
      </c>
      <c r="E73" s="87" t="s">
        <v>134</v>
      </c>
      <c r="F73" s="48" t="s">
        <v>14</v>
      </c>
      <c r="G73" s="48" t="s">
        <v>1551</v>
      </c>
      <c r="H73" s="48" t="s">
        <v>9</v>
      </c>
      <c r="I73" s="48" t="s">
        <v>10</v>
      </c>
      <c r="J73" s="87" t="s">
        <v>1387</v>
      </c>
      <c r="K73" s="88">
        <v>32142</v>
      </c>
      <c r="L73" s="89">
        <v>1987</v>
      </c>
      <c r="M73" s="89">
        <f t="shared" si="7"/>
        <v>32</v>
      </c>
      <c r="N73" s="48" t="s">
        <v>11</v>
      </c>
      <c r="O73" s="48" t="s">
        <v>1369</v>
      </c>
      <c r="P73" s="87" t="s">
        <v>12</v>
      </c>
      <c r="Q73" s="48"/>
      <c r="R73" s="87" t="s">
        <v>49</v>
      </c>
    </row>
    <row r="74" spans="2:18" ht="25.5">
      <c r="B74" s="130"/>
      <c r="C74" s="130"/>
      <c r="D74" s="48">
        <v>67</v>
      </c>
      <c r="E74" s="87" t="s">
        <v>135</v>
      </c>
      <c r="F74" s="48" t="s">
        <v>20</v>
      </c>
      <c r="G74" s="48" t="s">
        <v>1552</v>
      </c>
      <c r="H74" s="48" t="s">
        <v>17</v>
      </c>
      <c r="I74" s="48" t="s">
        <v>10</v>
      </c>
      <c r="J74" s="87" t="s">
        <v>1387</v>
      </c>
      <c r="K74" s="88">
        <v>32997</v>
      </c>
      <c r="L74" s="89">
        <v>1990</v>
      </c>
      <c r="M74" s="89">
        <f t="shared" si="7"/>
        <v>29</v>
      </c>
      <c r="N74" s="48" t="s">
        <v>11</v>
      </c>
      <c r="O74" s="48" t="s">
        <v>1369</v>
      </c>
      <c r="P74" s="87" t="s">
        <v>33</v>
      </c>
      <c r="Q74" s="48"/>
      <c r="R74" s="87" t="s">
        <v>1373</v>
      </c>
    </row>
    <row r="75" spans="2:18" ht="25.5">
      <c r="B75" s="130"/>
      <c r="C75" s="130"/>
      <c r="D75" s="48">
        <v>68</v>
      </c>
      <c r="E75" s="87" t="s">
        <v>1548</v>
      </c>
      <c r="F75" s="48" t="s">
        <v>25</v>
      </c>
      <c r="G75" s="48" t="s">
        <v>1553</v>
      </c>
      <c r="H75" s="48" t="s">
        <v>17</v>
      </c>
      <c r="I75" s="48" t="s">
        <v>23</v>
      </c>
      <c r="J75" s="87" t="s">
        <v>1368</v>
      </c>
      <c r="K75" s="88">
        <v>39467</v>
      </c>
      <c r="L75" s="89">
        <v>2008</v>
      </c>
      <c r="M75" s="89">
        <f t="shared" si="7"/>
        <v>11</v>
      </c>
      <c r="N75" s="48" t="s">
        <v>11</v>
      </c>
      <c r="O75" s="48" t="s">
        <v>1369</v>
      </c>
      <c r="P75" s="87" t="s">
        <v>1378</v>
      </c>
      <c r="Q75" s="48"/>
      <c r="R75" s="87" t="s">
        <v>1555</v>
      </c>
    </row>
    <row r="76" spans="2:18" ht="25.5">
      <c r="B76" s="130"/>
      <c r="C76" s="130"/>
      <c r="D76" s="48">
        <v>69</v>
      </c>
      <c r="E76" s="87" t="s">
        <v>1549</v>
      </c>
      <c r="F76" s="48" t="s">
        <v>25</v>
      </c>
      <c r="G76" s="48" t="s">
        <v>1554</v>
      </c>
      <c r="H76" s="48" t="s">
        <v>17</v>
      </c>
      <c r="I76" s="48" t="s">
        <v>23</v>
      </c>
      <c r="J76" s="87" t="s">
        <v>1387</v>
      </c>
      <c r="K76" s="88">
        <v>42365</v>
      </c>
      <c r="L76" s="89">
        <v>2015</v>
      </c>
      <c r="M76" s="89">
        <f t="shared" si="7"/>
        <v>4</v>
      </c>
      <c r="N76" s="48" t="s">
        <v>11</v>
      </c>
      <c r="O76" s="48" t="s">
        <v>1369</v>
      </c>
      <c r="P76" s="87" t="s">
        <v>1378</v>
      </c>
      <c r="Q76" s="48"/>
      <c r="R76" s="87" t="s">
        <v>1555</v>
      </c>
    </row>
    <row r="77" spans="2:18" ht="25.5">
      <c r="B77" s="130">
        <v>22</v>
      </c>
      <c r="C77" s="130" t="s">
        <v>1663</v>
      </c>
      <c r="D77" s="48">
        <v>70</v>
      </c>
      <c r="E77" s="87" t="s">
        <v>136</v>
      </c>
      <c r="F77" s="48" t="s">
        <v>14</v>
      </c>
      <c r="G77" s="48" t="s">
        <v>137</v>
      </c>
      <c r="H77" s="48" t="s">
        <v>9</v>
      </c>
      <c r="I77" s="48" t="s">
        <v>10</v>
      </c>
      <c r="J77" s="87" t="s">
        <v>1665</v>
      </c>
      <c r="K77" s="88">
        <v>21780</v>
      </c>
      <c r="L77" s="89">
        <v>1959</v>
      </c>
      <c r="M77" s="89">
        <f t="shared" si="7"/>
        <v>60</v>
      </c>
      <c r="N77" s="48" t="s">
        <v>11</v>
      </c>
      <c r="O77" s="48" t="s">
        <v>1369</v>
      </c>
      <c r="P77" s="87" t="s">
        <v>1393</v>
      </c>
      <c r="Q77" s="48"/>
      <c r="R77" s="87" t="s">
        <v>49</v>
      </c>
    </row>
    <row r="78" spans="2:18" ht="25.5">
      <c r="B78" s="130"/>
      <c r="C78" s="130"/>
      <c r="D78" s="48">
        <v>71</v>
      </c>
      <c r="E78" s="87" t="s">
        <v>138</v>
      </c>
      <c r="F78" s="48" t="s">
        <v>20</v>
      </c>
      <c r="G78" s="48" t="s">
        <v>139</v>
      </c>
      <c r="H78" s="48" t="s">
        <v>17</v>
      </c>
      <c r="I78" s="48" t="s">
        <v>10</v>
      </c>
      <c r="J78" s="87" t="s">
        <v>1368</v>
      </c>
      <c r="K78" s="88">
        <v>25933</v>
      </c>
      <c r="L78" s="89">
        <v>1970</v>
      </c>
      <c r="M78" s="89">
        <f t="shared" si="7"/>
        <v>49</v>
      </c>
      <c r="N78" s="48" t="s">
        <v>11</v>
      </c>
      <c r="O78" s="48" t="s">
        <v>1369</v>
      </c>
      <c r="P78" s="87" t="s">
        <v>1378</v>
      </c>
      <c r="Q78" s="48"/>
      <c r="R78" s="87" t="s">
        <v>1666</v>
      </c>
    </row>
    <row r="79" spans="2:18">
      <c r="B79" s="130"/>
      <c r="C79" s="130"/>
      <c r="D79" s="48">
        <v>72</v>
      </c>
      <c r="E79" s="87" t="s">
        <v>140</v>
      </c>
      <c r="F79" s="48" t="s">
        <v>25</v>
      </c>
      <c r="G79" s="48" t="s">
        <v>141</v>
      </c>
      <c r="H79" s="48" t="s">
        <v>9</v>
      </c>
      <c r="I79" s="48" t="s">
        <v>23</v>
      </c>
      <c r="J79" s="87" t="s">
        <v>1368</v>
      </c>
      <c r="K79" s="88">
        <v>35800</v>
      </c>
      <c r="L79" s="89">
        <v>1998</v>
      </c>
      <c r="M79" s="89">
        <f t="shared" si="7"/>
        <v>21</v>
      </c>
      <c r="N79" s="48" t="s">
        <v>11</v>
      </c>
      <c r="O79" s="48" t="s">
        <v>1369</v>
      </c>
      <c r="P79" s="87" t="s">
        <v>105</v>
      </c>
      <c r="Q79" s="48"/>
      <c r="R79" s="87" t="s">
        <v>1572</v>
      </c>
    </row>
    <row r="80" spans="2:18">
      <c r="B80" s="130"/>
      <c r="C80" s="130"/>
      <c r="D80" s="48">
        <v>73</v>
      </c>
      <c r="E80" s="87" t="s">
        <v>142</v>
      </c>
      <c r="F80" s="48" t="s">
        <v>25</v>
      </c>
      <c r="G80" s="48" t="s">
        <v>143</v>
      </c>
      <c r="H80" s="48" t="s">
        <v>17</v>
      </c>
      <c r="I80" s="48" t="s">
        <v>23</v>
      </c>
      <c r="J80" s="87" t="s">
        <v>1368</v>
      </c>
      <c r="K80" s="88">
        <v>37200</v>
      </c>
      <c r="L80" s="89">
        <v>2001</v>
      </c>
      <c r="M80" s="89">
        <f t="shared" si="7"/>
        <v>18</v>
      </c>
      <c r="N80" s="48" t="s">
        <v>11</v>
      </c>
      <c r="O80" s="48" t="s">
        <v>1369</v>
      </c>
      <c r="P80" s="87" t="s">
        <v>28</v>
      </c>
      <c r="Q80" s="48"/>
      <c r="R80" s="87" t="s">
        <v>1572</v>
      </c>
    </row>
    <row r="81" spans="2:18">
      <c r="B81" s="130"/>
      <c r="C81" s="130"/>
      <c r="D81" s="48">
        <v>74</v>
      </c>
      <c r="E81" s="87" t="s">
        <v>1664</v>
      </c>
      <c r="F81" s="48" t="s">
        <v>25</v>
      </c>
      <c r="G81" s="48" t="s">
        <v>144</v>
      </c>
      <c r="H81" s="48" t="s">
        <v>17</v>
      </c>
      <c r="I81" s="48" t="s">
        <v>23</v>
      </c>
      <c r="J81" s="87" t="s">
        <v>1368</v>
      </c>
      <c r="K81" s="88">
        <v>38979</v>
      </c>
      <c r="L81" s="89">
        <v>2006</v>
      </c>
      <c r="M81" s="89">
        <f t="shared" si="7"/>
        <v>13</v>
      </c>
      <c r="N81" s="48" t="s">
        <v>11</v>
      </c>
      <c r="O81" s="48" t="s">
        <v>1369</v>
      </c>
      <c r="P81" s="87" t="s">
        <v>28</v>
      </c>
      <c r="Q81" s="48"/>
      <c r="R81" s="87" t="s">
        <v>1572</v>
      </c>
    </row>
    <row r="82" spans="2:18">
      <c r="B82" s="130">
        <v>23</v>
      </c>
      <c r="C82" s="130"/>
      <c r="D82" s="48">
        <v>75</v>
      </c>
      <c r="E82" s="87" t="s">
        <v>145</v>
      </c>
      <c r="F82" s="48" t="s">
        <v>14</v>
      </c>
      <c r="G82" s="48" t="s">
        <v>146</v>
      </c>
      <c r="H82" s="48" t="s">
        <v>17</v>
      </c>
      <c r="I82" s="48" t="s">
        <v>67</v>
      </c>
      <c r="J82" s="87"/>
      <c r="K82" s="88">
        <v>32142</v>
      </c>
      <c r="L82" s="89">
        <f t="shared" ref="L82:L93" si="8">YEAR(K82)</f>
        <v>1987</v>
      </c>
      <c r="M82" s="89">
        <f t="shared" si="7"/>
        <v>32</v>
      </c>
      <c r="N82" s="48" t="s">
        <v>11</v>
      </c>
      <c r="O82" s="48"/>
      <c r="P82" s="87" t="s">
        <v>12</v>
      </c>
      <c r="Q82" s="48"/>
      <c r="R82" s="87" t="s">
        <v>24</v>
      </c>
    </row>
    <row r="83" spans="2:18">
      <c r="B83" s="130"/>
      <c r="C83" s="130"/>
      <c r="D83" s="48">
        <v>76</v>
      </c>
      <c r="E83" s="87" t="s">
        <v>147</v>
      </c>
      <c r="F83" s="48" t="s">
        <v>25</v>
      </c>
      <c r="G83" s="48" t="s">
        <v>148</v>
      </c>
      <c r="H83" s="48" t="s">
        <v>9</v>
      </c>
      <c r="I83" s="48" t="s">
        <v>23</v>
      </c>
      <c r="J83" s="87"/>
      <c r="K83" s="88">
        <v>38407</v>
      </c>
      <c r="L83" s="89">
        <f t="shared" si="8"/>
        <v>2005</v>
      </c>
      <c r="M83" s="89">
        <f t="shared" si="7"/>
        <v>14</v>
      </c>
      <c r="N83" s="48" t="s">
        <v>11</v>
      </c>
      <c r="O83" s="48"/>
      <c r="P83" s="87" t="s">
        <v>18</v>
      </c>
      <c r="Q83" s="48"/>
      <c r="R83" s="87" t="s">
        <v>18</v>
      </c>
    </row>
    <row r="84" spans="2:18" ht="25.5">
      <c r="B84" s="130"/>
      <c r="C84" s="130"/>
      <c r="D84" s="48">
        <v>77</v>
      </c>
      <c r="E84" s="87" t="s">
        <v>149</v>
      </c>
      <c r="F84" s="48" t="s">
        <v>25</v>
      </c>
      <c r="G84" s="48" t="s">
        <v>150</v>
      </c>
      <c r="H84" s="48" t="s">
        <v>9</v>
      </c>
      <c r="I84" s="48" t="s">
        <v>23</v>
      </c>
      <c r="J84" s="87"/>
      <c r="K84" s="88">
        <v>40014</v>
      </c>
      <c r="L84" s="89">
        <f t="shared" si="8"/>
        <v>2009</v>
      </c>
      <c r="M84" s="89">
        <f t="shared" si="7"/>
        <v>10</v>
      </c>
      <c r="N84" s="48" t="s">
        <v>11</v>
      </c>
      <c r="O84" s="48"/>
      <c r="P84" s="87" t="s">
        <v>18</v>
      </c>
      <c r="Q84" s="48"/>
      <c r="R84" s="87" t="s">
        <v>18</v>
      </c>
    </row>
    <row r="85" spans="2:18">
      <c r="B85" s="130">
        <v>24</v>
      </c>
      <c r="C85" s="130"/>
      <c r="D85" s="48">
        <v>78</v>
      </c>
      <c r="E85" s="87" t="s">
        <v>151</v>
      </c>
      <c r="F85" s="48" t="s">
        <v>14</v>
      </c>
      <c r="G85" s="48" t="s">
        <v>152</v>
      </c>
      <c r="H85" s="48" t="s">
        <v>9</v>
      </c>
      <c r="I85" s="48" t="s">
        <v>10</v>
      </c>
      <c r="J85" s="87"/>
      <c r="K85" s="88">
        <v>29586</v>
      </c>
      <c r="L85" s="89">
        <f t="shared" si="8"/>
        <v>1980</v>
      </c>
      <c r="M85" s="89">
        <f t="shared" si="7"/>
        <v>39</v>
      </c>
      <c r="N85" s="48" t="s">
        <v>11</v>
      </c>
      <c r="O85" s="48"/>
      <c r="P85" s="87" t="s">
        <v>18</v>
      </c>
      <c r="Q85" s="48"/>
      <c r="R85" s="87" t="s">
        <v>24</v>
      </c>
    </row>
    <row r="86" spans="2:18" ht="25.5">
      <c r="B86" s="130"/>
      <c r="C86" s="130"/>
      <c r="D86" s="48">
        <v>79</v>
      </c>
      <c r="E86" s="87" t="s">
        <v>153</v>
      </c>
      <c r="F86" s="48" t="s">
        <v>20</v>
      </c>
      <c r="G86" s="48" t="s">
        <v>154</v>
      </c>
      <c r="H86" s="48" t="s">
        <v>17</v>
      </c>
      <c r="I86" s="48" t="s">
        <v>10</v>
      </c>
      <c r="J86" s="87"/>
      <c r="K86" s="88">
        <v>30316</v>
      </c>
      <c r="L86" s="89">
        <f t="shared" si="8"/>
        <v>1982</v>
      </c>
      <c r="M86" s="89">
        <f t="shared" si="7"/>
        <v>37</v>
      </c>
      <c r="N86" s="48" t="s">
        <v>11</v>
      </c>
      <c r="O86" s="48"/>
      <c r="P86" s="87" t="s">
        <v>28</v>
      </c>
      <c r="Q86" s="48"/>
      <c r="R86" s="87" t="s">
        <v>24</v>
      </c>
    </row>
    <row r="87" spans="2:18">
      <c r="B87" s="130"/>
      <c r="C87" s="130"/>
      <c r="D87" s="48">
        <v>80</v>
      </c>
      <c r="E87" s="87" t="s">
        <v>155</v>
      </c>
      <c r="F87" s="48" t="s">
        <v>25</v>
      </c>
      <c r="G87" s="48" t="s">
        <v>156</v>
      </c>
      <c r="H87" s="48" t="s">
        <v>9</v>
      </c>
      <c r="I87" s="48" t="s">
        <v>23</v>
      </c>
      <c r="J87" s="87"/>
      <c r="K87" s="88">
        <v>34827</v>
      </c>
      <c r="L87" s="89">
        <f t="shared" si="8"/>
        <v>1995</v>
      </c>
      <c r="M87" s="89">
        <f t="shared" si="7"/>
        <v>24</v>
      </c>
      <c r="N87" s="48" t="s">
        <v>11</v>
      </c>
      <c r="O87" s="48"/>
      <c r="P87" s="87" t="s">
        <v>12</v>
      </c>
      <c r="Q87" s="48"/>
      <c r="R87" s="87" t="s">
        <v>24</v>
      </c>
    </row>
    <row r="88" spans="2:18">
      <c r="B88" s="130">
        <v>25</v>
      </c>
      <c r="C88" s="130"/>
      <c r="D88" s="48">
        <v>81</v>
      </c>
      <c r="E88" s="87" t="s">
        <v>157</v>
      </c>
      <c r="F88" s="48" t="s">
        <v>14</v>
      </c>
      <c r="G88" s="48" t="s">
        <v>158</v>
      </c>
      <c r="H88" s="48" t="s">
        <v>17</v>
      </c>
      <c r="I88" s="48" t="s">
        <v>67</v>
      </c>
      <c r="J88" s="87"/>
      <c r="K88" s="88">
        <v>18993</v>
      </c>
      <c r="L88" s="89">
        <f t="shared" si="8"/>
        <v>1951</v>
      </c>
      <c r="M88" s="89">
        <f t="shared" si="7"/>
        <v>68</v>
      </c>
      <c r="N88" s="48" t="s">
        <v>11</v>
      </c>
      <c r="O88" s="48"/>
      <c r="P88" s="87" t="s">
        <v>18</v>
      </c>
      <c r="Q88" s="48"/>
      <c r="R88" s="87"/>
    </row>
    <row r="89" spans="2:18">
      <c r="B89" s="130"/>
      <c r="C89" s="130"/>
      <c r="D89" s="48">
        <v>82</v>
      </c>
      <c r="E89" s="87" t="s">
        <v>159</v>
      </c>
      <c r="F89" s="48" t="s">
        <v>25</v>
      </c>
      <c r="G89" s="48" t="s">
        <v>160</v>
      </c>
      <c r="H89" s="48" t="s">
        <v>9</v>
      </c>
      <c r="I89" s="48" t="s">
        <v>23</v>
      </c>
      <c r="J89" s="87"/>
      <c r="K89" s="88">
        <v>29227</v>
      </c>
      <c r="L89" s="89">
        <f t="shared" si="8"/>
        <v>1980</v>
      </c>
      <c r="M89" s="89">
        <f t="shared" si="7"/>
        <v>39</v>
      </c>
      <c r="N89" s="48" t="s">
        <v>11</v>
      </c>
      <c r="O89" s="48"/>
      <c r="P89" s="87" t="s">
        <v>28</v>
      </c>
      <c r="Q89" s="48"/>
      <c r="R89" s="87"/>
    </row>
    <row r="90" spans="2:18">
      <c r="B90" s="130"/>
      <c r="C90" s="130"/>
      <c r="D90" s="48">
        <v>83</v>
      </c>
      <c r="E90" s="87" t="s">
        <v>161</v>
      </c>
      <c r="F90" s="48" t="s">
        <v>25</v>
      </c>
      <c r="G90" s="48" t="s">
        <v>162</v>
      </c>
      <c r="H90" s="48" t="s">
        <v>9</v>
      </c>
      <c r="I90" s="48" t="s">
        <v>23</v>
      </c>
      <c r="J90" s="87"/>
      <c r="K90" s="88">
        <v>32272</v>
      </c>
      <c r="L90" s="89">
        <f t="shared" si="8"/>
        <v>1988</v>
      </c>
      <c r="M90" s="89">
        <f t="shared" si="7"/>
        <v>31</v>
      </c>
      <c r="N90" s="48" t="s">
        <v>11</v>
      </c>
      <c r="O90" s="48"/>
      <c r="P90" s="87" t="s">
        <v>33</v>
      </c>
      <c r="Q90" s="48"/>
      <c r="R90" s="87"/>
    </row>
    <row r="91" spans="2:18">
      <c r="B91" s="130">
        <v>26</v>
      </c>
      <c r="C91" s="130"/>
      <c r="D91" s="48">
        <v>84</v>
      </c>
      <c r="E91" s="87" t="s">
        <v>163</v>
      </c>
      <c r="F91" s="48" t="s">
        <v>14</v>
      </c>
      <c r="G91" s="48" t="s">
        <v>164</v>
      </c>
      <c r="H91" s="48" t="s">
        <v>9</v>
      </c>
      <c r="I91" s="48" t="s">
        <v>10</v>
      </c>
      <c r="J91" s="87"/>
      <c r="K91" s="88">
        <v>19832</v>
      </c>
      <c r="L91" s="89">
        <f t="shared" si="8"/>
        <v>1954</v>
      </c>
      <c r="M91" s="89">
        <f t="shared" si="7"/>
        <v>65</v>
      </c>
      <c r="N91" s="48" t="s">
        <v>11</v>
      </c>
      <c r="O91" s="48"/>
      <c r="P91" s="87" t="s">
        <v>28</v>
      </c>
      <c r="Q91" s="48"/>
      <c r="R91" s="87" t="s">
        <v>24</v>
      </c>
    </row>
    <row r="92" spans="2:18">
      <c r="B92" s="130"/>
      <c r="C92" s="130"/>
      <c r="D92" s="48">
        <v>85</v>
      </c>
      <c r="E92" s="87" t="s">
        <v>165</v>
      </c>
      <c r="F92" s="48" t="s">
        <v>20</v>
      </c>
      <c r="G92" s="48" t="s">
        <v>166</v>
      </c>
      <c r="H92" s="48" t="s">
        <v>17</v>
      </c>
      <c r="I92" s="48" t="s">
        <v>10</v>
      </c>
      <c r="J92" s="87"/>
      <c r="K92" s="88">
        <v>21253</v>
      </c>
      <c r="L92" s="89">
        <f t="shared" si="8"/>
        <v>1958</v>
      </c>
      <c r="M92" s="89">
        <f t="shared" si="7"/>
        <v>61</v>
      </c>
      <c r="N92" s="48" t="s">
        <v>11</v>
      </c>
      <c r="O92" s="48"/>
      <c r="P92" s="87" t="s">
        <v>28</v>
      </c>
      <c r="Q92" s="48"/>
      <c r="R92" s="87" t="s">
        <v>24</v>
      </c>
    </row>
    <row r="93" spans="2:18">
      <c r="B93" s="130"/>
      <c r="C93" s="130"/>
      <c r="D93" s="48">
        <v>86</v>
      </c>
      <c r="E93" s="87" t="s">
        <v>167</v>
      </c>
      <c r="F93" s="48" t="s">
        <v>25</v>
      </c>
      <c r="G93" s="48" t="s">
        <v>162</v>
      </c>
      <c r="H93" s="48" t="s">
        <v>17</v>
      </c>
      <c r="I93" s="48" t="s">
        <v>23</v>
      </c>
      <c r="J93" s="87"/>
      <c r="K93" s="88">
        <v>30814</v>
      </c>
      <c r="L93" s="89">
        <f t="shared" si="8"/>
        <v>1984</v>
      </c>
      <c r="M93" s="89">
        <f t="shared" si="7"/>
        <v>35</v>
      </c>
      <c r="N93" s="48" t="s">
        <v>11</v>
      </c>
      <c r="O93" s="48"/>
      <c r="P93" s="87" t="s">
        <v>18</v>
      </c>
      <c r="Q93" s="48"/>
      <c r="R93" s="87" t="s">
        <v>18</v>
      </c>
    </row>
    <row r="94" spans="2:18" ht="25.5">
      <c r="B94" s="130">
        <v>27</v>
      </c>
      <c r="C94" s="130" t="s">
        <v>1732</v>
      </c>
      <c r="D94" s="48">
        <v>87</v>
      </c>
      <c r="E94" s="87" t="s">
        <v>168</v>
      </c>
      <c r="F94" s="48" t="s">
        <v>14</v>
      </c>
      <c r="G94" s="48" t="s">
        <v>2151</v>
      </c>
      <c r="H94" s="48" t="s">
        <v>9</v>
      </c>
      <c r="I94" s="48" t="s">
        <v>10</v>
      </c>
      <c r="J94" s="87" t="s">
        <v>1387</v>
      </c>
      <c r="K94" s="88">
        <v>27394</v>
      </c>
      <c r="L94" s="89">
        <v>1974</v>
      </c>
      <c r="M94" s="89">
        <f t="shared" si="7"/>
        <v>45</v>
      </c>
      <c r="N94" s="48" t="s">
        <v>11</v>
      </c>
      <c r="O94" s="48" t="s">
        <v>1369</v>
      </c>
      <c r="P94" s="87" t="s">
        <v>28</v>
      </c>
      <c r="Q94" s="48"/>
      <c r="R94" s="87" t="s">
        <v>1566</v>
      </c>
    </row>
    <row r="95" spans="2:18" ht="25.5">
      <c r="B95" s="130"/>
      <c r="C95" s="130"/>
      <c r="D95" s="48">
        <v>88</v>
      </c>
      <c r="E95" s="87" t="s">
        <v>169</v>
      </c>
      <c r="F95" s="48" t="s">
        <v>20</v>
      </c>
      <c r="G95" s="48" t="s">
        <v>2152</v>
      </c>
      <c r="H95" s="48" t="s">
        <v>17</v>
      </c>
      <c r="I95" s="48" t="s">
        <v>10</v>
      </c>
      <c r="J95" s="87" t="s">
        <v>1387</v>
      </c>
      <c r="K95" s="88">
        <v>27759</v>
      </c>
      <c r="L95" s="89">
        <v>1975</v>
      </c>
      <c r="M95" s="89">
        <f t="shared" si="7"/>
        <v>44</v>
      </c>
      <c r="N95" s="48" t="s">
        <v>11</v>
      </c>
      <c r="O95" s="48" t="s">
        <v>1369</v>
      </c>
      <c r="P95" s="87" t="s">
        <v>1378</v>
      </c>
      <c r="Q95" s="48"/>
      <c r="R95" s="87" t="s">
        <v>1566</v>
      </c>
    </row>
    <row r="96" spans="2:18" ht="25.5">
      <c r="B96" s="130"/>
      <c r="C96" s="130"/>
      <c r="D96" s="48">
        <v>89</v>
      </c>
      <c r="E96" s="87" t="s">
        <v>170</v>
      </c>
      <c r="F96" s="48" t="s">
        <v>25</v>
      </c>
      <c r="G96" s="48" t="s">
        <v>2153</v>
      </c>
      <c r="H96" s="48" t="s">
        <v>9</v>
      </c>
      <c r="I96" s="48" t="s">
        <v>23</v>
      </c>
      <c r="J96" s="87" t="s">
        <v>1387</v>
      </c>
      <c r="K96" s="88">
        <v>31021</v>
      </c>
      <c r="L96" s="89">
        <v>1984</v>
      </c>
      <c r="M96" s="89">
        <f t="shared" si="7"/>
        <v>35</v>
      </c>
      <c r="N96" s="48" t="s">
        <v>11</v>
      </c>
      <c r="O96" s="48" t="s">
        <v>1369</v>
      </c>
      <c r="P96" s="87" t="s">
        <v>1385</v>
      </c>
      <c r="Q96" s="48"/>
      <c r="R96" s="87" t="s">
        <v>1566</v>
      </c>
    </row>
    <row r="97" spans="2:18" ht="25.5">
      <c r="B97" s="130">
        <v>28</v>
      </c>
      <c r="C97" s="130" t="s">
        <v>1802</v>
      </c>
      <c r="D97" s="48">
        <v>90</v>
      </c>
      <c r="E97" s="87" t="s">
        <v>173</v>
      </c>
      <c r="F97" s="48" t="s">
        <v>14</v>
      </c>
      <c r="G97" s="48" t="s">
        <v>1803</v>
      </c>
      <c r="H97" s="48" t="s">
        <v>9</v>
      </c>
      <c r="I97" s="48" t="s">
        <v>10</v>
      </c>
      <c r="J97" s="87" t="s">
        <v>1387</v>
      </c>
      <c r="K97" s="88">
        <v>31361</v>
      </c>
      <c r="L97" s="89">
        <v>1985</v>
      </c>
      <c r="M97" s="89">
        <f t="shared" si="7"/>
        <v>34</v>
      </c>
      <c r="N97" s="48" t="s">
        <v>11</v>
      </c>
      <c r="O97" s="48" t="s">
        <v>1369</v>
      </c>
      <c r="P97" s="87" t="s">
        <v>28</v>
      </c>
      <c r="Q97" s="48"/>
      <c r="R97" s="87" t="s">
        <v>1371</v>
      </c>
    </row>
    <row r="98" spans="2:18" ht="25.5">
      <c r="B98" s="130"/>
      <c r="C98" s="130"/>
      <c r="D98" s="48">
        <v>91</v>
      </c>
      <c r="E98" s="87" t="s">
        <v>174</v>
      </c>
      <c r="F98" s="48" t="s">
        <v>20</v>
      </c>
      <c r="G98" s="48" t="s">
        <v>175</v>
      </c>
      <c r="H98" s="48" t="s">
        <v>17</v>
      </c>
      <c r="I98" s="48" t="s">
        <v>10</v>
      </c>
      <c r="J98" s="87" t="s">
        <v>1387</v>
      </c>
      <c r="K98" s="88">
        <v>33238</v>
      </c>
      <c r="L98" s="89">
        <v>1990</v>
      </c>
      <c r="M98" s="89">
        <f t="shared" si="7"/>
        <v>29</v>
      </c>
      <c r="N98" s="48" t="s">
        <v>11</v>
      </c>
      <c r="O98" s="48" t="s">
        <v>1369</v>
      </c>
      <c r="P98" s="87" t="s">
        <v>1375</v>
      </c>
      <c r="Q98" s="48"/>
      <c r="R98" s="87" t="s">
        <v>1806</v>
      </c>
    </row>
    <row r="99" spans="2:18" ht="25.5">
      <c r="B99" s="130"/>
      <c r="C99" s="130"/>
      <c r="D99" s="48">
        <v>92</v>
      </c>
      <c r="E99" s="87" t="s">
        <v>176</v>
      </c>
      <c r="F99" s="48" t="s">
        <v>25</v>
      </c>
      <c r="G99" s="48" t="s">
        <v>177</v>
      </c>
      <c r="H99" s="48" t="s">
        <v>9</v>
      </c>
      <c r="I99" s="48" t="s">
        <v>23</v>
      </c>
      <c r="J99" s="87" t="s">
        <v>1387</v>
      </c>
      <c r="K99" s="88">
        <v>40231</v>
      </c>
      <c r="L99" s="89">
        <v>2010</v>
      </c>
      <c r="M99" s="89">
        <f t="shared" si="7"/>
        <v>9</v>
      </c>
      <c r="N99" s="48" t="s">
        <v>11</v>
      </c>
      <c r="O99" s="48" t="s">
        <v>1369</v>
      </c>
      <c r="P99" s="87" t="s">
        <v>1378</v>
      </c>
      <c r="Q99" s="48"/>
      <c r="R99" s="87" t="s">
        <v>1555</v>
      </c>
    </row>
    <row r="100" spans="2:18" ht="25.5">
      <c r="B100" s="130"/>
      <c r="C100" s="130"/>
      <c r="D100" s="48">
        <v>93</v>
      </c>
      <c r="E100" s="87" t="s">
        <v>1801</v>
      </c>
      <c r="F100" s="48" t="s">
        <v>25</v>
      </c>
      <c r="G100" s="48" t="s">
        <v>1804</v>
      </c>
      <c r="H100" s="48" t="s">
        <v>17</v>
      </c>
      <c r="I100" s="48" t="s">
        <v>23</v>
      </c>
      <c r="J100" s="87" t="s">
        <v>1805</v>
      </c>
      <c r="K100" s="88">
        <v>42826</v>
      </c>
      <c r="L100" s="89">
        <v>2017</v>
      </c>
      <c r="M100" s="89">
        <f t="shared" si="7"/>
        <v>2</v>
      </c>
      <c r="N100" s="48" t="s">
        <v>11</v>
      </c>
      <c r="O100" s="48" t="s">
        <v>1369</v>
      </c>
      <c r="P100" s="87" t="s">
        <v>1378</v>
      </c>
      <c r="Q100" s="48"/>
      <c r="R100" s="87" t="s">
        <v>1555</v>
      </c>
    </row>
    <row r="101" spans="2:18">
      <c r="B101" s="130">
        <v>29</v>
      </c>
      <c r="C101" s="130" t="s">
        <v>1725</v>
      </c>
      <c r="D101" s="48">
        <v>94</v>
      </c>
      <c r="E101" s="87" t="s">
        <v>178</v>
      </c>
      <c r="F101" s="48" t="s">
        <v>14</v>
      </c>
      <c r="G101" s="48" t="s">
        <v>1726</v>
      </c>
      <c r="H101" s="48" t="s">
        <v>9</v>
      </c>
      <c r="I101" s="48" t="s">
        <v>10</v>
      </c>
      <c r="J101" s="87" t="s">
        <v>1387</v>
      </c>
      <c r="K101" s="88">
        <v>18628</v>
      </c>
      <c r="L101" s="89">
        <v>1950</v>
      </c>
      <c r="M101" s="89">
        <f t="shared" si="7"/>
        <v>69</v>
      </c>
      <c r="N101" s="48" t="s">
        <v>11</v>
      </c>
      <c r="O101" s="48" t="s">
        <v>1369</v>
      </c>
      <c r="P101" s="87" t="s">
        <v>28</v>
      </c>
      <c r="Q101" s="48"/>
      <c r="R101" s="87" t="s">
        <v>1460</v>
      </c>
    </row>
    <row r="102" spans="2:18" ht="25.5">
      <c r="B102" s="130"/>
      <c r="C102" s="130"/>
      <c r="D102" s="48">
        <v>95</v>
      </c>
      <c r="E102" s="87" t="s">
        <v>179</v>
      </c>
      <c r="F102" s="48" t="s">
        <v>180</v>
      </c>
      <c r="G102" s="48" t="s">
        <v>1727</v>
      </c>
      <c r="H102" s="48" t="s">
        <v>17</v>
      </c>
      <c r="I102" s="48" t="s">
        <v>10</v>
      </c>
      <c r="J102" s="87" t="s">
        <v>1387</v>
      </c>
      <c r="K102" s="88">
        <v>21915</v>
      </c>
      <c r="L102" s="89">
        <v>1959</v>
      </c>
      <c r="M102" s="89">
        <f t="shared" si="7"/>
        <v>60</v>
      </c>
      <c r="N102" s="48" t="s">
        <v>11</v>
      </c>
      <c r="O102" s="48" t="s">
        <v>1369</v>
      </c>
      <c r="P102" s="87" t="s">
        <v>28</v>
      </c>
      <c r="Q102" s="48"/>
      <c r="R102" s="87" t="s">
        <v>1373</v>
      </c>
    </row>
    <row r="103" spans="2:18">
      <c r="B103" s="130">
        <v>30</v>
      </c>
      <c r="C103" s="130"/>
      <c r="D103" s="48">
        <v>96</v>
      </c>
      <c r="E103" s="87" t="s">
        <v>181</v>
      </c>
      <c r="F103" s="48" t="s">
        <v>14</v>
      </c>
      <c r="G103" s="48" t="s">
        <v>182</v>
      </c>
      <c r="H103" s="48" t="s">
        <v>9</v>
      </c>
      <c r="I103" s="48" t="s">
        <v>10</v>
      </c>
      <c r="J103" s="87"/>
      <c r="K103" s="88">
        <v>24479</v>
      </c>
      <c r="L103" s="89">
        <f t="shared" ref="L103:L104" si="9">YEAR(K103)</f>
        <v>1967</v>
      </c>
      <c r="M103" s="89">
        <f t="shared" si="7"/>
        <v>52</v>
      </c>
      <c r="N103" s="48" t="s">
        <v>11</v>
      </c>
      <c r="O103" s="48"/>
      <c r="P103" s="87" t="s">
        <v>18</v>
      </c>
      <c r="Q103" s="48"/>
      <c r="R103" s="87" t="s">
        <v>24</v>
      </c>
    </row>
    <row r="104" spans="2:18">
      <c r="B104" s="130"/>
      <c r="C104" s="130"/>
      <c r="D104" s="48">
        <v>97</v>
      </c>
      <c r="E104" s="87" t="s">
        <v>183</v>
      </c>
      <c r="F104" s="48" t="s">
        <v>20</v>
      </c>
      <c r="G104" s="48" t="s">
        <v>184</v>
      </c>
      <c r="H104" s="48" t="s">
        <v>17</v>
      </c>
      <c r="I104" s="48" t="s">
        <v>10</v>
      </c>
      <c r="J104" s="87"/>
      <c r="K104" s="88">
        <v>25916</v>
      </c>
      <c r="L104" s="89">
        <f t="shared" si="9"/>
        <v>1970</v>
      </c>
      <c r="M104" s="89">
        <f t="shared" si="7"/>
        <v>49</v>
      </c>
      <c r="N104" s="48" t="s">
        <v>11</v>
      </c>
      <c r="O104" s="48"/>
      <c r="P104" s="87" t="s">
        <v>18</v>
      </c>
      <c r="Q104" s="48"/>
      <c r="R104" s="87" t="s">
        <v>24</v>
      </c>
    </row>
    <row r="105" spans="2:18">
      <c r="B105" s="130">
        <v>31</v>
      </c>
      <c r="C105" s="130" t="s">
        <v>1733</v>
      </c>
      <c r="D105" s="48">
        <v>98</v>
      </c>
      <c r="E105" s="87" t="s">
        <v>185</v>
      </c>
      <c r="F105" s="48" t="s">
        <v>14</v>
      </c>
      <c r="G105" s="48" t="s">
        <v>186</v>
      </c>
      <c r="H105" s="48" t="s">
        <v>9</v>
      </c>
      <c r="I105" s="48" t="s">
        <v>10</v>
      </c>
      <c r="J105" s="87" t="s">
        <v>1387</v>
      </c>
      <c r="K105" s="88">
        <v>20717</v>
      </c>
      <c r="L105" s="89">
        <v>1956</v>
      </c>
      <c r="M105" s="89">
        <f t="shared" si="7"/>
        <v>63</v>
      </c>
      <c r="N105" s="48" t="s">
        <v>11</v>
      </c>
      <c r="O105" s="48" t="s">
        <v>1369</v>
      </c>
      <c r="P105" s="87" t="s">
        <v>28</v>
      </c>
      <c r="Q105" s="48"/>
      <c r="R105" s="87" t="s">
        <v>1460</v>
      </c>
    </row>
    <row r="106" spans="2:18">
      <c r="B106" s="130"/>
      <c r="C106" s="130"/>
      <c r="D106" s="48">
        <v>99</v>
      </c>
      <c r="E106" s="87" t="s">
        <v>187</v>
      </c>
      <c r="F106" s="48" t="s">
        <v>20</v>
      </c>
      <c r="G106" s="48" t="s">
        <v>188</v>
      </c>
      <c r="H106" s="48" t="s">
        <v>17</v>
      </c>
      <c r="I106" s="48" t="s">
        <v>10</v>
      </c>
      <c r="J106" s="87" t="s">
        <v>1387</v>
      </c>
      <c r="K106" s="88">
        <v>21987</v>
      </c>
      <c r="L106" s="89">
        <v>1960</v>
      </c>
      <c r="M106" s="89">
        <f t="shared" si="7"/>
        <v>59</v>
      </c>
      <c r="N106" s="48" t="s">
        <v>11</v>
      </c>
      <c r="O106" s="48" t="s">
        <v>1369</v>
      </c>
      <c r="P106" s="87" t="s">
        <v>28</v>
      </c>
      <c r="Q106" s="48"/>
      <c r="R106" s="87" t="s">
        <v>1460</v>
      </c>
    </row>
    <row r="107" spans="2:18">
      <c r="B107" s="130"/>
      <c r="C107" s="130"/>
      <c r="D107" s="48">
        <v>100</v>
      </c>
      <c r="E107" s="87" t="s">
        <v>189</v>
      </c>
      <c r="F107" s="48" t="s">
        <v>25</v>
      </c>
      <c r="G107" s="48" t="s">
        <v>190</v>
      </c>
      <c r="H107" s="48" t="s">
        <v>9</v>
      </c>
      <c r="I107" s="48" t="s">
        <v>23</v>
      </c>
      <c r="J107" s="87" t="s">
        <v>1387</v>
      </c>
      <c r="K107" s="88">
        <v>30487</v>
      </c>
      <c r="L107" s="89">
        <v>1983</v>
      </c>
      <c r="M107" s="89">
        <f t="shared" si="7"/>
        <v>36</v>
      </c>
      <c r="N107" s="48" t="s">
        <v>11</v>
      </c>
      <c r="O107" s="48" t="s">
        <v>1369</v>
      </c>
      <c r="P107" s="87" t="s">
        <v>1385</v>
      </c>
      <c r="Q107" s="48"/>
      <c r="R107" s="87" t="s">
        <v>1460</v>
      </c>
    </row>
    <row r="108" spans="2:18" ht="25.5">
      <c r="B108" s="130">
        <v>32</v>
      </c>
      <c r="C108" s="130" t="s">
        <v>2134</v>
      </c>
      <c r="D108" s="48">
        <v>101</v>
      </c>
      <c r="E108" s="87" t="s">
        <v>191</v>
      </c>
      <c r="F108" s="48" t="s">
        <v>14</v>
      </c>
      <c r="G108" s="48" t="s">
        <v>192</v>
      </c>
      <c r="H108" s="48" t="s">
        <v>17</v>
      </c>
      <c r="I108" s="48" t="s">
        <v>67</v>
      </c>
      <c r="J108" s="87" t="s">
        <v>1387</v>
      </c>
      <c r="K108" s="88">
        <v>29240</v>
      </c>
      <c r="L108" s="89">
        <v>1980</v>
      </c>
      <c r="M108" s="89">
        <f t="shared" si="7"/>
        <v>39</v>
      </c>
      <c r="N108" s="48" t="s">
        <v>11</v>
      </c>
      <c r="O108" s="48" t="s">
        <v>1369</v>
      </c>
      <c r="P108" s="87" t="s">
        <v>28</v>
      </c>
      <c r="Q108" s="48"/>
      <c r="R108" s="87" t="s">
        <v>1371</v>
      </c>
    </row>
    <row r="109" spans="2:18" ht="25.5">
      <c r="B109" s="130"/>
      <c r="C109" s="130"/>
      <c r="D109" s="48">
        <v>102</v>
      </c>
      <c r="E109" s="87" t="s">
        <v>193</v>
      </c>
      <c r="F109" s="48" t="s">
        <v>25</v>
      </c>
      <c r="G109" s="48" t="s">
        <v>194</v>
      </c>
      <c r="H109" s="48" t="s">
        <v>17</v>
      </c>
      <c r="I109" s="48" t="s">
        <v>23</v>
      </c>
      <c r="J109" s="87" t="s">
        <v>1387</v>
      </c>
      <c r="K109" s="88">
        <v>36636</v>
      </c>
      <c r="L109" s="89">
        <v>2000</v>
      </c>
      <c r="M109" s="89">
        <f t="shared" si="7"/>
        <v>19</v>
      </c>
      <c r="N109" s="48" t="s">
        <v>11</v>
      </c>
      <c r="O109" s="48" t="s">
        <v>1369</v>
      </c>
      <c r="P109" s="87" t="s">
        <v>28</v>
      </c>
      <c r="Q109" s="48"/>
      <c r="R109" s="87" t="s">
        <v>1376</v>
      </c>
    </row>
    <row r="110" spans="2:18" ht="25.5">
      <c r="B110" s="130">
        <v>33</v>
      </c>
      <c r="C110" s="130" t="s">
        <v>1788</v>
      </c>
      <c r="D110" s="48">
        <v>103</v>
      </c>
      <c r="E110" s="87" t="s">
        <v>195</v>
      </c>
      <c r="F110" s="48" t="s">
        <v>14</v>
      </c>
      <c r="G110" s="48" t="s">
        <v>196</v>
      </c>
      <c r="H110" s="48" t="s">
        <v>9</v>
      </c>
      <c r="I110" s="48" t="s">
        <v>10</v>
      </c>
      <c r="J110" s="87" t="s">
        <v>1387</v>
      </c>
      <c r="K110" s="88">
        <v>30984</v>
      </c>
      <c r="L110" s="89">
        <v>1984</v>
      </c>
      <c r="M110" s="89">
        <f t="shared" si="7"/>
        <v>35</v>
      </c>
      <c r="N110" s="48" t="s">
        <v>11</v>
      </c>
      <c r="O110" s="48" t="s">
        <v>1369</v>
      </c>
      <c r="P110" s="87" t="s">
        <v>28</v>
      </c>
      <c r="Q110" s="48"/>
      <c r="R110" s="87" t="s">
        <v>1371</v>
      </c>
    </row>
    <row r="111" spans="2:18" ht="25.5">
      <c r="B111" s="130"/>
      <c r="C111" s="130"/>
      <c r="D111" s="48">
        <v>104</v>
      </c>
      <c r="E111" s="87" t="s">
        <v>197</v>
      </c>
      <c r="F111" s="48" t="s">
        <v>20</v>
      </c>
      <c r="G111" s="48" t="s">
        <v>198</v>
      </c>
      <c r="H111" s="48" t="s">
        <v>17</v>
      </c>
      <c r="I111" s="48" t="s">
        <v>10</v>
      </c>
      <c r="J111" s="87" t="s">
        <v>1387</v>
      </c>
      <c r="K111" s="88">
        <v>34250</v>
      </c>
      <c r="L111" s="89">
        <v>1993</v>
      </c>
      <c r="M111" s="89">
        <f t="shared" si="7"/>
        <v>26</v>
      </c>
      <c r="N111" s="48" t="s">
        <v>11</v>
      </c>
      <c r="O111" s="48" t="s">
        <v>1369</v>
      </c>
      <c r="P111" s="87" t="s">
        <v>12</v>
      </c>
      <c r="Q111" s="48"/>
      <c r="R111" s="87" t="s">
        <v>1373</v>
      </c>
    </row>
    <row r="112" spans="2:18" ht="25.5">
      <c r="B112" s="130"/>
      <c r="C112" s="130"/>
      <c r="D112" s="48">
        <v>105</v>
      </c>
      <c r="E112" s="87" t="s">
        <v>1789</v>
      </c>
      <c r="F112" s="48" t="s">
        <v>25</v>
      </c>
      <c r="G112" s="48" t="s">
        <v>199</v>
      </c>
      <c r="H112" s="48" t="s">
        <v>9</v>
      </c>
      <c r="I112" s="48" t="s">
        <v>23</v>
      </c>
      <c r="J112" s="87" t="s">
        <v>1387</v>
      </c>
      <c r="K112" s="88">
        <v>41376</v>
      </c>
      <c r="L112" s="89">
        <v>2013</v>
      </c>
      <c r="M112" s="89">
        <f t="shared" si="7"/>
        <v>6</v>
      </c>
      <c r="N112" s="48" t="s">
        <v>11</v>
      </c>
      <c r="O112" s="48" t="s">
        <v>1369</v>
      </c>
      <c r="P112" s="87" t="s">
        <v>1378</v>
      </c>
      <c r="Q112" s="48"/>
      <c r="R112" s="87" t="s">
        <v>1389</v>
      </c>
    </row>
    <row r="113" spans="2:18" ht="25.5">
      <c r="B113" s="130"/>
      <c r="C113" s="130"/>
      <c r="D113" s="48">
        <v>106</v>
      </c>
      <c r="E113" s="87" t="s">
        <v>1790</v>
      </c>
      <c r="F113" s="48" t="s">
        <v>25</v>
      </c>
      <c r="G113" s="48" t="s">
        <v>1791</v>
      </c>
      <c r="H113" s="48" t="s">
        <v>9</v>
      </c>
      <c r="I113" s="48" t="s">
        <v>23</v>
      </c>
      <c r="J113" s="87" t="s">
        <v>1660</v>
      </c>
      <c r="K113" s="88">
        <v>41376</v>
      </c>
      <c r="L113" s="89">
        <v>2013</v>
      </c>
      <c r="M113" s="89">
        <f t="shared" si="7"/>
        <v>6</v>
      </c>
      <c r="N113" s="48" t="s">
        <v>11</v>
      </c>
      <c r="O113" s="48" t="s">
        <v>1369</v>
      </c>
      <c r="P113" s="87" t="s">
        <v>1378</v>
      </c>
      <c r="Q113" s="48"/>
      <c r="R113" s="87" t="s">
        <v>1389</v>
      </c>
    </row>
    <row r="114" spans="2:18" ht="25.5">
      <c r="B114" s="130">
        <v>34</v>
      </c>
      <c r="C114" s="130" t="s">
        <v>1747</v>
      </c>
      <c r="D114" s="48">
        <v>107</v>
      </c>
      <c r="E114" s="87" t="s">
        <v>200</v>
      </c>
      <c r="F114" s="48" t="s">
        <v>14</v>
      </c>
      <c r="G114" s="48" t="s">
        <v>201</v>
      </c>
      <c r="H114" s="48" t="s">
        <v>9</v>
      </c>
      <c r="I114" s="48" t="s">
        <v>10</v>
      </c>
      <c r="J114" s="87" t="s">
        <v>1438</v>
      </c>
      <c r="K114" s="88">
        <v>30924</v>
      </c>
      <c r="L114" s="89">
        <v>1984</v>
      </c>
      <c r="M114" s="89">
        <f t="shared" si="7"/>
        <v>35</v>
      </c>
      <c r="N114" s="48" t="s">
        <v>11</v>
      </c>
      <c r="O114" s="48" t="s">
        <v>1369</v>
      </c>
      <c r="P114" s="87" t="s">
        <v>28</v>
      </c>
      <c r="Q114" s="48"/>
      <c r="R114" s="87" t="s">
        <v>1371</v>
      </c>
    </row>
    <row r="115" spans="2:18" ht="25.5">
      <c r="B115" s="130"/>
      <c r="C115" s="130"/>
      <c r="D115" s="48">
        <v>108</v>
      </c>
      <c r="E115" s="87" t="s">
        <v>202</v>
      </c>
      <c r="F115" s="48" t="s">
        <v>20</v>
      </c>
      <c r="G115" s="48" t="s">
        <v>203</v>
      </c>
      <c r="H115" s="48" t="s">
        <v>17</v>
      </c>
      <c r="I115" s="48" t="s">
        <v>10</v>
      </c>
      <c r="J115" s="87" t="s">
        <v>1368</v>
      </c>
      <c r="K115" s="88">
        <v>30996</v>
      </c>
      <c r="L115" s="89">
        <v>1984</v>
      </c>
      <c r="M115" s="89">
        <f t="shared" si="7"/>
        <v>35</v>
      </c>
      <c r="N115" s="48" t="s">
        <v>11</v>
      </c>
      <c r="O115" s="48" t="s">
        <v>1369</v>
      </c>
      <c r="P115" s="87" t="s">
        <v>1385</v>
      </c>
      <c r="Q115" s="48"/>
      <c r="R115" s="87" t="s">
        <v>1566</v>
      </c>
    </row>
    <row r="116" spans="2:18" ht="25.5">
      <c r="B116" s="130"/>
      <c r="C116" s="130"/>
      <c r="D116" s="48">
        <v>109</v>
      </c>
      <c r="E116" s="87" t="s">
        <v>204</v>
      </c>
      <c r="F116" s="48" t="s">
        <v>25</v>
      </c>
      <c r="G116" s="48" t="s">
        <v>1748</v>
      </c>
      <c r="H116" s="48" t="s">
        <v>9</v>
      </c>
      <c r="I116" s="48" t="s">
        <v>23</v>
      </c>
      <c r="J116" s="87" t="s">
        <v>1368</v>
      </c>
      <c r="K116" s="88">
        <v>39317</v>
      </c>
      <c r="L116" s="89">
        <v>2007</v>
      </c>
      <c r="M116" s="89">
        <f t="shared" si="7"/>
        <v>12</v>
      </c>
      <c r="N116" s="48" t="s">
        <v>11</v>
      </c>
      <c r="O116" s="48" t="s">
        <v>1369</v>
      </c>
      <c r="P116" s="87" t="s">
        <v>1375</v>
      </c>
      <c r="Q116" s="48"/>
      <c r="R116" s="87" t="s">
        <v>1389</v>
      </c>
    </row>
    <row r="117" spans="2:18" ht="25.5">
      <c r="B117" s="130">
        <v>35</v>
      </c>
      <c r="C117" s="130" t="s">
        <v>1784</v>
      </c>
      <c r="D117" s="48">
        <v>110</v>
      </c>
      <c r="E117" s="87" t="s">
        <v>205</v>
      </c>
      <c r="F117" s="48" t="s">
        <v>14</v>
      </c>
      <c r="G117" s="48" t="s">
        <v>1785</v>
      </c>
      <c r="H117" s="48" t="s">
        <v>9</v>
      </c>
      <c r="I117" s="48" t="s">
        <v>10</v>
      </c>
      <c r="J117" s="87" t="s">
        <v>1387</v>
      </c>
      <c r="K117" s="88">
        <v>32142</v>
      </c>
      <c r="L117" s="89">
        <v>1987</v>
      </c>
      <c r="M117" s="89">
        <f t="shared" si="7"/>
        <v>32</v>
      </c>
      <c r="N117" s="48" t="s">
        <v>11</v>
      </c>
      <c r="O117" s="48" t="s">
        <v>1369</v>
      </c>
      <c r="P117" s="87" t="s">
        <v>28</v>
      </c>
      <c r="Q117" s="48"/>
      <c r="R117" s="87" t="s">
        <v>1371</v>
      </c>
    </row>
    <row r="118" spans="2:18" ht="25.5">
      <c r="B118" s="130"/>
      <c r="C118" s="130"/>
      <c r="D118" s="48">
        <v>111</v>
      </c>
      <c r="E118" s="87" t="s">
        <v>206</v>
      </c>
      <c r="F118" s="48" t="s">
        <v>20</v>
      </c>
      <c r="G118" s="48" t="s">
        <v>1786</v>
      </c>
      <c r="H118" s="48" t="s">
        <v>17</v>
      </c>
      <c r="I118" s="48" t="s">
        <v>10</v>
      </c>
      <c r="J118" s="87" t="s">
        <v>1387</v>
      </c>
      <c r="K118" s="88">
        <v>31594</v>
      </c>
      <c r="L118" s="89">
        <v>1986</v>
      </c>
      <c r="M118" s="89">
        <f t="shared" si="7"/>
        <v>33</v>
      </c>
      <c r="N118" s="48" t="s">
        <v>11</v>
      </c>
      <c r="O118" s="48" t="s">
        <v>1369</v>
      </c>
      <c r="P118" s="87" t="s">
        <v>28</v>
      </c>
      <c r="Q118" s="48"/>
      <c r="R118" s="87" t="s">
        <v>1371</v>
      </c>
    </row>
    <row r="119" spans="2:18" ht="25.5">
      <c r="B119" s="130"/>
      <c r="C119" s="130"/>
      <c r="D119" s="48">
        <v>112</v>
      </c>
      <c r="E119" s="87" t="s">
        <v>207</v>
      </c>
      <c r="F119" s="48" t="s">
        <v>25</v>
      </c>
      <c r="G119" s="48" t="s">
        <v>1787</v>
      </c>
      <c r="H119" s="48" t="s">
        <v>17</v>
      </c>
      <c r="I119" s="48" t="s">
        <v>23</v>
      </c>
      <c r="J119" s="87" t="s">
        <v>1387</v>
      </c>
      <c r="K119" s="88">
        <v>40503</v>
      </c>
      <c r="L119" s="89">
        <v>2010</v>
      </c>
      <c r="M119" s="89">
        <f t="shared" si="7"/>
        <v>9</v>
      </c>
      <c r="N119" s="48" t="s">
        <v>11</v>
      </c>
      <c r="O119" s="48" t="s">
        <v>1369</v>
      </c>
      <c r="P119" s="87" t="s">
        <v>1378</v>
      </c>
      <c r="Q119" s="48"/>
      <c r="R119" s="87" t="s">
        <v>1389</v>
      </c>
    </row>
    <row r="120" spans="2:18" ht="25.5">
      <c r="B120" s="130">
        <v>36</v>
      </c>
      <c r="C120" s="130" t="s">
        <v>1511</v>
      </c>
      <c r="D120" s="48">
        <v>113</v>
      </c>
      <c r="E120" s="87" t="s">
        <v>1512</v>
      </c>
      <c r="F120" s="48" t="s">
        <v>14</v>
      </c>
      <c r="G120" s="48" t="s">
        <v>1513</v>
      </c>
      <c r="H120" s="48" t="s">
        <v>9</v>
      </c>
      <c r="I120" s="48" t="s">
        <v>10</v>
      </c>
      <c r="J120" s="87" t="s">
        <v>1387</v>
      </c>
      <c r="K120" s="88">
        <v>18993</v>
      </c>
      <c r="L120" s="89">
        <v>1951</v>
      </c>
      <c r="M120" s="89">
        <f t="shared" si="7"/>
        <v>68</v>
      </c>
      <c r="N120" s="48" t="s">
        <v>11</v>
      </c>
      <c r="O120" s="48" t="s">
        <v>1369</v>
      </c>
      <c r="P120" s="87" t="s">
        <v>1393</v>
      </c>
      <c r="Q120" s="48"/>
      <c r="R120" s="87" t="s">
        <v>1371</v>
      </c>
    </row>
    <row r="121" spans="2:18" ht="25.5">
      <c r="B121" s="130"/>
      <c r="C121" s="130"/>
      <c r="D121" s="48">
        <v>114</v>
      </c>
      <c r="E121" s="87" t="s">
        <v>208</v>
      </c>
      <c r="F121" s="48" t="s">
        <v>20</v>
      </c>
      <c r="G121" s="48" t="s">
        <v>209</v>
      </c>
      <c r="H121" s="48" t="s">
        <v>17</v>
      </c>
      <c r="I121" s="48" t="s">
        <v>10</v>
      </c>
      <c r="J121" s="87" t="s">
        <v>1387</v>
      </c>
      <c r="K121" s="88">
        <v>23376</v>
      </c>
      <c r="L121" s="89">
        <v>1963</v>
      </c>
      <c r="M121" s="89">
        <f t="shared" si="7"/>
        <v>56</v>
      </c>
      <c r="N121" s="48" t="s">
        <v>11</v>
      </c>
      <c r="O121" s="48" t="s">
        <v>1369</v>
      </c>
      <c r="P121" s="87" t="s">
        <v>1393</v>
      </c>
      <c r="Q121" s="48"/>
      <c r="R121" s="87" t="s">
        <v>1373</v>
      </c>
    </row>
    <row r="122" spans="2:18" ht="25.5">
      <c r="B122" s="130"/>
      <c r="C122" s="130"/>
      <c r="D122" s="48">
        <v>115</v>
      </c>
      <c r="E122" s="87" t="s">
        <v>715</v>
      </c>
      <c r="F122" s="48" t="s">
        <v>25</v>
      </c>
      <c r="G122" s="48" t="s">
        <v>1514</v>
      </c>
      <c r="H122" s="48" t="s">
        <v>9</v>
      </c>
      <c r="I122" s="48" t="s">
        <v>23</v>
      </c>
      <c r="J122" s="87" t="s">
        <v>1387</v>
      </c>
      <c r="K122" s="88">
        <v>37715</v>
      </c>
      <c r="L122" s="89">
        <v>2003</v>
      </c>
      <c r="M122" s="89">
        <f t="shared" si="7"/>
        <v>16</v>
      </c>
      <c r="N122" s="48" t="s">
        <v>11</v>
      </c>
      <c r="O122" s="48" t="s">
        <v>1369</v>
      </c>
      <c r="P122" s="87" t="s">
        <v>1375</v>
      </c>
      <c r="Q122" s="48"/>
      <c r="R122" s="87" t="s">
        <v>1376</v>
      </c>
    </row>
    <row r="123" spans="2:18">
      <c r="B123" s="130">
        <v>37</v>
      </c>
      <c r="C123" s="130"/>
      <c r="D123" s="48">
        <v>116</v>
      </c>
      <c r="E123" s="87" t="s">
        <v>210</v>
      </c>
      <c r="F123" s="48" t="s">
        <v>14</v>
      </c>
      <c r="G123" s="48" t="s">
        <v>211</v>
      </c>
      <c r="H123" s="48" t="s">
        <v>9</v>
      </c>
      <c r="I123" s="48" t="s">
        <v>10</v>
      </c>
      <c r="J123" s="87"/>
      <c r="K123" s="88">
        <v>32744</v>
      </c>
      <c r="L123" s="89">
        <f t="shared" ref="L123:L124" si="10">YEAR(K123)</f>
        <v>1989</v>
      </c>
      <c r="M123" s="89">
        <f t="shared" si="7"/>
        <v>30</v>
      </c>
      <c r="N123" s="48" t="s">
        <v>11</v>
      </c>
      <c r="O123" s="48"/>
      <c r="P123" s="87" t="s">
        <v>33</v>
      </c>
      <c r="Q123" s="48"/>
      <c r="R123" s="87" t="s">
        <v>24</v>
      </c>
    </row>
    <row r="124" spans="2:18">
      <c r="B124" s="130"/>
      <c r="C124" s="130"/>
      <c r="D124" s="48">
        <v>117</v>
      </c>
      <c r="E124" s="87" t="s">
        <v>212</v>
      </c>
      <c r="F124" s="48" t="s">
        <v>20</v>
      </c>
      <c r="G124" s="48" t="s">
        <v>213</v>
      </c>
      <c r="H124" s="48" t="s">
        <v>17</v>
      </c>
      <c r="I124" s="48" t="s">
        <v>10</v>
      </c>
      <c r="J124" s="87"/>
      <c r="K124" s="88">
        <v>35282</v>
      </c>
      <c r="L124" s="89">
        <f t="shared" si="10"/>
        <v>1996</v>
      </c>
      <c r="M124" s="89">
        <f t="shared" si="7"/>
        <v>23</v>
      </c>
      <c r="N124" s="48" t="s">
        <v>11</v>
      </c>
      <c r="O124" s="48"/>
      <c r="P124" s="87" t="s">
        <v>33</v>
      </c>
      <c r="Q124" s="48"/>
      <c r="R124" s="87" t="s">
        <v>24</v>
      </c>
    </row>
    <row r="125" spans="2:18" ht="25.5">
      <c r="B125" s="130">
        <v>38</v>
      </c>
      <c r="C125" s="130" t="s">
        <v>2137</v>
      </c>
      <c r="D125" s="48">
        <v>118</v>
      </c>
      <c r="E125" s="87" t="s">
        <v>344</v>
      </c>
      <c r="F125" s="48" t="s">
        <v>14</v>
      </c>
      <c r="G125" s="48" t="s">
        <v>2156</v>
      </c>
      <c r="H125" s="48" t="s">
        <v>9</v>
      </c>
      <c r="I125" s="48" t="s">
        <v>10</v>
      </c>
      <c r="J125" s="87" t="s">
        <v>1387</v>
      </c>
      <c r="K125" s="88">
        <v>27759</v>
      </c>
      <c r="L125" s="89">
        <v>1975</v>
      </c>
      <c r="M125" s="89">
        <f t="shared" si="7"/>
        <v>44</v>
      </c>
      <c r="N125" s="48" t="s">
        <v>11</v>
      </c>
      <c r="O125" s="48" t="s">
        <v>1369</v>
      </c>
      <c r="P125" s="87" t="s">
        <v>28</v>
      </c>
      <c r="Q125" s="48"/>
      <c r="R125" s="87" t="s">
        <v>1371</v>
      </c>
    </row>
    <row r="126" spans="2:18" ht="25.5">
      <c r="B126" s="130"/>
      <c r="C126" s="130"/>
      <c r="D126" s="48">
        <v>119</v>
      </c>
      <c r="E126" s="87" t="s">
        <v>214</v>
      </c>
      <c r="F126" s="48" t="s">
        <v>20</v>
      </c>
      <c r="G126" s="48" t="s">
        <v>2157</v>
      </c>
      <c r="H126" s="48" t="s">
        <v>17</v>
      </c>
      <c r="I126" s="48" t="s">
        <v>10</v>
      </c>
      <c r="J126" s="87" t="s">
        <v>1368</v>
      </c>
      <c r="K126" s="88">
        <v>27959</v>
      </c>
      <c r="L126" s="89">
        <v>1976</v>
      </c>
      <c r="M126" s="89">
        <f t="shared" si="7"/>
        <v>43</v>
      </c>
      <c r="N126" s="48" t="s">
        <v>11</v>
      </c>
      <c r="O126" s="48" t="s">
        <v>1369</v>
      </c>
      <c r="P126" s="87" t="s">
        <v>28</v>
      </c>
      <c r="Q126" s="48"/>
      <c r="R126" s="87" t="s">
        <v>1371</v>
      </c>
    </row>
    <row r="127" spans="2:18" ht="25.5">
      <c r="B127" s="130"/>
      <c r="C127" s="130"/>
      <c r="D127" s="48">
        <v>120</v>
      </c>
      <c r="E127" s="87" t="s">
        <v>215</v>
      </c>
      <c r="F127" s="48" t="s">
        <v>25</v>
      </c>
      <c r="G127" s="48" t="s">
        <v>216</v>
      </c>
      <c r="H127" s="48" t="s">
        <v>17</v>
      </c>
      <c r="I127" s="48" t="s">
        <v>23</v>
      </c>
      <c r="J127" s="87" t="s">
        <v>1387</v>
      </c>
      <c r="K127" s="88">
        <v>36501</v>
      </c>
      <c r="L127" s="89">
        <v>1999</v>
      </c>
      <c r="M127" s="89">
        <f t="shared" si="7"/>
        <v>20</v>
      </c>
      <c r="N127" s="48" t="s">
        <v>11</v>
      </c>
      <c r="O127" s="48" t="s">
        <v>1369</v>
      </c>
      <c r="P127" s="87" t="s">
        <v>1388</v>
      </c>
      <c r="Q127" s="48"/>
      <c r="R127" s="87" t="s">
        <v>1376</v>
      </c>
    </row>
    <row r="128" spans="2:18" ht="25.5">
      <c r="B128" s="130"/>
      <c r="C128" s="130"/>
      <c r="D128" s="48">
        <v>121</v>
      </c>
      <c r="E128" s="87" t="s">
        <v>217</v>
      </c>
      <c r="F128" s="48" t="s">
        <v>25</v>
      </c>
      <c r="G128" s="48" t="s">
        <v>218</v>
      </c>
      <c r="H128" s="48" t="s">
        <v>17</v>
      </c>
      <c r="I128" s="48" t="s">
        <v>23</v>
      </c>
      <c r="J128" s="87" t="s">
        <v>1387</v>
      </c>
      <c r="K128" s="88">
        <v>37178</v>
      </c>
      <c r="L128" s="89">
        <v>2001</v>
      </c>
      <c r="M128" s="89">
        <f t="shared" si="7"/>
        <v>18</v>
      </c>
      <c r="N128" s="48" t="s">
        <v>11</v>
      </c>
      <c r="O128" s="48" t="s">
        <v>1369</v>
      </c>
      <c r="P128" s="87" t="s">
        <v>1385</v>
      </c>
      <c r="Q128" s="48"/>
      <c r="R128" s="87" t="s">
        <v>1376</v>
      </c>
    </row>
    <row r="129" spans="2:18" ht="25.5">
      <c r="B129" s="130">
        <v>39</v>
      </c>
      <c r="C129" s="130" t="s">
        <v>1634</v>
      </c>
      <c r="D129" s="48">
        <v>122</v>
      </c>
      <c r="E129" s="87" t="s">
        <v>1635</v>
      </c>
      <c r="F129" s="48" t="s">
        <v>14</v>
      </c>
      <c r="G129" s="48" t="s">
        <v>1636</v>
      </c>
      <c r="H129" s="48" t="s">
        <v>9</v>
      </c>
      <c r="I129" s="48" t="s">
        <v>10</v>
      </c>
      <c r="J129" s="87" t="s">
        <v>1387</v>
      </c>
      <c r="K129" s="88">
        <v>22063</v>
      </c>
      <c r="L129" s="89">
        <v>1960</v>
      </c>
      <c r="M129" s="89">
        <f t="shared" si="7"/>
        <v>59</v>
      </c>
      <c r="N129" s="48" t="s">
        <v>11</v>
      </c>
      <c r="O129" s="48" t="s">
        <v>1369</v>
      </c>
      <c r="P129" s="87" t="s">
        <v>1393</v>
      </c>
      <c r="Q129" s="48"/>
      <c r="R129" s="87" t="s">
        <v>1371</v>
      </c>
    </row>
    <row r="130" spans="2:18" ht="25.5">
      <c r="B130" s="130"/>
      <c r="C130" s="130"/>
      <c r="D130" s="48">
        <v>123</v>
      </c>
      <c r="E130" s="87" t="s">
        <v>219</v>
      </c>
      <c r="F130" s="48" t="s">
        <v>20</v>
      </c>
      <c r="G130" s="48" t="s">
        <v>1637</v>
      </c>
      <c r="H130" s="48" t="s">
        <v>17</v>
      </c>
      <c r="I130" s="48" t="s">
        <v>10</v>
      </c>
      <c r="J130" s="87" t="s">
        <v>1387</v>
      </c>
      <c r="K130" s="88">
        <v>25933</v>
      </c>
      <c r="L130" s="89">
        <v>1970</v>
      </c>
      <c r="M130" s="89">
        <f t="shared" si="7"/>
        <v>49</v>
      </c>
      <c r="N130" s="48" t="s">
        <v>11</v>
      </c>
      <c r="O130" s="48" t="s">
        <v>1369</v>
      </c>
      <c r="P130" s="87" t="s">
        <v>1393</v>
      </c>
      <c r="Q130" s="48"/>
      <c r="R130" s="87" t="s">
        <v>1371</v>
      </c>
    </row>
    <row r="131" spans="2:18" ht="25.5">
      <c r="B131" s="130">
        <v>40</v>
      </c>
      <c r="C131" s="130" t="s">
        <v>1631</v>
      </c>
      <c r="D131" s="48">
        <v>124</v>
      </c>
      <c r="E131" s="87" t="s">
        <v>220</v>
      </c>
      <c r="F131" s="48" t="s">
        <v>14</v>
      </c>
      <c r="G131" s="48" t="s">
        <v>221</v>
      </c>
      <c r="H131" s="48" t="s">
        <v>9</v>
      </c>
      <c r="I131" s="48" t="s">
        <v>10</v>
      </c>
      <c r="J131" s="87" t="s">
        <v>1368</v>
      </c>
      <c r="K131" s="88">
        <v>20852</v>
      </c>
      <c r="L131" s="89">
        <v>1957</v>
      </c>
      <c r="M131" s="89">
        <f t="shared" si="7"/>
        <v>62</v>
      </c>
      <c r="N131" s="48" t="s">
        <v>11</v>
      </c>
      <c r="O131" s="48" t="s">
        <v>1369</v>
      </c>
      <c r="P131" s="87" t="s">
        <v>1378</v>
      </c>
      <c r="Q131" s="48"/>
      <c r="R131" s="87" t="s">
        <v>1632</v>
      </c>
    </row>
    <row r="132" spans="2:18" ht="25.5">
      <c r="B132" s="130"/>
      <c r="C132" s="130"/>
      <c r="D132" s="48">
        <v>125</v>
      </c>
      <c r="E132" s="87" t="s">
        <v>222</v>
      </c>
      <c r="F132" s="48" t="s">
        <v>20</v>
      </c>
      <c r="G132" s="48" t="s">
        <v>223</v>
      </c>
      <c r="H132" s="48" t="s">
        <v>17</v>
      </c>
      <c r="I132" s="48" t="s">
        <v>10</v>
      </c>
      <c r="J132" s="87" t="s">
        <v>1368</v>
      </c>
      <c r="K132" s="88">
        <v>22828</v>
      </c>
      <c r="L132" s="89">
        <v>1962</v>
      </c>
      <c r="M132" s="89">
        <f t="shared" si="7"/>
        <v>57</v>
      </c>
      <c r="N132" s="48" t="s">
        <v>11</v>
      </c>
      <c r="O132" s="48" t="s">
        <v>1369</v>
      </c>
      <c r="P132" s="87" t="s">
        <v>1378</v>
      </c>
      <c r="Q132" s="48"/>
      <c r="R132" s="87" t="s">
        <v>1371</v>
      </c>
    </row>
    <row r="133" spans="2:18" ht="25.5">
      <c r="B133" s="130"/>
      <c r="C133" s="130"/>
      <c r="D133" s="48">
        <v>126</v>
      </c>
      <c r="E133" s="87" t="s">
        <v>224</v>
      </c>
      <c r="F133" s="48" t="s">
        <v>25</v>
      </c>
      <c r="G133" s="48" t="s">
        <v>225</v>
      </c>
      <c r="H133" s="48" t="s">
        <v>9</v>
      </c>
      <c r="I133" s="48" t="s">
        <v>23</v>
      </c>
      <c r="J133" s="87" t="s">
        <v>1387</v>
      </c>
      <c r="K133" s="88">
        <v>33963</v>
      </c>
      <c r="L133" s="89">
        <v>1992</v>
      </c>
      <c r="M133" s="89">
        <f t="shared" si="7"/>
        <v>27</v>
      </c>
      <c r="N133" s="48" t="s">
        <v>11</v>
      </c>
      <c r="O133" s="48" t="s">
        <v>1369</v>
      </c>
      <c r="P133" s="87" t="s">
        <v>105</v>
      </c>
      <c r="Q133" s="48"/>
      <c r="R133" s="87" t="s">
        <v>1371</v>
      </c>
    </row>
    <row r="134" spans="2:18">
      <c r="B134" s="130">
        <v>41</v>
      </c>
      <c r="C134" s="130" t="s">
        <v>1750</v>
      </c>
      <c r="D134" s="48">
        <v>127</v>
      </c>
      <c r="E134" s="87" t="s">
        <v>226</v>
      </c>
      <c r="F134" s="48" t="s">
        <v>14</v>
      </c>
      <c r="G134" s="48" t="s">
        <v>227</v>
      </c>
      <c r="H134" s="48" t="s">
        <v>9</v>
      </c>
      <c r="I134" s="48" t="s">
        <v>10</v>
      </c>
      <c r="J134" s="87" t="s">
        <v>1387</v>
      </c>
      <c r="K134" s="88">
        <v>31777</v>
      </c>
      <c r="L134" s="89">
        <v>1986</v>
      </c>
      <c r="M134" s="89">
        <f t="shared" si="7"/>
        <v>33</v>
      </c>
      <c r="N134" s="48" t="s">
        <v>11</v>
      </c>
      <c r="O134" s="48" t="s">
        <v>1369</v>
      </c>
      <c r="P134" s="87" t="s">
        <v>28</v>
      </c>
      <c r="Q134" s="48"/>
      <c r="R134" s="87" t="s">
        <v>49</v>
      </c>
    </row>
    <row r="135" spans="2:18" ht="25.5">
      <c r="B135" s="130"/>
      <c r="C135" s="130"/>
      <c r="D135" s="48">
        <v>128</v>
      </c>
      <c r="E135" s="87" t="s">
        <v>228</v>
      </c>
      <c r="F135" s="48" t="s">
        <v>20</v>
      </c>
      <c r="G135" s="48" t="s">
        <v>229</v>
      </c>
      <c r="H135" s="48" t="s">
        <v>17</v>
      </c>
      <c r="I135" s="48" t="s">
        <v>10</v>
      </c>
      <c r="J135" s="87" t="s">
        <v>1368</v>
      </c>
      <c r="K135" s="88">
        <v>32142</v>
      </c>
      <c r="L135" s="89">
        <v>1987</v>
      </c>
      <c r="M135" s="89">
        <f t="shared" si="7"/>
        <v>32</v>
      </c>
      <c r="N135" s="48" t="s">
        <v>11</v>
      </c>
      <c r="O135" s="48" t="s">
        <v>1369</v>
      </c>
      <c r="P135" s="87" t="s">
        <v>1388</v>
      </c>
      <c r="Q135" s="48"/>
      <c r="R135" s="87" t="s">
        <v>1373</v>
      </c>
    </row>
    <row r="136" spans="2:18" ht="25.5">
      <c r="B136" s="130"/>
      <c r="C136" s="130"/>
      <c r="D136" s="48">
        <v>129</v>
      </c>
      <c r="E136" s="87" t="s">
        <v>1749</v>
      </c>
      <c r="F136" s="48" t="s">
        <v>25</v>
      </c>
      <c r="G136" s="48" t="s">
        <v>230</v>
      </c>
      <c r="H136" s="48" t="s">
        <v>9</v>
      </c>
      <c r="I136" s="48" t="s">
        <v>23</v>
      </c>
      <c r="J136" s="87" t="s">
        <v>1368</v>
      </c>
      <c r="K136" s="88">
        <v>41812</v>
      </c>
      <c r="L136" s="89">
        <v>2014</v>
      </c>
      <c r="M136" s="89">
        <f t="shared" ref="M136:M199" si="11">2019-L136</f>
        <v>5</v>
      </c>
      <c r="N136" s="48" t="s">
        <v>11</v>
      </c>
      <c r="O136" s="48" t="s">
        <v>1369</v>
      </c>
      <c r="P136" s="87" t="s">
        <v>1378</v>
      </c>
      <c r="Q136" s="48"/>
      <c r="R136" s="87" t="s">
        <v>1389</v>
      </c>
    </row>
    <row r="137" spans="2:18" ht="25.5">
      <c r="B137" s="130">
        <v>42</v>
      </c>
      <c r="C137" s="130" t="s">
        <v>1655</v>
      </c>
      <c r="D137" s="48">
        <v>130</v>
      </c>
      <c r="E137" s="87" t="s">
        <v>1648</v>
      </c>
      <c r="F137" s="48" t="s">
        <v>14</v>
      </c>
      <c r="G137" s="48" t="s">
        <v>1650</v>
      </c>
      <c r="H137" s="48" t="s">
        <v>9</v>
      </c>
      <c r="I137" s="48" t="s">
        <v>10</v>
      </c>
      <c r="J137" s="87" t="s">
        <v>1368</v>
      </c>
      <c r="K137" s="88">
        <v>20852</v>
      </c>
      <c r="L137" s="89">
        <v>1957</v>
      </c>
      <c r="M137" s="89">
        <f t="shared" si="11"/>
        <v>62</v>
      </c>
      <c r="N137" s="48" t="s">
        <v>11</v>
      </c>
      <c r="O137" s="48" t="s">
        <v>1369</v>
      </c>
      <c r="P137" s="87" t="s">
        <v>1378</v>
      </c>
      <c r="Q137" s="48"/>
      <c r="R137" s="87" t="s">
        <v>1654</v>
      </c>
    </row>
    <row r="138" spans="2:18" ht="25.5">
      <c r="B138" s="130"/>
      <c r="C138" s="130"/>
      <c r="D138" s="48">
        <v>131</v>
      </c>
      <c r="E138" s="87" t="s">
        <v>231</v>
      </c>
      <c r="F138" s="48" t="s">
        <v>20</v>
      </c>
      <c r="G138" s="48" t="s">
        <v>1651</v>
      </c>
      <c r="H138" s="48" t="s">
        <v>17</v>
      </c>
      <c r="I138" s="48" t="s">
        <v>10</v>
      </c>
      <c r="J138" s="87" t="s">
        <v>1368</v>
      </c>
      <c r="K138" s="88">
        <v>23011</v>
      </c>
      <c r="L138" s="89">
        <v>1962</v>
      </c>
      <c r="M138" s="89">
        <f t="shared" si="11"/>
        <v>57</v>
      </c>
      <c r="N138" s="48" t="s">
        <v>11</v>
      </c>
      <c r="O138" s="48" t="s">
        <v>1369</v>
      </c>
      <c r="P138" s="87" t="s">
        <v>1378</v>
      </c>
      <c r="Q138" s="48"/>
      <c r="R138" s="87" t="s">
        <v>1373</v>
      </c>
    </row>
    <row r="139" spans="2:18" ht="25.5">
      <c r="B139" s="130"/>
      <c r="C139" s="130"/>
      <c r="D139" s="48">
        <v>132</v>
      </c>
      <c r="E139" s="87" t="s">
        <v>234</v>
      </c>
      <c r="F139" s="48" t="s">
        <v>25</v>
      </c>
      <c r="G139" s="48" t="s">
        <v>1652</v>
      </c>
      <c r="H139" s="48" t="s">
        <v>17</v>
      </c>
      <c r="I139" s="48" t="s">
        <v>1505</v>
      </c>
      <c r="J139" s="87" t="s">
        <v>1368</v>
      </c>
      <c r="K139" s="88">
        <v>31728</v>
      </c>
      <c r="L139" s="89">
        <v>1986</v>
      </c>
      <c r="M139" s="89">
        <f t="shared" si="11"/>
        <v>33</v>
      </c>
      <c r="N139" s="48" t="s">
        <v>11</v>
      </c>
      <c r="O139" s="48" t="s">
        <v>1369</v>
      </c>
      <c r="P139" s="87" t="s">
        <v>28</v>
      </c>
      <c r="Q139" s="48"/>
      <c r="R139" s="87" t="s">
        <v>1371</v>
      </c>
    </row>
    <row r="140" spans="2:18" ht="25.5">
      <c r="B140" s="130"/>
      <c r="C140" s="130"/>
      <c r="D140" s="48">
        <v>133</v>
      </c>
      <c r="E140" s="87" t="s">
        <v>1649</v>
      </c>
      <c r="F140" s="48" t="s">
        <v>1463</v>
      </c>
      <c r="G140" s="48" t="s">
        <v>1653</v>
      </c>
      <c r="H140" s="48" t="s">
        <v>17</v>
      </c>
      <c r="I140" s="48" t="s">
        <v>23</v>
      </c>
      <c r="J140" s="87" t="s">
        <v>1368</v>
      </c>
      <c r="K140" s="88">
        <v>37438</v>
      </c>
      <c r="L140" s="89">
        <v>2002</v>
      </c>
      <c r="M140" s="89">
        <f t="shared" si="11"/>
        <v>17</v>
      </c>
      <c r="N140" s="48" t="s">
        <v>11</v>
      </c>
      <c r="O140" s="48" t="s">
        <v>1369</v>
      </c>
      <c r="P140" s="87" t="s">
        <v>1388</v>
      </c>
      <c r="Q140" s="48"/>
      <c r="R140" s="87" t="s">
        <v>1376</v>
      </c>
    </row>
    <row r="141" spans="2:18" ht="25.5">
      <c r="B141" s="130"/>
      <c r="C141" s="130"/>
      <c r="D141" s="48">
        <v>134</v>
      </c>
      <c r="E141" s="87" t="s">
        <v>240</v>
      </c>
      <c r="F141" s="48" t="s">
        <v>1446</v>
      </c>
      <c r="G141" s="48" t="s">
        <v>241</v>
      </c>
      <c r="H141" s="48" t="s">
        <v>17</v>
      </c>
      <c r="I141" s="48" t="s">
        <v>1448</v>
      </c>
      <c r="J141" s="87" t="s">
        <v>1387</v>
      </c>
      <c r="K141" s="88">
        <v>21915</v>
      </c>
      <c r="L141" s="89">
        <v>1959</v>
      </c>
      <c r="M141" s="89">
        <f t="shared" si="11"/>
        <v>60</v>
      </c>
      <c r="N141" s="48" t="s">
        <v>11</v>
      </c>
      <c r="O141" s="48" t="s">
        <v>1369</v>
      </c>
      <c r="P141" s="87" t="s">
        <v>1378</v>
      </c>
      <c r="Q141" s="48"/>
      <c r="R141" s="87" t="s">
        <v>1371</v>
      </c>
    </row>
    <row r="142" spans="2:18" ht="25.5">
      <c r="B142" s="130">
        <v>43</v>
      </c>
      <c r="C142" s="130" t="s">
        <v>2144</v>
      </c>
      <c r="D142" s="48">
        <v>135</v>
      </c>
      <c r="E142" s="87" t="s">
        <v>226</v>
      </c>
      <c r="F142" s="48" t="s">
        <v>14</v>
      </c>
      <c r="G142" s="48" t="s">
        <v>2146</v>
      </c>
      <c r="H142" s="48" t="s">
        <v>9</v>
      </c>
      <c r="I142" s="48" t="s">
        <v>10</v>
      </c>
      <c r="J142" s="87" t="s">
        <v>1368</v>
      </c>
      <c r="K142" s="88">
        <v>29979</v>
      </c>
      <c r="L142" s="89">
        <v>1982</v>
      </c>
      <c r="M142" s="89">
        <f t="shared" si="11"/>
        <v>37</v>
      </c>
      <c r="N142" s="48" t="s">
        <v>11</v>
      </c>
      <c r="O142" s="48" t="s">
        <v>1369</v>
      </c>
      <c r="P142" s="87" t="s">
        <v>28</v>
      </c>
      <c r="Q142" s="48"/>
      <c r="R142" s="87" t="s">
        <v>1371</v>
      </c>
    </row>
    <row r="143" spans="2:18" ht="25.5">
      <c r="B143" s="130"/>
      <c r="C143" s="130"/>
      <c r="D143" s="48">
        <v>136</v>
      </c>
      <c r="E143" s="87" t="s">
        <v>235</v>
      </c>
      <c r="F143" s="48" t="s">
        <v>20</v>
      </c>
      <c r="G143" s="48" t="s">
        <v>2147</v>
      </c>
      <c r="H143" s="48" t="s">
        <v>17</v>
      </c>
      <c r="I143" s="48" t="s">
        <v>10</v>
      </c>
      <c r="J143" s="87" t="s">
        <v>1368</v>
      </c>
      <c r="K143" s="88">
        <v>29951</v>
      </c>
      <c r="L143" s="89">
        <v>1981</v>
      </c>
      <c r="M143" s="89">
        <f t="shared" si="11"/>
        <v>38</v>
      </c>
      <c r="N143" s="48" t="s">
        <v>11</v>
      </c>
      <c r="O143" s="48" t="s">
        <v>1369</v>
      </c>
      <c r="P143" s="87" t="s">
        <v>28</v>
      </c>
      <c r="Q143" s="48"/>
      <c r="R143" s="87" t="s">
        <v>1373</v>
      </c>
    </row>
    <row r="144" spans="2:18" ht="25.5">
      <c r="B144" s="130"/>
      <c r="C144" s="130"/>
      <c r="D144" s="48">
        <v>137</v>
      </c>
      <c r="E144" s="87" t="s">
        <v>236</v>
      </c>
      <c r="F144" s="48" t="s">
        <v>25</v>
      </c>
      <c r="G144" s="48" t="s">
        <v>2148</v>
      </c>
      <c r="H144" s="48" t="s">
        <v>17</v>
      </c>
      <c r="I144" s="48" t="s">
        <v>23</v>
      </c>
      <c r="J144" s="87" t="s">
        <v>1368</v>
      </c>
      <c r="K144" s="88">
        <v>39280</v>
      </c>
      <c r="L144" s="89">
        <v>2007</v>
      </c>
      <c r="M144" s="89">
        <f t="shared" si="11"/>
        <v>12</v>
      </c>
      <c r="N144" s="48" t="s">
        <v>11</v>
      </c>
      <c r="O144" s="48" t="s">
        <v>1369</v>
      </c>
      <c r="P144" s="87" t="s">
        <v>1375</v>
      </c>
      <c r="Q144" s="48"/>
      <c r="R144" s="87" t="s">
        <v>1376</v>
      </c>
    </row>
    <row r="145" spans="2:18" ht="25.5">
      <c r="B145" s="130"/>
      <c r="C145" s="130"/>
      <c r="D145" s="48">
        <v>138</v>
      </c>
      <c r="E145" s="87" t="s">
        <v>2145</v>
      </c>
      <c r="F145" s="48" t="s">
        <v>25</v>
      </c>
      <c r="G145" s="48" t="s">
        <v>2149</v>
      </c>
      <c r="H145" s="48" t="s">
        <v>17</v>
      </c>
      <c r="I145" s="48" t="s">
        <v>23</v>
      </c>
      <c r="J145" s="87" t="s">
        <v>1368</v>
      </c>
      <c r="K145" s="88">
        <v>41431</v>
      </c>
      <c r="L145" s="89">
        <v>2013</v>
      </c>
      <c r="M145" s="89">
        <f t="shared" si="11"/>
        <v>6</v>
      </c>
      <c r="N145" s="48" t="s">
        <v>11</v>
      </c>
      <c r="O145" s="48" t="s">
        <v>1369</v>
      </c>
      <c r="P145" s="87" t="s">
        <v>1378</v>
      </c>
      <c r="Q145" s="48"/>
      <c r="R145" s="87" t="s">
        <v>1555</v>
      </c>
    </row>
    <row r="146" spans="2:18" ht="25.5">
      <c r="B146" s="130">
        <v>44</v>
      </c>
      <c r="C146" s="130" t="s">
        <v>1717</v>
      </c>
      <c r="D146" s="48">
        <v>139</v>
      </c>
      <c r="E146" s="87" t="s">
        <v>237</v>
      </c>
      <c r="F146" s="48" t="s">
        <v>14</v>
      </c>
      <c r="G146" s="48" t="s">
        <v>238</v>
      </c>
      <c r="H146" s="48" t="s">
        <v>9</v>
      </c>
      <c r="I146" s="48" t="s">
        <v>10</v>
      </c>
      <c r="J146" s="87" t="s">
        <v>1368</v>
      </c>
      <c r="K146" s="88">
        <v>30681</v>
      </c>
      <c r="L146" s="89">
        <v>1983</v>
      </c>
      <c r="M146" s="89">
        <f t="shared" si="11"/>
        <v>36</v>
      </c>
      <c r="N146" s="48" t="s">
        <v>11</v>
      </c>
      <c r="O146" s="48" t="s">
        <v>1369</v>
      </c>
      <c r="P146" s="87" t="s">
        <v>28</v>
      </c>
      <c r="Q146" s="48"/>
      <c r="R146" s="87" t="s">
        <v>1371</v>
      </c>
    </row>
    <row r="147" spans="2:18" ht="25.5">
      <c r="B147" s="130"/>
      <c r="C147" s="130"/>
      <c r="D147" s="48">
        <v>140</v>
      </c>
      <c r="E147" s="87" t="s">
        <v>239</v>
      </c>
      <c r="F147" s="48" t="s">
        <v>20</v>
      </c>
      <c r="G147" s="48" t="s">
        <v>1716</v>
      </c>
      <c r="H147" s="48" t="s">
        <v>17</v>
      </c>
      <c r="I147" s="48" t="s">
        <v>10</v>
      </c>
      <c r="J147" s="87" t="s">
        <v>1368</v>
      </c>
      <c r="K147" s="88">
        <v>31412</v>
      </c>
      <c r="L147" s="89">
        <v>1985</v>
      </c>
      <c r="M147" s="89">
        <f t="shared" si="11"/>
        <v>34</v>
      </c>
      <c r="N147" s="48" t="s">
        <v>11</v>
      </c>
      <c r="O147" s="48" t="s">
        <v>1369</v>
      </c>
      <c r="P147" s="87" t="s">
        <v>1375</v>
      </c>
      <c r="Q147" s="48"/>
      <c r="R147" s="87" t="s">
        <v>1371</v>
      </c>
    </row>
    <row r="148" spans="2:18" ht="25.5">
      <c r="B148" s="130"/>
      <c r="C148" s="130"/>
      <c r="D148" s="48">
        <v>141</v>
      </c>
      <c r="E148" s="87" t="s">
        <v>1714</v>
      </c>
      <c r="F148" s="48" t="s">
        <v>25</v>
      </c>
      <c r="G148" s="48" t="s">
        <v>1715</v>
      </c>
      <c r="H148" s="48" t="s">
        <v>17</v>
      </c>
      <c r="I148" s="48" t="s">
        <v>23</v>
      </c>
      <c r="J148" s="87" t="s">
        <v>1368</v>
      </c>
      <c r="K148" s="88">
        <v>42253</v>
      </c>
      <c r="L148" s="89">
        <v>2015</v>
      </c>
      <c r="M148" s="89">
        <f t="shared" si="11"/>
        <v>4</v>
      </c>
      <c r="N148" s="48" t="s">
        <v>11</v>
      </c>
      <c r="O148" s="48" t="s">
        <v>1369</v>
      </c>
      <c r="P148" s="87" t="s">
        <v>1378</v>
      </c>
      <c r="Q148" s="48"/>
      <c r="R148" s="87" t="s">
        <v>1389</v>
      </c>
    </row>
    <row r="149" spans="2:18">
      <c r="B149" s="130">
        <v>45</v>
      </c>
      <c r="C149" s="130"/>
      <c r="D149" s="48">
        <v>142</v>
      </c>
      <c r="E149" s="87" t="s">
        <v>240</v>
      </c>
      <c r="F149" s="48" t="s">
        <v>14</v>
      </c>
      <c r="G149" s="48" t="s">
        <v>241</v>
      </c>
      <c r="H149" s="48" t="s">
        <v>17</v>
      </c>
      <c r="I149" s="48" t="s">
        <v>67</v>
      </c>
      <c r="J149" s="87"/>
      <c r="K149" s="88">
        <v>21915</v>
      </c>
      <c r="L149" s="89">
        <f t="shared" ref="L149:L153" si="12">YEAR(K149)</f>
        <v>1959</v>
      </c>
      <c r="M149" s="89">
        <f t="shared" si="11"/>
        <v>60</v>
      </c>
      <c r="N149" s="48" t="s">
        <v>11</v>
      </c>
      <c r="O149" s="48"/>
      <c r="P149" s="87" t="s">
        <v>18</v>
      </c>
      <c r="Q149" s="48"/>
      <c r="R149" s="87" t="s">
        <v>24</v>
      </c>
    </row>
    <row r="150" spans="2:18">
      <c r="B150" s="130"/>
      <c r="C150" s="130"/>
      <c r="D150" s="48">
        <v>143</v>
      </c>
      <c r="E150" s="87" t="s">
        <v>242</v>
      </c>
      <c r="F150" s="48" t="s">
        <v>25</v>
      </c>
      <c r="G150" s="48" t="s">
        <v>243</v>
      </c>
      <c r="H150" s="48" t="s">
        <v>9</v>
      </c>
      <c r="I150" s="48" t="s">
        <v>23</v>
      </c>
      <c r="J150" s="87"/>
      <c r="K150" s="88">
        <v>30681</v>
      </c>
      <c r="L150" s="89">
        <f t="shared" si="12"/>
        <v>1983</v>
      </c>
      <c r="M150" s="89">
        <f t="shared" si="11"/>
        <v>36</v>
      </c>
      <c r="N150" s="48" t="s">
        <v>11</v>
      </c>
      <c r="O150" s="48"/>
      <c r="P150" s="87" t="s">
        <v>18</v>
      </c>
      <c r="Q150" s="48"/>
      <c r="R150" s="87" t="s">
        <v>24</v>
      </c>
    </row>
    <row r="151" spans="2:18">
      <c r="B151" s="130"/>
      <c r="C151" s="130"/>
      <c r="D151" s="48">
        <v>144</v>
      </c>
      <c r="E151" s="87" t="s">
        <v>244</v>
      </c>
      <c r="F151" s="48" t="s">
        <v>25</v>
      </c>
      <c r="G151" s="48">
        <v>0</v>
      </c>
      <c r="H151" s="48" t="s">
        <v>9</v>
      </c>
      <c r="I151" s="48" t="s">
        <v>23</v>
      </c>
      <c r="J151" s="87"/>
      <c r="K151" s="88">
        <v>33992</v>
      </c>
      <c r="L151" s="89">
        <f t="shared" si="12"/>
        <v>1993</v>
      </c>
      <c r="M151" s="89">
        <f t="shared" si="11"/>
        <v>26</v>
      </c>
      <c r="N151" s="48" t="s">
        <v>11</v>
      </c>
      <c r="O151" s="48"/>
      <c r="P151" s="87" t="s">
        <v>28</v>
      </c>
      <c r="Q151" s="48"/>
      <c r="R151" s="87" t="s">
        <v>24</v>
      </c>
    </row>
    <row r="152" spans="2:18">
      <c r="B152" s="130"/>
      <c r="C152" s="130"/>
      <c r="D152" s="48">
        <v>145</v>
      </c>
      <c r="E152" s="87" t="s">
        <v>245</v>
      </c>
      <c r="F152" s="48" t="s">
        <v>25</v>
      </c>
      <c r="G152" s="48">
        <v>0</v>
      </c>
      <c r="H152" s="48" t="s">
        <v>17</v>
      </c>
      <c r="I152" s="48" t="s">
        <v>23</v>
      </c>
      <c r="J152" s="87"/>
      <c r="K152" s="88">
        <v>35071</v>
      </c>
      <c r="L152" s="89">
        <f t="shared" si="12"/>
        <v>1996</v>
      </c>
      <c r="M152" s="89">
        <f t="shared" si="11"/>
        <v>23</v>
      </c>
      <c r="N152" s="48" t="s">
        <v>11</v>
      </c>
      <c r="O152" s="48"/>
      <c r="P152" s="87" t="s">
        <v>28</v>
      </c>
      <c r="Q152" s="48"/>
      <c r="R152" s="87" t="s">
        <v>18</v>
      </c>
    </row>
    <row r="153" spans="2:18">
      <c r="B153" s="130"/>
      <c r="C153" s="130"/>
      <c r="D153" s="48">
        <v>146</v>
      </c>
      <c r="E153" s="87" t="s">
        <v>246</v>
      </c>
      <c r="F153" s="48" t="s">
        <v>124</v>
      </c>
      <c r="G153" s="48">
        <v>0</v>
      </c>
      <c r="H153" s="48" t="s">
        <v>17</v>
      </c>
      <c r="I153" s="48" t="s">
        <v>23</v>
      </c>
      <c r="J153" s="87"/>
      <c r="K153" s="88">
        <v>41681</v>
      </c>
      <c r="L153" s="89">
        <f t="shared" si="12"/>
        <v>2014</v>
      </c>
      <c r="M153" s="89">
        <f t="shared" si="11"/>
        <v>5</v>
      </c>
      <c r="N153" s="48" t="s">
        <v>11</v>
      </c>
      <c r="O153" s="48"/>
      <c r="P153" s="87" t="s">
        <v>18</v>
      </c>
      <c r="Q153" s="48"/>
      <c r="R153" s="87" t="s">
        <v>18</v>
      </c>
    </row>
    <row r="154" spans="2:18" ht="25.5">
      <c r="B154" s="130">
        <v>46</v>
      </c>
      <c r="C154" s="130" t="s">
        <v>1422</v>
      </c>
      <c r="D154" s="48">
        <v>147</v>
      </c>
      <c r="E154" s="87" t="s">
        <v>247</v>
      </c>
      <c r="F154" s="48" t="s">
        <v>14</v>
      </c>
      <c r="G154" s="48" t="s">
        <v>248</v>
      </c>
      <c r="H154" s="48" t="s">
        <v>9</v>
      </c>
      <c r="I154" s="48" t="s">
        <v>10</v>
      </c>
      <c r="J154" s="87" t="s">
        <v>1368</v>
      </c>
      <c r="K154" s="88">
        <v>28490</v>
      </c>
      <c r="L154" s="89">
        <v>1977</v>
      </c>
      <c r="M154" s="89">
        <f t="shared" si="11"/>
        <v>42</v>
      </c>
      <c r="N154" s="48" t="s">
        <v>11</v>
      </c>
      <c r="O154" s="48" t="s">
        <v>1369</v>
      </c>
      <c r="P154" s="87" t="s">
        <v>1393</v>
      </c>
      <c r="Q154" s="48"/>
      <c r="R154" s="87" t="s">
        <v>1371</v>
      </c>
    </row>
    <row r="155" spans="2:18" ht="25.5">
      <c r="B155" s="130"/>
      <c r="C155" s="130"/>
      <c r="D155" s="48">
        <v>148</v>
      </c>
      <c r="E155" s="87" t="s">
        <v>249</v>
      </c>
      <c r="F155" s="48" t="s">
        <v>20</v>
      </c>
      <c r="G155" s="48" t="s">
        <v>250</v>
      </c>
      <c r="H155" s="48" t="s">
        <v>17</v>
      </c>
      <c r="I155" s="48" t="s">
        <v>10</v>
      </c>
      <c r="J155" s="87" t="s">
        <v>1368</v>
      </c>
      <c r="K155" s="88">
        <v>27394</v>
      </c>
      <c r="L155" s="89">
        <v>1974</v>
      </c>
      <c r="M155" s="89">
        <f t="shared" si="11"/>
        <v>45</v>
      </c>
      <c r="N155" s="48" t="s">
        <v>11</v>
      </c>
      <c r="O155" s="48" t="s">
        <v>1369</v>
      </c>
      <c r="P155" s="87" t="s">
        <v>1393</v>
      </c>
      <c r="Q155" s="48"/>
      <c r="R155" s="87" t="s">
        <v>1371</v>
      </c>
    </row>
    <row r="156" spans="2:18" ht="25.5">
      <c r="B156" s="130"/>
      <c r="C156" s="130"/>
      <c r="D156" s="48">
        <v>149</v>
      </c>
      <c r="E156" s="87" t="s">
        <v>251</v>
      </c>
      <c r="F156" s="48" t="s">
        <v>25</v>
      </c>
      <c r="G156" s="48" t="s">
        <v>252</v>
      </c>
      <c r="H156" s="48" t="s">
        <v>9</v>
      </c>
      <c r="I156" s="48" t="s">
        <v>23</v>
      </c>
      <c r="J156" s="87" t="s">
        <v>1368</v>
      </c>
      <c r="K156" s="88">
        <v>36049</v>
      </c>
      <c r="L156" s="89">
        <v>1998</v>
      </c>
      <c r="M156" s="89">
        <f t="shared" si="11"/>
        <v>21</v>
      </c>
      <c r="N156" s="48" t="s">
        <v>11</v>
      </c>
      <c r="O156" s="48" t="s">
        <v>1369</v>
      </c>
      <c r="P156" s="87" t="s">
        <v>1385</v>
      </c>
      <c r="Q156" s="48"/>
      <c r="R156" s="87" t="s">
        <v>1376</v>
      </c>
    </row>
    <row r="157" spans="2:18" ht="25.5">
      <c r="B157" s="130"/>
      <c r="C157" s="130"/>
      <c r="D157" s="48">
        <v>150</v>
      </c>
      <c r="E157" s="87" t="s">
        <v>1423</v>
      </c>
      <c r="F157" s="48" t="s">
        <v>25</v>
      </c>
      <c r="G157" s="48" t="s">
        <v>253</v>
      </c>
      <c r="H157" s="48" t="s">
        <v>17</v>
      </c>
      <c r="I157" s="48" t="s">
        <v>23</v>
      </c>
      <c r="J157" s="87" t="s">
        <v>1368</v>
      </c>
      <c r="K157" s="88">
        <v>38690</v>
      </c>
      <c r="L157" s="89">
        <v>2005</v>
      </c>
      <c r="M157" s="89">
        <f t="shared" si="11"/>
        <v>14</v>
      </c>
      <c r="N157" s="48" t="s">
        <v>11</v>
      </c>
      <c r="O157" s="48" t="s">
        <v>1369</v>
      </c>
      <c r="P157" s="87" t="s">
        <v>1375</v>
      </c>
      <c r="Q157" s="48"/>
      <c r="R157" s="87" t="s">
        <v>1376</v>
      </c>
    </row>
    <row r="158" spans="2:18">
      <c r="B158" s="130">
        <v>47</v>
      </c>
      <c r="C158" s="130"/>
      <c r="D158" s="48">
        <v>151</v>
      </c>
      <c r="E158" s="87" t="s">
        <v>255</v>
      </c>
      <c r="F158" s="48" t="s">
        <v>14</v>
      </c>
      <c r="G158" s="48" t="s">
        <v>256</v>
      </c>
      <c r="H158" s="48" t="s">
        <v>9</v>
      </c>
      <c r="I158" s="48" t="s">
        <v>10</v>
      </c>
      <c r="J158" s="87"/>
      <c r="K158" s="88">
        <v>26683</v>
      </c>
      <c r="L158" s="89">
        <f t="shared" ref="L158:L167" si="13">YEAR(K158)</f>
        <v>1973</v>
      </c>
      <c r="M158" s="89">
        <f t="shared" si="11"/>
        <v>46</v>
      </c>
      <c r="N158" s="48" t="s">
        <v>11</v>
      </c>
      <c r="O158" s="48"/>
      <c r="P158" s="87" t="s">
        <v>12</v>
      </c>
      <c r="Q158" s="48"/>
      <c r="R158" s="87" t="s">
        <v>58</v>
      </c>
    </row>
    <row r="159" spans="2:18">
      <c r="B159" s="130"/>
      <c r="C159" s="130"/>
      <c r="D159" s="48">
        <v>152</v>
      </c>
      <c r="E159" s="87" t="s">
        <v>257</v>
      </c>
      <c r="F159" s="48" t="s">
        <v>20</v>
      </c>
      <c r="G159" s="48" t="s">
        <v>258</v>
      </c>
      <c r="H159" s="48" t="s">
        <v>17</v>
      </c>
      <c r="I159" s="48" t="s">
        <v>10</v>
      </c>
      <c r="J159" s="87"/>
      <c r="K159" s="88">
        <v>30260</v>
      </c>
      <c r="L159" s="89">
        <f t="shared" si="13"/>
        <v>1982</v>
      </c>
      <c r="M159" s="89">
        <f t="shared" si="11"/>
        <v>37</v>
      </c>
      <c r="N159" s="48" t="s">
        <v>11</v>
      </c>
      <c r="O159" s="48"/>
      <c r="P159" s="87" t="s">
        <v>18</v>
      </c>
      <c r="Q159" s="48"/>
      <c r="R159" s="87" t="s">
        <v>19</v>
      </c>
    </row>
    <row r="160" spans="2:18" ht="25.5">
      <c r="B160" s="130"/>
      <c r="C160" s="130"/>
      <c r="D160" s="48">
        <v>153</v>
      </c>
      <c r="E160" s="87" t="s">
        <v>259</v>
      </c>
      <c r="F160" s="48" t="s">
        <v>25</v>
      </c>
      <c r="G160" s="48" t="s">
        <v>260</v>
      </c>
      <c r="H160" s="48" t="s">
        <v>17</v>
      </c>
      <c r="I160" s="48" t="s">
        <v>23</v>
      </c>
      <c r="J160" s="87"/>
      <c r="K160" s="88">
        <v>37279</v>
      </c>
      <c r="L160" s="89">
        <f t="shared" si="13"/>
        <v>2002</v>
      </c>
      <c r="M160" s="89">
        <f t="shared" si="11"/>
        <v>17</v>
      </c>
      <c r="N160" s="48" t="s">
        <v>11</v>
      </c>
      <c r="O160" s="48"/>
      <c r="P160" s="87" t="s">
        <v>28</v>
      </c>
      <c r="Q160" s="48"/>
      <c r="R160" s="87" t="s">
        <v>18</v>
      </c>
    </row>
    <row r="161" spans="2:18">
      <c r="B161" s="130"/>
      <c r="C161" s="130"/>
      <c r="D161" s="48">
        <v>154</v>
      </c>
      <c r="E161" s="87" t="s">
        <v>261</v>
      </c>
      <c r="F161" s="48" t="s">
        <v>25</v>
      </c>
      <c r="G161" s="48" t="s">
        <v>262</v>
      </c>
      <c r="H161" s="48" t="s">
        <v>17</v>
      </c>
      <c r="I161" s="48" t="s">
        <v>23</v>
      </c>
      <c r="J161" s="87"/>
      <c r="K161" s="88">
        <v>40342</v>
      </c>
      <c r="L161" s="89">
        <f t="shared" si="13"/>
        <v>2010</v>
      </c>
      <c r="M161" s="89">
        <f t="shared" si="11"/>
        <v>9</v>
      </c>
      <c r="N161" s="48" t="s">
        <v>11</v>
      </c>
      <c r="O161" s="48"/>
      <c r="P161" s="87" t="s">
        <v>18</v>
      </c>
      <c r="Q161" s="48"/>
      <c r="R161" s="87" t="s">
        <v>18</v>
      </c>
    </row>
    <row r="162" spans="2:18">
      <c r="B162" s="130">
        <v>48</v>
      </c>
      <c r="C162" s="130"/>
      <c r="D162" s="48">
        <v>155</v>
      </c>
      <c r="E162" s="87" t="s">
        <v>263</v>
      </c>
      <c r="F162" s="48" t="s">
        <v>14</v>
      </c>
      <c r="G162" s="48">
        <v>0</v>
      </c>
      <c r="H162" s="48" t="s">
        <v>9</v>
      </c>
      <c r="I162" s="48" t="s">
        <v>10</v>
      </c>
      <c r="J162" s="87"/>
      <c r="K162" s="88">
        <v>30878</v>
      </c>
      <c r="L162" s="89">
        <f t="shared" si="13"/>
        <v>1984</v>
      </c>
      <c r="M162" s="89">
        <f t="shared" si="11"/>
        <v>35</v>
      </c>
      <c r="N162" s="48" t="s">
        <v>11</v>
      </c>
      <c r="O162" s="48"/>
      <c r="P162" s="87" t="s">
        <v>33</v>
      </c>
      <c r="Q162" s="48"/>
      <c r="R162" s="87" t="s">
        <v>24</v>
      </c>
    </row>
    <row r="163" spans="2:18">
      <c r="B163" s="130"/>
      <c r="C163" s="130"/>
      <c r="D163" s="48">
        <v>156</v>
      </c>
      <c r="E163" s="87" t="s">
        <v>264</v>
      </c>
      <c r="F163" s="48" t="s">
        <v>20</v>
      </c>
      <c r="G163" s="48" t="s">
        <v>265</v>
      </c>
      <c r="H163" s="48" t="s">
        <v>17</v>
      </c>
      <c r="I163" s="48" t="s">
        <v>10</v>
      </c>
      <c r="J163" s="87"/>
      <c r="K163" s="88">
        <v>33522</v>
      </c>
      <c r="L163" s="89">
        <f t="shared" si="13"/>
        <v>1991</v>
      </c>
      <c r="M163" s="89">
        <f t="shared" si="11"/>
        <v>28</v>
      </c>
      <c r="N163" s="48" t="s">
        <v>11</v>
      </c>
      <c r="O163" s="48"/>
      <c r="P163" s="87" t="s">
        <v>12</v>
      </c>
      <c r="Q163" s="48"/>
      <c r="R163" s="87" t="s">
        <v>24</v>
      </c>
    </row>
    <row r="164" spans="2:18" ht="25.5">
      <c r="B164" s="130"/>
      <c r="C164" s="130"/>
      <c r="D164" s="48">
        <v>157</v>
      </c>
      <c r="E164" s="87" t="s">
        <v>266</v>
      </c>
      <c r="F164" s="48" t="s">
        <v>25</v>
      </c>
      <c r="G164" s="48">
        <v>0</v>
      </c>
      <c r="H164" s="48" t="s">
        <v>17</v>
      </c>
      <c r="I164" s="48" t="s">
        <v>23</v>
      </c>
      <c r="J164" s="87"/>
      <c r="K164" s="88">
        <v>41232</v>
      </c>
      <c r="L164" s="89">
        <f t="shared" si="13"/>
        <v>2012</v>
      </c>
      <c r="M164" s="89">
        <f t="shared" si="11"/>
        <v>7</v>
      </c>
      <c r="N164" s="48" t="s">
        <v>11</v>
      </c>
      <c r="O164" s="48"/>
      <c r="P164" s="87" t="s">
        <v>18</v>
      </c>
      <c r="Q164" s="48"/>
      <c r="R164" s="87" t="s">
        <v>18</v>
      </c>
    </row>
    <row r="165" spans="2:18">
      <c r="B165" s="130">
        <v>49</v>
      </c>
      <c r="C165" s="130"/>
      <c r="D165" s="48">
        <v>158</v>
      </c>
      <c r="E165" s="87" t="s">
        <v>267</v>
      </c>
      <c r="F165" s="48" t="s">
        <v>14</v>
      </c>
      <c r="G165" s="48" t="s">
        <v>268</v>
      </c>
      <c r="H165" s="48" t="s">
        <v>9</v>
      </c>
      <c r="I165" s="48" t="s">
        <v>10</v>
      </c>
      <c r="J165" s="87"/>
      <c r="K165" s="88">
        <v>27401</v>
      </c>
      <c r="L165" s="89">
        <f t="shared" si="13"/>
        <v>1975</v>
      </c>
      <c r="M165" s="89">
        <f t="shared" si="11"/>
        <v>44</v>
      </c>
      <c r="N165" s="48" t="s">
        <v>11</v>
      </c>
      <c r="O165" s="48"/>
      <c r="P165" s="87" t="s">
        <v>28</v>
      </c>
      <c r="Q165" s="48"/>
      <c r="R165" s="87" t="s">
        <v>49</v>
      </c>
    </row>
    <row r="166" spans="2:18">
      <c r="B166" s="130"/>
      <c r="C166" s="130"/>
      <c r="D166" s="48">
        <v>159</v>
      </c>
      <c r="E166" s="87" t="s">
        <v>269</v>
      </c>
      <c r="F166" s="48" t="s">
        <v>20</v>
      </c>
      <c r="G166" s="48" t="s">
        <v>270</v>
      </c>
      <c r="H166" s="48" t="s">
        <v>17</v>
      </c>
      <c r="I166" s="48" t="s">
        <v>10</v>
      </c>
      <c r="J166" s="87"/>
      <c r="K166" s="88">
        <v>28490</v>
      </c>
      <c r="L166" s="89">
        <f t="shared" si="13"/>
        <v>1977</v>
      </c>
      <c r="M166" s="89">
        <f t="shared" si="11"/>
        <v>42</v>
      </c>
      <c r="N166" s="48" t="s">
        <v>11</v>
      </c>
      <c r="O166" s="48"/>
      <c r="P166" s="87" t="s">
        <v>28</v>
      </c>
      <c r="Q166" s="48"/>
      <c r="R166" s="87" t="s">
        <v>24</v>
      </c>
    </row>
    <row r="167" spans="2:18">
      <c r="B167" s="130"/>
      <c r="C167" s="130"/>
      <c r="D167" s="48">
        <v>160</v>
      </c>
      <c r="E167" s="87" t="s">
        <v>271</v>
      </c>
      <c r="F167" s="48" t="s">
        <v>25</v>
      </c>
      <c r="G167" s="48" t="s">
        <v>272</v>
      </c>
      <c r="H167" s="48" t="s">
        <v>17</v>
      </c>
      <c r="I167" s="48" t="s">
        <v>23</v>
      </c>
      <c r="J167" s="87"/>
      <c r="K167" s="88">
        <v>39546</v>
      </c>
      <c r="L167" s="89">
        <f t="shared" si="13"/>
        <v>2008</v>
      </c>
      <c r="M167" s="89">
        <f t="shared" si="11"/>
        <v>11</v>
      </c>
      <c r="N167" s="48" t="s">
        <v>11</v>
      </c>
      <c r="O167" s="48"/>
      <c r="P167" s="87" t="s">
        <v>18</v>
      </c>
      <c r="Q167" s="48"/>
      <c r="R167" s="87" t="s">
        <v>18</v>
      </c>
    </row>
    <row r="168" spans="2:18" ht="25.5">
      <c r="B168" s="130">
        <v>50</v>
      </c>
      <c r="C168" s="130" t="s">
        <v>1400</v>
      </c>
      <c r="D168" s="48">
        <v>161</v>
      </c>
      <c r="E168" s="87" t="s">
        <v>273</v>
      </c>
      <c r="F168" s="48" t="s">
        <v>14</v>
      </c>
      <c r="G168" s="48" t="s">
        <v>274</v>
      </c>
      <c r="H168" s="48" t="s">
        <v>17</v>
      </c>
      <c r="I168" s="48" t="s">
        <v>67</v>
      </c>
      <c r="J168" s="87" t="s">
        <v>1368</v>
      </c>
      <c r="K168" s="88">
        <v>28307</v>
      </c>
      <c r="L168" s="89">
        <v>1977</v>
      </c>
      <c r="M168" s="89">
        <f t="shared" si="11"/>
        <v>42</v>
      </c>
      <c r="N168" s="48" t="s">
        <v>11</v>
      </c>
      <c r="O168" s="48" t="s">
        <v>1369</v>
      </c>
      <c r="P168" s="87" t="s">
        <v>1378</v>
      </c>
      <c r="Q168" s="48"/>
      <c r="R168" s="87" t="s">
        <v>1373</v>
      </c>
    </row>
    <row r="169" spans="2:18" ht="25.5">
      <c r="B169" s="130"/>
      <c r="C169" s="130"/>
      <c r="D169" s="48">
        <v>162</v>
      </c>
      <c r="E169" s="87" t="s">
        <v>254</v>
      </c>
      <c r="F169" s="48" t="s">
        <v>25</v>
      </c>
      <c r="G169" s="48" t="s">
        <v>275</v>
      </c>
      <c r="H169" s="48" t="s">
        <v>17</v>
      </c>
      <c r="I169" s="48" t="s">
        <v>23</v>
      </c>
      <c r="J169" s="87" t="s">
        <v>1368</v>
      </c>
      <c r="K169" s="88">
        <v>37137</v>
      </c>
      <c r="L169" s="89">
        <v>2001</v>
      </c>
      <c r="M169" s="89">
        <f t="shared" si="11"/>
        <v>18</v>
      </c>
      <c r="N169" s="48" t="s">
        <v>11</v>
      </c>
      <c r="O169" s="48" t="s">
        <v>1369</v>
      </c>
      <c r="P169" s="87" t="s">
        <v>1393</v>
      </c>
      <c r="Q169" s="48"/>
      <c r="R169" s="87" t="s">
        <v>1389</v>
      </c>
    </row>
    <row r="170" spans="2:18" ht="25.5">
      <c r="B170" s="130">
        <v>51</v>
      </c>
      <c r="C170" s="130" t="s">
        <v>1723</v>
      </c>
      <c r="D170" s="48">
        <v>163</v>
      </c>
      <c r="E170" s="87" t="s">
        <v>276</v>
      </c>
      <c r="F170" s="48" t="s">
        <v>14</v>
      </c>
      <c r="G170" s="48" t="s">
        <v>277</v>
      </c>
      <c r="H170" s="48" t="s">
        <v>9</v>
      </c>
      <c r="I170" s="48" t="s">
        <v>10</v>
      </c>
      <c r="J170" s="87" t="s">
        <v>1368</v>
      </c>
      <c r="K170" s="88">
        <v>27066</v>
      </c>
      <c r="L170" s="89">
        <v>1974</v>
      </c>
      <c r="M170" s="89">
        <f t="shared" si="11"/>
        <v>45</v>
      </c>
      <c r="N170" s="48" t="s">
        <v>11</v>
      </c>
      <c r="O170" s="48" t="s">
        <v>1369</v>
      </c>
      <c r="P170" s="87" t="s">
        <v>28</v>
      </c>
      <c r="Q170" s="48"/>
      <c r="R170" s="87" t="s">
        <v>1371</v>
      </c>
    </row>
    <row r="171" spans="2:18" ht="25.5">
      <c r="B171" s="130"/>
      <c r="C171" s="130"/>
      <c r="D171" s="48">
        <v>164</v>
      </c>
      <c r="E171" s="87" t="s">
        <v>278</v>
      </c>
      <c r="F171" s="48" t="s">
        <v>20</v>
      </c>
      <c r="G171" s="48" t="s">
        <v>279</v>
      </c>
      <c r="H171" s="48" t="s">
        <v>17</v>
      </c>
      <c r="I171" s="48" t="s">
        <v>10</v>
      </c>
      <c r="J171" s="87" t="s">
        <v>1387</v>
      </c>
      <c r="K171" s="88">
        <v>31007</v>
      </c>
      <c r="L171" s="89">
        <v>1984</v>
      </c>
      <c r="M171" s="89">
        <f t="shared" si="11"/>
        <v>35</v>
      </c>
      <c r="N171" s="48" t="s">
        <v>11</v>
      </c>
      <c r="O171" s="48" t="s">
        <v>1369</v>
      </c>
      <c r="P171" s="87" t="s">
        <v>28</v>
      </c>
      <c r="Q171" s="48"/>
      <c r="R171" s="87" t="s">
        <v>1371</v>
      </c>
    </row>
    <row r="172" spans="2:18" ht="25.5">
      <c r="B172" s="130"/>
      <c r="C172" s="130"/>
      <c r="D172" s="48">
        <v>165</v>
      </c>
      <c r="E172" s="87" t="s">
        <v>1722</v>
      </c>
      <c r="F172" s="48" t="s">
        <v>25</v>
      </c>
      <c r="G172" s="48" t="s">
        <v>1724</v>
      </c>
      <c r="H172" s="48" t="s">
        <v>9</v>
      </c>
      <c r="I172" s="48" t="s">
        <v>23</v>
      </c>
      <c r="J172" s="87" t="s">
        <v>1368</v>
      </c>
      <c r="K172" s="88">
        <v>41953</v>
      </c>
      <c r="L172" s="89">
        <v>2014</v>
      </c>
      <c r="M172" s="89">
        <f t="shared" si="11"/>
        <v>5</v>
      </c>
      <c r="N172" s="48" t="s">
        <v>11</v>
      </c>
      <c r="O172" s="48" t="s">
        <v>1369</v>
      </c>
      <c r="P172" s="87" t="s">
        <v>1378</v>
      </c>
      <c r="Q172" s="48"/>
      <c r="R172" s="87" t="s">
        <v>1389</v>
      </c>
    </row>
    <row r="173" spans="2:18" ht="25.5">
      <c r="B173" s="130">
        <v>52</v>
      </c>
      <c r="C173" s="130" t="s">
        <v>1742</v>
      </c>
      <c r="D173" s="48">
        <v>166</v>
      </c>
      <c r="E173" s="87" t="s">
        <v>173</v>
      </c>
      <c r="F173" s="48" t="s">
        <v>14</v>
      </c>
      <c r="G173" s="48" t="s">
        <v>1744</v>
      </c>
      <c r="H173" s="48" t="s">
        <v>9</v>
      </c>
      <c r="I173" s="48" t="s">
        <v>10</v>
      </c>
      <c r="J173" s="87" t="s">
        <v>1387</v>
      </c>
      <c r="K173" s="88">
        <v>29390</v>
      </c>
      <c r="L173" s="89">
        <v>1980</v>
      </c>
      <c r="M173" s="89">
        <f t="shared" si="11"/>
        <v>39</v>
      </c>
      <c r="N173" s="48" t="s">
        <v>11</v>
      </c>
      <c r="O173" s="48" t="s">
        <v>1369</v>
      </c>
      <c r="P173" s="87" t="s">
        <v>28</v>
      </c>
      <c r="Q173" s="48"/>
      <c r="R173" s="87" t="s">
        <v>1371</v>
      </c>
    </row>
    <row r="174" spans="2:18" ht="25.5">
      <c r="B174" s="130"/>
      <c r="C174" s="130"/>
      <c r="D174" s="48">
        <v>167</v>
      </c>
      <c r="E174" s="87" t="s">
        <v>280</v>
      </c>
      <c r="F174" s="48" t="s">
        <v>20</v>
      </c>
      <c r="G174" s="48" t="s">
        <v>1745</v>
      </c>
      <c r="H174" s="48" t="s">
        <v>17</v>
      </c>
      <c r="I174" s="48" t="s">
        <v>10</v>
      </c>
      <c r="J174" s="87" t="s">
        <v>1387</v>
      </c>
      <c r="K174" s="88">
        <v>30316</v>
      </c>
      <c r="L174" s="89">
        <v>1982</v>
      </c>
      <c r="M174" s="89">
        <f t="shared" si="11"/>
        <v>37</v>
      </c>
      <c r="N174" s="48" t="s">
        <v>11</v>
      </c>
      <c r="O174" s="48" t="s">
        <v>1369</v>
      </c>
      <c r="P174" s="87" t="s">
        <v>28</v>
      </c>
      <c r="Q174" s="48"/>
      <c r="R174" s="87" t="s">
        <v>1371</v>
      </c>
    </row>
    <row r="175" spans="2:18" ht="25.5">
      <c r="B175" s="130"/>
      <c r="C175" s="130"/>
      <c r="D175" s="48">
        <v>168</v>
      </c>
      <c r="E175" s="87" t="s">
        <v>1743</v>
      </c>
      <c r="F175" s="48" t="s">
        <v>25</v>
      </c>
      <c r="G175" s="48" t="s">
        <v>1746</v>
      </c>
      <c r="H175" s="48" t="s">
        <v>9</v>
      </c>
      <c r="I175" s="48" t="s">
        <v>23</v>
      </c>
      <c r="J175" s="87" t="s">
        <v>1387</v>
      </c>
      <c r="K175" s="88">
        <v>42699</v>
      </c>
      <c r="L175" s="89">
        <v>2016</v>
      </c>
      <c r="M175" s="89">
        <f t="shared" si="11"/>
        <v>3</v>
      </c>
      <c r="N175" s="48" t="s">
        <v>11</v>
      </c>
      <c r="O175" s="48" t="s">
        <v>1369</v>
      </c>
      <c r="P175" s="87" t="s">
        <v>1378</v>
      </c>
      <c r="Q175" s="48"/>
      <c r="R175" s="87" t="s">
        <v>1389</v>
      </c>
    </row>
    <row r="176" spans="2:18" ht="25.5">
      <c r="B176" s="130">
        <v>53</v>
      </c>
      <c r="C176" s="130" t="s">
        <v>1752</v>
      </c>
      <c r="D176" s="48">
        <v>169</v>
      </c>
      <c r="E176" s="87" t="s">
        <v>237</v>
      </c>
      <c r="F176" s="48" t="s">
        <v>14</v>
      </c>
      <c r="G176" s="48" t="s">
        <v>1753</v>
      </c>
      <c r="H176" s="48" t="s">
        <v>9</v>
      </c>
      <c r="I176" s="48" t="s">
        <v>10</v>
      </c>
      <c r="J176" s="87" t="s">
        <v>1368</v>
      </c>
      <c r="K176" s="88">
        <v>32528</v>
      </c>
      <c r="L176" s="89">
        <v>1989</v>
      </c>
      <c r="M176" s="89">
        <f t="shared" si="11"/>
        <v>30</v>
      </c>
      <c r="N176" s="48" t="s">
        <v>11</v>
      </c>
      <c r="O176" s="48" t="s">
        <v>1369</v>
      </c>
      <c r="P176" s="87" t="s">
        <v>28</v>
      </c>
      <c r="Q176" s="48"/>
      <c r="R176" s="87" t="s">
        <v>1371</v>
      </c>
    </row>
    <row r="177" spans="2:18" ht="25.5">
      <c r="B177" s="130"/>
      <c r="C177" s="130"/>
      <c r="D177" s="48">
        <v>170</v>
      </c>
      <c r="E177" s="87" t="s">
        <v>281</v>
      </c>
      <c r="F177" s="48" t="s">
        <v>20</v>
      </c>
      <c r="G177" s="48" t="s">
        <v>1754</v>
      </c>
      <c r="H177" s="48" t="s">
        <v>17</v>
      </c>
      <c r="I177" s="48" t="s">
        <v>10</v>
      </c>
      <c r="J177" s="87" t="s">
        <v>1395</v>
      </c>
      <c r="K177" s="88">
        <v>33786</v>
      </c>
      <c r="L177" s="89">
        <v>1992</v>
      </c>
      <c r="M177" s="89">
        <f t="shared" si="11"/>
        <v>27</v>
      </c>
      <c r="N177" s="48" t="s">
        <v>11</v>
      </c>
      <c r="O177" s="48" t="s">
        <v>1369</v>
      </c>
      <c r="P177" s="87" t="s">
        <v>28</v>
      </c>
      <c r="Q177" s="48"/>
      <c r="R177" s="87" t="s">
        <v>1373</v>
      </c>
    </row>
    <row r="178" spans="2:18" ht="25.5">
      <c r="B178" s="130"/>
      <c r="C178" s="130"/>
      <c r="D178" s="48">
        <v>171</v>
      </c>
      <c r="E178" s="87" t="s">
        <v>1751</v>
      </c>
      <c r="F178" s="48" t="s">
        <v>25</v>
      </c>
      <c r="G178" s="48" t="s">
        <v>1755</v>
      </c>
      <c r="H178" s="48" t="s">
        <v>17</v>
      </c>
      <c r="I178" s="48" t="s">
        <v>23</v>
      </c>
      <c r="J178" s="87" t="s">
        <v>1455</v>
      </c>
      <c r="K178" s="88">
        <v>42490</v>
      </c>
      <c r="L178" s="89">
        <v>2016</v>
      </c>
      <c r="M178" s="89">
        <f t="shared" si="11"/>
        <v>3</v>
      </c>
      <c r="N178" s="48" t="s">
        <v>11</v>
      </c>
      <c r="O178" s="48" t="s">
        <v>1369</v>
      </c>
      <c r="P178" s="87" t="s">
        <v>1378</v>
      </c>
      <c r="Q178" s="48"/>
      <c r="R178" s="87" t="s">
        <v>1389</v>
      </c>
    </row>
    <row r="179" spans="2:18">
      <c r="B179" s="130">
        <v>54</v>
      </c>
      <c r="C179" s="130"/>
      <c r="D179" s="48">
        <v>172</v>
      </c>
      <c r="E179" s="87" t="s">
        <v>282</v>
      </c>
      <c r="F179" s="48" t="s">
        <v>14</v>
      </c>
      <c r="G179" s="48" t="s">
        <v>283</v>
      </c>
      <c r="H179" s="48" t="s">
        <v>17</v>
      </c>
      <c r="I179" s="48" t="s">
        <v>10</v>
      </c>
      <c r="J179" s="87"/>
      <c r="K179" s="88">
        <v>24107</v>
      </c>
      <c r="L179" s="89">
        <f t="shared" ref="L179:L181" si="14">YEAR(K179)</f>
        <v>1965</v>
      </c>
      <c r="M179" s="89">
        <f t="shared" si="11"/>
        <v>54</v>
      </c>
      <c r="N179" s="48" t="s">
        <v>11</v>
      </c>
      <c r="O179" s="48"/>
      <c r="P179" s="87" t="s">
        <v>18</v>
      </c>
      <c r="Q179" s="48"/>
      <c r="R179" s="87" t="s">
        <v>24</v>
      </c>
    </row>
    <row r="180" spans="2:18">
      <c r="B180" s="130"/>
      <c r="C180" s="130"/>
      <c r="D180" s="48">
        <v>173</v>
      </c>
      <c r="E180" s="87" t="s">
        <v>284</v>
      </c>
      <c r="F180" s="48" t="s">
        <v>20</v>
      </c>
      <c r="G180" s="48" t="s">
        <v>285</v>
      </c>
      <c r="H180" s="48" t="s">
        <v>9</v>
      </c>
      <c r="I180" s="48" t="s">
        <v>10</v>
      </c>
      <c r="J180" s="87"/>
      <c r="K180" s="88">
        <v>25568</v>
      </c>
      <c r="L180" s="89">
        <f t="shared" si="14"/>
        <v>1969</v>
      </c>
      <c r="M180" s="89">
        <f t="shared" si="11"/>
        <v>50</v>
      </c>
      <c r="N180" s="48" t="s">
        <v>11</v>
      </c>
      <c r="O180" s="48"/>
      <c r="P180" s="87" t="s">
        <v>18</v>
      </c>
      <c r="Q180" s="48"/>
      <c r="R180" s="87" t="s">
        <v>24</v>
      </c>
    </row>
    <row r="181" spans="2:18" ht="25.5">
      <c r="B181" s="130"/>
      <c r="C181" s="130"/>
      <c r="D181" s="48">
        <v>174</v>
      </c>
      <c r="E181" s="87" t="s">
        <v>286</v>
      </c>
      <c r="F181" s="48" t="s">
        <v>25</v>
      </c>
      <c r="G181" s="48" t="s">
        <v>287</v>
      </c>
      <c r="H181" s="48" t="s">
        <v>17</v>
      </c>
      <c r="I181" s="48" t="s">
        <v>23</v>
      </c>
      <c r="J181" s="87"/>
      <c r="K181" s="88">
        <v>36712</v>
      </c>
      <c r="L181" s="89">
        <f t="shared" si="14"/>
        <v>2000</v>
      </c>
      <c r="M181" s="89">
        <f t="shared" si="11"/>
        <v>19</v>
      </c>
      <c r="N181" s="48" t="s">
        <v>11</v>
      </c>
      <c r="O181" s="48"/>
      <c r="P181" s="87" t="s">
        <v>18</v>
      </c>
      <c r="Q181" s="48"/>
      <c r="R181" s="87" t="s">
        <v>24</v>
      </c>
    </row>
    <row r="182" spans="2:18">
      <c r="B182" s="130">
        <v>55</v>
      </c>
      <c r="C182" s="130" t="s">
        <v>1610</v>
      </c>
      <c r="D182" s="48">
        <v>175</v>
      </c>
      <c r="E182" s="87" t="s">
        <v>69</v>
      </c>
      <c r="F182" s="48" t="s">
        <v>14</v>
      </c>
      <c r="G182" s="48" t="s">
        <v>1613</v>
      </c>
      <c r="H182" s="48" t="s">
        <v>9</v>
      </c>
      <c r="I182" s="48" t="s">
        <v>10</v>
      </c>
      <c r="J182" s="87" t="s">
        <v>1368</v>
      </c>
      <c r="K182" s="88">
        <v>31026</v>
      </c>
      <c r="L182" s="89">
        <v>1984</v>
      </c>
      <c r="M182" s="89">
        <f t="shared" si="11"/>
        <v>35</v>
      </c>
      <c r="N182" s="48" t="s">
        <v>11</v>
      </c>
      <c r="O182" s="48" t="s">
        <v>1369</v>
      </c>
      <c r="P182" s="87" t="s">
        <v>28</v>
      </c>
      <c r="Q182" s="48"/>
      <c r="R182" s="87" t="s">
        <v>49</v>
      </c>
    </row>
    <row r="183" spans="2:18">
      <c r="B183" s="130"/>
      <c r="C183" s="130"/>
      <c r="D183" s="48">
        <v>176</v>
      </c>
      <c r="E183" s="87" t="s">
        <v>288</v>
      </c>
      <c r="F183" s="48" t="s">
        <v>20</v>
      </c>
      <c r="G183" s="48" t="s">
        <v>1614</v>
      </c>
      <c r="H183" s="48" t="s">
        <v>17</v>
      </c>
      <c r="I183" s="48" t="s">
        <v>10</v>
      </c>
      <c r="J183" s="87" t="s">
        <v>1368</v>
      </c>
      <c r="K183" s="88">
        <v>31959</v>
      </c>
      <c r="L183" s="89">
        <v>1987</v>
      </c>
      <c r="M183" s="89">
        <f t="shared" si="11"/>
        <v>32</v>
      </c>
      <c r="N183" s="48" t="s">
        <v>11</v>
      </c>
      <c r="O183" s="48" t="s">
        <v>1369</v>
      </c>
      <c r="P183" s="87" t="s">
        <v>28</v>
      </c>
      <c r="Q183" s="48"/>
      <c r="R183" s="87" t="s">
        <v>49</v>
      </c>
    </row>
    <row r="184" spans="2:18" ht="25.5">
      <c r="B184" s="130"/>
      <c r="C184" s="130"/>
      <c r="D184" s="48">
        <v>177</v>
      </c>
      <c r="E184" s="87" t="s">
        <v>289</v>
      </c>
      <c r="F184" s="48" t="s">
        <v>25</v>
      </c>
      <c r="G184" s="48" t="s">
        <v>290</v>
      </c>
      <c r="H184" s="48" t="s">
        <v>9</v>
      </c>
      <c r="I184" s="48" t="s">
        <v>23</v>
      </c>
      <c r="J184" s="87" t="s">
        <v>1489</v>
      </c>
      <c r="K184" s="88">
        <v>41151</v>
      </c>
      <c r="L184" s="89">
        <v>2012</v>
      </c>
      <c r="M184" s="89">
        <f t="shared" si="11"/>
        <v>7</v>
      </c>
      <c r="N184" s="48" t="s">
        <v>11</v>
      </c>
      <c r="O184" s="48" t="s">
        <v>1369</v>
      </c>
      <c r="P184" s="87" t="s">
        <v>1378</v>
      </c>
      <c r="Q184" s="48"/>
      <c r="R184" s="87" t="s">
        <v>1389</v>
      </c>
    </row>
    <row r="185" spans="2:18" ht="25.5">
      <c r="B185" s="130"/>
      <c r="C185" s="130"/>
      <c r="D185" s="48">
        <v>178</v>
      </c>
      <c r="E185" s="87" t="s">
        <v>1611</v>
      </c>
      <c r="F185" s="48" t="s">
        <v>25</v>
      </c>
      <c r="G185" s="48" t="s">
        <v>1612</v>
      </c>
      <c r="H185" s="48" t="s">
        <v>9</v>
      </c>
      <c r="I185" s="48" t="s">
        <v>23</v>
      </c>
      <c r="J185" s="87" t="s">
        <v>1489</v>
      </c>
      <c r="K185" s="88">
        <v>42100</v>
      </c>
      <c r="L185" s="89">
        <v>2015</v>
      </c>
      <c r="M185" s="89">
        <f t="shared" si="11"/>
        <v>4</v>
      </c>
      <c r="N185" s="48" t="s">
        <v>11</v>
      </c>
      <c r="O185" s="48" t="s">
        <v>1369</v>
      </c>
      <c r="P185" s="87" t="s">
        <v>1378</v>
      </c>
      <c r="Q185" s="48"/>
      <c r="R185" s="87" t="s">
        <v>1389</v>
      </c>
    </row>
    <row r="186" spans="2:18">
      <c r="B186" s="130">
        <v>56</v>
      </c>
      <c r="C186" s="130" t="s">
        <v>1813</v>
      </c>
      <c r="D186" s="48">
        <v>179</v>
      </c>
      <c r="E186" s="87" t="s">
        <v>1814</v>
      </c>
      <c r="F186" s="48" t="s">
        <v>14</v>
      </c>
      <c r="G186" s="48" t="s">
        <v>1815</v>
      </c>
      <c r="H186" s="48" t="s">
        <v>9</v>
      </c>
      <c r="I186" s="48" t="s">
        <v>10</v>
      </c>
      <c r="J186" s="87" t="s">
        <v>1387</v>
      </c>
      <c r="K186" s="88">
        <v>29073</v>
      </c>
      <c r="L186" s="89">
        <v>1979</v>
      </c>
      <c r="M186" s="89">
        <f t="shared" si="11"/>
        <v>40</v>
      </c>
      <c r="N186" s="48" t="s">
        <v>11</v>
      </c>
      <c r="O186" s="48" t="s">
        <v>1369</v>
      </c>
      <c r="P186" s="87" t="s">
        <v>28</v>
      </c>
      <c r="Q186" s="48"/>
      <c r="R186" s="87" t="s">
        <v>49</v>
      </c>
    </row>
    <row r="187" spans="2:18" ht="25.5">
      <c r="B187" s="130"/>
      <c r="C187" s="130"/>
      <c r="D187" s="48">
        <v>180</v>
      </c>
      <c r="E187" s="87" t="s">
        <v>291</v>
      </c>
      <c r="F187" s="48" t="s">
        <v>20</v>
      </c>
      <c r="G187" s="48" t="s">
        <v>1816</v>
      </c>
      <c r="H187" s="48" t="s">
        <v>17</v>
      </c>
      <c r="I187" s="48" t="s">
        <v>10</v>
      </c>
      <c r="J187" s="87" t="s">
        <v>1387</v>
      </c>
      <c r="K187" s="88">
        <v>30681</v>
      </c>
      <c r="L187" s="89">
        <v>1983</v>
      </c>
      <c r="M187" s="89">
        <f t="shared" si="11"/>
        <v>36</v>
      </c>
      <c r="N187" s="48" t="s">
        <v>11</v>
      </c>
      <c r="O187" s="48" t="s">
        <v>1369</v>
      </c>
      <c r="P187" s="87" t="s">
        <v>28</v>
      </c>
      <c r="Q187" s="48"/>
      <c r="R187" s="87" t="s">
        <v>1373</v>
      </c>
    </row>
    <row r="188" spans="2:18" ht="25.5">
      <c r="B188" s="130">
        <v>57</v>
      </c>
      <c r="C188" s="130" t="s">
        <v>1403</v>
      </c>
      <c r="D188" s="48">
        <v>181</v>
      </c>
      <c r="E188" s="87" t="s">
        <v>292</v>
      </c>
      <c r="F188" s="48" t="s">
        <v>14</v>
      </c>
      <c r="G188" s="48" t="s">
        <v>1404</v>
      </c>
      <c r="H188" s="48" t="s">
        <v>9</v>
      </c>
      <c r="I188" s="48" t="s">
        <v>10</v>
      </c>
      <c r="J188" s="87" t="s">
        <v>1387</v>
      </c>
      <c r="K188" s="88">
        <v>22281</v>
      </c>
      <c r="L188" s="89">
        <v>1960</v>
      </c>
      <c r="M188" s="89">
        <f t="shared" si="11"/>
        <v>59</v>
      </c>
      <c r="N188" s="48" t="s">
        <v>11</v>
      </c>
      <c r="O188" s="48" t="s">
        <v>1369</v>
      </c>
      <c r="P188" s="87" t="s">
        <v>1393</v>
      </c>
      <c r="Q188" s="48"/>
      <c r="R188" s="87" t="s">
        <v>1405</v>
      </c>
    </row>
    <row r="189" spans="2:18" ht="25.5">
      <c r="B189" s="130"/>
      <c r="C189" s="130"/>
      <c r="D189" s="48">
        <v>182</v>
      </c>
      <c r="E189" s="87" t="s">
        <v>1406</v>
      </c>
      <c r="F189" s="48" t="s">
        <v>20</v>
      </c>
      <c r="G189" s="48" t="s">
        <v>1407</v>
      </c>
      <c r="H189" s="48" t="s">
        <v>17</v>
      </c>
      <c r="I189" s="48" t="s">
        <v>10</v>
      </c>
      <c r="J189" s="87" t="s">
        <v>1387</v>
      </c>
      <c r="K189" s="88">
        <v>23011</v>
      </c>
      <c r="L189" s="89">
        <v>1962</v>
      </c>
      <c r="M189" s="89">
        <f t="shared" si="11"/>
        <v>57</v>
      </c>
      <c r="N189" s="48" t="s">
        <v>11</v>
      </c>
      <c r="O189" s="48" t="s">
        <v>1369</v>
      </c>
      <c r="P189" s="87" t="s">
        <v>1393</v>
      </c>
      <c r="Q189" s="48"/>
      <c r="R189" s="87" t="s">
        <v>1405</v>
      </c>
    </row>
    <row r="190" spans="2:18" ht="25.5">
      <c r="B190" s="130">
        <v>58</v>
      </c>
      <c r="C190" s="130" t="s">
        <v>1657</v>
      </c>
      <c r="D190" s="48">
        <v>183</v>
      </c>
      <c r="E190" s="87" t="s">
        <v>294</v>
      </c>
      <c r="F190" s="48" t="s">
        <v>14</v>
      </c>
      <c r="G190" s="48" t="s">
        <v>295</v>
      </c>
      <c r="H190" s="48" t="s">
        <v>9</v>
      </c>
      <c r="I190" s="48" t="s">
        <v>10</v>
      </c>
      <c r="J190" s="87" t="s">
        <v>1387</v>
      </c>
      <c r="K190" s="88">
        <v>29206</v>
      </c>
      <c r="L190" s="89">
        <v>1979</v>
      </c>
      <c r="M190" s="89">
        <f t="shared" si="11"/>
        <v>40</v>
      </c>
      <c r="N190" s="48" t="s">
        <v>11</v>
      </c>
      <c r="O190" s="48" t="s">
        <v>1369</v>
      </c>
      <c r="P190" s="87" t="s">
        <v>28</v>
      </c>
      <c r="Q190" s="48"/>
      <c r="R190" s="87" t="s">
        <v>1371</v>
      </c>
    </row>
    <row r="191" spans="2:18" ht="25.5">
      <c r="B191" s="130"/>
      <c r="C191" s="130"/>
      <c r="D191" s="48">
        <v>184</v>
      </c>
      <c r="E191" s="87" t="s">
        <v>296</v>
      </c>
      <c r="F191" s="48" t="s">
        <v>20</v>
      </c>
      <c r="G191" s="48" t="s">
        <v>297</v>
      </c>
      <c r="H191" s="48" t="s">
        <v>17</v>
      </c>
      <c r="I191" s="48" t="s">
        <v>10</v>
      </c>
      <c r="J191" s="87" t="s">
        <v>1387</v>
      </c>
      <c r="K191" s="88" t="s">
        <v>1658</v>
      </c>
      <c r="L191" s="89">
        <v>1976</v>
      </c>
      <c r="M191" s="89">
        <f t="shared" si="11"/>
        <v>43</v>
      </c>
      <c r="N191" s="48" t="s">
        <v>11</v>
      </c>
      <c r="O191" s="48" t="s">
        <v>1369</v>
      </c>
      <c r="P191" s="87" t="s">
        <v>1378</v>
      </c>
      <c r="Q191" s="48"/>
      <c r="R191" s="87" t="s">
        <v>1373</v>
      </c>
    </row>
    <row r="192" spans="2:18" ht="25.5">
      <c r="B192" s="130"/>
      <c r="C192" s="130"/>
      <c r="D192" s="48">
        <v>185</v>
      </c>
      <c r="E192" s="87" t="s">
        <v>298</v>
      </c>
      <c r="F192" s="48" t="s">
        <v>25</v>
      </c>
      <c r="G192" s="48" t="s">
        <v>299</v>
      </c>
      <c r="H192" s="48" t="s">
        <v>17</v>
      </c>
      <c r="I192" s="48" t="s">
        <v>23</v>
      </c>
      <c r="J192" s="87" t="s">
        <v>1387</v>
      </c>
      <c r="K192" s="88">
        <v>36110</v>
      </c>
      <c r="L192" s="89">
        <v>1998</v>
      </c>
      <c r="M192" s="89">
        <f t="shared" si="11"/>
        <v>21</v>
      </c>
      <c r="N192" s="48" t="s">
        <v>11</v>
      </c>
      <c r="O192" s="48" t="s">
        <v>1369</v>
      </c>
      <c r="P192" s="87" t="s">
        <v>12</v>
      </c>
      <c r="Q192" s="48"/>
      <c r="R192" s="87" t="s">
        <v>1376</v>
      </c>
    </row>
    <row r="193" spans="2:18" ht="25.5">
      <c r="B193" s="130"/>
      <c r="C193" s="130"/>
      <c r="D193" s="48">
        <v>186</v>
      </c>
      <c r="E193" s="87" t="s">
        <v>300</v>
      </c>
      <c r="F193" s="48" t="s">
        <v>25</v>
      </c>
      <c r="G193" s="48" t="s">
        <v>301</v>
      </c>
      <c r="H193" s="48" t="s">
        <v>9</v>
      </c>
      <c r="I193" s="48" t="s">
        <v>23</v>
      </c>
      <c r="J193" s="87" t="s">
        <v>1387</v>
      </c>
      <c r="K193" s="88">
        <v>39207</v>
      </c>
      <c r="L193" s="89">
        <v>2007</v>
      </c>
      <c r="M193" s="89">
        <f t="shared" si="11"/>
        <v>12</v>
      </c>
      <c r="N193" s="48" t="s">
        <v>11</v>
      </c>
      <c r="O193" s="48" t="s">
        <v>1369</v>
      </c>
      <c r="P193" s="87" t="s">
        <v>1378</v>
      </c>
      <c r="Q193" s="48"/>
      <c r="R193" s="87" t="s">
        <v>1389</v>
      </c>
    </row>
    <row r="194" spans="2:18">
      <c r="B194" s="130">
        <v>59</v>
      </c>
      <c r="C194" s="130"/>
      <c r="D194" s="48">
        <v>187</v>
      </c>
      <c r="E194" s="87" t="s">
        <v>302</v>
      </c>
      <c r="F194" s="48" t="s">
        <v>14</v>
      </c>
      <c r="G194" s="48" t="s">
        <v>303</v>
      </c>
      <c r="H194" s="48" t="s">
        <v>17</v>
      </c>
      <c r="I194" s="48" t="s">
        <v>10</v>
      </c>
      <c r="J194" s="87"/>
      <c r="K194" s="88">
        <v>26664</v>
      </c>
      <c r="L194" s="89">
        <f t="shared" ref="L194:L197" si="15">YEAR(K194)</f>
        <v>1972</v>
      </c>
      <c r="M194" s="89">
        <f t="shared" si="11"/>
        <v>47</v>
      </c>
      <c r="N194" s="48" t="s">
        <v>11</v>
      </c>
      <c r="O194" s="48"/>
      <c r="P194" s="87" t="s">
        <v>18</v>
      </c>
      <c r="Q194" s="48"/>
      <c r="R194" s="87" t="s">
        <v>58</v>
      </c>
    </row>
    <row r="195" spans="2:18">
      <c r="B195" s="130"/>
      <c r="C195" s="130"/>
      <c r="D195" s="48">
        <v>188</v>
      </c>
      <c r="E195" s="87" t="s">
        <v>304</v>
      </c>
      <c r="F195" s="48" t="s">
        <v>20</v>
      </c>
      <c r="G195" s="48" t="s">
        <v>305</v>
      </c>
      <c r="H195" s="48" t="s">
        <v>17</v>
      </c>
      <c r="I195" s="48" t="s">
        <v>10</v>
      </c>
      <c r="J195" s="87"/>
      <c r="K195" s="88">
        <v>27036</v>
      </c>
      <c r="L195" s="89">
        <f t="shared" si="15"/>
        <v>1974</v>
      </c>
      <c r="M195" s="89">
        <f t="shared" si="11"/>
        <v>45</v>
      </c>
      <c r="N195" s="48" t="s">
        <v>11</v>
      </c>
      <c r="O195" s="48"/>
      <c r="P195" s="87" t="s">
        <v>28</v>
      </c>
      <c r="Q195" s="48"/>
      <c r="R195" s="87" t="s">
        <v>24</v>
      </c>
    </row>
    <row r="196" spans="2:18" ht="25.5">
      <c r="B196" s="130"/>
      <c r="C196" s="130"/>
      <c r="D196" s="48">
        <v>189</v>
      </c>
      <c r="E196" s="87" t="s">
        <v>306</v>
      </c>
      <c r="F196" s="48" t="s">
        <v>25</v>
      </c>
      <c r="G196" s="48" t="s">
        <v>307</v>
      </c>
      <c r="H196" s="48" t="s">
        <v>17</v>
      </c>
      <c r="I196" s="48" t="s">
        <v>23</v>
      </c>
      <c r="J196" s="87"/>
      <c r="K196" s="88">
        <v>36160</v>
      </c>
      <c r="L196" s="89">
        <f t="shared" si="15"/>
        <v>1998</v>
      </c>
      <c r="M196" s="89">
        <f t="shared" si="11"/>
        <v>21</v>
      </c>
      <c r="N196" s="48" t="s">
        <v>11</v>
      </c>
      <c r="O196" s="48"/>
      <c r="P196" s="87" t="s">
        <v>12</v>
      </c>
      <c r="Q196" s="48"/>
      <c r="R196" s="87" t="s">
        <v>18</v>
      </c>
    </row>
    <row r="197" spans="2:18">
      <c r="B197" s="130"/>
      <c r="C197" s="130"/>
      <c r="D197" s="48">
        <v>190</v>
      </c>
      <c r="E197" s="87" t="s">
        <v>308</v>
      </c>
      <c r="F197" s="48" t="s">
        <v>25</v>
      </c>
      <c r="G197" s="48" t="s">
        <v>303</v>
      </c>
      <c r="H197" s="48" t="s">
        <v>17</v>
      </c>
      <c r="I197" s="48" t="s">
        <v>23</v>
      </c>
      <c r="J197" s="87"/>
      <c r="K197" s="88">
        <v>40247</v>
      </c>
      <c r="L197" s="89">
        <f t="shared" si="15"/>
        <v>2010</v>
      </c>
      <c r="M197" s="89">
        <f t="shared" si="11"/>
        <v>9</v>
      </c>
      <c r="N197" s="48" t="s">
        <v>11</v>
      </c>
      <c r="O197" s="48"/>
      <c r="P197" s="87" t="s">
        <v>18</v>
      </c>
      <c r="Q197" s="48"/>
      <c r="R197" s="87" t="s">
        <v>18</v>
      </c>
    </row>
    <row r="198" spans="2:18" ht="25.5">
      <c r="B198" s="48">
        <v>60</v>
      </c>
      <c r="C198" s="48" t="s">
        <v>1591</v>
      </c>
      <c r="D198" s="48">
        <v>191</v>
      </c>
      <c r="E198" s="87" t="s">
        <v>309</v>
      </c>
      <c r="F198" s="48" t="s">
        <v>14</v>
      </c>
      <c r="G198" s="48" t="s">
        <v>1592</v>
      </c>
      <c r="H198" s="48" t="s">
        <v>17</v>
      </c>
      <c r="I198" s="48" t="s">
        <v>23</v>
      </c>
      <c r="J198" s="87" t="s">
        <v>1368</v>
      </c>
      <c r="K198" s="88">
        <v>26298</v>
      </c>
      <c r="L198" s="89">
        <v>1971</v>
      </c>
      <c r="M198" s="89">
        <f t="shared" si="11"/>
        <v>48</v>
      </c>
      <c r="N198" s="48" t="s">
        <v>11</v>
      </c>
      <c r="O198" s="48" t="s">
        <v>1369</v>
      </c>
      <c r="P198" s="87" t="s">
        <v>1378</v>
      </c>
      <c r="Q198" s="48"/>
      <c r="R198" s="87" t="s">
        <v>1371</v>
      </c>
    </row>
    <row r="199" spans="2:18">
      <c r="B199" s="130">
        <v>61</v>
      </c>
      <c r="C199" s="130" t="s">
        <v>1556</v>
      </c>
      <c r="D199" s="48">
        <v>192</v>
      </c>
      <c r="E199" s="87" t="s">
        <v>310</v>
      </c>
      <c r="F199" s="48" t="s">
        <v>14</v>
      </c>
      <c r="G199" s="48" t="s">
        <v>311</v>
      </c>
      <c r="H199" s="48" t="s">
        <v>9</v>
      </c>
      <c r="I199" s="48" t="s">
        <v>10</v>
      </c>
      <c r="J199" s="87" t="s">
        <v>1387</v>
      </c>
      <c r="K199" s="88">
        <v>30637</v>
      </c>
      <c r="L199" s="89">
        <v>1983</v>
      </c>
      <c r="M199" s="89">
        <f t="shared" si="11"/>
        <v>36</v>
      </c>
      <c r="N199" s="48" t="s">
        <v>11</v>
      </c>
      <c r="O199" s="48" t="s">
        <v>1369</v>
      </c>
      <c r="P199" s="87" t="s">
        <v>28</v>
      </c>
      <c r="Q199" s="48"/>
      <c r="R199" s="87" t="s">
        <v>49</v>
      </c>
    </row>
    <row r="200" spans="2:18">
      <c r="B200" s="130"/>
      <c r="C200" s="130"/>
      <c r="D200" s="48">
        <v>193</v>
      </c>
      <c r="E200" s="87" t="s">
        <v>312</v>
      </c>
      <c r="F200" s="48" t="s">
        <v>20</v>
      </c>
      <c r="G200" s="48" t="s">
        <v>313</v>
      </c>
      <c r="H200" s="48" t="s">
        <v>17</v>
      </c>
      <c r="I200" s="48" t="s">
        <v>10</v>
      </c>
      <c r="J200" s="87" t="s">
        <v>1559</v>
      </c>
      <c r="K200" s="88">
        <v>33738</v>
      </c>
      <c r="L200" s="89">
        <v>1992</v>
      </c>
      <c r="M200" s="89">
        <f t="shared" ref="M200:M263" si="16">2019-L200</f>
        <v>27</v>
      </c>
      <c r="N200" s="48" t="s">
        <v>11</v>
      </c>
      <c r="O200" s="48" t="s">
        <v>1369</v>
      </c>
      <c r="P200" s="87" t="s">
        <v>28</v>
      </c>
      <c r="Q200" s="48"/>
      <c r="R200" s="87" t="s">
        <v>49</v>
      </c>
    </row>
    <row r="201" spans="2:18" ht="25.5">
      <c r="B201" s="130"/>
      <c r="C201" s="130"/>
      <c r="D201" s="48">
        <v>194</v>
      </c>
      <c r="E201" s="87" t="s">
        <v>1557</v>
      </c>
      <c r="F201" s="48" t="s">
        <v>25</v>
      </c>
      <c r="G201" s="48" t="s">
        <v>1558</v>
      </c>
      <c r="H201" s="48" t="s">
        <v>9</v>
      </c>
      <c r="I201" s="48" t="s">
        <v>23</v>
      </c>
      <c r="J201" s="87" t="s">
        <v>1387</v>
      </c>
      <c r="K201" s="88">
        <v>41469</v>
      </c>
      <c r="L201" s="89">
        <v>2013</v>
      </c>
      <c r="M201" s="89">
        <f t="shared" si="16"/>
        <v>6</v>
      </c>
      <c r="N201" s="48" t="s">
        <v>11</v>
      </c>
      <c r="O201" s="48" t="s">
        <v>1369</v>
      </c>
      <c r="P201" s="87" t="s">
        <v>1378</v>
      </c>
      <c r="Q201" s="48"/>
      <c r="R201" s="87" t="s">
        <v>1389</v>
      </c>
    </row>
    <row r="202" spans="2:18" ht="25.5">
      <c r="B202" s="130">
        <v>62</v>
      </c>
      <c r="C202" s="130" t="s">
        <v>1688</v>
      </c>
      <c r="D202" s="48">
        <v>195</v>
      </c>
      <c r="E202" s="87" t="s">
        <v>314</v>
      </c>
      <c r="F202" s="48" t="s">
        <v>14</v>
      </c>
      <c r="G202" s="48" t="s">
        <v>1689</v>
      </c>
      <c r="H202" s="48" t="s">
        <v>9</v>
      </c>
      <c r="I202" s="48" t="s">
        <v>10</v>
      </c>
      <c r="J202" s="87" t="s">
        <v>1387</v>
      </c>
      <c r="K202" s="88">
        <v>30385</v>
      </c>
      <c r="L202" s="89">
        <v>1983</v>
      </c>
      <c r="M202" s="89">
        <f t="shared" si="16"/>
        <v>36</v>
      </c>
      <c r="N202" s="48" t="s">
        <v>11</v>
      </c>
      <c r="O202" s="48" t="s">
        <v>1369</v>
      </c>
      <c r="P202" s="87" t="s">
        <v>28</v>
      </c>
      <c r="Q202" s="48"/>
      <c r="R202" s="87" t="s">
        <v>1371</v>
      </c>
    </row>
    <row r="203" spans="2:18" ht="25.5">
      <c r="B203" s="130"/>
      <c r="C203" s="130"/>
      <c r="D203" s="48">
        <v>196</v>
      </c>
      <c r="E203" s="87" t="s">
        <v>234</v>
      </c>
      <c r="F203" s="48" t="s">
        <v>20</v>
      </c>
      <c r="G203" s="48" t="s">
        <v>1690</v>
      </c>
      <c r="H203" s="48" t="s">
        <v>17</v>
      </c>
      <c r="I203" s="48" t="s">
        <v>10</v>
      </c>
      <c r="J203" s="87" t="s">
        <v>1387</v>
      </c>
      <c r="K203" s="88">
        <v>32765</v>
      </c>
      <c r="L203" s="89">
        <v>1989</v>
      </c>
      <c r="M203" s="89">
        <f t="shared" si="16"/>
        <v>30</v>
      </c>
      <c r="N203" s="48" t="s">
        <v>11</v>
      </c>
      <c r="O203" s="48" t="s">
        <v>1369</v>
      </c>
      <c r="P203" s="87" t="s">
        <v>33</v>
      </c>
      <c r="Q203" s="48"/>
      <c r="R203" s="87" t="s">
        <v>1371</v>
      </c>
    </row>
    <row r="204" spans="2:18" ht="25.5">
      <c r="B204" s="130"/>
      <c r="C204" s="130"/>
      <c r="D204" s="48">
        <v>197</v>
      </c>
      <c r="E204" s="87" t="s">
        <v>315</v>
      </c>
      <c r="F204" s="48" t="s">
        <v>25</v>
      </c>
      <c r="G204" s="48" t="s">
        <v>1691</v>
      </c>
      <c r="H204" s="48" t="s">
        <v>17</v>
      </c>
      <c r="I204" s="48" t="s">
        <v>23</v>
      </c>
      <c r="J204" s="87" t="s">
        <v>1387</v>
      </c>
      <c r="K204" s="88">
        <v>40198</v>
      </c>
      <c r="L204" s="89">
        <v>2010</v>
      </c>
      <c r="M204" s="89">
        <f t="shared" si="16"/>
        <v>9</v>
      </c>
      <c r="N204" s="48" t="s">
        <v>11</v>
      </c>
      <c r="O204" s="48" t="s">
        <v>1369</v>
      </c>
      <c r="P204" s="87" t="s">
        <v>1378</v>
      </c>
      <c r="Q204" s="48"/>
      <c r="R204" s="87" t="s">
        <v>1389</v>
      </c>
    </row>
    <row r="205" spans="2:18">
      <c r="B205" s="130">
        <v>63</v>
      </c>
      <c r="C205" s="130"/>
      <c r="D205" s="48">
        <v>198</v>
      </c>
      <c r="E205" s="87" t="s">
        <v>316</v>
      </c>
      <c r="F205" s="48" t="s">
        <v>14</v>
      </c>
      <c r="G205" s="48" t="s">
        <v>317</v>
      </c>
      <c r="H205" s="48" t="s">
        <v>17</v>
      </c>
      <c r="I205" s="48" t="s">
        <v>67</v>
      </c>
      <c r="J205" s="87"/>
      <c r="K205" s="88">
        <v>14994</v>
      </c>
      <c r="L205" s="89">
        <f t="shared" ref="L205:L206" si="17">YEAR(K205)</f>
        <v>1941</v>
      </c>
      <c r="M205" s="89">
        <f t="shared" si="16"/>
        <v>78</v>
      </c>
      <c r="N205" s="48" t="s">
        <v>11</v>
      </c>
      <c r="O205" s="48"/>
      <c r="P205" s="87" t="s">
        <v>18</v>
      </c>
      <c r="Q205" s="48"/>
      <c r="R205" s="87" t="s">
        <v>24</v>
      </c>
    </row>
    <row r="206" spans="2:18">
      <c r="B206" s="130"/>
      <c r="C206" s="130"/>
      <c r="D206" s="48">
        <v>199</v>
      </c>
      <c r="E206" s="87" t="s">
        <v>318</v>
      </c>
      <c r="F206" s="48" t="s">
        <v>25</v>
      </c>
      <c r="G206" s="48" t="s">
        <v>319</v>
      </c>
      <c r="H206" s="48" t="s">
        <v>17</v>
      </c>
      <c r="I206" s="48" t="s">
        <v>23</v>
      </c>
      <c r="J206" s="87"/>
      <c r="K206" s="88">
        <v>34149</v>
      </c>
      <c r="L206" s="89">
        <f t="shared" si="17"/>
        <v>1993</v>
      </c>
      <c r="M206" s="89">
        <f t="shared" si="16"/>
        <v>26</v>
      </c>
      <c r="N206" s="48" t="s">
        <v>11</v>
      </c>
      <c r="O206" s="48"/>
      <c r="P206" s="87" t="s">
        <v>12</v>
      </c>
      <c r="Q206" s="48"/>
      <c r="R206" s="87" t="s">
        <v>24</v>
      </c>
    </row>
    <row r="207" spans="2:18" ht="25.5">
      <c r="B207" s="130">
        <v>64</v>
      </c>
      <c r="C207" s="130" t="s">
        <v>1615</v>
      </c>
      <c r="D207" s="48">
        <v>200</v>
      </c>
      <c r="E207" s="87" t="s">
        <v>320</v>
      </c>
      <c r="F207" s="48" t="s">
        <v>14</v>
      </c>
      <c r="G207" s="48" t="s">
        <v>321</v>
      </c>
      <c r="H207" s="48" t="s">
        <v>9</v>
      </c>
      <c r="I207" s="48" t="s">
        <v>10</v>
      </c>
      <c r="J207" s="87" t="s">
        <v>1368</v>
      </c>
      <c r="K207" s="88">
        <v>21915</v>
      </c>
      <c r="L207" s="89">
        <v>1959</v>
      </c>
      <c r="M207" s="89">
        <f t="shared" si="16"/>
        <v>60</v>
      </c>
      <c r="N207" s="48" t="s">
        <v>11</v>
      </c>
      <c r="O207" s="48" t="s">
        <v>1369</v>
      </c>
      <c r="P207" s="87" t="s">
        <v>1378</v>
      </c>
      <c r="Q207" s="48"/>
      <c r="R207" s="87" t="s">
        <v>1460</v>
      </c>
    </row>
    <row r="208" spans="2:18" ht="25.5">
      <c r="B208" s="130"/>
      <c r="C208" s="130"/>
      <c r="D208" s="48">
        <v>201</v>
      </c>
      <c r="E208" s="87" t="s">
        <v>322</v>
      </c>
      <c r="F208" s="48" t="s">
        <v>20</v>
      </c>
      <c r="G208" s="48" t="s">
        <v>323</v>
      </c>
      <c r="H208" s="48" t="s">
        <v>17</v>
      </c>
      <c r="I208" s="48" t="s">
        <v>10</v>
      </c>
      <c r="J208" s="87" t="s">
        <v>1368</v>
      </c>
      <c r="K208" s="88">
        <v>22000</v>
      </c>
      <c r="L208" s="89">
        <v>1960</v>
      </c>
      <c r="M208" s="89">
        <f t="shared" si="16"/>
        <v>59</v>
      </c>
      <c r="N208" s="48" t="s">
        <v>11</v>
      </c>
      <c r="O208" s="48" t="s">
        <v>1369</v>
      </c>
      <c r="P208" s="87" t="s">
        <v>1378</v>
      </c>
      <c r="Q208" s="48"/>
      <c r="R208" s="87" t="s">
        <v>19</v>
      </c>
    </row>
    <row r="209" spans="2:18" ht="25.5">
      <c r="B209" s="130">
        <v>65</v>
      </c>
      <c r="C209" s="130" t="s">
        <v>1560</v>
      </c>
      <c r="D209" s="48">
        <v>202</v>
      </c>
      <c r="E209" s="87" t="s">
        <v>324</v>
      </c>
      <c r="F209" s="48" t="s">
        <v>14</v>
      </c>
      <c r="G209" s="48" t="s">
        <v>325</v>
      </c>
      <c r="H209" s="48" t="s">
        <v>9</v>
      </c>
      <c r="I209" s="48" t="s">
        <v>10</v>
      </c>
      <c r="J209" s="87" t="s">
        <v>1387</v>
      </c>
      <c r="K209" s="88">
        <v>22281</v>
      </c>
      <c r="L209" s="89">
        <v>1960</v>
      </c>
      <c r="M209" s="89">
        <f t="shared" si="16"/>
        <v>59</v>
      </c>
      <c r="N209" s="48" t="s">
        <v>11</v>
      </c>
      <c r="O209" s="48" t="s">
        <v>1369</v>
      </c>
      <c r="P209" s="87" t="s">
        <v>1393</v>
      </c>
      <c r="Q209" s="48"/>
      <c r="R209" s="87" t="s">
        <v>1371</v>
      </c>
    </row>
    <row r="210" spans="2:18" ht="25.5">
      <c r="B210" s="130"/>
      <c r="C210" s="130"/>
      <c r="D210" s="48">
        <v>203</v>
      </c>
      <c r="E210" s="87" t="s">
        <v>326</v>
      </c>
      <c r="F210" s="48" t="s">
        <v>20</v>
      </c>
      <c r="G210" s="48" t="s">
        <v>327</v>
      </c>
      <c r="H210" s="48" t="s">
        <v>17</v>
      </c>
      <c r="I210" s="48" t="s">
        <v>10</v>
      </c>
      <c r="J210" s="87" t="s">
        <v>1387</v>
      </c>
      <c r="K210" s="88">
        <v>24107</v>
      </c>
      <c r="L210" s="89">
        <v>1965</v>
      </c>
      <c r="M210" s="89">
        <f t="shared" si="16"/>
        <v>54</v>
      </c>
      <c r="N210" s="48" t="s">
        <v>11</v>
      </c>
      <c r="O210" s="48" t="s">
        <v>1369</v>
      </c>
      <c r="P210" s="87" t="s">
        <v>1393</v>
      </c>
      <c r="Q210" s="48"/>
      <c r="R210" s="87" t="s">
        <v>1371</v>
      </c>
    </row>
    <row r="211" spans="2:18" ht="25.5">
      <c r="B211" s="130"/>
      <c r="C211" s="130"/>
      <c r="D211" s="48">
        <v>204</v>
      </c>
      <c r="E211" s="87" t="s">
        <v>328</v>
      </c>
      <c r="F211" s="48" t="s">
        <v>25</v>
      </c>
      <c r="G211" s="48" t="s">
        <v>329</v>
      </c>
      <c r="H211" s="48" t="s">
        <v>9</v>
      </c>
      <c r="I211" s="48" t="s">
        <v>23</v>
      </c>
      <c r="J211" s="87" t="s">
        <v>1387</v>
      </c>
      <c r="K211" s="88">
        <v>34325</v>
      </c>
      <c r="L211" s="89">
        <v>1993</v>
      </c>
      <c r="M211" s="89">
        <f t="shared" si="16"/>
        <v>26</v>
      </c>
      <c r="N211" s="48" t="s">
        <v>11</v>
      </c>
      <c r="O211" s="48" t="s">
        <v>1369</v>
      </c>
      <c r="P211" s="87" t="s">
        <v>33</v>
      </c>
      <c r="Q211" s="48"/>
      <c r="R211" s="87" t="s">
        <v>1371</v>
      </c>
    </row>
    <row r="212" spans="2:18" ht="25.5">
      <c r="B212" s="130">
        <v>66</v>
      </c>
      <c r="C212" s="130" t="s">
        <v>1776</v>
      </c>
      <c r="D212" s="48">
        <v>205</v>
      </c>
      <c r="E212" s="87" t="s">
        <v>340</v>
      </c>
      <c r="F212" s="48" t="s">
        <v>14</v>
      </c>
      <c r="G212" s="48" t="s">
        <v>341</v>
      </c>
      <c r="H212" s="48" t="s">
        <v>9</v>
      </c>
      <c r="I212" s="48" t="s">
        <v>10</v>
      </c>
      <c r="J212" s="87" t="s">
        <v>1387</v>
      </c>
      <c r="K212" s="88">
        <v>31151</v>
      </c>
      <c r="L212" s="89">
        <v>1985</v>
      </c>
      <c r="M212" s="89">
        <f t="shared" si="16"/>
        <v>34</v>
      </c>
      <c r="N212" s="48" t="s">
        <v>11</v>
      </c>
      <c r="O212" s="48" t="s">
        <v>1369</v>
      </c>
      <c r="P212" s="87" t="s">
        <v>28</v>
      </c>
      <c r="Q212" s="48"/>
      <c r="R212" s="87" t="s">
        <v>1371</v>
      </c>
    </row>
    <row r="213" spans="2:18" ht="25.5">
      <c r="B213" s="130"/>
      <c r="C213" s="130"/>
      <c r="D213" s="48">
        <v>206</v>
      </c>
      <c r="E213" s="87" t="s">
        <v>342</v>
      </c>
      <c r="F213" s="48" t="s">
        <v>20</v>
      </c>
      <c r="G213" s="48" t="s">
        <v>343</v>
      </c>
      <c r="H213" s="48" t="s">
        <v>17</v>
      </c>
      <c r="I213" s="48" t="s">
        <v>10</v>
      </c>
      <c r="J213" s="87" t="s">
        <v>1559</v>
      </c>
      <c r="K213" s="88">
        <v>33238</v>
      </c>
      <c r="L213" s="89">
        <v>1990</v>
      </c>
      <c r="M213" s="89">
        <f t="shared" si="16"/>
        <v>29</v>
      </c>
      <c r="N213" s="48" t="s">
        <v>11</v>
      </c>
      <c r="O213" s="48" t="s">
        <v>1369</v>
      </c>
      <c r="P213" s="87" t="s">
        <v>33</v>
      </c>
      <c r="Q213" s="48"/>
      <c r="R213" s="87" t="s">
        <v>1373</v>
      </c>
    </row>
    <row r="214" spans="2:18" ht="25.5">
      <c r="B214" s="130">
        <v>67</v>
      </c>
      <c r="C214" s="130" t="s">
        <v>1561</v>
      </c>
      <c r="D214" s="48">
        <v>207</v>
      </c>
      <c r="E214" s="87" t="s">
        <v>345</v>
      </c>
      <c r="F214" s="48" t="s">
        <v>14</v>
      </c>
      <c r="G214" s="48" t="s">
        <v>346</v>
      </c>
      <c r="H214" s="48" t="s">
        <v>9</v>
      </c>
      <c r="I214" s="48" t="s">
        <v>10</v>
      </c>
      <c r="J214" s="87" t="s">
        <v>1368</v>
      </c>
      <c r="K214" s="88">
        <v>29355</v>
      </c>
      <c r="L214" s="89">
        <v>1980</v>
      </c>
      <c r="M214" s="89">
        <f t="shared" si="16"/>
        <v>39</v>
      </c>
      <c r="N214" s="48" t="s">
        <v>11</v>
      </c>
      <c r="O214" s="48" t="s">
        <v>1369</v>
      </c>
      <c r="P214" s="87" t="s">
        <v>1393</v>
      </c>
      <c r="Q214" s="48"/>
      <c r="R214" s="87" t="s">
        <v>49</v>
      </c>
    </row>
    <row r="215" spans="2:18" ht="25.5">
      <c r="B215" s="130"/>
      <c r="C215" s="130"/>
      <c r="D215" s="48">
        <v>208</v>
      </c>
      <c r="E215" s="87" t="s">
        <v>347</v>
      </c>
      <c r="F215" s="48" t="s">
        <v>20</v>
      </c>
      <c r="G215" s="48" t="s">
        <v>348</v>
      </c>
      <c r="H215" s="48" t="s">
        <v>17</v>
      </c>
      <c r="I215" s="48" t="s">
        <v>10</v>
      </c>
      <c r="J215" s="87" t="s">
        <v>1368</v>
      </c>
      <c r="K215" s="88" t="s">
        <v>1563</v>
      </c>
      <c r="L215" s="89">
        <v>1982</v>
      </c>
      <c r="M215" s="89">
        <f t="shared" si="16"/>
        <v>37</v>
      </c>
      <c r="N215" s="48" t="s">
        <v>11</v>
      </c>
      <c r="O215" s="48" t="s">
        <v>1369</v>
      </c>
      <c r="P215" s="87" t="s">
        <v>1393</v>
      </c>
      <c r="Q215" s="48"/>
      <c r="R215" s="87" t="s">
        <v>1373</v>
      </c>
    </row>
    <row r="216" spans="2:18" ht="25.5">
      <c r="B216" s="130"/>
      <c r="C216" s="130"/>
      <c r="D216" s="48">
        <v>209</v>
      </c>
      <c r="E216" s="87" t="s">
        <v>349</v>
      </c>
      <c r="F216" s="48" t="s">
        <v>25</v>
      </c>
      <c r="G216" s="48" t="s">
        <v>350</v>
      </c>
      <c r="H216" s="48" t="s">
        <v>17</v>
      </c>
      <c r="I216" s="48" t="s">
        <v>23</v>
      </c>
      <c r="J216" s="87" t="s">
        <v>1368</v>
      </c>
      <c r="K216" s="88">
        <v>35936</v>
      </c>
      <c r="L216" s="89">
        <v>1998</v>
      </c>
      <c r="M216" s="89">
        <f t="shared" si="16"/>
        <v>21</v>
      </c>
      <c r="N216" s="48" t="s">
        <v>11</v>
      </c>
      <c r="O216" s="48" t="s">
        <v>1369</v>
      </c>
      <c r="P216" s="87" t="s">
        <v>33</v>
      </c>
      <c r="Q216" s="48"/>
      <c r="R216" s="87" t="s">
        <v>1376</v>
      </c>
    </row>
    <row r="217" spans="2:18" ht="25.5">
      <c r="B217" s="130"/>
      <c r="C217" s="130"/>
      <c r="D217" s="48">
        <v>210</v>
      </c>
      <c r="E217" s="87" t="s">
        <v>351</v>
      </c>
      <c r="F217" s="48" t="s">
        <v>25</v>
      </c>
      <c r="G217" s="48" t="s">
        <v>1562</v>
      </c>
      <c r="H217" s="48" t="s">
        <v>17</v>
      </c>
      <c r="I217" s="48" t="s">
        <v>23</v>
      </c>
      <c r="J217" s="87" t="s">
        <v>1368</v>
      </c>
      <c r="K217" s="88">
        <v>38434</v>
      </c>
      <c r="L217" s="89">
        <v>2005</v>
      </c>
      <c r="M217" s="89">
        <f t="shared" si="16"/>
        <v>14</v>
      </c>
      <c r="N217" s="48" t="s">
        <v>11</v>
      </c>
      <c r="O217" s="48" t="s">
        <v>1369</v>
      </c>
      <c r="P217" s="87" t="s">
        <v>1378</v>
      </c>
      <c r="Q217" s="48"/>
      <c r="R217" s="87" t="s">
        <v>1389</v>
      </c>
    </row>
    <row r="218" spans="2:18" ht="25.5">
      <c r="B218" s="130">
        <v>68</v>
      </c>
      <c r="C218" s="130" t="s">
        <v>1694</v>
      </c>
      <c r="D218" s="48">
        <v>211</v>
      </c>
      <c r="E218" s="87" t="s">
        <v>352</v>
      </c>
      <c r="F218" s="48" t="s">
        <v>14</v>
      </c>
      <c r="G218" s="48" t="s">
        <v>353</v>
      </c>
      <c r="H218" s="48" t="s">
        <v>9</v>
      </c>
      <c r="I218" s="48" t="s">
        <v>10</v>
      </c>
      <c r="J218" s="87" t="s">
        <v>1368</v>
      </c>
      <c r="K218" s="88">
        <v>30748</v>
      </c>
      <c r="L218" s="89">
        <v>1984</v>
      </c>
      <c r="M218" s="89">
        <f t="shared" si="16"/>
        <v>35</v>
      </c>
      <c r="N218" s="48" t="s">
        <v>11</v>
      </c>
      <c r="O218" s="48" t="s">
        <v>1369</v>
      </c>
      <c r="P218" s="87" t="s">
        <v>28</v>
      </c>
      <c r="Q218" s="48"/>
      <c r="R218" s="87" t="s">
        <v>1371</v>
      </c>
    </row>
    <row r="219" spans="2:18" ht="25.5">
      <c r="B219" s="130"/>
      <c r="C219" s="130"/>
      <c r="D219" s="48">
        <v>212</v>
      </c>
      <c r="E219" s="87" t="s">
        <v>354</v>
      </c>
      <c r="F219" s="48" t="s">
        <v>20</v>
      </c>
      <c r="G219" s="48" t="s">
        <v>1695</v>
      </c>
      <c r="H219" s="48" t="s">
        <v>17</v>
      </c>
      <c r="I219" s="48" t="s">
        <v>10</v>
      </c>
      <c r="J219" s="87" t="s">
        <v>1368</v>
      </c>
      <c r="K219" s="88">
        <v>30142</v>
      </c>
      <c r="L219" s="89">
        <v>1982</v>
      </c>
      <c r="M219" s="89">
        <f t="shared" si="16"/>
        <v>37</v>
      </c>
      <c r="N219" s="48" t="s">
        <v>11</v>
      </c>
      <c r="O219" s="48" t="s">
        <v>1369</v>
      </c>
      <c r="P219" s="87" t="s">
        <v>28</v>
      </c>
      <c r="Q219" s="48"/>
      <c r="R219" s="87" t="s">
        <v>1371</v>
      </c>
    </row>
    <row r="220" spans="2:18" ht="25.5">
      <c r="B220" s="130"/>
      <c r="C220" s="130"/>
      <c r="D220" s="48">
        <v>213</v>
      </c>
      <c r="E220" s="87" t="s">
        <v>1693</v>
      </c>
      <c r="F220" s="48" t="s">
        <v>25</v>
      </c>
      <c r="G220" s="48" t="s">
        <v>1696</v>
      </c>
      <c r="H220" s="48" t="s">
        <v>9</v>
      </c>
      <c r="I220" s="48" t="s">
        <v>23</v>
      </c>
      <c r="J220" s="87" t="s">
        <v>1368</v>
      </c>
      <c r="K220" s="88">
        <v>37301</v>
      </c>
      <c r="L220" s="89">
        <v>2002</v>
      </c>
      <c r="M220" s="89">
        <f t="shared" si="16"/>
        <v>17</v>
      </c>
      <c r="N220" s="48" t="s">
        <v>11</v>
      </c>
      <c r="O220" s="48" t="s">
        <v>1369</v>
      </c>
      <c r="P220" s="87" t="s">
        <v>1378</v>
      </c>
      <c r="Q220" s="48"/>
      <c r="R220" s="87" t="s">
        <v>1389</v>
      </c>
    </row>
    <row r="221" spans="2:18" ht="25.5">
      <c r="B221" s="130"/>
      <c r="C221" s="130"/>
      <c r="D221" s="48">
        <v>214</v>
      </c>
      <c r="E221" s="87" t="s">
        <v>1692</v>
      </c>
      <c r="F221" s="48" t="s">
        <v>25</v>
      </c>
      <c r="G221" s="48" t="s">
        <v>1697</v>
      </c>
      <c r="H221" s="48" t="s">
        <v>17</v>
      </c>
      <c r="I221" s="48" t="s">
        <v>23</v>
      </c>
      <c r="J221" s="87" t="s">
        <v>1368</v>
      </c>
      <c r="K221" s="88">
        <v>42086</v>
      </c>
      <c r="L221" s="89">
        <v>2015</v>
      </c>
      <c r="M221" s="89">
        <f t="shared" si="16"/>
        <v>4</v>
      </c>
      <c r="N221" s="48" t="s">
        <v>11</v>
      </c>
      <c r="O221" s="48" t="s">
        <v>1369</v>
      </c>
      <c r="P221" s="87" t="s">
        <v>1378</v>
      </c>
      <c r="Q221" s="48"/>
      <c r="R221" s="87" t="s">
        <v>1389</v>
      </c>
    </row>
    <row r="222" spans="2:18">
      <c r="B222" s="130">
        <v>69</v>
      </c>
      <c r="C222" s="130" t="s">
        <v>1659</v>
      </c>
      <c r="D222" s="48">
        <v>215</v>
      </c>
      <c r="E222" s="87" t="s">
        <v>355</v>
      </c>
      <c r="F222" s="48" t="s">
        <v>14</v>
      </c>
      <c r="G222" s="48" t="s">
        <v>356</v>
      </c>
      <c r="H222" s="48" t="s">
        <v>9</v>
      </c>
      <c r="I222" s="48" t="s">
        <v>10</v>
      </c>
      <c r="J222" s="87" t="s">
        <v>1387</v>
      </c>
      <c r="K222" s="88">
        <v>30998</v>
      </c>
      <c r="L222" s="89">
        <v>1984</v>
      </c>
      <c r="M222" s="89">
        <f t="shared" si="16"/>
        <v>35</v>
      </c>
      <c r="N222" s="48" t="s">
        <v>11</v>
      </c>
      <c r="O222" s="48" t="s">
        <v>1369</v>
      </c>
      <c r="P222" s="87" t="s">
        <v>28</v>
      </c>
      <c r="Q222" s="48"/>
      <c r="R222" s="87" t="s">
        <v>49</v>
      </c>
    </row>
    <row r="223" spans="2:18">
      <c r="B223" s="130"/>
      <c r="C223" s="130"/>
      <c r="D223" s="48">
        <v>216</v>
      </c>
      <c r="E223" s="87" t="s">
        <v>257</v>
      </c>
      <c r="F223" s="48" t="s">
        <v>20</v>
      </c>
      <c r="G223" s="48" t="s">
        <v>357</v>
      </c>
      <c r="H223" s="48" t="s">
        <v>17</v>
      </c>
      <c r="I223" s="48" t="s">
        <v>10</v>
      </c>
      <c r="J223" s="87" t="s">
        <v>1387</v>
      </c>
      <c r="K223" s="88">
        <v>29951</v>
      </c>
      <c r="L223" s="89">
        <v>1981</v>
      </c>
      <c r="M223" s="89">
        <f t="shared" si="16"/>
        <v>38</v>
      </c>
      <c r="N223" s="48" t="s">
        <v>11</v>
      </c>
      <c r="O223" s="48" t="s">
        <v>1369</v>
      </c>
      <c r="P223" s="87" t="s">
        <v>28</v>
      </c>
      <c r="Q223" s="48"/>
      <c r="R223" s="87" t="s">
        <v>49</v>
      </c>
    </row>
    <row r="224" spans="2:18" ht="25.5">
      <c r="B224" s="130"/>
      <c r="C224" s="130"/>
      <c r="D224" s="48">
        <v>217</v>
      </c>
      <c r="E224" s="87" t="s">
        <v>358</v>
      </c>
      <c r="F224" s="48" t="s">
        <v>25</v>
      </c>
      <c r="G224" s="48" t="s">
        <v>359</v>
      </c>
      <c r="H224" s="48" t="s">
        <v>9</v>
      </c>
      <c r="I224" s="48" t="s">
        <v>23</v>
      </c>
      <c r="J224" s="87" t="s">
        <v>1387</v>
      </c>
      <c r="K224" s="88">
        <v>36438</v>
      </c>
      <c r="L224" s="89">
        <v>1999</v>
      </c>
      <c r="M224" s="89">
        <f t="shared" si="16"/>
        <v>20</v>
      </c>
      <c r="N224" s="48" t="s">
        <v>11</v>
      </c>
      <c r="O224" s="48" t="s">
        <v>1369</v>
      </c>
      <c r="P224" s="87" t="s">
        <v>28</v>
      </c>
      <c r="Q224" s="48"/>
      <c r="R224" s="87" t="s">
        <v>1376</v>
      </c>
    </row>
    <row r="225" spans="2:18" ht="25.5">
      <c r="B225" s="48">
        <v>70</v>
      </c>
      <c r="C225" s="48" t="s">
        <v>1418</v>
      </c>
      <c r="D225" s="48">
        <v>218</v>
      </c>
      <c r="E225" s="87" t="s">
        <v>360</v>
      </c>
      <c r="F225" s="48" t="s">
        <v>14</v>
      </c>
      <c r="G225" s="48" t="s">
        <v>1419</v>
      </c>
      <c r="H225" s="48" t="s">
        <v>17</v>
      </c>
      <c r="I225" s="48" t="s">
        <v>67</v>
      </c>
      <c r="J225" s="87" t="s">
        <v>1387</v>
      </c>
      <c r="K225" s="88">
        <v>22828</v>
      </c>
      <c r="L225" s="89">
        <v>1962</v>
      </c>
      <c r="M225" s="89">
        <f t="shared" si="16"/>
        <v>57</v>
      </c>
      <c r="N225" s="48" t="s">
        <v>11</v>
      </c>
      <c r="O225" s="48" t="s">
        <v>1369</v>
      </c>
      <c r="P225" s="87" t="s">
        <v>1393</v>
      </c>
      <c r="Q225" s="48"/>
      <c r="R225" s="87" t="s">
        <v>1371</v>
      </c>
    </row>
    <row r="226" spans="2:18" ht="25.5">
      <c r="B226" s="130">
        <v>71</v>
      </c>
      <c r="C226" s="130" t="s">
        <v>1768</v>
      </c>
      <c r="D226" s="48">
        <v>219</v>
      </c>
      <c r="E226" s="87" t="s">
        <v>361</v>
      </c>
      <c r="F226" s="48" t="s">
        <v>14</v>
      </c>
      <c r="G226" s="48" t="s">
        <v>362</v>
      </c>
      <c r="H226" s="48" t="s">
        <v>9</v>
      </c>
      <c r="I226" s="48" t="s">
        <v>10</v>
      </c>
      <c r="J226" s="87" t="s">
        <v>1368</v>
      </c>
      <c r="K226" s="88">
        <v>28307</v>
      </c>
      <c r="L226" s="89">
        <v>1977</v>
      </c>
      <c r="M226" s="89">
        <f t="shared" si="16"/>
        <v>42</v>
      </c>
      <c r="N226" s="48" t="s">
        <v>11</v>
      </c>
      <c r="O226" s="48" t="s">
        <v>1369</v>
      </c>
      <c r="P226" s="87" t="s">
        <v>28</v>
      </c>
      <c r="Q226" s="48"/>
      <c r="R226" s="87" t="s">
        <v>1371</v>
      </c>
    </row>
    <row r="227" spans="2:18" ht="25.5">
      <c r="B227" s="130"/>
      <c r="C227" s="130"/>
      <c r="D227" s="48">
        <v>220</v>
      </c>
      <c r="E227" s="87" t="s">
        <v>363</v>
      </c>
      <c r="F227" s="48" t="s">
        <v>20</v>
      </c>
      <c r="G227" s="48" t="s">
        <v>364</v>
      </c>
      <c r="H227" s="48" t="s">
        <v>17</v>
      </c>
      <c r="I227" s="48" t="s">
        <v>10</v>
      </c>
      <c r="J227" s="87" t="s">
        <v>1368</v>
      </c>
      <c r="K227" s="88">
        <v>32116</v>
      </c>
      <c r="L227" s="89">
        <v>1987</v>
      </c>
      <c r="M227" s="89">
        <f t="shared" si="16"/>
        <v>32</v>
      </c>
      <c r="N227" s="48" t="s">
        <v>11</v>
      </c>
      <c r="O227" s="48" t="s">
        <v>1369</v>
      </c>
      <c r="P227" s="87" t="s">
        <v>28</v>
      </c>
      <c r="Q227" s="48"/>
      <c r="R227" s="87" t="s">
        <v>1371</v>
      </c>
    </row>
    <row r="228" spans="2:18" ht="25.5">
      <c r="B228" s="130"/>
      <c r="C228" s="130"/>
      <c r="D228" s="48">
        <v>221</v>
      </c>
      <c r="E228" s="87" t="s">
        <v>365</v>
      </c>
      <c r="F228" s="48" t="s">
        <v>25</v>
      </c>
      <c r="G228" s="48" t="s">
        <v>366</v>
      </c>
      <c r="H228" s="48" t="s">
        <v>17</v>
      </c>
      <c r="I228" s="48" t="s">
        <v>23</v>
      </c>
      <c r="J228" s="87" t="s">
        <v>1455</v>
      </c>
      <c r="K228" s="88">
        <v>41305</v>
      </c>
      <c r="L228" s="89">
        <v>2013</v>
      </c>
      <c r="M228" s="89">
        <f t="shared" si="16"/>
        <v>6</v>
      </c>
      <c r="N228" s="48" t="s">
        <v>11</v>
      </c>
      <c r="O228" s="48" t="s">
        <v>1369</v>
      </c>
      <c r="P228" s="87" t="s">
        <v>1378</v>
      </c>
      <c r="Q228" s="48"/>
      <c r="R228" s="87" t="s">
        <v>1389</v>
      </c>
    </row>
    <row r="229" spans="2:18" ht="25.5">
      <c r="B229" s="130">
        <v>72</v>
      </c>
      <c r="C229" s="130" t="s">
        <v>1777</v>
      </c>
      <c r="D229" s="48">
        <v>222</v>
      </c>
      <c r="E229" s="87" t="s">
        <v>367</v>
      </c>
      <c r="F229" s="48" t="s">
        <v>14</v>
      </c>
      <c r="G229" s="48" t="s">
        <v>368</v>
      </c>
      <c r="H229" s="48" t="s">
        <v>9</v>
      </c>
      <c r="I229" s="48" t="s">
        <v>10</v>
      </c>
      <c r="J229" s="87" t="s">
        <v>1368</v>
      </c>
      <c r="K229" s="88">
        <v>26298</v>
      </c>
      <c r="L229" s="89">
        <v>1971</v>
      </c>
      <c r="M229" s="89">
        <f t="shared" si="16"/>
        <v>48</v>
      </c>
      <c r="N229" s="48" t="s">
        <v>11</v>
      </c>
      <c r="O229" s="48" t="s">
        <v>1369</v>
      </c>
      <c r="P229" s="87" t="s">
        <v>1393</v>
      </c>
      <c r="Q229" s="48"/>
      <c r="R229" s="87" t="s">
        <v>49</v>
      </c>
    </row>
    <row r="230" spans="2:18" ht="25.5">
      <c r="B230" s="130"/>
      <c r="C230" s="130"/>
      <c r="D230" s="48">
        <v>223</v>
      </c>
      <c r="E230" s="87" t="s">
        <v>369</v>
      </c>
      <c r="F230" s="48" t="s">
        <v>20</v>
      </c>
      <c r="G230" s="48" t="s">
        <v>370</v>
      </c>
      <c r="H230" s="48" t="s">
        <v>17</v>
      </c>
      <c r="I230" s="48" t="s">
        <v>10</v>
      </c>
      <c r="J230" s="87" t="s">
        <v>1368</v>
      </c>
      <c r="K230" s="88">
        <v>26664</v>
      </c>
      <c r="L230" s="89">
        <v>1972</v>
      </c>
      <c r="M230" s="89">
        <f t="shared" si="16"/>
        <v>47</v>
      </c>
      <c r="N230" s="48" t="s">
        <v>11</v>
      </c>
      <c r="O230" s="48" t="s">
        <v>1369</v>
      </c>
      <c r="P230" s="87" t="s">
        <v>1393</v>
      </c>
      <c r="Q230" s="48"/>
      <c r="R230" s="87" t="s">
        <v>49</v>
      </c>
    </row>
    <row r="231" spans="2:18">
      <c r="B231" s="130"/>
      <c r="C231" s="130"/>
      <c r="D231" s="48">
        <v>224</v>
      </c>
      <c r="E231" s="87" t="s">
        <v>371</v>
      </c>
      <c r="F231" s="48" t="s">
        <v>25</v>
      </c>
      <c r="G231" s="48" t="s">
        <v>372</v>
      </c>
      <c r="H231" s="48" t="s">
        <v>9</v>
      </c>
      <c r="I231" s="48" t="s">
        <v>23</v>
      </c>
      <c r="J231" s="87" t="s">
        <v>1387</v>
      </c>
      <c r="K231" s="88">
        <v>33070</v>
      </c>
      <c r="L231" s="89">
        <v>1990</v>
      </c>
      <c r="M231" s="89">
        <f t="shared" si="16"/>
        <v>29</v>
      </c>
      <c r="N231" s="48" t="s">
        <v>11</v>
      </c>
      <c r="O231" s="48" t="s">
        <v>1369</v>
      </c>
      <c r="P231" s="87" t="s">
        <v>12</v>
      </c>
      <c r="Q231" s="48"/>
      <c r="R231" s="87" t="s">
        <v>49</v>
      </c>
    </row>
    <row r="232" spans="2:18" ht="25.5">
      <c r="B232" s="130"/>
      <c r="C232" s="130"/>
      <c r="D232" s="48">
        <v>225</v>
      </c>
      <c r="E232" s="87" t="s">
        <v>373</v>
      </c>
      <c r="F232" s="48" t="s">
        <v>25</v>
      </c>
      <c r="G232" s="48" t="s">
        <v>1778</v>
      </c>
      <c r="H232" s="48" t="s">
        <v>9</v>
      </c>
      <c r="I232" s="48" t="s">
        <v>23</v>
      </c>
      <c r="J232" s="87" t="s">
        <v>1368</v>
      </c>
      <c r="K232" s="88">
        <v>36160</v>
      </c>
      <c r="L232" s="89">
        <v>1998</v>
      </c>
      <c r="M232" s="89">
        <f t="shared" si="16"/>
        <v>21</v>
      </c>
      <c r="N232" s="48" t="s">
        <v>11</v>
      </c>
      <c r="O232" s="48" t="s">
        <v>1369</v>
      </c>
      <c r="P232" s="87" t="s">
        <v>33</v>
      </c>
      <c r="Q232" s="48"/>
      <c r="R232" s="87" t="s">
        <v>1376</v>
      </c>
    </row>
    <row r="233" spans="2:18">
      <c r="B233" s="130">
        <v>73</v>
      </c>
      <c r="C233" s="130"/>
      <c r="D233" s="48">
        <v>226</v>
      </c>
      <c r="E233" s="87" t="s">
        <v>374</v>
      </c>
      <c r="F233" s="48" t="s">
        <v>14</v>
      </c>
      <c r="G233" s="48">
        <v>0</v>
      </c>
      <c r="H233" s="48" t="s">
        <v>9</v>
      </c>
      <c r="I233" s="48" t="s">
        <v>10</v>
      </c>
      <c r="J233" s="87"/>
      <c r="K233" s="88">
        <v>33238</v>
      </c>
      <c r="L233" s="89">
        <f t="shared" ref="L233:L237" si="18">YEAR(K233)</f>
        <v>1990</v>
      </c>
      <c r="M233" s="89">
        <f t="shared" si="16"/>
        <v>29</v>
      </c>
      <c r="N233" s="48" t="s">
        <v>11</v>
      </c>
      <c r="O233" s="48"/>
      <c r="P233" s="87" t="s">
        <v>28</v>
      </c>
      <c r="Q233" s="48"/>
      <c r="R233" s="87" t="s">
        <v>24</v>
      </c>
    </row>
    <row r="234" spans="2:18">
      <c r="B234" s="130"/>
      <c r="C234" s="130"/>
      <c r="D234" s="48">
        <v>227</v>
      </c>
      <c r="E234" s="87" t="s">
        <v>375</v>
      </c>
      <c r="F234" s="48" t="s">
        <v>20</v>
      </c>
      <c r="G234" s="48">
        <v>0</v>
      </c>
      <c r="H234" s="48" t="s">
        <v>17</v>
      </c>
      <c r="I234" s="48" t="s">
        <v>10</v>
      </c>
      <c r="J234" s="87"/>
      <c r="K234" s="88">
        <v>33969</v>
      </c>
      <c r="L234" s="89">
        <f t="shared" si="18"/>
        <v>1992</v>
      </c>
      <c r="M234" s="89">
        <f t="shared" si="16"/>
        <v>27</v>
      </c>
      <c r="N234" s="48" t="s">
        <v>11</v>
      </c>
      <c r="O234" s="48"/>
      <c r="P234" s="87" t="s">
        <v>28</v>
      </c>
      <c r="Q234" s="48"/>
      <c r="R234" s="87" t="s">
        <v>24</v>
      </c>
    </row>
    <row r="235" spans="2:18" ht="25.5">
      <c r="B235" s="130"/>
      <c r="C235" s="130"/>
      <c r="D235" s="48">
        <v>228</v>
      </c>
      <c r="E235" s="87" t="s">
        <v>376</v>
      </c>
      <c r="F235" s="48" t="s">
        <v>25</v>
      </c>
      <c r="G235" s="48">
        <v>0</v>
      </c>
      <c r="H235" s="48" t="s">
        <v>9</v>
      </c>
      <c r="I235" s="48" t="s">
        <v>23</v>
      </c>
      <c r="J235" s="87"/>
      <c r="K235" s="88">
        <v>41257</v>
      </c>
      <c r="L235" s="89">
        <f t="shared" si="18"/>
        <v>2012</v>
      </c>
      <c r="M235" s="89">
        <f t="shared" si="16"/>
        <v>7</v>
      </c>
      <c r="N235" s="48" t="s">
        <v>11</v>
      </c>
      <c r="O235" s="48"/>
      <c r="P235" s="87" t="s">
        <v>18</v>
      </c>
      <c r="Q235" s="48"/>
      <c r="R235" s="87" t="s">
        <v>18</v>
      </c>
    </row>
    <row r="236" spans="2:18">
      <c r="B236" s="130">
        <v>74</v>
      </c>
      <c r="C236" s="130"/>
      <c r="D236" s="48">
        <v>229</v>
      </c>
      <c r="E236" s="87" t="s">
        <v>377</v>
      </c>
      <c r="F236" s="48" t="s">
        <v>14</v>
      </c>
      <c r="G236" s="48" t="s">
        <v>378</v>
      </c>
      <c r="H236" s="48" t="s">
        <v>17</v>
      </c>
      <c r="I236" s="48" t="s">
        <v>67</v>
      </c>
      <c r="J236" s="87"/>
      <c r="K236" s="88">
        <v>21185</v>
      </c>
      <c r="L236" s="89">
        <f t="shared" si="18"/>
        <v>1957</v>
      </c>
      <c r="M236" s="89">
        <f t="shared" si="16"/>
        <v>62</v>
      </c>
      <c r="N236" s="48" t="s">
        <v>11</v>
      </c>
      <c r="O236" s="48"/>
      <c r="P236" s="87" t="s">
        <v>18</v>
      </c>
      <c r="Q236" s="48"/>
      <c r="R236" s="87" t="s">
        <v>24</v>
      </c>
    </row>
    <row r="237" spans="2:18">
      <c r="B237" s="130"/>
      <c r="C237" s="130"/>
      <c r="D237" s="48">
        <v>230</v>
      </c>
      <c r="E237" s="87" t="s">
        <v>62</v>
      </c>
      <c r="F237" s="48" t="s">
        <v>25</v>
      </c>
      <c r="G237" s="48" t="s">
        <v>379</v>
      </c>
      <c r="H237" s="48" t="s">
        <v>9</v>
      </c>
      <c r="I237" s="48" t="s">
        <v>23</v>
      </c>
      <c r="J237" s="87"/>
      <c r="K237" s="88">
        <v>20832</v>
      </c>
      <c r="L237" s="89">
        <f t="shared" si="18"/>
        <v>1957</v>
      </c>
      <c r="M237" s="89">
        <f t="shared" si="16"/>
        <v>62</v>
      </c>
      <c r="N237" s="48" t="s">
        <v>11</v>
      </c>
      <c r="O237" s="48"/>
      <c r="P237" s="87" t="s">
        <v>28</v>
      </c>
      <c r="Q237" s="48"/>
      <c r="R237" s="87" t="s">
        <v>124</v>
      </c>
    </row>
    <row r="238" spans="2:18">
      <c r="B238" s="130">
        <v>75</v>
      </c>
      <c r="C238" s="130" t="s">
        <v>1769</v>
      </c>
      <c r="D238" s="48">
        <v>231</v>
      </c>
      <c r="E238" s="87" t="s">
        <v>1770</v>
      </c>
      <c r="F238" s="48" t="s">
        <v>14</v>
      </c>
      <c r="G238" s="48" t="s">
        <v>1772</v>
      </c>
      <c r="H238" s="48" t="s">
        <v>9</v>
      </c>
      <c r="I238" s="48" t="s">
        <v>10</v>
      </c>
      <c r="J238" s="87" t="s">
        <v>1387</v>
      </c>
      <c r="K238" s="88">
        <v>29176</v>
      </c>
      <c r="L238" s="89">
        <v>1979</v>
      </c>
      <c r="M238" s="89">
        <f t="shared" si="16"/>
        <v>40</v>
      </c>
      <c r="N238" s="48" t="s">
        <v>11</v>
      </c>
      <c r="O238" s="48"/>
      <c r="P238" s="87" t="s">
        <v>33</v>
      </c>
      <c r="Q238" s="48"/>
      <c r="R238" s="87" t="s">
        <v>49</v>
      </c>
    </row>
    <row r="239" spans="2:18" ht="25.5">
      <c r="B239" s="130"/>
      <c r="C239" s="130"/>
      <c r="D239" s="48">
        <v>232</v>
      </c>
      <c r="E239" s="87" t="s">
        <v>1771</v>
      </c>
      <c r="F239" s="48" t="s">
        <v>20</v>
      </c>
      <c r="G239" s="48" t="s">
        <v>1775</v>
      </c>
      <c r="H239" s="48" t="s">
        <v>17</v>
      </c>
      <c r="I239" s="48" t="s">
        <v>10</v>
      </c>
      <c r="J239" s="87" t="s">
        <v>1774</v>
      </c>
      <c r="K239" s="88">
        <v>29768</v>
      </c>
      <c r="L239" s="89">
        <v>1981</v>
      </c>
      <c r="M239" s="89">
        <f t="shared" si="16"/>
        <v>38</v>
      </c>
      <c r="N239" s="48" t="s">
        <v>11</v>
      </c>
      <c r="O239" s="48"/>
      <c r="P239" s="87" t="s">
        <v>33</v>
      </c>
      <c r="Q239" s="48"/>
      <c r="R239" s="87" t="s">
        <v>49</v>
      </c>
    </row>
    <row r="240" spans="2:18" ht="25.5">
      <c r="B240" s="130"/>
      <c r="C240" s="130"/>
      <c r="D240" s="48">
        <v>233</v>
      </c>
      <c r="E240" s="87" t="s">
        <v>380</v>
      </c>
      <c r="F240" s="48" t="s">
        <v>25</v>
      </c>
      <c r="G240" s="48" t="s">
        <v>1773</v>
      </c>
      <c r="H240" s="48" t="s">
        <v>17</v>
      </c>
      <c r="I240" s="48" t="s">
        <v>23</v>
      </c>
      <c r="J240" s="87" t="s">
        <v>1660</v>
      </c>
      <c r="K240" s="88">
        <v>40890</v>
      </c>
      <c r="L240" s="89">
        <v>2011</v>
      </c>
      <c r="M240" s="89">
        <f t="shared" si="16"/>
        <v>8</v>
      </c>
      <c r="N240" s="48" t="s">
        <v>11</v>
      </c>
      <c r="O240" s="48"/>
      <c r="P240" s="87" t="s">
        <v>1378</v>
      </c>
      <c r="Q240" s="48"/>
      <c r="R240" s="87" t="s">
        <v>1389</v>
      </c>
    </row>
    <row r="241" spans="2:18" ht="25.5">
      <c r="B241" s="130">
        <v>76</v>
      </c>
      <c r="C241" s="130" t="s">
        <v>1728</v>
      </c>
      <c r="D241" s="48">
        <v>234</v>
      </c>
      <c r="E241" s="87" t="s">
        <v>381</v>
      </c>
      <c r="F241" s="48" t="s">
        <v>14</v>
      </c>
      <c r="G241" s="48" t="s">
        <v>1729</v>
      </c>
      <c r="H241" s="48" t="s">
        <v>9</v>
      </c>
      <c r="I241" s="48" t="s">
        <v>10</v>
      </c>
      <c r="J241" s="87" t="s">
        <v>1387</v>
      </c>
      <c r="K241" s="88">
        <v>21915</v>
      </c>
      <c r="L241" s="89">
        <v>1959</v>
      </c>
      <c r="M241" s="89">
        <f t="shared" si="16"/>
        <v>60</v>
      </c>
      <c r="N241" s="48" t="s">
        <v>11</v>
      </c>
      <c r="O241" s="48" t="s">
        <v>1369</v>
      </c>
      <c r="P241" s="87" t="s">
        <v>1393</v>
      </c>
      <c r="Q241" s="48"/>
      <c r="R241" s="87" t="s">
        <v>1460</v>
      </c>
    </row>
    <row r="242" spans="2:18" ht="25.5">
      <c r="B242" s="130"/>
      <c r="C242" s="130"/>
      <c r="D242" s="48">
        <v>235</v>
      </c>
      <c r="E242" s="87" t="s">
        <v>382</v>
      </c>
      <c r="F242" s="48" t="s">
        <v>20</v>
      </c>
      <c r="G242" s="48" t="s">
        <v>1730</v>
      </c>
      <c r="H242" s="48" t="s">
        <v>17</v>
      </c>
      <c r="I242" s="48" t="s">
        <v>10</v>
      </c>
      <c r="J242" s="87" t="s">
        <v>1660</v>
      </c>
      <c r="K242" s="88">
        <v>23011</v>
      </c>
      <c r="L242" s="89">
        <v>1962</v>
      </c>
      <c r="M242" s="89">
        <f t="shared" si="16"/>
        <v>57</v>
      </c>
      <c r="N242" s="48" t="s">
        <v>11</v>
      </c>
      <c r="O242" s="48" t="s">
        <v>1369</v>
      </c>
      <c r="P242" s="87" t="s">
        <v>1393</v>
      </c>
      <c r="Q242" s="48"/>
      <c r="R242" s="87" t="s">
        <v>19</v>
      </c>
    </row>
    <row r="243" spans="2:18" ht="25.5">
      <c r="B243" s="130"/>
      <c r="C243" s="130"/>
      <c r="D243" s="48">
        <v>236</v>
      </c>
      <c r="E243" s="87" t="s">
        <v>383</v>
      </c>
      <c r="F243" s="48" t="s">
        <v>25</v>
      </c>
      <c r="G243" s="48" t="s">
        <v>1731</v>
      </c>
      <c r="H243" s="48" t="s">
        <v>9</v>
      </c>
      <c r="I243" s="48" t="s">
        <v>23</v>
      </c>
      <c r="J243" s="87" t="s">
        <v>1387</v>
      </c>
      <c r="K243" s="88">
        <v>33531</v>
      </c>
      <c r="L243" s="89">
        <v>1991</v>
      </c>
      <c r="M243" s="89">
        <f t="shared" si="16"/>
        <v>28</v>
      </c>
      <c r="N243" s="48" t="s">
        <v>11</v>
      </c>
      <c r="O243" s="48" t="s">
        <v>1369</v>
      </c>
      <c r="P243" s="87" t="s">
        <v>12</v>
      </c>
      <c r="Q243" s="48"/>
      <c r="R243" s="87" t="s">
        <v>49</v>
      </c>
    </row>
    <row r="244" spans="2:18" ht="25.5">
      <c r="B244" s="130"/>
      <c r="C244" s="130"/>
      <c r="D244" s="48">
        <v>237</v>
      </c>
      <c r="E244" s="87" t="s">
        <v>384</v>
      </c>
      <c r="F244" s="48" t="s">
        <v>25</v>
      </c>
      <c r="G244" s="48" t="s">
        <v>385</v>
      </c>
      <c r="H244" s="48" t="s">
        <v>9</v>
      </c>
      <c r="I244" s="48" t="s">
        <v>23</v>
      </c>
      <c r="J244" s="87" t="s">
        <v>1660</v>
      </c>
      <c r="K244" s="88">
        <v>35275</v>
      </c>
      <c r="L244" s="89">
        <v>1996</v>
      </c>
      <c r="M244" s="89">
        <f t="shared" si="16"/>
        <v>23</v>
      </c>
      <c r="N244" s="48" t="s">
        <v>11</v>
      </c>
      <c r="O244" s="48" t="s">
        <v>1369</v>
      </c>
      <c r="P244" s="87" t="s">
        <v>12</v>
      </c>
      <c r="Q244" s="48"/>
      <c r="R244" s="87" t="s">
        <v>1376</v>
      </c>
    </row>
    <row r="245" spans="2:18" ht="25.5">
      <c r="B245" s="48">
        <v>77</v>
      </c>
      <c r="C245" s="48" t="s">
        <v>1756</v>
      </c>
      <c r="D245" s="48">
        <v>238</v>
      </c>
      <c r="E245" s="87" t="s">
        <v>386</v>
      </c>
      <c r="F245" s="48" t="s">
        <v>14</v>
      </c>
      <c r="G245" s="48" t="s">
        <v>1757</v>
      </c>
      <c r="H245" s="48" t="s">
        <v>17</v>
      </c>
      <c r="I245" s="48" t="s">
        <v>1505</v>
      </c>
      <c r="J245" s="87" t="s">
        <v>1368</v>
      </c>
      <c r="K245" s="88">
        <v>17349</v>
      </c>
      <c r="L245" s="89">
        <v>1947</v>
      </c>
      <c r="M245" s="89">
        <f t="shared" si="16"/>
        <v>72</v>
      </c>
      <c r="N245" s="48" t="s">
        <v>11</v>
      </c>
      <c r="O245" s="48" t="s">
        <v>1369</v>
      </c>
      <c r="P245" s="87" t="s">
        <v>1378</v>
      </c>
      <c r="Q245" s="48"/>
      <c r="R245" s="87" t="s">
        <v>1371</v>
      </c>
    </row>
    <row r="246" spans="2:18">
      <c r="B246" s="130">
        <v>78</v>
      </c>
      <c r="C246" s="130"/>
      <c r="D246" s="48">
        <v>239</v>
      </c>
      <c r="E246" s="87" t="s">
        <v>344</v>
      </c>
      <c r="F246" s="48" t="s">
        <v>14</v>
      </c>
      <c r="G246" s="48">
        <v>0</v>
      </c>
      <c r="H246" s="48" t="s">
        <v>9</v>
      </c>
      <c r="I246" s="48" t="s">
        <v>10</v>
      </c>
      <c r="J246" s="87"/>
      <c r="K246" s="88">
        <v>20454</v>
      </c>
      <c r="L246" s="89">
        <f t="shared" ref="L246:L247" si="19">YEAR(K246)</f>
        <v>1955</v>
      </c>
      <c r="M246" s="89">
        <f t="shared" si="16"/>
        <v>64</v>
      </c>
      <c r="N246" s="48" t="s">
        <v>11</v>
      </c>
      <c r="O246" s="48"/>
      <c r="P246" s="87" t="s">
        <v>18</v>
      </c>
      <c r="Q246" s="48"/>
      <c r="R246" s="87" t="s">
        <v>58</v>
      </c>
    </row>
    <row r="247" spans="2:18">
      <c r="B247" s="130"/>
      <c r="C247" s="130"/>
      <c r="D247" s="48">
        <v>240</v>
      </c>
      <c r="E247" s="87" t="s">
        <v>387</v>
      </c>
      <c r="F247" s="48" t="s">
        <v>20</v>
      </c>
      <c r="G247" s="48">
        <v>0</v>
      </c>
      <c r="H247" s="48" t="s">
        <v>17</v>
      </c>
      <c r="I247" s="48" t="s">
        <v>10</v>
      </c>
      <c r="J247" s="87"/>
      <c r="K247" s="88">
        <v>24107</v>
      </c>
      <c r="L247" s="89">
        <f t="shared" si="19"/>
        <v>1965</v>
      </c>
      <c r="M247" s="89">
        <f t="shared" si="16"/>
        <v>54</v>
      </c>
      <c r="N247" s="48" t="s">
        <v>11</v>
      </c>
      <c r="O247" s="48"/>
      <c r="P247" s="87" t="s">
        <v>18</v>
      </c>
      <c r="Q247" s="48"/>
      <c r="R247" s="87" t="s">
        <v>19</v>
      </c>
    </row>
    <row r="248" spans="2:18" ht="25.5">
      <c r="B248" s="130">
        <v>79</v>
      </c>
      <c r="C248" s="130" t="s">
        <v>1573</v>
      </c>
      <c r="D248" s="48">
        <v>241</v>
      </c>
      <c r="E248" s="87" t="s">
        <v>388</v>
      </c>
      <c r="F248" s="48" t="s">
        <v>14</v>
      </c>
      <c r="G248" s="48" t="s">
        <v>1575</v>
      </c>
      <c r="H248" s="48" t="s">
        <v>9</v>
      </c>
      <c r="I248" s="48" t="s">
        <v>10</v>
      </c>
      <c r="J248" s="87" t="s">
        <v>1368</v>
      </c>
      <c r="K248" s="88">
        <v>28150</v>
      </c>
      <c r="L248" s="89">
        <v>1977</v>
      </c>
      <c r="M248" s="89">
        <f t="shared" si="16"/>
        <v>42</v>
      </c>
      <c r="N248" s="48" t="s">
        <v>11</v>
      </c>
      <c r="O248" s="48" t="s">
        <v>1369</v>
      </c>
      <c r="P248" s="87" t="s">
        <v>1393</v>
      </c>
      <c r="Q248" s="48"/>
      <c r="R248" s="87" t="s">
        <v>49</v>
      </c>
    </row>
    <row r="249" spans="2:18" ht="25.5">
      <c r="B249" s="130"/>
      <c r="C249" s="130"/>
      <c r="D249" s="48">
        <v>242</v>
      </c>
      <c r="E249" s="87" t="s">
        <v>389</v>
      </c>
      <c r="F249" s="48" t="s">
        <v>20</v>
      </c>
      <c r="G249" s="48" t="s">
        <v>1576</v>
      </c>
      <c r="H249" s="48" t="s">
        <v>17</v>
      </c>
      <c r="I249" s="48" t="s">
        <v>10</v>
      </c>
      <c r="J249" s="87" t="s">
        <v>1368</v>
      </c>
      <c r="K249" s="88">
        <v>31350</v>
      </c>
      <c r="L249" s="89">
        <v>1985</v>
      </c>
      <c r="M249" s="89">
        <f t="shared" si="16"/>
        <v>34</v>
      </c>
      <c r="N249" s="48" t="s">
        <v>11</v>
      </c>
      <c r="O249" s="48" t="s">
        <v>1369</v>
      </c>
      <c r="P249" s="87" t="s">
        <v>1393</v>
      </c>
      <c r="Q249" s="48"/>
      <c r="R249" s="87" t="s">
        <v>1371</v>
      </c>
    </row>
    <row r="250" spans="2:18" ht="25.5">
      <c r="B250" s="130"/>
      <c r="C250" s="130"/>
      <c r="D250" s="48">
        <v>243</v>
      </c>
      <c r="E250" s="87" t="s">
        <v>1574</v>
      </c>
      <c r="F250" s="48" t="s">
        <v>25</v>
      </c>
      <c r="G250" s="48" t="s">
        <v>1577</v>
      </c>
      <c r="H250" s="48" t="s">
        <v>9</v>
      </c>
      <c r="I250" s="48" t="s">
        <v>23</v>
      </c>
      <c r="J250" s="87" t="s">
        <v>1368</v>
      </c>
      <c r="K250" s="88">
        <v>37478</v>
      </c>
      <c r="L250" s="89">
        <v>2002</v>
      </c>
      <c r="M250" s="89">
        <f t="shared" si="16"/>
        <v>17</v>
      </c>
      <c r="N250" s="48" t="s">
        <v>11</v>
      </c>
      <c r="O250" s="48" t="s">
        <v>1369</v>
      </c>
      <c r="P250" s="87" t="s">
        <v>1393</v>
      </c>
      <c r="Q250" s="48"/>
      <c r="R250" s="87" t="s">
        <v>1376</v>
      </c>
    </row>
    <row r="251" spans="2:18" ht="25.5">
      <c r="B251" s="130">
        <v>80</v>
      </c>
      <c r="C251" s="130" t="s">
        <v>1414</v>
      </c>
      <c r="D251" s="48">
        <v>244</v>
      </c>
      <c r="E251" s="87" t="s">
        <v>1413</v>
      </c>
      <c r="F251" s="48" t="s">
        <v>14</v>
      </c>
      <c r="G251" s="48" t="s">
        <v>393</v>
      </c>
      <c r="H251" s="48" t="s">
        <v>9</v>
      </c>
      <c r="I251" s="48" t="s">
        <v>10</v>
      </c>
      <c r="J251" s="87" t="s">
        <v>1387</v>
      </c>
      <c r="K251" s="88">
        <v>26481</v>
      </c>
      <c r="L251" s="89">
        <v>1972</v>
      </c>
      <c r="M251" s="89">
        <f t="shared" si="16"/>
        <v>47</v>
      </c>
      <c r="N251" s="48" t="s">
        <v>11</v>
      </c>
      <c r="O251" s="48" t="s">
        <v>1369</v>
      </c>
      <c r="P251" s="87" t="s">
        <v>1393</v>
      </c>
      <c r="Q251" s="48"/>
      <c r="R251" s="87" t="s">
        <v>1371</v>
      </c>
    </row>
    <row r="252" spans="2:18" ht="25.5">
      <c r="B252" s="130"/>
      <c r="C252" s="130"/>
      <c r="D252" s="48">
        <v>245</v>
      </c>
      <c r="E252" s="87" t="s">
        <v>394</v>
      </c>
      <c r="F252" s="48" t="s">
        <v>20</v>
      </c>
      <c r="G252" s="48" t="s">
        <v>395</v>
      </c>
      <c r="H252" s="48" t="s">
        <v>17</v>
      </c>
      <c r="I252" s="48" t="s">
        <v>10</v>
      </c>
      <c r="J252" s="87" t="s">
        <v>1415</v>
      </c>
      <c r="K252" s="88">
        <v>26846</v>
      </c>
      <c r="L252" s="89">
        <v>1973</v>
      </c>
      <c r="M252" s="89">
        <f t="shared" si="16"/>
        <v>46</v>
      </c>
      <c r="N252" s="48" t="s">
        <v>11</v>
      </c>
      <c r="O252" s="48" t="s">
        <v>1369</v>
      </c>
      <c r="P252" s="87" t="s">
        <v>1393</v>
      </c>
      <c r="Q252" s="48"/>
      <c r="R252" s="87" t="s">
        <v>1371</v>
      </c>
    </row>
    <row r="253" spans="2:18" ht="25.5">
      <c r="B253" s="130"/>
      <c r="C253" s="130"/>
      <c r="D253" s="48">
        <v>246</v>
      </c>
      <c r="E253" s="87" t="s">
        <v>396</v>
      </c>
      <c r="F253" s="48" t="s">
        <v>25</v>
      </c>
      <c r="G253" s="48" t="s">
        <v>1416</v>
      </c>
      <c r="H253" s="48" t="s">
        <v>17</v>
      </c>
      <c r="I253" s="48" t="s">
        <v>23</v>
      </c>
      <c r="J253" s="87" t="s">
        <v>1387</v>
      </c>
      <c r="K253" s="88">
        <v>36064</v>
      </c>
      <c r="L253" s="89">
        <v>1998</v>
      </c>
      <c r="M253" s="89">
        <f t="shared" si="16"/>
        <v>21</v>
      </c>
      <c r="N253" s="48" t="s">
        <v>11</v>
      </c>
      <c r="O253" s="48" t="s">
        <v>1369</v>
      </c>
      <c r="P253" s="87" t="s">
        <v>1385</v>
      </c>
      <c r="Q253" s="48"/>
      <c r="R253" s="87" t="s">
        <v>1376</v>
      </c>
    </row>
    <row r="254" spans="2:18" ht="25.5">
      <c r="B254" s="130"/>
      <c r="C254" s="130"/>
      <c r="D254" s="48">
        <v>247</v>
      </c>
      <c r="E254" s="87" t="s">
        <v>397</v>
      </c>
      <c r="F254" s="48" t="s">
        <v>25</v>
      </c>
      <c r="G254" s="48" t="s">
        <v>1417</v>
      </c>
      <c r="H254" s="48" t="s">
        <v>17</v>
      </c>
      <c r="I254" s="48" t="s">
        <v>23</v>
      </c>
      <c r="J254" s="87" t="s">
        <v>1387</v>
      </c>
      <c r="K254" s="88">
        <v>39442</v>
      </c>
      <c r="L254" s="89">
        <v>2007</v>
      </c>
      <c r="M254" s="89">
        <f t="shared" si="16"/>
        <v>12</v>
      </c>
      <c r="N254" s="48" t="s">
        <v>11</v>
      </c>
      <c r="O254" s="48" t="s">
        <v>1369</v>
      </c>
      <c r="P254" s="87" t="s">
        <v>1378</v>
      </c>
      <c r="Q254" s="48"/>
      <c r="R254" s="87" t="s">
        <v>1389</v>
      </c>
    </row>
    <row r="255" spans="2:18" ht="25.5">
      <c r="B255" s="130">
        <v>81</v>
      </c>
      <c r="C255" s="130" t="s">
        <v>1515</v>
      </c>
      <c r="D255" s="48">
        <v>248</v>
      </c>
      <c r="E255" s="87" t="s">
        <v>399</v>
      </c>
      <c r="F255" s="48" t="s">
        <v>14</v>
      </c>
      <c r="G255" s="48" t="s">
        <v>400</v>
      </c>
      <c r="H255" s="48" t="s">
        <v>9</v>
      </c>
      <c r="I255" s="48" t="s">
        <v>10</v>
      </c>
      <c r="J255" s="87" t="s">
        <v>1368</v>
      </c>
      <c r="K255" s="88">
        <v>28111</v>
      </c>
      <c r="L255" s="89">
        <v>1976</v>
      </c>
      <c r="M255" s="89">
        <f t="shared" si="16"/>
        <v>43</v>
      </c>
      <c r="N255" s="48" t="s">
        <v>11</v>
      </c>
      <c r="O255" s="48" t="s">
        <v>1369</v>
      </c>
      <c r="P255" s="87" t="s">
        <v>1393</v>
      </c>
      <c r="Q255" s="48"/>
      <c r="R255" s="87" t="s">
        <v>1460</v>
      </c>
    </row>
    <row r="256" spans="2:18" ht="25.5">
      <c r="B256" s="130"/>
      <c r="C256" s="130"/>
      <c r="D256" s="48">
        <v>249</v>
      </c>
      <c r="E256" s="87" t="s">
        <v>401</v>
      </c>
      <c r="F256" s="48" t="s">
        <v>20</v>
      </c>
      <c r="G256" s="48" t="s">
        <v>1516</v>
      </c>
      <c r="H256" s="48" t="s">
        <v>17</v>
      </c>
      <c r="I256" s="48" t="s">
        <v>10</v>
      </c>
      <c r="J256" s="87" t="s">
        <v>1520</v>
      </c>
      <c r="K256" s="88">
        <v>30392</v>
      </c>
      <c r="L256" s="89">
        <v>1983</v>
      </c>
      <c r="M256" s="89">
        <f t="shared" si="16"/>
        <v>36</v>
      </c>
      <c r="N256" s="48" t="s">
        <v>11</v>
      </c>
      <c r="O256" s="48" t="s">
        <v>1369</v>
      </c>
      <c r="P256" s="87" t="s">
        <v>1393</v>
      </c>
      <c r="Q256" s="48"/>
      <c r="R256" s="87" t="s">
        <v>1389</v>
      </c>
    </row>
    <row r="257" spans="2:18" ht="25.5">
      <c r="B257" s="130"/>
      <c r="C257" s="130"/>
      <c r="D257" s="48">
        <v>250</v>
      </c>
      <c r="E257" s="87" t="s">
        <v>1517</v>
      </c>
      <c r="F257" s="48" t="s">
        <v>25</v>
      </c>
      <c r="G257" s="48" t="s">
        <v>402</v>
      </c>
      <c r="H257" s="48" t="s">
        <v>9</v>
      </c>
      <c r="I257" s="48" t="s">
        <v>23</v>
      </c>
      <c r="J257" s="87" t="s">
        <v>1368</v>
      </c>
      <c r="K257" s="88">
        <v>36891</v>
      </c>
      <c r="L257" s="89">
        <v>2000</v>
      </c>
      <c r="M257" s="89">
        <f t="shared" si="16"/>
        <v>19</v>
      </c>
      <c r="N257" s="48" t="s">
        <v>11</v>
      </c>
      <c r="O257" s="48" t="s">
        <v>1369</v>
      </c>
      <c r="P257" s="87" t="s">
        <v>1375</v>
      </c>
      <c r="Q257" s="48"/>
      <c r="R257" s="87" t="s">
        <v>1376</v>
      </c>
    </row>
    <row r="258" spans="2:18" ht="25.5">
      <c r="B258" s="130"/>
      <c r="C258" s="130"/>
      <c r="D258" s="48">
        <v>251</v>
      </c>
      <c r="E258" s="87" t="s">
        <v>1518</v>
      </c>
      <c r="F258" s="48" t="s">
        <v>25</v>
      </c>
      <c r="G258" s="48" t="s">
        <v>1519</v>
      </c>
      <c r="H258" s="48" t="s">
        <v>17</v>
      </c>
      <c r="I258" s="48" t="s">
        <v>23</v>
      </c>
      <c r="J258" s="87" t="s">
        <v>1455</v>
      </c>
      <c r="K258" s="88">
        <v>40320</v>
      </c>
      <c r="L258" s="89">
        <v>2010</v>
      </c>
      <c r="M258" s="89">
        <f t="shared" si="16"/>
        <v>9</v>
      </c>
      <c r="N258" s="48" t="s">
        <v>11</v>
      </c>
      <c r="O258" s="48" t="s">
        <v>1369</v>
      </c>
      <c r="P258" s="87" t="s">
        <v>1378</v>
      </c>
      <c r="Q258" s="48"/>
      <c r="R258" s="87" t="s">
        <v>1389</v>
      </c>
    </row>
    <row r="259" spans="2:18" ht="25.5">
      <c r="B259" s="130">
        <v>82</v>
      </c>
      <c r="C259" s="130" t="s">
        <v>1367</v>
      </c>
      <c r="D259" s="48">
        <v>252</v>
      </c>
      <c r="E259" s="87" t="s">
        <v>314</v>
      </c>
      <c r="F259" s="48" t="s">
        <v>14</v>
      </c>
      <c r="G259" s="48" t="s">
        <v>403</v>
      </c>
      <c r="H259" s="48" t="s">
        <v>9</v>
      </c>
      <c r="I259" s="48" t="s">
        <v>10</v>
      </c>
      <c r="J259" s="87" t="s">
        <v>1368</v>
      </c>
      <c r="K259" s="88">
        <v>28490</v>
      </c>
      <c r="L259" s="89">
        <v>1977</v>
      </c>
      <c r="M259" s="89">
        <f t="shared" si="16"/>
        <v>42</v>
      </c>
      <c r="N259" s="48" t="s">
        <v>11</v>
      </c>
      <c r="O259" s="48" t="s">
        <v>1369</v>
      </c>
      <c r="P259" s="87" t="s">
        <v>1370</v>
      </c>
      <c r="Q259" s="48"/>
      <c r="R259" s="87" t="s">
        <v>1371</v>
      </c>
    </row>
    <row r="260" spans="2:18" ht="25.5">
      <c r="B260" s="130"/>
      <c r="C260" s="130"/>
      <c r="D260" s="48">
        <v>253</v>
      </c>
      <c r="E260" s="87" t="s">
        <v>404</v>
      </c>
      <c r="F260" s="48" t="s">
        <v>20</v>
      </c>
      <c r="G260" s="48" t="s">
        <v>1372</v>
      </c>
      <c r="H260" s="48" t="s">
        <v>17</v>
      </c>
      <c r="I260" s="48" t="s">
        <v>10</v>
      </c>
      <c r="J260" s="87" t="s">
        <v>1368</v>
      </c>
      <c r="K260" s="88">
        <v>30133</v>
      </c>
      <c r="L260" s="89">
        <v>1982</v>
      </c>
      <c r="M260" s="89">
        <f t="shared" si="16"/>
        <v>37</v>
      </c>
      <c r="N260" s="48" t="s">
        <v>11</v>
      </c>
      <c r="O260" s="48" t="s">
        <v>1369</v>
      </c>
      <c r="P260" s="87" t="s">
        <v>1370</v>
      </c>
      <c r="Q260" s="48"/>
      <c r="R260" s="87" t="s">
        <v>1373</v>
      </c>
    </row>
    <row r="261" spans="2:18" ht="25.5">
      <c r="B261" s="130"/>
      <c r="C261" s="130"/>
      <c r="D261" s="48">
        <v>254</v>
      </c>
      <c r="E261" s="87" t="s">
        <v>1374</v>
      </c>
      <c r="F261" s="48" t="s">
        <v>25</v>
      </c>
      <c r="G261" s="48" t="s">
        <v>405</v>
      </c>
      <c r="H261" s="48" t="s">
        <v>9</v>
      </c>
      <c r="I261" s="48" t="s">
        <v>23</v>
      </c>
      <c r="J261" s="87" t="s">
        <v>1368</v>
      </c>
      <c r="K261" s="88">
        <v>37144</v>
      </c>
      <c r="L261" s="89">
        <v>2001</v>
      </c>
      <c r="M261" s="89">
        <f t="shared" si="16"/>
        <v>18</v>
      </c>
      <c r="N261" s="48" t="s">
        <v>11</v>
      </c>
      <c r="O261" s="48" t="s">
        <v>1369</v>
      </c>
      <c r="P261" s="87" t="s">
        <v>1375</v>
      </c>
      <c r="Q261" s="48"/>
      <c r="R261" s="87" t="s">
        <v>1376</v>
      </c>
    </row>
    <row r="262" spans="2:18" ht="25.5">
      <c r="B262" s="130"/>
      <c r="C262" s="130"/>
      <c r="D262" s="48">
        <v>255</v>
      </c>
      <c r="E262" s="87" t="s">
        <v>1377</v>
      </c>
      <c r="F262" s="48" t="s">
        <v>25</v>
      </c>
      <c r="G262" s="48" t="s">
        <v>406</v>
      </c>
      <c r="H262" s="48" t="s">
        <v>9</v>
      </c>
      <c r="I262" s="48" t="s">
        <v>23</v>
      </c>
      <c r="J262" s="87" t="s">
        <v>1368</v>
      </c>
      <c r="K262" s="88">
        <v>39772</v>
      </c>
      <c r="L262" s="89">
        <v>2008</v>
      </c>
      <c r="M262" s="89">
        <f t="shared" si="16"/>
        <v>11</v>
      </c>
      <c r="N262" s="48" t="s">
        <v>11</v>
      </c>
      <c r="O262" s="48" t="s">
        <v>1369</v>
      </c>
      <c r="P262" s="87" t="s">
        <v>1378</v>
      </c>
      <c r="Q262" s="48"/>
      <c r="R262" s="87" t="s">
        <v>1379</v>
      </c>
    </row>
    <row r="263" spans="2:18" ht="25.5">
      <c r="B263" s="130"/>
      <c r="C263" s="130"/>
      <c r="D263" s="48">
        <v>256</v>
      </c>
      <c r="E263" s="87" t="s">
        <v>1661</v>
      </c>
      <c r="F263" s="48" t="s">
        <v>25</v>
      </c>
      <c r="G263" s="48" t="s">
        <v>1662</v>
      </c>
      <c r="H263" s="48" t="s">
        <v>17</v>
      </c>
      <c r="I263" s="48" t="s">
        <v>23</v>
      </c>
      <c r="J263" s="87" t="s">
        <v>1489</v>
      </c>
      <c r="K263" s="88">
        <v>43063</v>
      </c>
      <c r="L263" s="89">
        <v>2017</v>
      </c>
      <c r="M263" s="89">
        <f t="shared" si="16"/>
        <v>2</v>
      </c>
      <c r="N263" s="48" t="s">
        <v>11</v>
      </c>
      <c r="O263" s="48" t="s">
        <v>1369</v>
      </c>
      <c r="P263" s="87" t="s">
        <v>1378</v>
      </c>
      <c r="Q263" s="48"/>
      <c r="R263" s="87" t="s">
        <v>1389</v>
      </c>
    </row>
    <row r="264" spans="2:18" ht="25.5">
      <c r="B264" s="130">
        <v>83</v>
      </c>
      <c r="C264" s="130" t="s">
        <v>1667</v>
      </c>
      <c r="D264" s="48">
        <v>257</v>
      </c>
      <c r="E264" s="87" t="s">
        <v>409</v>
      </c>
      <c r="F264" s="48" t="s">
        <v>14</v>
      </c>
      <c r="G264" s="48" t="s">
        <v>1668</v>
      </c>
      <c r="H264" s="48" t="s">
        <v>9</v>
      </c>
      <c r="I264" s="48" t="s">
        <v>10</v>
      </c>
      <c r="J264" s="87" t="s">
        <v>1368</v>
      </c>
      <c r="K264" s="88">
        <v>28307</v>
      </c>
      <c r="L264" s="89">
        <v>1977</v>
      </c>
      <c r="M264" s="89">
        <f t="shared" ref="M264:M327" si="20">2019-L264</f>
        <v>42</v>
      </c>
      <c r="N264" s="48" t="s">
        <v>11</v>
      </c>
      <c r="O264" s="48" t="s">
        <v>1369</v>
      </c>
      <c r="P264" s="87" t="s">
        <v>1393</v>
      </c>
      <c r="Q264" s="48"/>
      <c r="R264" s="87" t="s">
        <v>1371</v>
      </c>
    </row>
    <row r="265" spans="2:18" ht="25.5">
      <c r="B265" s="130"/>
      <c r="C265" s="130"/>
      <c r="D265" s="48">
        <v>258</v>
      </c>
      <c r="E265" s="87" t="s">
        <v>1411</v>
      </c>
      <c r="F265" s="48" t="s">
        <v>20</v>
      </c>
      <c r="G265" s="48" t="s">
        <v>1669</v>
      </c>
      <c r="H265" s="48" t="s">
        <v>17</v>
      </c>
      <c r="I265" s="48" t="s">
        <v>10</v>
      </c>
      <c r="J265" s="87" t="s">
        <v>1368</v>
      </c>
      <c r="K265" s="88">
        <v>30133</v>
      </c>
      <c r="L265" s="89">
        <v>1982</v>
      </c>
      <c r="M265" s="89">
        <f t="shared" si="20"/>
        <v>37</v>
      </c>
      <c r="N265" s="48" t="s">
        <v>11</v>
      </c>
      <c r="O265" s="48" t="s">
        <v>1369</v>
      </c>
      <c r="P265" s="87" t="s">
        <v>1393</v>
      </c>
      <c r="Q265" s="48"/>
      <c r="R265" s="87" t="s">
        <v>1371</v>
      </c>
    </row>
    <row r="266" spans="2:18" ht="25.5">
      <c r="B266" s="130"/>
      <c r="C266" s="130"/>
      <c r="D266" s="48">
        <v>259</v>
      </c>
      <c r="E266" s="87" t="s">
        <v>1412</v>
      </c>
      <c r="F266" s="48" t="s">
        <v>25</v>
      </c>
      <c r="G266" s="48" t="s">
        <v>1670</v>
      </c>
      <c r="H266" s="48" t="s">
        <v>17</v>
      </c>
      <c r="I266" s="48" t="s">
        <v>23</v>
      </c>
      <c r="J266" s="87" t="s">
        <v>1387</v>
      </c>
      <c r="K266" s="88">
        <v>36671</v>
      </c>
      <c r="L266" s="89">
        <v>2000</v>
      </c>
      <c r="M266" s="89">
        <f t="shared" si="20"/>
        <v>19</v>
      </c>
      <c r="N266" s="48" t="s">
        <v>11</v>
      </c>
      <c r="O266" s="48" t="s">
        <v>1369</v>
      </c>
      <c r="P266" s="87" t="s">
        <v>1393</v>
      </c>
      <c r="Q266" s="48"/>
      <c r="R266" s="87" t="s">
        <v>1376</v>
      </c>
    </row>
    <row r="267" spans="2:18" ht="25.5">
      <c r="B267" s="130"/>
      <c r="C267" s="130"/>
      <c r="D267" s="48">
        <v>260</v>
      </c>
      <c r="E267" s="87" t="s">
        <v>411</v>
      </c>
      <c r="F267" s="48" t="s">
        <v>25</v>
      </c>
      <c r="G267" s="48" t="s">
        <v>1671</v>
      </c>
      <c r="H267" s="48" t="s">
        <v>17</v>
      </c>
      <c r="I267" s="48" t="s">
        <v>23</v>
      </c>
      <c r="J267" s="87" t="s">
        <v>1387</v>
      </c>
      <c r="K267" s="88">
        <v>39519</v>
      </c>
      <c r="L267" s="89">
        <v>2008</v>
      </c>
      <c r="M267" s="89">
        <f t="shared" si="20"/>
        <v>11</v>
      </c>
      <c r="N267" s="48" t="s">
        <v>11</v>
      </c>
      <c r="O267" s="48" t="s">
        <v>1369</v>
      </c>
      <c r="P267" s="87" t="s">
        <v>1375</v>
      </c>
      <c r="Q267" s="48"/>
      <c r="R267" s="87" t="s">
        <v>1376</v>
      </c>
    </row>
    <row r="268" spans="2:18" ht="25.5">
      <c r="B268" s="130">
        <v>84</v>
      </c>
      <c r="C268" s="130" t="s">
        <v>1764</v>
      </c>
      <c r="D268" s="48">
        <v>261</v>
      </c>
      <c r="E268" s="87" t="s">
        <v>412</v>
      </c>
      <c r="F268" s="48" t="s">
        <v>14</v>
      </c>
      <c r="G268" s="48" t="s">
        <v>1765</v>
      </c>
      <c r="H268" s="48" t="s">
        <v>9</v>
      </c>
      <c r="I268" s="48" t="s">
        <v>10</v>
      </c>
      <c r="J268" s="87" t="s">
        <v>1387</v>
      </c>
      <c r="K268" s="88">
        <v>28125</v>
      </c>
      <c r="L268" s="89">
        <v>1976</v>
      </c>
      <c r="M268" s="89">
        <f t="shared" si="20"/>
        <v>43</v>
      </c>
      <c r="N268" s="48" t="s">
        <v>11</v>
      </c>
      <c r="O268" s="48" t="s">
        <v>1369</v>
      </c>
      <c r="P268" s="87" t="s">
        <v>28</v>
      </c>
      <c r="Q268" s="48"/>
      <c r="R268" s="87" t="s">
        <v>1371</v>
      </c>
    </row>
    <row r="269" spans="2:18" ht="25.5">
      <c r="B269" s="130"/>
      <c r="C269" s="130"/>
      <c r="D269" s="48">
        <v>262</v>
      </c>
      <c r="E269" s="87" t="s">
        <v>413</v>
      </c>
      <c r="F269" s="48" t="s">
        <v>20</v>
      </c>
      <c r="G269" s="48" t="s">
        <v>1766</v>
      </c>
      <c r="H269" s="48" t="s">
        <v>17</v>
      </c>
      <c r="I269" s="48" t="s">
        <v>10</v>
      </c>
      <c r="J269" s="87" t="s">
        <v>1387</v>
      </c>
      <c r="K269" s="88">
        <v>31777</v>
      </c>
      <c r="L269" s="89">
        <v>1986</v>
      </c>
      <c r="M269" s="89">
        <f t="shared" si="20"/>
        <v>33</v>
      </c>
      <c r="N269" s="48" t="s">
        <v>11</v>
      </c>
      <c r="O269" s="48" t="s">
        <v>1369</v>
      </c>
      <c r="P269" s="87" t="s">
        <v>1385</v>
      </c>
      <c r="Q269" s="48"/>
      <c r="R269" s="87" t="s">
        <v>1371</v>
      </c>
    </row>
    <row r="270" spans="2:18" ht="25.5">
      <c r="B270" s="130"/>
      <c r="C270" s="130"/>
      <c r="D270" s="48">
        <v>263</v>
      </c>
      <c r="E270" s="87" t="s">
        <v>414</v>
      </c>
      <c r="F270" s="48" t="s">
        <v>25</v>
      </c>
      <c r="G270" s="48" t="s">
        <v>1767</v>
      </c>
      <c r="H270" s="48" t="s">
        <v>9</v>
      </c>
      <c r="I270" s="48" t="s">
        <v>23</v>
      </c>
      <c r="J270" s="87" t="s">
        <v>1455</v>
      </c>
      <c r="K270" s="88">
        <v>39577</v>
      </c>
      <c r="L270" s="89">
        <v>2008</v>
      </c>
      <c r="M270" s="89">
        <f t="shared" si="20"/>
        <v>11</v>
      </c>
      <c r="N270" s="48" t="s">
        <v>11</v>
      </c>
      <c r="O270" s="48" t="s">
        <v>1369</v>
      </c>
      <c r="P270" s="87" t="s">
        <v>1378</v>
      </c>
      <c r="Q270" s="48"/>
      <c r="R270" s="87" t="s">
        <v>1389</v>
      </c>
    </row>
    <row r="271" spans="2:18">
      <c r="B271" s="130">
        <v>85</v>
      </c>
      <c r="C271" s="130"/>
      <c r="D271" s="48">
        <v>264</v>
      </c>
      <c r="E271" s="87" t="s">
        <v>62</v>
      </c>
      <c r="F271" s="48" t="s">
        <v>14</v>
      </c>
      <c r="G271" s="48" t="s">
        <v>415</v>
      </c>
      <c r="H271" s="48" t="s">
        <v>9</v>
      </c>
      <c r="I271" s="48" t="s">
        <v>10</v>
      </c>
      <c r="J271" s="87"/>
      <c r="K271" s="88">
        <v>16444</v>
      </c>
      <c r="L271" s="89">
        <f t="shared" ref="L271:L274" si="21">YEAR(K271)</f>
        <v>1945</v>
      </c>
      <c r="M271" s="89">
        <f t="shared" si="20"/>
        <v>74</v>
      </c>
      <c r="N271" s="48" t="s">
        <v>11</v>
      </c>
      <c r="O271" s="48"/>
      <c r="P271" s="87" t="s">
        <v>18</v>
      </c>
      <c r="Q271" s="48"/>
      <c r="R271" s="87" t="s">
        <v>24</v>
      </c>
    </row>
    <row r="272" spans="2:18">
      <c r="B272" s="130"/>
      <c r="C272" s="130"/>
      <c r="D272" s="48">
        <v>265</v>
      </c>
      <c r="E272" s="87" t="s">
        <v>416</v>
      </c>
      <c r="F272" s="48" t="s">
        <v>20</v>
      </c>
      <c r="G272" s="48" t="s">
        <v>417</v>
      </c>
      <c r="H272" s="48" t="s">
        <v>17</v>
      </c>
      <c r="I272" s="48" t="s">
        <v>10</v>
      </c>
      <c r="J272" s="87"/>
      <c r="K272" s="88">
        <v>17905</v>
      </c>
      <c r="L272" s="89">
        <f t="shared" si="21"/>
        <v>1949</v>
      </c>
      <c r="M272" s="89">
        <f t="shared" si="20"/>
        <v>70</v>
      </c>
      <c r="N272" s="48" t="s">
        <v>11</v>
      </c>
      <c r="O272" s="48"/>
      <c r="P272" s="87" t="s">
        <v>18</v>
      </c>
      <c r="Q272" s="48"/>
      <c r="R272" s="87" t="s">
        <v>24</v>
      </c>
    </row>
    <row r="273" spans="2:18">
      <c r="B273" s="130">
        <v>86</v>
      </c>
      <c r="C273" s="130"/>
      <c r="D273" s="48">
        <v>266</v>
      </c>
      <c r="E273" s="87" t="s">
        <v>418</v>
      </c>
      <c r="F273" s="48" t="s">
        <v>14</v>
      </c>
      <c r="G273" s="48">
        <v>0</v>
      </c>
      <c r="H273" s="48" t="s">
        <v>9</v>
      </c>
      <c r="I273" s="48" t="s">
        <v>10</v>
      </c>
      <c r="J273" s="87"/>
      <c r="K273" s="88">
        <v>23749</v>
      </c>
      <c r="L273" s="89">
        <f t="shared" si="21"/>
        <v>1965</v>
      </c>
      <c r="M273" s="89">
        <f t="shared" si="20"/>
        <v>54</v>
      </c>
      <c r="N273" s="48" t="s">
        <v>11</v>
      </c>
      <c r="O273" s="48"/>
      <c r="P273" s="87" t="s">
        <v>18</v>
      </c>
      <c r="Q273" s="48"/>
      <c r="R273" s="87" t="s">
        <v>24</v>
      </c>
    </row>
    <row r="274" spans="2:18">
      <c r="B274" s="130"/>
      <c r="C274" s="130"/>
      <c r="D274" s="48">
        <v>267</v>
      </c>
      <c r="E274" s="87" t="s">
        <v>419</v>
      </c>
      <c r="F274" s="48" t="s">
        <v>20</v>
      </c>
      <c r="G274" s="48">
        <v>0</v>
      </c>
      <c r="H274" s="48" t="s">
        <v>17</v>
      </c>
      <c r="I274" s="48" t="s">
        <v>10</v>
      </c>
      <c r="J274" s="87"/>
      <c r="K274" s="88">
        <v>24114</v>
      </c>
      <c r="L274" s="89">
        <f t="shared" si="21"/>
        <v>1966</v>
      </c>
      <c r="M274" s="89">
        <f t="shared" si="20"/>
        <v>53</v>
      </c>
      <c r="N274" s="48" t="s">
        <v>11</v>
      </c>
      <c r="O274" s="48"/>
      <c r="P274" s="87" t="s">
        <v>18</v>
      </c>
      <c r="Q274" s="48"/>
      <c r="R274" s="87" t="s">
        <v>24</v>
      </c>
    </row>
    <row r="275" spans="2:18" ht="25.5">
      <c r="B275" s="130">
        <v>87</v>
      </c>
      <c r="C275" s="130" t="s">
        <v>1718</v>
      </c>
      <c r="D275" s="48">
        <v>268</v>
      </c>
      <c r="E275" s="87" t="s">
        <v>420</v>
      </c>
      <c r="F275" s="48" t="s">
        <v>14</v>
      </c>
      <c r="G275" s="48" t="s">
        <v>1719</v>
      </c>
      <c r="H275" s="48" t="s">
        <v>9</v>
      </c>
      <c r="I275" s="48" t="s">
        <v>10</v>
      </c>
      <c r="J275" s="87" t="s">
        <v>1387</v>
      </c>
      <c r="K275" s="88">
        <v>31757</v>
      </c>
      <c r="L275" s="89">
        <v>1986</v>
      </c>
      <c r="M275" s="89">
        <f t="shared" si="20"/>
        <v>33</v>
      </c>
      <c r="N275" s="48" t="s">
        <v>11</v>
      </c>
      <c r="O275" s="48" t="s">
        <v>1369</v>
      </c>
      <c r="P275" s="87" t="s">
        <v>28</v>
      </c>
      <c r="Q275" s="48"/>
      <c r="R275" s="87" t="s">
        <v>1371</v>
      </c>
    </row>
    <row r="276" spans="2:18" ht="25.5">
      <c r="B276" s="130"/>
      <c r="C276" s="130"/>
      <c r="D276" s="48">
        <v>269</v>
      </c>
      <c r="E276" s="87" t="s">
        <v>174</v>
      </c>
      <c r="F276" s="48" t="s">
        <v>20</v>
      </c>
      <c r="G276" s="48" t="s">
        <v>421</v>
      </c>
      <c r="H276" s="48" t="s">
        <v>17</v>
      </c>
      <c r="I276" s="48" t="s">
        <v>10</v>
      </c>
      <c r="J276" s="87" t="s">
        <v>1721</v>
      </c>
      <c r="K276" s="88">
        <v>33599</v>
      </c>
      <c r="L276" s="89">
        <v>1991</v>
      </c>
      <c r="M276" s="89">
        <f t="shared" si="20"/>
        <v>28</v>
      </c>
      <c r="N276" s="48" t="s">
        <v>11</v>
      </c>
      <c r="O276" s="48" t="s">
        <v>1369</v>
      </c>
      <c r="P276" s="87" t="s">
        <v>28</v>
      </c>
      <c r="Q276" s="48"/>
      <c r="R276" s="87" t="s">
        <v>1373</v>
      </c>
    </row>
    <row r="277" spans="2:18" ht="25.5">
      <c r="B277" s="130"/>
      <c r="C277" s="130"/>
      <c r="D277" s="48">
        <v>270</v>
      </c>
      <c r="E277" s="87" t="s">
        <v>422</v>
      </c>
      <c r="F277" s="48" t="s">
        <v>25</v>
      </c>
      <c r="G277" s="48" t="s">
        <v>1720</v>
      </c>
      <c r="H277" s="48" t="s">
        <v>17</v>
      </c>
      <c r="I277" s="48" t="s">
        <v>23</v>
      </c>
      <c r="J277" s="87" t="s">
        <v>1660</v>
      </c>
      <c r="K277" s="88">
        <v>41058</v>
      </c>
      <c r="L277" s="89">
        <v>2012</v>
      </c>
      <c r="M277" s="89">
        <f t="shared" si="20"/>
        <v>7</v>
      </c>
      <c r="N277" s="48" t="s">
        <v>11</v>
      </c>
      <c r="O277" s="48" t="s">
        <v>1369</v>
      </c>
      <c r="P277" s="87" t="s">
        <v>1378</v>
      </c>
      <c r="Q277" s="48"/>
      <c r="R277" s="87" t="s">
        <v>1389</v>
      </c>
    </row>
    <row r="278" spans="2:18">
      <c r="B278" s="130">
        <v>88</v>
      </c>
      <c r="C278" s="130" t="s">
        <v>1737</v>
      </c>
      <c r="D278" s="48">
        <v>271</v>
      </c>
      <c r="E278" s="87" t="s">
        <v>1738</v>
      </c>
      <c r="F278" s="48" t="s">
        <v>14</v>
      </c>
      <c r="G278" s="48" t="s">
        <v>423</v>
      </c>
      <c r="H278" s="48" t="s">
        <v>9</v>
      </c>
      <c r="I278" s="48" t="s">
        <v>10</v>
      </c>
      <c r="J278" s="87" t="s">
        <v>1368</v>
      </c>
      <c r="K278" s="88">
        <v>27257</v>
      </c>
      <c r="L278" s="89">
        <v>1974</v>
      </c>
      <c r="M278" s="89">
        <f t="shared" si="20"/>
        <v>45</v>
      </c>
      <c r="N278" s="48" t="s">
        <v>11</v>
      </c>
      <c r="O278" s="48" t="s">
        <v>1369</v>
      </c>
      <c r="P278" s="87" t="s">
        <v>1385</v>
      </c>
      <c r="Q278" s="48"/>
      <c r="R278" s="87" t="s">
        <v>49</v>
      </c>
    </row>
    <row r="279" spans="2:18" ht="25.5">
      <c r="B279" s="130"/>
      <c r="C279" s="130"/>
      <c r="D279" s="48">
        <v>272</v>
      </c>
      <c r="E279" s="87" t="s">
        <v>424</v>
      </c>
      <c r="F279" s="48" t="s">
        <v>20</v>
      </c>
      <c r="G279" s="48" t="s">
        <v>1740</v>
      </c>
      <c r="H279" s="48" t="s">
        <v>17</v>
      </c>
      <c r="I279" s="48" t="s">
        <v>10</v>
      </c>
      <c r="J279" s="87" t="s">
        <v>1368</v>
      </c>
      <c r="K279" s="88">
        <v>31959</v>
      </c>
      <c r="L279" s="89">
        <v>1987</v>
      </c>
      <c r="M279" s="89">
        <f t="shared" si="20"/>
        <v>32</v>
      </c>
      <c r="N279" s="48" t="s">
        <v>11</v>
      </c>
      <c r="O279" s="48" t="s">
        <v>1369</v>
      </c>
      <c r="P279" s="87" t="s">
        <v>1393</v>
      </c>
      <c r="Q279" s="48"/>
      <c r="R279" s="87" t="s">
        <v>1373</v>
      </c>
    </row>
    <row r="280" spans="2:18" ht="25.5">
      <c r="B280" s="130"/>
      <c r="C280" s="130"/>
      <c r="D280" s="48">
        <v>273</v>
      </c>
      <c r="E280" s="87" t="s">
        <v>1739</v>
      </c>
      <c r="F280" s="48" t="s">
        <v>25</v>
      </c>
      <c r="G280" s="48" t="s">
        <v>425</v>
      </c>
      <c r="H280" s="48" t="s">
        <v>9</v>
      </c>
      <c r="I280" s="48" t="s">
        <v>23</v>
      </c>
      <c r="J280" s="87" t="s">
        <v>1489</v>
      </c>
      <c r="K280" s="88">
        <v>35653</v>
      </c>
      <c r="L280" s="89">
        <v>1997</v>
      </c>
      <c r="M280" s="89">
        <f t="shared" si="20"/>
        <v>22</v>
      </c>
      <c r="N280" s="48" t="s">
        <v>11</v>
      </c>
      <c r="O280" s="48" t="s">
        <v>1369</v>
      </c>
      <c r="P280" s="87" t="s">
        <v>33</v>
      </c>
      <c r="Q280" s="48"/>
      <c r="R280" s="87" t="s">
        <v>1389</v>
      </c>
    </row>
    <row r="281" spans="2:18" ht="25.5">
      <c r="B281" s="130"/>
      <c r="C281" s="130"/>
      <c r="D281" s="48">
        <v>274</v>
      </c>
      <c r="E281" s="87" t="s">
        <v>426</v>
      </c>
      <c r="F281" s="48" t="s">
        <v>25</v>
      </c>
      <c r="G281" s="48" t="s">
        <v>1741</v>
      </c>
      <c r="H281" s="48" t="s">
        <v>17</v>
      </c>
      <c r="I281" s="48" t="s">
        <v>23</v>
      </c>
      <c r="J281" s="87" t="s">
        <v>1368</v>
      </c>
      <c r="K281" s="88">
        <v>39232</v>
      </c>
      <c r="L281" s="89">
        <v>2007</v>
      </c>
      <c r="M281" s="89">
        <f t="shared" si="20"/>
        <v>12</v>
      </c>
      <c r="N281" s="48" t="s">
        <v>11</v>
      </c>
      <c r="O281" s="48" t="s">
        <v>1369</v>
      </c>
      <c r="P281" s="87" t="s">
        <v>1378</v>
      </c>
      <c r="Q281" s="48"/>
      <c r="R281" s="87" t="s">
        <v>1389</v>
      </c>
    </row>
    <row r="282" spans="2:18" ht="25.5">
      <c r="B282" s="130">
        <v>89</v>
      </c>
      <c r="C282" s="130" t="s">
        <v>1595</v>
      </c>
      <c r="D282" s="48">
        <v>275</v>
      </c>
      <c r="E282" s="87" t="s">
        <v>1594</v>
      </c>
      <c r="F282" s="48" t="s">
        <v>14</v>
      </c>
      <c r="G282" s="48" t="s">
        <v>1596</v>
      </c>
      <c r="H282" s="48" t="s">
        <v>9</v>
      </c>
      <c r="I282" s="48" t="s">
        <v>10</v>
      </c>
      <c r="J282" s="87" t="s">
        <v>1368</v>
      </c>
      <c r="K282" s="88">
        <v>28666</v>
      </c>
      <c r="L282" s="89">
        <v>1978</v>
      </c>
      <c r="M282" s="89">
        <f t="shared" si="20"/>
        <v>41</v>
      </c>
      <c r="N282" s="48" t="s">
        <v>11</v>
      </c>
      <c r="O282" s="48" t="s">
        <v>1369</v>
      </c>
      <c r="P282" s="87" t="s">
        <v>1393</v>
      </c>
      <c r="Q282" s="48"/>
      <c r="R282" s="87" t="s">
        <v>1371</v>
      </c>
    </row>
    <row r="283" spans="2:18" ht="25.5">
      <c r="B283" s="130"/>
      <c r="C283" s="130"/>
      <c r="D283" s="48">
        <v>276</v>
      </c>
      <c r="E283" s="87" t="s">
        <v>427</v>
      </c>
      <c r="F283" s="48" t="s">
        <v>20</v>
      </c>
      <c r="G283" s="48" t="s">
        <v>1597</v>
      </c>
      <c r="H283" s="48" t="s">
        <v>17</v>
      </c>
      <c r="I283" s="48" t="s">
        <v>10</v>
      </c>
      <c r="J283" s="87" t="s">
        <v>1387</v>
      </c>
      <c r="K283" s="88">
        <v>29116</v>
      </c>
      <c r="L283" s="89">
        <v>1979</v>
      </c>
      <c r="M283" s="89">
        <f t="shared" si="20"/>
        <v>40</v>
      </c>
      <c r="N283" s="48" t="s">
        <v>11</v>
      </c>
      <c r="O283" s="48" t="s">
        <v>1369</v>
      </c>
      <c r="P283" s="87" t="s">
        <v>1385</v>
      </c>
      <c r="Q283" s="48"/>
      <c r="R283" s="87" t="s">
        <v>1373</v>
      </c>
    </row>
    <row r="284" spans="2:18" ht="25.5">
      <c r="B284" s="130"/>
      <c r="C284" s="130"/>
      <c r="D284" s="48">
        <v>277</v>
      </c>
      <c r="E284" s="87" t="s">
        <v>428</v>
      </c>
      <c r="F284" s="48" t="s">
        <v>25</v>
      </c>
      <c r="G284" s="48" t="s">
        <v>1598</v>
      </c>
      <c r="H284" s="48" t="s">
        <v>9</v>
      </c>
      <c r="I284" s="48" t="s">
        <v>52</v>
      </c>
      <c r="J284" s="87" t="s">
        <v>1368</v>
      </c>
      <c r="K284" s="88">
        <v>36519</v>
      </c>
      <c r="L284" s="89">
        <v>1999</v>
      </c>
      <c r="M284" s="89">
        <f t="shared" si="20"/>
        <v>20</v>
      </c>
      <c r="N284" s="48" t="s">
        <v>11</v>
      </c>
      <c r="O284" s="48" t="s">
        <v>1369</v>
      </c>
      <c r="P284" s="87" t="s">
        <v>1375</v>
      </c>
      <c r="Q284" s="48"/>
      <c r="R284" s="87" t="s">
        <v>1376</v>
      </c>
    </row>
    <row r="285" spans="2:18" ht="25.5">
      <c r="B285" s="130"/>
      <c r="C285" s="130"/>
      <c r="D285" s="48">
        <v>278</v>
      </c>
      <c r="E285" s="87" t="s">
        <v>1593</v>
      </c>
      <c r="F285" s="48" t="s">
        <v>25</v>
      </c>
      <c r="G285" s="48" t="s">
        <v>1599</v>
      </c>
      <c r="H285" s="48" t="s">
        <v>17</v>
      </c>
      <c r="I285" s="48" t="s">
        <v>23</v>
      </c>
      <c r="J285" s="87" t="s">
        <v>1455</v>
      </c>
      <c r="K285" s="88">
        <v>39833</v>
      </c>
      <c r="L285" s="89">
        <v>2009</v>
      </c>
      <c r="M285" s="89">
        <f t="shared" si="20"/>
        <v>10</v>
      </c>
      <c r="N285" s="48" t="s">
        <v>11</v>
      </c>
      <c r="O285" s="48" t="s">
        <v>1369</v>
      </c>
      <c r="P285" s="87" t="s">
        <v>1378</v>
      </c>
      <c r="Q285" s="48"/>
      <c r="R285" s="87" t="s">
        <v>1389</v>
      </c>
    </row>
    <row r="286" spans="2:18">
      <c r="B286" s="130">
        <v>90</v>
      </c>
      <c r="C286" s="130"/>
      <c r="D286" s="48">
        <v>279</v>
      </c>
      <c r="E286" s="87" t="s">
        <v>429</v>
      </c>
      <c r="F286" s="48" t="s">
        <v>14</v>
      </c>
      <c r="G286" s="48" t="s">
        <v>430</v>
      </c>
      <c r="H286" s="48" t="s">
        <v>9</v>
      </c>
      <c r="I286" s="48" t="s">
        <v>10</v>
      </c>
      <c r="J286" s="87"/>
      <c r="K286" s="88">
        <v>22866</v>
      </c>
      <c r="L286" s="89">
        <f t="shared" ref="L286:L290" si="22">YEAR(K286)</f>
        <v>1962</v>
      </c>
      <c r="M286" s="89">
        <f t="shared" si="20"/>
        <v>57</v>
      </c>
      <c r="N286" s="48" t="s">
        <v>11</v>
      </c>
      <c r="O286" s="48"/>
      <c r="P286" s="87" t="s">
        <v>36</v>
      </c>
      <c r="Q286" s="48"/>
      <c r="R286" s="87" t="s">
        <v>13</v>
      </c>
    </row>
    <row r="287" spans="2:18">
      <c r="B287" s="130"/>
      <c r="C287" s="130"/>
      <c r="D287" s="48">
        <v>280</v>
      </c>
      <c r="E287" s="87" t="s">
        <v>431</v>
      </c>
      <c r="F287" s="48" t="s">
        <v>20</v>
      </c>
      <c r="G287" s="48" t="s">
        <v>432</v>
      </c>
      <c r="H287" s="48" t="s">
        <v>17</v>
      </c>
      <c r="I287" s="48" t="s">
        <v>10</v>
      </c>
      <c r="J287" s="87"/>
      <c r="K287" s="88">
        <v>26245</v>
      </c>
      <c r="L287" s="89">
        <f t="shared" si="22"/>
        <v>1971</v>
      </c>
      <c r="M287" s="89">
        <f t="shared" si="20"/>
        <v>48</v>
      </c>
      <c r="N287" s="48" t="s">
        <v>11</v>
      </c>
      <c r="O287" s="48"/>
      <c r="P287" s="87" t="s">
        <v>12</v>
      </c>
      <c r="Q287" s="48"/>
      <c r="R287" s="87" t="s">
        <v>13</v>
      </c>
    </row>
    <row r="288" spans="2:18" ht="25.5">
      <c r="B288" s="130"/>
      <c r="C288" s="130"/>
      <c r="D288" s="48">
        <v>281</v>
      </c>
      <c r="E288" s="87" t="s">
        <v>433</v>
      </c>
      <c r="F288" s="48" t="s">
        <v>25</v>
      </c>
      <c r="G288" s="48" t="s">
        <v>434</v>
      </c>
      <c r="H288" s="48" t="s">
        <v>9</v>
      </c>
      <c r="I288" s="48" t="s">
        <v>23</v>
      </c>
      <c r="J288" s="87"/>
      <c r="K288" s="88">
        <v>33601</v>
      </c>
      <c r="L288" s="89">
        <f t="shared" si="22"/>
        <v>1991</v>
      </c>
      <c r="M288" s="89">
        <f t="shared" si="20"/>
        <v>28</v>
      </c>
      <c r="N288" s="48" t="s">
        <v>11</v>
      </c>
      <c r="O288" s="48"/>
      <c r="P288" s="87" t="s">
        <v>12</v>
      </c>
      <c r="Q288" s="48"/>
      <c r="R288" s="87" t="s">
        <v>18</v>
      </c>
    </row>
    <row r="289" spans="2:18" ht="25.5">
      <c r="B289" s="130"/>
      <c r="C289" s="130"/>
      <c r="D289" s="48">
        <v>282</v>
      </c>
      <c r="E289" s="87" t="s">
        <v>435</v>
      </c>
      <c r="F289" s="48" t="s">
        <v>25</v>
      </c>
      <c r="G289" s="48" t="s">
        <v>436</v>
      </c>
      <c r="H289" s="48" t="s">
        <v>9</v>
      </c>
      <c r="I289" s="48" t="s">
        <v>23</v>
      </c>
      <c r="J289" s="87"/>
      <c r="K289" s="88">
        <v>34711</v>
      </c>
      <c r="L289" s="89">
        <f t="shared" si="22"/>
        <v>1995</v>
      </c>
      <c r="M289" s="89">
        <f t="shared" si="20"/>
        <v>24</v>
      </c>
      <c r="N289" s="48" t="s">
        <v>11</v>
      </c>
      <c r="O289" s="48"/>
      <c r="P289" s="87" t="s">
        <v>12</v>
      </c>
      <c r="Q289" s="48"/>
      <c r="R289" s="87" t="s">
        <v>18</v>
      </c>
    </row>
    <row r="290" spans="2:18" ht="25.5">
      <c r="B290" s="130"/>
      <c r="C290" s="130"/>
      <c r="D290" s="48">
        <v>283</v>
      </c>
      <c r="E290" s="87" t="s">
        <v>437</v>
      </c>
      <c r="F290" s="48" t="s">
        <v>25</v>
      </c>
      <c r="G290" s="48" t="s">
        <v>438</v>
      </c>
      <c r="H290" s="48" t="s">
        <v>17</v>
      </c>
      <c r="I290" s="48" t="s">
        <v>23</v>
      </c>
      <c r="J290" s="87"/>
      <c r="K290" s="88">
        <v>36762</v>
      </c>
      <c r="L290" s="89">
        <f t="shared" si="22"/>
        <v>2000</v>
      </c>
      <c r="M290" s="89">
        <f t="shared" si="20"/>
        <v>19</v>
      </c>
      <c r="N290" s="48" t="s">
        <v>11</v>
      </c>
      <c r="O290" s="48"/>
      <c r="P290" s="87" t="s">
        <v>33</v>
      </c>
      <c r="Q290" s="48"/>
      <c r="R290" s="87" t="s">
        <v>18</v>
      </c>
    </row>
    <row r="291" spans="2:18">
      <c r="B291" s="130">
        <v>91</v>
      </c>
      <c r="C291" s="130" t="s">
        <v>1625</v>
      </c>
      <c r="D291" s="48">
        <v>284</v>
      </c>
      <c r="E291" s="87" t="s">
        <v>439</v>
      </c>
      <c r="F291" s="48" t="s">
        <v>14</v>
      </c>
      <c r="G291" s="48" t="s">
        <v>1626</v>
      </c>
      <c r="H291" s="48" t="s">
        <v>9</v>
      </c>
      <c r="I291" s="48" t="s">
        <v>10</v>
      </c>
      <c r="J291" s="87" t="s">
        <v>1368</v>
      </c>
      <c r="K291" s="88">
        <v>28231</v>
      </c>
      <c r="L291" s="89">
        <v>1977</v>
      </c>
      <c r="M291" s="89">
        <f t="shared" si="20"/>
        <v>42</v>
      </c>
      <c r="N291" s="48" t="s">
        <v>11</v>
      </c>
      <c r="O291" s="48" t="s">
        <v>1369</v>
      </c>
      <c r="P291" s="87" t="s">
        <v>33</v>
      </c>
      <c r="Q291" s="48"/>
      <c r="R291" s="87" t="s">
        <v>49</v>
      </c>
    </row>
    <row r="292" spans="2:18" ht="25.5">
      <c r="B292" s="130"/>
      <c r="C292" s="130"/>
      <c r="D292" s="48">
        <v>285</v>
      </c>
      <c r="E292" s="87" t="s">
        <v>440</v>
      </c>
      <c r="F292" s="48" t="s">
        <v>20</v>
      </c>
      <c r="G292" s="48" t="s">
        <v>1627</v>
      </c>
      <c r="H292" s="48" t="s">
        <v>17</v>
      </c>
      <c r="I292" s="48" t="s">
        <v>10</v>
      </c>
      <c r="J292" s="87" t="s">
        <v>1368</v>
      </c>
      <c r="K292" s="88">
        <v>29017</v>
      </c>
      <c r="L292" s="89">
        <v>1979</v>
      </c>
      <c r="M292" s="89">
        <f t="shared" si="20"/>
        <v>40</v>
      </c>
      <c r="N292" s="48" t="s">
        <v>11</v>
      </c>
      <c r="O292" s="48" t="s">
        <v>1369</v>
      </c>
      <c r="P292" s="87" t="s">
        <v>28</v>
      </c>
      <c r="Q292" s="48"/>
      <c r="R292" s="87" t="s">
        <v>1371</v>
      </c>
    </row>
    <row r="293" spans="2:18" ht="25.5">
      <c r="B293" s="130"/>
      <c r="C293" s="130"/>
      <c r="D293" s="48">
        <v>286</v>
      </c>
      <c r="E293" s="87" t="s">
        <v>1623</v>
      </c>
      <c r="F293" s="48" t="s">
        <v>25</v>
      </c>
      <c r="G293" s="48" t="s">
        <v>1628</v>
      </c>
      <c r="H293" s="48" t="s">
        <v>17</v>
      </c>
      <c r="I293" s="48" t="s">
        <v>23</v>
      </c>
      <c r="J293" s="87" t="s">
        <v>1387</v>
      </c>
      <c r="K293" s="88">
        <v>35810</v>
      </c>
      <c r="L293" s="89">
        <v>1998</v>
      </c>
      <c r="M293" s="89">
        <f t="shared" si="20"/>
        <v>21</v>
      </c>
      <c r="N293" s="48" t="s">
        <v>11</v>
      </c>
      <c r="O293" s="48" t="s">
        <v>1369</v>
      </c>
      <c r="P293" s="87" t="s">
        <v>1388</v>
      </c>
      <c r="Q293" s="48"/>
      <c r="R293" s="87" t="s">
        <v>1376</v>
      </c>
    </row>
    <row r="294" spans="2:18" ht="25.5">
      <c r="B294" s="130"/>
      <c r="C294" s="130"/>
      <c r="D294" s="48">
        <v>287</v>
      </c>
      <c r="E294" s="87" t="s">
        <v>1624</v>
      </c>
      <c r="F294" s="48" t="s">
        <v>25</v>
      </c>
      <c r="G294" s="48" t="s">
        <v>1629</v>
      </c>
      <c r="H294" s="48" t="s">
        <v>9</v>
      </c>
      <c r="I294" s="48" t="s">
        <v>23</v>
      </c>
      <c r="J294" s="87" t="s">
        <v>1368</v>
      </c>
      <c r="K294" s="88">
        <v>38086</v>
      </c>
      <c r="L294" s="89">
        <v>2004</v>
      </c>
      <c r="M294" s="89">
        <f t="shared" si="20"/>
        <v>15</v>
      </c>
      <c r="N294" s="48" t="s">
        <v>11</v>
      </c>
      <c r="O294" s="48" t="s">
        <v>1369</v>
      </c>
      <c r="P294" s="87" t="s">
        <v>1393</v>
      </c>
      <c r="Q294" s="48"/>
      <c r="R294" s="87" t="s">
        <v>1376</v>
      </c>
    </row>
    <row r="295" spans="2:18" ht="25.5">
      <c r="B295" s="130">
        <v>92</v>
      </c>
      <c r="C295" s="130" t="s">
        <v>1600</v>
      </c>
      <c r="D295" s="48">
        <v>288</v>
      </c>
      <c r="E295" s="87" t="s">
        <v>1601</v>
      </c>
      <c r="F295" s="48" t="s">
        <v>14</v>
      </c>
      <c r="G295" s="48" t="s">
        <v>1603</v>
      </c>
      <c r="H295" s="48" t="s">
        <v>9</v>
      </c>
      <c r="I295" s="48" t="s">
        <v>10</v>
      </c>
      <c r="J295" s="87" t="s">
        <v>1368</v>
      </c>
      <c r="K295" s="88">
        <v>24654</v>
      </c>
      <c r="L295" s="89">
        <v>1967</v>
      </c>
      <c r="M295" s="89">
        <f t="shared" si="20"/>
        <v>52</v>
      </c>
      <c r="N295" s="48" t="s">
        <v>11</v>
      </c>
      <c r="O295" s="48" t="s">
        <v>1369</v>
      </c>
      <c r="P295" s="87" t="s">
        <v>28</v>
      </c>
      <c r="Q295" s="48"/>
      <c r="R295" s="87" t="s">
        <v>49</v>
      </c>
    </row>
    <row r="296" spans="2:18" ht="25.5">
      <c r="B296" s="130"/>
      <c r="C296" s="130"/>
      <c r="D296" s="48">
        <v>289</v>
      </c>
      <c r="E296" s="87" t="s">
        <v>174</v>
      </c>
      <c r="F296" s="48" t="s">
        <v>20</v>
      </c>
      <c r="G296" s="48" t="s">
        <v>1604</v>
      </c>
      <c r="H296" s="48" t="s">
        <v>17</v>
      </c>
      <c r="I296" s="48" t="s">
        <v>10</v>
      </c>
      <c r="J296" s="87" t="s">
        <v>1368</v>
      </c>
      <c r="K296" s="88">
        <v>25750</v>
      </c>
      <c r="L296" s="89">
        <v>1970</v>
      </c>
      <c r="M296" s="89">
        <f t="shared" si="20"/>
        <v>49</v>
      </c>
      <c r="N296" s="48" t="s">
        <v>11</v>
      </c>
      <c r="O296" s="48" t="s">
        <v>1369</v>
      </c>
      <c r="P296" s="87" t="s">
        <v>28</v>
      </c>
      <c r="Q296" s="48"/>
      <c r="R296" s="87" t="s">
        <v>1373</v>
      </c>
    </row>
    <row r="297" spans="2:18">
      <c r="B297" s="130"/>
      <c r="C297" s="130"/>
      <c r="D297" s="48">
        <v>290</v>
      </c>
      <c r="E297" s="87" t="s">
        <v>441</v>
      </c>
      <c r="F297" s="48" t="s">
        <v>25</v>
      </c>
      <c r="G297" s="48" t="s">
        <v>1605</v>
      </c>
      <c r="H297" s="48" t="s">
        <v>9</v>
      </c>
      <c r="I297" s="48" t="s">
        <v>23</v>
      </c>
      <c r="J297" s="87" t="s">
        <v>1368</v>
      </c>
      <c r="K297" s="88">
        <v>33248</v>
      </c>
      <c r="L297" s="89">
        <v>1991</v>
      </c>
      <c r="M297" s="89">
        <f t="shared" si="20"/>
        <v>28</v>
      </c>
      <c r="N297" s="48" t="s">
        <v>11</v>
      </c>
      <c r="O297" s="48" t="s">
        <v>1369</v>
      </c>
      <c r="P297" s="87" t="s">
        <v>1388</v>
      </c>
      <c r="Q297" s="48"/>
      <c r="R297" s="87" t="s">
        <v>49</v>
      </c>
    </row>
    <row r="298" spans="2:18" ht="25.5">
      <c r="B298" s="130"/>
      <c r="C298" s="130"/>
      <c r="D298" s="48">
        <v>291</v>
      </c>
      <c r="E298" s="87" t="s">
        <v>442</v>
      </c>
      <c r="F298" s="48" t="s">
        <v>25</v>
      </c>
      <c r="G298" s="48" t="s">
        <v>1606</v>
      </c>
      <c r="H298" s="48" t="s">
        <v>9</v>
      </c>
      <c r="I298" s="48" t="s">
        <v>23</v>
      </c>
      <c r="J298" s="87" t="s">
        <v>1455</v>
      </c>
      <c r="K298" s="88">
        <v>36109</v>
      </c>
      <c r="L298" s="89">
        <v>1998</v>
      </c>
      <c r="M298" s="89">
        <f t="shared" si="20"/>
        <v>21</v>
      </c>
      <c r="N298" s="48" t="s">
        <v>11</v>
      </c>
      <c r="O298" s="48" t="s">
        <v>1369</v>
      </c>
      <c r="P298" s="87" t="s">
        <v>1393</v>
      </c>
      <c r="Q298" s="48"/>
      <c r="R298" s="87" t="s">
        <v>1376</v>
      </c>
    </row>
    <row r="299" spans="2:18" ht="25.5">
      <c r="B299" s="130"/>
      <c r="C299" s="130"/>
      <c r="D299" s="48">
        <v>292</v>
      </c>
      <c r="E299" s="87" t="s">
        <v>1602</v>
      </c>
      <c r="F299" s="48" t="s">
        <v>25</v>
      </c>
      <c r="G299" s="48" t="s">
        <v>1607</v>
      </c>
      <c r="H299" s="48" t="s">
        <v>17</v>
      </c>
      <c r="I299" s="48" t="s">
        <v>23</v>
      </c>
      <c r="J299" s="87" t="s">
        <v>1455</v>
      </c>
      <c r="K299" s="88">
        <v>39264</v>
      </c>
      <c r="L299" s="89">
        <v>2007</v>
      </c>
      <c r="M299" s="89">
        <f t="shared" si="20"/>
        <v>12</v>
      </c>
      <c r="N299" s="48" t="s">
        <v>11</v>
      </c>
      <c r="O299" s="48" t="s">
        <v>1369</v>
      </c>
      <c r="P299" s="87" t="s">
        <v>1385</v>
      </c>
      <c r="Q299" s="48"/>
      <c r="R299" s="87" t="s">
        <v>1376</v>
      </c>
    </row>
    <row r="300" spans="2:18">
      <c r="B300" s="130">
        <v>93</v>
      </c>
      <c r="C300" s="130" t="s">
        <v>1680</v>
      </c>
      <c r="D300" s="48">
        <v>293</v>
      </c>
      <c r="E300" s="87" t="s">
        <v>443</v>
      </c>
      <c r="F300" s="48" t="s">
        <v>14</v>
      </c>
      <c r="G300" s="48" t="s">
        <v>444</v>
      </c>
      <c r="H300" s="48" t="s">
        <v>9</v>
      </c>
      <c r="I300" s="48" t="s">
        <v>10</v>
      </c>
      <c r="J300" s="87" t="s">
        <v>1387</v>
      </c>
      <c r="K300" s="88">
        <v>31412</v>
      </c>
      <c r="L300" s="89">
        <v>1985</v>
      </c>
      <c r="M300" s="89">
        <f t="shared" si="20"/>
        <v>34</v>
      </c>
      <c r="N300" s="48" t="s">
        <v>11</v>
      </c>
      <c r="O300" s="48" t="s">
        <v>1369</v>
      </c>
      <c r="P300" s="87" t="s">
        <v>28</v>
      </c>
      <c r="Q300" s="48"/>
      <c r="R300" s="87" t="s">
        <v>49</v>
      </c>
    </row>
    <row r="301" spans="2:18">
      <c r="B301" s="130"/>
      <c r="C301" s="130"/>
      <c r="D301" s="48">
        <v>294</v>
      </c>
      <c r="E301" s="87" t="s">
        <v>445</v>
      </c>
      <c r="F301" s="48" t="s">
        <v>20</v>
      </c>
      <c r="G301" s="48" t="s">
        <v>446</v>
      </c>
      <c r="H301" s="48" t="s">
        <v>17</v>
      </c>
      <c r="I301" s="48" t="s">
        <v>10</v>
      </c>
      <c r="J301" s="87" t="s">
        <v>1368</v>
      </c>
      <c r="K301" s="88">
        <v>34830</v>
      </c>
      <c r="L301" s="89">
        <v>1995</v>
      </c>
      <c r="M301" s="89">
        <f t="shared" si="20"/>
        <v>24</v>
      </c>
      <c r="N301" s="48" t="s">
        <v>11</v>
      </c>
      <c r="O301" s="48" t="s">
        <v>1369</v>
      </c>
      <c r="P301" s="87" t="s">
        <v>12</v>
      </c>
      <c r="Q301" s="48"/>
      <c r="R301" s="87" t="s">
        <v>24</v>
      </c>
    </row>
    <row r="302" spans="2:18" ht="25.5">
      <c r="B302" s="130"/>
      <c r="C302" s="130"/>
      <c r="D302" s="48">
        <v>295</v>
      </c>
      <c r="E302" s="87" t="s">
        <v>1679</v>
      </c>
      <c r="F302" s="48" t="s">
        <v>25</v>
      </c>
      <c r="G302" s="48" t="s">
        <v>1681</v>
      </c>
      <c r="H302" s="48" t="s">
        <v>9</v>
      </c>
      <c r="I302" s="48" t="s">
        <v>23</v>
      </c>
      <c r="J302" s="87" t="s">
        <v>1368</v>
      </c>
      <c r="K302" s="88">
        <v>39636</v>
      </c>
      <c r="L302" s="89">
        <v>2008</v>
      </c>
      <c r="M302" s="89">
        <f t="shared" si="20"/>
        <v>11</v>
      </c>
      <c r="N302" s="48" t="s">
        <v>11</v>
      </c>
      <c r="O302" s="48" t="s">
        <v>1369</v>
      </c>
      <c r="P302" s="87" t="s">
        <v>1378</v>
      </c>
      <c r="Q302" s="48"/>
      <c r="R302" s="87" t="s">
        <v>1389</v>
      </c>
    </row>
    <row r="303" spans="2:18" ht="25.5">
      <c r="B303" s="130"/>
      <c r="C303" s="130"/>
      <c r="D303" s="48">
        <v>296</v>
      </c>
      <c r="E303" s="87" t="s">
        <v>447</v>
      </c>
      <c r="F303" s="48" t="s">
        <v>25</v>
      </c>
      <c r="G303" s="48" t="s">
        <v>448</v>
      </c>
      <c r="H303" s="48" t="s">
        <v>9</v>
      </c>
      <c r="I303" s="48" t="s">
        <v>23</v>
      </c>
      <c r="J303" s="87" t="s">
        <v>1368</v>
      </c>
      <c r="K303" s="88">
        <v>41737</v>
      </c>
      <c r="L303" s="89">
        <v>2014</v>
      </c>
      <c r="M303" s="89">
        <f t="shared" si="20"/>
        <v>5</v>
      </c>
      <c r="N303" s="48" t="s">
        <v>11</v>
      </c>
      <c r="O303" s="48" t="s">
        <v>1369</v>
      </c>
      <c r="P303" s="87" t="s">
        <v>1378</v>
      </c>
      <c r="Q303" s="48"/>
      <c r="R303" s="87" t="s">
        <v>1389</v>
      </c>
    </row>
    <row r="304" spans="2:18" ht="25.5">
      <c r="B304" s="130">
        <v>94</v>
      </c>
      <c r="C304" s="130" t="s">
        <v>1580</v>
      </c>
      <c r="D304" s="48">
        <v>297</v>
      </c>
      <c r="E304" s="87" t="s">
        <v>449</v>
      </c>
      <c r="F304" s="48" t="s">
        <v>14</v>
      </c>
      <c r="G304" s="48" t="s">
        <v>1581</v>
      </c>
      <c r="H304" s="48" t="s">
        <v>9</v>
      </c>
      <c r="I304" s="48" t="s">
        <v>10</v>
      </c>
      <c r="J304" s="87" t="s">
        <v>1387</v>
      </c>
      <c r="K304" s="88">
        <v>27679</v>
      </c>
      <c r="L304" s="89">
        <v>1975</v>
      </c>
      <c r="M304" s="89">
        <f t="shared" si="20"/>
        <v>44</v>
      </c>
      <c r="N304" s="48" t="s">
        <v>11</v>
      </c>
      <c r="O304" s="48" t="s">
        <v>1369</v>
      </c>
      <c r="P304" s="87" t="s">
        <v>1378</v>
      </c>
      <c r="Q304" s="48"/>
      <c r="R304" s="87" t="s">
        <v>1371</v>
      </c>
    </row>
    <row r="305" spans="2:18" ht="25.5">
      <c r="B305" s="130"/>
      <c r="C305" s="130"/>
      <c r="D305" s="48">
        <v>298</v>
      </c>
      <c r="E305" s="87" t="s">
        <v>1578</v>
      </c>
      <c r="F305" s="48" t="s">
        <v>20</v>
      </c>
      <c r="G305" s="48" t="s">
        <v>1582</v>
      </c>
      <c r="H305" s="48" t="s">
        <v>17</v>
      </c>
      <c r="I305" s="48" t="s">
        <v>10</v>
      </c>
      <c r="J305" s="87" t="s">
        <v>1387</v>
      </c>
      <c r="K305" s="88">
        <v>30188</v>
      </c>
      <c r="L305" s="89">
        <v>1982</v>
      </c>
      <c r="M305" s="89">
        <f t="shared" si="20"/>
        <v>37</v>
      </c>
      <c r="N305" s="48" t="s">
        <v>11</v>
      </c>
      <c r="O305" s="48" t="s">
        <v>1369</v>
      </c>
      <c r="P305" s="87" t="s">
        <v>28</v>
      </c>
      <c r="Q305" s="48"/>
      <c r="R305" s="87" t="s">
        <v>1373</v>
      </c>
    </row>
    <row r="306" spans="2:18" ht="25.5">
      <c r="B306" s="130"/>
      <c r="C306" s="130"/>
      <c r="D306" s="48">
        <v>299</v>
      </c>
      <c r="E306" s="87" t="s">
        <v>1579</v>
      </c>
      <c r="F306" s="48" t="s">
        <v>25</v>
      </c>
      <c r="G306" s="48" t="s">
        <v>1583</v>
      </c>
      <c r="H306" s="48" t="s">
        <v>9</v>
      </c>
      <c r="I306" s="48" t="s">
        <v>23</v>
      </c>
      <c r="J306" s="87" t="s">
        <v>1387</v>
      </c>
      <c r="K306" s="88">
        <v>37351</v>
      </c>
      <c r="L306" s="89">
        <v>2002</v>
      </c>
      <c r="M306" s="89">
        <f t="shared" si="20"/>
        <v>17</v>
      </c>
      <c r="N306" s="48" t="s">
        <v>11</v>
      </c>
      <c r="O306" s="48" t="s">
        <v>1369</v>
      </c>
      <c r="P306" s="87" t="s">
        <v>1393</v>
      </c>
      <c r="Q306" s="48"/>
      <c r="R306" s="87" t="s">
        <v>1376</v>
      </c>
    </row>
    <row r="307" spans="2:18" ht="25.5">
      <c r="B307" s="130">
        <v>95</v>
      </c>
      <c r="C307" s="130" t="s">
        <v>1620</v>
      </c>
      <c r="D307" s="48">
        <v>300</v>
      </c>
      <c r="E307" s="87" t="s">
        <v>451</v>
      </c>
      <c r="F307" s="48" t="s">
        <v>14</v>
      </c>
      <c r="G307" s="48" t="s">
        <v>1621</v>
      </c>
      <c r="H307" s="48" t="s">
        <v>9</v>
      </c>
      <c r="I307" s="48" t="s">
        <v>10</v>
      </c>
      <c r="J307" s="87" t="s">
        <v>1368</v>
      </c>
      <c r="K307" s="88">
        <v>28709</v>
      </c>
      <c r="L307" s="89">
        <v>1978</v>
      </c>
      <c r="M307" s="89">
        <f t="shared" si="20"/>
        <v>41</v>
      </c>
      <c r="N307" s="48" t="s">
        <v>11</v>
      </c>
      <c r="O307" s="48" t="s">
        <v>1369</v>
      </c>
      <c r="P307" s="87" t="s">
        <v>1393</v>
      </c>
      <c r="Q307" s="48"/>
      <c r="R307" s="87" t="s">
        <v>49</v>
      </c>
    </row>
    <row r="308" spans="2:18" ht="25.5">
      <c r="B308" s="130"/>
      <c r="C308" s="130"/>
      <c r="D308" s="48">
        <v>301</v>
      </c>
      <c r="E308" s="87" t="s">
        <v>174</v>
      </c>
      <c r="F308" s="48" t="s">
        <v>20</v>
      </c>
      <c r="G308" s="48" t="s">
        <v>1622</v>
      </c>
      <c r="H308" s="48" t="s">
        <v>17</v>
      </c>
      <c r="I308" s="48" t="s">
        <v>10</v>
      </c>
      <c r="J308" s="87" t="s">
        <v>1368</v>
      </c>
      <c r="K308" s="88">
        <v>29239</v>
      </c>
      <c r="L308" s="89">
        <v>1980</v>
      </c>
      <c r="M308" s="89">
        <f t="shared" si="20"/>
        <v>39</v>
      </c>
      <c r="N308" s="48" t="s">
        <v>11</v>
      </c>
      <c r="O308" s="48" t="s">
        <v>1369</v>
      </c>
      <c r="P308" s="87" t="s">
        <v>1393</v>
      </c>
      <c r="Q308" s="48"/>
      <c r="R308" s="87" t="s">
        <v>49</v>
      </c>
    </row>
    <row r="309" spans="2:18" ht="25.5">
      <c r="B309" s="130">
        <v>96</v>
      </c>
      <c r="C309" s="130" t="s">
        <v>1734</v>
      </c>
      <c r="D309" s="48">
        <v>302</v>
      </c>
      <c r="E309" s="87" t="s">
        <v>1735</v>
      </c>
      <c r="F309" s="48" t="s">
        <v>14</v>
      </c>
      <c r="G309" s="48" t="s">
        <v>455</v>
      </c>
      <c r="H309" s="48" t="s">
        <v>9</v>
      </c>
      <c r="I309" s="48" t="s">
        <v>1505</v>
      </c>
      <c r="J309" s="87" t="s">
        <v>1387</v>
      </c>
      <c r="K309" s="88">
        <v>28219</v>
      </c>
      <c r="L309" s="89">
        <v>1977</v>
      </c>
      <c r="M309" s="89">
        <f t="shared" si="20"/>
        <v>42</v>
      </c>
      <c r="N309" s="48" t="s">
        <v>11</v>
      </c>
      <c r="O309" s="48" t="s">
        <v>1369</v>
      </c>
      <c r="P309" s="87" t="s">
        <v>28</v>
      </c>
      <c r="Q309" s="48"/>
      <c r="R309" s="87" t="s">
        <v>1371</v>
      </c>
    </row>
    <row r="310" spans="2:18" ht="25.5">
      <c r="B310" s="130"/>
      <c r="C310" s="130"/>
      <c r="D310" s="48">
        <v>303</v>
      </c>
      <c r="E310" s="87" t="s">
        <v>1736</v>
      </c>
      <c r="F310" s="48" t="s">
        <v>25</v>
      </c>
      <c r="G310" s="48" t="s">
        <v>456</v>
      </c>
      <c r="H310" s="48" t="s">
        <v>9</v>
      </c>
      <c r="I310" s="48" t="s">
        <v>23</v>
      </c>
      <c r="J310" s="87" t="s">
        <v>2115</v>
      </c>
      <c r="K310" s="88">
        <v>36315</v>
      </c>
      <c r="L310" s="89">
        <v>1999</v>
      </c>
      <c r="M310" s="89">
        <f t="shared" si="20"/>
        <v>20</v>
      </c>
      <c r="N310" s="48" t="s">
        <v>11</v>
      </c>
      <c r="O310" s="48" t="s">
        <v>1369</v>
      </c>
      <c r="P310" s="87" t="s">
        <v>1388</v>
      </c>
      <c r="Q310" s="48"/>
      <c r="R310" s="87" t="s">
        <v>1389</v>
      </c>
    </row>
    <row r="311" spans="2:18" ht="25.5">
      <c r="B311" s="130"/>
      <c r="C311" s="130"/>
      <c r="D311" s="48">
        <v>304</v>
      </c>
      <c r="E311" s="87" t="s">
        <v>457</v>
      </c>
      <c r="F311" s="48" t="s">
        <v>25</v>
      </c>
      <c r="G311" s="48" t="s">
        <v>458</v>
      </c>
      <c r="H311" s="48" t="s">
        <v>9</v>
      </c>
      <c r="I311" s="48" t="s">
        <v>23</v>
      </c>
      <c r="J311" s="87" t="s">
        <v>2115</v>
      </c>
      <c r="K311" s="88">
        <v>38627</v>
      </c>
      <c r="L311" s="89">
        <v>2005</v>
      </c>
      <c r="M311" s="89">
        <f t="shared" si="20"/>
        <v>14</v>
      </c>
      <c r="N311" s="48" t="s">
        <v>11</v>
      </c>
      <c r="O311" s="48" t="s">
        <v>1369</v>
      </c>
      <c r="P311" s="87" t="s">
        <v>1375</v>
      </c>
      <c r="Q311" s="48"/>
      <c r="R311" s="87" t="s">
        <v>1376</v>
      </c>
    </row>
    <row r="312" spans="2:18" ht="25.5">
      <c r="B312" s="130"/>
      <c r="C312" s="130"/>
      <c r="D312" s="48">
        <v>305</v>
      </c>
      <c r="E312" s="87" t="s">
        <v>2116</v>
      </c>
      <c r="F312" s="48" t="s">
        <v>25</v>
      </c>
      <c r="G312" s="48" t="s">
        <v>2114</v>
      </c>
      <c r="H312" s="48" t="s">
        <v>17</v>
      </c>
      <c r="I312" s="48" t="s">
        <v>23</v>
      </c>
      <c r="J312" s="87" t="s">
        <v>2115</v>
      </c>
      <c r="K312" s="88">
        <v>40502</v>
      </c>
      <c r="L312" s="89">
        <v>2010</v>
      </c>
      <c r="M312" s="89">
        <f t="shared" si="20"/>
        <v>9</v>
      </c>
      <c r="N312" s="48" t="s">
        <v>11</v>
      </c>
      <c r="O312" s="48" t="s">
        <v>1369</v>
      </c>
      <c r="P312" s="87" t="s">
        <v>1378</v>
      </c>
      <c r="Q312" s="48"/>
      <c r="R312" s="87" t="s">
        <v>1389</v>
      </c>
    </row>
    <row r="313" spans="2:18" ht="25.5">
      <c r="B313" s="130"/>
      <c r="C313" s="130"/>
      <c r="D313" s="48">
        <v>306</v>
      </c>
      <c r="E313" s="87" t="s">
        <v>459</v>
      </c>
      <c r="F313" s="48" t="s">
        <v>25</v>
      </c>
      <c r="G313" s="48" t="s">
        <v>31</v>
      </c>
      <c r="H313" s="48" t="s">
        <v>9</v>
      </c>
      <c r="I313" s="48" t="s">
        <v>23</v>
      </c>
      <c r="J313" s="87" t="s">
        <v>2115</v>
      </c>
      <c r="K313" s="88">
        <v>40996</v>
      </c>
      <c r="L313" s="89">
        <v>2012</v>
      </c>
      <c r="M313" s="89">
        <f t="shared" si="20"/>
        <v>7</v>
      </c>
      <c r="N313" s="48" t="s">
        <v>11</v>
      </c>
      <c r="O313" s="48" t="s">
        <v>1369</v>
      </c>
      <c r="P313" s="87" t="s">
        <v>1378</v>
      </c>
      <c r="Q313" s="48"/>
      <c r="R313" s="87" t="s">
        <v>1389</v>
      </c>
    </row>
    <row r="314" spans="2:18" ht="25.5">
      <c r="B314" s="48">
        <v>97</v>
      </c>
      <c r="C314" s="48"/>
      <c r="D314" s="48">
        <v>307</v>
      </c>
      <c r="E314" s="87" t="s">
        <v>460</v>
      </c>
      <c r="F314" s="48" t="s">
        <v>14</v>
      </c>
      <c r="G314" s="48" t="s">
        <v>2180</v>
      </c>
      <c r="H314" s="48" t="s">
        <v>17</v>
      </c>
      <c r="I314" s="48" t="s">
        <v>1448</v>
      </c>
      <c r="J314" s="87" t="s">
        <v>1368</v>
      </c>
      <c r="K314" s="88">
        <v>18628</v>
      </c>
      <c r="L314" s="89">
        <v>1950</v>
      </c>
      <c r="M314" s="89">
        <f t="shared" si="20"/>
        <v>69</v>
      </c>
      <c r="N314" s="48" t="s">
        <v>11</v>
      </c>
      <c r="O314" s="48" t="s">
        <v>1369</v>
      </c>
      <c r="P314" s="87" t="s">
        <v>2181</v>
      </c>
      <c r="Q314" s="48"/>
      <c r="R314" s="87" t="s">
        <v>1371</v>
      </c>
    </row>
    <row r="315" spans="2:18" ht="25.5">
      <c r="B315" s="130">
        <v>98</v>
      </c>
      <c r="C315" s="130" t="s">
        <v>1545</v>
      </c>
      <c r="D315" s="48">
        <v>308</v>
      </c>
      <c r="E315" s="87" t="s">
        <v>461</v>
      </c>
      <c r="F315" s="48" t="s">
        <v>14</v>
      </c>
      <c r="G315" s="48" t="s">
        <v>1547</v>
      </c>
      <c r="H315" s="48" t="s">
        <v>9</v>
      </c>
      <c r="I315" s="48" t="s">
        <v>10</v>
      </c>
      <c r="J315" s="87" t="s">
        <v>1368</v>
      </c>
      <c r="K315" s="88">
        <v>24654</v>
      </c>
      <c r="L315" s="89">
        <v>1967</v>
      </c>
      <c r="M315" s="89">
        <f t="shared" si="20"/>
        <v>52</v>
      </c>
      <c r="N315" s="48" t="s">
        <v>11</v>
      </c>
      <c r="O315" s="48" t="s">
        <v>1369</v>
      </c>
      <c r="P315" s="87" t="s">
        <v>1378</v>
      </c>
      <c r="Q315" s="48"/>
      <c r="R315" s="87" t="s">
        <v>1371</v>
      </c>
    </row>
    <row r="316" spans="2:18" ht="25.5">
      <c r="B316" s="130"/>
      <c r="C316" s="130"/>
      <c r="D316" s="48">
        <v>309</v>
      </c>
      <c r="E316" s="87" t="s">
        <v>462</v>
      </c>
      <c r="F316" s="48" t="s">
        <v>20</v>
      </c>
      <c r="G316" s="48" t="s">
        <v>463</v>
      </c>
      <c r="H316" s="48" t="s">
        <v>17</v>
      </c>
      <c r="I316" s="48" t="s">
        <v>10</v>
      </c>
      <c r="J316" s="87" t="s">
        <v>1368</v>
      </c>
      <c r="K316" s="88">
        <v>23924</v>
      </c>
      <c r="L316" s="89">
        <v>1965</v>
      </c>
      <c r="M316" s="89">
        <f t="shared" si="20"/>
        <v>54</v>
      </c>
      <c r="N316" s="48" t="s">
        <v>11</v>
      </c>
      <c r="O316" s="48" t="s">
        <v>1369</v>
      </c>
      <c r="P316" s="87" t="s">
        <v>1378</v>
      </c>
      <c r="Q316" s="48"/>
      <c r="R316" s="87" t="s">
        <v>19</v>
      </c>
    </row>
    <row r="317" spans="2:18" ht="25.5">
      <c r="B317" s="130"/>
      <c r="C317" s="130"/>
      <c r="D317" s="48">
        <v>310</v>
      </c>
      <c r="E317" s="87" t="s">
        <v>1546</v>
      </c>
      <c r="F317" s="48" t="s">
        <v>25</v>
      </c>
      <c r="G317" s="48">
        <v>5201010107000140</v>
      </c>
      <c r="H317" s="48" t="s">
        <v>9</v>
      </c>
      <c r="I317" s="48" t="s">
        <v>23</v>
      </c>
      <c r="J317" s="87" t="s">
        <v>1368</v>
      </c>
      <c r="K317" s="88">
        <v>36160</v>
      </c>
      <c r="L317" s="89">
        <v>1998</v>
      </c>
      <c r="M317" s="89">
        <f t="shared" si="20"/>
        <v>21</v>
      </c>
      <c r="N317" s="48" t="s">
        <v>11</v>
      </c>
      <c r="O317" s="48" t="s">
        <v>1369</v>
      </c>
      <c r="P317" s="87" t="s">
        <v>1378</v>
      </c>
      <c r="Q317" s="48"/>
      <c r="R317" s="87" t="s">
        <v>1371</v>
      </c>
    </row>
    <row r="318" spans="2:18">
      <c r="B318" s="130">
        <v>99</v>
      </c>
      <c r="C318" s="130" t="s">
        <v>1672</v>
      </c>
      <c r="D318" s="48">
        <v>311</v>
      </c>
      <c r="E318" s="87" t="s">
        <v>464</v>
      </c>
      <c r="F318" s="48" t="s">
        <v>14</v>
      </c>
      <c r="G318" s="48" t="s">
        <v>465</v>
      </c>
      <c r="H318" s="48" t="s">
        <v>9</v>
      </c>
      <c r="I318" s="48" t="s">
        <v>10</v>
      </c>
      <c r="J318" s="87" t="s">
        <v>1387</v>
      </c>
      <c r="K318" s="88">
        <v>32132</v>
      </c>
      <c r="L318" s="89">
        <v>1987</v>
      </c>
      <c r="M318" s="89">
        <f t="shared" si="20"/>
        <v>32</v>
      </c>
      <c r="N318" s="48" t="s">
        <v>11</v>
      </c>
      <c r="O318" s="48" t="s">
        <v>1369</v>
      </c>
      <c r="P318" s="87" t="s">
        <v>28</v>
      </c>
      <c r="Q318" s="48"/>
      <c r="R318" s="87" t="s">
        <v>49</v>
      </c>
    </row>
    <row r="319" spans="2:18" ht="25.5">
      <c r="B319" s="130"/>
      <c r="C319" s="130"/>
      <c r="D319" s="48">
        <v>312</v>
      </c>
      <c r="E319" s="87" t="s">
        <v>466</v>
      </c>
      <c r="F319" s="48" t="s">
        <v>20</v>
      </c>
      <c r="G319" s="48" t="s">
        <v>467</v>
      </c>
      <c r="H319" s="48" t="s">
        <v>17</v>
      </c>
      <c r="I319" s="48" t="s">
        <v>10</v>
      </c>
      <c r="J319" s="87" t="s">
        <v>1656</v>
      </c>
      <c r="K319" s="88">
        <v>33786</v>
      </c>
      <c r="L319" s="89">
        <v>1992</v>
      </c>
      <c r="M319" s="89">
        <f t="shared" si="20"/>
        <v>27</v>
      </c>
      <c r="N319" s="48" t="s">
        <v>11</v>
      </c>
      <c r="O319" s="48" t="s">
        <v>1369</v>
      </c>
      <c r="P319" s="87" t="s">
        <v>28</v>
      </c>
      <c r="Q319" s="48"/>
      <c r="R319" s="87" t="s">
        <v>1566</v>
      </c>
    </row>
    <row r="320" spans="2:18" ht="25.5">
      <c r="B320" s="130"/>
      <c r="C320" s="130"/>
      <c r="D320" s="48">
        <v>313</v>
      </c>
      <c r="E320" s="87" t="s">
        <v>468</v>
      </c>
      <c r="F320" s="48" t="s">
        <v>25</v>
      </c>
      <c r="G320" s="48" t="s">
        <v>469</v>
      </c>
      <c r="H320" s="48" t="s">
        <v>9</v>
      </c>
      <c r="I320" s="48" t="s">
        <v>23</v>
      </c>
      <c r="J320" s="87" t="s">
        <v>1368</v>
      </c>
      <c r="K320" s="88">
        <v>41404</v>
      </c>
      <c r="L320" s="89">
        <v>2013</v>
      </c>
      <c r="M320" s="89">
        <f t="shared" si="20"/>
        <v>6</v>
      </c>
      <c r="N320" s="48" t="s">
        <v>11</v>
      </c>
      <c r="O320" s="48" t="s">
        <v>1369</v>
      </c>
      <c r="P320" s="87" t="s">
        <v>1378</v>
      </c>
      <c r="Q320" s="48"/>
      <c r="R320" s="87" t="s">
        <v>1389</v>
      </c>
    </row>
    <row r="321" spans="2:18">
      <c r="B321" s="48">
        <v>100</v>
      </c>
      <c r="C321" s="48"/>
      <c r="D321" s="48">
        <v>314</v>
      </c>
      <c r="E321" s="87" t="s">
        <v>257</v>
      </c>
      <c r="F321" s="48" t="s">
        <v>14</v>
      </c>
      <c r="G321" s="48" t="s">
        <v>470</v>
      </c>
      <c r="H321" s="48" t="s">
        <v>17</v>
      </c>
      <c r="I321" s="48" t="s">
        <v>67</v>
      </c>
      <c r="J321" s="87"/>
      <c r="K321" s="88">
        <v>26524</v>
      </c>
      <c r="L321" s="89">
        <f>YEAR(K321)</f>
        <v>1972</v>
      </c>
      <c r="M321" s="89">
        <f t="shared" si="20"/>
        <v>47</v>
      </c>
      <c r="N321" s="48" t="s">
        <v>11</v>
      </c>
      <c r="O321" s="48"/>
      <c r="P321" s="87" t="s">
        <v>18</v>
      </c>
      <c r="Q321" s="48"/>
      <c r="R321" s="87" t="s">
        <v>24</v>
      </c>
    </row>
    <row r="322" spans="2:18" ht="25.5">
      <c r="B322" s="130">
        <v>101</v>
      </c>
      <c r="C322" s="130" t="s">
        <v>1538</v>
      </c>
      <c r="D322" s="48">
        <v>315</v>
      </c>
      <c r="E322" s="87" t="s">
        <v>471</v>
      </c>
      <c r="F322" s="48" t="s">
        <v>14</v>
      </c>
      <c r="G322" s="48" t="s">
        <v>472</v>
      </c>
      <c r="H322" s="48" t="s">
        <v>9</v>
      </c>
      <c r="I322" s="48" t="s">
        <v>10</v>
      </c>
      <c r="J322" s="87" t="s">
        <v>1387</v>
      </c>
      <c r="K322" s="88">
        <v>24837</v>
      </c>
      <c r="L322" s="89">
        <v>1967</v>
      </c>
      <c r="M322" s="89">
        <f t="shared" si="20"/>
        <v>52</v>
      </c>
      <c r="N322" s="48" t="s">
        <v>11</v>
      </c>
      <c r="O322" s="48" t="s">
        <v>1369</v>
      </c>
      <c r="P322" s="87" t="s">
        <v>1378</v>
      </c>
      <c r="Q322" s="48"/>
      <c r="R322" s="87" t="s">
        <v>1371</v>
      </c>
    </row>
    <row r="323" spans="2:18" ht="25.5">
      <c r="B323" s="130"/>
      <c r="C323" s="130"/>
      <c r="D323" s="48">
        <v>316</v>
      </c>
      <c r="E323" s="87" t="s">
        <v>473</v>
      </c>
      <c r="F323" s="48" t="s">
        <v>20</v>
      </c>
      <c r="G323" s="48" t="s">
        <v>474</v>
      </c>
      <c r="H323" s="48" t="s">
        <v>17</v>
      </c>
      <c r="I323" s="48" t="s">
        <v>10</v>
      </c>
      <c r="J323" s="87" t="s">
        <v>1387</v>
      </c>
      <c r="K323" s="88">
        <v>26664</v>
      </c>
      <c r="L323" s="89">
        <v>1972</v>
      </c>
      <c r="M323" s="89">
        <f t="shared" si="20"/>
        <v>47</v>
      </c>
      <c r="N323" s="48" t="s">
        <v>11</v>
      </c>
      <c r="O323" s="48" t="s">
        <v>1369</v>
      </c>
      <c r="P323" s="87" t="s">
        <v>1378</v>
      </c>
      <c r="Q323" s="48"/>
      <c r="R323" s="87" t="s">
        <v>1373</v>
      </c>
    </row>
    <row r="324" spans="2:18" ht="25.5">
      <c r="B324" s="130"/>
      <c r="C324" s="130"/>
      <c r="D324" s="48">
        <v>317</v>
      </c>
      <c r="E324" s="87" t="s">
        <v>331</v>
      </c>
      <c r="F324" s="48" t="s">
        <v>25</v>
      </c>
      <c r="G324" s="48" t="s">
        <v>475</v>
      </c>
      <c r="H324" s="48" t="s">
        <v>9</v>
      </c>
      <c r="I324" s="48" t="s">
        <v>23</v>
      </c>
      <c r="J324" s="87" t="s">
        <v>1387</v>
      </c>
      <c r="K324" s="88">
        <v>35774</v>
      </c>
      <c r="L324" s="89">
        <v>1997</v>
      </c>
      <c r="M324" s="89">
        <f t="shared" si="20"/>
        <v>22</v>
      </c>
      <c r="N324" s="48" t="s">
        <v>11</v>
      </c>
      <c r="O324" s="48" t="s">
        <v>1369</v>
      </c>
      <c r="P324" s="87" t="s">
        <v>1393</v>
      </c>
      <c r="Q324" s="48"/>
      <c r="R324" s="87" t="s">
        <v>1371</v>
      </c>
    </row>
    <row r="325" spans="2:18" ht="25.5">
      <c r="B325" s="130"/>
      <c r="C325" s="130"/>
      <c r="D325" s="48">
        <v>318</v>
      </c>
      <c r="E325" s="87" t="s">
        <v>103</v>
      </c>
      <c r="F325" s="48" t="s">
        <v>25</v>
      </c>
      <c r="G325" s="48" t="s">
        <v>476</v>
      </c>
      <c r="H325" s="48" t="s">
        <v>9</v>
      </c>
      <c r="I325" s="48" t="s">
        <v>10</v>
      </c>
      <c r="J325" s="87" t="s">
        <v>1387</v>
      </c>
      <c r="K325" s="88">
        <v>38471</v>
      </c>
      <c r="L325" s="89">
        <v>2005</v>
      </c>
      <c r="M325" s="89">
        <f t="shared" si="20"/>
        <v>14</v>
      </c>
      <c r="N325" s="48" t="s">
        <v>11</v>
      </c>
      <c r="O325" s="48" t="s">
        <v>1369</v>
      </c>
      <c r="P325" s="87" t="s">
        <v>1378</v>
      </c>
      <c r="Q325" s="48"/>
      <c r="R325" s="87" t="s">
        <v>1389</v>
      </c>
    </row>
    <row r="326" spans="2:18" ht="25.5">
      <c r="B326" s="130">
        <v>102</v>
      </c>
      <c r="C326" s="130" t="s">
        <v>1701</v>
      </c>
      <c r="D326" s="48">
        <v>319</v>
      </c>
      <c r="E326" s="87" t="s">
        <v>1702</v>
      </c>
      <c r="F326" s="48" t="s">
        <v>14</v>
      </c>
      <c r="G326" s="48" t="s">
        <v>1703</v>
      </c>
      <c r="H326" s="48" t="s">
        <v>9</v>
      </c>
      <c r="I326" s="48" t="s">
        <v>10</v>
      </c>
      <c r="J326" s="87" t="s">
        <v>1387</v>
      </c>
      <c r="K326" s="88">
        <v>32541</v>
      </c>
      <c r="L326" s="89">
        <v>1989</v>
      </c>
      <c r="M326" s="89">
        <f t="shared" si="20"/>
        <v>30</v>
      </c>
      <c r="N326" s="48" t="s">
        <v>11</v>
      </c>
      <c r="O326" s="48"/>
      <c r="P326" s="87" t="s">
        <v>28</v>
      </c>
      <c r="Q326" s="48"/>
      <c r="R326" s="87" t="s">
        <v>1371</v>
      </c>
    </row>
    <row r="327" spans="2:18" ht="25.5">
      <c r="B327" s="130"/>
      <c r="C327" s="130"/>
      <c r="D327" s="48">
        <v>320</v>
      </c>
      <c r="E327" s="87" t="s">
        <v>477</v>
      </c>
      <c r="F327" s="48" t="s">
        <v>20</v>
      </c>
      <c r="G327" s="48" t="s">
        <v>1704</v>
      </c>
      <c r="H327" s="48" t="s">
        <v>17</v>
      </c>
      <c r="I327" s="48" t="s">
        <v>10</v>
      </c>
      <c r="J327" s="87" t="s">
        <v>1706</v>
      </c>
      <c r="K327" s="88">
        <v>30842</v>
      </c>
      <c r="L327" s="89">
        <v>1984</v>
      </c>
      <c r="M327" s="89">
        <f t="shared" si="20"/>
        <v>35</v>
      </c>
      <c r="N327" s="48" t="s">
        <v>11</v>
      </c>
      <c r="O327" s="48"/>
      <c r="P327" s="87" t="s">
        <v>1388</v>
      </c>
      <c r="Q327" s="48"/>
      <c r="R327" s="87" t="s">
        <v>1373</v>
      </c>
    </row>
    <row r="328" spans="2:18" ht="25.5">
      <c r="B328" s="130"/>
      <c r="C328" s="130"/>
      <c r="D328" s="48">
        <v>321</v>
      </c>
      <c r="E328" s="87" t="s">
        <v>478</v>
      </c>
      <c r="F328" s="48" t="s">
        <v>25</v>
      </c>
      <c r="G328" s="48" t="s">
        <v>1705</v>
      </c>
      <c r="H328" s="48" t="s">
        <v>17</v>
      </c>
      <c r="I328" s="48" t="s">
        <v>23</v>
      </c>
      <c r="J328" s="87" t="s">
        <v>1489</v>
      </c>
      <c r="K328" s="88">
        <v>41635</v>
      </c>
      <c r="L328" s="89">
        <v>2013</v>
      </c>
      <c r="M328" s="89">
        <f t="shared" ref="M328:M365" si="23">2019-L328</f>
        <v>6</v>
      </c>
      <c r="N328" s="48" t="s">
        <v>11</v>
      </c>
      <c r="O328" s="48"/>
      <c r="P328" s="87" t="s">
        <v>1378</v>
      </c>
      <c r="Q328" s="48"/>
      <c r="R328" s="87" t="s">
        <v>1389</v>
      </c>
    </row>
    <row r="329" spans="2:18" ht="25.5">
      <c r="B329" s="130">
        <v>103</v>
      </c>
      <c r="C329" s="130" t="s">
        <v>1641</v>
      </c>
      <c r="D329" s="48">
        <v>322</v>
      </c>
      <c r="E329" s="87" t="s">
        <v>479</v>
      </c>
      <c r="F329" s="48" t="s">
        <v>14</v>
      </c>
      <c r="G329" s="48" t="s">
        <v>480</v>
      </c>
      <c r="H329" s="48" t="s">
        <v>17</v>
      </c>
      <c r="I329" s="48" t="s">
        <v>1448</v>
      </c>
      <c r="J329" s="87" t="s">
        <v>1368</v>
      </c>
      <c r="K329" s="88">
        <v>21550</v>
      </c>
      <c r="L329" s="89">
        <v>1958</v>
      </c>
      <c r="M329" s="89">
        <f t="shared" si="23"/>
        <v>61</v>
      </c>
      <c r="N329" s="48" t="s">
        <v>11</v>
      </c>
      <c r="O329" s="48" t="s">
        <v>1369</v>
      </c>
      <c r="P329" s="87" t="s">
        <v>1393</v>
      </c>
      <c r="Q329" s="48"/>
      <c r="R329" s="87" t="s">
        <v>1371</v>
      </c>
    </row>
    <row r="330" spans="2:18" ht="25.5">
      <c r="B330" s="130"/>
      <c r="C330" s="130"/>
      <c r="D330" s="48">
        <v>323</v>
      </c>
      <c r="E330" s="87" t="s">
        <v>658</v>
      </c>
      <c r="F330" s="48" t="s">
        <v>25</v>
      </c>
      <c r="G330" s="48" t="s">
        <v>1639</v>
      </c>
      <c r="H330" s="48" t="s">
        <v>17</v>
      </c>
      <c r="I330" s="48" t="s">
        <v>1505</v>
      </c>
      <c r="J330" s="87" t="s">
        <v>1368</v>
      </c>
      <c r="K330" s="88">
        <v>32628</v>
      </c>
      <c r="L330" s="89">
        <v>1989</v>
      </c>
      <c r="M330" s="89">
        <f t="shared" si="23"/>
        <v>30</v>
      </c>
      <c r="N330" s="48" t="s">
        <v>11</v>
      </c>
      <c r="O330" s="48" t="s">
        <v>1369</v>
      </c>
      <c r="P330" s="87" t="s">
        <v>1393</v>
      </c>
      <c r="Q330" s="48"/>
      <c r="R330" s="87" t="s">
        <v>1371</v>
      </c>
    </row>
    <row r="331" spans="2:18" ht="25.5">
      <c r="B331" s="130"/>
      <c r="C331" s="130"/>
      <c r="D331" s="48">
        <v>324</v>
      </c>
      <c r="E331" s="87" t="s">
        <v>1638</v>
      </c>
      <c r="F331" s="48" t="s">
        <v>1463</v>
      </c>
      <c r="G331" s="48" t="s">
        <v>1640</v>
      </c>
      <c r="H331" s="48" t="s">
        <v>9</v>
      </c>
      <c r="I331" s="48" t="s">
        <v>23</v>
      </c>
      <c r="J331" s="87" t="s">
        <v>1489</v>
      </c>
      <c r="K331" s="88">
        <v>41608</v>
      </c>
      <c r="L331" s="89">
        <v>2013</v>
      </c>
      <c r="M331" s="89">
        <f t="shared" si="23"/>
        <v>6</v>
      </c>
      <c r="N331" s="48" t="s">
        <v>11</v>
      </c>
      <c r="O331" s="48" t="s">
        <v>1369</v>
      </c>
      <c r="P331" s="87" t="s">
        <v>1378</v>
      </c>
      <c r="Q331" s="48"/>
      <c r="R331" s="87" t="s">
        <v>1389</v>
      </c>
    </row>
    <row r="332" spans="2:18" ht="25.5">
      <c r="B332" s="130">
        <v>104</v>
      </c>
      <c r="C332" s="130" t="s">
        <v>1410</v>
      </c>
      <c r="D332" s="48">
        <v>325</v>
      </c>
      <c r="E332" s="87" t="s">
        <v>481</v>
      </c>
      <c r="F332" s="48" t="s">
        <v>14</v>
      </c>
      <c r="G332" s="48" t="s">
        <v>482</v>
      </c>
      <c r="H332" s="48" t="s">
        <v>9</v>
      </c>
      <c r="I332" s="48" t="s">
        <v>10</v>
      </c>
      <c r="J332" s="87" t="s">
        <v>1387</v>
      </c>
      <c r="K332" s="88">
        <v>30681</v>
      </c>
      <c r="L332" s="89">
        <v>1983</v>
      </c>
      <c r="M332" s="89">
        <f t="shared" si="23"/>
        <v>36</v>
      </c>
      <c r="N332" s="48" t="s">
        <v>11</v>
      </c>
      <c r="O332" s="48" t="s">
        <v>1369</v>
      </c>
      <c r="P332" s="87" t="s">
        <v>1393</v>
      </c>
      <c r="Q332" s="48"/>
      <c r="R332" s="87" t="s">
        <v>1371</v>
      </c>
    </row>
    <row r="333" spans="2:18" ht="25.5">
      <c r="B333" s="130"/>
      <c r="C333" s="130"/>
      <c r="D333" s="48">
        <v>326</v>
      </c>
      <c r="E333" s="87" t="s">
        <v>483</v>
      </c>
      <c r="F333" s="48" t="s">
        <v>20</v>
      </c>
      <c r="G333" s="48" t="s">
        <v>484</v>
      </c>
      <c r="H333" s="48" t="s">
        <v>17</v>
      </c>
      <c r="I333" s="48" t="s">
        <v>10</v>
      </c>
      <c r="J333" s="87" t="s">
        <v>1387</v>
      </c>
      <c r="K333" s="88">
        <v>31047</v>
      </c>
      <c r="L333" s="89">
        <v>1984</v>
      </c>
      <c r="M333" s="89">
        <f t="shared" si="23"/>
        <v>35</v>
      </c>
      <c r="N333" s="48" t="s">
        <v>11</v>
      </c>
      <c r="O333" s="48" t="s">
        <v>1369</v>
      </c>
      <c r="P333" s="87" t="s">
        <v>1393</v>
      </c>
      <c r="Q333" s="48"/>
      <c r="R333" s="87" t="s">
        <v>1371</v>
      </c>
    </row>
    <row r="334" spans="2:18" ht="25.5">
      <c r="B334" s="130"/>
      <c r="C334" s="130"/>
      <c r="D334" s="48">
        <v>327</v>
      </c>
      <c r="E334" s="87" t="s">
        <v>485</v>
      </c>
      <c r="F334" s="48" t="s">
        <v>25</v>
      </c>
      <c r="G334" s="48" t="s">
        <v>486</v>
      </c>
      <c r="H334" s="48" t="s">
        <v>17</v>
      </c>
      <c r="I334" s="48" t="s">
        <v>23</v>
      </c>
      <c r="J334" s="87" t="s">
        <v>1387</v>
      </c>
      <c r="K334" s="88">
        <v>38353</v>
      </c>
      <c r="L334" s="89">
        <v>2005</v>
      </c>
      <c r="M334" s="89">
        <f t="shared" si="23"/>
        <v>14</v>
      </c>
      <c r="N334" s="48" t="s">
        <v>11</v>
      </c>
      <c r="O334" s="48" t="s">
        <v>1369</v>
      </c>
      <c r="P334" s="87" t="s">
        <v>1375</v>
      </c>
      <c r="Q334" s="48"/>
      <c r="R334" s="87" t="s">
        <v>1376</v>
      </c>
    </row>
    <row r="335" spans="2:18" ht="25.5">
      <c r="B335" s="130"/>
      <c r="C335" s="130"/>
      <c r="D335" s="48">
        <v>328</v>
      </c>
      <c r="E335" s="87" t="s">
        <v>487</v>
      </c>
      <c r="F335" s="48" t="s">
        <v>25</v>
      </c>
      <c r="G335" s="48" t="s">
        <v>488</v>
      </c>
      <c r="H335" s="48" t="s">
        <v>17</v>
      </c>
      <c r="I335" s="48" t="s">
        <v>23</v>
      </c>
      <c r="J335" s="87" t="s">
        <v>1387</v>
      </c>
      <c r="K335" s="88">
        <v>38790</v>
      </c>
      <c r="L335" s="89">
        <v>2006</v>
      </c>
      <c r="M335" s="89">
        <f t="shared" si="23"/>
        <v>13</v>
      </c>
      <c r="N335" s="48" t="s">
        <v>11</v>
      </c>
      <c r="O335" s="48" t="s">
        <v>1369</v>
      </c>
      <c r="P335" s="87" t="s">
        <v>1393</v>
      </c>
      <c r="Q335" s="48"/>
      <c r="R335" s="87" t="s">
        <v>1389</v>
      </c>
    </row>
    <row r="336" spans="2:18">
      <c r="B336" s="48">
        <v>105</v>
      </c>
      <c r="C336" s="48"/>
      <c r="D336" s="48">
        <v>329</v>
      </c>
      <c r="E336" s="87" t="s">
        <v>489</v>
      </c>
      <c r="F336" s="48" t="s">
        <v>14</v>
      </c>
      <c r="G336" s="48" t="s">
        <v>490</v>
      </c>
      <c r="H336" s="48" t="s">
        <v>17</v>
      </c>
      <c r="I336" s="48" t="s">
        <v>67</v>
      </c>
      <c r="J336" s="87"/>
      <c r="K336" s="88">
        <v>21155</v>
      </c>
      <c r="L336" s="89">
        <f>YEAR(K336)</f>
        <v>1957</v>
      </c>
      <c r="M336" s="89">
        <f t="shared" si="23"/>
        <v>62</v>
      </c>
      <c r="N336" s="48" t="s">
        <v>11</v>
      </c>
      <c r="O336" s="48"/>
      <c r="P336" s="87" t="s">
        <v>18</v>
      </c>
      <c r="Q336" s="48"/>
      <c r="R336" s="87" t="s">
        <v>19</v>
      </c>
    </row>
    <row r="337" spans="2:18" ht="25.5">
      <c r="B337" s="131">
        <v>106</v>
      </c>
      <c r="C337" s="130" t="s">
        <v>1642</v>
      </c>
      <c r="D337" s="48">
        <v>330</v>
      </c>
      <c r="E337" s="87" t="s">
        <v>492</v>
      </c>
      <c r="F337" s="48" t="s">
        <v>14</v>
      </c>
      <c r="G337" s="48" t="s">
        <v>1644</v>
      </c>
      <c r="H337" s="48" t="s">
        <v>17</v>
      </c>
      <c r="I337" s="48" t="s">
        <v>67</v>
      </c>
      <c r="J337" s="87" t="s">
        <v>1368</v>
      </c>
      <c r="K337" s="88">
        <v>30288</v>
      </c>
      <c r="L337" s="89">
        <v>1982</v>
      </c>
      <c r="M337" s="89">
        <f t="shared" si="23"/>
        <v>37</v>
      </c>
      <c r="N337" s="48" t="s">
        <v>11</v>
      </c>
      <c r="O337" s="48" t="s">
        <v>1369</v>
      </c>
      <c r="P337" s="87" t="s">
        <v>1378</v>
      </c>
      <c r="Q337" s="48"/>
      <c r="R337" s="87" t="s">
        <v>19</v>
      </c>
    </row>
    <row r="338" spans="2:18" ht="25.5">
      <c r="B338" s="132"/>
      <c r="C338" s="130"/>
      <c r="D338" s="48">
        <v>331</v>
      </c>
      <c r="E338" s="87" t="s">
        <v>1643</v>
      </c>
      <c r="F338" s="48" t="s">
        <v>25</v>
      </c>
      <c r="G338" s="48" t="s">
        <v>1645</v>
      </c>
      <c r="H338" s="48" t="s">
        <v>9</v>
      </c>
      <c r="I338" s="48" t="s">
        <v>23</v>
      </c>
      <c r="J338" s="87" t="s">
        <v>1647</v>
      </c>
      <c r="K338" s="88">
        <v>41104</v>
      </c>
      <c r="L338" s="89">
        <v>2012</v>
      </c>
      <c r="M338" s="89">
        <f t="shared" si="23"/>
        <v>7</v>
      </c>
      <c r="N338" s="48" t="s">
        <v>11</v>
      </c>
      <c r="O338" s="48" t="s">
        <v>1369</v>
      </c>
      <c r="P338" s="87" t="s">
        <v>1378</v>
      </c>
      <c r="Q338" s="48"/>
      <c r="R338" s="87" t="s">
        <v>1389</v>
      </c>
    </row>
    <row r="339" spans="2:18" ht="25.5">
      <c r="B339" s="133"/>
      <c r="C339" s="130"/>
      <c r="D339" s="48">
        <v>332</v>
      </c>
      <c r="E339" s="87" t="s">
        <v>491</v>
      </c>
      <c r="F339" s="48" t="s">
        <v>1457</v>
      </c>
      <c r="G339" s="48" t="s">
        <v>1646</v>
      </c>
      <c r="H339" s="48" t="s">
        <v>17</v>
      </c>
      <c r="I339" s="48" t="s">
        <v>1505</v>
      </c>
      <c r="J339" s="87" t="s">
        <v>1368</v>
      </c>
      <c r="K339" s="88">
        <v>25278</v>
      </c>
      <c r="L339" s="89">
        <v>1969</v>
      </c>
      <c r="M339" s="89">
        <f t="shared" si="23"/>
        <v>50</v>
      </c>
      <c r="N339" s="48" t="s">
        <v>11</v>
      </c>
      <c r="O339" s="48" t="s">
        <v>1369</v>
      </c>
      <c r="P339" s="87" t="s">
        <v>1378</v>
      </c>
      <c r="Q339" s="48"/>
      <c r="R339" s="87" t="s">
        <v>19</v>
      </c>
    </row>
    <row r="340" spans="2:18" ht="25.5">
      <c r="B340" s="130">
        <v>107</v>
      </c>
      <c r="C340" s="130" t="s">
        <v>1633</v>
      </c>
      <c r="D340" s="48">
        <v>333</v>
      </c>
      <c r="E340" s="87" t="s">
        <v>481</v>
      </c>
      <c r="F340" s="48" t="s">
        <v>14</v>
      </c>
      <c r="G340" s="48" t="s">
        <v>493</v>
      </c>
      <c r="H340" s="48" t="s">
        <v>9</v>
      </c>
      <c r="I340" s="48" t="s">
        <v>1448</v>
      </c>
      <c r="J340" s="87" t="s">
        <v>1368</v>
      </c>
      <c r="K340" s="88">
        <v>21185</v>
      </c>
      <c r="L340" s="89">
        <v>1957</v>
      </c>
      <c r="M340" s="89">
        <f t="shared" si="23"/>
        <v>62</v>
      </c>
      <c r="N340" s="48" t="s">
        <v>11</v>
      </c>
      <c r="O340" s="48" t="s">
        <v>1369</v>
      </c>
      <c r="P340" s="87" t="s">
        <v>1378</v>
      </c>
      <c r="Q340" s="48"/>
      <c r="R340" s="87" t="s">
        <v>1371</v>
      </c>
    </row>
    <row r="341" spans="2:18" ht="25.5">
      <c r="B341" s="130"/>
      <c r="C341" s="130"/>
      <c r="D341" s="48">
        <v>334</v>
      </c>
      <c r="E341" s="87" t="s">
        <v>494</v>
      </c>
      <c r="F341" s="48" t="s">
        <v>1456</v>
      </c>
      <c r="G341" s="48" t="s">
        <v>495</v>
      </c>
      <c r="H341" s="48" t="s">
        <v>17</v>
      </c>
      <c r="I341" s="48" t="s">
        <v>1448</v>
      </c>
      <c r="J341" s="87" t="s">
        <v>1368</v>
      </c>
      <c r="K341" s="88">
        <v>17532</v>
      </c>
      <c r="L341" s="89">
        <v>1947</v>
      </c>
      <c r="M341" s="89">
        <f t="shared" si="23"/>
        <v>72</v>
      </c>
      <c r="N341" s="48" t="s">
        <v>11</v>
      </c>
      <c r="O341" s="48" t="s">
        <v>1369</v>
      </c>
      <c r="P341" s="87" t="s">
        <v>1378</v>
      </c>
      <c r="Q341" s="48"/>
      <c r="R341" s="87" t="s">
        <v>1373</v>
      </c>
    </row>
    <row r="342" spans="2:18" ht="25.5">
      <c r="B342" s="130">
        <v>108</v>
      </c>
      <c r="C342" s="130" t="s">
        <v>1564</v>
      </c>
      <c r="D342" s="48">
        <v>335</v>
      </c>
      <c r="E342" s="87" t="s">
        <v>367</v>
      </c>
      <c r="F342" s="48" t="s">
        <v>14</v>
      </c>
      <c r="G342" s="48" t="s">
        <v>496</v>
      </c>
      <c r="H342" s="48" t="s">
        <v>9</v>
      </c>
      <c r="I342" s="48" t="s">
        <v>10</v>
      </c>
      <c r="J342" s="87" t="s">
        <v>1387</v>
      </c>
      <c r="K342" s="88">
        <v>28125</v>
      </c>
      <c r="L342" s="89">
        <v>1976</v>
      </c>
      <c r="M342" s="89">
        <f t="shared" si="23"/>
        <v>43</v>
      </c>
      <c r="N342" s="48" t="s">
        <v>11</v>
      </c>
      <c r="O342" s="48" t="s">
        <v>1369</v>
      </c>
      <c r="P342" s="87" t="s">
        <v>28</v>
      </c>
      <c r="Q342" s="48"/>
      <c r="R342" s="87" t="s">
        <v>1371</v>
      </c>
    </row>
    <row r="343" spans="2:18" ht="25.5">
      <c r="B343" s="130"/>
      <c r="C343" s="130"/>
      <c r="D343" s="48">
        <v>336</v>
      </c>
      <c r="E343" s="87" t="s">
        <v>497</v>
      </c>
      <c r="F343" s="48" t="s">
        <v>20</v>
      </c>
      <c r="G343" s="48" t="s">
        <v>498</v>
      </c>
      <c r="H343" s="48" t="s">
        <v>17</v>
      </c>
      <c r="I343" s="48" t="s">
        <v>10</v>
      </c>
      <c r="J343" s="87" t="s">
        <v>1565</v>
      </c>
      <c r="K343" s="88">
        <v>30316</v>
      </c>
      <c r="L343" s="89">
        <v>1982</v>
      </c>
      <c r="M343" s="89">
        <f t="shared" si="23"/>
        <v>37</v>
      </c>
      <c r="N343" s="48" t="s">
        <v>11</v>
      </c>
      <c r="O343" s="48" t="s">
        <v>1369</v>
      </c>
      <c r="P343" s="87" t="s">
        <v>28</v>
      </c>
      <c r="Q343" s="48"/>
      <c r="R343" s="87" t="s">
        <v>1566</v>
      </c>
    </row>
    <row r="344" spans="2:18" ht="25.5">
      <c r="B344" s="130"/>
      <c r="C344" s="130"/>
      <c r="D344" s="48">
        <v>337</v>
      </c>
      <c r="E344" s="87" t="s">
        <v>206</v>
      </c>
      <c r="F344" s="48" t="s">
        <v>25</v>
      </c>
      <c r="G344" s="48" t="s">
        <v>499</v>
      </c>
      <c r="H344" s="48" t="s">
        <v>17</v>
      </c>
      <c r="I344" s="48" t="s">
        <v>23</v>
      </c>
      <c r="J344" s="87" t="s">
        <v>1489</v>
      </c>
      <c r="K344" s="88">
        <v>41329</v>
      </c>
      <c r="L344" s="89">
        <v>2013</v>
      </c>
      <c r="M344" s="89">
        <f t="shared" si="23"/>
        <v>6</v>
      </c>
      <c r="N344" s="48" t="s">
        <v>11</v>
      </c>
      <c r="O344" s="48" t="s">
        <v>1369</v>
      </c>
      <c r="P344" s="87" t="s">
        <v>1378</v>
      </c>
      <c r="Q344" s="48"/>
      <c r="R344" s="87" t="s">
        <v>1389</v>
      </c>
    </row>
    <row r="345" spans="2:18">
      <c r="B345" s="130">
        <v>109</v>
      </c>
      <c r="C345" s="130"/>
      <c r="D345" s="48">
        <v>338</v>
      </c>
      <c r="E345" s="87" t="s">
        <v>500</v>
      </c>
      <c r="F345" s="48" t="s">
        <v>14</v>
      </c>
      <c r="G345" s="48" t="s">
        <v>501</v>
      </c>
      <c r="H345" s="48" t="s">
        <v>9</v>
      </c>
      <c r="I345" s="48" t="s">
        <v>10</v>
      </c>
      <c r="J345" s="87"/>
      <c r="K345" s="88">
        <v>30651</v>
      </c>
      <c r="L345" s="89">
        <f t="shared" ref="L345:L347" si="24">YEAR(K345)</f>
        <v>1983</v>
      </c>
      <c r="M345" s="89">
        <f t="shared" si="23"/>
        <v>36</v>
      </c>
      <c r="N345" s="48" t="s">
        <v>11</v>
      </c>
      <c r="O345" s="48"/>
      <c r="P345" s="87" t="s">
        <v>28</v>
      </c>
      <c r="Q345" s="48"/>
      <c r="R345" s="87" t="s">
        <v>49</v>
      </c>
    </row>
    <row r="346" spans="2:18">
      <c r="B346" s="130"/>
      <c r="C346" s="130"/>
      <c r="D346" s="48">
        <v>339</v>
      </c>
      <c r="E346" s="87" t="s">
        <v>234</v>
      </c>
      <c r="F346" s="48" t="s">
        <v>20</v>
      </c>
      <c r="G346" s="48" t="s">
        <v>502</v>
      </c>
      <c r="H346" s="48" t="s">
        <v>17</v>
      </c>
      <c r="I346" s="48" t="s">
        <v>10</v>
      </c>
      <c r="J346" s="87"/>
      <c r="K346" s="88">
        <v>33177</v>
      </c>
      <c r="L346" s="89">
        <f t="shared" si="24"/>
        <v>1990</v>
      </c>
      <c r="M346" s="89">
        <f t="shared" si="23"/>
        <v>29</v>
      </c>
      <c r="N346" s="48" t="s">
        <v>11</v>
      </c>
      <c r="O346" s="48"/>
      <c r="P346" s="87" t="s">
        <v>28</v>
      </c>
      <c r="Q346" s="48"/>
      <c r="R346" s="87" t="s">
        <v>24</v>
      </c>
    </row>
    <row r="347" spans="2:18" ht="25.5">
      <c r="B347" s="130"/>
      <c r="C347" s="130"/>
      <c r="D347" s="48">
        <v>340</v>
      </c>
      <c r="E347" s="87" t="s">
        <v>503</v>
      </c>
      <c r="F347" s="48" t="s">
        <v>25</v>
      </c>
      <c r="G347" s="48" t="s">
        <v>504</v>
      </c>
      <c r="H347" s="48" t="s">
        <v>17</v>
      </c>
      <c r="I347" s="48" t="s">
        <v>23</v>
      </c>
      <c r="J347" s="87"/>
      <c r="K347" s="88">
        <v>40649</v>
      </c>
      <c r="L347" s="89">
        <f t="shared" si="24"/>
        <v>2011</v>
      </c>
      <c r="M347" s="89">
        <f t="shared" si="23"/>
        <v>8</v>
      </c>
      <c r="N347" s="48" t="s">
        <v>11</v>
      </c>
      <c r="O347" s="48"/>
      <c r="P347" s="87" t="s">
        <v>18</v>
      </c>
      <c r="Q347" s="48"/>
      <c r="R347" s="87" t="s">
        <v>18</v>
      </c>
    </row>
    <row r="348" spans="2:18" ht="25.5">
      <c r="B348" s="130">
        <v>110</v>
      </c>
      <c r="C348" s="130" t="s">
        <v>1817</v>
      </c>
      <c r="D348" s="48">
        <v>341</v>
      </c>
      <c r="E348" s="87" t="s">
        <v>505</v>
      </c>
      <c r="F348" s="48" t="s">
        <v>14</v>
      </c>
      <c r="G348" s="48" t="s">
        <v>506</v>
      </c>
      <c r="H348" s="48" t="s">
        <v>9</v>
      </c>
      <c r="I348" s="48" t="s">
        <v>10</v>
      </c>
      <c r="J348" s="87" t="s">
        <v>1387</v>
      </c>
      <c r="K348" s="88">
        <v>18628</v>
      </c>
      <c r="L348" s="89">
        <v>1950</v>
      </c>
      <c r="M348" s="89">
        <f t="shared" si="23"/>
        <v>69</v>
      </c>
      <c r="N348" s="48" t="s">
        <v>11</v>
      </c>
      <c r="O348" s="48" t="s">
        <v>1369</v>
      </c>
      <c r="P348" s="87" t="s">
        <v>1393</v>
      </c>
      <c r="Q348" s="48"/>
      <c r="R348" s="87" t="s">
        <v>1654</v>
      </c>
    </row>
    <row r="349" spans="2:18" ht="25.5">
      <c r="B349" s="130"/>
      <c r="C349" s="130"/>
      <c r="D349" s="48">
        <v>342</v>
      </c>
      <c r="E349" s="87" t="s">
        <v>507</v>
      </c>
      <c r="F349" s="48" t="s">
        <v>20</v>
      </c>
      <c r="G349" s="48" t="s">
        <v>508</v>
      </c>
      <c r="H349" s="48" t="s">
        <v>17</v>
      </c>
      <c r="I349" s="48" t="s">
        <v>10</v>
      </c>
      <c r="J349" s="87" t="s">
        <v>1387</v>
      </c>
      <c r="K349" s="88">
        <v>19359</v>
      </c>
      <c r="L349" s="89">
        <v>1952</v>
      </c>
      <c r="M349" s="89">
        <f t="shared" si="23"/>
        <v>67</v>
      </c>
      <c r="N349" s="48" t="s">
        <v>11</v>
      </c>
      <c r="O349" s="48" t="s">
        <v>1369</v>
      </c>
      <c r="P349" s="87" t="s">
        <v>1393</v>
      </c>
      <c r="Q349" s="48"/>
      <c r="R349" s="87" t="s">
        <v>19</v>
      </c>
    </row>
    <row r="350" spans="2:18">
      <c r="B350" s="130">
        <v>111</v>
      </c>
      <c r="C350" s="130" t="s">
        <v>1758</v>
      </c>
      <c r="D350" s="48">
        <v>343</v>
      </c>
      <c r="E350" s="87" t="s">
        <v>331</v>
      </c>
      <c r="F350" s="48" t="s">
        <v>14</v>
      </c>
      <c r="G350" s="48" t="s">
        <v>1760</v>
      </c>
      <c r="H350" s="48" t="s">
        <v>9</v>
      </c>
      <c r="I350" s="48" t="s">
        <v>10</v>
      </c>
      <c r="J350" s="87" t="s">
        <v>1387</v>
      </c>
      <c r="K350" s="88">
        <v>30455</v>
      </c>
      <c r="L350" s="89">
        <v>1983</v>
      </c>
      <c r="M350" s="89">
        <f t="shared" si="23"/>
        <v>36</v>
      </c>
      <c r="N350" s="48" t="s">
        <v>11</v>
      </c>
      <c r="O350" s="48" t="s">
        <v>1369</v>
      </c>
      <c r="P350" s="87" t="s">
        <v>28</v>
      </c>
      <c r="Q350" s="48"/>
      <c r="R350" s="87" t="s">
        <v>49</v>
      </c>
    </row>
    <row r="351" spans="2:18" ht="25.5">
      <c r="B351" s="130"/>
      <c r="C351" s="130"/>
      <c r="D351" s="48">
        <v>344</v>
      </c>
      <c r="E351" s="87" t="s">
        <v>206</v>
      </c>
      <c r="F351" s="48" t="s">
        <v>20</v>
      </c>
      <c r="G351" s="48" t="s">
        <v>1761</v>
      </c>
      <c r="H351" s="48" t="s">
        <v>17</v>
      </c>
      <c r="I351" s="48" t="s">
        <v>10</v>
      </c>
      <c r="J351" s="87" t="s">
        <v>1763</v>
      </c>
      <c r="K351" s="88">
        <v>33802</v>
      </c>
      <c r="L351" s="89">
        <v>1992</v>
      </c>
      <c r="M351" s="89">
        <f t="shared" si="23"/>
        <v>27</v>
      </c>
      <c r="N351" s="48" t="s">
        <v>11</v>
      </c>
      <c r="O351" s="48" t="s">
        <v>1369</v>
      </c>
      <c r="P351" s="87" t="s">
        <v>28</v>
      </c>
      <c r="Q351" s="48"/>
      <c r="R351" s="87" t="s">
        <v>1371</v>
      </c>
    </row>
    <row r="352" spans="2:18" ht="25.5">
      <c r="B352" s="130"/>
      <c r="C352" s="130"/>
      <c r="D352" s="48">
        <v>345</v>
      </c>
      <c r="E352" s="87" t="s">
        <v>1759</v>
      </c>
      <c r="F352" s="48" t="s">
        <v>25</v>
      </c>
      <c r="G352" s="48" t="s">
        <v>1762</v>
      </c>
      <c r="H352" s="48" t="s">
        <v>17</v>
      </c>
      <c r="I352" s="48" t="s">
        <v>23</v>
      </c>
      <c r="J352" s="87" t="s">
        <v>1387</v>
      </c>
      <c r="K352" s="88">
        <v>41830</v>
      </c>
      <c r="L352" s="89">
        <v>2014</v>
      </c>
      <c r="M352" s="89">
        <f t="shared" si="23"/>
        <v>5</v>
      </c>
      <c r="N352" s="48" t="s">
        <v>11</v>
      </c>
      <c r="O352" s="48" t="s">
        <v>1369</v>
      </c>
      <c r="P352" s="87" t="s">
        <v>1378</v>
      </c>
      <c r="Q352" s="48"/>
      <c r="R352" s="87" t="s">
        <v>1389</v>
      </c>
    </row>
    <row r="353" spans="1:19" ht="25.5">
      <c r="B353" s="130">
        <v>112</v>
      </c>
      <c r="C353" s="130" t="s">
        <v>1682</v>
      </c>
      <c r="D353" s="48">
        <v>346</v>
      </c>
      <c r="E353" s="87" t="s">
        <v>509</v>
      </c>
      <c r="F353" s="48" t="s">
        <v>14</v>
      </c>
      <c r="G353" s="48" t="s">
        <v>510</v>
      </c>
      <c r="H353" s="48" t="s">
        <v>9</v>
      </c>
      <c r="I353" s="48" t="s">
        <v>10</v>
      </c>
      <c r="J353" s="87" t="s">
        <v>1387</v>
      </c>
      <c r="K353" s="88">
        <v>30316</v>
      </c>
      <c r="L353" s="89">
        <v>1982</v>
      </c>
      <c r="M353" s="89">
        <f t="shared" si="23"/>
        <v>37</v>
      </c>
      <c r="N353" s="48" t="s">
        <v>11</v>
      </c>
      <c r="O353" s="48" t="s">
        <v>1369</v>
      </c>
      <c r="P353" s="87" t="s">
        <v>28</v>
      </c>
      <c r="Q353" s="48"/>
      <c r="R353" s="87" t="s">
        <v>1371</v>
      </c>
    </row>
    <row r="354" spans="1:19" ht="25.5">
      <c r="B354" s="130"/>
      <c r="C354" s="130"/>
      <c r="D354" s="48">
        <v>347</v>
      </c>
      <c r="E354" s="87" t="s">
        <v>511</v>
      </c>
      <c r="F354" s="48" t="s">
        <v>20</v>
      </c>
      <c r="G354" s="48" t="s">
        <v>1686</v>
      </c>
      <c r="H354" s="48" t="s">
        <v>17</v>
      </c>
      <c r="I354" s="48" t="s">
        <v>10</v>
      </c>
      <c r="J354" s="87" t="s">
        <v>1687</v>
      </c>
      <c r="K354" s="88">
        <v>32847</v>
      </c>
      <c r="L354" s="89">
        <v>1989</v>
      </c>
      <c r="M354" s="89">
        <f t="shared" si="23"/>
        <v>30</v>
      </c>
      <c r="N354" s="48" t="s">
        <v>11</v>
      </c>
      <c r="O354" s="48" t="s">
        <v>1369</v>
      </c>
      <c r="P354" s="87" t="s">
        <v>33</v>
      </c>
      <c r="Q354" s="48"/>
      <c r="R354" s="87" t="s">
        <v>1373</v>
      </c>
    </row>
    <row r="355" spans="1:19" ht="25.5">
      <c r="B355" s="130"/>
      <c r="C355" s="130"/>
      <c r="D355" s="48">
        <v>348</v>
      </c>
      <c r="E355" s="87" t="s">
        <v>1683</v>
      </c>
      <c r="F355" s="48" t="s">
        <v>25</v>
      </c>
      <c r="G355" s="48" t="s">
        <v>1684</v>
      </c>
      <c r="H355" s="48" t="s">
        <v>9</v>
      </c>
      <c r="I355" s="48" t="s">
        <v>23</v>
      </c>
      <c r="J355" s="87" t="s">
        <v>1387</v>
      </c>
      <c r="K355" s="88">
        <v>39309</v>
      </c>
      <c r="L355" s="89">
        <v>2007</v>
      </c>
      <c r="M355" s="89">
        <f t="shared" si="23"/>
        <v>12</v>
      </c>
      <c r="N355" s="48" t="s">
        <v>11</v>
      </c>
      <c r="O355" s="48" t="s">
        <v>1369</v>
      </c>
      <c r="P355" s="87" t="s">
        <v>1375</v>
      </c>
      <c r="Q355" s="48"/>
      <c r="R355" s="87" t="s">
        <v>1376</v>
      </c>
    </row>
    <row r="356" spans="1:19" ht="25.5">
      <c r="B356" s="130"/>
      <c r="C356" s="130"/>
      <c r="D356" s="48">
        <v>349</v>
      </c>
      <c r="E356" s="87" t="s">
        <v>512</v>
      </c>
      <c r="F356" s="48" t="s">
        <v>25</v>
      </c>
      <c r="G356" s="48" t="s">
        <v>1685</v>
      </c>
      <c r="H356" s="48" t="s">
        <v>9</v>
      </c>
      <c r="I356" s="48" t="s">
        <v>23</v>
      </c>
      <c r="J356" s="87" t="s">
        <v>1387</v>
      </c>
      <c r="K356" s="88">
        <v>41070</v>
      </c>
      <c r="L356" s="89">
        <v>2012</v>
      </c>
      <c r="M356" s="89">
        <f t="shared" si="23"/>
        <v>7</v>
      </c>
      <c r="N356" s="48" t="s">
        <v>11</v>
      </c>
      <c r="O356" s="48" t="s">
        <v>1369</v>
      </c>
      <c r="P356" s="87" t="s">
        <v>1378</v>
      </c>
      <c r="Q356" s="48"/>
      <c r="R356" s="87" t="s">
        <v>1389</v>
      </c>
    </row>
    <row r="357" spans="1:19">
      <c r="B357" s="130">
        <v>113</v>
      </c>
      <c r="C357" s="130" t="s">
        <v>1707</v>
      </c>
      <c r="D357" s="48">
        <v>350</v>
      </c>
      <c r="E357" s="87" t="s">
        <v>513</v>
      </c>
      <c r="F357" s="48" t="s">
        <v>14</v>
      </c>
      <c r="G357" s="48" t="s">
        <v>1713</v>
      </c>
      <c r="H357" s="48" t="s">
        <v>9</v>
      </c>
      <c r="I357" s="48" t="s">
        <v>10</v>
      </c>
      <c r="J357" s="87" t="s">
        <v>1387</v>
      </c>
      <c r="K357" s="88">
        <v>29220</v>
      </c>
      <c r="L357" s="89">
        <v>1979</v>
      </c>
      <c r="M357" s="89">
        <f t="shared" si="23"/>
        <v>40</v>
      </c>
      <c r="N357" s="48" t="s">
        <v>11</v>
      </c>
      <c r="O357" s="48" t="s">
        <v>1369</v>
      </c>
      <c r="P357" s="87" t="s">
        <v>28</v>
      </c>
      <c r="Q357" s="48"/>
      <c r="R357" s="87" t="s">
        <v>49</v>
      </c>
    </row>
    <row r="358" spans="1:19" ht="25.5">
      <c r="B358" s="130"/>
      <c r="C358" s="130"/>
      <c r="D358" s="48">
        <v>351</v>
      </c>
      <c r="E358" s="87" t="s">
        <v>514</v>
      </c>
      <c r="F358" s="48" t="s">
        <v>20</v>
      </c>
      <c r="G358" s="48" t="s">
        <v>1712</v>
      </c>
      <c r="H358" s="48" t="s">
        <v>17</v>
      </c>
      <c r="I358" s="48" t="s">
        <v>10</v>
      </c>
      <c r="J358" s="87" t="s">
        <v>1368</v>
      </c>
      <c r="K358" s="88">
        <v>32222</v>
      </c>
      <c r="L358" s="89">
        <v>1988</v>
      </c>
      <c r="M358" s="89">
        <f t="shared" si="23"/>
        <v>31</v>
      </c>
      <c r="N358" s="48" t="s">
        <v>11</v>
      </c>
      <c r="O358" s="48" t="s">
        <v>1369</v>
      </c>
      <c r="P358" s="87" t="s">
        <v>28</v>
      </c>
      <c r="Q358" s="48"/>
      <c r="R358" s="87" t="s">
        <v>1389</v>
      </c>
    </row>
    <row r="359" spans="1:19" ht="25.5">
      <c r="B359" s="130"/>
      <c r="C359" s="130"/>
      <c r="D359" s="48">
        <v>352</v>
      </c>
      <c r="E359" s="87" t="s">
        <v>1708</v>
      </c>
      <c r="F359" s="48" t="s">
        <v>25</v>
      </c>
      <c r="G359" s="48" t="s">
        <v>515</v>
      </c>
      <c r="H359" s="48" t="s">
        <v>9</v>
      </c>
      <c r="I359" s="48" t="s">
        <v>23</v>
      </c>
      <c r="J359" s="87" t="s">
        <v>1368</v>
      </c>
      <c r="K359" s="88">
        <v>37670</v>
      </c>
      <c r="L359" s="89">
        <v>2003</v>
      </c>
      <c r="M359" s="89">
        <f t="shared" si="23"/>
        <v>16</v>
      </c>
      <c r="N359" s="48" t="s">
        <v>11</v>
      </c>
      <c r="O359" s="48" t="s">
        <v>1369</v>
      </c>
      <c r="P359" s="87" t="s">
        <v>1375</v>
      </c>
      <c r="Q359" s="48"/>
      <c r="R359" s="87" t="s">
        <v>1376</v>
      </c>
    </row>
    <row r="360" spans="1:19" ht="25.5">
      <c r="B360" s="130"/>
      <c r="C360" s="130"/>
      <c r="D360" s="48">
        <v>353</v>
      </c>
      <c r="E360" s="87" t="s">
        <v>1709</v>
      </c>
      <c r="F360" s="48" t="s">
        <v>25</v>
      </c>
      <c r="G360" s="48" t="s">
        <v>516</v>
      </c>
      <c r="H360" s="48" t="s">
        <v>9</v>
      </c>
      <c r="I360" s="48" t="s">
        <v>23</v>
      </c>
      <c r="J360" s="87" t="s">
        <v>1368</v>
      </c>
      <c r="K360" s="88">
        <v>39988</v>
      </c>
      <c r="L360" s="89">
        <v>2009</v>
      </c>
      <c r="M360" s="89">
        <f t="shared" si="23"/>
        <v>10</v>
      </c>
      <c r="N360" s="48" t="s">
        <v>11</v>
      </c>
      <c r="O360" s="48" t="s">
        <v>1369</v>
      </c>
      <c r="P360" s="87" t="s">
        <v>1378</v>
      </c>
      <c r="Q360" s="48"/>
      <c r="R360" s="87" t="s">
        <v>1389</v>
      </c>
    </row>
    <row r="361" spans="1:19" s="48" customFormat="1" ht="25.5">
      <c r="A361" s="53"/>
      <c r="B361" s="130"/>
      <c r="C361" s="130"/>
      <c r="D361" s="48">
        <v>354</v>
      </c>
      <c r="E361" s="87" t="s">
        <v>1710</v>
      </c>
      <c r="F361" s="48" t="s">
        <v>25</v>
      </c>
      <c r="G361" s="48" t="s">
        <v>1711</v>
      </c>
      <c r="H361" s="48" t="s">
        <v>17</v>
      </c>
      <c r="I361" s="48" t="s">
        <v>23</v>
      </c>
      <c r="J361" s="87" t="s">
        <v>1368</v>
      </c>
      <c r="K361" s="88">
        <v>42826</v>
      </c>
      <c r="L361" s="89">
        <v>2017</v>
      </c>
      <c r="M361" s="89">
        <f t="shared" si="23"/>
        <v>2</v>
      </c>
      <c r="N361" s="48" t="s">
        <v>11</v>
      </c>
      <c r="O361" s="48" t="s">
        <v>1369</v>
      </c>
      <c r="P361" s="87" t="s">
        <v>1378</v>
      </c>
      <c r="R361" s="87" t="s">
        <v>1389</v>
      </c>
      <c r="S361" s="55"/>
    </row>
    <row r="362" spans="1:19" ht="25.5">
      <c r="B362" s="130">
        <v>114</v>
      </c>
      <c r="C362" s="130" t="s">
        <v>1391</v>
      </c>
      <c r="D362" s="48">
        <v>355</v>
      </c>
      <c r="E362" s="87" t="s">
        <v>633</v>
      </c>
      <c r="F362" s="48" t="s">
        <v>14</v>
      </c>
      <c r="G362" s="48" t="s">
        <v>1392</v>
      </c>
      <c r="H362" s="48" t="s">
        <v>9</v>
      </c>
      <c r="I362" s="48" t="s">
        <v>10</v>
      </c>
      <c r="J362" s="87" t="s">
        <v>1387</v>
      </c>
      <c r="K362" s="88">
        <v>27897</v>
      </c>
      <c r="L362" s="89">
        <v>1976</v>
      </c>
      <c r="M362" s="89">
        <f t="shared" si="23"/>
        <v>43</v>
      </c>
      <c r="N362" s="48" t="s">
        <v>11</v>
      </c>
      <c r="O362" s="48" t="s">
        <v>1369</v>
      </c>
      <c r="P362" s="87" t="s">
        <v>1393</v>
      </c>
      <c r="Q362" s="48"/>
      <c r="R362" s="87" t="s">
        <v>49</v>
      </c>
    </row>
    <row r="363" spans="1:19" ht="25.5">
      <c r="B363" s="130"/>
      <c r="C363" s="130"/>
      <c r="D363" s="48">
        <v>356</v>
      </c>
      <c r="E363" s="87" t="s">
        <v>634</v>
      </c>
      <c r="F363" s="48" t="s">
        <v>20</v>
      </c>
      <c r="G363" s="48" t="s">
        <v>1394</v>
      </c>
      <c r="H363" s="48" t="s">
        <v>17</v>
      </c>
      <c r="I363" s="48" t="s">
        <v>10</v>
      </c>
      <c r="J363" s="87" t="s">
        <v>1395</v>
      </c>
      <c r="K363" s="88">
        <v>28855</v>
      </c>
      <c r="L363" s="89">
        <v>1978</v>
      </c>
      <c r="M363" s="89">
        <f t="shared" si="23"/>
        <v>41</v>
      </c>
      <c r="N363" s="48" t="s">
        <v>11</v>
      </c>
      <c r="O363" s="48" t="s">
        <v>1369</v>
      </c>
      <c r="P363" s="87" t="s">
        <v>1393</v>
      </c>
      <c r="Q363" s="48"/>
      <c r="R363" s="87" t="s">
        <v>1373</v>
      </c>
    </row>
    <row r="364" spans="1:19" ht="25.5">
      <c r="B364" s="130"/>
      <c r="C364" s="130"/>
      <c r="D364" s="48">
        <v>357</v>
      </c>
      <c r="E364" s="87" t="s">
        <v>1396</v>
      </c>
      <c r="F364" s="48" t="s">
        <v>25</v>
      </c>
      <c r="G364" s="48" t="s">
        <v>1397</v>
      </c>
      <c r="H364" s="48" t="s">
        <v>9</v>
      </c>
      <c r="I364" s="48" t="s">
        <v>23</v>
      </c>
      <c r="J364" s="87" t="s">
        <v>1387</v>
      </c>
      <c r="K364" s="88">
        <v>36671</v>
      </c>
      <c r="L364" s="89">
        <v>2000</v>
      </c>
      <c r="M364" s="89">
        <f t="shared" si="23"/>
        <v>19</v>
      </c>
      <c r="N364" s="48" t="s">
        <v>11</v>
      </c>
      <c r="O364" s="48" t="s">
        <v>1369</v>
      </c>
      <c r="P364" s="87" t="s">
        <v>1393</v>
      </c>
      <c r="Q364" s="48"/>
      <c r="R364" s="87" t="s">
        <v>1376</v>
      </c>
    </row>
    <row r="365" spans="1:19" ht="25.5">
      <c r="B365" s="130"/>
      <c r="C365" s="130"/>
      <c r="D365" s="48">
        <v>358</v>
      </c>
      <c r="E365" s="87" t="s">
        <v>1398</v>
      </c>
      <c r="F365" s="48" t="s">
        <v>25</v>
      </c>
      <c r="G365" s="48" t="s">
        <v>1399</v>
      </c>
      <c r="H365" s="48" t="s">
        <v>17</v>
      </c>
      <c r="I365" s="48" t="s">
        <v>23</v>
      </c>
      <c r="J365" s="87" t="s">
        <v>1387</v>
      </c>
      <c r="K365" s="88">
        <v>40494</v>
      </c>
      <c r="L365" s="89">
        <v>2010</v>
      </c>
      <c r="M365" s="89">
        <f t="shared" si="23"/>
        <v>9</v>
      </c>
      <c r="N365" s="48" t="s">
        <v>11</v>
      </c>
      <c r="O365" s="48" t="s">
        <v>1369</v>
      </c>
      <c r="P365" s="87" t="s">
        <v>1378</v>
      </c>
      <c r="Q365" s="48"/>
      <c r="R365" s="87" t="s">
        <v>1389</v>
      </c>
    </row>
    <row r="366" spans="1:19" ht="25.5">
      <c r="B366" s="130">
        <v>115</v>
      </c>
      <c r="C366" s="130" t="s">
        <v>1539</v>
      </c>
      <c r="D366" s="48">
        <v>359</v>
      </c>
      <c r="E366" s="87" t="s">
        <v>834</v>
      </c>
      <c r="F366" s="48" t="s">
        <v>14</v>
      </c>
      <c r="G366" s="48" t="s">
        <v>1542</v>
      </c>
      <c r="H366" s="48" t="s">
        <v>9</v>
      </c>
      <c r="I366" s="48" t="s">
        <v>10</v>
      </c>
      <c r="J366" s="87" t="s">
        <v>1368</v>
      </c>
      <c r="K366" s="88">
        <v>28065</v>
      </c>
      <c r="L366" s="89">
        <v>1976</v>
      </c>
      <c r="M366" s="89">
        <f t="shared" ref="M366:M394" si="25">2019-L366</f>
        <v>43</v>
      </c>
      <c r="N366" s="48" t="s">
        <v>11</v>
      </c>
      <c r="O366" s="48" t="s">
        <v>1369</v>
      </c>
      <c r="P366" s="87" t="s">
        <v>1393</v>
      </c>
      <c r="Q366" s="48"/>
      <c r="R366" s="87" t="s">
        <v>1371</v>
      </c>
    </row>
    <row r="367" spans="1:19" ht="25.5">
      <c r="B367" s="130"/>
      <c r="C367" s="130"/>
      <c r="D367" s="48">
        <v>360</v>
      </c>
      <c r="E367" s="87" t="s">
        <v>1540</v>
      </c>
      <c r="F367" s="48" t="s">
        <v>20</v>
      </c>
      <c r="G367" s="48" t="s">
        <v>1543</v>
      </c>
      <c r="H367" s="48" t="s">
        <v>17</v>
      </c>
      <c r="I367" s="48" t="s">
        <v>10</v>
      </c>
      <c r="J367" s="87" t="s">
        <v>1368</v>
      </c>
      <c r="K367" s="88">
        <v>28470</v>
      </c>
      <c r="L367" s="89">
        <v>1977</v>
      </c>
      <c r="M367" s="89">
        <f t="shared" si="25"/>
        <v>42</v>
      </c>
      <c r="N367" s="48" t="s">
        <v>11</v>
      </c>
      <c r="O367" s="48" t="s">
        <v>1369</v>
      </c>
      <c r="P367" s="87" t="s">
        <v>1393</v>
      </c>
      <c r="Q367" s="48"/>
      <c r="R367" s="87" t="s">
        <v>1371</v>
      </c>
    </row>
    <row r="368" spans="1:19" ht="25.5">
      <c r="B368" s="130">
        <v>116</v>
      </c>
      <c r="C368" s="130" t="s">
        <v>2135</v>
      </c>
      <c r="D368" s="48">
        <v>361</v>
      </c>
      <c r="E368" s="87" t="s">
        <v>965</v>
      </c>
      <c r="F368" s="48" t="s">
        <v>14</v>
      </c>
      <c r="G368" s="48" t="s">
        <v>966</v>
      </c>
      <c r="H368" s="48" t="s">
        <v>9</v>
      </c>
      <c r="I368" s="48" t="s">
        <v>10</v>
      </c>
      <c r="J368" s="87" t="s">
        <v>1387</v>
      </c>
      <c r="K368" s="88">
        <v>30597</v>
      </c>
      <c r="L368" s="89">
        <v>1983</v>
      </c>
      <c r="M368" s="89">
        <f t="shared" ref="M368:M374" si="26">2019-L368</f>
        <v>36</v>
      </c>
      <c r="N368" s="48" t="s">
        <v>11</v>
      </c>
      <c r="O368" s="48" t="s">
        <v>1369</v>
      </c>
      <c r="P368" s="87" t="s">
        <v>28</v>
      </c>
      <c r="Q368" s="48"/>
      <c r="R368" s="87" t="s">
        <v>1371</v>
      </c>
    </row>
    <row r="369" spans="1:19" ht="25.5">
      <c r="B369" s="130"/>
      <c r="C369" s="130"/>
      <c r="D369" s="48">
        <v>362</v>
      </c>
      <c r="E369" s="87" t="s">
        <v>351</v>
      </c>
      <c r="F369" s="48" t="s">
        <v>20</v>
      </c>
      <c r="G369" s="48" t="s">
        <v>967</v>
      </c>
      <c r="H369" s="48" t="s">
        <v>17</v>
      </c>
      <c r="I369" s="48" t="s">
        <v>10</v>
      </c>
      <c r="J369" s="87" t="s">
        <v>2136</v>
      </c>
      <c r="K369" s="88">
        <v>35247</v>
      </c>
      <c r="L369" s="89">
        <v>1996</v>
      </c>
      <c r="M369" s="89">
        <f t="shared" si="26"/>
        <v>23</v>
      </c>
      <c r="N369" s="48" t="s">
        <v>11</v>
      </c>
      <c r="O369" s="48" t="s">
        <v>1369</v>
      </c>
      <c r="P369" s="87" t="s">
        <v>28</v>
      </c>
      <c r="Q369" s="48"/>
      <c r="R369" s="87" t="s">
        <v>1371</v>
      </c>
    </row>
    <row r="370" spans="1:19" ht="25.5">
      <c r="B370" s="130"/>
      <c r="C370" s="130"/>
      <c r="D370" s="48">
        <v>363</v>
      </c>
      <c r="E370" s="87" t="s">
        <v>2154</v>
      </c>
      <c r="F370" s="48" t="s">
        <v>25</v>
      </c>
      <c r="G370" s="48" t="s">
        <v>2155</v>
      </c>
      <c r="H370" s="48" t="s">
        <v>17</v>
      </c>
      <c r="I370" s="48" t="s">
        <v>23</v>
      </c>
      <c r="J370" s="87" t="s">
        <v>1387</v>
      </c>
      <c r="K370" s="88">
        <v>42294</v>
      </c>
      <c r="L370" s="89">
        <v>2015</v>
      </c>
      <c r="M370" s="89">
        <f t="shared" si="26"/>
        <v>4</v>
      </c>
      <c r="N370" s="48" t="s">
        <v>11</v>
      </c>
      <c r="O370" s="48" t="s">
        <v>1369</v>
      </c>
      <c r="P370" s="87" t="s">
        <v>1425</v>
      </c>
      <c r="Q370" s="48"/>
      <c r="R370" s="87" t="s">
        <v>1486</v>
      </c>
    </row>
    <row r="371" spans="1:19" ht="25.5">
      <c r="B371" s="130">
        <v>117</v>
      </c>
      <c r="C371" s="130" t="s">
        <v>1943</v>
      </c>
      <c r="D371" s="48">
        <v>364</v>
      </c>
      <c r="E371" s="87" t="s">
        <v>721</v>
      </c>
      <c r="F371" s="48" t="s">
        <v>14</v>
      </c>
      <c r="G371" s="48" t="s">
        <v>1946</v>
      </c>
      <c r="H371" s="48" t="s">
        <v>9</v>
      </c>
      <c r="I371" s="48" t="s">
        <v>10</v>
      </c>
      <c r="J371" s="87" t="s">
        <v>1368</v>
      </c>
      <c r="K371" s="88">
        <v>28975</v>
      </c>
      <c r="L371" s="89">
        <v>1979</v>
      </c>
      <c r="M371" s="89">
        <f t="shared" si="26"/>
        <v>40</v>
      </c>
      <c r="N371" s="48" t="s">
        <v>11</v>
      </c>
      <c r="O371" s="48" t="s">
        <v>1369</v>
      </c>
      <c r="P371" s="87" t="s">
        <v>28</v>
      </c>
      <c r="Q371" s="48"/>
      <c r="R371" s="87" t="s">
        <v>1371</v>
      </c>
    </row>
    <row r="372" spans="1:19" ht="25.5">
      <c r="B372" s="130"/>
      <c r="C372" s="130"/>
      <c r="D372" s="48">
        <v>365</v>
      </c>
      <c r="E372" s="87" t="s">
        <v>1944</v>
      </c>
      <c r="F372" s="48" t="s">
        <v>20</v>
      </c>
      <c r="G372" s="48" t="s">
        <v>1947</v>
      </c>
      <c r="H372" s="48" t="s">
        <v>17</v>
      </c>
      <c r="I372" s="48" t="s">
        <v>10</v>
      </c>
      <c r="J372" s="87" t="s">
        <v>1368</v>
      </c>
      <c r="K372" s="88">
        <v>30002</v>
      </c>
      <c r="L372" s="89">
        <v>1982</v>
      </c>
      <c r="M372" s="89">
        <f t="shared" si="26"/>
        <v>37</v>
      </c>
      <c r="N372" s="48" t="s">
        <v>11</v>
      </c>
      <c r="O372" s="48" t="s">
        <v>1369</v>
      </c>
      <c r="P372" s="87" t="s">
        <v>28</v>
      </c>
      <c r="Q372" s="48"/>
      <c r="R372" s="87" t="s">
        <v>1371</v>
      </c>
    </row>
    <row r="373" spans="1:19" ht="25.5">
      <c r="B373" s="130"/>
      <c r="C373" s="130"/>
      <c r="D373" s="48">
        <v>366</v>
      </c>
      <c r="E373" s="87" t="s">
        <v>1945</v>
      </c>
      <c r="F373" s="48" t="s">
        <v>25</v>
      </c>
      <c r="G373" s="48" t="s">
        <v>1948</v>
      </c>
      <c r="H373" s="48" t="s">
        <v>9</v>
      </c>
      <c r="I373" s="48" t="s">
        <v>23</v>
      </c>
      <c r="J373" s="87" t="s">
        <v>1489</v>
      </c>
      <c r="K373" s="88">
        <v>37298</v>
      </c>
      <c r="L373" s="89">
        <v>2002</v>
      </c>
      <c r="M373" s="89">
        <f t="shared" si="26"/>
        <v>17</v>
      </c>
      <c r="N373" s="48" t="s">
        <v>11</v>
      </c>
      <c r="O373" s="48" t="s">
        <v>1369</v>
      </c>
      <c r="P373" s="87" t="s">
        <v>33</v>
      </c>
      <c r="Q373" s="48"/>
      <c r="R373" s="87" t="s">
        <v>1376</v>
      </c>
    </row>
    <row r="374" spans="1:19" ht="25.5">
      <c r="B374" s="130"/>
      <c r="C374" s="130"/>
      <c r="D374" s="48">
        <v>367</v>
      </c>
      <c r="E374" s="87" t="s">
        <v>1078</v>
      </c>
      <c r="F374" s="48" t="s">
        <v>25</v>
      </c>
      <c r="G374" s="48" t="s">
        <v>1949</v>
      </c>
      <c r="H374" s="48" t="s">
        <v>9</v>
      </c>
      <c r="I374" s="48" t="s">
        <v>23</v>
      </c>
      <c r="J374" s="87" t="s">
        <v>1455</v>
      </c>
      <c r="K374" s="88">
        <v>40916</v>
      </c>
      <c r="L374" s="89">
        <v>2012</v>
      </c>
      <c r="M374" s="89">
        <f t="shared" si="26"/>
        <v>7</v>
      </c>
      <c r="N374" s="48" t="s">
        <v>11</v>
      </c>
      <c r="O374" s="48" t="s">
        <v>1369</v>
      </c>
      <c r="P374" s="87" t="s">
        <v>1425</v>
      </c>
      <c r="Q374" s="48"/>
      <c r="R374" s="87" t="s">
        <v>1486</v>
      </c>
    </row>
    <row r="375" spans="1:19" s="48" customFormat="1">
      <c r="A375" s="51"/>
      <c r="B375" s="130">
        <v>118</v>
      </c>
      <c r="C375" s="130" t="s">
        <v>2035</v>
      </c>
      <c r="D375" s="48">
        <v>368</v>
      </c>
      <c r="E375" s="87" t="s">
        <v>1025</v>
      </c>
      <c r="F375" s="48" t="s">
        <v>14</v>
      </c>
      <c r="G375" s="48" t="s">
        <v>2037</v>
      </c>
      <c r="H375" s="48" t="s">
        <v>9</v>
      </c>
      <c r="I375" s="48" t="s">
        <v>10</v>
      </c>
      <c r="J375" s="87" t="s">
        <v>1387</v>
      </c>
      <c r="K375" s="88">
        <v>32859</v>
      </c>
      <c r="L375" s="89">
        <v>1989</v>
      </c>
      <c r="M375" s="89">
        <f t="shared" si="25"/>
        <v>30</v>
      </c>
      <c r="N375" s="48" t="s">
        <v>11</v>
      </c>
      <c r="O375" s="48" t="s">
        <v>1369</v>
      </c>
      <c r="P375" s="87" t="s">
        <v>1388</v>
      </c>
      <c r="R375" s="87" t="s">
        <v>49</v>
      </c>
      <c r="S375" s="55"/>
    </row>
    <row r="376" spans="1:19" s="48" customFormat="1" ht="25.5">
      <c r="A376" s="52"/>
      <c r="B376" s="130"/>
      <c r="C376" s="130"/>
      <c r="D376" s="48">
        <v>369</v>
      </c>
      <c r="E376" s="87" t="s">
        <v>2036</v>
      </c>
      <c r="F376" s="48" t="s">
        <v>20</v>
      </c>
      <c r="G376" s="48" t="s">
        <v>2038</v>
      </c>
      <c r="H376" s="48" t="s">
        <v>17</v>
      </c>
      <c r="I376" s="48" t="s">
        <v>10</v>
      </c>
      <c r="J376" s="87" t="s">
        <v>2039</v>
      </c>
      <c r="K376" s="88">
        <v>32657</v>
      </c>
      <c r="L376" s="89">
        <v>1989</v>
      </c>
      <c r="M376" s="89">
        <f t="shared" si="25"/>
        <v>30</v>
      </c>
      <c r="N376" s="48" t="s">
        <v>11</v>
      </c>
      <c r="O376" s="48" t="s">
        <v>1369</v>
      </c>
      <c r="P376" s="87" t="s">
        <v>1393</v>
      </c>
      <c r="R376" s="87" t="s">
        <v>1566</v>
      </c>
      <c r="S376" s="55"/>
    </row>
    <row r="377" spans="1:19" s="48" customFormat="1">
      <c r="A377" s="51"/>
      <c r="B377" s="130">
        <v>119</v>
      </c>
      <c r="C377" s="130" t="s">
        <v>2040</v>
      </c>
      <c r="D377" s="48">
        <v>370</v>
      </c>
      <c r="E377" s="87" t="s">
        <v>2041</v>
      </c>
      <c r="F377" s="48" t="s">
        <v>14</v>
      </c>
      <c r="G377" s="48" t="s">
        <v>2044</v>
      </c>
      <c r="H377" s="48" t="s">
        <v>9</v>
      </c>
      <c r="I377" s="48" t="s">
        <v>10</v>
      </c>
      <c r="J377" s="87" t="s">
        <v>1805</v>
      </c>
      <c r="K377" s="88">
        <v>29600</v>
      </c>
      <c r="L377" s="89">
        <v>1981</v>
      </c>
      <c r="M377" s="89">
        <f t="shared" si="25"/>
        <v>38</v>
      </c>
      <c r="N377" s="48" t="s">
        <v>11</v>
      </c>
      <c r="O377" s="48" t="s">
        <v>1369</v>
      </c>
      <c r="P377" s="87" t="s">
        <v>1388</v>
      </c>
      <c r="R377" s="87" t="s">
        <v>49</v>
      </c>
      <c r="S377" s="55"/>
    </row>
    <row r="378" spans="1:19" s="48" customFormat="1">
      <c r="A378" s="53"/>
      <c r="B378" s="130"/>
      <c r="C378" s="130"/>
      <c r="D378" s="48">
        <v>371</v>
      </c>
      <c r="E378" s="87" t="s">
        <v>485</v>
      </c>
      <c r="F378" s="48" t="s">
        <v>20</v>
      </c>
      <c r="G378" s="48" t="s">
        <v>2045</v>
      </c>
      <c r="H378" s="48" t="s">
        <v>17</v>
      </c>
      <c r="I378" s="48" t="s">
        <v>10</v>
      </c>
      <c r="J378" s="87" t="s">
        <v>1387</v>
      </c>
      <c r="K378" s="88">
        <v>32873</v>
      </c>
      <c r="L378" s="89">
        <v>1989</v>
      </c>
      <c r="M378" s="89">
        <f t="shared" si="25"/>
        <v>30</v>
      </c>
      <c r="N378" s="48" t="s">
        <v>11</v>
      </c>
      <c r="O378" s="48" t="s">
        <v>1369</v>
      </c>
      <c r="P378" s="87" t="s">
        <v>1385</v>
      </c>
      <c r="R378" s="87" t="s">
        <v>49</v>
      </c>
      <c r="S378" s="55"/>
    </row>
    <row r="379" spans="1:19" s="48" customFormat="1" ht="25.5">
      <c r="A379" s="53"/>
      <c r="B379" s="130"/>
      <c r="C379" s="130"/>
      <c r="D379" s="48">
        <v>372</v>
      </c>
      <c r="E379" s="87" t="s">
        <v>2042</v>
      </c>
      <c r="F379" s="48" t="s">
        <v>25</v>
      </c>
      <c r="G379" s="48" t="s">
        <v>2046</v>
      </c>
      <c r="H379" s="48" t="s">
        <v>17</v>
      </c>
      <c r="I379" s="48" t="s">
        <v>23</v>
      </c>
      <c r="J379" s="87" t="s">
        <v>1805</v>
      </c>
      <c r="K379" s="88">
        <v>41534</v>
      </c>
      <c r="L379" s="89">
        <v>2013</v>
      </c>
      <c r="M379" s="89">
        <f t="shared" si="25"/>
        <v>6</v>
      </c>
      <c r="N379" s="48" t="s">
        <v>11</v>
      </c>
      <c r="O379" s="48" t="s">
        <v>1369</v>
      </c>
      <c r="P379" s="87" t="s">
        <v>1378</v>
      </c>
      <c r="R379" s="87" t="s">
        <v>1389</v>
      </c>
      <c r="S379" s="55"/>
    </row>
    <row r="380" spans="1:19" s="48" customFormat="1" ht="25.5">
      <c r="A380" s="52"/>
      <c r="B380" s="130"/>
      <c r="C380" s="130"/>
      <c r="D380" s="48">
        <v>373</v>
      </c>
      <c r="E380" s="87" t="s">
        <v>2043</v>
      </c>
      <c r="F380" s="48" t="s">
        <v>25</v>
      </c>
      <c r="G380" s="48" t="s">
        <v>2047</v>
      </c>
      <c r="H380" s="48" t="s">
        <v>9</v>
      </c>
      <c r="I380" s="48" t="s">
        <v>23</v>
      </c>
      <c r="J380" s="87" t="s">
        <v>1455</v>
      </c>
      <c r="K380" s="88">
        <v>42942</v>
      </c>
      <c r="L380" s="89">
        <v>2017</v>
      </c>
      <c r="M380" s="89">
        <f t="shared" si="25"/>
        <v>2</v>
      </c>
      <c r="N380" s="48" t="s">
        <v>11</v>
      </c>
      <c r="O380" s="48" t="s">
        <v>1369</v>
      </c>
      <c r="P380" s="87" t="s">
        <v>1378</v>
      </c>
      <c r="R380" s="87" t="s">
        <v>1389</v>
      </c>
      <c r="S380" s="55"/>
    </row>
    <row r="381" spans="1:19" s="48" customFormat="1">
      <c r="A381" s="51"/>
      <c r="B381" s="130">
        <v>120</v>
      </c>
      <c r="C381" s="130" t="s">
        <v>2098</v>
      </c>
      <c r="D381" s="48">
        <v>374</v>
      </c>
      <c r="E381" s="87" t="s">
        <v>2099</v>
      </c>
      <c r="F381" s="48" t="s">
        <v>14</v>
      </c>
      <c r="G381" s="48" t="s">
        <v>2102</v>
      </c>
      <c r="H381" s="48" t="s">
        <v>9</v>
      </c>
      <c r="I381" s="48" t="s">
        <v>10</v>
      </c>
      <c r="J381" s="87" t="s">
        <v>2105</v>
      </c>
      <c r="K381" s="88">
        <v>27932</v>
      </c>
      <c r="L381" s="89">
        <v>1976</v>
      </c>
      <c r="M381" s="89">
        <f t="shared" si="25"/>
        <v>43</v>
      </c>
      <c r="N381" s="48" t="s">
        <v>11</v>
      </c>
      <c r="O381" s="48" t="s">
        <v>1369</v>
      </c>
      <c r="P381" s="87" t="s">
        <v>1388</v>
      </c>
      <c r="R381" s="87" t="s">
        <v>49</v>
      </c>
      <c r="S381" s="55"/>
    </row>
    <row r="382" spans="1:19" s="48" customFormat="1" ht="25.5">
      <c r="A382" s="53"/>
      <c r="B382" s="130"/>
      <c r="C382" s="130"/>
      <c r="D382" s="48">
        <v>375</v>
      </c>
      <c r="E382" s="87" t="s">
        <v>2150</v>
      </c>
      <c r="F382" s="48" t="s">
        <v>20</v>
      </c>
      <c r="G382" s="48" t="s">
        <v>2106</v>
      </c>
      <c r="H382" s="48" t="s">
        <v>17</v>
      </c>
      <c r="I382" s="48" t="s">
        <v>10</v>
      </c>
      <c r="J382" s="87" t="s">
        <v>1387</v>
      </c>
      <c r="K382" s="88">
        <v>32508</v>
      </c>
      <c r="L382" s="89">
        <v>1988</v>
      </c>
      <c r="M382" s="89">
        <f t="shared" si="25"/>
        <v>31</v>
      </c>
      <c r="N382" s="48" t="s">
        <v>11</v>
      </c>
      <c r="O382" s="48" t="s">
        <v>1369</v>
      </c>
      <c r="P382" s="87" t="s">
        <v>28</v>
      </c>
      <c r="R382" s="87" t="s">
        <v>1373</v>
      </c>
      <c r="S382" s="55"/>
    </row>
    <row r="383" spans="1:19" s="48" customFormat="1">
      <c r="A383" s="53"/>
      <c r="B383" s="130"/>
      <c r="C383" s="130"/>
      <c r="D383" s="48">
        <v>376</v>
      </c>
      <c r="E383" s="87" t="s">
        <v>2100</v>
      </c>
      <c r="F383" s="48" t="s">
        <v>25</v>
      </c>
      <c r="G383" s="48" t="s">
        <v>2103</v>
      </c>
      <c r="H383" s="48" t="s">
        <v>9</v>
      </c>
      <c r="I383" s="48" t="s">
        <v>23</v>
      </c>
      <c r="J383" s="87" t="s">
        <v>1387</v>
      </c>
      <c r="K383" s="88">
        <v>33584</v>
      </c>
      <c r="L383" s="89">
        <v>1991</v>
      </c>
      <c r="M383" s="89">
        <f t="shared" si="25"/>
        <v>28</v>
      </c>
      <c r="N383" s="48" t="s">
        <v>11</v>
      </c>
      <c r="O383" s="48" t="s">
        <v>1369</v>
      </c>
      <c r="P383" s="87" t="s">
        <v>1388</v>
      </c>
      <c r="R383" s="87" t="s">
        <v>49</v>
      </c>
      <c r="S383" s="55"/>
    </row>
    <row r="384" spans="1:19" s="48" customFormat="1" ht="25.5">
      <c r="A384" s="52"/>
      <c r="B384" s="130"/>
      <c r="C384" s="130"/>
      <c r="D384" s="48">
        <v>377</v>
      </c>
      <c r="E384" s="87" t="s">
        <v>2101</v>
      </c>
      <c r="F384" s="48" t="s">
        <v>25</v>
      </c>
      <c r="G384" s="48" t="s">
        <v>2104</v>
      </c>
      <c r="H384" s="48" t="s">
        <v>17</v>
      </c>
      <c r="I384" s="48" t="s">
        <v>23</v>
      </c>
      <c r="J384" s="87" t="s">
        <v>1387</v>
      </c>
      <c r="K384" s="88">
        <v>36609</v>
      </c>
      <c r="L384" s="89">
        <v>2000</v>
      </c>
      <c r="M384" s="89">
        <f t="shared" si="25"/>
        <v>19</v>
      </c>
      <c r="N384" s="48" t="s">
        <v>11</v>
      </c>
      <c r="O384" s="48" t="s">
        <v>1369</v>
      </c>
      <c r="P384" s="87" t="s">
        <v>1375</v>
      </c>
      <c r="R384" s="87" t="s">
        <v>1376</v>
      </c>
      <c r="S384" s="55"/>
    </row>
    <row r="385" spans="1:19" s="48" customFormat="1" ht="25.5">
      <c r="A385" s="51"/>
      <c r="B385" s="130">
        <v>121</v>
      </c>
      <c r="C385" s="130" t="s">
        <v>2107</v>
      </c>
      <c r="D385" s="48">
        <v>378</v>
      </c>
      <c r="E385" s="87" t="s">
        <v>1546</v>
      </c>
      <c r="F385" s="48" t="s">
        <v>14</v>
      </c>
      <c r="G385" s="48" t="s">
        <v>2110</v>
      </c>
      <c r="H385" s="48" t="s">
        <v>9</v>
      </c>
      <c r="I385" s="48" t="s">
        <v>10</v>
      </c>
      <c r="J385" s="87" t="s">
        <v>1368</v>
      </c>
      <c r="K385" s="88">
        <v>36160</v>
      </c>
      <c r="L385" s="89">
        <v>1998</v>
      </c>
      <c r="M385" s="89">
        <f t="shared" si="25"/>
        <v>21</v>
      </c>
      <c r="N385" s="48" t="s">
        <v>11</v>
      </c>
      <c r="O385" s="48" t="s">
        <v>1369</v>
      </c>
      <c r="P385" s="87" t="s">
        <v>1378</v>
      </c>
      <c r="R385" s="87" t="s">
        <v>1371</v>
      </c>
      <c r="S385" s="55"/>
    </row>
    <row r="386" spans="1:19" s="48" customFormat="1" ht="25.5">
      <c r="A386" s="53"/>
      <c r="B386" s="130"/>
      <c r="C386" s="130"/>
      <c r="D386" s="48">
        <v>379</v>
      </c>
      <c r="E386" s="87" t="s">
        <v>2108</v>
      </c>
      <c r="F386" s="48" t="s">
        <v>20</v>
      </c>
      <c r="G386" s="48" t="s">
        <v>2111</v>
      </c>
      <c r="H386" s="48" t="s">
        <v>17</v>
      </c>
      <c r="I386" s="48" t="s">
        <v>10</v>
      </c>
      <c r="J386" s="87" t="s">
        <v>2113</v>
      </c>
      <c r="K386" s="88">
        <v>35986</v>
      </c>
      <c r="L386" s="89">
        <v>1998</v>
      </c>
      <c r="M386" s="89">
        <f t="shared" si="25"/>
        <v>21</v>
      </c>
      <c r="N386" s="48" t="s">
        <v>11</v>
      </c>
      <c r="O386" s="48" t="s">
        <v>1369</v>
      </c>
      <c r="P386" s="87" t="s">
        <v>28</v>
      </c>
      <c r="R386" s="87" t="s">
        <v>1373</v>
      </c>
      <c r="S386" s="55"/>
    </row>
    <row r="387" spans="1:19" s="48" customFormat="1" ht="25.5">
      <c r="A387" s="52"/>
      <c r="B387" s="130"/>
      <c r="C387" s="130"/>
      <c r="D387" s="48">
        <v>380</v>
      </c>
      <c r="E387" s="87" t="s">
        <v>2109</v>
      </c>
      <c r="F387" s="48" t="s">
        <v>25</v>
      </c>
      <c r="G387" s="48" t="s">
        <v>2112</v>
      </c>
      <c r="H387" s="48" t="s">
        <v>9</v>
      </c>
      <c r="I387" s="48" t="s">
        <v>23</v>
      </c>
      <c r="J387" s="87" t="s">
        <v>1455</v>
      </c>
      <c r="K387" s="88">
        <v>43212</v>
      </c>
      <c r="L387" s="89">
        <v>2018</v>
      </c>
      <c r="M387" s="89">
        <f t="shared" si="25"/>
        <v>1</v>
      </c>
      <c r="N387" s="48" t="s">
        <v>11</v>
      </c>
      <c r="O387" s="48" t="s">
        <v>1369</v>
      </c>
      <c r="P387" s="87" t="s">
        <v>1378</v>
      </c>
      <c r="R387" s="87" t="s">
        <v>1389</v>
      </c>
      <c r="S387" s="55"/>
    </row>
    <row r="388" spans="1:19" s="48" customFormat="1" ht="25.5">
      <c r="A388" s="51"/>
      <c r="B388" s="130">
        <v>122</v>
      </c>
      <c r="C388" s="130" t="s">
        <v>2117</v>
      </c>
      <c r="D388" s="48">
        <v>381</v>
      </c>
      <c r="E388" s="87" t="s">
        <v>2118</v>
      </c>
      <c r="F388" s="48" t="s">
        <v>14</v>
      </c>
      <c r="G388" s="48" t="s">
        <v>584</v>
      </c>
      <c r="H388" s="48" t="s">
        <v>9</v>
      </c>
      <c r="I388" s="48" t="s">
        <v>10</v>
      </c>
      <c r="J388" s="87" t="s">
        <v>1368</v>
      </c>
      <c r="K388" s="88">
        <v>32142</v>
      </c>
      <c r="L388" s="89">
        <v>1987</v>
      </c>
      <c r="M388" s="89">
        <f t="shared" si="25"/>
        <v>32</v>
      </c>
      <c r="N388" s="48" t="s">
        <v>11</v>
      </c>
      <c r="O388" s="48" t="s">
        <v>1369</v>
      </c>
      <c r="P388" s="87" t="s">
        <v>28</v>
      </c>
      <c r="R388" s="87" t="s">
        <v>1371</v>
      </c>
      <c r="S388" s="55"/>
    </row>
    <row r="389" spans="1:19" s="48" customFormat="1" ht="25.5">
      <c r="A389" s="53"/>
      <c r="B389" s="130"/>
      <c r="C389" s="130"/>
      <c r="D389" s="48">
        <v>382</v>
      </c>
      <c r="E389" s="87" t="s">
        <v>2119</v>
      </c>
      <c r="F389" s="48" t="s">
        <v>20</v>
      </c>
      <c r="G389" s="48" t="s">
        <v>586</v>
      </c>
      <c r="H389" s="48" t="s">
        <v>17</v>
      </c>
      <c r="I389" s="48" t="s">
        <v>10</v>
      </c>
      <c r="J389" s="87" t="s">
        <v>1368</v>
      </c>
      <c r="K389" s="88">
        <v>33925</v>
      </c>
      <c r="L389" s="89">
        <v>1992</v>
      </c>
      <c r="M389" s="89">
        <f t="shared" si="25"/>
        <v>27</v>
      </c>
      <c r="N389" s="48" t="s">
        <v>11</v>
      </c>
      <c r="O389" s="48" t="s">
        <v>1369</v>
      </c>
      <c r="P389" s="87" t="s">
        <v>28</v>
      </c>
      <c r="R389" s="87" t="s">
        <v>1371</v>
      </c>
      <c r="S389" s="55"/>
    </row>
    <row r="390" spans="1:19" s="48" customFormat="1" ht="25.5">
      <c r="A390" s="52"/>
      <c r="B390" s="130"/>
      <c r="C390" s="130"/>
      <c r="D390" s="48">
        <v>383</v>
      </c>
      <c r="E390" s="87" t="s">
        <v>2120</v>
      </c>
      <c r="F390" s="48" t="s">
        <v>25</v>
      </c>
      <c r="G390" s="48" t="s">
        <v>2121</v>
      </c>
      <c r="H390" s="48" t="s">
        <v>17</v>
      </c>
      <c r="I390" s="48" t="s">
        <v>23</v>
      </c>
      <c r="J390" s="87" t="s">
        <v>1368</v>
      </c>
      <c r="K390" s="88">
        <v>42116</v>
      </c>
      <c r="L390" s="89">
        <v>2015</v>
      </c>
      <c r="M390" s="89">
        <f t="shared" si="25"/>
        <v>4</v>
      </c>
      <c r="N390" s="48" t="s">
        <v>11</v>
      </c>
      <c r="O390" s="48" t="s">
        <v>1369</v>
      </c>
      <c r="P390" s="87" t="s">
        <v>1378</v>
      </c>
      <c r="R390" s="87" t="s">
        <v>1389</v>
      </c>
      <c r="S390" s="55"/>
    </row>
    <row r="391" spans="1:19" s="48" customFormat="1" ht="25.5">
      <c r="A391" s="54"/>
      <c r="B391" s="48">
        <v>123</v>
      </c>
      <c r="C391" s="48" t="s">
        <v>2122</v>
      </c>
      <c r="D391" s="48">
        <v>384</v>
      </c>
      <c r="E391" s="87" t="s">
        <v>2123</v>
      </c>
      <c r="F391" s="48" t="s">
        <v>14</v>
      </c>
      <c r="G391" s="48" t="s">
        <v>2124</v>
      </c>
      <c r="H391" s="48" t="s">
        <v>17</v>
      </c>
      <c r="I391" s="48" t="s">
        <v>1448</v>
      </c>
      <c r="J391" s="87" t="s">
        <v>1368</v>
      </c>
      <c r="K391" s="88">
        <v>24837</v>
      </c>
      <c r="L391" s="89">
        <v>1967</v>
      </c>
      <c r="M391" s="89">
        <f t="shared" si="25"/>
        <v>52</v>
      </c>
      <c r="N391" s="48" t="s">
        <v>11</v>
      </c>
      <c r="O391" s="48" t="s">
        <v>1369</v>
      </c>
      <c r="P391" s="87" t="s">
        <v>1378</v>
      </c>
      <c r="R391" s="87" t="s">
        <v>1373</v>
      </c>
      <c r="S391" s="55"/>
    </row>
    <row r="392" spans="1:19" s="48" customFormat="1">
      <c r="A392" s="51"/>
      <c r="B392" s="130">
        <v>124</v>
      </c>
      <c r="C392" s="130" t="s">
        <v>2138</v>
      </c>
      <c r="D392" s="48">
        <v>385</v>
      </c>
      <c r="E392" s="87" t="s">
        <v>293</v>
      </c>
      <c r="F392" s="48" t="s">
        <v>14</v>
      </c>
      <c r="G392" s="48" t="s">
        <v>2141</v>
      </c>
      <c r="H392" s="48" t="s">
        <v>9</v>
      </c>
      <c r="I392" s="48" t="s">
        <v>10</v>
      </c>
      <c r="J392" s="87" t="s">
        <v>1368</v>
      </c>
      <c r="K392" s="88">
        <v>32142</v>
      </c>
      <c r="L392" s="89">
        <v>1987</v>
      </c>
      <c r="M392" s="89">
        <f t="shared" si="25"/>
        <v>32</v>
      </c>
      <c r="N392" s="48" t="s">
        <v>11</v>
      </c>
      <c r="O392" s="48" t="s">
        <v>1369</v>
      </c>
      <c r="P392" s="87" t="s">
        <v>28</v>
      </c>
      <c r="R392" s="87" t="s">
        <v>49</v>
      </c>
      <c r="S392" s="55"/>
    </row>
    <row r="393" spans="1:19" s="48" customFormat="1" ht="25.5">
      <c r="A393" s="53"/>
      <c r="B393" s="130"/>
      <c r="C393" s="130"/>
      <c r="D393" s="48">
        <v>386</v>
      </c>
      <c r="E393" s="87" t="s">
        <v>2139</v>
      </c>
      <c r="F393" s="48" t="s">
        <v>20</v>
      </c>
      <c r="G393" s="48" t="s">
        <v>2142</v>
      </c>
      <c r="H393" s="48" t="s">
        <v>17</v>
      </c>
      <c r="I393" s="48" t="s">
        <v>10</v>
      </c>
      <c r="J393" s="87" t="s">
        <v>1482</v>
      </c>
      <c r="K393" s="88">
        <v>35261</v>
      </c>
      <c r="L393" s="89">
        <v>1996</v>
      </c>
      <c r="M393" s="89">
        <f t="shared" si="25"/>
        <v>23</v>
      </c>
      <c r="N393" s="48" t="s">
        <v>11</v>
      </c>
      <c r="O393" s="48" t="s">
        <v>1369</v>
      </c>
      <c r="P393" s="87" t="s">
        <v>1388</v>
      </c>
      <c r="R393" s="87" t="s">
        <v>1373</v>
      </c>
      <c r="S393" s="55"/>
    </row>
    <row r="394" spans="1:19" s="48" customFormat="1" ht="25.5">
      <c r="A394" s="52"/>
      <c r="B394" s="130"/>
      <c r="C394" s="130"/>
      <c r="D394" s="48">
        <v>387</v>
      </c>
      <c r="E394" s="87" t="s">
        <v>2140</v>
      </c>
      <c r="F394" s="48" t="s">
        <v>25</v>
      </c>
      <c r="G394" s="48" t="s">
        <v>2143</v>
      </c>
      <c r="H394" s="48" t="s">
        <v>17</v>
      </c>
      <c r="I394" s="48" t="s">
        <v>23</v>
      </c>
      <c r="J394" s="87" t="s">
        <v>1489</v>
      </c>
      <c r="K394" s="88">
        <v>42650</v>
      </c>
      <c r="L394" s="89">
        <v>2016</v>
      </c>
      <c r="M394" s="89">
        <f t="shared" si="25"/>
        <v>3</v>
      </c>
      <c r="N394" s="48" t="s">
        <v>11</v>
      </c>
      <c r="O394" s="48" t="s">
        <v>1369</v>
      </c>
      <c r="P394" s="87" t="s">
        <v>1378</v>
      </c>
      <c r="R394" s="87" t="s">
        <v>1389</v>
      </c>
      <c r="S394" s="55"/>
    </row>
    <row r="395" spans="1:19" s="48" customFormat="1">
      <c r="A395" s="52"/>
      <c r="B395" s="131">
        <v>125</v>
      </c>
      <c r="C395" s="131"/>
      <c r="D395" s="48">
        <v>388</v>
      </c>
      <c r="E395" s="87" t="s">
        <v>1541</v>
      </c>
      <c r="F395" s="48" t="s">
        <v>14</v>
      </c>
      <c r="G395" s="48" t="s">
        <v>1544</v>
      </c>
      <c r="H395" s="48" t="s">
        <v>9</v>
      </c>
      <c r="I395" s="48" t="s">
        <v>10</v>
      </c>
      <c r="J395" s="87" t="s">
        <v>1387</v>
      </c>
      <c r="K395" s="88">
        <v>34109</v>
      </c>
      <c r="L395" s="89">
        <v>1993</v>
      </c>
      <c r="M395" s="89">
        <f t="shared" ref="M395:M396" si="27">2019-L395</f>
        <v>26</v>
      </c>
      <c r="N395" s="48" t="s">
        <v>11</v>
      </c>
      <c r="O395" s="48" t="s">
        <v>1369</v>
      </c>
      <c r="P395" s="87" t="s">
        <v>1388</v>
      </c>
      <c r="R395" s="87" t="s">
        <v>49</v>
      </c>
      <c r="S395" s="55"/>
    </row>
    <row r="396" spans="1:19">
      <c r="B396" s="133"/>
      <c r="C396" s="133"/>
      <c r="D396" s="48">
        <v>389</v>
      </c>
      <c r="E396" s="87" t="s">
        <v>2182</v>
      </c>
      <c r="F396" s="48" t="s">
        <v>20</v>
      </c>
      <c r="G396" s="48" t="s">
        <v>2183</v>
      </c>
      <c r="H396" s="48" t="s">
        <v>17</v>
      </c>
      <c r="I396" s="48" t="s">
        <v>10</v>
      </c>
      <c r="J396" s="87" t="s">
        <v>1387</v>
      </c>
      <c r="K396" s="88">
        <v>32633</v>
      </c>
      <c r="L396" s="89">
        <v>1989</v>
      </c>
      <c r="M396" s="89">
        <f t="shared" si="27"/>
        <v>30</v>
      </c>
      <c r="N396" s="48" t="s">
        <v>11</v>
      </c>
      <c r="O396" s="48" t="s">
        <v>1369</v>
      </c>
      <c r="P396" s="87" t="s">
        <v>2184</v>
      </c>
      <c r="Q396" s="48"/>
      <c r="R396" s="87" t="s">
        <v>2185</v>
      </c>
    </row>
    <row r="400" spans="1:19" s="57" customFormat="1" ht="15">
      <c r="D400" s="137" t="s">
        <v>2200</v>
      </c>
      <c r="E400" s="137"/>
      <c r="F400" s="137"/>
      <c r="L400" s="86"/>
      <c r="P400" s="84"/>
      <c r="R400" s="84"/>
    </row>
    <row r="401" spans="4:18" s="57" customFormat="1" ht="15">
      <c r="D401" s="137" t="s">
        <v>2201</v>
      </c>
      <c r="E401" s="137"/>
      <c r="F401" s="137"/>
      <c r="L401" s="86"/>
      <c r="P401" s="129" t="s">
        <v>2202</v>
      </c>
      <c r="Q401" s="129"/>
      <c r="R401" s="84"/>
    </row>
    <row r="402" spans="4:18" s="57" customFormat="1" ht="15">
      <c r="D402" s="110"/>
      <c r="E402" s="110"/>
      <c r="F402" s="110"/>
      <c r="L402" s="86"/>
      <c r="P402" s="111"/>
      <c r="Q402" s="111"/>
      <c r="R402" s="84"/>
    </row>
    <row r="403" spans="4:18" s="57" customFormat="1" ht="15">
      <c r="D403" s="108"/>
      <c r="E403" s="109"/>
      <c r="F403" s="108"/>
      <c r="L403" s="86"/>
      <c r="P403" s="1"/>
      <c r="Q403" s="65"/>
      <c r="R403" s="84"/>
    </row>
    <row r="404" spans="4:18" s="57" customFormat="1" ht="15">
      <c r="D404" s="108"/>
      <c r="E404" s="109"/>
      <c r="F404" s="108"/>
      <c r="L404" s="86"/>
      <c r="P404" s="1"/>
      <c r="Q404" s="65"/>
      <c r="R404" s="84"/>
    </row>
    <row r="405" spans="4:18" s="57" customFormat="1" ht="14.25">
      <c r="D405" s="138" t="s">
        <v>2203</v>
      </c>
      <c r="E405" s="138"/>
      <c r="F405" s="138"/>
      <c r="L405" s="86"/>
      <c r="P405" s="127" t="s">
        <v>1058</v>
      </c>
      <c r="Q405" s="127"/>
      <c r="R405" s="84"/>
    </row>
    <row r="406" spans="4:18" s="57" customFormat="1" ht="14.25">
      <c r="D406" s="138" t="s">
        <v>2204</v>
      </c>
      <c r="E406" s="138"/>
      <c r="F406" s="138"/>
      <c r="L406" s="86"/>
      <c r="P406" s="84"/>
      <c r="R406" s="84"/>
    </row>
  </sheetData>
  <autoFilter ref="B7:T396"/>
  <mergeCells count="259">
    <mergeCell ref="D400:F400"/>
    <mergeCell ref="D401:F401"/>
    <mergeCell ref="P401:Q401"/>
    <mergeCell ref="D405:F405"/>
    <mergeCell ref="P405:Q405"/>
    <mergeCell ref="D406:F406"/>
    <mergeCell ref="B395:B396"/>
    <mergeCell ref="C395:C396"/>
    <mergeCell ref="B1:R1"/>
    <mergeCell ref="B2:R2"/>
    <mergeCell ref="C241:C244"/>
    <mergeCell ref="C218:C221"/>
    <mergeCell ref="C222:C224"/>
    <mergeCell ref="C350:C352"/>
    <mergeCell ref="C226:C228"/>
    <mergeCell ref="C212:C213"/>
    <mergeCell ref="C300:C303"/>
    <mergeCell ref="C304:C306"/>
    <mergeCell ref="C315:C317"/>
    <mergeCell ref="C318:C320"/>
    <mergeCell ref="C388:C390"/>
    <mergeCell ref="B375:B376"/>
    <mergeCell ref="B377:B380"/>
    <mergeCell ref="B381:B384"/>
    <mergeCell ref="C194:C197"/>
    <mergeCell ref="C205:C206"/>
    <mergeCell ref="C233:C235"/>
    <mergeCell ref="C236:C237"/>
    <mergeCell ref="B268:B270"/>
    <mergeCell ref="B271:B272"/>
    <mergeCell ref="B273:B274"/>
    <mergeCell ref="B248:B250"/>
    <mergeCell ref="B259:B263"/>
    <mergeCell ref="B264:B267"/>
    <mergeCell ref="B251:B254"/>
    <mergeCell ref="C229:C232"/>
    <mergeCell ref="C214:C217"/>
    <mergeCell ref="C295:C299"/>
    <mergeCell ref="B357:B361"/>
    <mergeCell ref="B366:B367"/>
    <mergeCell ref="C366:C367"/>
    <mergeCell ref="B362:B365"/>
    <mergeCell ref="C362:C365"/>
    <mergeCell ref="C357:C361"/>
    <mergeCell ref="B241:B244"/>
    <mergeCell ref="B238:B240"/>
    <mergeCell ref="B236:B237"/>
    <mergeCell ref="B233:B235"/>
    <mergeCell ref="C381:C384"/>
    <mergeCell ref="C385:C387"/>
    <mergeCell ref="C142:C145"/>
    <mergeCell ref="C307:C308"/>
    <mergeCell ref="C246:C247"/>
    <mergeCell ref="C271:C272"/>
    <mergeCell ref="C273:C274"/>
    <mergeCell ref="C345:C347"/>
    <mergeCell ref="C264:C267"/>
    <mergeCell ref="C326:C328"/>
    <mergeCell ref="C329:C331"/>
    <mergeCell ref="C337:C339"/>
    <mergeCell ref="C340:C341"/>
    <mergeCell ref="C342:C344"/>
    <mergeCell ref="C291:C294"/>
    <mergeCell ref="C278:C281"/>
    <mergeCell ref="C255:C258"/>
    <mergeCell ref="C375:C376"/>
    <mergeCell ref="B385:B387"/>
    <mergeCell ref="C238:C240"/>
    <mergeCell ref="C377:C380"/>
    <mergeCell ref="C332:C335"/>
    <mergeCell ref="C368:C370"/>
    <mergeCell ref="C371:C374"/>
    <mergeCell ref="C322:C325"/>
    <mergeCell ref="C251:C254"/>
    <mergeCell ref="B30:B31"/>
    <mergeCell ref="B188:B189"/>
    <mergeCell ref="F5:F6"/>
    <mergeCell ref="C188:C189"/>
    <mergeCell ref="C202:C204"/>
    <mergeCell ref="C207:C208"/>
    <mergeCell ref="C34:C36"/>
    <mergeCell ref="C309:C313"/>
    <mergeCell ref="C286:C290"/>
    <mergeCell ref="C8:C12"/>
    <mergeCell ref="C91:C93"/>
    <mergeCell ref="C103:C104"/>
    <mergeCell ref="C123:C124"/>
    <mergeCell ref="C149:C153"/>
    <mergeCell ref="C158:C161"/>
    <mergeCell ref="C162:C164"/>
    <mergeCell ref="C165:C167"/>
    <mergeCell ref="C179:C181"/>
    <mergeCell ref="C282:C285"/>
    <mergeCell ref="C259:C263"/>
    <mergeCell ref="B71:B72"/>
    <mergeCell ref="C275:C277"/>
    <mergeCell ref="G5:G6"/>
    <mergeCell ref="D5:D6"/>
    <mergeCell ref="E5:E6"/>
    <mergeCell ref="C168:C169"/>
    <mergeCell ref="C209:C211"/>
    <mergeCell ref="C199:C201"/>
    <mergeCell ref="C190:C193"/>
    <mergeCell ref="B5:B6"/>
    <mergeCell ref="B120:B122"/>
    <mergeCell ref="C120:C122"/>
    <mergeCell ref="C5:C6"/>
    <mergeCell ref="C19:C21"/>
    <mergeCell ref="C22:C24"/>
    <mergeCell ref="C25:C27"/>
    <mergeCell ref="C101:C102"/>
    <mergeCell ref="C110:C113"/>
    <mergeCell ref="C57:C61"/>
    <mergeCell ref="B8:B12"/>
    <mergeCell ref="B255:B258"/>
    <mergeCell ref="B246:B247"/>
    <mergeCell ref="B13:B15"/>
    <mergeCell ref="B25:B27"/>
    <mergeCell ref="B28:B29"/>
    <mergeCell ref="C28:C29"/>
    <mergeCell ref="B62:B63"/>
    <mergeCell ref="C62:C63"/>
    <mergeCell ref="N5:N6"/>
    <mergeCell ref="P5:P6"/>
    <mergeCell ref="R5:R6"/>
    <mergeCell ref="J5:L5"/>
    <mergeCell ref="M5:M6"/>
    <mergeCell ref="I5:I6"/>
    <mergeCell ref="H5:H6"/>
    <mergeCell ref="O5:O6"/>
    <mergeCell ref="Q5:Q6"/>
    <mergeCell ref="B48:B52"/>
    <mergeCell ref="B53:B56"/>
    <mergeCell ref="B57:B61"/>
    <mergeCell ref="C13:C15"/>
    <mergeCell ref="C16:C18"/>
    <mergeCell ref="C37:C39"/>
    <mergeCell ref="C53:C56"/>
    <mergeCell ref="C353:C356"/>
    <mergeCell ref="B85:B87"/>
    <mergeCell ref="C82:C84"/>
    <mergeCell ref="C85:C87"/>
    <mergeCell ref="B88:B90"/>
    <mergeCell ref="C88:C90"/>
    <mergeCell ref="B91:B93"/>
    <mergeCell ref="B94:B96"/>
    <mergeCell ref="B97:B100"/>
    <mergeCell ref="B101:B102"/>
    <mergeCell ref="B103:B104"/>
    <mergeCell ref="B105:B107"/>
    <mergeCell ref="B108:B109"/>
    <mergeCell ref="B110:B113"/>
    <mergeCell ref="B114:B116"/>
    <mergeCell ref="B117:B119"/>
    <mergeCell ref="C348:C349"/>
    <mergeCell ref="B291:B294"/>
    <mergeCell ref="B286:B290"/>
    <mergeCell ref="B282:B285"/>
    <mergeCell ref="B278:B281"/>
    <mergeCell ref="B275:B277"/>
    <mergeCell ref="C248:C250"/>
    <mergeCell ref="C268:C270"/>
    <mergeCell ref="C64:C66"/>
    <mergeCell ref="C77:C81"/>
    <mergeCell ref="B168:B169"/>
    <mergeCell ref="C146:C148"/>
    <mergeCell ref="C30:C31"/>
    <mergeCell ref="B32:B33"/>
    <mergeCell ref="B34:B36"/>
    <mergeCell ref="B37:B39"/>
    <mergeCell ref="B40:B43"/>
    <mergeCell ref="B44:B47"/>
    <mergeCell ref="C40:C43"/>
    <mergeCell ref="C44:C47"/>
    <mergeCell ref="B64:B66"/>
    <mergeCell ref="B67:B70"/>
    <mergeCell ref="C67:C70"/>
    <mergeCell ref="C125:C128"/>
    <mergeCell ref="C32:C33"/>
    <mergeCell ref="B82:B84"/>
    <mergeCell ref="B131:B133"/>
    <mergeCell ref="B129:B130"/>
    <mergeCell ref="B125:B128"/>
    <mergeCell ref="B123:B124"/>
    <mergeCell ref="C71:C72"/>
    <mergeCell ref="B77:B81"/>
    <mergeCell ref="C392:C394"/>
    <mergeCell ref="B16:B18"/>
    <mergeCell ref="B19:B21"/>
    <mergeCell ref="B22:B24"/>
    <mergeCell ref="C137:C141"/>
    <mergeCell ref="C170:C172"/>
    <mergeCell ref="C182:C185"/>
    <mergeCell ref="C186:C187"/>
    <mergeCell ref="C97:C100"/>
    <mergeCell ref="C105:C107"/>
    <mergeCell ref="C114:C116"/>
    <mergeCell ref="C117:C119"/>
    <mergeCell ref="C129:C130"/>
    <mergeCell ref="C73:C76"/>
    <mergeCell ref="C131:C133"/>
    <mergeCell ref="B154:B157"/>
    <mergeCell ref="C154:C157"/>
    <mergeCell ref="C173:C175"/>
    <mergeCell ref="C134:C136"/>
    <mergeCell ref="C176:C178"/>
    <mergeCell ref="C48:C52"/>
    <mergeCell ref="C94:C96"/>
    <mergeCell ref="C108:C109"/>
    <mergeCell ref="B73:B76"/>
    <mergeCell ref="B392:B394"/>
    <mergeCell ref="B329:B331"/>
    <mergeCell ref="B326:B328"/>
    <mergeCell ref="B318:B320"/>
    <mergeCell ref="B315:B317"/>
    <mergeCell ref="B309:B313"/>
    <mergeCell ref="B304:B306"/>
    <mergeCell ref="B300:B303"/>
    <mergeCell ref="B295:B299"/>
    <mergeCell ref="B337:B339"/>
    <mergeCell ref="B307:B308"/>
    <mergeCell ref="B332:B335"/>
    <mergeCell ref="B353:B356"/>
    <mergeCell ref="B350:B352"/>
    <mergeCell ref="B348:B349"/>
    <mergeCell ref="B345:B347"/>
    <mergeCell ref="B342:B344"/>
    <mergeCell ref="B340:B341"/>
    <mergeCell ref="B322:B325"/>
    <mergeCell ref="B368:B370"/>
    <mergeCell ref="B371:B374"/>
    <mergeCell ref="B388:B390"/>
    <mergeCell ref="B229:B232"/>
    <mergeCell ref="B226:B228"/>
    <mergeCell ref="B222:B224"/>
    <mergeCell ref="B218:B221"/>
    <mergeCell ref="B214:B217"/>
    <mergeCell ref="B212:B213"/>
    <mergeCell ref="B209:B211"/>
    <mergeCell ref="B207:B208"/>
    <mergeCell ref="B205:B206"/>
    <mergeCell ref="B202:B204"/>
    <mergeCell ref="B199:B201"/>
    <mergeCell ref="B194:B197"/>
    <mergeCell ref="B190:B193"/>
    <mergeCell ref="B186:B187"/>
    <mergeCell ref="B182:B185"/>
    <mergeCell ref="B179:B181"/>
    <mergeCell ref="B176:B178"/>
    <mergeCell ref="B134:B136"/>
    <mergeCell ref="B173:B175"/>
    <mergeCell ref="B170:B172"/>
    <mergeCell ref="B158:B161"/>
    <mergeCell ref="B162:B164"/>
    <mergeCell ref="B165:B167"/>
    <mergeCell ref="B149:B153"/>
    <mergeCell ref="B146:B148"/>
    <mergeCell ref="B142:B145"/>
    <mergeCell ref="B137:B141"/>
  </mergeCells>
  <pageMargins left="1.37795275590551" right="0.196850393700787" top="0.39370078740157499" bottom="0.643700787" header="0.31496062992126" footer="0.31496062992126"/>
  <pageSetup paperSize="10000" scale="82" orientation="landscape" r:id="rId1"/>
  <headerFooter>
    <oddHeader>&amp;C&amp;"Times New Roman,Regular"&amp;12</oddHead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S214"/>
  <sheetViews>
    <sheetView workbookViewId="0">
      <pane ySplit="6" topLeftCell="A198" activePane="bottomLeft" state="frozen"/>
      <selection pane="bottomLeft" activeCell="E205" sqref="E205"/>
    </sheetView>
  </sheetViews>
  <sheetFormatPr defaultRowHeight="12.75"/>
  <cols>
    <col min="1" max="1" width="9.140625" style="49"/>
    <col min="2" max="2" width="3.28515625" style="49" bestFit="1" customWidth="1"/>
    <col min="3" max="3" width="15.7109375" style="49" customWidth="1"/>
    <col min="4" max="4" width="6.7109375" style="49" customWidth="1"/>
    <col min="5" max="5" width="12.7109375" style="90" customWidth="1"/>
    <col min="6" max="6" width="9.7109375" style="49" customWidth="1"/>
    <col min="7" max="7" width="15.7109375" style="49" customWidth="1"/>
    <col min="8" max="8" width="7.7109375" style="49" customWidth="1"/>
    <col min="9" max="9" width="10.7109375" style="49" customWidth="1"/>
    <col min="10" max="10" width="13.7109375" style="90" customWidth="1"/>
    <col min="11" max="11" width="16.28515625" style="91" bestFit="1" customWidth="1"/>
    <col min="12" max="12" width="6.28515625" style="103" bestFit="1" customWidth="1"/>
    <col min="13" max="13" width="5" style="103" bestFit="1" customWidth="1"/>
    <col min="14" max="14" width="6.42578125" style="49" bestFit="1" customWidth="1"/>
    <col min="15" max="15" width="5.42578125" style="49" bestFit="1" customWidth="1"/>
    <col min="16" max="16" width="16.7109375" style="90" customWidth="1"/>
    <col min="17" max="17" width="7.5703125" style="49" bestFit="1" customWidth="1"/>
    <col min="18" max="18" width="15.7109375" style="90" customWidth="1"/>
    <col min="19" max="16384" width="9.140625" style="49"/>
  </cols>
  <sheetData>
    <row r="1" spans="1:19" s="64" customFormat="1" ht="15.75">
      <c r="B1" s="139" t="s">
        <v>517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1:19" s="64" customFormat="1" ht="15.75">
      <c r="B2" s="139" t="s">
        <v>2193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</row>
    <row r="3" spans="1:19" s="64" customFormat="1" ht="15.75">
      <c r="B3" s="106" t="s">
        <v>2194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19" ht="15.75">
      <c r="B4" s="106" t="s">
        <v>2198</v>
      </c>
    </row>
    <row r="5" spans="1:19" ht="20.100000000000001" customHeight="1">
      <c r="B5" s="134" t="s">
        <v>0</v>
      </c>
      <c r="C5" s="134" t="s">
        <v>1350</v>
      </c>
      <c r="D5" s="140" t="s">
        <v>1351</v>
      </c>
      <c r="E5" s="135" t="s">
        <v>2195</v>
      </c>
      <c r="F5" s="140" t="s">
        <v>6</v>
      </c>
      <c r="G5" s="145" t="s">
        <v>7</v>
      </c>
      <c r="H5" s="140" t="s">
        <v>1</v>
      </c>
      <c r="I5" s="140" t="s">
        <v>2</v>
      </c>
      <c r="J5" s="142" t="s">
        <v>1353</v>
      </c>
      <c r="K5" s="143"/>
      <c r="L5" s="144"/>
      <c r="M5" s="145" t="s">
        <v>1357</v>
      </c>
      <c r="N5" s="134" t="s">
        <v>3</v>
      </c>
      <c r="O5" s="134" t="s">
        <v>1358</v>
      </c>
      <c r="P5" s="135" t="s">
        <v>4</v>
      </c>
      <c r="Q5" s="134" t="s">
        <v>1359</v>
      </c>
      <c r="R5" s="135" t="s">
        <v>5</v>
      </c>
    </row>
    <row r="6" spans="1:19" ht="20.100000000000001" customHeight="1">
      <c r="B6" s="134"/>
      <c r="C6" s="134"/>
      <c r="D6" s="141"/>
      <c r="E6" s="135"/>
      <c r="F6" s="141"/>
      <c r="G6" s="145"/>
      <c r="H6" s="141"/>
      <c r="I6" s="141"/>
      <c r="J6" s="93" t="s">
        <v>1354</v>
      </c>
      <c r="K6" s="94" t="s">
        <v>1355</v>
      </c>
      <c r="L6" s="104" t="s">
        <v>1356</v>
      </c>
      <c r="M6" s="145"/>
      <c r="N6" s="134"/>
      <c r="O6" s="134"/>
      <c r="P6" s="135"/>
      <c r="Q6" s="134"/>
      <c r="R6" s="135"/>
    </row>
    <row r="7" spans="1:19">
      <c r="B7" s="105"/>
      <c r="C7" s="105"/>
      <c r="D7" s="105"/>
      <c r="E7" s="93"/>
      <c r="F7" s="105"/>
      <c r="G7" s="104"/>
      <c r="H7" s="105"/>
      <c r="I7" s="105"/>
      <c r="J7" s="93"/>
      <c r="K7" s="94"/>
      <c r="L7" s="104"/>
      <c r="M7" s="104"/>
      <c r="N7" s="105"/>
      <c r="O7" s="105"/>
      <c r="P7" s="93"/>
      <c r="Q7" s="105"/>
      <c r="R7" s="93"/>
    </row>
    <row r="8" spans="1:19" ht="25.5">
      <c r="B8" s="48">
        <v>1</v>
      </c>
      <c r="C8" s="48" t="s">
        <v>2130</v>
      </c>
      <c r="D8" s="48">
        <v>1</v>
      </c>
      <c r="E8" s="87" t="s">
        <v>518</v>
      </c>
      <c r="F8" s="48" t="s">
        <v>14</v>
      </c>
      <c r="G8" s="48" t="s">
        <v>519</v>
      </c>
      <c r="H8" s="48" t="s">
        <v>17</v>
      </c>
      <c r="I8" s="48" t="s">
        <v>10</v>
      </c>
      <c r="J8" s="87" t="s">
        <v>1368</v>
      </c>
      <c r="K8" s="88">
        <v>25750</v>
      </c>
      <c r="L8" s="100">
        <v>1970</v>
      </c>
      <c r="M8" s="100">
        <f t="shared" ref="M8:M39" si="0">2019-L8</f>
        <v>49</v>
      </c>
      <c r="N8" s="48" t="s">
        <v>11</v>
      </c>
      <c r="O8" s="48" t="s">
        <v>1369</v>
      </c>
      <c r="P8" s="87" t="s">
        <v>1393</v>
      </c>
      <c r="Q8" s="48"/>
      <c r="R8" s="87" t="s">
        <v>1373</v>
      </c>
    </row>
    <row r="9" spans="1:19" ht="25.5">
      <c r="B9" s="130">
        <v>2</v>
      </c>
      <c r="C9" s="130" t="s">
        <v>1821</v>
      </c>
      <c r="D9" s="48">
        <v>2</v>
      </c>
      <c r="E9" s="87" t="s">
        <v>520</v>
      </c>
      <c r="F9" s="48" t="s">
        <v>14</v>
      </c>
      <c r="G9" s="48" t="s">
        <v>521</v>
      </c>
      <c r="H9" s="48" t="s">
        <v>9</v>
      </c>
      <c r="I9" s="48" t="s">
        <v>10</v>
      </c>
      <c r="J9" s="87" t="s">
        <v>1387</v>
      </c>
      <c r="K9" s="88">
        <v>29545</v>
      </c>
      <c r="L9" s="100">
        <v>1980</v>
      </c>
      <c r="M9" s="100">
        <f t="shared" si="0"/>
        <v>39</v>
      </c>
      <c r="N9" s="48" t="s">
        <v>11</v>
      </c>
      <c r="O9" s="48" t="s">
        <v>1369</v>
      </c>
      <c r="P9" s="87" t="s">
        <v>33</v>
      </c>
      <c r="Q9" s="48"/>
      <c r="R9" s="87" t="s">
        <v>1371</v>
      </c>
    </row>
    <row r="10" spans="1:19" ht="25.5">
      <c r="B10" s="130"/>
      <c r="C10" s="130"/>
      <c r="D10" s="48">
        <v>3</v>
      </c>
      <c r="E10" s="87" t="s">
        <v>157</v>
      </c>
      <c r="F10" s="48" t="s">
        <v>20</v>
      </c>
      <c r="G10" s="48" t="s">
        <v>522</v>
      </c>
      <c r="H10" s="48" t="s">
        <v>17</v>
      </c>
      <c r="I10" s="48" t="s">
        <v>10</v>
      </c>
      <c r="J10" s="87" t="s">
        <v>1489</v>
      </c>
      <c r="K10" s="88">
        <v>30614</v>
      </c>
      <c r="L10" s="100">
        <v>1983</v>
      </c>
      <c r="M10" s="100">
        <f t="shared" si="0"/>
        <v>36</v>
      </c>
      <c r="N10" s="48" t="s">
        <v>11</v>
      </c>
      <c r="O10" s="48" t="s">
        <v>1369</v>
      </c>
      <c r="P10" s="87" t="s">
        <v>1388</v>
      </c>
      <c r="Q10" s="48"/>
      <c r="R10" s="87" t="s">
        <v>1371</v>
      </c>
    </row>
    <row r="11" spans="1:19" ht="25.5">
      <c r="B11" s="130"/>
      <c r="C11" s="130"/>
      <c r="D11" s="48">
        <v>4</v>
      </c>
      <c r="E11" s="87" t="s">
        <v>523</v>
      </c>
      <c r="F11" s="48" t="s">
        <v>25</v>
      </c>
      <c r="G11" s="48" t="s">
        <v>524</v>
      </c>
      <c r="H11" s="48" t="s">
        <v>17</v>
      </c>
      <c r="I11" s="48" t="s">
        <v>23</v>
      </c>
      <c r="J11" s="87" t="s">
        <v>1438</v>
      </c>
      <c r="K11" s="88">
        <v>39854</v>
      </c>
      <c r="L11" s="100">
        <v>2009</v>
      </c>
      <c r="M11" s="100">
        <f t="shared" si="0"/>
        <v>10</v>
      </c>
      <c r="N11" s="48" t="s">
        <v>11</v>
      </c>
      <c r="O11" s="48" t="s">
        <v>1369</v>
      </c>
      <c r="P11" s="87" t="s">
        <v>1425</v>
      </c>
      <c r="Q11" s="48"/>
      <c r="R11" s="87" t="s">
        <v>1389</v>
      </c>
    </row>
    <row r="12" spans="1:19" ht="25.5">
      <c r="B12" s="130">
        <v>3</v>
      </c>
      <c r="C12" s="130" t="s">
        <v>1840</v>
      </c>
      <c r="D12" s="48">
        <v>5</v>
      </c>
      <c r="E12" s="87" t="s">
        <v>525</v>
      </c>
      <c r="F12" s="48" t="s">
        <v>14</v>
      </c>
      <c r="G12" s="48" t="s">
        <v>526</v>
      </c>
      <c r="H12" s="48" t="s">
        <v>9</v>
      </c>
      <c r="I12" s="48" t="s">
        <v>10</v>
      </c>
      <c r="J12" s="87" t="s">
        <v>1368</v>
      </c>
      <c r="K12" s="88">
        <v>29526</v>
      </c>
      <c r="L12" s="100">
        <v>1980</v>
      </c>
      <c r="M12" s="100">
        <f t="shared" si="0"/>
        <v>39</v>
      </c>
      <c r="N12" s="48" t="s">
        <v>11</v>
      </c>
      <c r="O12" s="48" t="s">
        <v>1369</v>
      </c>
      <c r="P12" s="87" t="s">
        <v>28</v>
      </c>
      <c r="Q12" s="48"/>
      <c r="R12" s="87" t="s">
        <v>1371</v>
      </c>
    </row>
    <row r="13" spans="1:19" ht="25.5">
      <c r="B13" s="130"/>
      <c r="C13" s="130"/>
      <c r="D13" s="48">
        <v>6</v>
      </c>
      <c r="E13" s="87" t="s">
        <v>145</v>
      </c>
      <c r="F13" s="48" t="s">
        <v>20</v>
      </c>
      <c r="G13" s="48" t="s">
        <v>1841</v>
      </c>
      <c r="H13" s="48" t="s">
        <v>17</v>
      </c>
      <c r="I13" s="48" t="s">
        <v>10</v>
      </c>
      <c r="J13" s="87" t="s">
        <v>1387</v>
      </c>
      <c r="K13" s="88">
        <v>31539</v>
      </c>
      <c r="L13" s="100">
        <v>1986</v>
      </c>
      <c r="M13" s="100">
        <f t="shared" si="0"/>
        <v>33</v>
      </c>
      <c r="N13" s="48" t="s">
        <v>11</v>
      </c>
      <c r="O13" s="48" t="s">
        <v>1369</v>
      </c>
      <c r="P13" s="87" t="s">
        <v>33</v>
      </c>
      <c r="Q13" s="48"/>
      <c r="R13" s="87" t="s">
        <v>1373</v>
      </c>
    </row>
    <row r="14" spans="1:19" ht="25.5">
      <c r="B14" s="130"/>
      <c r="C14" s="130"/>
      <c r="D14" s="48">
        <v>7</v>
      </c>
      <c r="E14" s="87" t="s">
        <v>527</v>
      </c>
      <c r="F14" s="48" t="s">
        <v>25</v>
      </c>
      <c r="G14" s="48" t="s">
        <v>528</v>
      </c>
      <c r="H14" s="48" t="s">
        <v>17</v>
      </c>
      <c r="I14" s="48" t="s">
        <v>23</v>
      </c>
      <c r="J14" s="87" t="s">
        <v>1368</v>
      </c>
      <c r="K14" s="88">
        <v>38669</v>
      </c>
      <c r="L14" s="100">
        <v>2005</v>
      </c>
      <c r="M14" s="100">
        <f t="shared" si="0"/>
        <v>14</v>
      </c>
      <c r="N14" s="48" t="s">
        <v>11</v>
      </c>
      <c r="O14" s="48" t="s">
        <v>1369</v>
      </c>
      <c r="P14" s="87" t="s">
        <v>28</v>
      </c>
      <c r="Q14" s="48"/>
      <c r="R14" s="87" t="s">
        <v>1376</v>
      </c>
    </row>
    <row r="15" spans="1:19" ht="25.5">
      <c r="B15" s="130"/>
      <c r="C15" s="130"/>
      <c r="D15" s="48">
        <v>8</v>
      </c>
      <c r="E15" s="87" t="s">
        <v>529</v>
      </c>
      <c r="F15" s="48" t="s">
        <v>25</v>
      </c>
      <c r="G15" s="48" t="s">
        <v>530</v>
      </c>
      <c r="H15" s="48" t="s">
        <v>17</v>
      </c>
      <c r="I15" s="48" t="s">
        <v>23</v>
      </c>
      <c r="J15" s="87" t="s">
        <v>1489</v>
      </c>
      <c r="K15" s="88">
        <v>41123</v>
      </c>
      <c r="L15" s="100">
        <v>2012</v>
      </c>
      <c r="M15" s="100">
        <f t="shared" si="0"/>
        <v>7</v>
      </c>
      <c r="N15" s="48" t="s">
        <v>11</v>
      </c>
      <c r="O15" s="48" t="s">
        <v>1369</v>
      </c>
      <c r="P15" s="87" t="s">
        <v>1425</v>
      </c>
      <c r="Q15" s="48"/>
      <c r="R15" s="87" t="s">
        <v>1389</v>
      </c>
    </row>
    <row r="16" spans="1:19" s="48" customFormat="1" ht="25.5">
      <c r="A16" s="54"/>
      <c r="B16" s="130">
        <v>4</v>
      </c>
      <c r="C16" s="130" t="s">
        <v>1426</v>
      </c>
      <c r="D16" s="48">
        <v>9</v>
      </c>
      <c r="E16" s="87" t="s">
        <v>1420</v>
      </c>
      <c r="F16" s="48" t="s">
        <v>14</v>
      </c>
      <c r="G16" s="48" t="s">
        <v>1839</v>
      </c>
      <c r="H16" s="48" t="s">
        <v>9</v>
      </c>
      <c r="I16" s="48" t="s">
        <v>10</v>
      </c>
      <c r="J16" s="87" t="s">
        <v>1368</v>
      </c>
      <c r="K16" s="88">
        <v>27759</v>
      </c>
      <c r="L16" s="100">
        <v>1975</v>
      </c>
      <c r="M16" s="100">
        <f t="shared" si="0"/>
        <v>44</v>
      </c>
      <c r="N16" s="48" t="s">
        <v>11</v>
      </c>
      <c r="O16" s="48" t="s">
        <v>1369</v>
      </c>
      <c r="P16" s="87" t="s">
        <v>1425</v>
      </c>
      <c r="R16" s="87" t="s">
        <v>1371</v>
      </c>
      <c r="S16" s="55"/>
    </row>
    <row r="17" spans="1:19" s="48" customFormat="1" ht="25.5">
      <c r="A17" s="54"/>
      <c r="B17" s="130"/>
      <c r="C17" s="130"/>
      <c r="D17" s="48">
        <v>10</v>
      </c>
      <c r="E17" s="87" t="s">
        <v>531</v>
      </c>
      <c r="F17" s="48" t="s">
        <v>20</v>
      </c>
      <c r="G17" s="48" t="s">
        <v>1427</v>
      </c>
      <c r="H17" s="48" t="s">
        <v>17</v>
      </c>
      <c r="I17" s="48" t="s">
        <v>10</v>
      </c>
      <c r="J17" s="87" t="s">
        <v>1387</v>
      </c>
      <c r="K17" s="88">
        <v>30334</v>
      </c>
      <c r="L17" s="100">
        <v>1983</v>
      </c>
      <c r="M17" s="100">
        <f t="shared" si="0"/>
        <v>36</v>
      </c>
      <c r="N17" s="48" t="s">
        <v>11</v>
      </c>
      <c r="O17" s="48" t="s">
        <v>1369</v>
      </c>
      <c r="P17" s="87" t="s">
        <v>1385</v>
      </c>
      <c r="R17" s="87" t="s">
        <v>1373</v>
      </c>
      <c r="S17" s="55"/>
    </row>
    <row r="18" spans="1:19" s="56" customFormat="1" ht="25.5">
      <c r="A18" s="51"/>
      <c r="B18" s="130"/>
      <c r="C18" s="130"/>
      <c r="D18" s="48">
        <v>11</v>
      </c>
      <c r="E18" s="87" t="s">
        <v>1421</v>
      </c>
      <c r="F18" s="48" t="s">
        <v>25</v>
      </c>
      <c r="G18" s="48" t="s">
        <v>1428</v>
      </c>
      <c r="H18" s="48" t="s">
        <v>17</v>
      </c>
      <c r="I18" s="48" t="s">
        <v>23</v>
      </c>
      <c r="J18" s="87" t="s">
        <v>1387</v>
      </c>
      <c r="K18" s="88">
        <v>37388</v>
      </c>
      <c r="L18" s="100">
        <v>2002</v>
      </c>
      <c r="M18" s="100">
        <f t="shared" si="0"/>
        <v>17</v>
      </c>
      <c r="N18" s="48" t="s">
        <v>11</v>
      </c>
      <c r="O18" s="48" t="s">
        <v>1369</v>
      </c>
      <c r="P18" s="87" t="s">
        <v>1385</v>
      </c>
      <c r="Q18" s="48"/>
      <c r="R18" s="87" t="s">
        <v>1376</v>
      </c>
      <c r="S18" s="58"/>
    </row>
    <row r="19" spans="1:19" s="48" customFormat="1" ht="25.5">
      <c r="A19" s="54"/>
      <c r="B19" s="130"/>
      <c r="C19" s="130"/>
      <c r="D19" s="48">
        <v>12</v>
      </c>
      <c r="E19" s="87" t="s">
        <v>1429</v>
      </c>
      <c r="F19" s="48" t="s">
        <v>1430</v>
      </c>
      <c r="G19" s="48" t="s">
        <v>1431</v>
      </c>
      <c r="H19" s="48" t="s">
        <v>9</v>
      </c>
      <c r="I19" s="48" t="s">
        <v>23</v>
      </c>
      <c r="J19" s="87" t="s">
        <v>1387</v>
      </c>
      <c r="K19" s="88">
        <v>43010</v>
      </c>
      <c r="L19" s="100">
        <v>2017</v>
      </c>
      <c r="M19" s="100">
        <f t="shared" si="0"/>
        <v>2</v>
      </c>
      <c r="N19" s="48" t="s">
        <v>11</v>
      </c>
      <c r="O19" s="48" t="s">
        <v>1369</v>
      </c>
      <c r="P19" s="87" t="s">
        <v>1425</v>
      </c>
      <c r="R19" s="87" t="s">
        <v>1389</v>
      </c>
      <c r="S19" s="55"/>
    </row>
    <row r="20" spans="1:19" ht="25.5">
      <c r="B20" s="130">
        <v>5</v>
      </c>
      <c r="C20" s="130" t="s">
        <v>1507</v>
      </c>
      <c r="D20" s="48">
        <v>13</v>
      </c>
      <c r="E20" s="87" t="s">
        <v>481</v>
      </c>
      <c r="F20" s="48" t="s">
        <v>14</v>
      </c>
      <c r="G20" s="48" t="s">
        <v>1508</v>
      </c>
      <c r="H20" s="48" t="s">
        <v>9</v>
      </c>
      <c r="I20" s="48" t="s">
        <v>10</v>
      </c>
      <c r="J20" s="87" t="s">
        <v>1387</v>
      </c>
      <c r="K20" s="88">
        <v>22263</v>
      </c>
      <c r="L20" s="100">
        <v>1960</v>
      </c>
      <c r="M20" s="100">
        <f t="shared" si="0"/>
        <v>59</v>
      </c>
      <c r="N20" s="48" t="s">
        <v>11</v>
      </c>
      <c r="O20" s="48" t="s">
        <v>1369</v>
      </c>
      <c r="P20" s="87" t="s">
        <v>1425</v>
      </c>
      <c r="Q20" s="48"/>
      <c r="R20" s="87" t="s">
        <v>1371</v>
      </c>
    </row>
    <row r="21" spans="1:19" ht="25.5">
      <c r="B21" s="130"/>
      <c r="C21" s="130"/>
      <c r="D21" s="48">
        <v>14</v>
      </c>
      <c r="E21" s="87" t="s">
        <v>532</v>
      </c>
      <c r="F21" s="48" t="s">
        <v>20</v>
      </c>
      <c r="G21" s="48" t="s">
        <v>533</v>
      </c>
      <c r="H21" s="48" t="s">
        <v>17</v>
      </c>
      <c r="I21" s="48" t="s">
        <v>10</v>
      </c>
      <c r="J21" s="87" t="s">
        <v>1387</v>
      </c>
      <c r="K21" s="88">
        <v>25933</v>
      </c>
      <c r="L21" s="100">
        <v>1970</v>
      </c>
      <c r="M21" s="100">
        <f t="shared" si="0"/>
        <v>49</v>
      </c>
      <c r="N21" s="48" t="s">
        <v>11</v>
      </c>
      <c r="O21" s="48" t="s">
        <v>1369</v>
      </c>
      <c r="P21" s="87" t="s">
        <v>1425</v>
      </c>
      <c r="Q21" s="48"/>
      <c r="R21" s="87" t="s">
        <v>1371</v>
      </c>
    </row>
    <row r="22" spans="1:19" ht="25.5">
      <c r="B22" s="130"/>
      <c r="C22" s="130"/>
      <c r="D22" s="48">
        <v>15</v>
      </c>
      <c r="E22" s="87" t="s">
        <v>534</v>
      </c>
      <c r="F22" s="48" t="s">
        <v>25</v>
      </c>
      <c r="G22" s="48" t="s">
        <v>1509</v>
      </c>
      <c r="H22" s="48" t="s">
        <v>9</v>
      </c>
      <c r="I22" s="48" t="s">
        <v>23</v>
      </c>
      <c r="J22" s="87" t="s">
        <v>1387</v>
      </c>
      <c r="K22" s="88">
        <v>31656</v>
      </c>
      <c r="L22" s="100">
        <v>1986</v>
      </c>
      <c r="M22" s="100">
        <f t="shared" si="0"/>
        <v>33</v>
      </c>
      <c r="N22" s="48" t="s">
        <v>11</v>
      </c>
      <c r="O22" s="48" t="s">
        <v>1369</v>
      </c>
      <c r="P22" s="87" t="s">
        <v>1385</v>
      </c>
      <c r="Q22" s="48"/>
      <c r="R22" s="87" t="s">
        <v>1371</v>
      </c>
    </row>
    <row r="23" spans="1:19" ht="25.5">
      <c r="B23" s="130"/>
      <c r="C23" s="130"/>
      <c r="D23" s="48">
        <v>16</v>
      </c>
      <c r="E23" s="87" t="s">
        <v>535</v>
      </c>
      <c r="F23" s="48" t="s">
        <v>1463</v>
      </c>
      <c r="G23" s="48" t="s">
        <v>536</v>
      </c>
      <c r="H23" s="48" t="s">
        <v>9</v>
      </c>
      <c r="I23" s="48" t="s">
        <v>23</v>
      </c>
      <c r="J23" s="87" t="s">
        <v>1510</v>
      </c>
      <c r="K23" s="88">
        <v>39976</v>
      </c>
      <c r="L23" s="100">
        <v>2009</v>
      </c>
      <c r="M23" s="100">
        <f t="shared" si="0"/>
        <v>10</v>
      </c>
      <c r="N23" s="48" t="s">
        <v>11</v>
      </c>
      <c r="O23" s="48" t="s">
        <v>1369</v>
      </c>
      <c r="P23" s="87" t="s">
        <v>1425</v>
      </c>
      <c r="Q23" s="48"/>
      <c r="R23" s="87" t="s">
        <v>1389</v>
      </c>
    </row>
    <row r="24" spans="1:19" ht="25.5">
      <c r="B24" s="130">
        <v>6</v>
      </c>
      <c r="C24" s="130" t="s">
        <v>1879</v>
      </c>
      <c r="D24" s="48">
        <v>17</v>
      </c>
      <c r="E24" s="87" t="s">
        <v>1880</v>
      </c>
      <c r="F24" s="48" t="s">
        <v>14</v>
      </c>
      <c r="G24" s="48" t="s">
        <v>537</v>
      </c>
      <c r="H24" s="48" t="s">
        <v>9</v>
      </c>
      <c r="I24" s="48" t="s">
        <v>10</v>
      </c>
      <c r="J24" s="87" t="s">
        <v>1387</v>
      </c>
      <c r="K24" s="88">
        <v>30864</v>
      </c>
      <c r="L24" s="100">
        <v>1984</v>
      </c>
      <c r="M24" s="100">
        <f t="shared" si="0"/>
        <v>35</v>
      </c>
      <c r="N24" s="48" t="s">
        <v>11</v>
      </c>
      <c r="O24" s="48"/>
      <c r="P24" s="87" t="s">
        <v>28</v>
      </c>
      <c r="Q24" s="48"/>
      <c r="R24" s="87" t="s">
        <v>1371</v>
      </c>
    </row>
    <row r="25" spans="1:19" ht="25.5">
      <c r="B25" s="130"/>
      <c r="C25" s="130"/>
      <c r="D25" s="48">
        <v>18</v>
      </c>
      <c r="E25" s="87" t="s">
        <v>538</v>
      </c>
      <c r="F25" s="48" t="s">
        <v>20</v>
      </c>
      <c r="G25" s="48" t="s">
        <v>539</v>
      </c>
      <c r="H25" s="48" t="s">
        <v>17</v>
      </c>
      <c r="I25" s="48" t="s">
        <v>10</v>
      </c>
      <c r="J25" s="87" t="s">
        <v>1884</v>
      </c>
      <c r="K25" s="88">
        <v>31975</v>
      </c>
      <c r="L25" s="100">
        <v>1987</v>
      </c>
      <c r="M25" s="100">
        <f t="shared" si="0"/>
        <v>32</v>
      </c>
      <c r="N25" s="48" t="s">
        <v>11</v>
      </c>
      <c r="O25" s="48"/>
      <c r="P25" s="87" t="s">
        <v>33</v>
      </c>
      <c r="Q25" s="48"/>
      <c r="R25" s="87" t="s">
        <v>1371</v>
      </c>
    </row>
    <row r="26" spans="1:19" ht="25.5">
      <c r="B26" s="130"/>
      <c r="C26" s="130"/>
      <c r="D26" s="48">
        <v>19</v>
      </c>
      <c r="E26" s="87" t="s">
        <v>1881</v>
      </c>
      <c r="F26" s="48" t="s">
        <v>25</v>
      </c>
      <c r="G26" s="48" t="s">
        <v>540</v>
      </c>
      <c r="H26" s="48" t="s">
        <v>9</v>
      </c>
      <c r="I26" s="48" t="s">
        <v>23</v>
      </c>
      <c r="J26" s="87" t="s">
        <v>1387</v>
      </c>
      <c r="K26" s="88">
        <v>41332</v>
      </c>
      <c r="L26" s="100">
        <v>2013</v>
      </c>
      <c r="M26" s="100">
        <f t="shared" si="0"/>
        <v>6</v>
      </c>
      <c r="N26" s="48" t="s">
        <v>11</v>
      </c>
      <c r="O26" s="48"/>
      <c r="P26" s="87" t="s">
        <v>1425</v>
      </c>
      <c r="Q26" s="48"/>
      <c r="R26" s="87" t="s">
        <v>1389</v>
      </c>
    </row>
    <row r="27" spans="1:19" ht="25.5">
      <c r="B27" s="130"/>
      <c r="C27" s="130"/>
      <c r="D27" s="48">
        <v>20</v>
      </c>
      <c r="E27" s="87" t="s">
        <v>1882</v>
      </c>
      <c r="F27" s="48" t="s">
        <v>25</v>
      </c>
      <c r="G27" s="48" t="s">
        <v>1883</v>
      </c>
      <c r="H27" s="48" t="s">
        <v>9</v>
      </c>
      <c r="I27" s="48" t="s">
        <v>23</v>
      </c>
      <c r="J27" s="87" t="s">
        <v>1387</v>
      </c>
      <c r="K27" s="88">
        <v>41966</v>
      </c>
      <c r="L27" s="100">
        <v>2014</v>
      </c>
      <c r="M27" s="100">
        <f t="shared" si="0"/>
        <v>5</v>
      </c>
      <c r="N27" s="48" t="s">
        <v>11</v>
      </c>
      <c r="O27" s="48"/>
      <c r="P27" s="87" t="s">
        <v>1425</v>
      </c>
      <c r="Q27" s="48"/>
      <c r="R27" s="87" t="s">
        <v>1389</v>
      </c>
    </row>
    <row r="28" spans="1:19">
      <c r="B28" s="48">
        <v>7</v>
      </c>
      <c r="C28" s="48"/>
      <c r="D28" s="48">
        <v>21</v>
      </c>
      <c r="E28" s="87" t="s">
        <v>541</v>
      </c>
      <c r="F28" s="48" t="s">
        <v>14</v>
      </c>
      <c r="G28" s="48">
        <v>0</v>
      </c>
      <c r="H28" s="48" t="s">
        <v>17</v>
      </c>
      <c r="I28" s="48" t="s">
        <v>67</v>
      </c>
      <c r="J28" s="87"/>
      <c r="K28" s="88">
        <v>11140</v>
      </c>
      <c r="L28" s="100">
        <f>YEAR(K28)</f>
        <v>1930</v>
      </c>
      <c r="M28" s="100">
        <f t="shared" si="0"/>
        <v>89</v>
      </c>
      <c r="N28" s="48" t="s">
        <v>11</v>
      </c>
      <c r="O28" s="48"/>
      <c r="P28" s="87" t="s">
        <v>18</v>
      </c>
      <c r="Q28" s="48"/>
      <c r="R28" s="87" t="s">
        <v>18</v>
      </c>
    </row>
    <row r="29" spans="1:19" ht="25.5">
      <c r="B29" s="130">
        <v>8</v>
      </c>
      <c r="C29" s="130" t="s">
        <v>1875</v>
      </c>
      <c r="D29" s="48">
        <v>22</v>
      </c>
      <c r="E29" s="87" t="s">
        <v>542</v>
      </c>
      <c r="F29" s="48" t="s">
        <v>14</v>
      </c>
      <c r="G29" s="48" t="s">
        <v>543</v>
      </c>
      <c r="H29" s="48" t="s">
        <v>17</v>
      </c>
      <c r="I29" s="48" t="s">
        <v>1448</v>
      </c>
      <c r="J29" s="87" t="s">
        <v>1368</v>
      </c>
      <c r="K29" s="88">
        <v>14793</v>
      </c>
      <c r="L29" s="100">
        <v>1940</v>
      </c>
      <c r="M29" s="100">
        <f t="shared" si="0"/>
        <v>79</v>
      </c>
      <c r="N29" s="48" t="s">
        <v>11</v>
      </c>
      <c r="O29" s="48" t="s">
        <v>1369</v>
      </c>
      <c r="P29" s="87" t="s">
        <v>1393</v>
      </c>
      <c r="Q29" s="48"/>
      <c r="R29" s="87" t="s">
        <v>1371</v>
      </c>
    </row>
    <row r="30" spans="1:19" ht="25.5">
      <c r="B30" s="130"/>
      <c r="C30" s="130"/>
      <c r="D30" s="48">
        <v>23</v>
      </c>
      <c r="E30" s="87" t="s">
        <v>544</v>
      </c>
      <c r="F30" s="48" t="s">
        <v>25</v>
      </c>
      <c r="G30" s="48" t="s">
        <v>1877</v>
      </c>
      <c r="H30" s="48" t="s">
        <v>17</v>
      </c>
      <c r="I30" s="48" t="s">
        <v>23</v>
      </c>
      <c r="J30" s="87" t="s">
        <v>1387</v>
      </c>
      <c r="K30" s="88">
        <v>36237</v>
      </c>
      <c r="L30" s="100">
        <v>1999</v>
      </c>
      <c r="M30" s="100">
        <f t="shared" si="0"/>
        <v>20</v>
      </c>
      <c r="N30" s="48" t="s">
        <v>11</v>
      </c>
      <c r="O30" s="48" t="s">
        <v>1369</v>
      </c>
      <c r="P30" s="87" t="s">
        <v>33</v>
      </c>
      <c r="Q30" s="48"/>
      <c r="R30" s="87" t="s">
        <v>1376</v>
      </c>
    </row>
    <row r="31" spans="1:19" ht="25.5">
      <c r="B31" s="130"/>
      <c r="C31" s="130"/>
      <c r="D31" s="48">
        <v>24</v>
      </c>
      <c r="E31" s="87" t="s">
        <v>1876</v>
      </c>
      <c r="F31" s="48" t="s">
        <v>25</v>
      </c>
      <c r="G31" s="48" t="s">
        <v>1878</v>
      </c>
      <c r="H31" s="48" t="s">
        <v>17</v>
      </c>
      <c r="I31" s="48" t="s">
        <v>23</v>
      </c>
      <c r="J31" s="87" t="s">
        <v>1387</v>
      </c>
      <c r="K31" s="88">
        <v>39322</v>
      </c>
      <c r="L31" s="100">
        <v>2007</v>
      </c>
      <c r="M31" s="100">
        <f t="shared" si="0"/>
        <v>12</v>
      </c>
      <c r="N31" s="48" t="s">
        <v>11</v>
      </c>
      <c r="O31" s="48" t="s">
        <v>1369</v>
      </c>
      <c r="P31" s="87" t="s">
        <v>1425</v>
      </c>
      <c r="Q31" s="48"/>
      <c r="R31" s="87" t="s">
        <v>1389</v>
      </c>
    </row>
    <row r="32" spans="1:19">
      <c r="B32" s="48">
        <v>9</v>
      </c>
      <c r="C32" s="48"/>
      <c r="D32" s="48">
        <v>25</v>
      </c>
      <c r="E32" s="87" t="s">
        <v>151</v>
      </c>
      <c r="F32" s="48" t="s">
        <v>14</v>
      </c>
      <c r="G32" s="48" t="s">
        <v>545</v>
      </c>
      <c r="H32" s="48" t="s">
        <v>9</v>
      </c>
      <c r="I32" s="48" t="s">
        <v>123</v>
      </c>
      <c r="J32" s="87"/>
      <c r="K32" s="88">
        <v>22463</v>
      </c>
      <c r="L32" s="100">
        <f>YEAR(K32)</f>
        <v>1961</v>
      </c>
      <c r="M32" s="100">
        <f t="shared" si="0"/>
        <v>58</v>
      </c>
      <c r="N32" s="48" t="s">
        <v>11</v>
      </c>
      <c r="O32" s="48"/>
      <c r="P32" s="87" t="s">
        <v>18</v>
      </c>
      <c r="Q32" s="48"/>
      <c r="R32" s="87" t="s">
        <v>24</v>
      </c>
    </row>
    <row r="33" spans="2:18" ht="25.5">
      <c r="B33" s="130">
        <v>10</v>
      </c>
      <c r="C33" s="130" t="s">
        <v>1499</v>
      </c>
      <c r="D33" s="48">
        <v>26</v>
      </c>
      <c r="E33" s="87" t="s">
        <v>546</v>
      </c>
      <c r="F33" s="48" t="s">
        <v>14</v>
      </c>
      <c r="G33" s="48" t="s">
        <v>1500</v>
      </c>
      <c r="H33" s="48" t="s">
        <v>9</v>
      </c>
      <c r="I33" s="48" t="s">
        <v>10</v>
      </c>
      <c r="J33" s="87" t="s">
        <v>1368</v>
      </c>
      <c r="K33" s="88">
        <v>30883</v>
      </c>
      <c r="L33" s="100">
        <v>1984</v>
      </c>
      <c r="M33" s="100">
        <f t="shared" si="0"/>
        <v>35</v>
      </c>
      <c r="N33" s="48" t="s">
        <v>11</v>
      </c>
      <c r="O33" s="48" t="s">
        <v>1369</v>
      </c>
      <c r="P33" s="87" t="s">
        <v>1393</v>
      </c>
      <c r="Q33" s="48"/>
      <c r="R33" s="87" t="s">
        <v>1371</v>
      </c>
    </row>
    <row r="34" spans="2:18" ht="25.5">
      <c r="B34" s="130"/>
      <c r="C34" s="130"/>
      <c r="D34" s="48">
        <v>27</v>
      </c>
      <c r="E34" s="87" t="s">
        <v>1501</v>
      </c>
      <c r="F34" s="48" t="s">
        <v>20</v>
      </c>
      <c r="G34" s="48" t="s">
        <v>1502</v>
      </c>
      <c r="H34" s="48" t="s">
        <v>17</v>
      </c>
      <c r="I34" s="48" t="s">
        <v>10</v>
      </c>
      <c r="J34" s="87" t="s">
        <v>1503</v>
      </c>
      <c r="K34" s="88">
        <v>29403</v>
      </c>
      <c r="L34" s="100">
        <v>1980</v>
      </c>
      <c r="M34" s="100">
        <f t="shared" si="0"/>
        <v>39</v>
      </c>
      <c r="N34" s="48" t="s">
        <v>11</v>
      </c>
      <c r="O34" s="48" t="s">
        <v>1369</v>
      </c>
      <c r="P34" s="87" t="s">
        <v>1393</v>
      </c>
      <c r="Q34" s="48"/>
      <c r="R34" s="87" t="s">
        <v>1371</v>
      </c>
    </row>
    <row r="35" spans="2:18" ht="25.5">
      <c r="B35" s="130">
        <v>11</v>
      </c>
      <c r="C35" s="130" t="s">
        <v>1885</v>
      </c>
      <c r="D35" s="48">
        <v>28</v>
      </c>
      <c r="E35" s="87" t="s">
        <v>282</v>
      </c>
      <c r="F35" s="48" t="s">
        <v>14</v>
      </c>
      <c r="G35" s="48" t="s">
        <v>547</v>
      </c>
      <c r="H35" s="48" t="s">
        <v>9</v>
      </c>
      <c r="I35" s="48" t="s">
        <v>10</v>
      </c>
      <c r="J35" s="87" t="s">
        <v>1888</v>
      </c>
      <c r="K35" s="88">
        <v>27394</v>
      </c>
      <c r="L35" s="100">
        <v>1974</v>
      </c>
      <c r="M35" s="100">
        <f t="shared" si="0"/>
        <v>45</v>
      </c>
      <c r="N35" s="48" t="s">
        <v>11</v>
      </c>
      <c r="O35" s="48" t="s">
        <v>1369</v>
      </c>
      <c r="P35" s="87" t="s">
        <v>12</v>
      </c>
      <c r="Q35" s="48"/>
      <c r="R35" s="87" t="s">
        <v>1371</v>
      </c>
    </row>
    <row r="36" spans="2:18" ht="25.5">
      <c r="B36" s="130"/>
      <c r="C36" s="130"/>
      <c r="D36" s="48">
        <v>29</v>
      </c>
      <c r="E36" s="87" t="s">
        <v>548</v>
      </c>
      <c r="F36" s="48" t="s">
        <v>20</v>
      </c>
      <c r="G36" s="48" t="s">
        <v>549</v>
      </c>
      <c r="H36" s="48" t="s">
        <v>17</v>
      </c>
      <c r="I36" s="48" t="s">
        <v>10</v>
      </c>
      <c r="J36" s="87" t="s">
        <v>1387</v>
      </c>
      <c r="K36" s="88">
        <v>27759</v>
      </c>
      <c r="L36" s="100">
        <v>1975</v>
      </c>
      <c r="M36" s="100">
        <f t="shared" si="0"/>
        <v>44</v>
      </c>
      <c r="N36" s="48" t="s">
        <v>11</v>
      </c>
      <c r="O36" s="48" t="s">
        <v>1369</v>
      </c>
      <c r="P36" s="87" t="s">
        <v>33</v>
      </c>
      <c r="Q36" s="48"/>
      <c r="R36" s="87" t="s">
        <v>1373</v>
      </c>
    </row>
    <row r="37" spans="2:18" ht="25.5">
      <c r="B37" s="130"/>
      <c r="C37" s="130"/>
      <c r="D37" s="48">
        <v>30</v>
      </c>
      <c r="E37" s="87" t="s">
        <v>550</v>
      </c>
      <c r="F37" s="48" t="s">
        <v>25</v>
      </c>
      <c r="G37" s="48" t="s">
        <v>551</v>
      </c>
      <c r="H37" s="48" t="s">
        <v>17</v>
      </c>
      <c r="I37" s="48" t="s">
        <v>23</v>
      </c>
      <c r="J37" s="87" t="s">
        <v>1368</v>
      </c>
      <c r="K37" s="88">
        <v>35535</v>
      </c>
      <c r="L37" s="100">
        <v>1997</v>
      </c>
      <c r="M37" s="100">
        <f t="shared" si="0"/>
        <v>22</v>
      </c>
      <c r="N37" s="48" t="s">
        <v>11</v>
      </c>
      <c r="O37" s="48" t="s">
        <v>1369</v>
      </c>
      <c r="P37" s="87" t="s">
        <v>33</v>
      </c>
      <c r="Q37" s="48"/>
      <c r="R37" s="87" t="s">
        <v>1376</v>
      </c>
    </row>
    <row r="38" spans="2:18" ht="25.5">
      <c r="B38" s="130"/>
      <c r="C38" s="130"/>
      <c r="D38" s="48">
        <v>31</v>
      </c>
      <c r="E38" s="87" t="s">
        <v>1886</v>
      </c>
      <c r="F38" s="48" t="s">
        <v>25</v>
      </c>
      <c r="G38" s="48" t="s">
        <v>552</v>
      </c>
      <c r="H38" s="48" t="s">
        <v>17</v>
      </c>
      <c r="I38" s="48" t="s">
        <v>23</v>
      </c>
      <c r="J38" s="87" t="s">
        <v>1368</v>
      </c>
      <c r="K38" s="88">
        <v>40861</v>
      </c>
      <c r="L38" s="100">
        <v>2011</v>
      </c>
      <c r="M38" s="100">
        <f t="shared" si="0"/>
        <v>8</v>
      </c>
      <c r="N38" s="48" t="s">
        <v>11</v>
      </c>
      <c r="O38" s="48" t="s">
        <v>1369</v>
      </c>
      <c r="P38" s="87" t="s">
        <v>1425</v>
      </c>
      <c r="Q38" s="48"/>
      <c r="R38" s="87" t="s">
        <v>1389</v>
      </c>
    </row>
    <row r="39" spans="2:18" ht="25.5">
      <c r="B39" s="130"/>
      <c r="C39" s="130"/>
      <c r="D39" s="48">
        <v>32</v>
      </c>
      <c r="E39" s="87" t="s">
        <v>553</v>
      </c>
      <c r="F39" s="48" t="s">
        <v>25</v>
      </c>
      <c r="G39" s="48" t="s">
        <v>1887</v>
      </c>
      <c r="H39" s="48" t="s">
        <v>9</v>
      </c>
      <c r="I39" s="48" t="s">
        <v>23</v>
      </c>
      <c r="J39" s="87" t="s">
        <v>1455</v>
      </c>
      <c r="K39" s="88">
        <v>42114</v>
      </c>
      <c r="L39" s="100">
        <v>2015</v>
      </c>
      <c r="M39" s="100">
        <f t="shared" si="0"/>
        <v>4</v>
      </c>
      <c r="N39" s="48" t="s">
        <v>11</v>
      </c>
      <c r="O39" s="48" t="s">
        <v>1369</v>
      </c>
      <c r="P39" s="87" t="s">
        <v>1425</v>
      </c>
      <c r="Q39" s="48"/>
      <c r="R39" s="87" t="s">
        <v>1389</v>
      </c>
    </row>
    <row r="40" spans="2:18" ht="25.5">
      <c r="B40" s="130">
        <v>12</v>
      </c>
      <c r="C40" s="130" t="s">
        <v>1459</v>
      </c>
      <c r="D40" s="48">
        <v>33</v>
      </c>
      <c r="E40" s="87" t="s">
        <v>554</v>
      </c>
      <c r="F40" s="48" t="s">
        <v>14</v>
      </c>
      <c r="G40" s="48" t="s">
        <v>555</v>
      </c>
      <c r="H40" s="48" t="s">
        <v>9</v>
      </c>
      <c r="I40" s="48" t="s">
        <v>10</v>
      </c>
      <c r="J40" s="87" t="s">
        <v>1387</v>
      </c>
      <c r="K40" s="88">
        <v>23011</v>
      </c>
      <c r="L40" s="100">
        <v>1962</v>
      </c>
      <c r="M40" s="100">
        <f t="shared" ref="M40:M70" si="1">2019-L40</f>
        <v>57</v>
      </c>
      <c r="N40" s="48" t="s">
        <v>11</v>
      </c>
      <c r="O40" s="48" t="s">
        <v>1369</v>
      </c>
      <c r="P40" s="87" t="s">
        <v>1375</v>
      </c>
      <c r="Q40" s="48"/>
      <c r="R40" s="87" t="s">
        <v>1460</v>
      </c>
    </row>
    <row r="41" spans="2:18" ht="25.5">
      <c r="B41" s="130"/>
      <c r="C41" s="130"/>
      <c r="D41" s="48">
        <v>34</v>
      </c>
      <c r="E41" s="87" t="s">
        <v>556</v>
      </c>
      <c r="F41" s="48" t="s">
        <v>20</v>
      </c>
      <c r="G41" s="48" t="s">
        <v>557</v>
      </c>
      <c r="H41" s="48" t="s">
        <v>17</v>
      </c>
      <c r="I41" s="48" t="s">
        <v>10</v>
      </c>
      <c r="J41" s="87" t="s">
        <v>1387</v>
      </c>
      <c r="K41" s="88">
        <v>23742</v>
      </c>
      <c r="L41" s="100">
        <v>1964</v>
      </c>
      <c r="M41" s="100">
        <f t="shared" si="1"/>
        <v>55</v>
      </c>
      <c r="N41" s="48" t="s">
        <v>11</v>
      </c>
      <c r="O41" s="48" t="s">
        <v>1369</v>
      </c>
      <c r="P41" s="87" t="s">
        <v>1375</v>
      </c>
      <c r="Q41" s="48"/>
      <c r="R41" s="87" t="s">
        <v>1460</v>
      </c>
    </row>
    <row r="42" spans="2:18" ht="25.5">
      <c r="B42" s="130"/>
      <c r="C42" s="130"/>
      <c r="D42" s="48">
        <v>35</v>
      </c>
      <c r="E42" s="87" t="s">
        <v>1461</v>
      </c>
      <c r="F42" s="48" t="s">
        <v>25</v>
      </c>
      <c r="G42" s="48" t="s">
        <v>558</v>
      </c>
      <c r="H42" s="48" t="s">
        <v>9</v>
      </c>
      <c r="I42" s="48" t="s">
        <v>23</v>
      </c>
      <c r="J42" s="87" t="s">
        <v>1368</v>
      </c>
      <c r="K42" s="88">
        <v>36238</v>
      </c>
      <c r="L42" s="100">
        <v>1999</v>
      </c>
      <c r="M42" s="100">
        <f t="shared" si="1"/>
        <v>20</v>
      </c>
      <c r="N42" s="48" t="s">
        <v>11</v>
      </c>
      <c r="O42" s="48" t="s">
        <v>1369</v>
      </c>
      <c r="P42" s="87" t="s">
        <v>1388</v>
      </c>
      <c r="Q42" s="48"/>
      <c r="R42" s="87" t="s">
        <v>1389</v>
      </c>
    </row>
    <row r="43" spans="2:18" ht="25.5">
      <c r="B43" s="130"/>
      <c r="C43" s="130"/>
      <c r="D43" s="48">
        <v>36</v>
      </c>
      <c r="E43" s="87" t="s">
        <v>1462</v>
      </c>
      <c r="F43" s="48" t="s">
        <v>25</v>
      </c>
      <c r="G43" s="48" t="s">
        <v>559</v>
      </c>
      <c r="H43" s="48" t="s">
        <v>17</v>
      </c>
      <c r="I43" s="48" t="s">
        <v>23</v>
      </c>
      <c r="J43" s="87" t="s">
        <v>1368</v>
      </c>
      <c r="K43" s="88">
        <v>38781</v>
      </c>
      <c r="L43" s="100">
        <v>2006</v>
      </c>
      <c r="M43" s="100">
        <f t="shared" si="1"/>
        <v>13</v>
      </c>
      <c r="N43" s="48" t="s">
        <v>11</v>
      </c>
      <c r="O43" s="48" t="s">
        <v>1369</v>
      </c>
      <c r="P43" s="87" t="s">
        <v>1425</v>
      </c>
      <c r="Q43" s="48"/>
      <c r="R43" s="87" t="s">
        <v>1389</v>
      </c>
    </row>
    <row r="44" spans="2:18" ht="25.5">
      <c r="B44" s="130"/>
      <c r="C44" s="130"/>
      <c r="D44" s="48">
        <v>37</v>
      </c>
      <c r="E44" s="87" t="s">
        <v>560</v>
      </c>
      <c r="F44" s="48" t="s">
        <v>25</v>
      </c>
      <c r="G44" s="48" t="s">
        <v>561</v>
      </c>
      <c r="H44" s="48" t="s">
        <v>9</v>
      </c>
      <c r="I44" s="48" t="s">
        <v>23</v>
      </c>
      <c r="J44" s="87" t="s">
        <v>1368</v>
      </c>
      <c r="K44" s="88">
        <v>41757</v>
      </c>
      <c r="L44" s="100">
        <v>2014</v>
      </c>
      <c r="M44" s="100">
        <f t="shared" si="1"/>
        <v>5</v>
      </c>
      <c r="N44" s="48" t="s">
        <v>11</v>
      </c>
      <c r="O44" s="48" t="s">
        <v>1369</v>
      </c>
      <c r="P44" s="87" t="s">
        <v>1425</v>
      </c>
      <c r="Q44" s="48"/>
      <c r="R44" s="87" t="s">
        <v>1389</v>
      </c>
    </row>
    <row r="45" spans="2:18" ht="25.5">
      <c r="B45" s="130"/>
      <c r="C45" s="130"/>
      <c r="D45" s="48">
        <v>38</v>
      </c>
      <c r="E45" s="87" t="s">
        <v>562</v>
      </c>
      <c r="F45" s="48" t="s">
        <v>1463</v>
      </c>
      <c r="G45" s="48" t="s">
        <v>563</v>
      </c>
      <c r="H45" s="48" t="s">
        <v>9</v>
      </c>
      <c r="I45" s="48" t="s">
        <v>23</v>
      </c>
      <c r="J45" s="87" t="s">
        <v>1368</v>
      </c>
      <c r="K45" s="88">
        <v>41757</v>
      </c>
      <c r="L45" s="100">
        <v>2014</v>
      </c>
      <c r="M45" s="100">
        <f t="shared" si="1"/>
        <v>5</v>
      </c>
      <c r="N45" s="48" t="s">
        <v>11</v>
      </c>
      <c r="O45" s="48" t="s">
        <v>1369</v>
      </c>
      <c r="P45" s="87" t="s">
        <v>1425</v>
      </c>
      <c r="Q45" s="48"/>
      <c r="R45" s="87" t="s">
        <v>1389</v>
      </c>
    </row>
    <row r="46" spans="2:18">
      <c r="B46" s="130">
        <v>13</v>
      </c>
      <c r="C46" s="130"/>
      <c r="D46" s="48">
        <v>39</v>
      </c>
      <c r="E46" s="87" t="s">
        <v>564</v>
      </c>
      <c r="F46" s="48" t="s">
        <v>14</v>
      </c>
      <c r="G46" s="48" t="s">
        <v>565</v>
      </c>
      <c r="H46" s="48" t="s">
        <v>9</v>
      </c>
      <c r="I46" s="48" t="s">
        <v>10</v>
      </c>
      <c r="J46" s="87"/>
      <c r="K46" s="88">
        <v>34013</v>
      </c>
      <c r="L46" s="100">
        <f t="shared" ref="L46:L49" si="2">YEAR(K46)</f>
        <v>1993</v>
      </c>
      <c r="M46" s="100">
        <f t="shared" si="1"/>
        <v>26</v>
      </c>
      <c r="N46" s="48" t="s">
        <v>11</v>
      </c>
      <c r="O46" s="48"/>
      <c r="P46" s="87" t="s">
        <v>33</v>
      </c>
      <c r="Q46" s="48"/>
      <c r="R46" s="87" t="s">
        <v>24</v>
      </c>
    </row>
    <row r="47" spans="2:18">
      <c r="B47" s="130"/>
      <c r="C47" s="130"/>
      <c r="D47" s="48">
        <v>40</v>
      </c>
      <c r="E47" s="87" t="s">
        <v>566</v>
      </c>
      <c r="F47" s="48" t="s">
        <v>20</v>
      </c>
      <c r="G47" s="48" t="s">
        <v>567</v>
      </c>
      <c r="H47" s="48" t="s">
        <v>17</v>
      </c>
      <c r="I47" s="48" t="s">
        <v>10</v>
      </c>
      <c r="J47" s="87"/>
      <c r="K47" s="88">
        <v>32638</v>
      </c>
      <c r="L47" s="100">
        <f t="shared" si="2"/>
        <v>1989</v>
      </c>
      <c r="M47" s="100">
        <f t="shared" si="1"/>
        <v>30</v>
      </c>
      <c r="N47" s="48" t="s">
        <v>11</v>
      </c>
      <c r="O47" s="48"/>
      <c r="P47" s="87" t="s">
        <v>12</v>
      </c>
      <c r="Q47" s="48"/>
      <c r="R47" s="87" t="s">
        <v>24</v>
      </c>
    </row>
    <row r="48" spans="2:18">
      <c r="B48" s="130">
        <v>14</v>
      </c>
      <c r="C48" s="130"/>
      <c r="D48" s="48">
        <v>41</v>
      </c>
      <c r="E48" s="87" t="s">
        <v>369</v>
      </c>
      <c r="F48" s="48" t="s">
        <v>14</v>
      </c>
      <c r="G48" s="48" t="s">
        <v>568</v>
      </c>
      <c r="H48" s="48" t="s">
        <v>17</v>
      </c>
      <c r="I48" s="48" t="s">
        <v>67</v>
      </c>
      <c r="J48" s="87"/>
      <c r="K48" s="88">
        <v>27759</v>
      </c>
      <c r="L48" s="100">
        <f t="shared" si="2"/>
        <v>1975</v>
      </c>
      <c r="M48" s="100">
        <f t="shared" si="1"/>
        <v>44</v>
      </c>
      <c r="N48" s="48" t="s">
        <v>11</v>
      </c>
      <c r="O48" s="48"/>
      <c r="P48" s="87" t="s">
        <v>18</v>
      </c>
      <c r="Q48" s="48"/>
      <c r="R48" s="87" t="s">
        <v>24</v>
      </c>
    </row>
    <row r="49" spans="2:18">
      <c r="B49" s="130"/>
      <c r="C49" s="130"/>
      <c r="D49" s="48">
        <v>42</v>
      </c>
      <c r="E49" s="87" t="s">
        <v>569</v>
      </c>
      <c r="F49" s="48" t="s">
        <v>20</v>
      </c>
      <c r="G49" s="48" t="s">
        <v>570</v>
      </c>
      <c r="H49" s="48" t="s">
        <v>17</v>
      </c>
      <c r="I49" s="48" t="s">
        <v>23</v>
      </c>
      <c r="J49" s="87"/>
      <c r="K49" s="88">
        <v>35063</v>
      </c>
      <c r="L49" s="100">
        <f t="shared" si="2"/>
        <v>1995</v>
      </c>
      <c r="M49" s="100">
        <f t="shared" si="1"/>
        <v>24</v>
      </c>
      <c r="N49" s="48" t="s">
        <v>11</v>
      </c>
      <c r="O49" s="48"/>
      <c r="P49" s="87" t="s">
        <v>12</v>
      </c>
      <c r="Q49" s="48"/>
      <c r="R49" s="87" t="s">
        <v>18</v>
      </c>
    </row>
    <row r="50" spans="2:18" ht="25.5">
      <c r="B50" s="130">
        <v>15</v>
      </c>
      <c r="C50" s="130" t="s">
        <v>1820</v>
      </c>
      <c r="D50" s="48">
        <v>43</v>
      </c>
      <c r="E50" s="87" t="s">
        <v>571</v>
      </c>
      <c r="F50" s="48" t="s">
        <v>14</v>
      </c>
      <c r="G50" s="48" t="s">
        <v>1441</v>
      </c>
      <c r="H50" s="48" t="s">
        <v>9</v>
      </c>
      <c r="I50" s="48" t="s">
        <v>10</v>
      </c>
      <c r="J50" s="87" t="s">
        <v>1368</v>
      </c>
      <c r="K50" s="88">
        <v>29037</v>
      </c>
      <c r="L50" s="100">
        <v>1979</v>
      </c>
      <c r="M50" s="100">
        <f t="shared" si="1"/>
        <v>40</v>
      </c>
      <c r="N50" s="48" t="s">
        <v>11</v>
      </c>
      <c r="O50" s="48" t="s">
        <v>1369</v>
      </c>
      <c r="P50" s="87" t="s">
        <v>1425</v>
      </c>
      <c r="Q50" s="48"/>
      <c r="R50" s="87" t="s">
        <v>1371</v>
      </c>
    </row>
    <row r="51" spans="2:18" ht="25.5">
      <c r="B51" s="130"/>
      <c r="C51" s="130"/>
      <c r="D51" s="48">
        <v>44</v>
      </c>
      <c r="E51" s="87" t="s">
        <v>572</v>
      </c>
      <c r="F51" s="48" t="s">
        <v>20</v>
      </c>
      <c r="G51" s="48" t="s">
        <v>1442</v>
      </c>
      <c r="H51" s="48" t="s">
        <v>17</v>
      </c>
      <c r="I51" s="48" t="s">
        <v>10</v>
      </c>
      <c r="J51" s="87" t="s">
        <v>1443</v>
      </c>
      <c r="K51" s="88">
        <v>30133</v>
      </c>
      <c r="L51" s="100">
        <v>1982</v>
      </c>
      <c r="M51" s="100">
        <f t="shared" si="1"/>
        <v>37</v>
      </c>
      <c r="N51" s="48" t="s">
        <v>11</v>
      </c>
      <c r="O51" s="48" t="s">
        <v>1369</v>
      </c>
      <c r="P51" s="87" t="s">
        <v>1393</v>
      </c>
      <c r="Q51" s="48"/>
      <c r="R51" s="87" t="s">
        <v>1371</v>
      </c>
    </row>
    <row r="52" spans="2:18" ht="25.5">
      <c r="B52" s="130"/>
      <c r="C52" s="130"/>
      <c r="D52" s="48">
        <v>45</v>
      </c>
      <c r="E52" s="87" t="s">
        <v>234</v>
      </c>
      <c r="F52" s="48" t="s">
        <v>25</v>
      </c>
      <c r="G52" s="48" t="s">
        <v>1444</v>
      </c>
      <c r="H52" s="48" t="s">
        <v>17</v>
      </c>
      <c r="I52" s="48" t="s">
        <v>23</v>
      </c>
      <c r="J52" s="87" t="s">
        <v>1368</v>
      </c>
      <c r="K52" s="88">
        <v>37378</v>
      </c>
      <c r="L52" s="100">
        <v>2002</v>
      </c>
      <c r="M52" s="100">
        <f t="shared" si="1"/>
        <v>17</v>
      </c>
      <c r="N52" s="48" t="s">
        <v>11</v>
      </c>
      <c r="O52" s="48" t="s">
        <v>1369</v>
      </c>
      <c r="P52" s="87" t="s">
        <v>1385</v>
      </c>
      <c r="Q52" s="48"/>
      <c r="R52" s="87" t="s">
        <v>1376</v>
      </c>
    </row>
    <row r="53" spans="2:18" ht="25.5">
      <c r="B53" s="130"/>
      <c r="C53" s="130"/>
      <c r="D53" s="48">
        <v>46</v>
      </c>
      <c r="E53" s="87" t="s">
        <v>1445</v>
      </c>
      <c r="F53" s="48" t="s">
        <v>25</v>
      </c>
      <c r="G53" s="48" t="s">
        <v>573</v>
      </c>
      <c r="H53" s="48" t="s">
        <v>9</v>
      </c>
      <c r="I53" s="48" t="s">
        <v>23</v>
      </c>
      <c r="J53" s="87" t="s">
        <v>1368</v>
      </c>
      <c r="K53" s="88">
        <v>41422</v>
      </c>
      <c r="L53" s="100">
        <v>2013</v>
      </c>
      <c r="M53" s="100">
        <f t="shared" si="1"/>
        <v>6</v>
      </c>
      <c r="N53" s="48" t="s">
        <v>11</v>
      </c>
      <c r="O53" s="48" t="s">
        <v>1369</v>
      </c>
      <c r="P53" s="87" t="s">
        <v>1425</v>
      </c>
      <c r="Q53" s="48"/>
      <c r="R53" s="87" t="s">
        <v>1389</v>
      </c>
    </row>
    <row r="54" spans="2:18" ht="25.5">
      <c r="B54" s="130"/>
      <c r="C54" s="130"/>
      <c r="D54" s="48">
        <v>47</v>
      </c>
      <c r="E54" s="87" t="s">
        <v>574</v>
      </c>
      <c r="F54" s="48" t="s">
        <v>1446</v>
      </c>
      <c r="G54" s="48" t="s">
        <v>1447</v>
      </c>
      <c r="H54" s="48" t="s">
        <v>17</v>
      </c>
      <c r="I54" s="48" t="s">
        <v>1448</v>
      </c>
      <c r="J54" s="87" t="s">
        <v>1368</v>
      </c>
      <c r="K54" s="88">
        <v>18628</v>
      </c>
      <c r="L54" s="100">
        <v>1950</v>
      </c>
      <c r="M54" s="100">
        <f t="shared" si="1"/>
        <v>69</v>
      </c>
      <c r="N54" s="48" t="s">
        <v>11</v>
      </c>
      <c r="O54" s="48" t="s">
        <v>1369</v>
      </c>
      <c r="P54" s="87" t="s">
        <v>1425</v>
      </c>
      <c r="Q54" s="48"/>
      <c r="R54" s="87" t="s">
        <v>1389</v>
      </c>
    </row>
    <row r="55" spans="2:18">
      <c r="B55" s="48">
        <v>16</v>
      </c>
      <c r="C55" s="48"/>
      <c r="D55" s="48">
        <v>48</v>
      </c>
      <c r="E55" s="87" t="s">
        <v>574</v>
      </c>
      <c r="F55" s="48" t="s">
        <v>14</v>
      </c>
      <c r="G55" s="48">
        <v>0</v>
      </c>
      <c r="H55" s="48" t="s">
        <v>17</v>
      </c>
      <c r="I55" s="48" t="s">
        <v>67</v>
      </c>
      <c r="J55" s="87"/>
      <c r="K55" s="88">
        <v>18445</v>
      </c>
      <c r="L55" s="100">
        <f t="shared" ref="L55:L57" si="3">YEAR(K55)</f>
        <v>1950</v>
      </c>
      <c r="M55" s="100">
        <f t="shared" si="1"/>
        <v>69</v>
      </c>
      <c r="N55" s="48" t="s">
        <v>11</v>
      </c>
      <c r="O55" s="48"/>
      <c r="P55" s="87" t="s">
        <v>18</v>
      </c>
      <c r="Q55" s="48"/>
      <c r="R55" s="87" t="s">
        <v>24</v>
      </c>
    </row>
    <row r="56" spans="2:18">
      <c r="B56" s="130">
        <v>17</v>
      </c>
      <c r="C56" s="130"/>
      <c r="D56" s="48">
        <v>49</v>
      </c>
      <c r="E56" s="87" t="s">
        <v>575</v>
      </c>
      <c r="F56" s="48" t="s">
        <v>14</v>
      </c>
      <c r="G56" s="48" t="s">
        <v>576</v>
      </c>
      <c r="H56" s="48" t="s">
        <v>9</v>
      </c>
      <c r="I56" s="48" t="s">
        <v>10</v>
      </c>
      <c r="J56" s="87"/>
      <c r="K56" s="88">
        <v>35430</v>
      </c>
      <c r="L56" s="100">
        <f t="shared" si="3"/>
        <v>1996</v>
      </c>
      <c r="M56" s="100">
        <f t="shared" si="1"/>
        <v>23</v>
      </c>
      <c r="N56" s="48" t="s">
        <v>11</v>
      </c>
      <c r="O56" s="48"/>
      <c r="P56" s="87" t="s">
        <v>28</v>
      </c>
      <c r="Q56" s="48"/>
      <c r="R56" s="87" t="s">
        <v>24</v>
      </c>
    </row>
    <row r="57" spans="2:18" ht="25.5">
      <c r="B57" s="130"/>
      <c r="C57" s="130"/>
      <c r="D57" s="48">
        <v>50</v>
      </c>
      <c r="E57" s="87" t="s">
        <v>577</v>
      </c>
      <c r="F57" s="48" t="s">
        <v>20</v>
      </c>
      <c r="G57" s="48" t="s">
        <v>578</v>
      </c>
      <c r="H57" s="48" t="s">
        <v>9</v>
      </c>
      <c r="I57" s="48" t="s">
        <v>10</v>
      </c>
      <c r="J57" s="87"/>
      <c r="K57" s="88">
        <v>38717</v>
      </c>
      <c r="L57" s="100">
        <f t="shared" si="3"/>
        <v>2005</v>
      </c>
      <c r="M57" s="100">
        <f t="shared" si="1"/>
        <v>14</v>
      </c>
      <c r="N57" s="48" t="s">
        <v>11</v>
      </c>
      <c r="O57" s="48"/>
      <c r="P57" s="87" t="s">
        <v>18</v>
      </c>
      <c r="Q57" s="48"/>
      <c r="R57" s="87" t="s">
        <v>18</v>
      </c>
    </row>
    <row r="58" spans="2:18" ht="25.5">
      <c r="B58" s="130">
        <v>18</v>
      </c>
      <c r="C58" s="130" t="s">
        <v>1504</v>
      </c>
      <c r="D58" s="48">
        <v>51</v>
      </c>
      <c r="E58" s="87" t="s">
        <v>579</v>
      </c>
      <c r="F58" s="48" t="s">
        <v>14</v>
      </c>
      <c r="G58" s="48" t="s">
        <v>580</v>
      </c>
      <c r="H58" s="48" t="s">
        <v>17</v>
      </c>
      <c r="I58" s="48" t="s">
        <v>1505</v>
      </c>
      <c r="J58" s="87" t="s">
        <v>1368</v>
      </c>
      <c r="K58" s="88">
        <v>24654</v>
      </c>
      <c r="L58" s="100">
        <v>1967</v>
      </c>
      <c r="M58" s="100">
        <f t="shared" si="1"/>
        <v>52</v>
      </c>
      <c r="N58" s="48" t="s">
        <v>11</v>
      </c>
      <c r="O58" s="48" t="s">
        <v>1369</v>
      </c>
      <c r="P58" s="87" t="s">
        <v>1393</v>
      </c>
      <c r="Q58" s="48"/>
      <c r="R58" s="87" t="s">
        <v>1371</v>
      </c>
    </row>
    <row r="59" spans="2:18" ht="25.5">
      <c r="B59" s="130"/>
      <c r="C59" s="130"/>
      <c r="D59" s="48">
        <v>52</v>
      </c>
      <c r="E59" s="87" t="s">
        <v>581</v>
      </c>
      <c r="F59" s="48" t="s">
        <v>25</v>
      </c>
      <c r="G59" s="48" t="s">
        <v>582</v>
      </c>
      <c r="H59" s="48" t="s">
        <v>17</v>
      </c>
      <c r="I59" s="48" t="s">
        <v>23</v>
      </c>
      <c r="J59" s="87" t="s">
        <v>1368</v>
      </c>
      <c r="K59" s="88">
        <v>37386</v>
      </c>
      <c r="L59" s="100">
        <v>2002</v>
      </c>
      <c r="M59" s="100">
        <f t="shared" si="1"/>
        <v>17</v>
      </c>
      <c r="N59" s="48" t="s">
        <v>11</v>
      </c>
      <c r="O59" s="48" t="s">
        <v>1369</v>
      </c>
      <c r="P59" s="87" t="s">
        <v>1425</v>
      </c>
      <c r="Q59" s="48"/>
      <c r="R59" s="87" t="s">
        <v>1389</v>
      </c>
    </row>
    <row r="60" spans="2:18">
      <c r="B60" s="130">
        <v>19</v>
      </c>
      <c r="C60" s="130"/>
      <c r="D60" s="48">
        <v>53</v>
      </c>
      <c r="E60" s="87" t="s">
        <v>583</v>
      </c>
      <c r="F60" s="48" t="s">
        <v>14</v>
      </c>
      <c r="G60" s="48" t="s">
        <v>584</v>
      </c>
      <c r="H60" s="48" t="s">
        <v>9</v>
      </c>
      <c r="I60" s="48" t="s">
        <v>10</v>
      </c>
      <c r="J60" s="87"/>
      <c r="K60" s="88">
        <v>32142</v>
      </c>
      <c r="L60" s="100">
        <f t="shared" ref="L60:L62" si="4">YEAR(K60)</f>
        <v>1987</v>
      </c>
      <c r="M60" s="100">
        <f t="shared" si="1"/>
        <v>32</v>
      </c>
      <c r="N60" s="48" t="s">
        <v>11</v>
      </c>
      <c r="O60" s="48"/>
      <c r="P60" s="87" t="s">
        <v>28</v>
      </c>
      <c r="Q60" s="48"/>
      <c r="R60" s="87" t="s">
        <v>24</v>
      </c>
    </row>
    <row r="61" spans="2:18">
      <c r="B61" s="130"/>
      <c r="C61" s="130"/>
      <c r="D61" s="48">
        <v>54</v>
      </c>
      <c r="E61" s="87" t="s">
        <v>585</v>
      </c>
      <c r="F61" s="48" t="s">
        <v>20</v>
      </c>
      <c r="G61" s="48" t="s">
        <v>586</v>
      </c>
      <c r="H61" s="48" t="s">
        <v>17</v>
      </c>
      <c r="I61" s="48" t="s">
        <v>10</v>
      </c>
      <c r="J61" s="87"/>
      <c r="K61" s="88">
        <v>33925</v>
      </c>
      <c r="L61" s="100">
        <f t="shared" si="4"/>
        <v>1992</v>
      </c>
      <c r="M61" s="100">
        <f t="shared" si="1"/>
        <v>27</v>
      </c>
      <c r="N61" s="48" t="s">
        <v>11</v>
      </c>
      <c r="O61" s="48"/>
      <c r="P61" s="87" t="s">
        <v>28</v>
      </c>
      <c r="Q61" s="48"/>
      <c r="R61" s="87" t="s">
        <v>24</v>
      </c>
    </row>
    <row r="62" spans="2:18">
      <c r="B62" s="130"/>
      <c r="C62" s="130"/>
      <c r="D62" s="48">
        <v>55</v>
      </c>
      <c r="E62" s="87" t="s">
        <v>587</v>
      </c>
      <c r="F62" s="48" t="s">
        <v>25</v>
      </c>
      <c r="G62" s="48">
        <v>0</v>
      </c>
      <c r="H62" s="48" t="s">
        <v>17</v>
      </c>
      <c r="I62" s="48" t="s">
        <v>23</v>
      </c>
      <c r="J62" s="87"/>
      <c r="K62" s="88">
        <v>42116</v>
      </c>
      <c r="L62" s="100">
        <f t="shared" si="4"/>
        <v>2015</v>
      </c>
      <c r="M62" s="100">
        <f t="shared" si="1"/>
        <v>4</v>
      </c>
      <c r="N62" s="48" t="s">
        <v>11</v>
      </c>
      <c r="O62" s="48"/>
      <c r="P62" s="87" t="s">
        <v>18</v>
      </c>
      <c r="Q62" s="48"/>
      <c r="R62" s="87" t="s">
        <v>18</v>
      </c>
    </row>
    <row r="63" spans="2:18" ht="25.5">
      <c r="B63" s="130">
        <v>20</v>
      </c>
      <c r="C63" s="130" t="s">
        <v>1424</v>
      </c>
      <c r="D63" s="48">
        <v>56</v>
      </c>
      <c r="E63" s="87" t="s">
        <v>588</v>
      </c>
      <c r="F63" s="48" t="s">
        <v>14</v>
      </c>
      <c r="G63" s="48" t="s">
        <v>589</v>
      </c>
      <c r="H63" s="48" t="s">
        <v>9</v>
      </c>
      <c r="I63" s="48" t="s">
        <v>10</v>
      </c>
      <c r="J63" s="87" t="s">
        <v>1368</v>
      </c>
      <c r="K63" s="88">
        <v>28125</v>
      </c>
      <c r="L63" s="100">
        <v>1976</v>
      </c>
      <c r="M63" s="100">
        <f t="shared" si="1"/>
        <v>43</v>
      </c>
      <c r="N63" s="48" t="s">
        <v>11</v>
      </c>
      <c r="O63" s="48" t="s">
        <v>1369</v>
      </c>
      <c r="P63" s="87" t="s">
        <v>1425</v>
      </c>
      <c r="Q63" s="48"/>
      <c r="R63" s="87" t="s">
        <v>1371</v>
      </c>
    </row>
    <row r="64" spans="2:18" ht="25.5">
      <c r="B64" s="130"/>
      <c r="C64" s="130"/>
      <c r="D64" s="48">
        <v>57</v>
      </c>
      <c r="E64" s="87" t="s">
        <v>187</v>
      </c>
      <c r="F64" s="48" t="s">
        <v>20</v>
      </c>
      <c r="G64" s="48" t="s">
        <v>590</v>
      </c>
      <c r="H64" s="48" t="s">
        <v>17</v>
      </c>
      <c r="I64" s="48" t="s">
        <v>10</v>
      </c>
      <c r="J64" s="87" t="s">
        <v>1368</v>
      </c>
      <c r="K64" s="88">
        <v>28855</v>
      </c>
      <c r="L64" s="100">
        <v>1978</v>
      </c>
      <c r="M64" s="100">
        <f t="shared" si="1"/>
        <v>41</v>
      </c>
      <c r="N64" s="48" t="s">
        <v>11</v>
      </c>
      <c r="O64" s="48" t="s">
        <v>1369</v>
      </c>
      <c r="P64" s="87" t="s">
        <v>1425</v>
      </c>
      <c r="Q64" s="48"/>
      <c r="R64" s="87" t="s">
        <v>1371</v>
      </c>
    </row>
    <row r="65" spans="2:18" ht="25.5">
      <c r="B65" s="130"/>
      <c r="C65" s="130"/>
      <c r="D65" s="48">
        <v>58</v>
      </c>
      <c r="E65" s="87" t="s">
        <v>591</v>
      </c>
      <c r="F65" s="48" t="s">
        <v>25</v>
      </c>
      <c r="G65" s="48" t="s">
        <v>592</v>
      </c>
      <c r="H65" s="48" t="s">
        <v>17</v>
      </c>
      <c r="I65" s="48" t="s">
        <v>23</v>
      </c>
      <c r="J65" s="87" t="s">
        <v>1387</v>
      </c>
      <c r="K65" s="88">
        <v>35531</v>
      </c>
      <c r="L65" s="100">
        <v>1997</v>
      </c>
      <c r="M65" s="100">
        <f t="shared" si="1"/>
        <v>22</v>
      </c>
      <c r="N65" s="48" t="s">
        <v>11</v>
      </c>
      <c r="O65" s="48" t="s">
        <v>1369</v>
      </c>
      <c r="P65" s="87" t="s">
        <v>1388</v>
      </c>
      <c r="Q65" s="48"/>
      <c r="R65" s="87" t="s">
        <v>1389</v>
      </c>
    </row>
    <row r="66" spans="2:18" ht="25.5">
      <c r="B66" s="130">
        <v>21</v>
      </c>
      <c r="C66" s="130" t="s">
        <v>1827</v>
      </c>
      <c r="D66" s="48">
        <v>59</v>
      </c>
      <c r="E66" s="87" t="s">
        <v>1828</v>
      </c>
      <c r="F66" s="48" t="s">
        <v>14</v>
      </c>
      <c r="G66" s="48" t="s">
        <v>1831</v>
      </c>
      <c r="H66" s="48" t="s">
        <v>9</v>
      </c>
      <c r="I66" s="48" t="s">
        <v>10</v>
      </c>
      <c r="J66" s="87" t="s">
        <v>1368</v>
      </c>
      <c r="K66" s="88">
        <v>28319</v>
      </c>
      <c r="L66" s="100">
        <v>1977</v>
      </c>
      <c r="M66" s="100">
        <f t="shared" si="1"/>
        <v>42</v>
      </c>
      <c r="N66" s="48" t="s">
        <v>11</v>
      </c>
      <c r="O66" s="48" t="s">
        <v>1369</v>
      </c>
      <c r="P66" s="87" t="s">
        <v>28</v>
      </c>
      <c r="Q66" s="48"/>
      <c r="R66" s="87" t="s">
        <v>1371</v>
      </c>
    </row>
    <row r="67" spans="2:18" ht="25.5">
      <c r="B67" s="130"/>
      <c r="C67" s="130"/>
      <c r="D67" s="48">
        <v>60</v>
      </c>
      <c r="E67" s="87" t="s">
        <v>1829</v>
      </c>
      <c r="F67" s="48" t="s">
        <v>20</v>
      </c>
      <c r="G67" s="48" t="s">
        <v>1832</v>
      </c>
      <c r="H67" s="48" t="s">
        <v>17</v>
      </c>
      <c r="I67" s="48" t="s">
        <v>10</v>
      </c>
      <c r="J67" s="87" t="s">
        <v>1368</v>
      </c>
      <c r="K67" s="88">
        <v>29948</v>
      </c>
      <c r="L67" s="100">
        <v>1981</v>
      </c>
      <c r="M67" s="100">
        <f t="shared" si="1"/>
        <v>38</v>
      </c>
      <c r="N67" s="48" t="s">
        <v>11</v>
      </c>
      <c r="O67" s="48" t="s">
        <v>1369</v>
      </c>
      <c r="P67" s="87" t="s">
        <v>28</v>
      </c>
      <c r="Q67" s="48"/>
      <c r="R67" s="87" t="s">
        <v>1371</v>
      </c>
    </row>
    <row r="68" spans="2:18" ht="25.5">
      <c r="B68" s="130"/>
      <c r="C68" s="130"/>
      <c r="D68" s="48">
        <v>61</v>
      </c>
      <c r="E68" s="87" t="s">
        <v>1830</v>
      </c>
      <c r="F68" s="48" t="s">
        <v>25</v>
      </c>
      <c r="G68" s="48" t="s">
        <v>594</v>
      </c>
      <c r="H68" s="48" t="s">
        <v>17</v>
      </c>
      <c r="I68" s="48" t="s">
        <v>23</v>
      </c>
      <c r="J68" s="87" t="s">
        <v>1368</v>
      </c>
      <c r="K68" s="88">
        <v>38223</v>
      </c>
      <c r="L68" s="100">
        <v>2004</v>
      </c>
      <c r="M68" s="100">
        <f t="shared" si="1"/>
        <v>15</v>
      </c>
      <c r="N68" s="48" t="s">
        <v>11</v>
      </c>
      <c r="O68" s="48" t="s">
        <v>1369</v>
      </c>
      <c r="P68" s="87" t="s">
        <v>1375</v>
      </c>
      <c r="Q68" s="48"/>
      <c r="R68" s="87" t="s">
        <v>1376</v>
      </c>
    </row>
    <row r="69" spans="2:18" ht="25.5">
      <c r="B69" s="130">
        <v>22</v>
      </c>
      <c r="C69" s="130" t="s">
        <v>1432</v>
      </c>
      <c r="D69" s="48">
        <v>62</v>
      </c>
      <c r="E69" s="87" t="s">
        <v>595</v>
      </c>
      <c r="F69" s="48" t="s">
        <v>14</v>
      </c>
      <c r="G69" s="48" t="s">
        <v>596</v>
      </c>
      <c r="H69" s="48" t="s">
        <v>9</v>
      </c>
      <c r="I69" s="48" t="s">
        <v>10</v>
      </c>
      <c r="J69" s="87" t="s">
        <v>1368</v>
      </c>
      <c r="K69" s="88">
        <v>19176</v>
      </c>
      <c r="L69" s="100">
        <v>1952</v>
      </c>
      <c r="M69" s="100">
        <f t="shared" si="1"/>
        <v>67</v>
      </c>
      <c r="N69" s="48" t="s">
        <v>11</v>
      </c>
      <c r="O69" s="48" t="s">
        <v>1369</v>
      </c>
      <c r="P69" s="87" t="s">
        <v>1393</v>
      </c>
      <c r="Q69" s="48"/>
      <c r="R69" s="87" t="s">
        <v>1371</v>
      </c>
    </row>
    <row r="70" spans="2:18" ht="25.5">
      <c r="B70" s="130"/>
      <c r="C70" s="130"/>
      <c r="D70" s="48">
        <v>63</v>
      </c>
      <c r="E70" s="87" t="s">
        <v>597</v>
      </c>
      <c r="F70" s="48" t="s">
        <v>20</v>
      </c>
      <c r="G70" s="48" t="s">
        <v>598</v>
      </c>
      <c r="H70" s="48" t="s">
        <v>17</v>
      </c>
      <c r="I70" s="48" t="s">
        <v>10</v>
      </c>
      <c r="J70" s="87"/>
      <c r="K70" s="88">
        <v>19906</v>
      </c>
      <c r="L70" s="100">
        <v>1954</v>
      </c>
      <c r="M70" s="100">
        <f t="shared" si="1"/>
        <v>65</v>
      </c>
      <c r="N70" s="48" t="s">
        <v>11</v>
      </c>
      <c r="O70" s="48" t="s">
        <v>1369</v>
      </c>
      <c r="P70" s="87" t="s">
        <v>1393</v>
      </c>
      <c r="Q70" s="48"/>
      <c r="R70" s="87" t="s">
        <v>1389</v>
      </c>
    </row>
    <row r="71" spans="2:18" ht="25.5">
      <c r="B71" s="48">
        <v>23</v>
      </c>
      <c r="C71" s="48" t="s">
        <v>1433</v>
      </c>
      <c r="D71" s="48">
        <v>64</v>
      </c>
      <c r="E71" s="87" t="s">
        <v>394</v>
      </c>
      <c r="F71" s="48" t="s">
        <v>14</v>
      </c>
      <c r="G71" s="48" t="s">
        <v>1434</v>
      </c>
      <c r="H71" s="48" t="s">
        <v>17</v>
      </c>
      <c r="I71" s="48" t="s">
        <v>67</v>
      </c>
      <c r="J71" s="87" t="s">
        <v>1368</v>
      </c>
      <c r="K71" s="88">
        <v>15523</v>
      </c>
      <c r="L71" s="100">
        <v>1942</v>
      </c>
      <c r="M71" s="100">
        <f t="shared" ref="M71:M99" si="5">2019-L71</f>
        <v>77</v>
      </c>
      <c r="N71" s="48" t="s">
        <v>11</v>
      </c>
      <c r="O71" s="48" t="s">
        <v>1369</v>
      </c>
      <c r="P71" s="87" t="s">
        <v>1425</v>
      </c>
      <c r="Q71" s="48"/>
      <c r="R71" s="87" t="s">
        <v>1371</v>
      </c>
    </row>
    <row r="72" spans="2:18" ht="25.5">
      <c r="B72" s="130">
        <v>24</v>
      </c>
      <c r="C72" s="130" t="s">
        <v>1874</v>
      </c>
      <c r="D72" s="48">
        <v>65</v>
      </c>
      <c r="E72" s="87" t="s">
        <v>173</v>
      </c>
      <c r="F72" s="48" t="s">
        <v>14</v>
      </c>
      <c r="G72" s="48" t="s">
        <v>599</v>
      </c>
      <c r="H72" s="48" t="s">
        <v>9</v>
      </c>
      <c r="I72" s="48" t="s">
        <v>10</v>
      </c>
      <c r="J72" s="87" t="s">
        <v>1387</v>
      </c>
      <c r="K72" s="88">
        <v>32508</v>
      </c>
      <c r="L72" s="100">
        <v>1988</v>
      </c>
      <c r="M72" s="100">
        <f t="shared" si="5"/>
        <v>31</v>
      </c>
      <c r="N72" s="48" t="s">
        <v>11</v>
      </c>
      <c r="O72" s="48" t="s">
        <v>1369</v>
      </c>
      <c r="P72" s="87" t="s">
        <v>33</v>
      </c>
      <c r="Q72" s="48"/>
      <c r="R72" s="87" t="s">
        <v>1371</v>
      </c>
    </row>
    <row r="73" spans="2:18" ht="25.5">
      <c r="B73" s="130"/>
      <c r="C73" s="130"/>
      <c r="D73" s="48">
        <v>66</v>
      </c>
      <c r="E73" s="87" t="s">
        <v>600</v>
      </c>
      <c r="F73" s="48" t="s">
        <v>20</v>
      </c>
      <c r="G73" s="48" t="s">
        <v>601</v>
      </c>
      <c r="H73" s="48" t="s">
        <v>17</v>
      </c>
      <c r="I73" s="48" t="s">
        <v>10</v>
      </c>
      <c r="J73" s="87" t="s">
        <v>1387</v>
      </c>
      <c r="K73" s="88">
        <v>34158</v>
      </c>
      <c r="L73" s="100">
        <v>1993</v>
      </c>
      <c r="M73" s="100">
        <f t="shared" si="5"/>
        <v>26</v>
      </c>
      <c r="N73" s="48" t="s">
        <v>11</v>
      </c>
      <c r="O73" s="48" t="s">
        <v>1369</v>
      </c>
      <c r="P73" s="87" t="s">
        <v>12</v>
      </c>
      <c r="Q73" s="48"/>
      <c r="R73" s="87" t="s">
        <v>1373</v>
      </c>
    </row>
    <row r="74" spans="2:18" ht="25.5">
      <c r="B74" s="130"/>
      <c r="C74" s="130"/>
      <c r="D74" s="48">
        <v>67</v>
      </c>
      <c r="E74" s="87" t="s">
        <v>602</v>
      </c>
      <c r="F74" s="48" t="s">
        <v>25</v>
      </c>
      <c r="G74" s="48" t="s">
        <v>603</v>
      </c>
      <c r="H74" s="48" t="s">
        <v>9</v>
      </c>
      <c r="I74" s="48" t="s">
        <v>23</v>
      </c>
      <c r="J74" s="87" t="s">
        <v>1387</v>
      </c>
      <c r="K74" s="88">
        <v>41319</v>
      </c>
      <c r="L74" s="100">
        <v>2013</v>
      </c>
      <c r="M74" s="100">
        <f t="shared" si="5"/>
        <v>6</v>
      </c>
      <c r="N74" s="48" t="s">
        <v>11</v>
      </c>
      <c r="O74" s="48" t="s">
        <v>1369</v>
      </c>
      <c r="P74" s="87" t="s">
        <v>1425</v>
      </c>
      <c r="Q74" s="48"/>
      <c r="R74" s="87" t="s">
        <v>1389</v>
      </c>
    </row>
    <row r="75" spans="2:18">
      <c r="B75" s="48">
        <v>25</v>
      </c>
      <c r="C75" s="48"/>
      <c r="D75" s="48">
        <v>68</v>
      </c>
      <c r="E75" s="87" t="s">
        <v>214</v>
      </c>
      <c r="F75" s="48" t="s">
        <v>14</v>
      </c>
      <c r="G75" s="48">
        <v>0</v>
      </c>
      <c r="H75" s="48" t="s">
        <v>17</v>
      </c>
      <c r="I75" s="48" t="s">
        <v>67</v>
      </c>
      <c r="J75" s="87"/>
      <c r="K75" s="88">
        <v>22098</v>
      </c>
      <c r="L75" s="100">
        <f>YEAR(K75)</f>
        <v>1960</v>
      </c>
      <c r="M75" s="100">
        <f t="shared" si="5"/>
        <v>59</v>
      </c>
      <c r="N75" s="48" t="s">
        <v>11</v>
      </c>
      <c r="O75" s="48"/>
      <c r="P75" s="87" t="s">
        <v>18</v>
      </c>
      <c r="Q75" s="48"/>
      <c r="R75" s="87" t="s">
        <v>18</v>
      </c>
    </row>
    <row r="76" spans="2:18">
      <c r="B76" s="130">
        <v>26</v>
      </c>
      <c r="C76" s="130" t="s">
        <v>1822</v>
      </c>
      <c r="D76" s="48">
        <v>69</v>
      </c>
      <c r="E76" s="87" t="s">
        <v>604</v>
      </c>
      <c r="F76" s="48" t="s">
        <v>14</v>
      </c>
      <c r="G76" s="48" t="s">
        <v>1823</v>
      </c>
      <c r="H76" s="48" t="s">
        <v>9</v>
      </c>
      <c r="I76" s="48" t="s">
        <v>10</v>
      </c>
      <c r="J76" s="87" t="s">
        <v>1387</v>
      </c>
      <c r="K76" s="88">
        <v>25203</v>
      </c>
      <c r="L76" s="100">
        <v>1968</v>
      </c>
      <c r="M76" s="100">
        <f t="shared" si="5"/>
        <v>51</v>
      </c>
      <c r="N76" s="48" t="s">
        <v>11</v>
      </c>
      <c r="O76" s="48" t="s">
        <v>1369</v>
      </c>
      <c r="P76" s="87" t="s">
        <v>28</v>
      </c>
      <c r="Q76" s="48"/>
      <c r="R76" s="87" t="s">
        <v>49</v>
      </c>
    </row>
    <row r="77" spans="2:18" ht="25.5">
      <c r="B77" s="130"/>
      <c r="C77" s="130"/>
      <c r="D77" s="48">
        <v>70</v>
      </c>
      <c r="E77" s="87" t="s">
        <v>605</v>
      </c>
      <c r="F77" s="48" t="s">
        <v>20</v>
      </c>
      <c r="G77" s="48" t="s">
        <v>1824</v>
      </c>
      <c r="H77" s="48" t="s">
        <v>17</v>
      </c>
      <c r="I77" s="48" t="s">
        <v>10</v>
      </c>
      <c r="J77" s="87" t="s">
        <v>1387</v>
      </c>
      <c r="K77" s="88">
        <v>27729</v>
      </c>
      <c r="L77" s="100">
        <v>1975</v>
      </c>
      <c r="M77" s="100">
        <f t="shared" si="5"/>
        <v>44</v>
      </c>
      <c r="N77" s="48" t="s">
        <v>11</v>
      </c>
      <c r="O77" s="48" t="s">
        <v>1369</v>
      </c>
      <c r="P77" s="87" t="s">
        <v>28</v>
      </c>
      <c r="Q77" s="48"/>
      <c r="R77" s="87" t="s">
        <v>1371</v>
      </c>
    </row>
    <row r="78" spans="2:18" ht="25.5">
      <c r="B78" s="130"/>
      <c r="C78" s="130"/>
      <c r="D78" s="48">
        <v>71</v>
      </c>
      <c r="E78" s="87" t="s">
        <v>606</v>
      </c>
      <c r="F78" s="48" t="s">
        <v>25</v>
      </c>
      <c r="G78" s="48" t="s">
        <v>1825</v>
      </c>
      <c r="H78" s="48" t="s">
        <v>9</v>
      </c>
      <c r="I78" s="48" t="s">
        <v>23</v>
      </c>
      <c r="J78" s="87" t="s">
        <v>1387</v>
      </c>
      <c r="K78" s="88">
        <v>34036</v>
      </c>
      <c r="L78" s="100">
        <v>1993</v>
      </c>
      <c r="M78" s="100">
        <f t="shared" si="5"/>
        <v>26</v>
      </c>
      <c r="N78" s="48" t="s">
        <v>11</v>
      </c>
      <c r="O78" s="48" t="s">
        <v>1369</v>
      </c>
      <c r="P78" s="87" t="s">
        <v>12</v>
      </c>
      <c r="Q78" s="48"/>
      <c r="R78" s="87" t="s">
        <v>1376</v>
      </c>
    </row>
    <row r="79" spans="2:18" ht="25.5">
      <c r="B79" s="130"/>
      <c r="C79" s="130"/>
      <c r="D79" s="48">
        <v>72</v>
      </c>
      <c r="E79" s="87" t="s">
        <v>607</v>
      </c>
      <c r="F79" s="48" t="s">
        <v>25</v>
      </c>
      <c r="G79" s="48" t="s">
        <v>1826</v>
      </c>
      <c r="H79" s="48" t="s">
        <v>17</v>
      </c>
      <c r="I79" s="48" t="s">
        <v>23</v>
      </c>
      <c r="J79" s="87" t="s">
        <v>1387</v>
      </c>
      <c r="K79" s="88">
        <v>34676</v>
      </c>
      <c r="L79" s="100">
        <v>1994</v>
      </c>
      <c r="M79" s="100">
        <f t="shared" si="5"/>
        <v>25</v>
      </c>
      <c r="N79" s="48" t="s">
        <v>11</v>
      </c>
      <c r="O79" s="48" t="s">
        <v>1369</v>
      </c>
      <c r="P79" s="87" t="s">
        <v>12</v>
      </c>
      <c r="Q79" s="48"/>
      <c r="R79" s="87" t="s">
        <v>1376</v>
      </c>
    </row>
    <row r="80" spans="2:18" ht="25.5">
      <c r="B80" s="130"/>
      <c r="C80" s="130"/>
      <c r="D80" s="48">
        <v>73</v>
      </c>
      <c r="E80" s="87" t="s">
        <v>608</v>
      </c>
      <c r="F80" s="48" t="s">
        <v>25</v>
      </c>
      <c r="G80" s="48" t="s">
        <v>1826</v>
      </c>
      <c r="H80" s="48" t="s">
        <v>9</v>
      </c>
      <c r="I80" s="48" t="s">
        <v>23</v>
      </c>
      <c r="J80" s="87" t="s">
        <v>1387</v>
      </c>
      <c r="K80" s="88">
        <v>37561</v>
      </c>
      <c r="L80" s="100">
        <v>2002</v>
      </c>
      <c r="M80" s="100">
        <f t="shared" si="5"/>
        <v>17</v>
      </c>
      <c r="N80" s="48" t="s">
        <v>11</v>
      </c>
      <c r="O80" s="48" t="s">
        <v>1369</v>
      </c>
      <c r="P80" s="87" t="s">
        <v>28</v>
      </c>
      <c r="Q80" s="48"/>
      <c r="R80" s="87" t="s">
        <v>1376</v>
      </c>
    </row>
    <row r="81" spans="2:18" ht="25.5">
      <c r="B81" s="130"/>
      <c r="C81" s="130"/>
      <c r="D81" s="48">
        <v>74</v>
      </c>
      <c r="E81" s="87" t="s">
        <v>609</v>
      </c>
      <c r="F81" s="48" t="s">
        <v>391</v>
      </c>
      <c r="G81" s="48" t="s">
        <v>563</v>
      </c>
      <c r="H81" s="48" t="s">
        <v>9</v>
      </c>
      <c r="I81" s="48" t="s">
        <v>123</v>
      </c>
      <c r="J81" s="87" t="s">
        <v>1387</v>
      </c>
      <c r="K81" s="88">
        <v>25750</v>
      </c>
      <c r="L81" s="100">
        <v>1970</v>
      </c>
      <c r="M81" s="100">
        <f t="shared" si="5"/>
        <v>49</v>
      </c>
      <c r="N81" s="48" t="s">
        <v>11</v>
      </c>
      <c r="O81" s="48" t="s">
        <v>1369</v>
      </c>
      <c r="P81" s="87" t="s">
        <v>1425</v>
      </c>
      <c r="Q81" s="48"/>
      <c r="R81" s="87" t="s">
        <v>1371</v>
      </c>
    </row>
    <row r="82" spans="2:18">
      <c r="B82" s="130">
        <v>27</v>
      </c>
      <c r="C82" s="130" t="s">
        <v>1842</v>
      </c>
      <c r="D82" s="48">
        <v>75</v>
      </c>
      <c r="E82" s="87" t="s">
        <v>1843</v>
      </c>
      <c r="F82" s="48" t="s">
        <v>14</v>
      </c>
      <c r="G82" s="48" t="s">
        <v>610</v>
      </c>
      <c r="H82" s="48" t="s">
        <v>9</v>
      </c>
      <c r="I82" s="48" t="s">
        <v>10</v>
      </c>
      <c r="J82" s="87" t="s">
        <v>1368</v>
      </c>
      <c r="K82" s="88">
        <v>27213</v>
      </c>
      <c r="L82" s="100">
        <v>1974</v>
      </c>
      <c r="M82" s="100">
        <f t="shared" si="5"/>
        <v>45</v>
      </c>
      <c r="N82" s="48" t="s">
        <v>11</v>
      </c>
      <c r="O82" s="48" t="s">
        <v>1369</v>
      </c>
      <c r="P82" s="87" t="s">
        <v>28</v>
      </c>
      <c r="Q82" s="48"/>
      <c r="R82" s="87" t="s">
        <v>49</v>
      </c>
    </row>
    <row r="83" spans="2:18" ht="25.5">
      <c r="B83" s="130"/>
      <c r="C83" s="130"/>
      <c r="D83" s="48">
        <v>76</v>
      </c>
      <c r="E83" s="87" t="s">
        <v>1844</v>
      </c>
      <c r="F83" s="48" t="s">
        <v>20</v>
      </c>
      <c r="G83" s="48" t="s">
        <v>1847</v>
      </c>
      <c r="H83" s="48" t="s">
        <v>17</v>
      </c>
      <c r="I83" s="48" t="s">
        <v>10</v>
      </c>
      <c r="J83" s="87" t="s">
        <v>1368</v>
      </c>
      <c r="K83" s="88">
        <v>26664</v>
      </c>
      <c r="L83" s="100">
        <v>1972</v>
      </c>
      <c r="M83" s="100">
        <f t="shared" si="5"/>
        <v>47</v>
      </c>
      <c r="N83" s="48" t="s">
        <v>11</v>
      </c>
      <c r="O83" s="48" t="s">
        <v>1369</v>
      </c>
      <c r="P83" s="87" t="s">
        <v>28</v>
      </c>
      <c r="Q83" s="48"/>
      <c r="R83" s="87" t="s">
        <v>1373</v>
      </c>
    </row>
    <row r="84" spans="2:18" ht="25.5">
      <c r="B84" s="130"/>
      <c r="C84" s="130"/>
      <c r="D84" s="48">
        <v>77</v>
      </c>
      <c r="E84" s="87" t="s">
        <v>1845</v>
      </c>
      <c r="F84" s="48" t="s">
        <v>25</v>
      </c>
      <c r="G84" s="48" t="s">
        <v>1848</v>
      </c>
      <c r="H84" s="48" t="s">
        <v>9</v>
      </c>
      <c r="I84" s="48" t="s">
        <v>23</v>
      </c>
      <c r="J84" s="87" t="s">
        <v>1387</v>
      </c>
      <c r="K84" s="88">
        <v>33838</v>
      </c>
      <c r="L84" s="100">
        <v>1992</v>
      </c>
      <c r="M84" s="100">
        <f t="shared" si="5"/>
        <v>27</v>
      </c>
      <c r="N84" s="48" t="s">
        <v>11</v>
      </c>
      <c r="O84" s="48" t="s">
        <v>1369</v>
      </c>
      <c r="P84" s="87" t="s">
        <v>12</v>
      </c>
      <c r="Q84" s="48"/>
      <c r="R84" s="87" t="s">
        <v>1389</v>
      </c>
    </row>
    <row r="85" spans="2:18" ht="25.5">
      <c r="B85" s="130"/>
      <c r="C85" s="130"/>
      <c r="D85" s="48">
        <v>78</v>
      </c>
      <c r="E85" s="87" t="s">
        <v>611</v>
      </c>
      <c r="F85" s="48" t="s">
        <v>25</v>
      </c>
      <c r="G85" s="48" t="s">
        <v>612</v>
      </c>
      <c r="H85" s="48" t="s">
        <v>9</v>
      </c>
      <c r="I85" s="48" t="s">
        <v>23</v>
      </c>
      <c r="J85" s="87" t="s">
        <v>1387</v>
      </c>
      <c r="K85" s="88">
        <v>36222</v>
      </c>
      <c r="L85" s="100">
        <v>1999</v>
      </c>
      <c r="M85" s="100">
        <f t="shared" si="5"/>
        <v>20</v>
      </c>
      <c r="N85" s="48" t="s">
        <v>11</v>
      </c>
      <c r="O85" s="48" t="s">
        <v>1369</v>
      </c>
      <c r="P85" s="87" t="s">
        <v>1849</v>
      </c>
      <c r="Q85" s="48"/>
      <c r="R85" s="87" t="s">
        <v>1389</v>
      </c>
    </row>
    <row r="86" spans="2:18" ht="25.5">
      <c r="B86" s="130"/>
      <c r="C86" s="130"/>
      <c r="D86" s="48">
        <v>79</v>
      </c>
      <c r="E86" s="87" t="s">
        <v>1846</v>
      </c>
      <c r="F86" s="48" t="s">
        <v>25</v>
      </c>
      <c r="G86" s="48" t="s">
        <v>613</v>
      </c>
      <c r="H86" s="48" t="s">
        <v>9</v>
      </c>
      <c r="I86" s="48" t="s">
        <v>23</v>
      </c>
      <c r="J86" s="87" t="s">
        <v>1368</v>
      </c>
      <c r="K86" s="88">
        <v>38599</v>
      </c>
      <c r="L86" s="100">
        <v>2005</v>
      </c>
      <c r="M86" s="100">
        <f t="shared" si="5"/>
        <v>14</v>
      </c>
      <c r="N86" s="48" t="s">
        <v>11</v>
      </c>
      <c r="O86" s="48" t="s">
        <v>1369</v>
      </c>
      <c r="P86" s="87" t="s">
        <v>1375</v>
      </c>
      <c r="Q86" s="48"/>
      <c r="R86" s="87" t="s">
        <v>1376</v>
      </c>
    </row>
    <row r="87" spans="2:18" ht="25.5">
      <c r="B87" s="48">
        <v>28</v>
      </c>
      <c r="C87" s="130" t="s">
        <v>1867</v>
      </c>
      <c r="D87" s="48">
        <v>80</v>
      </c>
      <c r="E87" s="87" t="s">
        <v>1868</v>
      </c>
      <c r="F87" s="48" t="s">
        <v>14</v>
      </c>
      <c r="G87" s="48" t="s">
        <v>1870</v>
      </c>
      <c r="H87" s="48" t="s">
        <v>9</v>
      </c>
      <c r="I87" s="48" t="s">
        <v>10</v>
      </c>
      <c r="J87" s="87" t="s">
        <v>1368</v>
      </c>
      <c r="K87" s="88">
        <v>21915</v>
      </c>
      <c r="L87" s="100">
        <v>1959</v>
      </c>
      <c r="M87" s="100">
        <f t="shared" si="5"/>
        <v>60</v>
      </c>
      <c r="N87" s="48" t="s">
        <v>11</v>
      </c>
      <c r="O87" s="48" t="s">
        <v>1369</v>
      </c>
      <c r="P87" s="87" t="s">
        <v>1425</v>
      </c>
      <c r="Q87" s="48"/>
      <c r="R87" s="87" t="s">
        <v>49</v>
      </c>
    </row>
    <row r="88" spans="2:18" ht="25.5">
      <c r="B88" s="48"/>
      <c r="C88" s="130"/>
      <c r="D88" s="48">
        <v>81</v>
      </c>
      <c r="E88" s="87" t="s">
        <v>1869</v>
      </c>
      <c r="F88" s="48" t="s">
        <v>20</v>
      </c>
      <c r="G88" s="48" t="s">
        <v>614</v>
      </c>
      <c r="H88" s="48" t="s">
        <v>17</v>
      </c>
      <c r="I88" s="48" t="s">
        <v>10</v>
      </c>
      <c r="J88" s="87" t="s">
        <v>1368</v>
      </c>
      <c r="K88" s="88">
        <v>23011</v>
      </c>
      <c r="L88" s="100">
        <v>1962</v>
      </c>
      <c r="M88" s="100">
        <f t="shared" si="5"/>
        <v>57</v>
      </c>
      <c r="N88" s="48" t="s">
        <v>11</v>
      </c>
      <c r="O88" s="48" t="s">
        <v>1369</v>
      </c>
      <c r="P88" s="87" t="s">
        <v>1393</v>
      </c>
      <c r="Q88" s="48"/>
      <c r="R88" s="87" t="s">
        <v>49</v>
      </c>
    </row>
    <row r="89" spans="2:18" ht="25.5">
      <c r="B89" s="48"/>
      <c r="C89" s="130"/>
      <c r="D89" s="48">
        <v>82</v>
      </c>
      <c r="E89" s="87" t="s">
        <v>617</v>
      </c>
      <c r="F89" s="48" t="s">
        <v>25</v>
      </c>
      <c r="G89" s="48" t="s">
        <v>618</v>
      </c>
      <c r="H89" s="48" t="s">
        <v>17</v>
      </c>
      <c r="I89" s="48" t="s">
        <v>23</v>
      </c>
      <c r="J89" s="87" t="s">
        <v>1387</v>
      </c>
      <c r="K89" s="88">
        <v>34334</v>
      </c>
      <c r="L89" s="100">
        <v>1993</v>
      </c>
      <c r="M89" s="100">
        <f t="shared" si="5"/>
        <v>26</v>
      </c>
      <c r="N89" s="48" t="s">
        <v>11</v>
      </c>
      <c r="O89" s="48" t="s">
        <v>1369</v>
      </c>
      <c r="P89" s="87" t="s">
        <v>12</v>
      </c>
      <c r="Q89" s="48"/>
      <c r="R89" s="87" t="s">
        <v>1376</v>
      </c>
    </row>
    <row r="90" spans="2:18">
      <c r="B90" s="48">
        <v>29</v>
      </c>
      <c r="C90" s="48"/>
      <c r="D90" s="48">
        <v>83</v>
      </c>
      <c r="E90" s="87" t="s">
        <v>619</v>
      </c>
      <c r="F90" s="48" t="s">
        <v>14</v>
      </c>
      <c r="G90" s="48">
        <v>0</v>
      </c>
      <c r="H90" s="48" t="s">
        <v>9</v>
      </c>
      <c r="I90" s="48" t="s">
        <v>123</v>
      </c>
      <c r="J90" s="87"/>
      <c r="K90" s="88">
        <v>14793</v>
      </c>
      <c r="L90" s="100">
        <f>YEAR(K90)</f>
        <v>1940</v>
      </c>
      <c r="M90" s="100">
        <f t="shared" si="5"/>
        <v>79</v>
      </c>
      <c r="N90" s="48" t="s">
        <v>11</v>
      </c>
      <c r="O90" s="48"/>
      <c r="P90" s="87" t="s">
        <v>18</v>
      </c>
      <c r="Q90" s="48"/>
      <c r="R90" s="87" t="s">
        <v>18</v>
      </c>
    </row>
    <row r="91" spans="2:18" ht="25.5">
      <c r="B91" s="130">
        <v>30</v>
      </c>
      <c r="C91" s="130" t="s">
        <v>1865</v>
      </c>
      <c r="D91" s="48">
        <v>84</v>
      </c>
      <c r="E91" s="87" t="s">
        <v>620</v>
      </c>
      <c r="F91" s="48" t="s">
        <v>14</v>
      </c>
      <c r="G91" s="48" t="s">
        <v>1866</v>
      </c>
      <c r="H91" s="48" t="s">
        <v>9</v>
      </c>
      <c r="I91" s="48" t="s">
        <v>10</v>
      </c>
      <c r="J91" s="87" t="s">
        <v>1368</v>
      </c>
      <c r="K91" s="88">
        <v>21002</v>
      </c>
      <c r="L91" s="100">
        <v>1957</v>
      </c>
      <c r="M91" s="100">
        <f t="shared" si="5"/>
        <v>62</v>
      </c>
      <c r="N91" s="48" t="s">
        <v>11</v>
      </c>
      <c r="O91" s="48" t="s">
        <v>1369</v>
      </c>
      <c r="P91" s="87" t="s">
        <v>1393</v>
      </c>
      <c r="Q91" s="48"/>
      <c r="R91" s="87" t="s">
        <v>1371</v>
      </c>
    </row>
    <row r="92" spans="2:18" ht="25.5">
      <c r="B92" s="130"/>
      <c r="C92" s="130"/>
      <c r="D92" s="48">
        <v>85</v>
      </c>
      <c r="E92" s="87" t="s">
        <v>622</v>
      </c>
      <c r="F92" s="48" t="s">
        <v>20</v>
      </c>
      <c r="G92" s="48" t="s">
        <v>623</v>
      </c>
      <c r="H92" s="48" t="s">
        <v>17</v>
      </c>
      <c r="I92" s="48" t="s">
        <v>10</v>
      </c>
      <c r="J92" s="87" t="s">
        <v>1368</v>
      </c>
      <c r="K92" s="88">
        <v>24654</v>
      </c>
      <c r="L92" s="100">
        <v>1967</v>
      </c>
      <c r="M92" s="100">
        <f t="shared" si="5"/>
        <v>52</v>
      </c>
      <c r="N92" s="48" t="s">
        <v>11</v>
      </c>
      <c r="O92" s="48" t="s">
        <v>1369</v>
      </c>
      <c r="P92" s="87" t="s">
        <v>1393</v>
      </c>
      <c r="Q92" s="48"/>
      <c r="R92" s="87" t="s">
        <v>1373</v>
      </c>
    </row>
    <row r="93" spans="2:18">
      <c r="B93" s="130">
        <v>31</v>
      </c>
      <c r="C93" s="130"/>
      <c r="D93" s="48">
        <v>86</v>
      </c>
      <c r="E93" s="87" t="s">
        <v>624</v>
      </c>
      <c r="F93" s="48" t="s">
        <v>14</v>
      </c>
      <c r="G93" s="48" t="s">
        <v>625</v>
      </c>
      <c r="H93" s="48" t="s">
        <v>9</v>
      </c>
      <c r="I93" s="48" t="s">
        <v>10</v>
      </c>
      <c r="J93" s="87"/>
      <c r="K93" s="88">
        <v>28855</v>
      </c>
      <c r="L93" s="100">
        <f t="shared" ref="L93:L97" si="6">YEAR(K93)</f>
        <v>1978</v>
      </c>
      <c r="M93" s="100">
        <f t="shared" si="5"/>
        <v>41</v>
      </c>
      <c r="N93" s="48" t="s">
        <v>11</v>
      </c>
      <c r="O93" s="48"/>
      <c r="P93" s="87" t="s">
        <v>28</v>
      </c>
      <c r="Q93" s="48"/>
      <c r="R93" s="87" t="s">
        <v>621</v>
      </c>
    </row>
    <row r="94" spans="2:18">
      <c r="B94" s="130"/>
      <c r="C94" s="130"/>
      <c r="D94" s="48">
        <v>87</v>
      </c>
      <c r="E94" s="87" t="s">
        <v>626</v>
      </c>
      <c r="F94" s="48" t="s">
        <v>20</v>
      </c>
      <c r="G94" s="48" t="s">
        <v>627</v>
      </c>
      <c r="H94" s="48" t="s">
        <v>17</v>
      </c>
      <c r="I94" s="48" t="s">
        <v>10</v>
      </c>
      <c r="J94" s="87"/>
      <c r="K94" s="88">
        <v>28824</v>
      </c>
      <c r="L94" s="100">
        <f t="shared" si="6"/>
        <v>1978</v>
      </c>
      <c r="M94" s="100">
        <f t="shared" si="5"/>
        <v>41</v>
      </c>
      <c r="N94" s="48" t="s">
        <v>11</v>
      </c>
      <c r="O94" s="48"/>
      <c r="P94" s="87" t="s">
        <v>28</v>
      </c>
      <c r="Q94" s="48"/>
      <c r="R94" s="87" t="s">
        <v>621</v>
      </c>
    </row>
    <row r="95" spans="2:18">
      <c r="B95" s="130">
        <v>32</v>
      </c>
      <c r="C95" s="130"/>
      <c r="D95" s="48">
        <v>88</v>
      </c>
      <c r="E95" s="87" t="s">
        <v>628</v>
      </c>
      <c r="F95" s="48" t="s">
        <v>14</v>
      </c>
      <c r="G95" s="48" t="s">
        <v>629</v>
      </c>
      <c r="H95" s="48" t="s">
        <v>9</v>
      </c>
      <c r="I95" s="48" t="s">
        <v>10</v>
      </c>
      <c r="J95" s="87"/>
      <c r="K95" s="88">
        <v>16802</v>
      </c>
      <c r="L95" s="100">
        <f t="shared" si="6"/>
        <v>1945</v>
      </c>
      <c r="M95" s="100">
        <f t="shared" si="5"/>
        <v>74</v>
      </c>
      <c r="N95" s="48" t="s">
        <v>11</v>
      </c>
      <c r="O95" s="48"/>
      <c r="P95" s="87" t="s">
        <v>18</v>
      </c>
      <c r="Q95" s="48"/>
      <c r="R95" s="87" t="s">
        <v>18</v>
      </c>
    </row>
    <row r="96" spans="2:18">
      <c r="B96" s="130"/>
      <c r="C96" s="130"/>
      <c r="D96" s="48">
        <v>89</v>
      </c>
      <c r="E96" s="87" t="s">
        <v>630</v>
      </c>
      <c r="F96" s="48" t="s">
        <v>20</v>
      </c>
      <c r="G96" s="48" t="s">
        <v>631</v>
      </c>
      <c r="H96" s="48" t="s">
        <v>17</v>
      </c>
      <c r="I96" s="48" t="s">
        <v>10</v>
      </c>
      <c r="J96" s="87"/>
      <c r="K96" s="88">
        <v>18628</v>
      </c>
      <c r="L96" s="100">
        <f t="shared" si="6"/>
        <v>1950</v>
      </c>
      <c r="M96" s="100">
        <f t="shared" si="5"/>
        <v>69</v>
      </c>
      <c r="N96" s="48" t="s">
        <v>11</v>
      </c>
      <c r="O96" s="48"/>
      <c r="P96" s="87" t="s">
        <v>18</v>
      </c>
      <c r="Q96" s="48"/>
      <c r="R96" s="87" t="s">
        <v>18</v>
      </c>
    </row>
    <row r="97" spans="1:19">
      <c r="B97" s="130"/>
      <c r="C97" s="130"/>
      <c r="D97" s="48">
        <v>90</v>
      </c>
      <c r="E97" s="87" t="s">
        <v>632</v>
      </c>
      <c r="F97" s="48" t="s">
        <v>25</v>
      </c>
      <c r="G97" s="48">
        <v>0</v>
      </c>
      <c r="H97" s="48" t="s">
        <v>17</v>
      </c>
      <c r="I97" s="48" t="s">
        <v>67</v>
      </c>
      <c r="J97" s="87"/>
      <c r="K97" s="88">
        <v>12966</v>
      </c>
      <c r="L97" s="100">
        <f t="shared" si="6"/>
        <v>1935</v>
      </c>
      <c r="M97" s="100">
        <f t="shared" si="5"/>
        <v>84</v>
      </c>
      <c r="N97" s="48" t="s">
        <v>11</v>
      </c>
      <c r="O97" s="48"/>
      <c r="P97" s="87" t="s">
        <v>28</v>
      </c>
      <c r="Q97" s="48"/>
      <c r="R97" s="87" t="s">
        <v>18</v>
      </c>
    </row>
    <row r="98" spans="1:19" ht="25.5">
      <c r="B98" s="130">
        <v>33</v>
      </c>
      <c r="C98" s="130" t="s">
        <v>1435</v>
      </c>
      <c r="D98" s="48">
        <v>91</v>
      </c>
      <c r="E98" s="87" t="s">
        <v>1436</v>
      </c>
      <c r="F98" s="48" t="s">
        <v>14</v>
      </c>
      <c r="G98" s="48" t="s">
        <v>1437</v>
      </c>
      <c r="H98" s="48" t="s">
        <v>17</v>
      </c>
      <c r="I98" s="48" t="s">
        <v>67</v>
      </c>
      <c r="J98" s="87" t="s">
        <v>1438</v>
      </c>
      <c r="K98" s="88">
        <v>28218</v>
      </c>
      <c r="L98" s="100">
        <v>1977</v>
      </c>
      <c r="M98" s="100">
        <f t="shared" si="5"/>
        <v>42</v>
      </c>
      <c r="N98" s="48" t="s">
        <v>11</v>
      </c>
      <c r="O98" s="48" t="s">
        <v>1369</v>
      </c>
      <c r="P98" s="87" t="s">
        <v>1393</v>
      </c>
      <c r="Q98" s="48"/>
      <c r="R98" s="87" t="s">
        <v>1389</v>
      </c>
    </row>
    <row r="99" spans="1:19" s="48" customFormat="1" ht="25.5">
      <c r="A99" s="54"/>
      <c r="B99" s="130"/>
      <c r="C99" s="130"/>
      <c r="D99" s="48">
        <v>92</v>
      </c>
      <c r="E99" s="87" t="s">
        <v>1439</v>
      </c>
      <c r="F99" s="48" t="s">
        <v>25</v>
      </c>
      <c r="G99" s="48" t="s">
        <v>1440</v>
      </c>
      <c r="H99" s="48" t="s">
        <v>9</v>
      </c>
      <c r="I99" s="48" t="s">
        <v>25</v>
      </c>
      <c r="J99" s="87" t="s">
        <v>1368</v>
      </c>
      <c r="K99" s="88">
        <v>34354</v>
      </c>
      <c r="L99" s="100">
        <v>1994</v>
      </c>
      <c r="M99" s="100">
        <f t="shared" si="5"/>
        <v>25</v>
      </c>
      <c r="N99" s="48" t="s">
        <v>11</v>
      </c>
      <c r="O99" s="48" t="s">
        <v>1369</v>
      </c>
      <c r="P99" s="87" t="s">
        <v>1375</v>
      </c>
      <c r="R99" s="87" t="s">
        <v>1371</v>
      </c>
      <c r="S99" s="55"/>
    </row>
    <row r="100" spans="1:19" s="48" customFormat="1" ht="25.5">
      <c r="A100" s="57"/>
      <c r="B100" s="130">
        <v>34</v>
      </c>
      <c r="C100" s="130" t="s">
        <v>1818</v>
      </c>
      <c r="D100" s="48">
        <v>93</v>
      </c>
      <c r="E100" s="87" t="s">
        <v>635</v>
      </c>
      <c r="F100" s="48" t="s">
        <v>14</v>
      </c>
      <c r="G100" s="48" t="s">
        <v>1819</v>
      </c>
      <c r="H100" s="48" t="s">
        <v>9</v>
      </c>
      <c r="I100" s="48" t="s">
        <v>10</v>
      </c>
      <c r="J100" s="87" t="s">
        <v>1387</v>
      </c>
      <c r="K100" s="88">
        <v>30476</v>
      </c>
      <c r="L100" s="100">
        <v>1983</v>
      </c>
      <c r="M100" s="100">
        <f t="shared" ref="M100:M129" si="7">2019-L100</f>
        <v>36</v>
      </c>
      <c r="N100" s="48" t="s">
        <v>11</v>
      </c>
      <c r="O100" s="48" t="s">
        <v>1369</v>
      </c>
      <c r="P100" s="87" t="s">
        <v>33</v>
      </c>
      <c r="R100" s="87" t="s">
        <v>1371</v>
      </c>
      <c r="S100" s="55"/>
    </row>
    <row r="101" spans="1:19" ht="25.5">
      <c r="B101" s="130"/>
      <c r="C101" s="130"/>
      <c r="D101" s="48">
        <v>94</v>
      </c>
      <c r="E101" s="87" t="s">
        <v>174</v>
      </c>
      <c r="F101" s="48" t="s">
        <v>20</v>
      </c>
      <c r="G101" s="48" t="s">
        <v>636</v>
      </c>
      <c r="H101" s="48" t="s">
        <v>17</v>
      </c>
      <c r="I101" s="48" t="s">
        <v>10</v>
      </c>
      <c r="J101" s="87" t="s">
        <v>1395</v>
      </c>
      <c r="K101" s="88">
        <v>32142</v>
      </c>
      <c r="L101" s="100">
        <v>1987</v>
      </c>
      <c r="M101" s="100">
        <f t="shared" si="7"/>
        <v>32</v>
      </c>
      <c r="N101" s="48" t="s">
        <v>11</v>
      </c>
      <c r="O101" s="48" t="s">
        <v>1369</v>
      </c>
      <c r="P101" s="87" t="s">
        <v>28</v>
      </c>
      <c r="Q101" s="48"/>
      <c r="R101" s="87" t="s">
        <v>1371</v>
      </c>
    </row>
    <row r="102" spans="1:19" ht="25.5">
      <c r="B102" s="130"/>
      <c r="C102" s="130"/>
      <c r="D102" s="48">
        <v>95</v>
      </c>
      <c r="E102" s="87" t="s">
        <v>637</v>
      </c>
      <c r="F102" s="48" t="s">
        <v>25</v>
      </c>
      <c r="G102" s="48" t="s">
        <v>638</v>
      </c>
      <c r="H102" s="48" t="s">
        <v>17</v>
      </c>
      <c r="I102" s="48" t="s">
        <v>23</v>
      </c>
      <c r="J102" s="87" t="s">
        <v>1489</v>
      </c>
      <c r="K102" s="88">
        <v>40995</v>
      </c>
      <c r="L102" s="100">
        <v>2012</v>
      </c>
      <c r="M102" s="100">
        <f t="shared" si="7"/>
        <v>7</v>
      </c>
      <c r="N102" s="48" t="s">
        <v>11</v>
      </c>
      <c r="O102" s="48" t="s">
        <v>1369</v>
      </c>
      <c r="P102" s="87" t="s">
        <v>1425</v>
      </c>
      <c r="Q102" s="48"/>
      <c r="R102" s="87" t="s">
        <v>1389</v>
      </c>
    </row>
    <row r="103" spans="1:19">
      <c r="B103" s="130">
        <v>35</v>
      </c>
      <c r="C103" s="130"/>
      <c r="D103" s="48">
        <v>96</v>
      </c>
      <c r="E103" s="87" t="s">
        <v>639</v>
      </c>
      <c r="F103" s="48" t="s">
        <v>14</v>
      </c>
      <c r="G103" s="48" t="s">
        <v>640</v>
      </c>
      <c r="H103" s="48" t="s">
        <v>9</v>
      </c>
      <c r="I103" s="48" t="s">
        <v>23</v>
      </c>
      <c r="J103" s="87"/>
      <c r="K103" s="88">
        <v>29650</v>
      </c>
      <c r="L103" s="100">
        <f t="shared" ref="L103:L110" si="8">YEAR(K103)</f>
        <v>1981</v>
      </c>
      <c r="M103" s="100">
        <f t="shared" si="7"/>
        <v>38</v>
      </c>
      <c r="N103" s="48" t="s">
        <v>11</v>
      </c>
      <c r="O103" s="48"/>
      <c r="P103" s="87" t="s">
        <v>28</v>
      </c>
      <c r="Q103" s="48"/>
      <c r="R103" s="87" t="s">
        <v>24</v>
      </c>
    </row>
    <row r="104" spans="1:19">
      <c r="B104" s="130"/>
      <c r="C104" s="130"/>
      <c r="D104" s="48">
        <v>97</v>
      </c>
      <c r="E104" s="87" t="s">
        <v>138</v>
      </c>
      <c r="F104" s="48" t="s">
        <v>20</v>
      </c>
      <c r="G104" s="48" t="s">
        <v>641</v>
      </c>
      <c r="H104" s="48" t="s">
        <v>17</v>
      </c>
      <c r="I104" s="48" t="s">
        <v>10</v>
      </c>
      <c r="J104" s="87"/>
      <c r="K104" s="88">
        <v>31777</v>
      </c>
      <c r="L104" s="100">
        <f t="shared" si="8"/>
        <v>1986</v>
      </c>
      <c r="M104" s="100">
        <f t="shared" si="7"/>
        <v>33</v>
      </c>
      <c r="N104" s="48" t="s">
        <v>11</v>
      </c>
      <c r="O104" s="48"/>
      <c r="P104" s="87" t="s">
        <v>28</v>
      </c>
      <c r="Q104" s="48"/>
      <c r="R104" s="87" t="s">
        <v>24</v>
      </c>
    </row>
    <row r="105" spans="1:19" ht="25.5">
      <c r="B105" s="130"/>
      <c r="C105" s="130"/>
      <c r="D105" s="48">
        <v>98</v>
      </c>
      <c r="E105" s="87" t="s">
        <v>642</v>
      </c>
      <c r="F105" s="48" t="s">
        <v>25</v>
      </c>
      <c r="G105" s="48" t="s">
        <v>643</v>
      </c>
      <c r="H105" s="48" t="s">
        <v>9</v>
      </c>
      <c r="I105" s="48" t="s">
        <v>23</v>
      </c>
      <c r="J105" s="87"/>
      <c r="K105" s="88">
        <v>36557</v>
      </c>
      <c r="L105" s="100">
        <f t="shared" si="8"/>
        <v>2000</v>
      </c>
      <c r="M105" s="100">
        <f t="shared" si="7"/>
        <v>19</v>
      </c>
      <c r="N105" s="48" t="s">
        <v>11</v>
      </c>
      <c r="O105" s="48"/>
      <c r="P105" s="87" t="s">
        <v>33</v>
      </c>
      <c r="Q105" s="48"/>
      <c r="R105" s="87" t="s">
        <v>18</v>
      </c>
    </row>
    <row r="106" spans="1:19">
      <c r="B106" s="130"/>
      <c r="C106" s="130"/>
      <c r="D106" s="48">
        <v>99</v>
      </c>
      <c r="E106" s="87" t="s">
        <v>644</v>
      </c>
      <c r="F106" s="48" t="s">
        <v>25</v>
      </c>
      <c r="G106" s="48">
        <v>0</v>
      </c>
      <c r="H106" s="48" t="s">
        <v>17</v>
      </c>
      <c r="I106" s="48" t="s">
        <v>23</v>
      </c>
      <c r="J106" s="87"/>
      <c r="K106" s="88">
        <v>42036</v>
      </c>
      <c r="L106" s="100">
        <f t="shared" si="8"/>
        <v>2015</v>
      </c>
      <c r="M106" s="100">
        <f t="shared" si="7"/>
        <v>4</v>
      </c>
      <c r="N106" s="48" t="s">
        <v>11</v>
      </c>
      <c r="O106" s="48"/>
      <c r="P106" s="87" t="s">
        <v>18</v>
      </c>
      <c r="Q106" s="48"/>
      <c r="R106" s="87" t="s">
        <v>18</v>
      </c>
    </row>
    <row r="107" spans="1:19" s="48" customFormat="1">
      <c r="A107" s="54"/>
      <c r="B107" s="48">
        <v>36</v>
      </c>
      <c r="D107" s="48">
        <v>100</v>
      </c>
      <c r="E107" s="87" t="s">
        <v>645</v>
      </c>
      <c r="F107" s="48" t="s">
        <v>14</v>
      </c>
      <c r="G107" s="48">
        <v>0</v>
      </c>
      <c r="H107" s="48" t="s">
        <v>17</v>
      </c>
      <c r="I107" s="48" t="s">
        <v>67</v>
      </c>
      <c r="J107" s="87"/>
      <c r="K107" s="88">
        <v>23924</v>
      </c>
      <c r="L107" s="100">
        <f t="shared" si="8"/>
        <v>1965</v>
      </c>
      <c r="M107" s="100">
        <f t="shared" si="7"/>
        <v>54</v>
      </c>
      <c r="N107" s="48" t="s">
        <v>11</v>
      </c>
      <c r="P107" s="87" t="s">
        <v>18</v>
      </c>
      <c r="R107" s="87" t="s">
        <v>24</v>
      </c>
      <c r="S107" s="55"/>
    </row>
    <row r="108" spans="1:19" s="48" customFormat="1">
      <c r="A108" s="54"/>
      <c r="B108" s="48">
        <v>37</v>
      </c>
      <c r="D108" s="48">
        <v>101</v>
      </c>
      <c r="E108" s="87" t="s">
        <v>646</v>
      </c>
      <c r="F108" s="48" t="s">
        <v>14</v>
      </c>
      <c r="G108" s="48" t="s">
        <v>647</v>
      </c>
      <c r="H108" s="48" t="s">
        <v>9</v>
      </c>
      <c r="I108" s="48" t="s">
        <v>123</v>
      </c>
      <c r="J108" s="87"/>
      <c r="K108" s="88">
        <v>23674</v>
      </c>
      <c r="L108" s="100">
        <f t="shared" si="8"/>
        <v>1964</v>
      </c>
      <c r="M108" s="100">
        <f t="shared" si="7"/>
        <v>55</v>
      </c>
      <c r="N108" s="48" t="s">
        <v>11</v>
      </c>
      <c r="P108" s="87" t="s">
        <v>33</v>
      </c>
      <c r="R108" s="87" t="s">
        <v>49</v>
      </c>
      <c r="S108" s="55"/>
    </row>
    <row r="109" spans="1:19">
      <c r="B109" s="130">
        <v>38</v>
      </c>
      <c r="C109" s="130"/>
      <c r="D109" s="48">
        <v>102</v>
      </c>
      <c r="E109" s="87" t="s">
        <v>648</v>
      </c>
      <c r="F109" s="48" t="s">
        <v>14</v>
      </c>
      <c r="G109" s="48">
        <v>0</v>
      </c>
      <c r="H109" s="48" t="s">
        <v>17</v>
      </c>
      <c r="I109" s="48" t="s">
        <v>67</v>
      </c>
      <c r="J109" s="87"/>
      <c r="K109" s="88">
        <v>27576</v>
      </c>
      <c r="L109" s="100">
        <f t="shared" si="8"/>
        <v>1975</v>
      </c>
      <c r="M109" s="100">
        <f t="shared" si="7"/>
        <v>44</v>
      </c>
      <c r="N109" s="48" t="s">
        <v>11</v>
      </c>
      <c r="O109" s="48"/>
      <c r="P109" s="87" t="s">
        <v>18</v>
      </c>
      <c r="Q109" s="48"/>
      <c r="R109" s="87" t="s">
        <v>18</v>
      </c>
    </row>
    <row r="110" spans="1:19">
      <c r="B110" s="130"/>
      <c r="C110" s="130"/>
      <c r="D110" s="48">
        <v>103</v>
      </c>
      <c r="E110" s="87" t="s">
        <v>649</v>
      </c>
      <c r="F110" s="48" t="s">
        <v>391</v>
      </c>
      <c r="G110" s="48">
        <v>0</v>
      </c>
      <c r="H110" s="48" t="s">
        <v>9</v>
      </c>
      <c r="I110" s="48" t="s">
        <v>23</v>
      </c>
      <c r="J110" s="87"/>
      <c r="K110" s="88">
        <v>34881</v>
      </c>
      <c r="L110" s="100">
        <f t="shared" si="8"/>
        <v>1995</v>
      </c>
      <c r="M110" s="100">
        <f t="shared" si="7"/>
        <v>24</v>
      </c>
      <c r="N110" s="48" t="s">
        <v>11</v>
      </c>
      <c r="O110" s="48"/>
      <c r="P110" s="87" t="s">
        <v>33</v>
      </c>
      <c r="Q110" s="48"/>
      <c r="R110" s="87" t="s">
        <v>24</v>
      </c>
    </row>
    <row r="111" spans="1:19" ht="25.5">
      <c r="B111" s="130">
        <v>39</v>
      </c>
      <c r="C111" s="130" t="s">
        <v>1449</v>
      </c>
      <c r="D111" s="48">
        <v>104</v>
      </c>
      <c r="E111" s="87" t="s">
        <v>1450</v>
      </c>
      <c r="F111" s="48" t="s">
        <v>14</v>
      </c>
      <c r="G111" s="48" t="s">
        <v>1451</v>
      </c>
      <c r="H111" s="48" t="s">
        <v>9</v>
      </c>
      <c r="I111" s="48" t="s">
        <v>10</v>
      </c>
      <c r="J111" s="87" t="s">
        <v>1452</v>
      </c>
      <c r="K111" s="88">
        <v>29351</v>
      </c>
      <c r="L111" s="100">
        <v>1980</v>
      </c>
      <c r="M111" s="100">
        <f t="shared" si="7"/>
        <v>39</v>
      </c>
      <c r="N111" s="48" t="s">
        <v>11</v>
      </c>
      <c r="O111" s="48" t="s">
        <v>1369</v>
      </c>
      <c r="P111" s="87" t="s">
        <v>1393</v>
      </c>
      <c r="Q111" s="48"/>
      <c r="R111" s="87" t="s">
        <v>1371</v>
      </c>
    </row>
    <row r="112" spans="1:19" ht="25.5">
      <c r="B112" s="130"/>
      <c r="C112" s="130"/>
      <c r="D112" s="48">
        <v>105</v>
      </c>
      <c r="E112" s="87" t="s">
        <v>653</v>
      </c>
      <c r="F112" s="48" t="s">
        <v>20</v>
      </c>
      <c r="G112" s="48" t="s">
        <v>654</v>
      </c>
      <c r="H112" s="48" t="s">
        <v>17</v>
      </c>
      <c r="I112" s="48" t="s">
        <v>10</v>
      </c>
      <c r="J112" s="87" t="s">
        <v>1368</v>
      </c>
      <c r="K112" s="88">
        <v>29992</v>
      </c>
      <c r="L112" s="100">
        <v>1982</v>
      </c>
      <c r="M112" s="100">
        <f t="shared" si="7"/>
        <v>37</v>
      </c>
      <c r="N112" s="48" t="s">
        <v>11</v>
      </c>
      <c r="O112" s="48" t="s">
        <v>1369</v>
      </c>
      <c r="P112" s="87" t="s">
        <v>1393</v>
      </c>
      <c r="Q112" s="48"/>
      <c r="R112" s="87" t="s">
        <v>19</v>
      </c>
    </row>
    <row r="113" spans="2:18" ht="25.5">
      <c r="B113" s="130"/>
      <c r="C113" s="130"/>
      <c r="D113" s="48">
        <v>106</v>
      </c>
      <c r="E113" s="87" t="s">
        <v>1453</v>
      </c>
      <c r="F113" s="48" t="s">
        <v>25</v>
      </c>
      <c r="G113" s="48" t="s">
        <v>1454</v>
      </c>
      <c r="H113" s="48" t="s">
        <v>17</v>
      </c>
      <c r="I113" s="48" t="s">
        <v>23</v>
      </c>
      <c r="J113" s="87" t="s">
        <v>1368</v>
      </c>
      <c r="K113" s="88">
        <v>38157</v>
      </c>
      <c r="L113" s="100">
        <v>2004</v>
      </c>
      <c r="M113" s="100">
        <f t="shared" si="7"/>
        <v>15</v>
      </c>
      <c r="N113" s="48" t="s">
        <v>11</v>
      </c>
      <c r="O113" s="48" t="s">
        <v>1369</v>
      </c>
      <c r="P113" s="87" t="s">
        <v>1375</v>
      </c>
      <c r="Q113" s="48"/>
      <c r="R113" s="87" t="s">
        <v>1389</v>
      </c>
    </row>
    <row r="114" spans="2:18" ht="25.5">
      <c r="B114" s="130"/>
      <c r="C114" s="130"/>
      <c r="D114" s="48">
        <v>107</v>
      </c>
      <c r="E114" s="87" t="s">
        <v>655</v>
      </c>
      <c r="F114" s="48" t="s">
        <v>25</v>
      </c>
      <c r="G114" s="48" t="s">
        <v>656</v>
      </c>
      <c r="H114" s="48" t="s">
        <v>9</v>
      </c>
      <c r="I114" s="48" t="s">
        <v>23</v>
      </c>
      <c r="J114" s="87" t="s">
        <v>1455</v>
      </c>
      <c r="K114" s="88">
        <v>41012</v>
      </c>
      <c r="L114" s="100">
        <v>2012</v>
      </c>
      <c r="M114" s="100">
        <f t="shared" si="7"/>
        <v>7</v>
      </c>
      <c r="N114" s="48" t="s">
        <v>11</v>
      </c>
      <c r="O114" s="48" t="s">
        <v>1369</v>
      </c>
      <c r="P114" s="87" t="s">
        <v>1425</v>
      </c>
      <c r="Q114" s="48"/>
      <c r="R114" s="87" t="s">
        <v>1389</v>
      </c>
    </row>
    <row r="115" spans="2:18" ht="25.5">
      <c r="B115" s="130"/>
      <c r="C115" s="130"/>
      <c r="D115" s="48">
        <v>108</v>
      </c>
      <c r="E115" s="87" t="s">
        <v>181</v>
      </c>
      <c r="F115" s="48" t="s">
        <v>1456</v>
      </c>
      <c r="G115" s="48" t="s">
        <v>650</v>
      </c>
      <c r="H115" s="48" t="s">
        <v>9</v>
      </c>
      <c r="I115" s="48" t="s">
        <v>10</v>
      </c>
      <c r="J115" s="87" t="s">
        <v>1368</v>
      </c>
      <c r="K115" s="88">
        <v>21002</v>
      </c>
      <c r="L115" s="100">
        <v>1957</v>
      </c>
      <c r="M115" s="100">
        <f t="shared" si="7"/>
        <v>62</v>
      </c>
      <c r="N115" s="48" t="s">
        <v>11</v>
      </c>
      <c r="O115" s="48" t="s">
        <v>1369</v>
      </c>
      <c r="P115" s="87" t="s">
        <v>1425</v>
      </c>
      <c r="Q115" s="48"/>
      <c r="R115" s="87" t="s">
        <v>1371</v>
      </c>
    </row>
    <row r="116" spans="2:18" ht="25.5">
      <c r="B116" s="130"/>
      <c r="C116" s="130"/>
      <c r="D116" s="48">
        <v>109</v>
      </c>
      <c r="E116" s="87" t="s">
        <v>651</v>
      </c>
      <c r="F116" s="48" t="s">
        <v>1456</v>
      </c>
      <c r="G116" s="48" t="s">
        <v>652</v>
      </c>
      <c r="H116" s="48" t="s">
        <v>17</v>
      </c>
      <c r="I116" s="48" t="s">
        <v>10</v>
      </c>
      <c r="J116" s="87" t="s">
        <v>1368</v>
      </c>
      <c r="K116" s="88">
        <v>26481</v>
      </c>
      <c r="L116" s="100">
        <v>1972</v>
      </c>
      <c r="M116" s="100">
        <f t="shared" si="7"/>
        <v>47</v>
      </c>
      <c r="N116" s="48" t="s">
        <v>11</v>
      </c>
      <c r="O116" s="48" t="s">
        <v>1369</v>
      </c>
      <c r="P116" s="87" t="s">
        <v>1425</v>
      </c>
      <c r="Q116" s="48"/>
      <c r="R116" s="87" t="s">
        <v>1373</v>
      </c>
    </row>
    <row r="117" spans="2:18" ht="25.5">
      <c r="B117" s="130"/>
      <c r="C117" s="130"/>
      <c r="D117" s="48">
        <v>110</v>
      </c>
      <c r="E117" s="87" t="s">
        <v>541</v>
      </c>
      <c r="F117" s="48" t="s">
        <v>1457</v>
      </c>
      <c r="G117" s="48" t="s">
        <v>1458</v>
      </c>
      <c r="H117" s="48" t="s">
        <v>17</v>
      </c>
      <c r="I117" s="48" t="s">
        <v>1448</v>
      </c>
      <c r="J117" s="87" t="s">
        <v>1368</v>
      </c>
      <c r="K117" s="88">
        <v>46569</v>
      </c>
      <c r="L117" s="100">
        <v>1927</v>
      </c>
      <c r="M117" s="100">
        <f t="shared" si="7"/>
        <v>92</v>
      </c>
      <c r="N117" s="48" t="s">
        <v>11</v>
      </c>
      <c r="O117" s="48" t="s">
        <v>1369</v>
      </c>
      <c r="P117" s="87" t="s">
        <v>1425</v>
      </c>
      <c r="Q117" s="48"/>
      <c r="R117" s="87" t="s">
        <v>1389</v>
      </c>
    </row>
    <row r="118" spans="2:18" ht="25.5">
      <c r="B118" s="130">
        <v>40</v>
      </c>
      <c r="C118" s="130" t="s">
        <v>1871</v>
      </c>
      <c r="D118" s="48">
        <v>111</v>
      </c>
      <c r="E118" s="87" t="s">
        <v>657</v>
      </c>
      <c r="F118" s="48" t="s">
        <v>14</v>
      </c>
      <c r="G118" s="48" t="s">
        <v>1872</v>
      </c>
      <c r="H118" s="48" t="s">
        <v>9</v>
      </c>
      <c r="I118" s="48" t="s">
        <v>10</v>
      </c>
      <c r="J118" s="87" t="s">
        <v>1387</v>
      </c>
      <c r="K118" s="88">
        <v>29741</v>
      </c>
      <c r="L118" s="100">
        <v>1981</v>
      </c>
      <c r="M118" s="100">
        <f t="shared" si="7"/>
        <v>38</v>
      </c>
      <c r="N118" s="48" t="s">
        <v>11</v>
      </c>
      <c r="O118" s="48" t="s">
        <v>1369</v>
      </c>
      <c r="P118" s="87" t="s">
        <v>1425</v>
      </c>
      <c r="Q118" s="48"/>
      <c r="R118" s="87" t="s">
        <v>49</v>
      </c>
    </row>
    <row r="119" spans="2:18" ht="25.5">
      <c r="B119" s="130"/>
      <c r="C119" s="130"/>
      <c r="D119" s="48">
        <v>112</v>
      </c>
      <c r="E119" s="87" t="s">
        <v>658</v>
      </c>
      <c r="F119" s="48" t="s">
        <v>20</v>
      </c>
      <c r="G119" s="48" t="s">
        <v>1873</v>
      </c>
      <c r="H119" s="48" t="s">
        <v>17</v>
      </c>
      <c r="I119" s="48" t="s">
        <v>10</v>
      </c>
      <c r="J119" s="87" t="s">
        <v>1387</v>
      </c>
      <c r="K119" s="88">
        <v>32965</v>
      </c>
      <c r="L119" s="100">
        <v>1990</v>
      </c>
      <c r="M119" s="100">
        <f t="shared" si="7"/>
        <v>29</v>
      </c>
      <c r="N119" s="48" t="s">
        <v>11</v>
      </c>
      <c r="O119" s="48" t="s">
        <v>1369</v>
      </c>
      <c r="P119" s="87" t="s">
        <v>1425</v>
      </c>
      <c r="Q119" s="48"/>
      <c r="R119" s="87" t="s">
        <v>1373</v>
      </c>
    </row>
    <row r="120" spans="2:18" ht="25.5">
      <c r="B120" s="130"/>
      <c r="C120" s="130"/>
      <c r="D120" s="48">
        <v>113</v>
      </c>
      <c r="E120" s="87" t="s">
        <v>659</v>
      </c>
      <c r="F120" s="48" t="s">
        <v>25</v>
      </c>
      <c r="G120" s="48" t="s">
        <v>660</v>
      </c>
      <c r="H120" s="48" t="s">
        <v>17</v>
      </c>
      <c r="I120" s="48" t="s">
        <v>23</v>
      </c>
      <c r="J120" s="87" t="s">
        <v>1387</v>
      </c>
      <c r="K120" s="88">
        <v>40481</v>
      </c>
      <c r="L120" s="100">
        <v>2010</v>
      </c>
      <c r="M120" s="100">
        <f t="shared" si="7"/>
        <v>9</v>
      </c>
      <c r="N120" s="48" t="s">
        <v>11</v>
      </c>
      <c r="O120" s="48" t="s">
        <v>1369</v>
      </c>
      <c r="P120" s="87" t="s">
        <v>1425</v>
      </c>
      <c r="Q120" s="48"/>
      <c r="R120" s="87" t="s">
        <v>1389</v>
      </c>
    </row>
    <row r="121" spans="2:18">
      <c r="B121" s="130">
        <v>41</v>
      </c>
      <c r="C121" s="130" t="s">
        <v>1836</v>
      </c>
      <c r="D121" s="48">
        <v>114</v>
      </c>
      <c r="E121" s="87" t="s">
        <v>661</v>
      </c>
      <c r="F121" s="48" t="s">
        <v>14</v>
      </c>
      <c r="G121" s="48" t="s">
        <v>1837</v>
      </c>
      <c r="H121" s="48" t="s">
        <v>9</v>
      </c>
      <c r="I121" s="48" t="s">
        <v>10</v>
      </c>
      <c r="J121" s="87" t="s">
        <v>1368</v>
      </c>
      <c r="K121" s="88">
        <v>27942</v>
      </c>
      <c r="L121" s="100">
        <v>1976</v>
      </c>
      <c r="M121" s="100">
        <f t="shared" si="7"/>
        <v>43</v>
      </c>
      <c r="N121" s="48" t="s">
        <v>11</v>
      </c>
      <c r="O121" s="48" t="s">
        <v>1369</v>
      </c>
      <c r="P121" s="87" t="s">
        <v>28</v>
      </c>
      <c r="Q121" s="48"/>
      <c r="R121" s="87" t="s">
        <v>1460</v>
      </c>
    </row>
    <row r="122" spans="2:18" ht="25.5">
      <c r="B122" s="130"/>
      <c r="C122" s="130"/>
      <c r="D122" s="48">
        <v>115</v>
      </c>
      <c r="E122" s="87" t="s">
        <v>662</v>
      </c>
      <c r="F122" s="48" t="s">
        <v>20</v>
      </c>
      <c r="G122" s="48" t="s">
        <v>1838</v>
      </c>
      <c r="H122" s="48" t="s">
        <v>17</v>
      </c>
      <c r="I122" s="48" t="s">
        <v>10</v>
      </c>
      <c r="J122" s="87" t="s">
        <v>1368</v>
      </c>
      <c r="K122" s="88">
        <v>27942</v>
      </c>
      <c r="L122" s="100">
        <v>1976</v>
      </c>
      <c r="M122" s="100">
        <f t="shared" si="7"/>
        <v>43</v>
      </c>
      <c r="N122" s="48" t="s">
        <v>11</v>
      </c>
      <c r="O122" s="48" t="s">
        <v>1369</v>
      </c>
      <c r="P122" s="87" t="s">
        <v>33</v>
      </c>
      <c r="Q122" s="48"/>
      <c r="R122" s="87" t="s">
        <v>1371</v>
      </c>
    </row>
    <row r="123" spans="2:18">
      <c r="B123" s="130">
        <v>42</v>
      </c>
      <c r="C123" s="130"/>
      <c r="D123" s="48">
        <v>116</v>
      </c>
      <c r="E123" s="87" t="s">
        <v>663</v>
      </c>
      <c r="F123" s="48" t="s">
        <v>14</v>
      </c>
      <c r="G123" s="48" t="s">
        <v>664</v>
      </c>
      <c r="H123" s="48" t="s">
        <v>9</v>
      </c>
      <c r="I123" s="48" t="s">
        <v>10</v>
      </c>
      <c r="J123" s="87"/>
      <c r="K123" s="88">
        <v>32315</v>
      </c>
      <c r="L123" s="100">
        <f t="shared" ref="L123:L124" si="9">YEAR(K123)</f>
        <v>1988</v>
      </c>
      <c r="M123" s="100">
        <f t="shared" si="7"/>
        <v>31</v>
      </c>
      <c r="N123" s="48" t="s">
        <v>11</v>
      </c>
      <c r="O123" s="48"/>
      <c r="P123" s="87" t="s">
        <v>28</v>
      </c>
      <c r="Q123" s="48"/>
      <c r="R123" s="87" t="s">
        <v>24</v>
      </c>
    </row>
    <row r="124" spans="2:18">
      <c r="B124" s="130"/>
      <c r="C124" s="130"/>
      <c r="D124" s="48">
        <v>117</v>
      </c>
      <c r="E124" s="87" t="s">
        <v>40</v>
      </c>
      <c r="F124" s="48" t="s">
        <v>20</v>
      </c>
      <c r="G124" s="48" t="s">
        <v>665</v>
      </c>
      <c r="H124" s="48" t="s">
        <v>17</v>
      </c>
      <c r="I124" s="48" t="s">
        <v>10</v>
      </c>
      <c r="J124" s="87"/>
      <c r="K124" s="88">
        <v>33574</v>
      </c>
      <c r="L124" s="100">
        <f t="shared" si="9"/>
        <v>1991</v>
      </c>
      <c r="M124" s="100">
        <f t="shared" si="7"/>
        <v>28</v>
      </c>
      <c r="N124" s="48" t="s">
        <v>11</v>
      </c>
      <c r="O124" s="48"/>
      <c r="P124" s="87" t="s">
        <v>28</v>
      </c>
      <c r="Q124" s="48"/>
      <c r="R124" s="87" t="s">
        <v>24</v>
      </c>
    </row>
    <row r="125" spans="2:18" ht="25.5">
      <c r="B125" s="130">
        <v>43</v>
      </c>
      <c r="C125" s="130" t="s">
        <v>1466</v>
      </c>
      <c r="D125" s="48">
        <v>118</v>
      </c>
      <c r="E125" s="87" t="s">
        <v>666</v>
      </c>
      <c r="F125" s="48" t="s">
        <v>14</v>
      </c>
      <c r="G125" s="48" t="s">
        <v>1467</v>
      </c>
      <c r="H125" s="48" t="s">
        <v>9</v>
      </c>
      <c r="I125" s="48" t="s">
        <v>10</v>
      </c>
      <c r="J125" s="87" t="s">
        <v>1368</v>
      </c>
      <c r="K125" s="88">
        <v>14427</v>
      </c>
      <c r="L125" s="100">
        <v>1939</v>
      </c>
      <c r="M125" s="100">
        <f t="shared" si="7"/>
        <v>80</v>
      </c>
      <c r="N125" s="48" t="s">
        <v>11</v>
      </c>
      <c r="O125" s="48" t="s">
        <v>1369</v>
      </c>
      <c r="P125" s="87" t="s">
        <v>1425</v>
      </c>
      <c r="Q125" s="48"/>
      <c r="R125" s="87" t="s">
        <v>1371</v>
      </c>
    </row>
    <row r="126" spans="2:18" ht="25.5">
      <c r="B126" s="130"/>
      <c r="C126" s="130"/>
      <c r="D126" s="48">
        <v>119</v>
      </c>
      <c r="E126" s="87" t="s">
        <v>219</v>
      </c>
      <c r="F126" s="48" t="s">
        <v>20</v>
      </c>
      <c r="G126" s="48" t="s">
        <v>1468</v>
      </c>
      <c r="H126" s="48" t="s">
        <v>17</v>
      </c>
      <c r="I126" s="48" t="s">
        <v>10</v>
      </c>
      <c r="J126" s="87" t="s">
        <v>1368</v>
      </c>
      <c r="K126" s="88">
        <v>26481</v>
      </c>
      <c r="L126" s="100">
        <v>1972</v>
      </c>
      <c r="M126" s="100">
        <f t="shared" si="7"/>
        <v>47</v>
      </c>
      <c r="N126" s="48" t="s">
        <v>11</v>
      </c>
      <c r="O126" s="48" t="s">
        <v>1369</v>
      </c>
      <c r="P126" s="87" t="s">
        <v>1425</v>
      </c>
      <c r="Q126" s="48"/>
      <c r="R126" s="87" t="s">
        <v>1373</v>
      </c>
    </row>
    <row r="127" spans="2:18" ht="25.5">
      <c r="B127" s="130"/>
      <c r="C127" s="130"/>
      <c r="D127" s="48">
        <v>120</v>
      </c>
      <c r="E127" s="87" t="s">
        <v>667</v>
      </c>
      <c r="F127" s="48" t="s">
        <v>25</v>
      </c>
      <c r="G127" s="48" t="s">
        <v>1469</v>
      </c>
      <c r="H127" s="48" t="s">
        <v>17</v>
      </c>
      <c r="I127" s="48" t="s">
        <v>23</v>
      </c>
      <c r="J127" s="87" t="s">
        <v>1387</v>
      </c>
      <c r="K127" s="88">
        <v>32826</v>
      </c>
      <c r="L127" s="100">
        <v>1989</v>
      </c>
      <c r="M127" s="100">
        <f t="shared" si="7"/>
        <v>30</v>
      </c>
      <c r="N127" s="48" t="s">
        <v>11</v>
      </c>
      <c r="O127" s="48" t="s">
        <v>1369</v>
      </c>
      <c r="P127" s="87" t="s">
        <v>1425</v>
      </c>
      <c r="Q127" s="48"/>
      <c r="R127" s="87" t="s">
        <v>1371</v>
      </c>
    </row>
    <row r="128" spans="2:18" ht="25.5">
      <c r="B128" s="130"/>
      <c r="C128" s="130"/>
      <c r="D128" s="48">
        <v>121</v>
      </c>
      <c r="E128" s="87" t="s">
        <v>1470</v>
      </c>
      <c r="F128" s="48" t="s">
        <v>25</v>
      </c>
      <c r="G128" s="48" t="s">
        <v>1471</v>
      </c>
      <c r="H128" s="48" t="s">
        <v>17</v>
      </c>
      <c r="I128" s="48" t="s">
        <v>23</v>
      </c>
      <c r="J128" s="87" t="s">
        <v>1368</v>
      </c>
      <c r="K128" s="88">
        <v>34151</v>
      </c>
      <c r="L128" s="100">
        <v>1993</v>
      </c>
      <c r="M128" s="100">
        <f t="shared" si="7"/>
        <v>26</v>
      </c>
      <c r="N128" s="48" t="s">
        <v>11</v>
      </c>
      <c r="O128" s="48" t="s">
        <v>1369</v>
      </c>
      <c r="P128" s="87" t="s">
        <v>1393</v>
      </c>
      <c r="Q128" s="48"/>
      <c r="R128" s="87" t="s">
        <v>49</v>
      </c>
    </row>
    <row r="129" spans="2:18" ht="25.5">
      <c r="B129" s="130"/>
      <c r="C129" s="130"/>
      <c r="D129" s="48">
        <v>122</v>
      </c>
      <c r="E129" s="87" t="s">
        <v>1473</v>
      </c>
      <c r="F129" s="48" t="s">
        <v>1463</v>
      </c>
      <c r="G129" s="48" t="s">
        <v>1475</v>
      </c>
      <c r="H129" s="48" t="s">
        <v>9</v>
      </c>
      <c r="I129" s="48" t="s">
        <v>23</v>
      </c>
      <c r="J129" s="87" t="s">
        <v>1476</v>
      </c>
      <c r="K129" s="88">
        <v>39548</v>
      </c>
      <c r="L129" s="100">
        <v>2008</v>
      </c>
      <c r="M129" s="100">
        <f t="shared" si="7"/>
        <v>11</v>
      </c>
      <c r="N129" s="48" t="s">
        <v>11</v>
      </c>
      <c r="O129" s="48" t="s">
        <v>1369</v>
      </c>
      <c r="P129" s="87" t="s">
        <v>1393</v>
      </c>
      <c r="Q129" s="48"/>
      <c r="R129" s="87" t="s">
        <v>1376</v>
      </c>
    </row>
    <row r="130" spans="2:18">
      <c r="B130" s="130">
        <v>44</v>
      </c>
      <c r="C130" s="130" t="s">
        <v>1857</v>
      </c>
      <c r="D130" s="48">
        <v>123</v>
      </c>
      <c r="E130" s="87" t="s">
        <v>668</v>
      </c>
      <c r="F130" s="48" t="s">
        <v>14</v>
      </c>
      <c r="G130" s="48" t="s">
        <v>1858</v>
      </c>
      <c r="H130" s="48" t="s">
        <v>9</v>
      </c>
      <c r="I130" s="48" t="s">
        <v>10</v>
      </c>
      <c r="J130" s="87" t="s">
        <v>1368</v>
      </c>
      <c r="K130" s="88">
        <v>28307</v>
      </c>
      <c r="L130" s="100">
        <v>1977</v>
      </c>
      <c r="M130" s="100">
        <f t="shared" ref="M130:M160" si="10">2019-L130</f>
        <v>42</v>
      </c>
      <c r="N130" s="48" t="s">
        <v>11</v>
      </c>
      <c r="O130" s="48" t="s">
        <v>1369</v>
      </c>
      <c r="P130" s="87" t="s">
        <v>28</v>
      </c>
      <c r="Q130" s="48"/>
      <c r="R130" s="87" t="s">
        <v>1864</v>
      </c>
    </row>
    <row r="131" spans="2:18" ht="25.5">
      <c r="B131" s="130"/>
      <c r="C131" s="130"/>
      <c r="D131" s="48">
        <v>124</v>
      </c>
      <c r="E131" s="87" t="s">
        <v>658</v>
      </c>
      <c r="F131" s="48" t="s">
        <v>20</v>
      </c>
      <c r="G131" s="48" t="s">
        <v>1859</v>
      </c>
      <c r="H131" s="48" t="s">
        <v>17</v>
      </c>
      <c r="I131" s="48" t="s">
        <v>10</v>
      </c>
      <c r="J131" s="87" t="s">
        <v>1863</v>
      </c>
      <c r="K131" s="88">
        <v>29768</v>
      </c>
      <c r="L131" s="100">
        <v>1981</v>
      </c>
      <c r="M131" s="100">
        <f t="shared" si="10"/>
        <v>38</v>
      </c>
      <c r="N131" s="48" t="s">
        <v>11</v>
      </c>
      <c r="O131" s="48" t="s">
        <v>1369</v>
      </c>
      <c r="P131" s="87" t="s">
        <v>28</v>
      </c>
      <c r="Q131" s="48"/>
      <c r="R131" s="87" t="s">
        <v>1373</v>
      </c>
    </row>
    <row r="132" spans="2:18" ht="25.5">
      <c r="B132" s="130"/>
      <c r="C132" s="130"/>
      <c r="D132" s="48">
        <v>125</v>
      </c>
      <c r="E132" s="87" t="s">
        <v>1855</v>
      </c>
      <c r="F132" s="48" t="s">
        <v>25</v>
      </c>
      <c r="G132" s="48" t="s">
        <v>1860</v>
      </c>
      <c r="H132" s="48" t="s">
        <v>9</v>
      </c>
      <c r="I132" s="48" t="s">
        <v>23</v>
      </c>
      <c r="J132" s="87" t="s">
        <v>1368</v>
      </c>
      <c r="K132" s="88">
        <v>36563</v>
      </c>
      <c r="L132" s="100">
        <v>2000</v>
      </c>
      <c r="M132" s="100">
        <f t="shared" si="10"/>
        <v>19</v>
      </c>
      <c r="N132" s="48" t="s">
        <v>11</v>
      </c>
      <c r="O132" s="48" t="s">
        <v>1369</v>
      </c>
      <c r="P132" s="87" t="s">
        <v>33</v>
      </c>
      <c r="Q132" s="48"/>
      <c r="R132" s="87" t="s">
        <v>1376</v>
      </c>
    </row>
    <row r="133" spans="2:18" ht="25.5">
      <c r="B133" s="130"/>
      <c r="C133" s="130"/>
      <c r="D133" s="48">
        <v>126</v>
      </c>
      <c r="E133" s="87" t="s">
        <v>1854</v>
      </c>
      <c r="F133" s="48" t="s">
        <v>25</v>
      </c>
      <c r="G133" s="48" t="s">
        <v>1861</v>
      </c>
      <c r="H133" s="48" t="s">
        <v>9</v>
      </c>
      <c r="I133" s="48" t="s">
        <v>23</v>
      </c>
      <c r="J133" s="87" t="s">
        <v>1368</v>
      </c>
      <c r="K133" s="88">
        <v>36563</v>
      </c>
      <c r="L133" s="100">
        <v>2000</v>
      </c>
      <c r="M133" s="100">
        <f t="shared" si="10"/>
        <v>19</v>
      </c>
      <c r="N133" s="48" t="s">
        <v>11</v>
      </c>
      <c r="O133" s="48" t="s">
        <v>1369</v>
      </c>
      <c r="P133" s="87" t="s">
        <v>33</v>
      </c>
      <c r="Q133" s="48"/>
      <c r="R133" s="87" t="s">
        <v>1376</v>
      </c>
    </row>
    <row r="134" spans="2:18" ht="25.5">
      <c r="B134" s="130"/>
      <c r="C134" s="130"/>
      <c r="D134" s="48">
        <v>127</v>
      </c>
      <c r="E134" s="87" t="s">
        <v>1856</v>
      </c>
      <c r="F134" s="48" t="s">
        <v>25</v>
      </c>
      <c r="G134" s="48" t="s">
        <v>1862</v>
      </c>
      <c r="H134" s="48" t="s">
        <v>9</v>
      </c>
      <c r="I134" s="48" t="s">
        <v>23</v>
      </c>
      <c r="J134" s="87" t="s">
        <v>1368</v>
      </c>
      <c r="K134" s="88">
        <v>39670</v>
      </c>
      <c r="L134" s="100">
        <v>2008</v>
      </c>
      <c r="M134" s="100">
        <f t="shared" si="10"/>
        <v>11</v>
      </c>
      <c r="N134" s="48" t="s">
        <v>11</v>
      </c>
      <c r="O134" s="48" t="s">
        <v>1369</v>
      </c>
      <c r="P134" s="87" t="s">
        <v>1375</v>
      </c>
      <c r="Q134" s="48"/>
      <c r="R134" s="87" t="s">
        <v>1376</v>
      </c>
    </row>
    <row r="135" spans="2:18">
      <c r="B135" s="130">
        <v>45</v>
      </c>
      <c r="C135" s="130"/>
      <c r="D135" s="48">
        <v>128</v>
      </c>
      <c r="E135" s="87" t="s">
        <v>669</v>
      </c>
      <c r="F135" s="48" t="s">
        <v>14</v>
      </c>
      <c r="G135" s="48" t="s">
        <v>670</v>
      </c>
      <c r="H135" s="48" t="s">
        <v>9</v>
      </c>
      <c r="I135" s="48" t="s">
        <v>10</v>
      </c>
      <c r="J135" s="87"/>
      <c r="K135" s="88">
        <v>22281</v>
      </c>
      <c r="L135" s="100">
        <f t="shared" ref="L135:L138" si="11">YEAR(K135)</f>
        <v>1960</v>
      </c>
      <c r="M135" s="100">
        <f t="shared" si="10"/>
        <v>59</v>
      </c>
      <c r="N135" s="48" t="s">
        <v>11</v>
      </c>
      <c r="O135" s="48"/>
      <c r="P135" s="87" t="s">
        <v>18</v>
      </c>
      <c r="Q135" s="48"/>
      <c r="R135" s="87" t="s">
        <v>58</v>
      </c>
    </row>
    <row r="136" spans="2:18">
      <c r="B136" s="130"/>
      <c r="C136" s="130"/>
      <c r="D136" s="48">
        <v>129</v>
      </c>
      <c r="E136" s="87" t="s">
        <v>671</v>
      </c>
      <c r="F136" s="48" t="s">
        <v>20</v>
      </c>
      <c r="G136" s="48" t="s">
        <v>672</v>
      </c>
      <c r="H136" s="48" t="s">
        <v>17</v>
      </c>
      <c r="I136" s="48" t="s">
        <v>10</v>
      </c>
      <c r="J136" s="87"/>
      <c r="K136" s="88">
        <v>23011</v>
      </c>
      <c r="L136" s="100">
        <f t="shared" si="11"/>
        <v>1962</v>
      </c>
      <c r="M136" s="100">
        <f t="shared" si="10"/>
        <v>57</v>
      </c>
      <c r="N136" s="48" t="s">
        <v>11</v>
      </c>
      <c r="O136" s="48"/>
      <c r="P136" s="87" t="s">
        <v>18</v>
      </c>
      <c r="Q136" s="48"/>
      <c r="R136" s="87" t="s">
        <v>58</v>
      </c>
    </row>
    <row r="137" spans="2:18">
      <c r="B137" s="130"/>
      <c r="C137" s="130"/>
      <c r="D137" s="48">
        <v>130</v>
      </c>
      <c r="E137" s="87" t="s">
        <v>673</v>
      </c>
      <c r="F137" s="48" t="s">
        <v>25</v>
      </c>
      <c r="G137" s="48" t="s">
        <v>674</v>
      </c>
      <c r="H137" s="48" t="s">
        <v>9</v>
      </c>
      <c r="I137" s="48" t="s">
        <v>23</v>
      </c>
      <c r="J137" s="87"/>
      <c r="K137" s="88">
        <v>33969</v>
      </c>
      <c r="L137" s="100">
        <f t="shared" si="11"/>
        <v>1992</v>
      </c>
      <c r="M137" s="100">
        <f t="shared" si="10"/>
        <v>27</v>
      </c>
      <c r="N137" s="48" t="s">
        <v>11</v>
      </c>
      <c r="O137" s="48"/>
      <c r="P137" s="87" t="s">
        <v>12</v>
      </c>
      <c r="Q137" s="48"/>
      <c r="R137" s="87" t="s">
        <v>58</v>
      </c>
    </row>
    <row r="138" spans="2:18">
      <c r="B138" s="130"/>
      <c r="C138" s="130"/>
      <c r="D138" s="48">
        <v>131</v>
      </c>
      <c r="E138" s="87" t="s">
        <v>675</v>
      </c>
      <c r="F138" s="48" t="s">
        <v>25</v>
      </c>
      <c r="G138" s="48" t="s">
        <v>676</v>
      </c>
      <c r="H138" s="48" t="s">
        <v>9</v>
      </c>
      <c r="I138" s="48" t="s">
        <v>23</v>
      </c>
      <c r="J138" s="87"/>
      <c r="K138" s="88">
        <v>36891</v>
      </c>
      <c r="L138" s="100">
        <f t="shared" si="11"/>
        <v>2000</v>
      </c>
      <c r="M138" s="100">
        <f t="shared" si="10"/>
        <v>19</v>
      </c>
      <c r="N138" s="48" t="s">
        <v>11</v>
      </c>
      <c r="O138" s="48"/>
      <c r="P138" s="87" t="s">
        <v>33</v>
      </c>
      <c r="Q138" s="48"/>
      <c r="R138" s="87" t="s">
        <v>24</v>
      </c>
    </row>
    <row r="139" spans="2:18" ht="25.5">
      <c r="B139" s="130">
        <v>46</v>
      </c>
      <c r="C139" s="130" t="s">
        <v>1889</v>
      </c>
      <c r="D139" s="48">
        <v>132</v>
      </c>
      <c r="E139" s="87" t="s">
        <v>1890</v>
      </c>
      <c r="F139" s="48" t="s">
        <v>14</v>
      </c>
      <c r="G139" s="48" t="s">
        <v>677</v>
      </c>
      <c r="H139" s="48" t="s">
        <v>17</v>
      </c>
      <c r="I139" s="48" t="s">
        <v>1505</v>
      </c>
      <c r="J139" s="87" t="s">
        <v>1368</v>
      </c>
      <c r="K139" s="88">
        <v>17349</v>
      </c>
      <c r="L139" s="100">
        <v>1947</v>
      </c>
      <c r="M139" s="100">
        <f t="shared" si="10"/>
        <v>72</v>
      </c>
      <c r="N139" s="48" t="s">
        <v>11</v>
      </c>
      <c r="O139" s="48" t="s">
        <v>1369</v>
      </c>
      <c r="P139" s="87" t="s">
        <v>28</v>
      </c>
      <c r="Q139" s="48"/>
      <c r="R139" s="87" t="s">
        <v>1371</v>
      </c>
    </row>
    <row r="140" spans="2:18" ht="25.5">
      <c r="B140" s="130"/>
      <c r="C140" s="130"/>
      <c r="D140" s="48">
        <v>133</v>
      </c>
      <c r="E140" s="87" t="s">
        <v>678</v>
      </c>
      <c r="F140" s="48" t="s">
        <v>25</v>
      </c>
      <c r="G140" s="48" t="s">
        <v>679</v>
      </c>
      <c r="H140" s="48" t="s">
        <v>9</v>
      </c>
      <c r="I140" s="48" t="s">
        <v>23</v>
      </c>
      <c r="J140" s="87" t="s">
        <v>1368</v>
      </c>
      <c r="K140" s="88">
        <v>29220</v>
      </c>
      <c r="L140" s="100">
        <v>1979</v>
      </c>
      <c r="M140" s="100">
        <f t="shared" si="10"/>
        <v>40</v>
      </c>
      <c r="N140" s="48" t="s">
        <v>11</v>
      </c>
      <c r="O140" s="48" t="s">
        <v>1369</v>
      </c>
      <c r="P140" s="87" t="s">
        <v>28</v>
      </c>
      <c r="Q140" s="48"/>
      <c r="R140" s="87" t="s">
        <v>1371</v>
      </c>
    </row>
    <row r="141" spans="2:18" ht="25.5">
      <c r="B141" s="130"/>
      <c r="C141" s="130"/>
      <c r="D141" s="48">
        <v>134</v>
      </c>
      <c r="E141" s="87" t="s">
        <v>420</v>
      </c>
      <c r="F141" s="48" t="s">
        <v>25</v>
      </c>
      <c r="G141" s="48" t="s">
        <v>680</v>
      </c>
      <c r="H141" s="48" t="s">
        <v>9</v>
      </c>
      <c r="I141" s="48" t="s">
        <v>23</v>
      </c>
      <c r="J141" s="87" t="s">
        <v>1387</v>
      </c>
      <c r="K141" s="88">
        <v>32725</v>
      </c>
      <c r="L141" s="100">
        <v>1989</v>
      </c>
      <c r="M141" s="100">
        <f t="shared" si="10"/>
        <v>30</v>
      </c>
      <c r="N141" s="48" t="s">
        <v>11</v>
      </c>
      <c r="O141" s="48" t="s">
        <v>1369</v>
      </c>
      <c r="P141" s="87" t="s">
        <v>33</v>
      </c>
      <c r="Q141" s="48"/>
      <c r="R141" s="87" t="s">
        <v>1371</v>
      </c>
    </row>
    <row r="142" spans="2:18">
      <c r="B142" s="130">
        <v>47</v>
      </c>
      <c r="C142" s="130"/>
      <c r="D142" s="48">
        <v>135</v>
      </c>
      <c r="E142" s="87" t="s">
        <v>513</v>
      </c>
      <c r="F142" s="48" t="s">
        <v>14</v>
      </c>
      <c r="G142" s="48" t="s">
        <v>681</v>
      </c>
      <c r="H142" s="48" t="s">
        <v>9</v>
      </c>
      <c r="I142" s="48" t="s">
        <v>10</v>
      </c>
      <c r="J142" s="87"/>
      <c r="K142" s="88">
        <v>32863</v>
      </c>
      <c r="L142" s="100">
        <f t="shared" ref="L142:L146" si="12">YEAR(K142)</f>
        <v>1989</v>
      </c>
      <c r="M142" s="100">
        <f t="shared" si="10"/>
        <v>30</v>
      </c>
      <c r="N142" s="48" t="s">
        <v>11</v>
      </c>
      <c r="O142" s="48"/>
      <c r="P142" s="87" t="s">
        <v>28</v>
      </c>
      <c r="Q142" s="48"/>
      <c r="R142" s="87" t="s">
        <v>24</v>
      </c>
    </row>
    <row r="143" spans="2:18">
      <c r="B143" s="130"/>
      <c r="C143" s="130"/>
      <c r="D143" s="48">
        <v>136</v>
      </c>
      <c r="E143" s="87" t="s">
        <v>682</v>
      </c>
      <c r="F143" s="48" t="s">
        <v>20</v>
      </c>
      <c r="G143" s="48" t="s">
        <v>683</v>
      </c>
      <c r="H143" s="48" t="s">
        <v>17</v>
      </c>
      <c r="I143" s="48" t="s">
        <v>10</v>
      </c>
      <c r="J143" s="87"/>
      <c r="K143" s="88">
        <v>34033</v>
      </c>
      <c r="L143" s="100">
        <f t="shared" si="12"/>
        <v>1993</v>
      </c>
      <c r="M143" s="100">
        <f t="shared" si="10"/>
        <v>26</v>
      </c>
      <c r="N143" s="48" t="s">
        <v>11</v>
      </c>
      <c r="O143" s="48"/>
      <c r="P143" s="87" t="s">
        <v>33</v>
      </c>
      <c r="Q143" s="48"/>
      <c r="R143" s="87" t="s">
        <v>24</v>
      </c>
    </row>
    <row r="144" spans="2:18" ht="25.5">
      <c r="B144" s="130"/>
      <c r="C144" s="130"/>
      <c r="D144" s="48">
        <v>137</v>
      </c>
      <c r="E144" s="87" t="s">
        <v>684</v>
      </c>
      <c r="F144" s="48" t="s">
        <v>25</v>
      </c>
      <c r="G144" s="48" t="s">
        <v>685</v>
      </c>
      <c r="H144" s="48" t="s">
        <v>9</v>
      </c>
      <c r="I144" s="48" t="s">
        <v>23</v>
      </c>
      <c r="J144" s="87"/>
      <c r="K144" s="88">
        <v>40355</v>
      </c>
      <c r="L144" s="100">
        <f t="shared" si="12"/>
        <v>2010</v>
      </c>
      <c r="M144" s="100">
        <f t="shared" si="10"/>
        <v>9</v>
      </c>
      <c r="N144" s="48" t="s">
        <v>11</v>
      </c>
      <c r="O144" s="48"/>
      <c r="P144" s="87" t="s">
        <v>18</v>
      </c>
      <c r="Q144" s="48"/>
      <c r="R144" s="87" t="s">
        <v>18</v>
      </c>
    </row>
    <row r="145" spans="2:18">
      <c r="B145" s="130">
        <v>48</v>
      </c>
      <c r="C145" s="130"/>
      <c r="D145" s="48">
        <v>138</v>
      </c>
      <c r="E145" s="87" t="s">
        <v>686</v>
      </c>
      <c r="F145" s="48" t="s">
        <v>14</v>
      </c>
      <c r="G145" s="48">
        <v>0</v>
      </c>
      <c r="H145" s="48" t="s">
        <v>9</v>
      </c>
      <c r="I145" s="48" t="s">
        <v>10</v>
      </c>
      <c r="J145" s="87"/>
      <c r="K145" s="88">
        <v>31229</v>
      </c>
      <c r="L145" s="100">
        <f t="shared" si="12"/>
        <v>1985</v>
      </c>
      <c r="M145" s="100">
        <f t="shared" si="10"/>
        <v>34</v>
      </c>
      <c r="N145" s="48" t="s">
        <v>11</v>
      </c>
      <c r="O145" s="48"/>
      <c r="P145" s="87" t="s">
        <v>33</v>
      </c>
      <c r="Q145" s="48"/>
      <c r="R145" s="87" t="s">
        <v>49</v>
      </c>
    </row>
    <row r="146" spans="2:18">
      <c r="B146" s="130"/>
      <c r="C146" s="130"/>
      <c r="D146" s="48">
        <v>139</v>
      </c>
      <c r="E146" s="101" t="s">
        <v>687</v>
      </c>
      <c r="F146" s="56" t="s">
        <v>20</v>
      </c>
      <c r="G146" s="56">
        <v>0</v>
      </c>
      <c r="H146" s="56" t="s">
        <v>17</v>
      </c>
      <c r="I146" s="56" t="s">
        <v>10</v>
      </c>
      <c r="J146" s="87"/>
      <c r="K146" s="102">
        <v>31959</v>
      </c>
      <c r="L146" s="100">
        <f t="shared" si="12"/>
        <v>1987</v>
      </c>
      <c r="M146" s="100">
        <f t="shared" si="10"/>
        <v>32</v>
      </c>
      <c r="N146" s="56" t="s">
        <v>11</v>
      </c>
      <c r="O146" s="48"/>
      <c r="P146" s="101" t="s">
        <v>12</v>
      </c>
      <c r="Q146" s="48"/>
      <c r="R146" s="101" t="s">
        <v>124</v>
      </c>
    </row>
    <row r="147" spans="2:18" ht="25.5">
      <c r="B147" s="130">
        <v>49</v>
      </c>
      <c r="C147" s="130" t="s">
        <v>1464</v>
      </c>
      <c r="D147" s="48">
        <v>140</v>
      </c>
      <c r="E147" s="87" t="s">
        <v>546</v>
      </c>
      <c r="F147" s="48" t="s">
        <v>14</v>
      </c>
      <c r="G147" s="48" t="s">
        <v>688</v>
      </c>
      <c r="H147" s="48" t="s">
        <v>9</v>
      </c>
      <c r="I147" s="48" t="s">
        <v>10</v>
      </c>
      <c r="J147" s="87" t="s">
        <v>1368</v>
      </c>
      <c r="K147" s="88">
        <v>26374</v>
      </c>
      <c r="L147" s="100">
        <v>1972</v>
      </c>
      <c r="M147" s="100">
        <f t="shared" si="10"/>
        <v>47</v>
      </c>
      <c r="N147" s="48" t="s">
        <v>11</v>
      </c>
      <c r="O147" s="48" t="s">
        <v>1369</v>
      </c>
      <c r="P147" s="87" t="s">
        <v>1425</v>
      </c>
      <c r="Q147" s="48"/>
      <c r="R147" s="87" t="s">
        <v>1371</v>
      </c>
    </row>
    <row r="148" spans="2:18" ht="25.5">
      <c r="B148" s="130"/>
      <c r="C148" s="130"/>
      <c r="D148" s="48">
        <v>141</v>
      </c>
      <c r="E148" s="87" t="s">
        <v>208</v>
      </c>
      <c r="F148" s="48" t="s">
        <v>20</v>
      </c>
      <c r="G148" s="48" t="s">
        <v>689</v>
      </c>
      <c r="H148" s="48" t="s">
        <v>17</v>
      </c>
      <c r="I148" s="48" t="s">
        <v>10</v>
      </c>
      <c r="J148" s="87" t="s">
        <v>1368</v>
      </c>
      <c r="K148" s="88">
        <v>29102</v>
      </c>
      <c r="L148" s="100">
        <v>1979</v>
      </c>
      <c r="M148" s="100">
        <f t="shared" si="10"/>
        <v>40</v>
      </c>
      <c r="N148" s="48" t="s">
        <v>11</v>
      </c>
      <c r="O148" s="48" t="s">
        <v>1369</v>
      </c>
      <c r="P148" s="87" t="s">
        <v>1425</v>
      </c>
      <c r="Q148" s="48"/>
      <c r="R148" s="87" t="s">
        <v>1373</v>
      </c>
    </row>
    <row r="149" spans="2:18" ht="25.5">
      <c r="B149" s="130"/>
      <c r="C149" s="130"/>
      <c r="D149" s="48">
        <v>142</v>
      </c>
      <c r="E149" s="87" t="s">
        <v>1465</v>
      </c>
      <c r="F149" s="48" t="s">
        <v>25</v>
      </c>
      <c r="G149" s="48" t="s">
        <v>690</v>
      </c>
      <c r="H149" s="48" t="s">
        <v>9</v>
      </c>
      <c r="I149" s="48" t="s">
        <v>23</v>
      </c>
      <c r="J149" s="87" t="s">
        <v>1368</v>
      </c>
      <c r="K149" s="88">
        <v>37496</v>
      </c>
      <c r="L149" s="100">
        <v>2002</v>
      </c>
      <c r="M149" s="100">
        <f t="shared" si="10"/>
        <v>17</v>
      </c>
      <c r="N149" s="48" t="s">
        <v>11</v>
      </c>
      <c r="O149" s="48" t="s">
        <v>1369</v>
      </c>
      <c r="P149" s="87" t="s">
        <v>1393</v>
      </c>
      <c r="Q149" s="48"/>
      <c r="R149" s="87" t="s">
        <v>1376</v>
      </c>
    </row>
    <row r="150" spans="2:18" ht="25.5">
      <c r="B150" s="130"/>
      <c r="C150" s="130"/>
      <c r="D150" s="48">
        <v>143</v>
      </c>
      <c r="E150" s="87" t="s">
        <v>691</v>
      </c>
      <c r="F150" s="48" t="s">
        <v>1457</v>
      </c>
      <c r="G150" s="48" t="s">
        <v>692</v>
      </c>
      <c r="H150" s="48" t="s">
        <v>17</v>
      </c>
      <c r="I150" s="48" t="s">
        <v>23</v>
      </c>
      <c r="J150" s="87" t="s">
        <v>1368</v>
      </c>
      <c r="K150" s="88">
        <v>39579</v>
      </c>
      <c r="L150" s="100">
        <v>2008</v>
      </c>
      <c r="M150" s="100">
        <f t="shared" si="10"/>
        <v>11</v>
      </c>
      <c r="N150" s="48" t="s">
        <v>11</v>
      </c>
      <c r="O150" s="48" t="s">
        <v>1369</v>
      </c>
      <c r="P150" s="87" t="s">
        <v>1425</v>
      </c>
      <c r="Q150" s="48"/>
      <c r="R150" s="87" t="s">
        <v>1389</v>
      </c>
    </row>
    <row r="151" spans="2:18" ht="25.5">
      <c r="B151" s="130">
        <v>50</v>
      </c>
      <c r="C151" s="130" t="s">
        <v>1536</v>
      </c>
      <c r="D151" s="48">
        <v>144</v>
      </c>
      <c r="E151" s="87" t="s">
        <v>1537</v>
      </c>
      <c r="F151" s="48" t="s">
        <v>14</v>
      </c>
      <c r="G151" s="48" t="s">
        <v>693</v>
      </c>
      <c r="H151" s="48" t="s">
        <v>17</v>
      </c>
      <c r="I151" s="48" t="s">
        <v>1448</v>
      </c>
      <c r="J151" s="87" t="s">
        <v>1368</v>
      </c>
      <c r="K151" s="88">
        <v>28155</v>
      </c>
      <c r="L151" s="100">
        <v>1977</v>
      </c>
      <c r="M151" s="100">
        <f t="shared" si="10"/>
        <v>42</v>
      </c>
      <c r="N151" s="48" t="s">
        <v>11</v>
      </c>
      <c r="O151" s="48" t="s">
        <v>1369</v>
      </c>
      <c r="P151" s="87" t="s">
        <v>1393</v>
      </c>
      <c r="Q151" s="48"/>
      <c r="R151" s="87" t="s">
        <v>49</v>
      </c>
    </row>
    <row r="152" spans="2:18" ht="25.5">
      <c r="B152" s="130"/>
      <c r="C152" s="130"/>
      <c r="D152" s="48">
        <v>145</v>
      </c>
      <c r="E152" s="87" t="s">
        <v>694</v>
      </c>
      <c r="F152" s="48" t="s">
        <v>25</v>
      </c>
      <c r="G152" s="48" t="s">
        <v>695</v>
      </c>
      <c r="H152" s="48" t="s">
        <v>17</v>
      </c>
      <c r="I152" s="48" t="s">
        <v>23</v>
      </c>
      <c r="J152" s="87" t="s">
        <v>1387</v>
      </c>
      <c r="K152" s="88">
        <v>36404</v>
      </c>
      <c r="L152" s="100">
        <v>1999</v>
      </c>
      <c r="M152" s="100">
        <f t="shared" si="10"/>
        <v>20</v>
      </c>
      <c r="N152" s="48" t="s">
        <v>11</v>
      </c>
      <c r="O152" s="48" t="s">
        <v>1369</v>
      </c>
      <c r="P152" s="87" t="s">
        <v>1388</v>
      </c>
      <c r="Q152" s="48"/>
      <c r="R152" s="87" t="s">
        <v>1376</v>
      </c>
    </row>
    <row r="153" spans="2:18">
      <c r="B153" s="130">
        <v>51</v>
      </c>
      <c r="C153" s="130"/>
      <c r="D153" s="48">
        <v>146</v>
      </c>
      <c r="E153" s="87" t="s">
        <v>698</v>
      </c>
      <c r="F153" s="48" t="s">
        <v>14</v>
      </c>
      <c r="G153" s="48" t="s">
        <v>699</v>
      </c>
      <c r="H153" s="48" t="s">
        <v>9</v>
      </c>
      <c r="I153" s="48" t="s">
        <v>10</v>
      </c>
      <c r="J153" s="87"/>
      <c r="K153" s="88">
        <v>27610</v>
      </c>
      <c r="L153" s="100">
        <f t="shared" ref="L153:L160" si="13">YEAR(K153)</f>
        <v>1975</v>
      </c>
      <c r="M153" s="100">
        <f t="shared" si="10"/>
        <v>44</v>
      </c>
      <c r="N153" s="48" t="s">
        <v>11</v>
      </c>
      <c r="O153" s="48"/>
      <c r="P153" s="87" t="s">
        <v>18</v>
      </c>
      <c r="Q153" s="48"/>
      <c r="R153" s="87" t="s">
        <v>58</v>
      </c>
    </row>
    <row r="154" spans="2:18">
      <c r="B154" s="130"/>
      <c r="C154" s="130"/>
      <c r="D154" s="48">
        <v>147</v>
      </c>
      <c r="E154" s="87" t="s">
        <v>700</v>
      </c>
      <c r="F154" s="48" t="s">
        <v>20</v>
      </c>
      <c r="G154" s="48" t="s">
        <v>701</v>
      </c>
      <c r="H154" s="48" t="s">
        <v>17</v>
      </c>
      <c r="I154" s="48" t="s">
        <v>10</v>
      </c>
      <c r="J154" s="87"/>
      <c r="K154" s="88">
        <v>25203</v>
      </c>
      <c r="L154" s="100">
        <f t="shared" si="13"/>
        <v>1968</v>
      </c>
      <c r="M154" s="100">
        <f t="shared" si="10"/>
        <v>51</v>
      </c>
      <c r="N154" s="48" t="s">
        <v>11</v>
      </c>
      <c r="O154" s="48"/>
      <c r="P154" s="87" t="s">
        <v>18</v>
      </c>
      <c r="Q154" s="48"/>
      <c r="R154" s="87" t="s">
        <v>49</v>
      </c>
    </row>
    <row r="155" spans="2:18">
      <c r="B155" s="130"/>
      <c r="C155" s="130"/>
      <c r="D155" s="48">
        <v>148</v>
      </c>
      <c r="E155" s="87" t="s">
        <v>702</v>
      </c>
      <c r="F155" s="48" t="s">
        <v>25</v>
      </c>
      <c r="G155" s="48" t="s">
        <v>703</v>
      </c>
      <c r="H155" s="48" t="s">
        <v>9</v>
      </c>
      <c r="I155" s="48" t="s">
        <v>23</v>
      </c>
      <c r="J155" s="87"/>
      <c r="K155" s="88">
        <v>37045</v>
      </c>
      <c r="L155" s="100">
        <f t="shared" si="13"/>
        <v>2001</v>
      </c>
      <c r="M155" s="100">
        <f t="shared" si="10"/>
        <v>18</v>
      </c>
      <c r="N155" s="48" t="s">
        <v>11</v>
      </c>
      <c r="O155" s="48"/>
      <c r="P155" s="87" t="s">
        <v>33</v>
      </c>
      <c r="Q155" s="48"/>
      <c r="R155" s="87" t="s">
        <v>18</v>
      </c>
    </row>
    <row r="156" spans="2:18">
      <c r="B156" s="130">
        <v>52</v>
      </c>
      <c r="C156" s="130"/>
      <c r="D156" s="48">
        <v>149</v>
      </c>
      <c r="E156" s="87" t="s">
        <v>704</v>
      </c>
      <c r="F156" s="48" t="s">
        <v>14</v>
      </c>
      <c r="G156" s="48">
        <v>0</v>
      </c>
      <c r="H156" s="48" t="s">
        <v>9</v>
      </c>
      <c r="I156" s="48" t="s">
        <v>10</v>
      </c>
      <c r="J156" s="87"/>
      <c r="K156" s="88">
        <v>14793</v>
      </c>
      <c r="L156" s="100">
        <f t="shared" si="13"/>
        <v>1940</v>
      </c>
      <c r="M156" s="100">
        <f t="shared" si="10"/>
        <v>79</v>
      </c>
      <c r="N156" s="48" t="s">
        <v>11</v>
      </c>
      <c r="O156" s="48"/>
      <c r="P156" s="87" t="s">
        <v>18</v>
      </c>
      <c r="Q156" s="48"/>
      <c r="R156" s="87" t="s">
        <v>58</v>
      </c>
    </row>
    <row r="157" spans="2:18">
      <c r="B157" s="130"/>
      <c r="C157" s="130"/>
      <c r="D157" s="48">
        <v>150</v>
      </c>
      <c r="E157" s="87" t="s">
        <v>548</v>
      </c>
      <c r="F157" s="48" t="s">
        <v>20</v>
      </c>
      <c r="G157" s="48">
        <v>0</v>
      </c>
      <c r="H157" s="48" t="s">
        <v>17</v>
      </c>
      <c r="I157" s="48" t="s">
        <v>10</v>
      </c>
      <c r="J157" s="87"/>
      <c r="K157" s="88">
        <v>22098</v>
      </c>
      <c r="L157" s="100">
        <f t="shared" si="13"/>
        <v>1960</v>
      </c>
      <c r="M157" s="100">
        <f t="shared" si="10"/>
        <v>59</v>
      </c>
      <c r="N157" s="48" t="s">
        <v>11</v>
      </c>
      <c r="O157" s="48"/>
      <c r="P157" s="87" t="s">
        <v>18</v>
      </c>
      <c r="Q157" s="48"/>
      <c r="R157" s="87" t="s">
        <v>124</v>
      </c>
    </row>
    <row r="158" spans="2:18">
      <c r="B158" s="130">
        <v>53</v>
      </c>
      <c r="C158" s="130"/>
      <c r="D158" s="48">
        <v>151</v>
      </c>
      <c r="E158" s="87" t="s">
        <v>705</v>
      </c>
      <c r="F158" s="48" t="s">
        <v>14</v>
      </c>
      <c r="G158" s="48" t="s">
        <v>706</v>
      </c>
      <c r="H158" s="48" t="s">
        <v>9</v>
      </c>
      <c r="I158" s="48" t="s">
        <v>10</v>
      </c>
      <c r="J158" s="87"/>
      <c r="K158" s="88">
        <v>31736</v>
      </c>
      <c r="L158" s="100">
        <f t="shared" si="13"/>
        <v>1986</v>
      </c>
      <c r="M158" s="100">
        <f t="shared" si="10"/>
        <v>33</v>
      </c>
      <c r="N158" s="48" t="s">
        <v>11</v>
      </c>
      <c r="O158" s="48"/>
      <c r="P158" s="87" t="s">
        <v>33</v>
      </c>
      <c r="Q158" s="48"/>
      <c r="R158" s="87" t="s">
        <v>49</v>
      </c>
    </row>
    <row r="159" spans="2:18">
      <c r="B159" s="130"/>
      <c r="C159" s="130"/>
      <c r="D159" s="48">
        <v>152</v>
      </c>
      <c r="E159" s="87" t="s">
        <v>707</v>
      </c>
      <c r="F159" s="48" t="s">
        <v>20</v>
      </c>
      <c r="G159" s="48" t="s">
        <v>708</v>
      </c>
      <c r="H159" s="48" t="s">
        <v>17</v>
      </c>
      <c r="I159" s="48" t="s">
        <v>10</v>
      </c>
      <c r="J159" s="87"/>
      <c r="K159" s="88">
        <v>34793</v>
      </c>
      <c r="L159" s="100">
        <f t="shared" si="13"/>
        <v>1995</v>
      </c>
      <c r="M159" s="100">
        <f t="shared" si="10"/>
        <v>24</v>
      </c>
      <c r="N159" s="48" t="s">
        <v>11</v>
      </c>
      <c r="O159" s="48"/>
      <c r="P159" s="87" t="s">
        <v>33</v>
      </c>
      <c r="Q159" s="48"/>
      <c r="R159" s="87" t="s">
        <v>124</v>
      </c>
    </row>
    <row r="160" spans="2:18" ht="25.5">
      <c r="B160" s="130"/>
      <c r="C160" s="130"/>
      <c r="D160" s="48">
        <v>153</v>
      </c>
      <c r="E160" s="87" t="s">
        <v>709</v>
      </c>
      <c r="F160" s="48" t="s">
        <v>25</v>
      </c>
      <c r="G160" s="48" t="s">
        <v>710</v>
      </c>
      <c r="H160" s="48" t="s">
        <v>9</v>
      </c>
      <c r="I160" s="48" t="s">
        <v>23</v>
      </c>
      <c r="J160" s="87"/>
      <c r="K160" s="88">
        <v>41541</v>
      </c>
      <c r="L160" s="100">
        <f t="shared" si="13"/>
        <v>2013</v>
      </c>
      <c r="M160" s="100">
        <f t="shared" si="10"/>
        <v>6</v>
      </c>
      <c r="N160" s="48" t="s">
        <v>11</v>
      </c>
      <c r="O160" s="48"/>
      <c r="P160" s="87" t="s">
        <v>18</v>
      </c>
      <c r="Q160" s="48"/>
      <c r="R160" s="87" t="s">
        <v>18</v>
      </c>
    </row>
    <row r="161" spans="2:18" ht="25.5">
      <c r="B161" s="130">
        <v>54</v>
      </c>
      <c r="C161" s="130" t="s">
        <v>1833</v>
      </c>
      <c r="D161" s="48">
        <v>154</v>
      </c>
      <c r="E161" s="87" t="s">
        <v>711</v>
      </c>
      <c r="F161" s="48" t="s">
        <v>14</v>
      </c>
      <c r="G161" s="48" t="s">
        <v>712</v>
      </c>
      <c r="H161" s="48" t="s">
        <v>9</v>
      </c>
      <c r="I161" s="48" t="s">
        <v>10</v>
      </c>
      <c r="J161" s="87" t="s">
        <v>1387</v>
      </c>
      <c r="K161" s="88">
        <v>21915</v>
      </c>
      <c r="L161" s="100">
        <v>1959</v>
      </c>
      <c r="M161" s="100">
        <f t="shared" ref="M161:M201" si="14">2019-L161</f>
        <v>60</v>
      </c>
      <c r="N161" s="48" t="s">
        <v>11</v>
      </c>
      <c r="O161" s="48" t="s">
        <v>1369</v>
      </c>
      <c r="P161" s="87" t="s">
        <v>1425</v>
      </c>
      <c r="Q161" s="48"/>
      <c r="R161" s="87" t="s">
        <v>49</v>
      </c>
    </row>
    <row r="162" spans="2:18" ht="25.5">
      <c r="B162" s="130"/>
      <c r="C162" s="130"/>
      <c r="D162" s="48">
        <v>155</v>
      </c>
      <c r="E162" s="87" t="s">
        <v>1834</v>
      </c>
      <c r="F162" s="48" t="s">
        <v>20</v>
      </c>
      <c r="G162" s="48" t="s">
        <v>713</v>
      </c>
      <c r="H162" s="48" t="s">
        <v>17</v>
      </c>
      <c r="I162" s="48" t="s">
        <v>10</v>
      </c>
      <c r="J162" s="87" t="s">
        <v>1387</v>
      </c>
      <c r="K162" s="88">
        <v>22281</v>
      </c>
      <c r="L162" s="100">
        <v>1960</v>
      </c>
      <c r="M162" s="100">
        <f t="shared" si="14"/>
        <v>59</v>
      </c>
      <c r="N162" s="48" t="s">
        <v>11</v>
      </c>
      <c r="O162" s="48" t="s">
        <v>1369</v>
      </c>
      <c r="P162" s="87" t="s">
        <v>1425</v>
      </c>
      <c r="Q162" s="48"/>
      <c r="R162" s="87" t="s">
        <v>1373</v>
      </c>
    </row>
    <row r="163" spans="2:18" ht="25.5">
      <c r="B163" s="130"/>
      <c r="C163" s="130"/>
      <c r="D163" s="48">
        <v>156</v>
      </c>
      <c r="E163" s="87" t="s">
        <v>714</v>
      </c>
      <c r="F163" s="48" t="s">
        <v>25</v>
      </c>
      <c r="G163" s="48" t="s">
        <v>1835</v>
      </c>
      <c r="H163" s="48" t="s">
        <v>9</v>
      </c>
      <c r="I163" s="48" t="s">
        <v>23</v>
      </c>
      <c r="J163" s="87" t="s">
        <v>1387</v>
      </c>
      <c r="K163" s="88">
        <v>34776</v>
      </c>
      <c r="L163" s="100">
        <v>1995</v>
      </c>
      <c r="M163" s="100">
        <f t="shared" si="14"/>
        <v>24</v>
      </c>
      <c r="N163" s="48" t="s">
        <v>11</v>
      </c>
      <c r="O163" s="48" t="s">
        <v>1369</v>
      </c>
      <c r="P163" s="87" t="s">
        <v>12</v>
      </c>
      <c r="Q163" s="48"/>
      <c r="R163" s="87" t="s">
        <v>1376</v>
      </c>
    </row>
    <row r="164" spans="2:18">
      <c r="B164" s="130">
        <v>55</v>
      </c>
      <c r="C164" s="130"/>
      <c r="D164" s="48">
        <v>157</v>
      </c>
      <c r="E164" s="87" t="s">
        <v>715</v>
      </c>
      <c r="F164" s="48" t="s">
        <v>14</v>
      </c>
      <c r="G164" s="48" t="s">
        <v>716</v>
      </c>
      <c r="H164" s="48" t="s">
        <v>9</v>
      </c>
      <c r="I164" s="48" t="s">
        <v>10</v>
      </c>
      <c r="J164" s="87"/>
      <c r="K164" s="88">
        <v>31813</v>
      </c>
      <c r="L164" s="100">
        <f t="shared" ref="L164:L166" si="15">YEAR(K164)</f>
        <v>1987</v>
      </c>
      <c r="M164" s="100">
        <f t="shared" si="14"/>
        <v>32</v>
      </c>
      <c r="N164" s="48" t="s">
        <v>11</v>
      </c>
      <c r="O164" s="48"/>
      <c r="P164" s="87" t="s">
        <v>28</v>
      </c>
      <c r="Q164" s="48"/>
      <c r="R164" s="87" t="s">
        <v>58</v>
      </c>
    </row>
    <row r="165" spans="2:18">
      <c r="B165" s="130"/>
      <c r="C165" s="130"/>
      <c r="D165" s="48">
        <v>158</v>
      </c>
      <c r="E165" s="87" t="s">
        <v>717</v>
      </c>
      <c r="F165" s="48" t="s">
        <v>20</v>
      </c>
      <c r="G165" s="48" t="s">
        <v>718</v>
      </c>
      <c r="H165" s="48" t="s">
        <v>17</v>
      </c>
      <c r="I165" s="48" t="s">
        <v>10</v>
      </c>
      <c r="J165" s="87"/>
      <c r="K165" s="88">
        <v>31361</v>
      </c>
      <c r="L165" s="100">
        <f t="shared" si="15"/>
        <v>1985</v>
      </c>
      <c r="M165" s="100">
        <f t="shared" si="14"/>
        <v>34</v>
      </c>
      <c r="N165" s="48" t="s">
        <v>11</v>
      </c>
      <c r="O165" s="48"/>
      <c r="P165" s="87" t="s">
        <v>28</v>
      </c>
      <c r="Q165" s="48"/>
      <c r="R165" s="87" t="s">
        <v>58</v>
      </c>
    </row>
    <row r="166" spans="2:18">
      <c r="B166" s="130"/>
      <c r="C166" s="130"/>
      <c r="D166" s="48">
        <v>159</v>
      </c>
      <c r="E166" s="87" t="s">
        <v>719</v>
      </c>
      <c r="F166" s="48" t="s">
        <v>25</v>
      </c>
      <c r="G166" s="48" t="s">
        <v>720</v>
      </c>
      <c r="H166" s="48" t="s">
        <v>17</v>
      </c>
      <c r="I166" s="48" t="s">
        <v>23</v>
      </c>
      <c r="J166" s="87"/>
      <c r="K166" s="88">
        <v>41847</v>
      </c>
      <c r="L166" s="100">
        <f t="shared" si="15"/>
        <v>2014</v>
      </c>
      <c r="M166" s="100">
        <f t="shared" si="14"/>
        <v>5</v>
      </c>
      <c r="N166" s="48" t="s">
        <v>11</v>
      </c>
      <c r="O166" s="48"/>
      <c r="P166" s="87" t="s">
        <v>18</v>
      </c>
      <c r="Q166" s="48"/>
      <c r="R166" s="87" t="s">
        <v>18</v>
      </c>
    </row>
    <row r="167" spans="2:18" ht="25.5">
      <c r="B167" s="130">
        <v>56</v>
      </c>
      <c r="C167" s="130" t="s">
        <v>2132</v>
      </c>
      <c r="D167" s="48">
        <v>160</v>
      </c>
      <c r="E167" s="87" t="s">
        <v>721</v>
      </c>
      <c r="F167" s="48" t="s">
        <v>14</v>
      </c>
      <c r="G167" s="48" t="s">
        <v>722</v>
      </c>
      <c r="H167" s="48" t="s">
        <v>9</v>
      </c>
      <c r="I167" s="48" t="s">
        <v>10</v>
      </c>
      <c r="J167" s="87" t="s">
        <v>1387</v>
      </c>
      <c r="K167" s="88">
        <v>25827</v>
      </c>
      <c r="L167" s="100">
        <v>1970</v>
      </c>
      <c r="M167" s="100">
        <f t="shared" si="14"/>
        <v>49</v>
      </c>
      <c r="N167" s="48" t="s">
        <v>11</v>
      </c>
      <c r="O167" s="48" t="s">
        <v>1369</v>
      </c>
      <c r="P167" s="87" t="s">
        <v>1393</v>
      </c>
      <c r="Q167" s="48"/>
      <c r="R167" s="87" t="s">
        <v>1371</v>
      </c>
    </row>
    <row r="168" spans="2:18" ht="25.5">
      <c r="B168" s="130"/>
      <c r="C168" s="130"/>
      <c r="D168" s="48">
        <v>161</v>
      </c>
      <c r="E168" s="87" t="s">
        <v>723</v>
      </c>
      <c r="F168" s="48" t="s">
        <v>20</v>
      </c>
      <c r="G168" s="48" t="s">
        <v>2133</v>
      </c>
      <c r="H168" s="48" t="s">
        <v>17</v>
      </c>
      <c r="I168" s="48" t="s">
        <v>10</v>
      </c>
      <c r="J168" s="87" t="s">
        <v>1387</v>
      </c>
      <c r="K168" s="88">
        <v>28708</v>
      </c>
      <c r="L168" s="100">
        <v>1978</v>
      </c>
      <c r="M168" s="100">
        <f t="shared" si="14"/>
        <v>41</v>
      </c>
      <c r="N168" s="48" t="s">
        <v>11</v>
      </c>
      <c r="O168" s="48" t="s">
        <v>1369</v>
      </c>
      <c r="P168" s="87" t="s">
        <v>1375</v>
      </c>
      <c r="Q168" s="48"/>
      <c r="R168" s="87" t="s">
        <v>1371</v>
      </c>
    </row>
    <row r="169" spans="2:18" ht="25.5">
      <c r="B169" s="130"/>
      <c r="C169" s="130"/>
      <c r="D169" s="48">
        <v>162</v>
      </c>
      <c r="E169" s="87" t="s">
        <v>1057</v>
      </c>
      <c r="F169" s="48" t="s">
        <v>25</v>
      </c>
      <c r="G169" s="48" t="s">
        <v>2158</v>
      </c>
      <c r="H169" s="48" t="s">
        <v>17</v>
      </c>
      <c r="I169" s="48" t="s">
        <v>23</v>
      </c>
      <c r="J169" s="87" t="s">
        <v>1455</v>
      </c>
      <c r="K169" s="88">
        <v>36404</v>
      </c>
      <c r="L169" s="100">
        <v>1999</v>
      </c>
      <c r="M169" s="100">
        <f t="shared" si="14"/>
        <v>20</v>
      </c>
      <c r="N169" s="48" t="s">
        <v>11</v>
      </c>
      <c r="O169" s="48" t="s">
        <v>1369</v>
      </c>
      <c r="P169" s="87" t="s">
        <v>1385</v>
      </c>
      <c r="Q169" s="48"/>
      <c r="R169" s="87" t="s">
        <v>1376</v>
      </c>
    </row>
    <row r="170" spans="2:18" ht="25.5">
      <c r="B170" s="130">
        <v>57</v>
      </c>
      <c r="C170" s="130"/>
      <c r="D170" s="48">
        <v>163</v>
      </c>
      <c r="E170" s="87" t="s">
        <v>724</v>
      </c>
      <c r="F170" s="48" t="s">
        <v>14</v>
      </c>
      <c r="G170" s="48" t="s">
        <v>725</v>
      </c>
      <c r="H170" s="48" t="s">
        <v>9</v>
      </c>
      <c r="I170" s="48" t="s">
        <v>10</v>
      </c>
      <c r="J170" s="87"/>
      <c r="K170" s="88">
        <v>30296</v>
      </c>
      <c r="L170" s="100">
        <f t="shared" ref="L170:L175" si="16">YEAR(K170)</f>
        <v>1982</v>
      </c>
      <c r="M170" s="100">
        <f t="shared" si="14"/>
        <v>37</v>
      </c>
      <c r="N170" s="48" t="s">
        <v>11</v>
      </c>
      <c r="O170" s="48"/>
      <c r="P170" s="87" t="s">
        <v>33</v>
      </c>
      <c r="Q170" s="48"/>
      <c r="R170" s="87" t="s">
        <v>49</v>
      </c>
    </row>
    <row r="171" spans="2:18">
      <c r="B171" s="130"/>
      <c r="C171" s="130"/>
      <c r="D171" s="48">
        <v>164</v>
      </c>
      <c r="E171" s="87" t="s">
        <v>726</v>
      </c>
      <c r="F171" s="48" t="s">
        <v>20</v>
      </c>
      <c r="G171" s="48" t="s">
        <v>727</v>
      </c>
      <c r="H171" s="48" t="s">
        <v>17</v>
      </c>
      <c r="I171" s="48" t="s">
        <v>10</v>
      </c>
      <c r="J171" s="87"/>
      <c r="K171" s="88">
        <v>33603</v>
      </c>
      <c r="L171" s="100">
        <f t="shared" si="16"/>
        <v>1991</v>
      </c>
      <c r="M171" s="100">
        <f t="shared" si="14"/>
        <v>28</v>
      </c>
      <c r="N171" s="48" t="s">
        <v>11</v>
      </c>
      <c r="O171" s="48"/>
      <c r="P171" s="87" t="s">
        <v>33</v>
      </c>
      <c r="Q171" s="48"/>
      <c r="R171" s="87" t="s">
        <v>124</v>
      </c>
    </row>
    <row r="172" spans="2:18">
      <c r="B172" s="130"/>
      <c r="C172" s="130"/>
      <c r="D172" s="48">
        <v>165</v>
      </c>
      <c r="E172" s="87" t="s">
        <v>728</v>
      </c>
      <c r="F172" s="48" t="s">
        <v>25</v>
      </c>
      <c r="G172" s="48" t="s">
        <v>729</v>
      </c>
      <c r="H172" s="48" t="s">
        <v>17</v>
      </c>
      <c r="I172" s="48" t="s">
        <v>23</v>
      </c>
      <c r="J172" s="87"/>
      <c r="K172" s="88">
        <v>40758</v>
      </c>
      <c r="L172" s="100">
        <f t="shared" si="16"/>
        <v>2011</v>
      </c>
      <c r="M172" s="100">
        <f t="shared" si="14"/>
        <v>8</v>
      </c>
      <c r="N172" s="48" t="s">
        <v>11</v>
      </c>
      <c r="O172" s="48"/>
      <c r="P172" s="87" t="s">
        <v>18</v>
      </c>
      <c r="Q172" s="48"/>
      <c r="R172" s="87" t="s">
        <v>18</v>
      </c>
    </row>
    <row r="173" spans="2:18">
      <c r="B173" s="130"/>
      <c r="C173" s="130"/>
      <c r="D173" s="48">
        <v>166</v>
      </c>
      <c r="E173" s="87" t="s">
        <v>730</v>
      </c>
      <c r="F173" s="48" t="s">
        <v>25</v>
      </c>
      <c r="G173" s="48" t="s">
        <v>731</v>
      </c>
      <c r="H173" s="48" t="s">
        <v>17</v>
      </c>
      <c r="I173" s="48" t="s">
        <v>23</v>
      </c>
      <c r="J173" s="87"/>
      <c r="K173" s="88">
        <v>40758</v>
      </c>
      <c r="L173" s="100">
        <f t="shared" si="16"/>
        <v>2011</v>
      </c>
      <c r="M173" s="100">
        <f t="shared" si="14"/>
        <v>8</v>
      </c>
      <c r="N173" s="48" t="s">
        <v>11</v>
      </c>
      <c r="O173" s="48"/>
      <c r="P173" s="87" t="s">
        <v>18</v>
      </c>
      <c r="Q173" s="48"/>
      <c r="R173" s="87" t="s">
        <v>18</v>
      </c>
    </row>
    <row r="174" spans="2:18">
      <c r="B174" s="130"/>
      <c r="C174" s="130"/>
      <c r="D174" s="48">
        <v>167</v>
      </c>
      <c r="E174" s="87" t="s">
        <v>732</v>
      </c>
      <c r="F174" s="48" t="s">
        <v>25</v>
      </c>
      <c r="G174" s="48">
        <v>0</v>
      </c>
      <c r="H174" s="48" t="s">
        <v>17</v>
      </c>
      <c r="I174" s="48" t="s">
        <v>23</v>
      </c>
      <c r="J174" s="87"/>
      <c r="K174" s="88">
        <v>41718</v>
      </c>
      <c r="L174" s="100">
        <f t="shared" si="16"/>
        <v>2014</v>
      </c>
      <c r="M174" s="100">
        <f t="shared" si="14"/>
        <v>5</v>
      </c>
      <c r="N174" s="48" t="s">
        <v>11</v>
      </c>
      <c r="O174" s="48"/>
      <c r="P174" s="87" t="s">
        <v>18</v>
      </c>
      <c r="Q174" s="48"/>
      <c r="R174" s="87" t="s">
        <v>18</v>
      </c>
    </row>
    <row r="175" spans="2:18">
      <c r="B175" s="130"/>
      <c r="C175" s="130"/>
      <c r="D175" s="48">
        <v>168</v>
      </c>
      <c r="E175" s="87" t="s">
        <v>733</v>
      </c>
      <c r="F175" s="48" t="s">
        <v>391</v>
      </c>
      <c r="G175" s="48">
        <v>0</v>
      </c>
      <c r="H175" s="48" t="s">
        <v>17</v>
      </c>
      <c r="I175" s="48" t="s">
        <v>23</v>
      </c>
      <c r="J175" s="87"/>
      <c r="K175" s="88">
        <v>25750</v>
      </c>
      <c r="L175" s="100">
        <f t="shared" si="16"/>
        <v>1970</v>
      </c>
      <c r="M175" s="100">
        <f t="shared" si="14"/>
        <v>49</v>
      </c>
      <c r="N175" s="48" t="s">
        <v>11</v>
      </c>
      <c r="O175" s="48"/>
      <c r="P175" s="87" t="s">
        <v>18</v>
      </c>
      <c r="Q175" s="48"/>
      <c r="R175" s="87" t="s">
        <v>18</v>
      </c>
    </row>
    <row r="176" spans="2:18" ht="25.5">
      <c r="B176" s="130">
        <v>58</v>
      </c>
      <c r="C176" s="130" t="s">
        <v>1850</v>
      </c>
      <c r="D176" s="48">
        <v>169</v>
      </c>
      <c r="E176" s="87" t="s">
        <v>1851</v>
      </c>
      <c r="F176" s="48" t="s">
        <v>14</v>
      </c>
      <c r="G176" s="48" t="s">
        <v>734</v>
      </c>
      <c r="H176" s="48" t="s">
        <v>9</v>
      </c>
      <c r="I176" s="48" t="s">
        <v>10</v>
      </c>
      <c r="J176" s="87" t="s">
        <v>1368</v>
      </c>
      <c r="K176" s="88">
        <v>19176</v>
      </c>
      <c r="L176" s="100">
        <v>1952</v>
      </c>
      <c r="M176" s="100">
        <f t="shared" si="14"/>
        <v>67</v>
      </c>
      <c r="N176" s="48" t="s">
        <v>11</v>
      </c>
      <c r="O176" s="48" t="s">
        <v>1369</v>
      </c>
      <c r="P176" s="87" t="s">
        <v>1393</v>
      </c>
      <c r="Q176" s="48"/>
      <c r="R176" s="87" t="s">
        <v>1460</v>
      </c>
    </row>
    <row r="177" spans="2:18" ht="25.5">
      <c r="B177" s="130"/>
      <c r="C177" s="130"/>
      <c r="D177" s="48">
        <v>170</v>
      </c>
      <c r="E177" s="87" t="s">
        <v>1852</v>
      </c>
      <c r="F177" s="48" t="s">
        <v>20</v>
      </c>
      <c r="G177" s="48" t="s">
        <v>735</v>
      </c>
      <c r="H177" s="48" t="s">
        <v>17</v>
      </c>
      <c r="I177" s="48" t="s">
        <v>10</v>
      </c>
      <c r="J177" s="87" t="s">
        <v>1368</v>
      </c>
      <c r="K177" s="88">
        <v>19541</v>
      </c>
      <c r="L177" s="100">
        <v>1953</v>
      </c>
      <c r="M177" s="100">
        <f t="shared" si="14"/>
        <v>66</v>
      </c>
      <c r="N177" s="48" t="s">
        <v>11</v>
      </c>
      <c r="O177" s="48" t="s">
        <v>1369</v>
      </c>
      <c r="P177" s="87" t="s">
        <v>1393</v>
      </c>
      <c r="Q177" s="48"/>
      <c r="R177" s="87" t="s">
        <v>1373</v>
      </c>
    </row>
    <row r="178" spans="2:18" ht="25.5">
      <c r="B178" s="130"/>
      <c r="C178" s="130"/>
      <c r="D178" s="48">
        <v>171</v>
      </c>
      <c r="E178" s="87" t="s">
        <v>1853</v>
      </c>
      <c r="F178" s="48" t="s">
        <v>25</v>
      </c>
      <c r="G178" s="48" t="s">
        <v>736</v>
      </c>
      <c r="H178" s="48" t="s">
        <v>17</v>
      </c>
      <c r="I178" s="48" t="s">
        <v>23</v>
      </c>
      <c r="J178" s="87" t="s">
        <v>1387</v>
      </c>
      <c r="K178" s="88">
        <v>30630</v>
      </c>
      <c r="L178" s="100">
        <v>1983</v>
      </c>
      <c r="M178" s="100">
        <f t="shared" si="14"/>
        <v>36</v>
      </c>
      <c r="N178" s="48" t="s">
        <v>11</v>
      </c>
      <c r="O178" s="48" t="s">
        <v>1369</v>
      </c>
      <c r="P178" s="87" t="s">
        <v>1393</v>
      </c>
      <c r="Q178" s="48"/>
      <c r="R178" s="87" t="s">
        <v>1373</v>
      </c>
    </row>
    <row r="179" spans="2:18">
      <c r="B179" s="130">
        <v>59</v>
      </c>
      <c r="C179" s="130"/>
      <c r="D179" s="48">
        <v>172</v>
      </c>
      <c r="E179" s="87" t="s">
        <v>737</v>
      </c>
      <c r="F179" s="48" t="s">
        <v>14</v>
      </c>
      <c r="G179" s="48" t="s">
        <v>738</v>
      </c>
      <c r="H179" s="48" t="s">
        <v>9</v>
      </c>
      <c r="I179" s="48" t="s">
        <v>10</v>
      </c>
      <c r="J179" s="87"/>
      <c r="K179" s="88">
        <v>31363</v>
      </c>
      <c r="L179" s="100">
        <f t="shared" ref="L179:L189" si="17">YEAR(K179)</f>
        <v>1985</v>
      </c>
      <c r="M179" s="100">
        <f t="shared" si="14"/>
        <v>34</v>
      </c>
      <c r="N179" s="48" t="s">
        <v>11</v>
      </c>
      <c r="O179" s="48"/>
      <c r="P179" s="87" t="s">
        <v>28</v>
      </c>
      <c r="Q179" s="48"/>
      <c r="R179" s="87" t="s">
        <v>49</v>
      </c>
    </row>
    <row r="180" spans="2:18">
      <c r="B180" s="130"/>
      <c r="C180" s="130"/>
      <c r="D180" s="48">
        <v>173</v>
      </c>
      <c r="E180" s="87" t="s">
        <v>739</v>
      </c>
      <c r="F180" s="48" t="s">
        <v>20</v>
      </c>
      <c r="G180" s="48" t="s">
        <v>740</v>
      </c>
      <c r="H180" s="48" t="s">
        <v>17</v>
      </c>
      <c r="I180" s="48" t="s">
        <v>10</v>
      </c>
      <c r="J180" s="87"/>
      <c r="K180" s="88">
        <v>31777</v>
      </c>
      <c r="L180" s="100">
        <f t="shared" si="17"/>
        <v>1986</v>
      </c>
      <c r="M180" s="100">
        <f t="shared" si="14"/>
        <v>33</v>
      </c>
      <c r="N180" s="48" t="s">
        <v>11</v>
      </c>
      <c r="O180" s="48"/>
      <c r="P180" s="87" t="s">
        <v>28</v>
      </c>
      <c r="Q180" s="48"/>
      <c r="R180" s="87" t="s">
        <v>124</v>
      </c>
    </row>
    <row r="181" spans="2:18" ht="25.5">
      <c r="B181" s="130"/>
      <c r="C181" s="130"/>
      <c r="D181" s="48">
        <v>174</v>
      </c>
      <c r="E181" s="87" t="s">
        <v>741</v>
      </c>
      <c r="F181" s="48" t="s">
        <v>25</v>
      </c>
      <c r="G181" s="48" t="s">
        <v>742</v>
      </c>
      <c r="H181" s="48" t="s">
        <v>17</v>
      </c>
      <c r="I181" s="48" t="s">
        <v>23</v>
      </c>
      <c r="J181" s="87"/>
      <c r="K181" s="88">
        <v>41162</v>
      </c>
      <c r="L181" s="100">
        <f t="shared" si="17"/>
        <v>2012</v>
      </c>
      <c r="M181" s="100">
        <f t="shared" si="14"/>
        <v>7</v>
      </c>
      <c r="N181" s="48" t="s">
        <v>11</v>
      </c>
      <c r="O181" s="48"/>
      <c r="P181" s="87" t="s">
        <v>18</v>
      </c>
      <c r="Q181" s="48"/>
      <c r="R181" s="87" t="s">
        <v>18</v>
      </c>
    </row>
    <row r="182" spans="2:18">
      <c r="B182" s="130">
        <v>60</v>
      </c>
      <c r="C182" s="130"/>
      <c r="D182" s="48">
        <v>175</v>
      </c>
      <c r="E182" s="87" t="s">
        <v>743</v>
      </c>
      <c r="F182" s="48" t="s">
        <v>14</v>
      </c>
      <c r="G182" s="48">
        <v>0</v>
      </c>
      <c r="H182" s="48" t="s">
        <v>9</v>
      </c>
      <c r="I182" s="48" t="s">
        <v>10</v>
      </c>
      <c r="J182" s="87"/>
      <c r="K182" s="88">
        <v>27759</v>
      </c>
      <c r="L182" s="100">
        <f t="shared" si="17"/>
        <v>1975</v>
      </c>
      <c r="M182" s="100">
        <f t="shared" si="14"/>
        <v>44</v>
      </c>
      <c r="N182" s="48" t="s">
        <v>11</v>
      </c>
      <c r="O182" s="48"/>
      <c r="P182" s="87" t="s">
        <v>28</v>
      </c>
      <c r="Q182" s="48"/>
      <c r="R182" s="87" t="s">
        <v>24</v>
      </c>
    </row>
    <row r="183" spans="2:18">
      <c r="B183" s="130"/>
      <c r="C183" s="130"/>
      <c r="D183" s="48">
        <v>176</v>
      </c>
      <c r="E183" s="87" t="s">
        <v>744</v>
      </c>
      <c r="F183" s="48" t="s">
        <v>20</v>
      </c>
      <c r="G183" s="48">
        <v>0</v>
      </c>
      <c r="H183" s="48" t="s">
        <v>17</v>
      </c>
      <c r="I183" s="48" t="s">
        <v>10</v>
      </c>
      <c r="J183" s="87"/>
      <c r="K183" s="88">
        <v>28125</v>
      </c>
      <c r="L183" s="100">
        <f t="shared" si="17"/>
        <v>1976</v>
      </c>
      <c r="M183" s="100">
        <f t="shared" si="14"/>
        <v>43</v>
      </c>
      <c r="N183" s="48" t="s">
        <v>11</v>
      </c>
      <c r="O183" s="48"/>
      <c r="P183" s="87" t="s">
        <v>28</v>
      </c>
      <c r="Q183" s="48"/>
      <c r="R183" s="87" t="s">
        <v>24</v>
      </c>
    </row>
    <row r="184" spans="2:18">
      <c r="B184" s="130"/>
      <c r="C184" s="130"/>
      <c r="D184" s="48">
        <v>177</v>
      </c>
      <c r="E184" s="87" t="s">
        <v>745</v>
      </c>
      <c r="F184" s="48" t="s">
        <v>747</v>
      </c>
      <c r="G184" s="48">
        <v>0</v>
      </c>
      <c r="H184" s="48" t="s">
        <v>9</v>
      </c>
      <c r="I184" s="48" t="s">
        <v>746</v>
      </c>
      <c r="J184" s="87"/>
      <c r="K184" s="88">
        <v>32142</v>
      </c>
      <c r="L184" s="100">
        <f t="shared" si="17"/>
        <v>1987</v>
      </c>
      <c r="M184" s="100">
        <f t="shared" si="14"/>
        <v>32</v>
      </c>
      <c r="N184" s="48" t="s">
        <v>11</v>
      </c>
      <c r="O184" s="48"/>
      <c r="P184" s="87" t="s">
        <v>28</v>
      </c>
      <c r="Q184" s="48"/>
      <c r="R184" s="87" t="s">
        <v>24</v>
      </c>
    </row>
    <row r="185" spans="2:18">
      <c r="B185" s="130"/>
      <c r="C185" s="130"/>
      <c r="D185" s="48">
        <v>178</v>
      </c>
      <c r="E185" s="87" t="s">
        <v>748</v>
      </c>
      <c r="F185" s="48" t="s">
        <v>25</v>
      </c>
      <c r="G185" s="48">
        <v>0</v>
      </c>
      <c r="H185" s="48" t="s">
        <v>9</v>
      </c>
      <c r="I185" s="48" t="s">
        <v>23</v>
      </c>
      <c r="J185" s="87"/>
      <c r="K185" s="88">
        <v>35064</v>
      </c>
      <c r="L185" s="100">
        <f t="shared" si="17"/>
        <v>1995</v>
      </c>
      <c r="M185" s="100">
        <f t="shared" si="14"/>
        <v>24</v>
      </c>
      <c r="N185" s="48" t="s">
        <v>11</v>
      </c>
      <c r="O185" s="48"/>
      <c r="P185" s="87" t="s">
        <v>28</v>
      </c>
      <c r="Q185" s="48"/>
      <c r="R185" s="87" t="s">
        <v>24</v>
      </c>
    </row>
    <row r="186" spans="2:18">
      <c r="B186" s="130">
        <v>61</v>
      </c>
      <c r="C186" s="130"/>
      <c r="D186" s="48">
        <v>179</v>
      </c>
      <c r="E186" s="87" t="s">
        <v>749</v>
      </c>
      <c r="F186" s="48" t="s">
        <v>14</v>
      </c>
      <c r="G186" s="48" t="s">
        <v>750</v>
      </c>
      <c r="H186" s="48" t="s">
        <v>9</v>
      </c>
      <c r="I186" s="48" t="s">
        <v>10</v>
      </c>
      <c r="J186" s="87"/>
      <c r="K186" s="88">
        <v>27211</v>
      </c>
      <c r="L186" s="100">
        <f t="shared" si="17"/>
        <v>1974</v>
      </c>
      <c r="M186" s="100">
        <f t="shared" si="14"/>
        <v>45</v>
      </c>
      <c r="N186" s="48" t="s">
        <v>11</v>
      </c>
      <c r="O186" s="48"/>
      <c r="P186" s="87" t="s">
        <v>28</v>
      </c>
      <c r="Q186" s="48"/>
      <c r="R186" s="87" t="s">
        <v>24</v>
      </c>
    </row>
    <row r="187" spans="2:18">
      <c r="B187" s="130"/>
      <c r="C187" s="130"/>
      <c r="D187" s="48">
        <v>180</v>
      </c>
      <c r="E187" s="87" t="s">
        <v>751</v>
      </c>
      <c r="F187" s="48" t="s">
        <v>20</v>
      </c>
      <c r="G187" s="48">
        <v>0</v>
      </c>
      <c r="H187" s="48" t="s">
        <v>17</v>
      </c>
      <c r="I187" s="48" t="s">
        <v>10</v>
      </c>
      <c r="J187" s="87"/>
      <c r="K187" s="88">
        <v>34881</v>
      </c>
      <c r="L187" s="100">
        <f t="shared" si="17"/>
        <v>1995</v>
      </c>
      <c r="M187" s="100">
        <f t="shared" si="14"/>
        <v>24</v>
      </c>
      <c r="N187" s="48" t="s">
        <v>11</v>
      </c>
      <c r="O187" s="48"/>
      <c r="P187" s="87" t="s">
        <v>28</v>
      </c>
      <c r="Q187" s="48"/>
      <c r="R187" s="87" t="s">
        <v>24</v>
      </c>
    </row>
    <row r="188" spans="2:18">
      <c r="B188" s="130"/>
      <c r="C188" s="130"/>
      <c r="D188" s="48">
        <v>181</v>
      </c>
      <c r="E188" s="87" t="s">
        <v>752</v>
      </c>
      <c r="F188" s="48" t="s">
        <v>25</v>
      </c>
      <c r="G188" s="48" t="s">
        <v>753</v>
      </c>
      <c r="H188" s="48" t="s">
        <v>9</v>
      </c>
      <c r="I188" s="48" t="s">
        <v>23</v>
      </c>
      <c r="J188" s="87"/>
      <c r="K188" s="88">
        <v>36160</v>
      </c>
      <c r="L188" s="100">
        <f t="shared" si="17"/>
        <v>1998</v>
      </c>
      <c r="M188" s="100">
        <f t="shared" si="14"/>
        <v>21</v>
      </c>
      <c r="N188" s="48" t="s">
        <v>11</v>
      </c>
      <c r="O188" s="48"/>
      <c r="P188" s="87" t="s">
        <v>28</v>
      </c>
      <c r="Q188" s="48"/>
      <c r="R188" s="87" t="s">
        <v>24</v>
      </c>
    </row>
    <row r="189" spans="2:18">
      <c r="B189" s="130"/>
      <c r="C189" s="130"/>
      <c r="D189" s="48">
        <v>182</v>
      </c>
      <c r="E189" s="87" t="s">
        <v>754</v>
      </c>
      <c r="F189" s="48" t="s">
        <v>25</v>
      </c>
      <c r="G189" s="48" t="s">
        <v>755</v>
      </c>
      <c r="H189" s="48" t="s">
        <v>17</v>
      </c>
      <c r="I189" s="48" t="s">
        <v>23</v>
      </c>
      <c r="J189" s="87"/>
      <c r="K189" s="88">
        <v>39365</v>
      </c>
      <c r="L189" s="100">
        <f t="shared" si="17"/>
        <v>2007</v>
      </c>
      <c r="M189" s="100">
        <f t="shared" si="14"/>
        <v>12</v>
      </c>
      <c r="N189" s="48" t="s">
        <v>11</v>
      </c>
      <c r="O189" s="48"/>
      <c r="P189" s="87" t="s">
        <v>18</v>
      </c>
      <c r="Q189" s="48"/>
      <c r="R189" s="87" t="s">
        <v>18</v>
      </c>
    </row>
    <row r="190" spans="2:18" ht="25.5">
      <c r="B190" s="130">
        <v>62</v>
      </c>
      <c r="C190" s="130" t="s">
        <v>2095</v>
      </c>
      <c r="D190" s="48">
        <v>183</v>
      </c>
      <c r="E190" s="87" t="s">
        <v>331</v>
      </c>
      <c r="F190" s="48" t="s">
        <v>14</v>
      </c>
      <c r="G190" s="48" t="s">
        <v>333</v>
      </c>
      <c r="H190" s="48" t="s">
        <v>9</v>
      </c>
      <c r="I190" s="48" t="s">
        <v>10</v>
      </c>
      <c r="J190" s="87" t="s">
        <v>1368</v>
      </c>
      <c r="K190" s="88">
        <v>27942</v>
      </c>
      <c r="L190" s="89">
        <v>1976</v>
      </c>
      <c r="M190" s="89">
        <f t="shared" ref="M190:M197" si="18">2019-L190</f>
        <v>43</v>
      </c>
      <c r="N190" s="48" t="s">
        <v>11</v>
      </c>
      <c r="O190" s="48" t="s">
        <v>1369</v>
      </c>
      <c r="P190" s="87" t="s">
        <v>1378</v>
      </c>
      <c r="Q190" s="48"/>
      <c r="R190" s="87" t="s">
        <v>332</v>
      </c>
    </row>
    <row r="191" spans="2:18" ht="25.5">
      <c r="B191" s="130"/>
      <c r="C191" s="130"/>
      <c r="D191" s="48">
        <v>184</v>
      </c>
      <c r="E191" s="87" t="s">
        <v>334</v>
      </c>
      <c r="F191" s="48" t="s">
        <v>20</v>
      </c>
      <c r="G191" s="48" t="s">
        <v>335</v>
      </c>
      <c r="H191" s="48" t="s">
        <v>17</v>
      </c>
      <c r="I191" s="48" t="s">
        <v>10</v>
      </c>
      <c r="J191" s="87" t="s">
        <v>1368</v>
      </c>
      <c r="K191" s="88">
        <v>30864</v>
      </c>
      <c r="L191" s="89">
        <v>1984</v>
      </c>
      <c r="M191" s="89">
        <f t="shared" si="18"/>
        <v>35</v>
      </c>
      <c r="N191" s="48" t="s">
        <v>11</v>
      </c>
      <c r="O191" s="48" t="s">
        <v>1369</v>
      </c>
      <c r="P191" s="87" t="s">
        <v>1378</v>
      </c>
      <c r="Q191" s="48"/>
      <c r="R191" s="87" t="s">
        <v>1373</v>
      </c>
    </row>
    <row r="192" spans="2:18" ht="25.5">
      <c r="B192" s="130"/>
      <c r="C192" s="130"/>
      <c r="D192" s="48">
        <v>185</v>
      </c>
      <c r="E192" s="87" t="s">
        <v>336</v>
      </c>
      <c r="F192" s="48" t="s">
        <v>25</v>
      </c>
      <c r="G192" s="48" t="s">
        <v>337</v>
      </c>
      <c r="H192" s="48" t="s">
        <v>17</v>
      </c>
      <c r="I192" s="48" t="s">
        <v>23</v>
      </c>
      <c r="J192" s="87" t="s">
        <v>1368</v>
      </c>
      <c r="K192" s="88">
        <v>39356</v>
      </c>
      <c r="L192" s="89">
        <v>2007</v>
      </c>
      <c r="M192" s="89">
        <f t="shared" si="18"/>
        <v>12</v>
      </c>
      <c r="N192" s="48" t="s">
        <v>11</v>
      </c>
      <c r="O192" s="48" t="s">
        <v>1369</v>
      </c>
      <c r="P192" s="87" t="s">
        <v>1378</v>
      </c>
      <c r="Q192" s="48"/>
      <c r="R192" s="87" t="s">
        <v>1389</v>
      </c>
    </row>
    <row r="193" spans="1:19" ht="25.5">
      <c r="B193" s="130"/>
      <c r="C193" s="130"/>
      <c r="D193" s="48">
        <v>186</v>
      </c>
      <c r="E193" s="87" t="s">
        <v>338</v>
      </c>
      <c r="F193" s="48" t="s">
        <v>25</v>
      </c>
      <c r="G193" s="48" t="s">
        <v>339</v>
      </c>
      <c r="H193" s="48" t="s">
        <v>17</v>
      </c>
      <c r="I193" s="48" t="s">
        <v>23</v>
      </c>
      <c r="J193" s="87" t="s">
        <v>1368</v>
      </c>
      <c r="K193" s="88">
        <v>41938</v>
      </c>
      <c r="L193" s="89">
        <v>2014</v>
      </c>
      <c r="M193" s="89">
        <f t="shared" si="18"/>
        <v>5</v>
      </c>
      <c r="N193" s="48" t="s">
        <v>11</v>
      </c>
      <c r="O193" s="48" t="s">
        <v>1369</v>
      </c>
      <c r="P193" s="87" t="s">
        <v>1378</v>
      </c>
      <c r="Q193" s="48"/>
      <c r="R193" s="87" t="s">
        <v>1389</v>
      </c>
    </row>
    <row r="194" spans="1:19">
      <c r="B194" s="130">
        <v>63</v>
      </c>
      <c r="C194" s="130" t="s">
        <v>2092</v>
      </c>
      <c r="D194" s="48">
        <v>187</v>
      </c>
      <c r="E194" s="87" t="s">
        <v>2093</v>
      </c>
      <c r="F194" s="48" t="s">
        <v>14</v>
      </c>
      <c r="G194" s="48" t="s">
        <v>2094</v>
      </c>
      <c r="H194" s="48" t="s">
        <v>9</v>
      </c>
      <c r="I194" s="48" t="s">
        <v>10</v>
      </c>
      <c r="J194" s="87" t="s">
        <v>1368</v>
      </c>
      <c r="K194" s="88">
        <v>25448</v>
      </c>
      <c r="L194" s="89">
        <v>1969</v>
      </c>
      <c r="M194" s="89">
        <f t="shared" si="18"/>
        <v>50</v>
      </c>
      <c r="N194" s="48" t="s">
        <v>11</v>
      </c>
      <c r="O194" s="48" t="s">
        <v>1369</v>
      </c>
      <c r="P194" s="87" t="s">
        <v>28</v>
      </c>
      <c r="Q194" s="48"/>
      <c r="R194" s="87" t="s">
        <v>49</v>
      </c>
    </row>
    <row r="195" spans="1:19">
      <c r="B195" s="130"/>
      <c r="C195" s="130"/>
      <c r="D195" s="48">
        <v>188</v>
      </c>
      <c r="E195" s="87" t="s">
        <v>128</v>
      </c>
      <c r="F195" s="48" t="s">
        <v>20</v>
      </c>
      <c r="G195" s="48" t="s">
        <v>129</v>
      </c>
      <c r="H195" s="48" t="s">
        <v>17</v>
      </c>
      <c r="I195" s="48" t="s">
        <v>10</v>
      </c>
      <c r="J195" s="87" t="s">
        <v>1387</v>
      </c>
      <c r="K195" s="88">
        <v>25933</v>
      </c>
      <c r="L195" s="89">
        <v>1970</v>
      </c>
      <c r="M195" s="89">
        <f t="shared" si="18"/>
        <v>49</v>
      </c>
      <c r="N195" s="48" t="s">
        <v>11</v>
      </c>
      <c r="O195" s="48" t="s">
        <v>1369</v>
      </c>
      <c r="P195" s="87" t="s">
        <v>28</v>
      </c>
      <c r="Q195" s="48"/>
      <c r="R195" s="87" t="s">
        <v>19</v>
      </c>
    </row>
    <row r="196" spans="1:19" ht="25.5">
      <c r="B196" s="130"/>
      <c r="C196" s="130"/>
      <c r="D196" s="48">
        <v>189</v>
      </c>
      <c r="E196" s="87" t="s">
        <v>130</v>
      </c>
      <c r="F196" s="48" t="s">
        <v>25</v>
      </c>
      <c r="G196" s="48" t="s">
        <v>131</v>
      </c>
      <c r="H196" s="48" t="s">
        <v>9</v>
      </c>
      <c r="I196" s="48" t="s">
        <v>23</v>
      </c>
      <c r="J196" s="87" t="s">
        <v>1387</v>
      </c>
      <c r="K196" s="88">
        <v>35256</v>
      </c>
      <c r="L196" s="89">
        <v>1996</v>
      </c>
      <c r="M196" s="89">
        <f t="shared" si="18"/>
        <v>23</v>
      </c>
      <c r="N196" s="48" t="s">
        <v>11</v>
      </c>
      <c r="O196" s="48" t="s">
        <v>1369</v>
      </c>
      <c r="P196" s="87" t="s">
        <v>12</v>
      </c>
      <c r="Q196" s="48"/>
      <c r="R196" s="87" t="s">
        <v>1555</v>
      </c>
    </row>
    <row r="197" spans="1:19" ht="25.5">
      <c r="B197" s="130"/>
      <c r="C197" s="130"/>
      <c r="D197" s="48">
        <v>190</v>
      </c>
      <c r="E197" s="87" t="s">
        <v>132</v>
      </c>
      <c r="F197" s="48" t="s">
        <v>25</v>
      </c>
      <c r="G197" s="48" t="s">
        <v>133</v>
      </c>
      <c r="H197" s="48" t="s">
        <v>17</v>
      </c>
      <c r="I197" s="48" t="s">
        <v>23</v>
      </c>
      <c r="J197" s="87" t="s">
        <v>1489</v>
      </c>
      <c r="K197" s="88">
        <v>39277</v>
      </c>
      <c r="L197" s="89">
        <v>1997</v>
      </c>
      <c r="M197" s="89">
        <f t="shared" si="18"/>
        <v>22</v>
      </c>
      <c r="N197" s="48" t="s">
        <v>11</v>
      </c>
      <c r="O197" s="48" t="s">
        <v>1369</v>
      </c>
      <c r="P197" s="87" t="s">
        <v>1378</v>
      </c>
      <c r="Q197" s="48"/>
      <c r="R197" s="87" t="s">
        <v>1555</v>
      </c>
    </row>
    <row r="198" spans="1:19" s="48" customFormat="1">
      <c r="A198" s="51"/>
      <c r="B198" s="130">
        <v>64</v>
      </c>
      <c r="C198" s="130" t="s">
        <v>2084</v>
      </c>
      <c r="D198" s="48">
        <v>191</v>
      </c>
      <c r="E198" s="87" t="s">
        <v>2085</v>
      </c>
      <c r="F198" s="48" t="s">
        <v>14</v>
      </c>
      <c r="G198" s="48" t="s">
        <v>2088</v>
      </c>
      <c r="H198" s="48" t="s">
        <v>9</v>
      </c>
      <c r="I198" s="48" t="s">
        <v>10</v>
      </c>
      <c r="J198" s="87" t="s">
        <v>1368</v>
      </c>
      <c r="K198" s="88">
        <v>32142</v>
      </c>
      <c r="L198" s="100">
        <v>1987</v>
      </c>
      <c r="M198" s="100">
        <f t="shared" si="14"/>
        <v>32</v>
      </c>
      <c r="N198" s="48" t="s">
        <v>11</v>
      </c>
      <c r="O198" s="48" t="s">
        <v>1369</v>
      </c>
      <c r="P198" s="87" t="s">
        <v>1385</v>
      </c>
      <c r="R198" s="87" t="s">
        <v>49</v>
      </c>
      <c r="S198" s="55"/>
    </row>
    <row r="199" spans="1:19" s="48" customFormat="1" ht="25.5">
      <c r="A199" s="53"/>
      <c r="B199" s="130"/>
      <c r="C199" s="130"/>
      <c r="D199" s="48">
        <v>192</v>
      </c>
      <c r="E199" s="87" t="s">
        <v>2086</v>
      </c>
      <c r="F199" s="48" t="s">
        <v>20</v>
      </c>
      <c r="G199" s="48" t="s">
        <v>2089</v>
      </c>
      <c r="H199" s="48" t="s">
        <v>17</v>
      </c>
      <c r="I199" s="48" t="s">
        <v>10</v>
      </c>
      <c r="J199" s="87" t="s">
        <v>1387</v>
      </c>
      <c r="K199" s="88">
        <v>34440</v>
      </c>
      <c r="L199" s="100">
        <v>1994</v>
      </c>
      <c r="M199" s="100">
        <f t="shared" si="14"/>
        <v>25</v>
      </c>
      <c r="N199" s="48" t="s">
        <v>11</v>
      </c>
      <c r="O199" s="48" t="s">
        <v>1369</v>
      </c>
      <c r="P199" s="87" t="s">
        <v>1388</v>
      </c>
      <c r="R199" s="87" t="s">
        <v>1373</v>
      </c>
      <c r="S199" s="55"/>
    </row>
    <row r="200" spans="1:19" s="48" customFormat="1" ht="25.5">
      <c r="A200" s="52"/>
      <c r="B200" s="130"/>
      <c r="C200" s="130"/>
      <c r="D200" s="48">
        <v>193</v>
      </c>
      <c r="E200" s="87" t="s">
        <v>2087</v>
      </c>
      <c r="F200" s="48" t="s">
        <v>25</v>
      </c>
      <c r="G200" s="48" t="s">
        <v>2090</v>
      </c>
      <c r="H200" s="48" t="s">
        <v>9</v>
      </c>
      <c r="I200" s="48" t="s">
        <v>23</v>
      </c>
      <c r="J200" s="87" t="s">
        <v>1387</v>
      </c>
      <c r="K200" s="88">
        <v>42429</v>
      </c>
      <c r="L200" s="100">
        <v>2016</v>
      </c>
      <c r="M200" s="100">
        <f t="shared" si="14"/>
        <v>3</v>
      </c>
      <c r="N200" s="48" t="s">
        <v>11</v>
      </c>
      <c r="O200" s="48" t="s">
        <v>1369</v>
      </c>
      <c r="P200" s="87" t="s">
        <v>1425</v>
      </c>
      <c r="R200" s="87" t="s">
        <v>1389</v>
      </c>
      <c r="S200" s="55"/>
    </row>
    <row r="201" spans="1:19" s="48" customFormat="1" ht="25.5">
      <c r="A201" s="51"/>
      <c r="B201" s="130">
        <v>65</v>
      </c>
      <c r="C201" s="130" t="s">
        <v>2091</v>
      </c>
      <c r="D201" s="48">
        <v>194</v>
      </c>
      <c r="E201" s="87" t="s">
        <v>130</v>
      </c>
      <c r="F201" s="48" t="s">
        <v>14</v>
      </c>
      <c r="G201" s="48" t="s">
        <v>131</v>
      </c>
      <c r="H201" s="48" t="s">
        <v>9</v>
      </c>
      <c r="I201" s="48" t="s">
        <v>10</v>
      </c>
      <c r="J201" s="87" t="s">
        <v>1387</v>
      </c>
      <c r="K201" s="88">
        <v>35256</v>
      </c>
      <c r="L201" s="100">
        <v>1996</v>
      </c>
      <c r="M201" s="100">
        <f t="shared" si="14"/>
        <v>23</v>
      </c>
      <c r="N201" s="48" t="s">
        <v>11</v>
      </c>
      <c r="O201" s="48" t="s">
        <v>1369</v>
      </c>
      <c r="P201" s="87" t="s">
        <v>1388</v>
      </c>
      <c r="R201" s="87" t="s">
        <v>1371</v>
      </c>
      <c r="S201" s="55"/>
    </row>
    <row r="202" spans="1:19" s="48" customFormat="1" ht="25.5">
      <c r="A202" s="52"/>
      <c r="B202" s="130"/>
      <c r="C202" s="130"/>
      <c r="D202" s="48">
        <v>195</v>
      </c>
      <c r="E202" s="87" t="s">
        <v>1472</v>
      </c>
      <c r="F202" s="48" t="s">
        <v>1457</v>
      </c>
      <c r="G202" s="48" t="s">
        <v>1474</v>
      </c>
      <c r="H202" s="48" t="s">
        <v>17</v>
      </c>
      <c r="I202" s="48" t="s">
        <v>23</v>
      </c>
      <c r="J202" s="87" t="s">
        <v>1387</v>
      </c>
      <c r="K202" s="88">
        <v>35956</v>
      </c>
      <c r="L202" s="100">
        <v>1998</v>
      </c>
      <c r="M202" s="100">
        <f t="shared" ref="M202:M204" si="19">2019-L202</f>
        <v>21</v>
      </c>
      <c r="N202" s="48" t="s">
        <v>11</v>
      </c>
      <c r="O202" s="48" t="s">
        <v>1369</v>
      </c>
      <c r="P202" s="87" t="s">
        <v>1388</v>
      </c>
      <c r="R202" s="87" t="s">
        <v>1376</v>
      </c>
      <c r="S202" s="55"/>
    </row>
    <row r="203" spans="1:19" s="48" customFormat="1">
      <c r="A203" s="51"/>
      <c r="B203" s="130">
        <v>66</v>
      </c>
      <c r="C203" s="130" t="s">
        <v>2096</v>
      </c>
      <c r="D203" s="48">
        <v>196</v>
      </c>
      <c r="E203" s="87" t="s">
        <v>593</v>
      </c>
      <c r="F203" s="48" t="s">
        <v>14</v>
      </c>
      <c r="G203" s="48" t="s">
        <v>2096</v>
      </c>
      <c r="H203" s="48" t="s">
        <v>9</v>
      </c>
      <c r="I203" s="48" t="s">
        <v>10</v>
      </c>
      <c r="J203" s="87" t="s">
        <v>1368</v>
      </c>
      <c r="K203" s="88">
        <v>34870</v>
      </c>
      <c r="L203" s="100">
        <v>1995</v>
      </c>
      <c r="M203" s="100">
        <f t="shared" si="19"/>
        <v>24</v>
      </c>
      <c r="N203" s="48" t="s">
        <v>11</v>
      </c>
      <c r="O203" s="48" t="s">
        <v>1369</v>
      </c>
      <c r="P203" s="87" t="s">
        <v>1388</v>
      </c>
      <c r="R203" s="87" t="s">
        <v>49</v>
      </c>
      <c r="S203" s="55"/>
    </row>
    <row r="204" spans="1:19" s="48" customFormat="1" ht="38.25">
      <c r="A204" s="52"/>
      <c r="B204" s="130"/>
      <c r="C204" s="130"/>
      <c r="D204" s="48">
        <v>197</v>
      </c>
      <c r="E204" s="87" t="s">
        <v>2131</v>
      </c>
      <c r="F204" s="48" t="s">
        <v>20</v>
      </c>
      <c r="G204" s="48" t="s">
        <v>2097</v>
      </c>
      <c r="H204" s="48" t="s">
        <v>17</v>
      </c>
      <c r="I204" s="48" t="s">
        <v>10</v>
      </c>
      <c r="J204" s="87" t="s">
        <v>1387</v>
      </c>
      <c r="K204" s="88">
        <v>35172</v>
      </c>
      <c r="L204" s="100">
        <v>1996</v>
      </c>
      <c r="M204" s="100">
        <f t="shared" si="19"/>
        <v>23</v>
      </c>
      <c r="N204" s="48" t="s">
        <v>11</v>
      </c>
      <c r="O204" s="48" t="s">
        <v>1369</v>
      </c>
      <c r="P204" s="87" t="s">
        <v>1800</v>
      </c>
      <c r="R204" s="87" t="s">
        <v>49</v>
      </c>
      <c r="S204" s="55"/>
    </row>
    <row r="208" spans="1:19" s="57" customFormat="1" ht="15">
      <c r="D208" s="137" t="s">
        <v>2200</v>
      </c>
      <c r="E208" s="137"/>
      <c r="F208" s="137"/>
      <c r="L208" s="86"/>
      <c r="P208" s="84"/>
      <c r="R208" s="84"/>
    </row>
    <row r="209" spans="4:18" s="57" customFormat="1" ht="15">
      <c r="D209" s="137" t="s">
        <v>2201</v>
      </c>
      <c r="E209" s="137"/>
      <c r="F209" s="137"/>
      <c r="L209" s="86"/>
      <c r="P209" s="129" t="s">
        <v>2202</v>
      </c>
      <c r="Q209" s="129"/>
      <c r="R209" s="84"/>
    </row>
    <row r="210" spans="4:18" s="57" customFormat="1" ht="15">
      <c r="D210" s="110"/>
      <c r="E210" s="110"/>
      <c r="F210" s="110"/>
      <c r="L210" s="86"/>
      <c r="P210" s="111"/>
      <c r="Q210" s="111"/>
      <c r="R210" s="84"/>
    </row>
    <row r="211" spans="4:18" s="57" customFormat="1" ht="15">
      <c r="D211" s="108"/>
      <c r="E211" s="109"/>
      <c r="F211" s="108"/>
      <c r="L211" s="86"/>
      <c r="P211" s="1"/>
      <c r="Q211" s="65"/>
      <c r="R211" s="84"/>
    </row>
    <row r="212" spans="4:18" s="57" customFormat="1" ht="15">
      <c r="D212" s="108"/>
      <c r="E212" s="109"/>
      <c r="F212" s="108"/>
      <c r="L212" s="86"/>
      <c r="P212" s="1"/>
      <c r="Q212" s="65"/>
      <c r="R212" s="84"/>
    </row>
    <row r="213" spans="4:18" s="57" customFormat="1" ht="14.25">
      <c r="D213" s="138" t="s">
        <v>2203</v>
      </c>
      <c r="E213" s="138"/>
      <c r="F213" s="138"/>
      <c r="L213" s="86"/>
      <c r="P213" s="127" t="s">
        <v>1058</v>
      </c>
      <c r="Q213" s="127"/>
      <c r="R213" s="84"/>
    </row>
    <row r="214" spans="4:18" s="57" customFormat="1" ht="14.25">
      <c r="D214" s="138" t="s">
        <v>2204</v>
      </c>
      <c r="E214" s="138"/>
      <c r="F214" s="138"/>
      <c r="L214" s="86"/>
      <c r="P214" s="84"/>
      <c r="R214" s="84"/>
    </row>
  </sheetData>
  <autoFilter ref="B7:R204"/>
  <mergeCells count="136">
    <mergeCell ref="D208:F208"/>
    <mergeCell ref="D209:F209"/>
    <mergeCell ref="P209:Q209"/>
    <mergeCell ref="D213:F213"/>
    <mergeCell ref="P213:Q213"/>
    <mergeCell ref="D214:F214"/>
    <mergeCell ref="C93:C94"/>
    <mergeCell ref="C95:C97"/>
    <mergeCell ref="C103:C106"/>
    <mergeCell ref="C109:C110"/>
    <mergeCell ref="C123:C124"/>
    <mergeCell ref="C135:C138"/>
    <mergeCell ref="C142:C144"/>
    <mergeCell ref="C145:C146"/>
    <mergeCell ref="C153:C155"/>
    <mergeCell ref="C203:C204"/>
    <mergeCell ref="C176:C178"/>
    <mergeCell ref="C161:C163"/>
    <mergeCell ref="C100:C102"/>
    <mergeCell ref="C98:C99"/>
    <mergeCell ref="C194:C197"/>
    <mergeCell ref="C167:C169"/>
    <mergeCell ref="C198:C200"/>
    <mergeCell ref="C201:C202"/>
    <mergeCell ref="B1:R1"/>
    <mergeCell ref="B2:R2"/>
    <mergeCell ref="B164:B166"/>
    <mergeCell ref="B170:B175"/>
    <mergeCell ref="B176:B178"/>
    <mergeCell ref="B156:B157"/>
    <mergeCell ref="B151:B152"/>
    <mergeCell ref="B93:B94"/>
    <mergeCell ref="B95:B97"/>
    <mergeCell ref="B16:B19"/>
    <mergeCell ref="C16:C19"/>
    <mergeCell ref="C40:C45"/>
    <mergeCell ref="B33:B34"/>
    <mergeCell ref="C33:C34"/>
    <mergeCell ref="C50:C54"/>
    <mergeCell ref="B125:B129"/>
    <mergeCell ref="C125:C129"/>
    <mergeCell ref="B111:B117"/>
    <mergeCell ref="C121:C122"/>
    <mergeCell ref="C118:C120"/>
    <mergeCell ref="B91:B92"/>
    <mergeCell ref="B69:B70"/>
    <mergeCell ref="C29:C31"/>
    <mergeCell ref="C91:C92"/>
    <mergeCell ref="C72:C74"/>
    <mergeCell ref="C66:C68"/>
    <mergeCell ref="C35:C39"/>
    <mergeCell ref="C12:C15"/>
    <mergeCell ref="C82:C86"/>
    <mergeCell ref="B58:B59"/>
    <mergeCell ref="C69:C70"/>
    <mergeCell ref="B66:B68"/>
    <mergeCell ref="C58:C59"/>
    <mergeCell ref="C46:C47"/>
    <mergeCell ref="C48:C49"/>
    <mergeCell ref="C56:C57"/>
    <mergeCell ref="C60:C62"/>
    <mergeCell ref="C76:C81"/>
    <mergeCell ref="B98:B99"/>
    <mergeCell ref="B145:B146"/>
    <mergeCell ref="B118:B120"/>
    <mergeCell ref="B103:B106"/>
    <mergeCell ref="B109:B110"/>
    <mergeCell ref="B121:B122"/>
    <mergeCell ref="B123:B124"/>
    <mergeCell ref="B9:B11"/>
    <mergeCell ref="B35:B39"/>
    <mergeCell ref="B40:B45"/>
    <mergeCell ref="B46:B47"/>
    <mergeCell ref="B48:B49"/>
    <mergeCell ref="B56:B57"/>
    <mergeCell ref="B50:B54"/>
    <mergeCell ref="B60:B62"/>
    <mergeCell ref="B72:B74"/>
    <mergeCell ref="B76:B81"/>
    <mergeCell ref="B82:B86"/>
    <mergeCell ref="B100:B102"/>
    <mergeCell ref="B63:B65"/>
    <mergeCell ref="C190:C193"/>
    <mergeCell ref="C130:C134"/>
    <mergeCell ref="C111:C117"/>
    <mergeCell ref="C147:C150"/>
    <mergeCell ref="C151:C152"/>
    <mergeCell ref="C139:C141"/>
    <mergeCell ref="C87:C89"/>
    <mergeCell ref="C156:C157"/>
    <mergeCell ref="C158:C160"/>
    <mergeCell ref="C164:C166"/>
    <mergeCell ref="C170:C175"/>
    <mergeCell ref="C179:C181"/>
    <mergeCell ref="C182:C185"/>
    <mergeCell ref="C186:C189"/>
    <mergeCell ref="B5:B6"/>
    <mergeCell ref="B12:B15"/>
    <mergeCell ref="B20:B23"/>
    <mergeCell ref="B24:B27"/>
    <mergeCell ref="B29:B31"/>
    <mergeCell ref="P5:P6"/>
    <mergeCell ref="F5:F6"/>
    <mergeCell ref="G5:G6"/>
    <mergeCell ref="E5:E6"/>
    <mergeCell ref="H5:H6"/>
    <mergeCell ref="I5:I6"/>
    <mergeCell ref="C24:C27"/>
    <mergeCell ref="R5:R6"/>
    <mergeCell ref="C5:C6"/>
    <mergeCell ref="D5:D6"/>
    <mergeCell ref="C9:C11"/>
    <mergeCell ref="J5:L5"/>
    <mergeCell ref="M5:M6"/>
    <mergeCell ref="O5:O6"/>
    <mergeCell ref="C20:C23"/>
    <mergeCell ref="C63:C65"/>
    <mergeCell ref="N5:N6"/>
    <mergeCell ref="Q5:Q6"/>
    <mergeCell ref="B203:B204"/>
    <mergeCell ref="B201:B202"/>
    <mergeCell ref="B198:B200"/>
    <mergeCell ref="B190:B193"/>
    <mergeCell ref="B182:B185"/>
    <mergeCell ref="B158:B160"/>
    <mergeCell ref="B142:B144"/>
    <mergeCell ref="B130:B134"/>
    <mergeCell ref="B135:B138"/>
    <mergeCell ref="B139:B141"/>
    <mergeCell ref="B161:B163"/>
    <mergeCell ref="B147:B150"/>
    <mergeCell ref="B153:B155"/>
    <mergeCell ref="B194:B197"/>
    <mergeCell ref="B167:B169"/>
    <mergeCell ref="B186:B189"/>
    <mergeCell ref="B179:B181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J297"/>
  <sheetViews>
    <sheetView zoomScale="140" zoomScaleNormal="140" workbookViewId="0">
      <pane ySplit="6" topLeftCell="A251" activePane="bottomLeft" state="frozen"/>
      <selection pane="bottomLeft" activeCell="F253" sqref="F253"/>
    </sheetView>
  </sheetViews>
  <sheetFormatPr defaultRowHeight="12.75"/>
  <cols>
    <col min="1" max="1" width="9.140625" style="49"/>
    <col min="2" max="2" width="3.7109375" style="49" bestFit="1" customWidth="1"/>
    <col min="3" max="3" width="15.7109375" style="49" customWidth="1"/>
    <col min="4" max="4" width="6.7109375" style="49" customWidth="1"/>
    <col min="5" max="5" width="12.7109375" style="90" customWidth="1"/>
    <col min="6" max="6" width="9.7109375" style="49" customWidth="1"/>
    <col min="7" max="7" width="15.7109375" style="49" customWidth="1"/>
    <col min="8" max="8" width="7.7109375" style="49" customWidth="1"/>
    <col min="9" max="9" width="10.7109375" style="49" customWidth="1"/>
    <col min="10" max="10" width="13.7109375" style="90" customWidth="1"/>
    <col min="11" max="11" width="16.28515625" style="91" bestFit="1" customWidth="1"/>
    <col min="12" max="12" width="6.28515625" style="92" bestFit="1" customWidth="1"/>
    <col min="13" max="13" width="5" style="92" bestFit="1" customWidth="1"/>
    <col min="14" max="14" width="6.42578125" style="49" bestFit="1" customWidth="1"/>
    <col min="15" max="15" width="5.42578125" style="49" bestFit="1" customWidth="1"/>
    <col min="16" max="16" width="16.7109375" style="90" customWidth="1"/>
    <col min="17" max="17" width="7.5703125" style="49" bestFit="1" customWidth="1"/>
    <col min="18" max="18" width="15.7109375" style="90" customWidth="1"/>
    <col min="19" max="61" width="9.140625" style="57"/>
    <col min="62" max="16384" width="9.140625" style="49"/>
  </cols>
  <sheetData>
    <row r="1" spans="2:18" s="64" customFormat="1" ht="15.75">
      <c r="B1" s="139" t="s">
        <v>517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2:18" s="64" customFormat="1" ht="15.75">
      <c r="B2" s="139" t="s">
        <v>2193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</row>
    <row r="3" spans="2:18" s="64" customFormat="1" ht="15.75">
      <c r="B3" s="106" t="s">
        <v>2194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ht="15.75">
      <c r="B4" s="106" t="s">
        <v>2199</v>
      </c>
    </row>
    <row r="5" spans="2:18" ht="20.100000000000001" customHeight="1">
      <c r="B5" s="134" t="s">
        <v>0</v>
      </c>
      <c r="C5" s="134" t="s">
        <v>1350</v>
      </c>
      <c r="D5" s="135" t="s">
        <v>1351</v>
      </c>
      <c r="E5" s="135" t="s">
        <v>2195</v>
      </c>
      <c r="F5" s="135" t="s">
        <v>6</v>
      </c>
      <c r="G5" s="145" t="s">
        <v>7</v>
      </c>
      <c r="H5" s="135" t="s">
        <v>1</v>
      </c>
      <c r="I5" s="135" t="s">
        <v>2</v>
      </c>
      <c r="J5" s="134" t="s">
        <v>1353</v>
      </c>
      <c r="K5" s="134"/>
      <c r="L5" s="134"/>
      <c r="M5" s="136" t="s">
        <v>1357</v>
      </c>
      <c r="N5" s="134" t="s">
        <v>3</v>
      </c>
      <c r="O5" s="134" t="s">
        <v>1358</v>
      </c>
      <c r="P5" s="135" t="s">
        <v>4</v>
      </c>
      <c r="Q5" s="134" t="s">
        <v>1359</v>
      </c>
      <c r="R5" s="135" t="s">
        <v>5</v>
      </c>
    </row>
    <row r="6" spans="2:18" ht="20.100000000000001" customHeight="1">
      <c r="B6" s="134"/>
      <c r="C6" s="134"/>
      <c r="D6" s="135"/>
      <c r="E6" s="135"/>
      <c r="F6" s="135"/>
      <c r="G6" s="145"/>
      <c r="H6" s="135"/>
      <c r="I6" s="135"/>
      <c r="J6" s="93" t="s">
        <v>1354</v>
      </c>
      <c r="K6" s="94" t="s">
        <v>1355</v>
      </c>
      <c r="L6" s="95" t="s">
        <v>1356</v>
      </c>
      <c r="M6" s="136"/>
      <c r="N6" s="134"/>
      <c r="O6" s="134"/>
      <c r="P6" s="135"/>
      <c r="Q6" s="134"/>
      <c r="R6" s="135"/>
    </row>
    <row r="7" spans="2:18">
      <c r="B7" s="105"/>
      <c r="C7" s="105"/>
      <c r="D7" s="105"/>
      <c r="E7" s="93"/>
      <c r="F7" s="105"/>
      <c r="G7" s="104"/>
      <c r="H7" s="105"/>
      <c r="I7" s="105"/>
      <c r="J7" s="93"/>
      <c r="K7" s="94"/>
      <c r="L7" s="95"/>
      <c r="M7" s="95"/>
      <c r="N7" s="105"/>
      <c r="O7" s="105"/>
      <c r="P7" s="93"/>
      <c r="Q7" s="105"/>
      <c r="R7" s="93"/>
    </row>
    <row r="8" spans="2:18">
      <c r="B8" s="48">
        <v>1</v>
      </c>
      <c r="C8" s="48"/>
      <c r="D8" s="48">
        <v>1</v>
      </c>
      <c r="E8" s="87" t="s">
        <v>756</v>
      </c>
      <c r="F8" s="48" t="s">
        <v>14</v>
      </c>
      <c r="G8" s="48" t="s">
        <v>757</v>
      </c>
      <c r="H8" s="48" t="s">
        <v>9</v>
      </c>
      <c r="I8" s="48" t="s">
        <v>23</v>
      </c>
      <c r="J8" s="87"/>
      <c r="K8" s="88">
        <v>25053</v>
      </c>
      <c r="L8" s="89">
        <f>YEAR(K8)</f>
        <v>1968</v>
      </c>
      <c r="M8" s="89">
        <f t="shared" ref="M8:M71" si="0">2019-L8</f>
        <v>51</v>
      </c>
      <c r="N8" s="48" t="s">
        <v>11</v>
      </c>
      <c r="O8" s="48"/>
      <c r="P8" s="87" t="s">
        <v>33</v>
      </c>
      <c r="Q8" s="48"/>
      <c r="R8" s="87" t="s">
        <v>58</v>
      </c>
    </row>
    <row r="9" spans="2:18">
      <c r="B9" s="130">
        <v>2</v>
      </c>
      <c r="C9" s="130"/>
      <c r="D9" s="48">
        <v>2</v>
      </c>
      <c r="E9" s="87" t="s">
        <v>758</v>
      </c>
      <c r="F9" s="48" t="s">
        <v>14</v>
      </c>
      <c r="G9" s="48" t="s">
        <v>759</v>
      </c>
      <c r="H9" s="48" t="s">
        <v>9</v>
      </c>
      <c r="I9" s="48" t="s">
        <v>10</v>
      </c>
      <c r="J9" s="87"/>
      <c r="K9" s="88">
        <v>28924</v>
      </c>
      <c r="L9" s="89">
        <f t="shared" ref="L9:L11" si="1">YEAR(K9)</f>
        <v>1979</v>
      </c>
      <c r="M9" s="89">
        <f t="shared" si="0"/>
        <v>40</v>
      </c>
      <c r="N9" s="48" t="s">
        <v>11</v>
      </c>
      <c r="O9" s="48"/>
      <c r="P9" s="87" t="s">
        <v>12</v>
      </c>
      <c r="Q9" s="48"/>
      <c r="R9" s="87" t="s">
        <v>13</v>
      </c>
    </row>
    <row r="10" spans="2:18">
      <c r="B10" s="130"/>
      <c r="C10" s="130"/>
      <c r="D10" s="48">
        <v>3</v>
      </c>
      <c r="E10" s="87" t="s">
        <v>760</v>
      </c>
      <c r="F10" s="48" t="s">
        <v>20</v>
      </c>
      <c r="G10" s="48" t="s">
        <v>761</v>
      </c>
      <c r="H10" s="48" t="s">
        <v>17</v>
      </c>
      <c r="I10" s="48" t="s">
        <v>10</v>
      </c>
      <c r="J10" s="87"/>
      <c r="K10" s="88">
        <v>32508</v>
      </c>
      <c r="L10" s="89">
        <f t="shared" si="1"/>
        <v>1988</v>
      </c>
      <c r="M10" s="89">
        <f t="shared" si="0"/>
        <v>31</v>
      </c>
      <c r="N10" s="48" t="s">
        <v>11</v>
      </c>
      <c r="O10" s="48"/>
      <c r="P10" s="87" t="s">
        <v>12</v>
      </c>
      <c r="Q10" s="48"/>
      <c r="R10" s="87" t="s">
        <v>19</v>
      </c>
    </row>
    <row r="11" spans="2:18" ht="25.5">
      <c r="B11" s="130"/>
      <c r="C11" s="130"/>
      <c r="D11" s="48">
        <v>4</v>
      </c>
      <c r="E11" s="87" t="s">
        <v>762</v>
      </c>
      <c r="F11" s="48" t="s">
        <v>25</v>
      </c>
      <c r="G11" s="48" t="s">
        <v>763</v>
      </c>
      <c r="H11" s="48" t="s">
        <v>17</v>
      </c>
      <c r="I11" s="48" t="s">
        <v>23</v>
      </c>
      <c r="J11" s="87"/>
      <c r="K11" s="88">
        <v>40891</v>
      </c>
      <c r="L11" s="89">
        <f t="shared" si="1"/>
        <v>2011</v>
      </c>
      <c r="M11" s="89">
        <f t="shared" si="0"/>
        <v>8</v>
      </c>
      <c r="N11" s="48" t="s">
        <v>11</v>
      </c>
      <c r="O11" s="48"/>
      <c r="P11" s="87" t="s">
        <v>18</v>
      </c>
      <c r="Q11" s="48"/>
      <c r="R11" s="87" t="s">
        <v>18</v>
      </c>
    </row>
    <row r="12" spans="2:18" ht="25.5">
      <c r="B12" s="48">
        <v>3</v>
      </c>
      <c r="C12" s="48" t="s">
        <v>1521</v>
      </c>
      <c r="D12" s="48">
        <v>5</v>
      </c>
      <c r="E12" s="87" t="s">
        <v>764</v>
      </c>
      <c r="F12" s="48" t="s">
        <v>14</v>
      </c>
      <c r="G12" s="48" t="s">
        <v>765</v>
      </c>
      <c r="H12" s="48" t="s">
        <v>17</v>
      </c>
      <c r="I12" s="48" t="s">
        <v>1448</v>
      </c>
      <c r="J12" s="87" t="s">
        <v>1368</v>
      </c>
      <c r="K12" s="88">
        <v>23011</v>
      </c>
      <c r="L12" s="89">
        <v>1962</v>
      </c>
      <c r="M12" s="89">
        <f t="shared" si="0"/>
        <v>57</v>
      </c>
      <c r="N12" s="48" t="s">
        <v>11</v>
      </c>
      <c r="O12" s="48"/>
      <c r="P12" s="87" t="s">
        <v>1425</v>
      </c>
      <c r="Q12" s="48"/>
      <c r="R12" s="87" t="s">
        <v>1371</v>
      </c>
    </row>
    <row r="13" spans="2:18">
      <c r="B13" s="48">
        <v>4</v>
      </c>
      <c r="C13" s="48"/>
      <c r="D13" s="48">
        <v>6</v>
      </c>
      <c r="E13" s="87" t="s">
        <v>377</v>
      </c>
      <c r="F13" s="48" t="s">
        <v>14</v>
      </c>
      <c r="G13" s="48">
        <v>0</v>
      </c>
      <c r="H13" s="48" t="s">
        <v>17</v>
      </c>
      <c r="I13" s="48" t="s">
        <v>67</v>
      </c>
      <c r="J13" s="87"/>
      <c r="K13" s="88">
        <v>18445</v>
      </c>
      <c r="L13" s="89">
        <f t="shared" ref="L13:L17" si="2">YEAR(K13)</f>
        <v>1950</v>
      </c>
      <c r="M13" s="89">
        <f t="shared" si="0"/>
        <v>69</v>
      </c>
      <c r="N13" s="48" t="s">
        <v>11</v>
      </c>
      <c r="O13" s="48"/>
      <c r="P13" s="87" t="s">
        <v>18</v>
      </c>
      <c r="Q13" s="48"/>
      <c r="R13" s="87" t="s">
        <v>24</v>
      </c>
    </row>
    <row r="14" spans="2:18">
      <c r="B14" s="130">
        <v>5</v>
      </c>
      <c r="C14" s="130"/>
      <c r="D14" s="48">
        <v>7</v>
      </c>
      <c r="E14" s="87" t="s">
        <v>766</v>
      </c>
      <c r="F14" s="48" t="s">
        <v>14</v>
      </c>
      <c r="G14" s="48" t="s">
        <v>767</v>
      </c>
      <c r="H14" s="48" t="s">
        <v>9</v>
      </c>
      <c r="I14" s="48" t="s">
        <v>10</v>
      </c>
      <c r="J14" s="87"/>
      <c r="K14" s="88">
        <v>27014</v>
      </c>
      <c r="L14" s="89">
        <f t="shared" si="2"/>
        <v>1973</v>
      </c>
      <c r="M14" s="89">
        <f t="shared" si="0"/>
        <v>46</v>
      </c>
      <c r="N14" s="48" t="s">
        <v>11</v>
      </c>
      <c r="O14" s="48"/>
      <c r="P14" s="87" t="s">
        <v>28</v>
      </c>
      <c r="Q14" s="48"/>
      <c r="R14" s="87" t="s">
        <v>58</v>
      </c>
    </row>
    <row r="15" spans="2:18">
      <c r="B15" s="130"/>
      <c r="C15" s="130"/>
      <c r="D15" s="48">
        <v>8</v>
      </c>
      <c r="E15" s="87" t="s">
        <v>744</v>
      </c>
      <c r="F15" s="48" t="s">
        <v>20</v>
      </c>
      <c r="G15" s="48" t="s">
        <v>768</v>
      </c>
      <c r="H15" s="48" t="s">
        <v>17</v>
      </c>
      <c r="I15" s="48" t="s">
        <v>10</v>
      </c>
      <c r="J15" s="87"/>
      <c r="K15" s="88">
        <v>28125</v>
      </c>
      <c r="L15" s="89">
        <f t="shared" si="2"/>
        <v>1976</v>
      </c>
      <c r="M15" s="89">
        <f t="shared" si="0"/>
        <v>43</v>
      </c>
      <c r="N15" s="48" t="s">
        <v>11</v>
      </c>
      <c r="O15" s="48"/>
      <c r="P15" s="87" t="s">
        <v>12</v>
      </c>
      <c r="Q15" s="48"/>
      <c r="R15" s="87" t="s">
        <v>24</v>
      </c>
    </row>
    <row r="16" spans="2:18" ht="25.5">
      <c r="B16" s="130"/>
      <c r="C16" s="130"/>
      <c r="D16" s="48">
        <v>9</v>
      </c>
      <c r="E16" s="87" t="s">
        <v>769</v>
      </c>
      <c r="F16" s="48" t="s">
        <v>25</v>
      </c>
      <c r="G16" s="48" t="s">
        <v>770</v>
      </c>
      <c r="H16" s="48" t="s">
        <v>17</v>
      </c>
      <c r="I16" s="48" t="s">
        <v>23</v>
      </c>
      <c r="J16" s="87"/>
      <c r="K16" s="88">
        <v>36321</v>
      </c>
      <c r="L16" s="89">
        <f t="shared" si="2"/>
        <v>1999</v>
      </c>
      <c r="M16" s="89">
        <f t="shared" si="0"/>
        <v>20</v>
      </c>
      <c r="N16" s="48" t="s">
        <v>11</v>
      </c>
      <c r="O16" s="48"/>
      <c r="P16" s="87" t="s">
        <v>33</v>
      </c>
      <c r="Q16" s="48"/>
      <c r="R16" s="87" t="s">
        <v>18</v>
      </c>
    </row>
    <row r="17" spans="2:18" ht="25.5">
      <c r="B17" s="130"/>
      <c r="C17" s="130"/>
      <c r="D17" s="48">
        <v>10</v>
      </c>
      <c r="E17" s="87" t="s">
        <v>771</v>
      </c>
      <c r="F17" s="48" t="s">
        <v>25</v>
      </c>
      <c r="G17" s="48" t="s">
        <v>772</v>
      </c>
      <c r="H17" s="48" t="s">
        <v>17</v>
      </c>
      <c r="I17" s="48" t="s">
        <v>23</v>
      </c>
      <c r="J17" s="87"/>
      <c r="K17" s="88">
        <v>39039</v>
      </c>
      <c r="L17" s="89">
        <f t="shared" si="2"/>
        <v>2006</v>
      </c>
      <c r="M17" s="89">
        <f t="shared" si="0"/>
        <v>13</v>
      </c>
      <c r="N17" s="48" t="s">
        <v>11</v>
      </c>
      <c r="O17" s="48"/>
      <c r="P17" s="87" t="s">
        <v>18</v>
      </c>
      <c r="Q17" s="48"/>
      <c r="R17" s="87" t="s">
        <v>18</v>
      </c>
    </row>
    <row r="18" spans="2:18" ht="25.5">
      <c r="B18" s="130">
        <v>6</v>
      </c>
      <c r="C18" s="130" t="s">
        <v>1910</v>
      </c>
      <c r="D18" s="48">
        <v>11</v>
      </c>
      <c r="E18" s="87" t="s">
        <v>226</v>
      </c>
      <c r="F18" s="48" t="s">
        <v>14</v>
      </c>
      <c r="G18" s="48" t="s">
        <v>773</v>
      </c>
      <c r="H18" s="48" t="s">
        <v>9</v>
      </c>
      <c r="I18" s="48" t="s">
        <v>10</v>
      </c>
      <c r="J18" s="87" t="s">
        <v>1368</v>
      </c>
      <c r="K18" s="88">
        <v>30881</v>
      </c>
      <c r="L18" s="89">
        <v>1984</v>
      </c>
      <c r="M18" s="89">
        <f t="shared" si="0"/>
        <v>35</v>
      </c>
      <c r="N18" s="48" t="s">
        <v>11</v>
      </c>
      <c r="O18" s="48" t="s">
        <v>1369</v>
      </c>
      <c r="P18" s="87" t="s">
        <v>33</v>
      </c>
      <c r="Q18" s="48"/>
      <c r="R18" s="87" t="s">
        <v>1371</v>
      </c>
    </row>
    <row r="19" spans="2:18" ht="25.5">
      <c r="B19" s="130"/>
      <c r="C19" s="130"/>
      <c r="D19" s="48">
        <v>12</v>
      </c>
      <c r="E19" s="87" t="s">
        <v>774</v>
      </c>
      <c r="F19" s="48" t="s">
        <v>20</v>
      </c>
      <c r="G19" s="48" t="s">
        <v>1912</v>
      </c>
      <c r="H19" s="48" t="s">
        <v>17</v>
      </c>
      <c r="I19" s="48" t="s">
        <v>10</v>
      </c>
      <c r="J19" s="87" t="s">
        <v>1387</v>
      </c>
      <c r="K19" s="88">
        <v>34417</v>
      </c>
      <c r="L19" s="89">
        <v>1994</v>
      </c>
      <c r="M19" s="89">
        <f t="shared" si="0"/>
        <v>25</v>
      </c>
      <c r="N19" s="48" t="s">
        <v>11</v>
      </c>
      <c r="O19" s="48" t="s">
        <v>1369</v>
      </c>
      <c r="P19" s="87" t="s">
        <v>33</v>
      </c>
      <c r="Q19" s="48"/>
      <c r="R19" s="87" t="s">
        <v>1373</v>
      </c>
    </row>
    <row r="20" spans="2:18" ht="25.5">
      <c r="B20" s="130"/>
      <c r="C20" s="130"/>
      <c r="D20" s="48">
        <v>13</v>
      </c>
      <c r="E20" s="87" t="s">
        <v>1911</v>
      </c>
      <c r="F20" s="48" t="s">
        <v>25</v>
      </c>
      <c r="G20" s="48" t="s">
        <v>1913</v>
      </c>
      <c r="H20" s="48" t="s">
        <v>17</v>
      </c>
      <c r="I20" s="48" t="s">
        <v>23</v>
      </c>
      <c r="J20" s="87" t="s">
        <v>1368</v>
      </c>
      <c r="K20" s="88">
        <v>41520</v>
      </c>
      <c r="L20" s="89">
        <v>2013</v>
      </c>
      <c r="M20" s="89">
        <f t="shared" si="0"/>
        <v>6</v>
      </c>
      <c r="N20" s="48" t="s">
        <v>11</v>
      </c>
      <c r="O20" s="48" t="s">
        <v>1369</v>
      </c>
      <c r="P20" s="87" t="s">
        <v>1425</v>
      </c>
      <c r="Q20" s="48"/>
      <c r="R20" s="87" t="s">
        <v>1486</v>
      </c>
    </row>
    <row r="21" spans="2:18" ht="25.5">
      <c r="B21" s="130">
        <v>7</v>
      </c>
      <c r="C21" s="130"/>
      <c r="D21" s="48">
        <v>14</v>
      </c>
      <c r="E21" s="87" t="s">
        <v>775</v>
      </c>
      <c r="F21" s="48" t="s">
        <v>14</v>
      </c>
      <c r="G21" s="48" t="s">
        <v>777</v>
      </c>
      <c r="H21" s="48" t="s">
        <v>17</v>
      </c>
      <c r="I21" s="48" t="s">
        <v>67</v>
      </c>
      <c r="J21" s="87"/>
      <c r="K21" s="88">
        <v>18993</v>
      </c>
      <c r="L21" s="89">
        <f t="shared" ref="L21:L40" si="3">YEAR(K21)</f>
        <v>1951</v>
      </c>
      <c r="M21" s="89">
        <f t="shared" si="0"/>
        <v>68</v>
      </c>
      <c r="N21" s="48" t="s">
        <v>11</v>
      </c>
      <c r="O21" s="48"/>
      <c r="P21" s="87" t="s">
        <v>18</v>
      </c>
      <c r="Q21" s="48"/>
      <c r="R21" s="87" t="s">
        <v>776</v>
      </c>
    </row>
    <row r="22" spans="2:18">
      <c r="B22" s="130"/>
      <c r="C22" s="130"/>
      <c r="D22" s="48">
        <v>15</v>
      </c>
      <c r="E22" s="87" t="s">
        <v>778</v>
      </c>
      <c r="F22" s="48" t="s">
        <v>25</v>
      </c>
      <c r="G22" s="48" t="s">
        <v>779</v>
      </c>
      <c r="H22" s="48" t="s">
        <v>9</v>
      </c>
      <c r="I22" s="48" t="s">
        <v>23</v>
      </c>
      <c r="J22" s="87"/>
      <c r="K22" s="88">
        <v>32873</v>
      </c>
      <c r="L22" s="89">
        <f t="shared" si="3"/>
        <v>1989</v>
      </c>
      <c r="M22" s="89">
        <f t="shared" si="0"/>
        <v>30</v>
      </c>
      <c r="N22" s="48" t="s">
        <v>11</v>
      </c>
      <c r="O22" s="48"/>
      <c r="P22" s="87" t="s">
        <v>28</v>
      </c>
      <c r="Q22" s="48"/>
      <c r="R22" s="87" t="s">
        <v>24</v>
      </c>
    </row>
    <row r="23" spans="2:18">
      <c r="B23" s="130"/>
      <c r="C23" s="130"/>
      <c r="D23" s="48">
        <v>16</v>
      </c>
      <c r="E23" s="87" t="s">
        <v>780</v>
      </c>
      <c r="F23" s="48" t="s">
        <v>25</v>
      </c>
      <c r="G23" s="48" t="s">
        <v>781</v>
      </c>
      <c r="H23" s="48" t="s">
        <v>9</v>
      </c>
      <c r="I23" s="48" t="s">
        <v>23</v>
      </c>
      <c r="J23" s="87"/>
      <c r="K23" s="88">
        <v>33032</v>
      </c>
      <c r="L23" s="89">
        <f t="shared" si="3"/>
        <v>1990</v>
      </c>
      <c r="M23" s="89">
        <f t="shared" si="0"/>
        <v>29</v>
      </c>
      <c r="N23" s="48" t="s">
        <v>11</v>
      </c>
      <c r="O23" s="48"/>
      <c r="P23" s="87" t="s">
        <v>28</v>
      </c>
      <c r="Q23" s="48"/>
      <c r="R23" s="87" t="s">
        <v>24</v>
      </c>
    </row>
    <row r="24" spans="2:18">
      <c r="B24" s="130">
        <v>8</v>
      </c>
      <c r="C24" s="130"/>
      <c r="D24" s="48">
        <v>17</v>
      </c>
      <c r="E24" s="87" t="s">
        <v>782</v>
      </c>
      <c r="F24" s="48" t="s">
        <v>14</v>
      </c>
      <c r="G24" s="48">
        <v>0</v>
      </c>
      <c r="H24" s="48" t="s">
        <v>9</v>
      </c>
      <c r="I24" s="48" t="s">
        <v>10</v>
      </c>
      <c r="J24" s="87"/>
      <c r="K24" s="88">
        <v>27942</v>
      </c>
      <c r="L24" s="89">
        <f t="shared" si="3"/>
        <v>1976</v>
      </c>
      <c r="M24" s="89">
        <f t="shared" si="0"/>
        <v>43</v>
      </c>
      <c r="N24" s="48" t="s">
        <v>11</v>
      </c>
      <c r="O24" s="48"/>
      <c r="P24" s="87" t="s">
        <v>33</v>
      </c>
      <c r="Q24" s="48"/>
      <c r="R24" s="87" t="s">
        <v>24</v>
      </c>
    </row>
    <row r="25" spans="2:18">
      <c r="B25" s="130"/>
      <c r="C25" s="130"/>
      <c r="D25" s="48">
        <v>18</v>
      </c>
      <c r="E25" s="87" t="s">
        <v>783</v>
      </c>
      <c r="F25" s="48" t="s">
        <v>20</v>
      </c>
      <c r="G25" s="48" t="s">
        <v>784</v>
      </c>
      <c r="H25" s="48" t="s">
        <v>17</v>
      </c>
      <c r="I25" s="48" t="s">
        <v>10</v>
      </c>
      <c r="J25" s="87"/>
      <c r="K25" s="88">
        <v>28795</v>
      </c>
      <c r="L25" s="89">
        <f t="shared" si="3"/>
        <v>1978</v>
      </c>
      <c r="M25" s="89">
        <f t="shared" si="0"/>
        <v>41</v>
      </c>
      <c r="N25" s="48" t="s">
        <v>11</v>
      </c>
      <c r="O25" s="48"/>
      <c r="P25" s="87" t="s">
        <v>33</v>
      </c>
      <c r="Q25" s="48"/>
      <c r="R25" s="87" t="s">
        <v>18</v>
      </c>
    </row>
    <row r="26" spans="2:18" ht="25.5">
      <c r="B26" s="130">
        <v>9</v>
      </c>
      <c r="C26" s="130"/>
      <c r="D26" s="48">
        <v>19</v>
      </c>
      <c r="E26" s="87" t="s">
        <v>785</v>
      </c>
      <c r="F26" s="48" t="s">
        <v>14</v>
      </c>
      <c r="G26" s="48" t="s">
        <v>786</v>
      </c>
      <c r="H26" s="48" t="s">
        <v>9</v>
      </c>
      <c r="I26" s="48" t="s">
        <v>10</v>
      </c>
      <c r="J26" s="87"/>
      <c r="K26" s="88">
        <v>21002</v>
      </c>
      <c r="L26" s="89">
        <f t="shared" si="3"/>
        <v>1957</v>
      </c>
      <c r="M26" s="89">
        <f t="shared" si="0"/>
        <v>62</v>
      </c>
      <c r="N26" s="48" t="s">
        <v>11</v>
      </c>
      <c r="O26" s="48"/>
      <c r="P26" s="87" t="s">
        <v>18</v>
      </c>
      <c r="Q26" s="48"/>
      <c r="R26" s="87" t="s">
        <v>58</v>
      </c>
    </row>
    <row r="27" spans="2:18">
      <c r="B27" s="130"/>
      <c r="C27" s="130"/>
      <c r="D27" s="48">
        <v>20</v>
      </c>
      <c r="E27" s="87" t="s">
        <v>55</v>
      </c>
      <c r="F27" s="48" t="s">
        <v>20</v>
      </c>
      <c r="G27" s="48" t="s">
        <v>787</v>
      </c>
      <c r="H27" s="48" t="s">
        <v>17</v>
      </c>
      <c r="I27" s="48" t="s">
        <v>10</v>
      </c>
      <c r="J27" s="87"/>
      <c r="K27" s="88">
        <v>21367</v>
      </c>
      <c r="L27" s="89">
        <f t="shared" si="3"/>
        <v>1958</v>
      </c>
      <c r="M27" s="89">
        <f t="shared" si="0"/>
        <v>61</v>
      </c>
      <c r="N27" s="48" t="s">
        <v>11</v>
      </c>
      <c r="O27" s="48"/>
      <c r="P27" s="87" t="s">
        <v>18</v>
      </c>
      <c r="Q27" s="48"/>
      <c r="R27" s="87" t="s">
        <v>58</v>
      </c>
    </row>
    <row r="28" spans="2:18">
      <c r="B28" s="130"/>
      <c r="C28" s="130"/>
      <c r="D28" s="48">
        <v>21</v>
      </c>
      <c r="E28" s="87" t="s">
        <v>788</v>
      </c>
      <c r="F28" s="48" t="s">
        <v>25</v>
      </c>
      <c r="G28" s="48" t="s">
        <v>789</v>
      </c>
      <c r="H28" s="48" t="s">
        <v>9</v>
      </c>
      <c r="I28" s="48" t="s">
        <v>23</v>
      </c>
      <c r="J28" s="87"/>
      <c r="K28" s="88">
        <v>31412</v>
      </c>
      <c r="L28" s="89">
        <f t="shared" si="3"/>
        <v>1985</v>
      </c>
      <c r="M28" s="89">
        <f t="shared" si="0"/>
        <v>34</v>
      </c>
      <c r="N28" s="48" t="s">
        <v>11</v>
      </c>
      <c r="O28" s="48"/>
      <c r="P28" s="87" t="s">
        <v>12</v>
      </c>
      <c r="Q28" s="48"/>
      <c r="R28" s="87" t="s">
        <v>24</v>
      </c>
    </row>
    <row r="29" spans="2:18">
      <c r="B29" s="48">
        <v>10</v>
      </c>
      <c r="C29" s="48"/>
      <c r="D29" s="48">
        <v>22</v>
      </c>
      <c r="E29" s="87" t="s">
        <v>790</v>
      </c>
      <c r="F29" s="48" t="s">
        <v>14</v>
      </c>
      <c r="G29" s="48" t="s">
        <v>791</v>
      </c>
      <c r="H29" s="48" t="s">
        <v>17</v>
      </c>
      <c r="I29" s="48" t="s">
        <v>67</v>
      </c>
      <c r="J29" s="87"/>
      <c r="K29" s="88">
        <v>18628</v>
      </c>
      <c r="L29" s="89">
        <f t="shared" si="3"/>
        <v>1950</v>
      </c>
      <c r="M29" s="89">
        <f t="shared" si="0"/>
        <v>69</v>
      </c>
      <c r="N29" s="48" t="s">
        <v>11</v>
      </c>
      <c r="O29" s="48"/>
      <c r="P29" s="87" t="s">
        <v>18</v>
      </c>
      <c r="Q29" s="48"/>
      <c r="R29" s="87" t="s">
        <v>18</v>
      </c>
    </row>
    <row r="30" spans="2:18">
      <c r="B30" s="130">
        <v>11</v>
      </c>
      <c r="C30" s="130"/>
      <c r="D30" s="48">
        <v>23</v>
      </c>
      <c r="E30" s="87" t="s">
        <v>792</v>
      </c>
      <c r="F30" s="48" t="s">
        <v>14</v>
      </c>
      <c r="G30" s="48" t="s">
        <v>793</v>
      </c>
      <c r="H30" s="48" t="s">
        <v>9</v>
      </c>
      <c r="I30" s="48" t="s">
        <v>10</v>
      </c>
      <c r="J30" s="87"/>
      <c r="K30" s="88">
        <v>29924</v>
      </c>
      <c r="L30" s="89">
        <f t="shared" si="3"/>
        <v>1981</v>
      </c>
      <c r="M30" s="89">
        <f t="shared" si="0"/>
        <v>38</v>
      </c>
      <c r="N30" s="48" t="s">
        <v>11</v>
      </c>
      <c r="O30" s="48"/>
      <c r="P30" s="87" t="s">
        <v>33</v>
      </c>
      <c r="Q30" s="48"/>
      <c r="R30" s="87" t="s">
        <v>24</v>
      </c>
    </row>
    <row r="31" spans="2:18">
      <c r="B31" s="130"/>
      <c r="C31" s="130"/>
      <c r="D31" s="48">
        <v>24</v>
      </c>
      <c r="E31" s="87" t="s">
        <v>794</v>
      </c>
      <c r="F31" s="48" t="s">
        <v>20</v>
      </c>
      <c r="G31" s="48" t="s">
        <v>795</v>
      </c>
      <c r="H31" s="48" t="s">
        <v>17</v>
      </c>
      <c r="I31" s="48" t="s">
        <v>10</v>
      </c>
      <c r="J31" s="87"/>
      <c r="K31" s="88">
        <v>30510</v>
      </c>
      <c r="L31" s="89">
        <f t="shared" si="3"/>
        <v>1983</v>
      </c>
      <c r="M31" s="89">
        <f t="shared" si="0"/>
        <v>36</v>
      </c>
      <c r="N31" s="48" t="s">
        <v>11</v>
      </c>
      <c r="O31" s="48"/>
      <c r="P31" s="87" t="s">
        <v>28</v>
      </c>
      <c r="Q31" s="48"/>
      <c r="R31" s="87" t="s">
        <v>24</v>
      </c>
    </row>
    <row r="32" spans="2:18">
      <c r="B32" s="130"/>
      <c r="C32" s="130"/>
      <c r="D32" s="48">
        <v>25</v>
      </c>
      <c r="E32" s="87" t="s">
        <v>796</v>
      </c>
      <c r="F32" s="48" t="s">
        <v>25</v>
      </c>
      <c r="G32" s="48" t="s">
        <v>797</v>
      </c>
      <c r="H32" s="48" t="s">
        <v>17</v>
      </c>
      <c r="I32" s="48" t="s">
        <v>23</v>
      </c>
      <c r="J32" s="87"/>
      <c r="K32" s="88">
        <v>39912</v>
      </c>
      <c r="L32" s="89">
        <f t="shared" si="3"/>
        <v>2009</v>
      </c>
      <c r="M32" s="89">
        <f t="shared" si="0"/>
        <v>10</v>
      </c>
      <c r="N32" s="48" t="s">
        <v>11</v>
      </c>
      <c r="O32" s="48"/>
      <c r="P32" s="87" t="s">
        <v>18</v>
      </c>
      <c r="Q32" s="48"/>
      <c r="R32" s="87" t="s">
        <v>18</v>
      </c>
    </row>
    <row r="33" spans="2:18">
      <c r="B33" s="130">
        <v>12</v>
      </c>
      <c r="C33" s="130"/>
      <c r="D33" s="48">
        <v>26</v>
      </c>
      <c r="E33" s="87" t="s">
        <v>798</v>
      </c>
      <c r="F33" s="48" t="s">
        <v>14</v>
      </c>
      <c r="G33" s="48" t="s">
        <v>799</v>
      </c>
      <c r="H33" s="48" t="s">
        <v>9</v>
      </c>
      <c r="I33" s="48" t="s">
        <v>10</v>
      </c>
      <c r="J33" s="87"/>
      <c r="K33" s="88">
        <v>26938</v>
      </c>
      <c r="L33" s="89">
        <f t="shared" si="3"/>
        <v>1973</v>
      </c>
      <c r="M33" s="89">
        <f t="shared" si="0"/>
        <v>46</v>
      </c>
      <c r="N33" s="48" t="s">
        <v>11</v>
      </c>
      <c r="O33" s="48"/>
      <c r="P33" s="87" t="s">
        <v>18</v>
      </c>
      <c r="Q33" s="48"/>
      <c r="R33" s="87" t="s">
        <v>24</v>
      </c>
    </row>
    <row r="34" spans="2:18">
      <c r="B34" s="130"/>
      <c r="C34" s="130"/>
      <c r="D34" s="48">
        <v>27</v>
      </c>
      <c r="E34" s="87" t="s">
        <v>800</v>
      </c>
      <c r="F34" s="48" t="s">
        <v>20</v>
      </c>
      <c r="G34" s="48" t="s">
        <v>801</v>
      </c>
      <c r="H34" s="48" t="s">
        <v>17</v>
      </c>
      <c r="I34" s="48" t="s">
        <v>10</v>
      </c>
      <c r="J34" s="87"/>
      <c r="K34" s="88">
        <v>30022</v>
      </c>
      <c r="L34" s="89">
        <f t="shared" si="3"/>
        <v>1982</v>
      </c>
      <c r="M34" s="89">
        <f t="shared" si="0"/>
        <v>37</v>
      </c>
      <c r="N34" s="48" t="s">
        <v>11</v>
      </c>
      <c r="O34" s="48"/>
      <c r="P34" s="87" t="s">
        <v>28</v>
      </c>
      <c r="Q34" s="48"/>
      <c r="R34" s="87" t="s">
        <v>18</v>
      </c>
    </row>
    <row r="35" spans="2:18" ht="25.5">
      <c r="B35" s="130"/>
      <c r="C35" s="130"/>
      <c r="D35" s="48">
        <v>28</v>
      </c>
      <c r="E35" s="87" t="s">
        <v>802</v>
      </c>
      <c r="F35" s="48" t="s">
        <v>25</v>
      </c>
      <c r="G35" s="48" t="s">
        <v>803</v>
      </c>
      <c r="H35" s="48" t="s">
        <v>9</v>
      </c>
      <c r="I35" s="48" t="s">
        <v>23</v>
      </c>
      <c r="J35" s="87"/>
      <c r="K35" s="88">
        <v>37444</v>
      </c>
      <c r="L35" s="89">
        <f t="shared" si="3"/>
        <v>2002</v>
      </c>
      <c r="M35" s="89">
        <f t="shared" si="0"/>
        <v>17</v>
      </c>
      <c r="N35" s="48" t="s">
        <v>11</v>
      </c>
      <c r="O35" s="48"/>
      <c r="P35" s="87" t="s">
        <v>18</v>
      </c>
      <c r="Q35" s="48"/>
      <c r="R35" s="87" t="s">
        <v>18</v>
      </c>
    </row>
    <row r="36" spans="2:18">
      <c r="B36" s="130"/>
      <c r="C36" s="130"/>
      <c r="D36" s="48">
        <v>29</v>
      </c>
      <c r="E36" s="87" t="s">
        <v>804</v>
      </c>
      <c r="F36" s="48" t="s">
        <v>25</v>
      </c>
      <c r="G36" s="48" t="s">
        <v>805</v>
      </c>
      <c r="H36" s="48" t="s">
        <v>9</v>
      </c>
      <c r="I36" s="48" t="s">
        <v>23</v>
      </c>
      <c r="J36" s="87"/>
      <c r="K36" s="88">
        <v>41562</v>
      </c>
      <c r="L36" s="89">
        <f t="shared" si="3"/>
        <v>2013</v>
      </c>
      <c r="M36" s="89">
        <f t="shared" si="0"/>
        <v>6</v>
      </c>
      <c r="N36" s="48" t="s">
        <v>11</v>
      </c>
      <c r="O36" s="48"/>
      <c r="P36" s="87" t="s">
        <v>18</v>
      </c>
      <c r="Q36" s="48"/>
      <c r="R36" s="87" t="s">
        <v>18</v>
      </c>
    </row>
    <row r="37" spans="2:18">
      <c r="B37" s="48">
        <v>13</v>
      </c>
      <c r="C37" s="48"/>
      <c r="D37" s="48">
        <v>30</v>
      </c>
      <c r="E37" s="87" t="s">
        <v>806</v>
      </c>
      <c r="F37" s="48" t="s">
        <v>14</v>
      </c>
      <c r="G37" s="48" t="s">
        <v>807</v>
      </c>
      <c r="H37" s="48" t="s">
        <v>17</v>
      </c>
      <c r="I37" s="48" t="s">
        <v>67</v>
      </c>
      <c r="J37" s="87"/>
      <c r="K37" s="88">
        <v>22828</v>
      </c>
      <c r="L37" s="89">
        <f t="shared" si="3"/>
        <v>1962</v>
      </c>
      <c r="M37" s="89">
        <f t="shared" si="0"/>
        <v>57</v>
      </c>
      <c r="N37" s="48" t="s">
        <v>11</v>
      </c>
      <c r="O37" s="48"/>
      <c r="P37" s="87" t="s">
        <v>18</v>
      </c>
      <c r="Q37" s="48"/>
      <c r="R37" s="87" t="s">
        <v>18</v>
      </c>
    </row>
    <row r="38" spans="2:18" ht="25.5">
      <c r="B38" s="48">
        <v>14</v>
      </c>
      <c r="C38" s="48"/>
      <c r="D38" s="48">
        <v>31</v>
      </c>
      <c r="E38" s="87" t="s">
        <v>808</v>
      </c>
      <c r="F38" s="48" t="s">
        <v>14</v>
      </c>
      <c r="G38" s="48" t="s">
        <v>809</v>
      </c>
      <c r="H38" s="48" t="s">
        <v>17</v>
      </c>
      <c r="I38" s="48" t="s">
        <v>67</v>
      </c>
      <c r="J38" s="87"/>
      <c r="K38" s="88">
        <v>24107</v>
      </c>
      <c r="L38" s="89">
        <f t="shared" si="3"/>
        <v>1965</v>
      </c>
      <c r="M38" s="89">
        <f t="shared" si="0"/>
        <v>54</v>
      </c>
      <c r="N38" s="48" t="s">
        <v>11</v>
      </c>
      <c r="O38" s="48"/>
      <c r="P38" s="87" t="s">
        <v>18</v>
      </c>
      <c r="Q38" s="48"/>
      <c r="R38" s="87" t="s">
        <v>19</v>
      </c>
    </row>
    <row r="39" spans="2:18" ht="25.5">
      <c r="B39" s="130">
        <v>15</v>
      </c>
      <c r="C39" s="130"/>
      <c r="D39" s="48">
        <v>32</v>
      </c>
      <c r="E39" s="87" t="s">
        <v>810</v>
      </c>
      <c r="F39" s="48" t="s">
        <v>14</v>
      </c>
      <c r="G39" s="48">
        <v>0</v>
      </c>
      <c r="H39" s="48" t="s">
        <v>9</v>
      </c>
      <c r="I39" s="48" t="s">
        <v>10</v>
      </c>
      <c r="J39" s="87"/>
      <c r="K39" s="88">
        <v>32329</v>
      </c>
      <c r="L39" s="89">
        <f t="shared" si="3"/>
        <v>1988</v>
      </c>
      <c r="M39" s="89">
        <f t="shared" si="0"/>
        <v>31</v>
      </c>
      <c r="N39" s="48" t="s">
        <v>11</v>
      </c>
      <c r="O39" s="48"/>
      <c r="P39" s="87" t="s">
        <v>12</v>
      </c>
      <c r="Q39" s="48"/>
      <c r="R39" s="87" t="s">
        <v>24</v>
      </c>
    </row>
    <row r="40" spans="2:18" ht="25.5">
      <c r="B40" s="130"/>
      <c r="C40" s="130"/>
      <c r="D40" s="48">
        <v>33</v>
      </c>
      <c r="E40" s="87" t="s">
        <v>811</v>
      </c>
      <c r="F40" s="48" t="s">
        <v>20</v>
      </c>
      <c r="G40" s="48" t="s">
        <v>812</v>
      </c>
      <c r="H40" s="48" t="s">
        <v>17</v>
      </c>
      <c r="I40" s="48" t="s">
        <v>10</v>
      </c>
      <c r="J40" s="87"/>
      <c r="K40" s="88">
        <v>34469</v>
      </c>
      <c r="L40" s="89">
        <f t="shared" si="3"/>
        <v>1994</v>
      </c>
      <c r="M40" s="89">
        <f t="shared" si="0"/>
        <v>25</v>
      </c>
      <c r="N40" s="48" t="s">
        <v>11</v>
      </c>
      <c r="O40" s="48"/>
      <c r="P40" s="87" t="s">
        <v>12</v>
      </c>
      <c r="Q40" s="48"/>
      <c r="R40" s="87" t="s">
        <v>18</v>
      </c>
    </row>
    <row r="41" spans="2:18">
      <c r="B41" s="130">
        <v>16</v>
      </c>
      <c r="C41" s="130" t="s">
        <v>1920</v>
      </c>
      <c r="D41" s="48">
        <v>34</v>
      </c>
      <c r="E41" s="87" t="s">
        <v>588</v>
      </c>
      <c r="F41" s="48" t="s">
        <v>14</v>
      </c>
      <c r="G41" s="48" t="s">
        <v>813</v>
      </c>
      <c r="H41" s="48" t="s">
        <v>9</v>
      </c>
      <c r="I41" s="48" t="s">
        <v>10</v>
      </c>
      <c r="J41" s="87" t="s">
        <v>1387</v>
      </c>
      <c r="K41" s="88">
        <v>24837</v>
      </c>
      <c r="L41" s="89">
        <v>1967</v>
      </c>
      <c r="M41" s="89">
        <f t="shared" si="0"/>
        <v>52</v>
      </c>
      <c r="N41" s="48" t="s">
        <v>11</v>
      </c>
      <c r="O41" s="48" t="s">
        <v>1369</v>
      </c>
      <c r="P41" s="87" t="s">
        <v>28</v>
      </c>
      <c r="Q41" s="48"/>
      <c r="R41" s="87" t="s">
        <v>49</v>
      </c>
    </row>
    <row r="42" spans="2:18" ht="25.5">
      <c r="B42" s="130"/>
      <c r="C42" s="130"/>
      <c r="D42" s="48">
        <v>35</v>
      </c>
      <c r="E42" s="87" t="s">
        <v>814</v>
      </c>
      <c r="F42" s="48" t="s">
        <v>20</v>
      </c>
      <c r="G42" s="48" t="s">
        <v>815</v>
      </c>
      <c r="H42" s="48" t="s">
        <v>17</v>
      </c>
      <c r="I42" s="48" t="s">
        <v>10</v>
      </c>
      <c r="J42" s="87" t="s">
        <v>1387</v>
      </c>
      <c r="K42" s="88">
        <v>25933</v>
      </c>
      <c r="L42" s="89">
        <v>1970</v>
      </c>
      <c r="M42" s="89">
        <f t="shared" si="0"/>
        <v>49</v>
      </c>
      <c r="N42" s="48" t="s">
        <v>11</v>
      </c>
      <c r="O42" s="48" t="s">
        <v>1369</v>
      </c>
      <c r="P42" s="87" t="s">
        <v>28</v>
      </c>
      <c r="Q42" s="48"/>
      <c r="R42" s="87" t="s">
        <v>1373</v>
      </c>
    </row>
    <row r="43" spans="2:18">
      <c r="B43" s="130"/>
      <c r="C43" s="130"/>
      <c r="D43" s="48">
        <v>36</v>
      </c>
      <c r="E43" s="87" t="s">
        <v>816</v>
      </c>
      <c r="F43" s="48" t="s">
        <v>25</v>
      </c>
      <c r="G43" s="48" t="s">
        <v>817</v>
      </c>
      <c r="H43" s="48" t="s">
        <v>9</v>
      </c>
      <c r="I43" s="48" t="s">
        <v>23</v>
      </c>
      <c r="J43" s="87" t="s">
        <v>1368</v>
      </c>
      <c r="K43" s="88">
        <v>34103</v>
      </c>
      <c r="L43" s="89">
        <v>1993</v>
      </c>
      <c r="M43" s="89">
        <f t="shared" si="0"/>
        <v>26</v>
      </c>
      <c r="N43" s="48" t="s">
        <v>11</v>
      </c>
      <c r="O43" s="48" t="s">
        <v>1369</v>
      </c>
      <c r="P43" s="87" t="s">
        <v>12</v>
      </c>
      <c r="Q43" s="48"/>
      <c r="R43" s="87" t="s">
        <v>13</v>
      </c>
    </row>
    <row r="44" spans="2:18" ht="25.5">
      <c r="B44" s="130">
        <v>17</v>
      </c>
      <c r="C44" s="130" t="s">
        <v>1495</v>
      </c>
      <c r="D44" s="48">
        <v>37</v>
      </c>
      <c r="E44" s="87" t="s">
        <v>1496</v>
      </c>
      <c r="F44" s="48" t="s">
        <v>14</v>
      </c>
      <c r="G44" s="48" t="s">
        <v>818</v>
      </c>
      <c r="H44" s="48" t="s">
        <v>9</v>
      </c>
      <c r="I44" s="48" t="s">
        <v>10</v>
      </c>
      <c r="J44" s="87" t="s">
        <v>1368</v>
      </c>
      <c r="K44" s="88">
        <v>26543</v>
      </c>
      <c r="L44" s="89">
        <v>1972</v>
      </c>
      <c r="M44" s="89">
        <f t="shared" si="0"/>
        <v>47</v>
      </c>
      <c r="N44" s="48" t="s">
        <v>11</v>
      </c>
      <c r="O44" s="48"/>
      <c r="P44" s="87" t="s">
        <v>1393</v>
      </c>
      <c r="Q44" s="48"/>
      <c r="R44" s="87" t="s">
        <v>1371</v>
      </c>
    </row>
    <row r="45" spans="2:18" ht="25.5">
      <c r="B45" s="130"/>
      <c r="C45" s="130"/>
      <c r="D45" s="48">
        <v>38</v>
      </c>
      <c r="E45" s="87" t="s">
        <v>254</v>
      </c>
      <c r="F45" s="48" t="s">
        <v>20</v>
      </c>
      <c r="G45" s="48" t="s">
        <v>819</v>
      </c>
      <c r="H45" s="48" t="s">
        <v>17</v>
      </c>
      <c r="I45" s="48" t="s">
        <v>10</v>
      </c>
      <c r="J45" s="87" t="s">
        <v>1368</v>
      </c>
      <c r="K45" s="88">
        <v>28164</v>
      </c>
      <c r="L45" s="89">
        <v>1977</v>
      </c>
      <c r="M45" s="89">
        <f t="shared" si="0"/>
        <v>42</v>
      </c>
      <c r="N45" s="48" t="s">
        <v>11</v>
      </c>
      <c r="O45" s="48"/>
      <c r="P45" s="87" t="s">
        <v>1393</v>
      </c>
      <c r="Q45" s="48"/>
      <c r="R45" s="87" t="s">
        <v>1373</v>
      </c>
    </row>
    <row r="46" spans="2:18" ht="25.5">
      <c r="B46" s="130"/>
      <c r="C46" s="130"/>
      <c r="D46" s="48">
        <v>39</v>
      </c>
      <c r="E46" s="87" t="s">
        <v>1497</v>
      </c>
      <c r="F46" s="48" t="s">
        <v>1457</v>
      </c>
      <c r="G46" s="48" t="s">
        <v>1498</v>
      </c>
      <c r="H46" s="48" t="s">
        <v>17</v>
      </c>
      <c r="I46" s="48" t="s">
        <v>1448</v>
      </c>
      <c r="J46" s="87" t="s">
        <v>1368</v>
      </c>
      <c r="K46" s="88">
        <v>19359</v>
      </c>
      <c r="L46" s="89">
        <v>1952</v>
      </c>
      <c r="M46" s="89">
        <f t="shared" si="0"/>
        <v>67</v>
      </c>
      <c r="N46" s="48" t="s">
        <v>11</v>
      </c>
      <c r="O46" s="48"/>
      <c r="P46" s="87" t="s">
        <v>1393</v>
      </c>
      <c r="Q46" s="48"/>
      <c r="R46" s="87" t="s">
        <v>1373</v>
      </c>
    </row>
    <row r="47" spans="2:18" ht="25.5">
      <c r="B47" s="130">
        <v>18</v>
      </c>
      <c r="C47" s="130"/>
      <c r="D47" s="48">
        <v>40</v>
      </c>
      <c r="E47" s="87" t="s">
        <v>820</v>
      </c>
      <c r="F47" s="48" t="s">
        <v>14</v>
      </c>
      <c r="G47" s="48" t="s">
        <v>821</v>
      </c>
      <c r="H47" s="48" t="s">
        <v>9</v>
      </c>
      <c r="I47" s="48" t="s">
        <v>10</v>
      </c>
      <c r="J47" s="87"/>
      <c r="K47" s="88">
        <v>32885</v>
      </c>
      <c r="L47" s="89">
        <f t="shared" ref="L47:L62" si="4">YEAR(K47)</f>
        <v>1990</v>
      </c>
      <c r="M47" s="89">
        <f t="shared" si="0"/>
        <v>29</v>
      </c>
      <c r="N47" s="48" t="s">
        <v>11</v>
      </c>
      <c r="O47" s="48"/>
      <c r="P47" s="87" t="s">
        <v>12</v>
      </c>
      <c r="Q47" s="48"/>
      <c r="R47" s="87" t="s">
        <v>24</v>
      </c>
    </row>
    <row r="48" spans="2:18">
      <c r="B48" s="130"/>
      <c r="C48" s="130"/>
      <c r="D48" s="48">
        <v>41</v>
      </c>
      <c r="E48" s="87" t="s">
        <v>822</v>
      </c>
      <c r="F48" s="48" t="s">
        <v>20</v>
      </c>
      <c r="G48" s="48" t="s">
        <v>823</v>
      </c>
      <c r="H48" s="48" t="s">
        <v>17</v>
      </c>
      <c r="I48" s="48" t="s">
        <v>10</v>
      </c>
      <c r="J48" s="87"/>
      <c r="K48" s="88">
        <v>33919</v>
      </c>
      <c r="L48" s="89">
        <f t="shared" si="4"/>
        <v>1992</v>
      </c>
      <c r="M48" s="89">
        <f t="shared" si="0"/>
        <v>27</v>
      </c>
      <c r="N48" s="48" t="s">
        <v>11</v>
      </c>
      <c r="O48" s="48"/>
      <c r="P48" s="87" t="s">
        <v>12</v>
      </c>
      <c r="Q48" s="48"/>
      <c r="R48" s="87" t="s">
        <v>24</v>
      </c>
    </row>
    <row r="49" spans="2:18" ht="25.5">
      <c r="B49" s="130"/>
      <c r="C49" s="130"/>
      <c r="D49" s="48">
        <v>42</v>
      </c>
      <c r="E49" s="87" t="s">
        <v>824</v>
      </c>
      <c r="F49" s="48" t="s">
        <v>25</v>
      </c>
      <c r="G49" s="48" t="s">
        <v>825</v>
      </c>
      <c r="H49" s="48" t="s">
        <v>17</v>
      </c>
      <c r="I49" s="48" t="s">
        <v>23</v>
      </c>
      <c r="J49" s="87"/>
      <c r="K49" s="88">
        <v>40415</v>
      </c>
      <c r="L49" s="89">
        <f t="shared" si="4"/>
        <v>2010</v>
      </c>
      <c r="M49" s="89">
        <f t="shared" si="0"/>
        <v>9</v>
      </c>
      <c r="N49" s="48" t="s">
        <v>11</v>
      </c>
      <c r="O49" s="48"/>
      <c r="P49" s="87" t="s">
        <v>18</v>
      </c>
      <c r="Q49" s="48"/>
      <c r="R49" s="87" t="s">
        <v>18</v>
      </c>
    </row>
    <row r="50" spans="2:18">
      <c r="B50" s="130"/>
      <c r="C50" s="130"/>
      <c r="D50" s="48">
        <v>43</v>
      </c>
      <c r="E50" s="87" t="s">
        <v>826</v>
      </c>
      <c r="F50" s="48" t="s">
        <v>25</v>
      </c>
      <c r="G50" s="48" t="s">
        <v>827</v>
      </c>
      <c r="H50" s="48" t="s">
        <v>17</v>
      </c>
      <c r="I50" s="48" t="s">
        <v>23</v>
      </c>
      <c r="J50" s="87"/>
      <c r="K50" s="88">
        <v>41197</v>
      </c>
      <c r="L50" s="89">
        <f t="shared" si="4"/>
        <v>2012</v>
      </c>
      <c r="M50" s="89">
        <f t="shared" si="0"/>
        <v>7</v>
      </c>
      <c r="N50" s="48" t="s">
        <v>11</v>
      </c>
      <c r="O50" s="48"/>
      <c r="P50" s="87" t="s">
        <v>18</v>
      </c>
      <c r="Q50" s="48"/>
      <c r="R50" s="87" t="s">
        <v>18</v>
      </c>
    </row>
    <row r="51" spans="2:18" ht="25.5">
      <c r="B51" s="130">
        <v>19</v>
      </c>
      <c r="C51" s="130"/>
      <c r="D51" s="48">
        <v>44</v>
      </c>
      <c r="E51" s="87" t="s">
        <v>828</v>
      </c>
      <c r="F51" s="48" t="s">
        <v>14</v>
      </c>
      <c r="G51" s="48" t="s">
        <v>829</v>
      </c>
      <c r="H51" s="48" t="s">
        <v>9</v>
      </c>
      <c r="I51" s="48" t="s">
        <v>10</v>
      </c>
      <c r="J51" s="87"/>
      <c r="K51" s="88">
        <v>19176</v>
      </c>
      <c r="L51" s="89">
        <f t="shared" si="4"/>
        <v>1952</v>
      </c>
      <c r="M51" s="89">
        <f t="shared" si="0"/>
        <v>67</v>
      </c>
      <c r="N51" s="48" t="s">
        <v>11</v>
      </c>
      <c r="O51" s="48"/>
      <c r="P51" s="87" t="s">
        <v>18</v>
      </c>
      <c r="Q51" s="48"/>
      <c r="R51" s="87" t="s">
        <v>58</v>
      </c>
    </row>
    <row r="52" spans="2:18">
      <c r="B52" s="130"/>
      <c r="C52" s="130"/>
      <c r="D52" s="48">
        <v>45</v>
      </c>
      <c r="E52" s="87" t="s">
        <v>830</v>
      </c>
      <c r="F52" s="48" t="s">
        <v>20</v>
      </c>
      <c r="G52" s="48" t="s">
        <v>831</v>
      </c>
      <c r="H52" s="48" t="s">
        <v>17</v>
      </c>
      <c r="I52" s="48" t="s">
        <v>10</v>
      </c>
      <c r="J52" s="87"/>
      <c r="K52" s="88">
        <v>21648</v>
      </c>
      <c r="L52" s="89">
        <f t="shared" si="4"/>
        <v>1959</v>
      </c>
      <c r="M52" s="89">
        <f t="shared" si="0"/>
        <v>60</v>
      </c>
      <c r="N52" s="48" t="s">
        <v>11</v>
      </c>
      <c r="O52" s="48"/>
      <c r="P52" s="87" t="s">
        <v>18</v>
      </c>
      <c r="Q52" s="48"/>
      <c r="R52" s="87" t="s">
        <v>19</v>
      </c>
    </row>
    <row r="53" spans="2:18">
      <c r="B53" s="130"/>
      <c r="C53" s="130"/>
      <c r="D53" s="48">
        <v>46</v>
      </c>
      <c r="E53" s="87" t="s">
        <v>832</v>
      </c>
      <c r="F53" s="48" t="s">
        <v>25</v>
      </c>
      <c r="G53" s="48" t="s">
        <v>833</v>
      </c>
      <c r="H53" s="48" t="s">
        <v>17</v>
      </c>
      <c r="I53" s="48" t="s">
        <v>23</v>
      </c>
      <c r="J53" s="87"/>
      <c r="K53" s="88">
        <v>32142</v>
      </c>
      <c r="L53" s="89">
        <f t="shared" si="4"/>
        <v>1987</v>
      </c>
      <c r="M53" s="89">
        <f t="shared" si="0"/>
        <v>32</v>
      </c>
      <c r="N53" s="48" t="s">
        <v>11</v>
      </c>
      <c r="O53" s="48"/>
      <c r="P53" s="87" t="s">
        <v>36</v>
      </c>
      <c r="Q53" s="48"/>
      <c r="R53" s="87" t="s">
        <v>13</v>
      </c>
    </row>
    <row r="54" spans="2:18">
      <c r="B54" s="130">
        <v>20</v>
      </c>
      <c r="C54" s="130"/>
      <c r="D54" s="48">
        <v>47</v>
      </c>
      <c r="E54" s="87" t="s">
        <v>834</v>
      </c>
      <c r="F54" s="48" t="s">
        <v>14</v>
      </c>
      <c r="G54" s="48" t="s">
        <v>835</v>
      </c>
      <c r="H54" s="48" t="s">
        <v>9</v>
      </c>
      <c r="I54" s="48" t="s">
        <v>10</v>
      </c>
      <c r="J54" s="87"/>
      <c r="K54" s="88">
        <v>27454</v>
      </c>
      <c r="L54" s="89">
        <f t="shared" si="4"/>
        <v>1975</v>
      </c>
      <c r="M54" s="89">
        <f t="shared" si="0"/>
        <v>44</v>
      </c>
      <c r="N54" s="48" t="s">
        <v>11</v>
      </c>
      <c r="O54" s="48"/>
      <c r="P54" s="87" t="s">
        <v>18</v>
      </c>
      <c r="Q54" s="48"/>
      <c r="R54" s="87" t="s">
        <v>24</v>
      </c>
    </row>
    <row r="55" spans="2:18">
      <c r="B55" s="130"/>
      <c r="C55" s="130"/>
      <c r="D55" s="48">
        <v>48</v>
      </c>
      <c r="E55" s="87" t="s">
        <v>836</v>
      </c>
      <c r="F55" s="48" t="s">
        <v>20</v>
      </c>
      <c r="G55" s="48" t="s">
        <v>837</v>
      </c>
      <c r="H55" s="48" t="s">
        <v>17</v>
      </c>
      <c r="I55" s="48" t="s">
        <v>10</v>
      </c>
      <c r="J55" s="87"/>
      <c r="K55" s="88">
        <v>27440</v>
      </c>
      <c r="L55" s="89">
        <f t="shared" si="4"/>
        <v>1975</v>
      </c>
      <c r="M55" s="89">
        <f t="shared" si="0"/>
        <v>44</v>
      </c>
      <c r="N55" s="48" t="s">
        <v>11</v>
      </c>
      <c r="O55" s="48"/>
      <c r="P55" s="87" t="s">
        <v>28</v>
      </c>
      <c r="Q55" s="48"/>
      <c r="R55" s="87" t="s">
        <v>19</v>
      </c>
    </row>
    <row r="56" spans="2:18" ht="25.5">
      <c r="B56" s="130"/>
      <c r="C56" s="130"/>
      <c r="D56" s="48">
        <v>49</v>
      </c>
      <c r="E56" s="87" t="s">
        <v>838</v>
      </c>
      <c r="F56" s="48" t="s">
        <v>25</v>
      </c>
      <c r="G56" s="48" t="s">
        <v>839</v>
      </c>
      <c r="H56" s="48" t="s">
        <v>17</v>
      </c>
      <c r="I56" s="48" t="s">
        <v>23</v>
      </c>
      <c r="J56" s="87"/>
      <c r="K56" s="88">
        <v>35996</v>
      </c>
      <c r="L56" s="89">
        <f t="shared" si="4"/>
        <v>1998</v>
      </c>
      <c r="M56" s="89">
        <f t="shared" si="0"/>
        <v>21</v>
      </c>
      <c r="N56" s="48" t="s">
        <v>11</v>
      </c>
      <c r="O56" s="48"/>
      <c r="P56" s="87" t="s">
        <v>18</v>
      </c>
      <c r="Q56" s="48"/>
      <c r="R56" s="87" t="s">
        <v>18</v>
      </c>
    </row>
    <row r="57" spans="2:18" ht="25.5">
      <c r="B57" s="130"/>
      <c r="C57" s="130"/>
      <c r="D57" s="48">
        <v>50</v>
      </c>
      <c r="E57" s="87" t="s">
        <v>840</v>
      </c>
      <c r="F57" s="48" t="s">
        <v>25</v>
      </c>
      <c r="G57" s="48" t="s">
        <v>841</v>
      </c>
      <c r="H57" s="48" t="s">
        <v>9</v>
      </c>
      <c r="I57" s="48" t="s">
        <v>23</v>
      </c>
      <c r="J57" s="87"/>
      <c r="K57" s="88">
        <v>38394</v>
      </c>
      <c r="L57" s="89">
        <f t="shared" si="4"/>
        <v>2005</v>
      </c>
      <c r="M57" s="89">
        <f t="shared" si="0"/>
        <v>14</v>
      </c>
      <c r="N57" s="48" t="s">
        <v>11</v>
      </c>
      <c r="O57" s="48"/>
      <c r="P57" s="87" t="s">
        <v>33</v>
      </c>
      <c r="Q57" s="48"/>
      <c r="R57" s="87" t="s">
        <v>18</v>
      </c>
    </row>
    <row r="58" spans="2:18">
      <c r="B58" s="130">
        <v>21</v>
      </c>
      <c r="C58" s="130"/>
      <c r="D58" s="48">
        <v>51</v>
      </c>
      <c r="E58" s="87" t="s">
        <v>842</v>
      </c>
      <c r="F58" s="48" t="s">
        <v>14</v>
      </c>
      <c r="G58" s="48" t="s">
        <v>843</v>
      </c>
      <c r="H58" s="48" t="s">
        <v>9</v>
      </c>
      <c r="I58" s="48" t="s">
        <v>10</v>
      </c>
      <c r="J58" s="87"/>
      <c r="K58" s="88">
        <v>20454</v>
      </c>
      <c r="L58" s="89">
        <f t="shared" si="4"/>
        <v>1955</v>
      </c>
      <c r="M58" s="89">
        <f t="shared" si="0"/>
        <v>64</v>
      </c>
      <c r="N58" s="48" t="s">
        <v>11</v>
      </c>
      <c r="O58" s="48"/>
      <c r="P58" s="87" t="s">
        <v>18</v>
      </c>
      <c r="Q58" s="48"/>
      <c r="R58" s="87" t="s">
        <v>24</v>
      </c>
    </row>
    <row r="59" spans="2:18">
      <c r="B59" s="130"/>
      <c r="C59" s="130"/>
      <c r="D59" s="48">
        <v>52</v>
      </c>
      <c r="E59" s="87" t="s">
        <v>844</v>
      </c>
      <c r="F59" s="48" t="s">
        <v>20</v>
      </c>
      <c r="G59" s="48" t="s">
        <v>845</v>
      </c>
      <c r="H59" s="48" t="s">
        <v>17</v>
      </c>
      <c r="I59" s="48" t="s">
        <v>10</v>
      </c>
      <c r="J59" s="87"/>
      <c r="K59" s="88">
        <v>21915</v>
      </c>
      <c r="L59" s="89">
        <f t="shared" si="4"/>
        <v>1959</v>
      </c>
      <c r="M59" s="89">
        <f t="shared" si="0"/>
        <v>60</v>
      </c>
      <c r="N59" s="48" t="s">
        <v>11</v>
      </c>
      <c r="O59" s="48"/>
      <c r="P59" s="87" t="s">
        <v>18</v>
      </c>
      <c r="Q59" s="48"/>
      <c r="R59" s="87" t="s">
        <v>18</v>
      </c>
    </row>
    <row r="60" spans="2:18">
      <c r="B60" s="130"/>
      <c r="C60" s="130"/>
      <c r="D60" s="48">
        <v>53</v>
      </c>
      <c r="E60" s="87" t="s">
        <v>846</v>
      </c>
      <c r="F60" s="48" t="s">
        <v>25</v>
      </c>
      <c r="G60" s="48" t="s">
        <v>847</v>
      </c>
      <c r="H60" s="48" t="s">
        <v>17</v>
      </c>
      <c r="I60" s="48" t="s">
        <v>23</v>
      </c>
      <c r="J60" s="87"/>
      <c r="K60" s="88">
        <v>28958</v>
      </c>
      <c r="L60" s="89">
        <f t="shared" si="4"/>
        <v>1979</v>
      </c>
      <c r="M60" s="89">
        <f t="shared" si="0"/>
        <v>40</v>
      </c>
      <c r="N60" s="48" t="s">
        <v>11</v>
      </c>
      <c r="O60" s="48"/>
      <c r="P60" s="87" t="s">
        <v>28</v>
      </c>
      <c r="Q60" s="48"/>
      <c r="R60" s="87" t="s">
        <v>24</v>
      </c>
    </row>
    <row r="61" spans="2:18" ht="25.5">
      <c r="B61" s="130"/>
      <c r="C61" s="130"/>
      <c r="D61" s="48">
        <v>54</v>
      </c>
      <c r="E61" s="87" t="s">
        <v>848</v>
      </c>
      <c r="F61" s="48" t="s">
        <v>25</v>
      </c>
      <c r="G61" s="48" t="s">
        <v>849</v>
      </c>
      <c r="H61" s="48" t="s">
        <v>9</v>
      </c>
      <c r="I61" s="48" t="s">
        <v>23</v>
      </c>
      <c r="J61" s="87"/>
      <c r="K61" s="88">
        <v>33926</v>
      </c>
      <c r="L61" s="89">
        <f t="shared" si="4"/>
        <v>1992</v>
      </c>
      <c r="M61" s="89">
        <f t="shared" si="0"/>
        <v>27</v>
      </c>
      <c r="N61" s="48" t="s">
        <v>11</v>
      </c>
      <c r="O61" s="48"/>
      <c r="P61" s="87" t="s">
        <v>12</v>
      </c>
      <c r="Q61" s="48"/>
      <c r="R61" s="87" t="s">
        <v>18</v>
      </c>
    </row>
    <row r="62" spans="2:18" ht="25.5">
      <c r="B62" s="130"/>
      <c r="C62" s="130"/>
      <c r="D62" s="48">
        <v>55</v>
      </c>
      <c r="E62" s="87" t="s">
        <v>850</v>
      </c>
      <c r="F62" s="48" t="s">
        <v>408</v>
      </c>
      <c r="G62" s="48" t="s">
        <v>851</v>
      </c>
      <c r="H62" s="48" t="s">
        <v>9</v>
      </c>
      <c r="I62" s="48" t="s">
        <v>23</v>
      </c>
      <c r="J62" s="87"/>
      <c r="K62" s="88">
        <v>39214</v>
      </c>
      <c r="L62" s="89">
        <f t="shared" si="4"/>
        <v>2007</v>
      </c>
      <c r="M62" s="89">
        <f t="shared" si="0"/>
        <v>12</v>
      </c>
      <c r="N62" s="48" t="s">
        <v>11</v>
      </c>
      <c r="O62" s="48"/>
      <c r="P62" s="87" t="s">
        <v>28</v>
      </c>
      <c r="Q62" s="48"/>
      <c r="R62" s="87" t="s">
        <v>18</v>
      </c>
    </row>
    <row r="63" spans="2:18" ht="25.5">
      <c r="B63" s="130">
        <v>22</v>
      </c>
      <c r="C63" s="130" t="s">
        <v>1491</v>
      </c>
      <c r="D63" s="48">
        <v>56</v>
      </c>
      <c r="E63" s="87" t="s">
        <v>852</v>
      </c>
      <c r="F63" s="48" t="s">
        <v>14</v>
      </c>
      <c r="G63" s="48" t="s">
        <v>1492</v>
      </c>
      <c r="H63" s="48" t="s">
        <v>9</v>
      </c>
      <c r="I63" s="48" t="s">
        <v>10</v>
      </c>
      <c r="J63" s="87" t="s">
        <v>1368</v>
      </c>
      <c r="K63" s="88">
        <v>31899</v>
      </c>
      <c r="L63" s="89">
        <v>1987</v>
      </c>
      <c r="M63" s="89">
        <f t="shared" si="0"/>
        <v>32</v>
      </c>
      <c r="N63" s="48" t="s">
        <v>11</v>
      </c>
      <c r="O63" s="48"/>
      <c r="P63" s="87" t="s">
        <v>1393</v>
      </c>
      <c r="Q63" s="48"/>
      <c r="R63" s="87" t="s">
        <v>1371</v>
      </c>
    </row>
    <row r="64" spans="2:18" ht="25.5">
      <c r="B64" s="130"/>
      <c r="C64" s="130"/>
      <c r="D64" s="48">
        <v>57</v>
      </c>
      <c r="E64" s="87" t="s">
        <v>1493</v>
      </c>
      <c r="F64" s="48" t="s">
        <v>20</v>
      </c>
      <c r="G64" s="48" t="s">
        <v>1494</v>
      </c>
      <c r="H64" s="48" t="s">
        <v>17</v>
      </c>
      <c r="I64" s="48" t="s">
        <v>10</v>
      </c>
      <c r="J64" s="87" t="s">
        <v>1387</v>
      </c>
      <c r="K64" s="88">
        <v>32147</v>
      </c>
      <c r="L64" s="89">
        <v>1988</v>
      </c>
      <c r="M64" s="89">
        <f t="shared" si="0"/>
        <v>31</v>
      </c>
      <c r="N64" s="48" t="s">
        <v>11</v>
      </c>
      <c r="O64" s="48"/>
      <c r="P64" s="87" t="s">
        <v>1393</v>
      </c>
      <c r="Q64" s="48"/>
      <c r="R64" s="87" t="s">
        <v>1371</v>
      </c>
    </row>
    <row r="65" spans="2:18" ht="25.5">
      <c r="B65" s="130"/>
      <c r="C65" s="130"/>
      <c r="D65" s="48">
        <v>58</v>
      </c>
      <c r="E65" s="87" t="s">
        <v>397</v>
      </c>
      <c r="F65" s="48" t="s">
        <v>25</v>
      </c>
      <c r="G65" s="48" t="s">
        <v>853</v>
      </c>
      <c r="H65" s="48" t="s">
        <v>17</v>
      </c>
      <c r="I65" s="48" t="s">
        <v>23</v>
      </c>
      <c r="J65" s="87" t="s">
        <v>1368</v>
      </c>
      <c r="K65" s="88">
        <v>39543</v>
      </c>
      <c r="L65" s="89">
        <v>2008</v>
      </c>
      <c r="M65" s="89">
        <f t="shared" si="0"/>
        <v>11</v>
      </c>
      <c r="N65" s="48" t="s">
        <v>11</v>
      </c>
      <c r="O65" s="48"/>
      <c r="P65" s="87" t="s">
        <v>1375</v>
      </c>
      <c r="Q65" s="48"/>
      <c r="R65" s="87" t="s">
        <v>1376</v>
      </c>
    </row>
    <row r="66" spans="2:18" ht="25.5">
      <c r="B66" s="130">
        <v>23</v>
      </c>
      <c r="C66" s="130" t="s">
        <v>1487</v>
      </c>
      <c r="D66" s="48">
        <v>59</v>
      </c>
      <c r="E66" s="87" t="s">
        <v>854</v>
      </c>
      <c r="F66" s="48" t="s">
        <v>14</v>
      </c>
      <c r="G66" s="48" t="s">
        <v>1488</v>
      </c>
      <c r="H66" s="48" t="s">
        <v>9</v>
      </c>
      <c r="I66" s="48" t="s">
        <v>10</v>
      </c>
      <c r="J66" s="87" t="s">
        <v>1368</v>
      </c>
      <c r="K66" s="88">
        <v>32614</v>
      </c>
      <c r="L66" s="89">
        <v>1989</v>
      </c>
      <c r="M66" s="89">
        <f t="shared" si="0"/>
        <v>30</v>
      </c>
      <c r="N66" s="48" t="s">
        <v>11</v>
      </c>
      <c r="O66" s="48"/>
      <c r="P66" s="87" t="s">
        <v>1393</v>
      </c>
      <c r="Q66" s="48"/>
      <c r="R66" s="87" t="s">
        <v>1371</v>
      </c>
    </row>
    <row r="67" spans="2:18" ht="25.5">
      <c r="B67" s="130"/>
      <c r="C67" s="130"/>
      <c r="D67" s="48">
        <v>60</v>
      </c>
      <c r="E67" s="87" t="s">
        <v>658</v>
      </c>
      <c r="F67" s="48" t="s">
        <v>20</v>
      </c>
      <c r="G67" s="48" t="s">
        <v>855</v>
      </c>
      <c r="H67" s="48" t="s">
        <v>17</v>
      </c>
      <c r="I67" s="48" t="s">
        <v>10</v>
      </c>
      <c r="J67" s="87" t="s">
        <v>1489</v>
      </c>
      <c r="K67" s="88">
        <v>31412</v>
      </c>
      <c r="L67" s="89">
        <v>1985</v>
      </c>
      <c r="M67" s="89">
        <f t="shared" si="0"/>
        <v>34</v>
      </c>
      <c r="N67" s="48" t="s">
        <v>11</v>
      </c>
      <c r="O67" s="48"/>
      <c r="P67" s="87" t="s">
        <v>1385</v>
      </c>
      <c r="Q67" s="48"/>
      <c r="R67" s="87" t="s">
        <v>1371</v>
      </c>
    </row>
    <row r="68" spans="2:18" ht="25.5">
      <c r="B68" s="130"/>
      <c r="C68" s="130"/>
      <c r="D68" s="48">
        <v>61</v>
      </c>
      <c r="E68" s="87" t="s">
        <v>1490</v>
      </c>
      <c r="F68" s="48" t="s">
        <v>25</v>
      </c>
      <c r="G68" s="48" t="s">
        <v>856</v>
      </c>
      <c r="H68" s="48" t="s">
        <v>17</v>
      </c>
      <c r="I68" s="48" t="s">
        <v>23</v>
      </c>
      <c r="J68" s="87" t="s">
        <v>1489</v>
      </c>
      <c r="K68" s="88">
        <v>40214</v>
      </c>
      <c r="L68" s="89">
        <v>2010</v>
      </c>
      <c r="M68" s="89">
        <f t="shared" si="0"/>
        <v>9</v>
      </c>
      <c r="N68" s="48" t="s">
        <v>11</v>
      </c>
      <c r="O68" s="48"/>
      <c r="P68" s="87" t="s">
        <v>1425</v>
      </c>
      <c r="Q68" s="48"/>
      <c r="R68" s="87" t="s">
        <v>1486</v>
      </c>
    </row>
    <row r="69" spans="2:18" ht="25.5">
      <c r="B69" s="130">
        <v>24</v>
      </c>
      <c r="C69" s="130" t="s">
        <v>1923</v>
      </c>
      <c r="D69" s="48">
        <v>62</v>
      </c>
      <c r="E69" s="87" t="s">
        <v>309</v>
      </c>
      <c r="F69" s="48" t="s">
        <v>14</v>
      </c>
      <c r="G69" s="48" t="s">
        <v>857</v>
      </c>
      <c r="H69" s="48" t="s">
        <v>9</v>
      </c>
      <c r="I69" s="48" t="s">
        <v>10</v>
      </c>
      <c r="J69" s="87" t="s">
        <v>1368</v>
      </c>
      <c r="K69" s="88">
        <v>20454</v>
      </c>
      <c r="L69" s="89">
        <v>1955</v>
      </c>
      <c r="M69" s="89">
        <f t="shared" si="0"/>
        <v>64</v>
      </c>
      <c r="N69" s="48" t="s">
        <v>11</v>
      </c>
      <c r="O69" s="48" t="s">
        <v>1369</v>
      </c>
      <c r="P69" s="87" t="s">
        <v>1425</v>
      </c>
      <c r="Q69" s="48"/>
      <c r="R69" s="87" t="s">
        <v>1371</v>
      </c>
    </row>
    <row r="70" spans="2:18" ht="25.5">
      <c r="B70" s="130"/>
      <c r="C70" s="130"/>
      <c r="D70" s="48">
        <v>63</v>
      </c>
      <c r="E70" s="87" t="s">
        <v>858</v>
      </c>
      <c r="F70" s="48" t="s">
        <v>20</v>
      </c>
      <c r="G70" s="48" t="s">
        <v>859</v>
      </c>
      <c r="H70" s="48" t="s">
        <v>17</v>
      </c>
      <c r="I70" s="48" t="s">
        <v>10</v>
      </c>
      <c r="J70" s="87" t="s">
        <v>1387</v>
      </c>
      <c r="K70" s="88">
        <v>21550</v>
      </c>
      <c r="L70" s="89">
        <v>1958</v>
      </c>
      <c r="M70" s="89">
        <f t="shared" si="0"/>
        <v>61</v>
      </c>
      <c r="N70" s="48" t="s">
        <v>11</v>
      </c>
      <c r="O70" s="48" t="s">
        <v>1369</v>
      </c>
      <c r="P70" s="87" t="s">
        <v>1425</v>
      </c>
      <c r="Q70" s="48"/>
      <c r="R70" s="87" t="s">
        <v>1371</v>
      </c>
    </row>
    <row r="71" spans="2:18" ht="25.5">
      <c r="B71" s="130"/>
      <c r="C71" s="130"/>
      <c r="D71" s="48">
        <v>64</v>
      </c>
      <c r="E71" s="87" t="s">
        <v>651</v>
      </c>
      <c r="F71" s="48" t="s">
        <v>25</v>
      </c>
      <c r="G71" s="48" t="s">
        <v>860</v>
      </c>
      <c r="H71" s="48" t="s">
        <v>17</v>
      </c>
      <c r="I71" s="48" t="s">
        <v>23</v>
      </c>
      <c r="J71" s="87" t="s">
        <v>1387</v>
      </c>
      <c r="K71" s="88">
        <v>29952</v>
      </c>
      <c r="L71" s="89">
        <v>1982</v>
      </c>
      <c r="M71" s="89">
        <f t="shared" si="0"/>
        <v>37</v>
      </c>
      <c r="N71" s="48" t="s">
        <v>11</v>
      </c>
      <c r="O71" s="48" t="s">
        <v>1369</v>
      </c>
      <c r="P71" s="87" t="s">
        <v>1425</v>
      </c>
      <c r="Q71" s="48"/>
      <c r="R71" s="87" t="s">
        <v>1371</v>
      </c>
    </row>
    <row r="72" spans="2:18" ht="25.5">
      <c r="B72" s="130">
        <v>25</v>
      </c>
      <c r="C72" s="130" t="s">
        <v>1940</v>
      </c>
      <c r="D72" s="48">
        <v>65</v>
      </c>
      <c r="E72" s="87" t="s">
        <v>1939</v>
      </c>
      <c r="F72" s="48" t="s">
        <v>14</v>
      </c>
      <c r="G72" s="48" t="s">
        <v>861</v>
      </c>
      <c r="H72" s="48" t="s">
        <v>9</v>
      </c>
      <c r="I72" s="48" t="s">
        <v>10</v>
      </c>
      <c r="J72" s="87" t="s">
        <v>1368</v>
      </c>
      <c r="K72" s="88">
        <v>21002</v>
      </c>
      <c r="L72" s="89">
        <v>1957</v>
      </c>
      <c r="M72" s="89">
        <f t="shared" ref="M72:M135" si="5">2019-L72</f>
        <v>62</v>
      </c>
      <c r="N72" s="48" t="s">
        <v>11</v>
      </c>
      <c r="O72" s="48" t="s">
        <v>1369</v>
      </c>
      <c r="P72" s="87" t="s">
        <v>1425</v>
      </c>
      <c r="Q72" s="48"/>
      <c r="R72" s="87" t="s">
        <v>1371</v>
      </c>
    </row>
    <row r="73" spans="2:18" ht="25.5">
      <c r="B73" s="130"/>
      <c r="C73" s="130"/>
      <c r="D73" s="48">
        <v>66</v>
      </c>
      <c r="E73" s="87" t="s">
        <v>202</v>
      </c>
      <c r="F73" s="48" t="s">
        <v>20</v>
      </c>
      <c r="G73" s="48" t="s">
        <v>862</v>
      </c>
      <c r="H73" s="48" t="s">
        <v>17</v>
      </c>
      <c r="I73" s="48" t="s">
        <v>10</v>
      </c>
      <c r="J73" s="87" t="s">
        <v>1368</v>
      </c>
      <c r="K73" s="88">
        <v>28307</v>
      </c>
      <c r="L73" s="89">
        <v>1977</v>
      </c>
      <c r="M73" s="89">
        <f t="shared" si="5"/>
        <v>42</v>
      </c>
      <c r="N73" s="48" t="s">
        <v>11</v>
      </c>
      <c r="O73" s="48" t="s">
        <v>1369</v>
      </c>
      <c r="P73" s="87" t="s">
        <v>1425</v>
      </c>
      <c r="Q73" s="48"/>
      <c r="R73" s="87" t="s">
        <v>1371</v>
      </c>
    </row>
    <row r="74" spans="2:18">
      <c r="B74" s="48">
        <v>26</v>
      </c>
      <c r="C74" s="48"/>
      <c r="D74" s="48">
        <v>67</v>
      </c>
      <c r="E74" s="87" t="s">
        <v>863</v>
      </c>
      <c r="F74" s="48" t="s">
        <v>14</v>
      </c>
      <c r="G74" s="48">
        <v>0</v>
      </c>
      <c r="H74" s="48" t="s">
        <v>17</v>
      </c>
      <c r="I74" s="48" t="s">
        <v>10</v>
      </c>
      <c r="J74" s="87"/>
      <c r="K74" s="88">
        <v>19176</v>
      </c>
      <c r="L74" s="89">
        <f t="shared" ref="L74:L76" si="6">YEAR(K74)</f>
        <v>1952</v>
      </c>
      <c r="M74" s="89">
        <f t="shared" si="5"/>
        <v>67</v>
      </c>
      <c r="N74" s="48" t="s">
        <v>11</v>
      </c>
      <c r="O74" s="48"/>
      <c r="P74" s="87" t="s">
        <v>18</v>
      </c>
      <c r="Q74" s="48"/>
      <c r="R74" s="87" t="s">
        <v>24</v>
      </c>
    </row>
    <row r="75" spans="2:18">
      <c r="B75" s="130">
        <v>27</v>
      </c>
      <c r="C75" s="130"/>
      <c r="D75" s="48">
        <v>68</v>
      </c>
      <c r="E75" s="87" t="s">
        <v>864</v>
      </c>
      <c r="F75" s="48" t="s">
        <v>14</v>
      </c>
      <c r="G75" s="48" t="s">
        <v>865</v>
      </c>
      <c r="H75" s="48" t="s">
        <v>9</v>
      </c>
      <c r="I75" s="48" t="s">
        <v>18</v>
      </c>
      <c r="J75" s="87"/>
      <c r="K75" s="88">
        <v>22281</v>
      </c>
      <c r="L75" s="89">
        <f t="shared" si="6"/>
        <v>1960</v>
      </c>
      <c r="M75" s="89">
        <f t="shared" si="5"/>
        <v>59</v>
      </c>
      <c r="N75" s="48" t="s">
        <v>11</v>
      </c>
      <c r="O75" s="48"/>
      <c r="P75" s="87" t="s">
        <v>18</v>
      </c>
      <c r="Q75" s="48"/>
      <c r="R75" s="87" t="s">
        <v>24</v>
      </c>
    </row>
    <row r="76" spans="2:18">
      <c r="B76" s="130"/>
      <c r="C76" s="130"/>
      <c r="D76" s="48">
        <v>69</v>
      </c>
      <c r="E76" s="87" t="s">
        <v>866</v>
      </c>
      <c r="F76" s="48" t="s">
        <v>25</v>
      </c>
      <c r="G76" s="48" t="s">
        <v>867</v>
      </c>
      <c r="H76" s="48" t="s">
        <v>9</v>
      </c>
      <c r="I76" s="48" t="s">
        <v>23</v>
      </c>
      <c r="J76" s="87"/>
      <c r="K76" s="88">
        <v>31036</v>
      </c>
      <c r="L76" s="89">
        <f t="shared" si="6"/>
        <v>1984</v>
      </c>
      <c r="M76" s="89">
        <f t="shared" si="5"/>
        <v>35</v>
      </c>
      <c r="N76" s="48" t="s">
        <v>11</v>
      </c>
      <c r="O76" s="48"/>
      <c r="P76" s="87" t="s">
        <v>12</v>
      </c>
      <c r="Q76" s="48"/>
      <c r="R76" s="87" t="s">
        <v>24</v>
      </c>
    </row>
    <row r="77" spans="2:18" ht="25.5">
      <c r="B77" s="130">
        <v>28</v>
      </c>
      <c r="C77" s="130" t="s">
        <v>1528</v>
      </c>
      <c r="D77" s="48">
        <v>70</v>
      </c>
      <c r="E77" s="87" t="s">
        <v>161</v>
      </c>
      <c r="F77" s="48" t="s">
        <v>14</v>
      </c>
      <c r="G77" s="48" t="s">
        <v>868</v>
      </c>
      <c r="H77" s="48" t="s">
        <v>9</v>
      </c>
      <c r="I77" s="48" t="s">
        <v>10</v>
      </c>
      <c r="J77" s="87" t="s">
        <v>1368</v>
      </c>
      <c r="K77" s="88">
        <v>25203</v>
      </c>
      <c r="L77" s="89">
        <v>1968</v>
      </c>
      <c r="M77" s="89">
        <f t="shared" si="5"/>
        <v>51</v>
      </c>
      <c r="N77" s="48" t="s">
        <v>11</v>
      </c>
      <c r="O77" s="48"/>
      <c r="P77" s="87" t="s">
        <v>1393</v>
      </c>
      <c r="Q77" s="48"/>
      <c r="R77" s="87" t="s">
        <v>1371</v>
      </c>
    </row>
    <row r="78" spans="2:18" ht="25.5">
      <c r="B78" s="130"/>
      <c r="C78" s="130"/>
      <c r="D78" s="48">
        <v>71</v>
      </c>
      <c r="E78" s="87" t="s">
        <v>483</v>
      </c>
      <c r="F78" s="48" t="s">
        <v>20</v>
      </c>
      <c r="G78" s="48" t="s">
        <v>869</v>
      </c>
      <c r="H78" s="48" t="s">
        <v>17</v>
      </c>
      <c r="I78" s="48" t="s">
        <v>10</v>
      </c>
      <c r="J78" s="87" t="s">
        <v>1368</v>
      </c>
      <c r="K78" s="88">
        <v>26298</v>
      </c>
      <c r="L78" s="89">
        <v>1971</v>
      </c>
      <c r="M78" s="89">
        <f t="shared" si="5"/>
        <v>48</v>
      </c>
      <c r="N78" s="48" t="s">
        <v>11</v>
      </c>
      <c r="O78" s="48"/>
      <c r="P78" s="87" t="s">
        <v>1393</v>
      </c>
      <c r="Q78" s="48"/>
      <c r="R78" s="87" t="s">
        <v>1371</v>
      </c>
    </row>
    <row r="79" spans="2:18" ht="25.5">
      <c r="B79" s="130"/>
      <c r="C79" s="130"/>
      <c r="D79" s="48">
        <v>72</v>
      </c>
      <c r="E79" s="87" t="s">
        <v>870</v>
      </c>
      <c r="F79" s="48" t="s">
        <v>25</v>
      </c>
      <c r="G79" s="48" t="s">
        <v>871</v>
      </c>
      <c r="H79" s="48" t="s">
        <v>17</v>
      </c>
      <c r="I79" s="48" t="s">
        <v>23</v>
      </c>
      <c r="J79" s="87" t="s">
        <v>1368</v>
      </c>
      <c r="K79" s="88">
        <v>36474</v>
      </c>
      <c r="L79" s="89">
        <v>1999</v>
      </c>
      <c r="M79" s="89">
        <f t="shared" si="5"/>
        <v>20</v>
      </c>
      <c r="N79" s="48" t="s">
        <v>11</v>
      </c>
      <c r="O79" s="48"/>
      <c r="P79" s="87" t="s">
        <v>1375</v>
      </c>
      <c r="Q79" s="48"/>
      <c r="R79" s="87" t="s">
        <v>1376</v>
      </c>
    </row>
    <row r="80" spans="2:18" ht="25.5">
      <c r="B80" s="130">
        <v>29</v>
      </c>
      <c r="C80" s="130" t="s">
        <v>1526</v>
      </c>
      <c r="D80" s="48">
        <v>73</v>
      </c>
      <c r="E80" s="87" t="s">
        <v>872</v>
      </c>
      <c r="F80" s="48" t="s">
        <v>14</v>
      </c>
      <c r="G80" s="48" t="s">
        <v>873</v>
      </c>
      <c r="H80" s="48" t="s">
        <v>9</v>
      </c>
      <c r="I80" s="48" t="s">
        <v>10</v>
      </c>
      <c r="J80" s="87" t="s">
        <v>1387</v>
      </c>
      <c r="K80" s="88">
        <v>21185</v>
      </c>
      <c r="L80" s="89">
        <v>1957</v>
      </c>
      <c r="M80" s="89">
        <f t="shared" si="5"/>
        <v>62</v>
      </c>
      <c r="N80" s="48" t="s">
        <v>11</v>
      </c>
      <c r="O80" s="48"/>
      <c r="P80" s="87" t="s">
        <v>1393</v>
      </c>
      <c r="Q80" s="48"/>
      <c r="R80" s="87" t="s">
        <v>1371</v>
      </c>
    </row>
    <row r="81" spans="2:18" ht="25.5">
      <c r="B81" s="130"/>
      <c r="C81" s="130"/>
      <c r="D81" s="48">
        <v>74</v>
      </c>
      <c r="E81" s="87" t="s">
        <v>874</v>
      </c>
      <c r="F81" s="48" t="s">
        <v>20</v>
      </c>
      <c r="G81" s="48" t="s">
        <v>875</v>
      </c>
      <c r="H81" s="48" t="s">
        <v>17</v>
      </c>
      <c r="I81" s="48" t="s">
        <v>10</v>
      </c>
      <c r="J81" s="87" t="s">
        <v>1387</v>
      </c>
      <c r="K81" s="88">
        <v>22281</v>
      </c>
      <c r="L81" s="89">
        <v>1960</v>
      </c>
      <c r="M81" s="89">
        <f t="shared" si="5"/>
        <v>59</v>
      </c>
      <c r="N81" s="48" t="s">
        <v>11</v>
      </c>
      <c r="O81" s="48"/>
      <c r="P81" s="87" t="s">
        <v>1393</v>
      </c>
      <c r="Q81" s="48"/>
      <c r="R81" s="87" t="s">
        <v>1371</v>
      </c>
    </row>
    <row r="82" spans="2:18" ht="25.5">
      <c r="B82" s="130"/>
      <c r="C82" s="130"/>
      <c r="D82" s="48">
        <v>75</v>
      </c>
      <c r="E82" s="87" t="s">
        <v>876</v>
      </c>
      <c r="F82" s="48" t="s">
        <v>25</v>
      </c>
      <c r="G82" s="48" t="s">
        <v>877</v>
      </c>
      <c r="H82" s="48" t="s">
        <v>17</v>
      </c>
      <c r="I82" s="48" t="s">
        <v>23</v>
      </c>
      <c r="J82" s="87" t="s">
        <v>1387</v>
      </c>
      <c r="K82" s="88">
        <v>33916</v>
      </c>
      <c r="L82" s="89">
        <v>1992</v>
      </c>
      <c r="M82" s="89">
        <f t="shared" si="5"/>
        <v>27</v>
      </c>
      <c r="N82" s="48" t="s">
        <v>11</v>
      </c>
      <c r="O82" s="48"/>
      <c r="P82" s="87" t="s">
        <v>1388</v>
      </c>
      <c r="Q82" s="48"/>
      <c r="R82" s="87" t="s">
        <v>1376</v>
      </c>
    </row>
    <row r="83" spans="2:18" ht="25.5">
      <c r="B83" s="130"/>
      <c r="C83" s="130"/>
      <c r="D83" s="48">
        <v>76</v>
      </c>
      <c r="E83" s="87" t="s">
        <v>878</v>
      </c>
      <c r="F83" s="48" t="s">
        <v>25</v>
      </c>
      <c r="G83" s="48" t="s">
        <v>1527</v>
      </c>
      <c r="H83" s="48" t="s">
        <v>17</v>
      </c>
      <c r="I83" s="48" t="s">
        <v>23</v>
      </c>
      <c r="J83" s="87" t="s">
        <v>1387</v>
      </c>
      <c r="K83" s="88">
        <v>35693</v>
      </c>
      <c r="L83" s="89">
        <v>1997</v>
      </c>
      <c r="M83" s="89">
        <f t="shared" si="5"/>
        <v>22</v>
      </c>
      <c r="N83" s="48" t="s">
        <v>11</v>
      </c>
      <c r="O83" s="48"/>
      <c r="P83" s="87" t="s">
        <v>1385</v>
      </c>
      <c r="Q83" s="48"/>
      <c r="R83" s="87" t="s">
        <v>1376</v>
      </c>
    </row>
    <row r="84" spans="2:18" ht="25.5">
      <c r="B84" s="130"/>
      <c r="C84" s="130"/>
      <c r="D84" s="48">
        <v>77</v>
      </c>
      <c r="E84" s="87" t="s">
        <v>879</v>
      </c>
      <c r="F84" s="48" t="s">
        <v>25</v>
      </c>
      <c r="G84" s="48" t="s">
        <v>880</v>
      </c>
      <c r="H84" s="48" t="s">
        <v>17</v>
      </c>
      <c r="I84" s="48" t="s">
        <v>23</v>
      </c>
      <c r="J84" s="87" t="s">
        <v>1387</v>
      </c>
      <c r="K84" s="88">
        <v>38024</v>
      </c>
      <c r="L84" s="89">
        <v>2004</v>
      </c>
      <c r="M84" s="89">
        <f t="shared" si="5"/>
        <v>15</v>
      </c>
      <c r="N84" s="48" t="s">
        <v>11</v>
      </c>
      <c r="O84" s="48"/>
      <c r="P84" s="87" t="s">
        <v>1425</v>
      </c>
      <c r="Q84" s="48"/>
      <c r="R84" s="87" t="s">
        <v>1486</v>
      </c>
    </row>
    <row r="85" spans="2:18">
      <c r="B85" s="130">
        <v>30</v>
      </c>
      <c r="C85" s="130" t="s">
        <v>1506</v>
      </c>
      <c r="D85" s="48">
        <v>78</v>
      </c>
      <c r="E85" s="87" t="s">
        <v>881</v>
      </c>
      <c r="F85" s="48" t="s">
        <v>14</v>
      </c>
      <c r="G85" s="48" t="s">
        <v>882</v>
      </c>
      <c r="H85" s="48" t="s">
        <v>9</v>
      </c>
      <c r="I85" s="48" t="s">
        <v>10</v>
      </c>
      <c r="J85" s="87" t="s">
        <v>1387</v>
      </c>
      <c r="K85" s="88">
        <v>30280</v>
      </c>
      <c r="L85" s="89">
        <v>1982</v>
      </c>
      <c r="M85" s="89">
        <f t="shared" si="5"/>
        <v>37</v>
      </c>
      <c r="N85" s="48" t="s">
        <v>11</v>
      </c>
      <c r="O85" s="48"/>
      <c r="P85" s="87" t="s">
        <v>1385</v>
      </c>
      <c r="Q85" s="48"/>
      <c r="R85" s="87" t="s">
        <v>49</v>
      </c>
    </row>
    <row r="86" spans="2:18" ht="25.5">
      <c r="B86" s="130"/>
      <c r="C86" s="130"/>
      <c r="D86" s="48">
        <v>79</v>
      </c>
      <c r="E86" s="87" t="s">
        <v>102</v>
      </c>
      <c r="F86" s="48" t="s">
        <v>20</v>
      </c>
      <c r="G86" s="48" t="s">
        <v>883</v>
      </c>
      <c r="H86" s="48" t="s">
        <v>17</v>
      </c>
      <c r="I86" s="48" t="s">
        <v>10</v>
      </c>
      <c r="J86" s="87" t="s">
        <v>1387</v>
      </c>
      <c r="K86" s="88">
        <v>31594</v>
      </c>
      <c r="L86" s="89">
        <v>1986</v>
      </c>
      <c r="M86" s="89">
        <f t="shared" si="5"/>
        <v>33</v>
      </c>
      <c r="N86" s="48" t="s">
        <v>11</v>
      </c>
      <c r="O86" s="48"/>
      <c r="P86" s="87" t="s">
        <v>1393</v>
      </c>
      <c r="Q86" s="48"/>
      <c r="R86" s="87" t="s">
        <v>1373</v>
      </c>
    </row>
    <row r="87" spans="2:18" ht="25.5">
      <c r="B87" s="130"/>
      <c r="C87" s="130"/>
      <c r="D87" s="48">
        <v>80</v>
      </c>
      <c r="E87" s="87" t="s">
        <v>884</v>
      </c>
      <c r="F87" s="48" t="s">
        <v>25</v>
      </c>
      <c r="G87" s="48" t="s">
        <v>885</v>
      </c>
      <c r="H87" s="48" t="s">
        <v>17</v>
      </c>
      <c r="I87" s="48" t="s">
        <v>23</v>
      </c>
      <c r="J87" s="87" t="s">
        <v>1387</v>
      </c>
      <c r="K87" s="88">
        <v>39956</v>
      </c>
      <c r="L87" s="89">
        <v>2009</v>
      </c>
      <c r="M87" s="89">
        <f t="shared" si="5"/>
        <v>10</v>
      </c>
      <c r="N87" s="48" t="s">
        <v>11</v>
      </c>
      <c r="O87" s="48"/>
      <c r="P87" s="87" t="s">
        <v>1425</v>
      </c>
      <c r="Q87" s="48"/>
      <c r="R87" s="87" t="s">
        <v>1486</v>
      </c>
    </row>
    <row r="88" spans="2:18" ht="25.5">
      <c r="B88" s="130"/>
      <c r="C88" s="130"/>
      <c r="D88" s="48">
        <v>81</v>
      </c>
      <c r="E88" s="87" t="s">
        <v>886</v>
      </c>
      <c r="F88" s="48" t="s">
        <v>25</v>
      </c>
      <c r="G88" s="48" t="s">
        <v>887</v>
      </c>
      <c r="H88" s="48" t="s">
        <v>17</v>
      </c>
      <c r="I88" s="48" t="s">
        <v>23</v>
      </c>
      <c r="J88" s="87" t="s">
        <v>1387</v>
      </c>
      <c r="K88" s="88">
        <v>39956</v>
      </c>
      <c r="L88" s="89">
        <v>2009</v>
      </c>
      <c r="M88" s="89">
        <f t="shared" si="5"/>
        <v>10</v>
      </c>
      <c r="N88" s="48" t="s">
        <v>11</v>
      </c>
      <c r="O88" s="48"/>
      <c r="P88" s="87" t="s">
        <v>1425</v>
      </c>
      <c r="Q88" s="48"/>
      <c r="R88" s="87" t="s">
        <v>1486</v>
      </c>
    </row>
    <row r="89" spans="2:18">
      <c r="B89" s="130">
        <v>31</v>
      </c>
      <c r="C89" s="130" t="s">
        <v>1905</v>
      </c>
      <c r="D89" s="48">
        <v>82</v>
      </c>
      <c r="E89" s="87" t="s">
        <v>1901</v>
      </c>
      <c r="F89" s="48" t="s">
        <v>14</v>
      </c>
      <c r="G89" s="48" t="s">
        <v>888</v>
      </c>
      <c r="H89" s="48" t="s">
        <v>9</v>
      </c>
      <c r="I89" s="48" t="s">
        <v>10</v>
      </c>
      <c r="J89" s="87" t="s">
        <v>1368</v>
      </c>
      <c r="K89" s="88">
        <v>27866</v>
      </c>
      <c r="L89" s="89">
        <v>1976</v>
      </c>
      <c r="M89" s="89">
        <f t="shared" si="5"/>
        <v>43</v>
      </c>
      <c r="N89" s="48" t="s">
        <v>11</v>
      </c>
      <c r="O89" s="48" t="s">
        <v>1369</v>
      </c>
      <c r="P89" s="87" t="s">
        <v>28</v>
      </c>
      <c r="Q89" s="48"/>
      <c r="R89" s="87" t="s">
        <v>49</v>
      </c>
    </row>
    <row r="90" spans="2:18">
      <c r="B90" s="130"/>
      <c r="C90" s="130"/>
      <c r="D90" s="48">
        <v>83</v>
      </c>
      <c r="E90" s="87" t="s">
        <v>288</v>
      </c>
      <c r="F90" s="48" t="s">
        <v>20</v>
      </c>
      <c r="G90" s="48" t="s">
        <v>889</v>
      </c>
      <c r="H90" s="48" t="s">
        <v>17</v>
      </c>
      <c r="I90" s="48" t="s">
        <v>10</v>
      </c>
      <c r="J90" s="87" t="s">
        <v>1387</v>
      </c>
      <c r="K90" s="88">
        <v>28855</v>
      </c>
      <c r="L90" s="89">
        <v>1978</v>
      </c>
      <c r="M90" s="89">
        <f t="shared" si="5"/>
        <v>41</v>
      </c>
      <c r="N90" s="48" t="s">
        <v>11</v>
      </c>
      <c r="O90" s="48" t="s">
        <v>1369</v>
      </c>
      <c r="P90" s="87" t="s">
        <v>1385</v>
      </c>
      <c r="Q90" s="48"/>
      <c r="R90" s="87" t="s">
        <v>49</v>
      </c>
    </row>
    <row r="91" spans="2:18" ht="25.5">
      <c r="B91" s="130"/>
      <c r="C91" s="130"/>
      <c r="D91" s="48">
        <v>84</v>
      </c>
      <c r="E91" s="87" t="s">
        <v>1902</v>
      </c>
      <c r="F91" s="48" t="s">
        <v>25</v>
      </c>
      <c r="G91" s="48" t="s">
        <v>890</v>
      </c>
      <c r="H91" s="48" t="s">
        <v>9</v>
      </c>
      <c r="I91" s="48" t="s">
        <v>23</v>
      </c>
      <c r="J91" s="87" t="s">
        <v>1368</v>
      </c>
      <c r="K91" s="88">
        <v>36631</v>
      </c>
      <c r="L91" s="89">
        <v>2000</v>
      </c>
      <c r="M91" s="89">
        <f t="shared" si="5"/>
        <v>19</v>
      </c>
      <c r="N91" s="48" t="s">
        <v>11</v>
      </c>
      <c r="O91" s="48" t="s">
        <v>1369</v>
      </c>
      <c r="P91" s="87" t="s">
        <v>1385</v>
      </c>
      <c r="Q91" s="48"/>
      <c r="R91" s="87" t="s">
        <v>1376</v>
      </c>
    </row>
    <row r="92" spans="2:18" ht="25.5">
      <c r="B92" s="130"/>
      <c r="C92" s="130"/>
      <c r="D92" s="48">
        <v>85</v>
      </c>
      <c r="E92" s="87" t="s">
        <v>1903</v>
      </c>
      <c r="F92" s="48" t="s">
        <v>25</v>
      </c>
      <c r="G92" s="48" t="s">
        <v>891</v>
      </c>
      <c r="H92" s="48" t="s">
        <v>17</v>
      </c>
      <c r="I92" s="48" t="s">
        <v>23</v>
      </c>
      <c r="J92" s="87" t="s">
        <v>1368</v>
      </c>
      <c r="K92" s="88">
        <v>38412</v>
      </c>
      <c r="L92" s="89">
        <v>2005</v>
      </c>
      <c r="M92" s="89">
        <f t="shared" si="5"/>
        <v>14</v>
      </c>
      <c r="N92" s="48" t="s">
        <v>11</v>
      </c>
      <c r="O92" s="48" t="s">
        <v>1369</v>
      </c>
      <c r="P92" s="87" t="s">
        <v>1375</v>
      </c>
      <c r="Q92" s="48"/>
      <c r="R92" s="87" t="s">
        <v>1376</v>
      </c>
    </row>
    <row r="93" spans="2:18" ht="25.5">
      <c r="B93" s="130"/>
      <c r="C93" s="130"/>
      <c r="D93" s="48">
        <v>86</v>
      </c>
      <c r="E93" s="87" t="s">
        <v>1904</v>
      </c>
      <c r="F93" s="48" t="s">
        <v>25</v>
      </c>
      <c r="G93" s="48" t="s">
        <v>1906</v>
      </c>
      <c r="H93" s="48" t="s">
        <v>17</v>
      </c>
      <c r="I93" s="48" t="s">
        <v>23</v>
      </c>
      <c r="J93" s="87" t="s">
        <v>1368</v>
      </c>
      <c r="K93" s="88">
        <v>42123</v>
      </c>
      <c r="L93" s="89">
        <v>2015</v>
      </c>
      <c r="M93" s="89">
        <f t="shared" si="5"/>
        <v>4</v>
      </c>
      <c r="N93" s="48" t="s">
        <v>11</v>
      </c>
      <c r="O93" s="48" t="s">
        <v>1369</v>
      </c>
      <c r="P93" s="87" t="s">
        <v>1425</v>
      </c>
      <c r="Q93" s="48"/>
      <c r="R93" s="87" t="s">
        <v>1376</v>
      </c>
    </row>
    <row r="94" spans="2:18">
      <c r="B94" s="48">
        <v>32</v>
      </c>
      <c r="C94" s="48"/>
      <c r="D94" s="48">
        <v>87</v>
      </c>
      <c r="E94" s="87" t="s">
        <v>892</v>
      </c>
      <c r="F94" s="48" t="s">
        <v>14</v>
      </c>
      <c r="G94" s="48">
        <v>0</v>
      </c>
      <c r="H94" s="48" t="s">
        <v>17</v>
      </c>
      <c r="I94" s="48" t="s">
        <v>67</v>
      </c>
      <c r="J94" s="87"/>
      <c r="K94" s="88">
        <v>23193</v>
      </c>
      <c r="L94" s="89">
        <f>YEAR(K94)</f>
        <v>1963</v>
      </c>
      <c r="M94" s="89">
        <f t="shared" si="5"/>
        <v>56</v>
      </c>
      <c r="N94" s="48" t="s">
        <v>11</v>
      </c>
      <c r="O94" s="48"/>
      <c r="P94" s="87" t="s">
        <v>18</v>
      </c>
      <c r="Q94" s="48"/>
      <c r="R94" s="87" t="s">
        <v>19</v>
      </c>
    </row>
    <row r="95" spans="2:18" ht="25.5">
      <c r="B95" s="130">
        <v>33</v>
      </c>
      <c r="C95" s="130" t="s">
        <v>1522</v>
      </c>
      <c r="D95" s="48">
        <v>88</v>
      </c>
      <c r="E95" s="87" t="s">
        <v>893</v>
      </c>
      <c r="F95" s="48" t="s">
        <v>14</v>
      </c>
      <c r="G95" s="48" t="s">
        <v>894</v>
      </c>
      <c r="H95" s="48" t="s">
        <v>17</v>
      </c>
      <c r="I95" s="48" t="s">
        <v>23</v>
      </c>
      <c r="J95" s="87" t="s">
        <v>1368</v>
      </c>
      <c r="K95" s="88">
        <v>24837</v>
      </c>
      <c r="L95" s="89">
        <v>1967</v>
      </c>
      <c r="M95" s="89">
        <f t="shared" si="5"/>
        <v>52</v>
      </c>
      <c r="N95" s="48" t="s">
        <v>11</v>
      </c>
      <c r="O95" s="48"/>
      <c r="P95" s="87" t="s">
        <v>1393</v>
      </c>
      <c r="Q95" s="48"/>
      <c r="R95" s="87" t="s">
        <v>1371</v>
      </c>
    </row>
    <row r="96" spans="2:18" ht="25.5">
      <c r="B96" s="130"/>
      <c r="C96" s="130"/>
      <c r="D96" s="48">
        <v>89</v>
      </c>
      <c r="E96" s="87" t="s">
        <v>895</v>
      </c>
      <c r="F96" s="48" t="s">
        <v>1457</v>
      </c>
      <c r="G96" s="48" t="s">
        <v>896</v>
      </c>
      <c r="H96" s="48" t="s">
        <v>17</v>
      </c>
      <c r="I96" s="48" t="s">
        <v>1448</v>
      </c>
      <c r="J96" s="87" t="s">
        <v>1368</v>
      </c>
      <c r="K96" s="88">
        <v>25203</v>
      </c>
      <c r="L96" s="89">
        <v>1968</v>
      </c>
      <c r="M96" s="89">
        <f t="shared" si="5"/>
        <v>51</v>
      </c>
      <c r="N96" s="48" t="s">
        <v>11</v>
      </c>
      <c r="O96" s="48"/>
      <c r="P96" s="87" t="s">
        <v>1393</v>
      </c>
      <c r="Q96" s="48"/>
      <c r="R96" s="87" t="s">
        <v>1371</v>
      </c>
    </row>
    <row r="97" spans="2:18">
      <c r="B97" s="130">
        <v>34</v>
      </c>
      <c r="C97" s="130" t="s">
        <v>1950</v>
      </c>
      <c r="D97" s="48">
        <v>90</v>
      </c>
      <c r="E97" s="87" t="s">
        <v>721</v>
      </c>
      <c r="F97" s="48" t="s">
        <v>14</v>
      </c>
      <c r="G97" s="48" t="s">
        <v>1956</v>
      </c>
      <c r="H97" s="48" t="s">
        <v>9</v>
      </c>
      <c r="I97" s="48" t="s">
        <v>10</v>
      </c>
      <c r="J97" s="87" t="s">
        <v>1368</v>
      </c>
      <c r="K97" s="88">
        <v>28490</v>
      </c>
      <c r="L97" s="89">
        <v>1977</v>
      </c>
      <c r="M97" s="89">
        <f t="shared" si="5"/>
        <v>42</v>
      </c>
      <c r="N97" s="48" t="s">
        <v>11</v>
      </c>
      <c r="O97" s="48" t="s">
        <v>1369</v>
      </c>
      <c r="P97" s="87" t="s">
        <v>28</v>
      </c>
      <c r="Q97" s="48"/>
      <c r="R97" s="87" t="s">
        <v>49</v>
      </c>
    </row>
    <row r="98" spans="2:18" ht="25.5">
      <c r="B98" s="130"/>
      <c r="C98" s="130"/>
      <c r="D98" s="48">
        <v>91</v>
      </c>
      <c r="E98" s="87" t="s">
        <v>897</v>
      </c>
      <c r="F98" s="48" t="s">
        <v>20</v>
      </c>
      <c r="G98" s="48" t="s">
        <v>1955</v>
      </c>
      <c r="H98" s="48" t="s">
        <v>17</v>
      </c>
      <c r="I98" s="48" t="s">
        <v>10</v>
      </c>
      <c r="J98" s="87" t="s">
        <v>1368</v>
      </c>
      <c r="K98" s="88">
        <v>28159</v>
      </c>
      <c r="L98" s="89">
        <v>1977</v>
      </c>
      <c r="M98" s="89">
        <f t="shared" si="5"/>
        <v>42</v>
      </c>
      <c r="N98" s="48" t="s">
        <v>11</v>
      </c>
      <c r="O98" s="48" t="s">
        <v>1369</v>
      </c>
      <c r="P98" s="87" t="s">
        <v>28</v>
      </c>
      <c r="Q98" s="48"/>
      <c r="R98" s="87" t="s">
        <v>1371</v>
      </c>
    </row>
    <row r="99" spans="2:18" ht="25.5">
      <c r="B99" s="130"/>
      <c r="C99" s="130"/>
      <c r="D99" s="48">
        <v>92</v>
      </c>
      <c r="E99" s="87" t="s">
        <v>898</v>
      </c>
      <c r="F99" s="48" t="s">
        <v>25</v>
      </c>
      <c r="G99" s="48" t="s">
        <v>1954</v>
      </c>
      <c r="H99" s="48" t="s">
        <v>9</v>
      </c>
      <c r="I99" s="48" t="s">
        <v>23</v>
      </c>
      <c r="J99" s="87" t="s">
        <v>1387</v>
      </c>
      <c r="K99" s="88">
        <v>36025</v>
      </c>
      <c r="L99" s="89">
        <v>1998</v>
      </c>
      <c r="M99" s="89">
        <f t="shared" si="5"/>
        <v>21</v>
      </c>
      <c r="N99" s="48" t="s">
        <v>11</v>
      </c>
      <c r="O99" s="48" t="s">
        <v>1369</v>
      </c>
      <c r="P99" s="87" t="s">
        <v>12</v>
      </c>
      <c r="Q99" s="48"/>
      <c r="R99" s="87" t="s">
        <v>1376</v>
      </c>
    </row>
    <row r="100" spans="2:18" ht="25.5">
      <c r="B100" s="130"/>
      <c r="C100" s="130"/>
      <c r="D100" s="48">
        <v>93</v>
      </c>
      <c r="E100" s="87" t="s">
        <v>899</v>
      </c>
      <c r="F100" s="48" t="s">
        <v>25</v>
      </c>
      <c r="G100" s="48" t="s">
        <v>1953</v>
      </c>
      <c r="H100" s="48" t="s">
        <v>17</v>
      </c>
      <c r="I100" s="48" t="s">
        <v>23</v>
      </c>
      <c r="J100" s="87" t="s">
        <v>1387</v>
      </c>
      <c r="K100" s="88">
        <v>37503</v>
      </c>
      <c r="L100" s="89">
        <v>2002</v>
      </c>
      <c r="M100" s="89">
        <f t="shared" si="5"/>
        <v>17</v>
      </c>
      <c r="N100" s="48" t="s">
        <v>11</v>
      </c>
      <c r="O100" s="48" t="s">
        <v>1369</v>
      </c>
      <c r="P100" s="87" t="s">
        <v>33</v>
      </c>
      <c r="Q100" s="48"/>
      <c r="R100" s="87" t="s">
        <v>1376</v>
      </c>
    </row>
    <row r="101" spans="2:18" ht="25.5">
      <c r="B101" s="130"/>
      <c r="C101" s="130"/>
      <c r="D101" s="48">
        <v>94</v>
      </c>
      <c r="E101" s="87" t="s">
        <v>1951</v>
      </c>
      <c r="F101" s="48" t="s">
        <v>25</v>
      </c>
      <c r="G101" s="48" t="s">
        <v>1952</v>
      </c>
      <c r="H101" s="48" t="s">
        <v>9</v>
      </c>
      <c r="I101" s="48" t="s">
        <v>23</v>
      </c>
      <c r="J101" s="87" t="s">
        <v>1387</v>
      </c>
      <c r="K101" s="88">
        <v>42866</v>
      </c>
      <c r="L101" s="89">
        <v>2017</v>
      </c>
      <c r="M101" s="89">
        <f t="shared" si="5"/>
        <v>2</v>
      </c>
      <c r="N101" s="48" t="s">
        <v>11</v>
      </c>
      <c r="O101" s="48" t="s">
        <v>1369</v>
      </c>
      <c r="P101" s="87" t="s">
        <v>1425</v>
      </c>
      <c r="Q101" s="48"/>
      <c r="R101" s="87" t="s">
        <v>1486</v>
      </c>
    </row>
    <row r="102" spans="2:18" ht="25.5">
      <c r="B102" s="130">
        <v>35</v>
      </c>
      <c r="C102" s="130" t="s">
        <v>1937</v>
      </c>
      <c r="D102" s="48">
        <v>95</v>
      </c>
      <c r="E102" s="87" t="s">
        <v>1938</v>
      </c>
      <c r="F102" s="48" t="s">
        <v>14</v>
      </c>
      <c r="G102" s="48" t="s">
        <v>900</v>
      </c>
      <c r="H102" s="48" t="s">
        <v>17</v>
      </c>
      <c r="I102" s="48" t="s">
        <v>1448</v>
      </c>
      <c r="J102" s="87" t="s">
        <v>1368</v>
      </c>
      <c r="K102" s="88">
        <v>21002</v>
      </c>
      <c r="L102" s="89">
        <v>1957</v>
      </c>
      <c r="M102" s="89">
        <f t="shared" si="5"/>
        <v>62</v>
      </c>
      <c r="N102" s="48" t="s">
        <v>11</v>
      </c>
      <c r="O102" s="48" t="s">
        <v>1369</v>
      </c>
      <c r="P102" s="87" t="s">
        <v>28</v>
      </c>
      <c r="Q102" s="48"/>
      <c r="R102" s="87" t="s">
        <v>1371</v>
      </c>
    </row>
    <row r="103" spans="2:18" ht="25.5">
      <c r="B103" s="130"/>
      <c r="C103" s="130"/>
      <c r="D103" s="48">
        <v>96</v>
      </c>
      <c r="E103" s="87" t="s">
        <v>901</v>
      </c>
      <c r="F103" s="48" t="s">
        <v>25</v>
      </c>
      <c r="G103" s="48" t="s">
        <v>902</v>
      </c>
      <c r="H103" s="48" t="s">
        <v>9</v>
      </c>
      <c r="I103" s="48" t="s">
        <v>23</v>
      </c>
      <c r="J103" s="87" t="s">
        <v>1368</v>
      </c>
      <c r="K103" s="88">
        <v>29220</v>
      </c>
      <c r="L103" s="89">
        <v>1979</v>
      </c>
      <c r="M103" s="89">
        <f t="shared" si="5"/>
        <v>40</v>
      </c>
      <c r="N103" s="48" t="s">
        <v>11</v>
      </c>
      <c r="O103" s="48" t="s">
        <v>1369</v>
      </c>
      <c r="P103" s="87" t="s">
        <v>28</v>
      </c>
      <c r="Q103" s="48"/>
      <c r="R103" s="87" t="s">
        <v>1371</v>
      </c>
    </row>
    <row r="104" spans="2:18" ht="25.5">
      <c r="B104" s="130"/>
      <c r="C104" s="130"/>
      <c r="D104" s="48">
        <v>97</v>
      </c>
      <c r="E104" s="87" t="s">
        <v>903</v>
      </c>
      <c r="F104" s="48" t="s">
        <v>25</v>
      </c>
      <c r="G104" s="48" t="s">
        <v>904</v>
      </c>
      <c r="H104" s="48" t="s">
        <v>17</v>
      </c>
      <c r="I104" s="48" t="s">
        <v>1505</v>
      </c>
      <c r="J104" s="87" t="s">
        <v>1368</v>
      </c>
      <c r="K104" s="88">
        <v>29586</v>
      </c>
      <c r="L104" s="89">
        <v>1980</v>
      </c>
      <c r="M104" s="89">
        <f t="shared" si="5"/>
        <v>39</v>
      </c>
      <c r="N104" s="48" t="s">
        <v>11</v>
      </c>
      <c r="O104" s="48" t="s">
        <v>1369</v>
      </c>
      <c r="P104" s="87" t="s">
        <v>28</v>
      </c>
      <c r="Q104" s="48"/>
      <c r="R104" s="87" t="s">
        <v>1371</v>
      </c>
    </row>
    <row r="105" spans="2:18">
      <c r="B105" s="130">
        <v>36</v>
      </c>
      <c r="C105" s="130"/>
      <c r="D105" s="48">
        <v>98</v>
      </c>
      <c r="E105" s="87" t="s">
        <v>449</v>
      </c>
      <c r="F105" s="48" t="s">
        <v>14</v>
      </c>
      <c r="G105" s="48" t="s">
        <v>905</v>
      </c>
      <c r="H105" s="48" t="s">
        <v>9</v>
      </c>
      <c r="I105" s="48" t="s">
        <v>10</v>
      </c>
      <c r="J105" s="87"/>
      <c r="K105" s="88">
        <v>27394</v>
      </c>
      <c r="L105" s="89">
        <f t="shared" ref="L105:L108" si="7">YEAR(K105)</f>
        <v>1974</v>
      </c>
      <c r="M105" s="89">
        <f t="shared" si="5"/>
        <v>45</v>
      </c>
      <c r="N105" s="48" t="s">
        <v>11</v>
      </c>
      <c r="O105" s="48"/>
      <c r="P105" s="87" t="s">
        <v>18</v>
      </c>
      <c r="Q105" s="48"/>
      <c r="R105" s="87" t="s">
        <v>24</v>
      </c>
    </row>
    <row r="106" spans="2:18">
      <c r="B106" s="130"/>
      <c r="C106" s="130"/>
      <c r="D106" s="48">
        <v>99</v>
      </c>
      <c r="E106" s="87" t="s">
        <v>906</v>
      </c>
      <c r="F106" s="48" t="s">
        <v>20</v>
      </c>
      <c r="G106" s="48" t="s">
        <v>907</v>
      </c>
      <c r="H106" s="48" t="s">
        <v>17</v>
      </c>
      <c r="I106" s="48" t="s">
        <v>10</v>
      </c>
      <c r="J106" s="87"/>
      <c r="K106" s="88">
        <v>30188</v>
      </c>
      <c r="L106" s="89">
        <f t="shared" si="7"/>
        <v>1982</v>
      </c>
      <c r="M106" s="89">
        <f t="shared" si="5"/>
        <v>37</v>
      </c>
      <c r="N106" s="48" t="s">
        <v>11</v>
      </c>
      <c r="O106" s="48"/>
      <c r="P106" s="87" t="s">
        <v>18</v>
      </c>
      <c r="Q106" s="48"/>
      <c r="R106" s="87" t="s">
        <v>24</v>
      </c>
    </row>
    <row r="107" spans="2:18">
      <c r="B107" s="130"/>
      <c r="C107" s="130"/>
      <c r="D107" s="48">
        <v>100</v>
      </c>
      <c r="E107" s="87" t="s">
        <v>908</v>
      </c>
      <c r="F107" s="48" t="s">
        <v>25</v>
      </c>
      <c r="G107" s="48" t="s">
        <v>909</v>
      </c>
      <c r="H107" s="48" t="s">
        <v>17</v>
      </c>
      <c r="I107" s="48" t="s">
        <v>23</v>
      </c>
      <c r="J107" s="87"/>
      <c r="K107" s="88">
        <v>36411</v>
      </c>
      <c r="L107" s="89">
        <f t="shared" si="7"/>
        <v>1999</v>
      </c>
      <c r="M107" s="89">
        <f t="shared" si="5"/>
        <v>20</v>
      </c>
      <c r="N107" s="48" t="s">
        <v>11</v>
      </c>
      <c r="O107" s="48"/>
      <c r="P107" s="87" t="s">
        <v>33</v>
      </c>
      <c r="Q107" s="48"/>
      <c r="R107" s="87" t="s">
        <v>18</v>
      </c>
    </row>
    <row r="108" spans="2:18">
      <c r="B108" s="130"/>
      <c r="C108" s="130"/>
      <c r="D108" s="48">
        <v>101</v>
      </c>
      <c r="E108" s="87" t="s">
        <v>910</v>
      </c>
      <c r="F108" s="48" t="s">
        <v>25</v>
      </c>
      <c r="G108" s="48" t="s">
        <v>911</v>
      </c>
      <c r="H108" s="48" t="s">
        <v>17</v>
      </c>
      <c r="I108" s="48" t="s">
        <v>23</v>
      </c>
      <c r="J108" s="87"/>
      <c r="K108" s="88">
        <v>40780</v>
      </c>
      <c r="L108" s="89">
        <f t="shared" si="7"/>
        <v>2011</v>
      </c>
      <c r="M108" s="89">
        <f t="shared" si="5"/>
        <v>8</v>
      </c>
      <c r="N108" s="48" t="s">
        <v>11</v>
      </c>
      <c r="O108" s="48"/>
      <c r="P108" s="87" t="s">
        <v>18</v>
      </c>
      <c r="Q108" s="48"/>
      <c r="R108" s="87" t="s">
        <v>18</v>
      </c>
    </row>
    <row r="109" spans="2:18" ht="25.5">
      <c r="B109" s="48">
        <v>37</v>
      </c>
      <c r="C109" s="48" t="s">
        <v>2053</v>
      </c>
      <c r="D109" s="48">
        <v>102</v>
      </c>
      <c r="E109" s="87" t="s">
        <v>2052</v>
      </c>
      <c r="F109" s="48" t="s">
        <v>14</v>
      </c>
      <c r="G109" s="48" t="s">
        <v>914</v>
      </c>
      <c r="H109" s="48" t="s">
        <v>17</v>
      </c>
      <c r="I109" s="48" t="s">
        <v>1505</v>
      </c>
      <c r="J109" s="87" t="s">
        <v>1368</v>
      </c>
      <c r="K109" s="88">
        <v>21002</v>
      </c>
      <c r="L109" s="89">
        <v>1957</v>
      </c>
      <c r="M109" s="89">
        <f t="shared" si="5"/>
        <v>62</v>
      </c>
      <c r="N109" s="48" t="s">
        <v>11</v>
      </c>
      <c r="O109" s="48" t="s">
        <v>1369</v>
      </c>
      <c r="P109" s="87" t="s">
        <v>1425</v>
      </c>
      <c r="Q109" s="48"/>
      <c r="R109" s="87" t="s">
        <v>1371</v>
      </c>
    </row>
    <row r="110" spans="2:18">
      <c r="B110" s="130">
        <v>38</v>
      </c>
      <c r="C110" s="130"/>
      <c r="D110" s="48">
        <v>103</v>
      </c>
      <c r="E110" s="87" t="s">
        <v>915</v>
      </c>
      <c r="F110" s="48" t="s">
        <v>14</v>
      </c>
      <c r="G110" s="48" t="s">
        <v>916</v>
      </c>
      <c r="H110" s="48" t="s">
        <v>17</v>
      </c>
      <c r="I110" s="48" t="s">
        <v>67</v>
      </c>
      <c r="J110" s="87"/>
      <c r="K110" s="88">
        <v>22281</v>
      </c>
      <c r="L110" s="89">
        <f t="shared" ref="L110:L127" si="8">YEAR(K110)</f>
        <v>1960</v>
      </c>
      <c r="M110" s="89">
        <f t="shared" si="5"/>
        <v>59</v>
      </c>
      <c r="N110" s="48" t="s">
        <v>11</v>
      </c>
      <c r="O110" s="48"/>
      <c r="P110" s="87" t="s">
        <v>18</v>
      </c>
      <c r="Q110" s="48"/>
      <c r="R110" s="87" t="s">
        <v>18</v>
      </c>
    </row>
    <row r="111" spans="2:18">
      <c r="B111" s="130"/>
      <c r="C111" s="130"/>
      <c r="D111" s="48">
        <v>104</v>
      </c>
      <c r="E111" s="87" t="s">
        <v>901</v>
      </c>
      <c r="F111" s="48" t="s">
        <v>25</v>
      </c>
      <c r="G111" s="48" t="s">
        <v>917</v>
      </c>
      <c r="H111" s="48" t="s">
        <v>9</v>
      </c>
      <c r="I111" s="48" t="s">
        <v>23</v>
      </c>
      <c r="J111" s="87"/>
      <c r="K111" s="88">
        <v>29220</v>
      </c>
      <c r="L111" s="89">
        <f t="shared" si="8"/>
        <v>1979</v>
      </c>
      <c r="M111" s="89">
        <f t="shared" si="5"/>
        <v>40</v>
      </c>
      <c r="N111" s="48" t="s">
        <v>11</v>
      </c>
      <c r="O111" s="48"/>
      <c r="P111" s="87" t="s">
        <v>28</v>
      </c>
      <c r="Q111" s="48"/>
      <c r="R111" s="87" t="s">
        <v>24</v>
      </c>
    </row>
    <row r="112" spans="2:18">
      <c r="B112" s="130">
        <v>39</v>
      </c>
      <c r="C112" s="130"/>
      <c r="D112" s="48">
        <v>105</v>
      </c>
      <c r="E112" s="87" t="s">
        <v>918</v>
      </c>
      <c r="F112" s="48" t="s">
        <v>14</v>
      </c>
      <c r="G112" s="48" t="s">
        <v>919</v>
      </c>
      <c r="H112" s="48" t="s">
        <v>9</v>
      </c>
      <c r="I112" s="48" t="s">
        <v>10</v>
      </c>
      <c r="J112" s="87"/>
      <c r="K112" s="88">
        <v>26663</v>
      </c>
      <c r="L112" s="89">
        <f t="shared" si="8"/>
        <v>1972</v>
      </c>
      <c r="M112" s="89">
        <f t="shared" si="5"/>
        <v>47</v>
      </c>
      <c r="N112" s="48" t="s">
        <v>11</v>
      </c>
      <c r="O112" s="48"/>
      <c r="P112" s="87" t="s">
        <v>18</v>
      </c>
      <c r="Q112" s="48"/>
      <c r="R112" s="87" t="s">
        <v>24</v>
      </c>
    </row>
    <row r="113" spans="2:18">
      <c r="B113" s="130"/>
      <c r="C113" s="130"/>
      <c r="D113" s="48">
        <v>106</v>
      </c>
      <c r="E113" s="87" t="s">
        <v>920</v>
      </c>
      <c r="F113" s="48" t="s">
        <v>20</v>
      </c>
      <c r="G113" s="48" t="s">
        <v>921</v>
      </c>
      <c r="H113" s="48" t="s">
        <v>17</v>
      </c>
      <c r="I113" s="48" t="s">
        <v>10</v>
      </c>
      <c r="J113" s="87"/>
      <c r="K113" s="88">
        <v>28312</v>
      </c>
      <c r="L113" s="89">
        <f t="shared" si="8"/>
        <v>1977</v>
      </c>
      <c r="M113" s="89">
        <f t="shared" si="5"/>
        <v>42</v>
      </c>
      <c r="N113" s="48" t="s">
        <v>11</v>
      </c>
      <c r="O113" s="48"/>
      <c r="P113" s="87" t="s">
        <v>28</v>
      </c>
      <c r="Q113" s="48"/>
      <c r="R113" s="87" t="s">
        <v>19</v>
      </c>
    </row>
    <row r="114" spans="2:18">
      <c r="B114" s="130"/>
      <c r="C114" s="130"/>
      <c r="D114" s="48">
        <v>107</v>
      </c>
      <c r="E114" s="87" t="s">
        <v>922</v>
      </c>
      <c r="F114" s="48" t="s">
        <v>25</v>
      </c>
      <c r="G114" s="48" t="s">
        <v>923</v>
      </c>
      <c r="H114" s="48" t="s">
        <v>17</v>
      </c>
      <c r="I114" s="48" t="s">
        <v>23</v>
      </c>
      <c r="J114" s="87"/>
      <c r="K114" s="88">
        <v>36558</v>
      </c>
      <c r="L114" s="89">
        <f t="shared" si="8"/>
        <v>2000</v>
      </c>
      <c r="M114" s="89">
        <f t="shared" si="5"/>
        <v>19</v>
      </c>
      <c r="N114" s="48" t="s">
        <v>11</v>
      </c>
      <c r="O114" s="48"/>
      <c r="P114" s="87" t="s">
        <v>33</v>
      </c>
      <c r="Q114" s="48"/>
      <c r="R114" s="87" t="s">
        <v>18</v>
      </c>
    </row>
    <row r="115" spans="2:18">
      <c r="B115" s="130"/>
      <c r="C115" s="130"/>
      <c r="D115" s="48">
        <v>108</v>
      </c>
      <c r="E115" s="87" t="s">
        <v>924</v>
      </c>
      <c r="F115" s="48" t="s">
        <v>25</v>
      </c>
      <c r="G115" s="48" t="s">
        <v>925</v>
      </c>
      <c r="H115" s="48" t="s">
        <v>9</v>
      </c>
      <c r="I115" s="48" t="s">
        <v>23</v>
      </c>
      <c r="J115" s="87"/>
      <c r="K115" s="88">
        <v>37999</v>
      </c>
      <c r="L115" s="89">
        <f t="shared" si="8"/>
        <v>2004</v>
      </c>
      <c r="M115" s="89">
        <f t="shared" si="5"/>
        <v>15</v>
      </c>
      <c r="N115" s="48" t="s">
        <v>11</v>
      </c>
      <c r="O115" s="48"/>
      <c r="P115" s="87" t="s">
        <v>18</v>
      </c>
      <c r="Q115" s="48"/>
      <c r="R115" s="87" t="s">
        <v>18</v>
      </c>
    </row>
    <row r="116" spans="2:18" ht="25.5">
      <c r="B116" s="130">
        <v>40</v>
      </c>
      <c r="C116" s="130"/>
      <c r="D116" s="48">
        <v>109</v>
      </c>
      <c r="E116" s="87" t="s">
        <v>926</v>
      </c>
      <c r="F116" s="48" t="s">
        <v>14</v>
      </c>
      <c r="G116" s="48" t="s">
        <v>927</v>
      </c>
      <c r="H116" s="48" t="s">
        <v>9</v>
      </c>
      <c r="I116" s="48" t="s">
        <v>10</v>
      </c>
      <c r="J116" s="87"/>
      <c r="K116" s="88">
        <v>28351</v>
      </c>
      <c r="L116" s="89">
        <f t="shared" si="8"/>
        <v>1977</v>
      </c>
      <c r="M116" s="89">
        <f t="shared" si="5"/>
        <v>42</v>
      </c>
      <c r="N116" s="48" t="s">
        <v>11</v>
      </c>
      <c r="O116" s="48"/>
      <c r="P116" s="87" t="s">
        <v>12</v>
      </c>
      <c r="Q116" s="48"/>
      <c r="R116" s="87" t="s">
        <v>49</v>
      </c>
    </row>
    <row r="117" spans="2:18" ht="25.5">
      <c r="B117" s="130"/>
      <c r="C117" s="130"/>
      <c r="D117" s="48">
        <v>110</v>
      </c>
      <c r="E117" s="87" t="s">
        <v>928</v>
      </c>
      <c r="F117" s="48" t="s">
        <v>20</v>
      </c>
      <c r="G117" s="48" t="s">
        <v>929</v>
      </c>
      <c r="H117" s="48" t="s">
        <v>17</v>
      </c>
      <c r="I117" s="48" t="s">
        <v>10</v>
      </c>
      <c r="J117" s="87"/>
      <c r="K117" s="88">
        <v>27736</v>
      </c>
      <c r="L117" s="89">
        <f t="shared" si="8"/>
        <v>1975</v>
      </c>
      <c r="M117" s="89">
        <f t="shared" si="5"/>
        <v>44</v>
      </c>
      <c r="N117" s="48" t="s">
        <v>11</v>
      </c>
      <c r="O117" s="48"/>
      <c r="P117" s="87" t="s">
        <v>33</v>
      </c>
      <c r="Q117" s="48"/>
      <c r="R117" s="87" t="s">
        <v>18</v>
      </c>
    </row>
    <row r="118" spans="2:18">
      <c r="B118" s="130"/>
      <c r="C118" s="130"/>
      <c r="D118" s="48">
        <v>111</v>
      </c>
      <c r="E118" s="87" t="s">
        <v>930</v>
      </c>
      <c r="F118" s="48" t="s">
        <v>25</v>
      </c>
      <c r="G118" s="48" t="s">
        <v>931</v>
      </c>
      <c r="H118" s="48" t="s">
        <v>17</v>
      </c>
      <c r="I118" s="48" t="s">
        <v>23</v>
      </c>
      <c r="J118" s="87"/>
      <c r="K118" s="88">
        <v>36377</v>
      </c>
      <c r="L118" s="89">
        <f t="shared" si="8"/>
        <v>1999</v>
      </c>
      <c r="M118" s="89">
        <f t="shared" si="5"/>
        <v>20</v>
      </c>
      <c r="N118" s="48" t="s">
        <v>11</v>
      </c>
      <c r="O118" s="48"/>
      <c r="P118" s="87" t="s">
        <v>33</v>
      </c>
      <c r="Q118" s="48"/>
      <c r="R118" s="87" t="s">
        <v>18</v>
      </c>
    </row>
    <row r="119" spans="2:18" ht="38.25">
      <c r="B119" s="130"/>
      <c r="C119" s="130"/>
      <c r="D119" s="48">
        <v>112</v>
      </c>
      <c r="E119" s="87" t="s">
        <v>932</v>
      </c>
      <c r="F119" s="48" t="s">
        <v>25</v>
      </c>
      <c r="G119" s="48" t="s">
        <v>933</v>
      </c>
      <c r="H119" s="48" t="s">
        <v>9</v>
      </c>
      <c r="I119" s="48" t="s">
        <v>23</v>
      </c>
      <c r="J119" s="87"/>
      <c r="K119" s="88">
        <v>965</v>
      </c>
      <c r="L119" s="89">
        <f t="shared" si="8"/>
        <v>1902</v>
      </c>
      <c r="M119" s="89">
        <f t="shared" si="5"/>
        <v>117</v>
      </c>
      <c r="N119" s="48" t="s">
        <v>11</v>
      </c>
      <c r="O119" s="48"/>
      <c r="P119" s="87" t="s">
        <v>18</v>
      </c>
      <c r="Q119" s="48"/>
      <c r="R119" s="87" t="s">
        <v>18</v>
      </c>
    </row>
    <row r="120" spans="2:18">
      <c r="B120" s="130">
        <v>41</v>
      </c>
      <c r="C120" s="130"/>
      <c r="D120" s="48">
        <v>113</v>
      </c>
      <c r="E120" s="87" t="s">
        <v>934</v>
      </c>
      <c r="F120" s="48" t="s">
        <v>14</v>
      </c>
      <c r="G120" s="48" t="s">
        <v>935</v>
      </c>
      <c r="H120" s="48" t="s">
        <v>9</v>
      </c>
      <c r="I120" s="48" t="s">
        <v>10</v>
      </c>
      <c r="J120" s="87"/>
      <c r="K120" s="88">
        <v>24472</v>
      </c>
      <c r="L120" s="89">
        <f t="shared" si="8"/>
        <v>1966</v>
      </c>
      <c r="M120" s="89">
        <f t="shared" si="5"/>
        <v>53</v>
      </c>
      <c r="N120" s="48" t="s">
        <v>11</v>
      </c>
      <c r="O120" s="48"/>
      <c r="P120" s="87" t="s">
        <v>18</v>
      </c>
      <c r="Q120" s="48"/>
      <c r="R120" s="87" t="s">
        <v>58</v>
      </c>
    </row>
    <row r="121" spans="2:18">
      <c r="B121" s="130"/>
      <c r="C121" s="130"/>
      <c r="D121" s="48">
        <v>114</v>
      </c>
      <c r="E121" s="87" t="s">
        <v>936</v>
      </c>
      <c r="F121" s="48" t="s">
        <v>20</v>
      </c>
      <c r="G121" s="48" t="s">
        <v>937</v>
      </c>
      <c r="H121" s="48" t="s">
        <v>17</v>
      </c>
      <c r="I121" s="48" t="s">
        <v>10</v>
      </c>
      <c r="J121" s="87"/>
      <c r="K121" s="88">
        <v>24654</v>
      </c>
      <c r="L121" s="89">
        <f t="shared" si="8"/>
        <v>1967</v>
      </c>
      <c r="M121" s="89">
        <f t="shared" si="5"/>
        <v>52</v>
      </c>
      <c r="N121" s="48" t="s">
        <v>11</v>
      </c>
      <c r="O121" s="48"/>
      <c r="P121" s="87" t="s">
        <v>18</v>
      </c>
      <c r="Q121" s="48"/>
      <c r="R121" s="87" t="s">
        <v>58</v>
      </c>
    </row>
    <row r="122" spans="2:18">
      <c r="B122" s="130">
        <v>42</v>
      </c>
      <c r="C122" s="130"/>
      <c r="D122" s="48">
        <v>115</v>
      </c>
      <c r="E122" s="87" t="s">
        <v>938</v>
      </c>
      <c r="F122" s="48" t="s">
        <v>14</v>
      </c>
      <c r="G122" s="48" t="s">
        <v>939</v>
      </c>
      <c r="H122" s="48" t="s">
        <v>9</v>
      </c>
      <c r="I122" s="48" t="s">
        <v>10</v>
      </c>
      <c r="J122" s="87"/>
      <c r="K122" s="88">
        <v>30316</v>
      </c>
      <c r="L122" s="89">
        <f t="shared" si="8"/>
        <v>1982</v>
      </c>
      <c r="M122" s="89">
        <f t="shared" si="5"/>
        <v>37</v>
      </c>
      <c r="N122" s="48" t="s">
        <v>11</v>
      </c>
      <c r="O122" s="48"/>
      <c r="P122" s="87" t="s">
        <v>33</v>
      </c>
      <c r="Q122" s="48"/>
      <c r="R122" s="87" t="s">
        <v>24</v>
      </c>
    </row>
    <row r="123" spans="2:18">
      <c r="B123" s="130"/>
      <c r="C123" s="130"/>
      <c r="D123" s="48">
        <v>116</v>
      </c>
      <c r="E123" s="87" t="s">
        <v>940</v>
      </c>
      <c r="F123" s="48" t="s">
        <v>20</v>
      </c>
      <c r="G123" s="48" t="s">
        <v>941</v>
      </c>
      <c r="H123" s="48" t="s">
        <v>17</v>
      </c>
      <c r="I123" s="48" t="s">
        <v>10</v>
      </c>
      <c r="J123" s="87"/>
      <c r="K123" s="88">
        <v>31412</v>
      </c>
      <c r="L123" s="89">
        <f t="shared" si="8"/>
        <v>1985</v>
      </c>
      <c r="M123" s="89">
        <f t="shared" si="5"/>
        <v>34</v>
      </c>
      <c r="N123" s="48" t="s">
        <v>11</v>
      </c>
      <c r="O123" s="48"/>
      <c r="P123" s="87" t="s">
        <v>33</v>
      </c>
      <c r="Q123" s="48"/>
      <c r="R123" s="87" t="s">
        <v>24</v>
      </c>
    </row>
    <row r="124" spans="2:18" ht="25.5">
      <c r="B124" s="130"/>
      <c r="C124" s="130"/>
      <c r="D124" s="48">
        <v>117</v>
      </c>
      <c r="E124" s="87" t="s">
        <v>942</v>
      </c>
      <c r="F124" s="48" t="s">
        <v>25</v>
      </c>
      <c r="G124" s="48" t="s">
        <v>943</v>
      </c>
      <c r="H124" s="48" t="s">
        <v>17</v>
      </c>
      <c r="I124" s="48" t="s">
        <v>23</v>
      </c>
      <c r="J124" s="87"/>
      <c r="K124" s="88">
        <v>41401</v>
      </c>
      <c r="L124" s="89">
        <f t="shared" si="8"/>
        <v>2013</v>
      </c>
      <c r="M124" s="89">
        <f t="shared" si="5"/>
        <v>6</v>
      </c>
      <c r="N124" s="48" t="s">
        <v>11</v>
      </c>
      <c r="O124" s="48"/>
      <c r="P124" s="87" t="s">
        <v>18</v>
      </c>
      <c r="Q124" s="48"/>
      <c r="R124" s="87" t="s">
        <v>18</v>
      </c>
    </row>
    <row r="125" spans="2:18">
      <c r="B125" s="130">
        <v>43</v>
      </c>
      <c r="C125" s="130"/>
      <c r="D125" s="48">
        <v>118</v>
      </c>
      <c r="E125" s="87" t="s">
        <v>944</v>
      </c>
      <c r="F125" s="48" t="s">
        <v>14</v>
      </c>
      <c r="G125" s="48" t="s">
        <v>945</v>
      </c>
      <c r="H125" s="48" t="s">
        <v>9</v>
      </c>
      <c r="I125" s="48" t="s">
        <v>10</v>
      </c>
      <c r="J125" s="87"/>
      <c r="K125" s="88">
        <v>25203</v>
      </c>
      <c r="L125" s="89">
        <f t="shared" si="8"/>
        <v>1968</v>
      </c>
      <c r="M125" s="89">
        <f t="shared" si="5"/>
        <v>51</v>
      </c>
      <c r="N125" s="48" t="s">
        <v>11</v>
      </c>
      <c r="O125" s="48"/>
      <c r="P125" s="87" t="s">
        <v>33</v>
      </c>
      <c r="Q125" s="48"/>
      <c r="R125" s="87" t="s">
        <v>24</v>
      </c>
    </row>
    <row r="126" spans="2:18">
      <c r="B126" s="130"/>
      <c r="C126" s="130"/>
      <c r="D126" s="48">
        <v>119</v>
      </c>
      <c r="E126" s="87" t="s">
        <v>744</v>
      </c>
      <c r="F126" s="48" t="s">
        <v>20</v>
      </c>
      <c r="G126" s="48" t="s">
        <v>946</v>
      </c>
      <c r="H126" s="48" t="s">
        <v>17</v>
      </c>
      <c r="I126" s="48" t="s">
        <v>10</v>
      </c>
      <c r="J126" s="87"/>
      <c r="K126" s="88">
        <v>31412</v>
      </c>
      <c r="L126" s="89">
        <f t="shared" si="8"/>
        <v>1985</v>
      </c>
      <c r="M126" s="89">
        <f t="shared" si="5"/>
        <v>34</v>
      </c>
      <c r="N126" s="48" t="s">
        <v>11</v>
      </c>
      <c r="O126" s="48"/>
      <c r="P126" s="87" t="s">
        <v>33</v>
      </c>
      <c r="Q126" s="48"/>
      <c r="R126" s="87" t="s">
        <v>24</v>
      </c>
    </row>
    <row r="127" spans="2:18">
      <c r="B127" s="130"/>
      <c r="C127" s="130"/>
      <c r="D127" s="48">
        <v>120</v>
      </c>
      <c r="E127" s="87" t="s">
        <v>947</v>
      </c>
      <c r="F127" s="48" t="s">
        <v>25</v>
      </c>
      <c r="G127" s="48" t="s">
        <v>948</v>
      </c>
      <c r="H127" s="48" t="s">
        <v>9</v>
      </c>
      <c r="I127" s="48" t="s">
        <v>23</v>
      </c>
      <c r="J127" s="87"/>
      <c r="K127" s="88">
        <v>41401</v>
      </c>
      <c r="L127" s="89">
        <f t="shared" si="8"/>
        <v>2013</v>
      </c>
      <c r="M127" s="89">
        <f t="shared" si="5"/>
        <v>6</v>
      </c>
      <c r="N127" s="48" t="s">
        <v>11</v>
      </c>
      <c r="O127" s="48"/>
      <c r="P127" s="87" t="s">
        <v>18</v>
      </c>
      <c r="Q127" s="48"/>
      <c r="R127" s="87" t="s">
        <v>18</v>
      </c>
    </row>
    <row r="128" spans="2:18">
      <c r="B128" s="130">
        <v>44</v>
      </c>
      <c r="C128" s="131" t="s">
        <v>2186</v>
      </c>
      <c r="D128" s="48">
        <v>121</v>
      </c>
      <c r="E128" s="87" t="s">
        <v>2187</v>
      </c>
      <c r="F128" s="48" t="s">
        <v>14</v>
      </c>
      <c r="G128" s="48" t="s">
        <v>2192</v>
      </c>
      <c r="H128" s="48" t="s">
        <v>9</v>
      </c>
      <c r="I128" s="48" t="s">
        <v>10</v>
      </c>
      <c r="J128" s="87" t="s">
        <v>1387</v>
      </c>
      <c r="K128" s="88">
        <v>28045</v>
      </c>
      <c r="L128" s="89">
        <v>1976</v>
      </c>
      <c r="M128" s="89">
        <f t="shared" si="5"/>
        <v>43</v>
      </c>
      <c r="N128" s="48" t="s">
        <v>11</v>
      </c>
      <c r="O128" s="48" t="s">
        <v>1369</v>
      </c>
      <c r="P128" s="87" t="s">
        <v>33</v>
      </c>
      <c r="Q128" s="48"/>
      <c r="R128" s="87" t="s">
        <v>19</v>
      </c>
    </row>
    <row r="129" spans="2:18">
      <c r="B129" s="130"/>
      <c r="C129" s="132"/>
      <c r="D129" s="48">
        <v>122</v>
      </c>
      <c r="E129" s="87" t="s">
        <v>949</v>
      </c>
      <c r="F129" s="48" t="s">
        <v>20</v>
      </c>
      <c r="G129" s="48" t="s">
        <v>2124</v>
      </c>
      <c r="H129" s="48" t="s">
        <v>17</v>
      </c>
      <c r="I129" s="48" t="s">
        <v>10</v>
      </c>
      <c r="J129" s="87" t="s">
        <v>1368</v>
      </c>
      <c r="K129" s="88">
        <v>28490</v>
      </c>
      <c r="L129" s="89">
        <v>1977</v>
      </c>
      <c r="M129" s="89">
        <f t="shared" si="5"/>
        <v>42</v>
      </c>
      <c r="N129" s="48" t="s">
        <v>11</v>
      </c>
      <c r="O129" s="48" t="s">
        <v>1369</v>
      </c>
      <c r="P129" s="87" t="s">
        <v>12</v>
      </c>
      <c r="Q129" s="48"/>
      <c r="R129" s="87" t="s">
        <v>19</v>
      </c>
    </row>
    <row r="130" spans="2:18" ht="25.5">
      <c r="B130" s="130"/>
      <c r="C130" s="132"/>
      <c r="D130" s="48">
        <v>123</v>
      </c>
      <c r="E130" s="87" t="s">
        <v>2188</v>
      </c>
      <c r="F130" s="48" t="s">
        <v>25</v>
      </c>
      <c r="G130" s="48" t="s">
        <v>2190</v>
      </c>
      <c r="H130" s="48" t="s">
        <v>17</v>
      </c>
      <c r="I130" s="48" t="s">
        <v>23</v>
      </c>
      <c r="J130" s="87" t="s">
        <v>1368</v>
      </c>
      <c r="K130" s="88">
        <v>37280</v>
      </c>
      <c r="L130" s="89">
        <v>2002</v>
      </c>
      <c r="M130" s="89">
        <f t="shared" si="5"/>
        <v>17</v>
      </c>
      <c r="N130" s="48" t="s">
        <v>11</v>
      </c>
      <c r="O130" s="48" t="s">
        <v>1369</v>
      </c>
      <c r="P130" s="87" t="s">
        <v>28</v>
      </c>
      <c r="Q130" s="48"/>
      <c r="R130" s="87" t="s">
        <v>1376</v>
      </c>
    </row>
    <row r="131" spans="2:18" ht="25.5">
      <c r="B131" s="130"/>
      <c r="C131" s="133"/>
      <c r="D131" s="48">
        <v>124</v>
      </c>
      <c r="E131" s="87" t="s">
        <v>2189</v>
      </c>
      <c r="F131" s="48" t="s">
        <v>25</v>
      </c>
      <c r="G131" s="48" t="s">
        <v>2191</v>
      </c>
      <c r="H131" s="48" t="s">
        <v>17</v>
      </c>
      <c r="I131" s="48" t="s">
        <v>23</v>
      </c>
      <c r="J131" s="87" t="s">
        <v>1368</v>
      </c>
      <c r="K131" s="88">
        <v>40065</v>
      </c>
      <c r="L131" s="89">
        <v>2009</v>
      </c>
      <c r="M131" s="89">
        <f t="shared" si="5"/>
        <v>10</v>
      </c>
      <c r="N131" s="48" t="s">
        <v>11</v>
      </c>
      <c r="O131" s="48" t="s">
        <v>1369</v>
      </c>
      <c r="P131" s="87" t="s">
        <v>1425</v>
      </c>
      <c r="Q131" s="48"/>
      <c r="R131" s="87" t="s">
        <v>1486</v>
      </c>
    </row>
    <row r="132" spans="2:18" ht="25.5">
      <c r="B132" s="130">
        <v>45</v>
      </c>
      <c r="C132" s="130" t="s">
        <v>1959</v>
      </c>
      <c r="D132" s="48">
        <v>125</v>
      </c>
      <c r="E132" s="87" t="s">
        <v>322</v>
      </c>
      <c r="F132" s="48" t="s">
        <v>14</v>
      </c>
      <c r="G132" s="48" t="s">
        <v>950</v>
      </c>
      <c r="H132" s="48" t="s">
        <v>17</v>
      </c>
      <c r="I132" s="48" t="s">
        <v>1448</v>
      </c>
      <c r="J132" s="87" t="s">
        <v>1368</v>
      </c>
      <c r="K132" s="88">
        <v>26482</v>
      </c>
      <c r="L132" s="89">
        <v>1972</v>
      </c>
      <c r="M132" s="89">
        <f t="shared" si="5"/>
        <v>47</v>
      </c>
      <c r="N132" s="48" t="s">
        <v>11</v>
      </c>
      <c r="O132" s="48" t="s">
        <v>1369</v>
      </c>
      <c r="P132" s="87" t="s">
        <v>1425</v>
      </c>
      <c r="Q132" s="48"/>
      <c r="R132" s="87" t="s">
        <v>1371</v>
      </c>
    </row>
    <row r="133" spans="2:18" ht="25.5">
      <c r="B133" s="130"/>
      <c r="C133" s="130"/>
      <c r="D133" s="48">
        <v>126</v>
      </c>
      <c r="E133" s="87" t="s">
        <v>951</v>
      </c>
      <c r="F133" s="48" t="s">
        <v>25</v>
      </c>
      <c r="G133" s="48" t="s">
        <v>952</v>
      </c>
      <c r="H133" s="48" t="s">
        <v>9</v>
      </c>
      <c r="I133" s="48" t="s">
        <v>23</v>
      </c>
      <c r="J133" s="87" t="s">
        <v>1368</v>
      </c>
      <c r="K133" s="88">
        <v>33946</v>
      </c>
      <c r="L133" s="89">
        <v>1992</v>
      </c>
      <c r="M133" s="89">
        <f t="shared" si="5"/>
        <v>27</v>
      </c>
      <c r="N133" s="48" t="s">
        <v>11</v>
      </c>
      <c r="O133" s="48" t="s">
        <v>1369</v>
      </c>
      <c r="P133" s="87" t="s">
        <v>33</v>
      </c>
      <c r="Q133" s="48"/>
      <c r="R133" s="87" t="s">
        <v>1371</v>
      </c>
    </row>
    <row r="134" spans="2:18" ht="25.5">
      <c r="B134" s="130"/>
      <c r="C134" s="130"/>
      <c r="D134" s="48">
        <v>127</v>
      </c>
      <c r="E134" s="87" t="s">
        <v>953</v>
      </c>
      <c r="F134" s="48" t="s">
        <v>25</v>
      </c>
      <c r="G134" s="48" t="s">
        <v>954</v>
      </c>
      <c r="H134" s="48" t="s">
        <v>9</v>
      </c>
      <c r="I134" s="48" t="s">
        <v>23</v>
      </c>
      <c r="J134" s="87" t="s">
        <v>1368</v>
      </c>
      <c r="K134" s="88">
        <v>37748</v>
      </c>
      <c r="L134" s="89">
        <v>2003</v>
      </c>
      <c r="M134" s="89">
        <f t="shared" si="5"/>
        <v>16</v>
      </c>
      <c r="N134" s="48" t="s">
        <v>11</v>
      </c>
      <c r="O134" s="48" t="s">
        <v>1369</v>
      </c>
      <c r="P134" s="87" t="s">
        <v>1425</v>
      </c>
      <c r="Q134" s="48"/>
      <c r="R134" s="87" t="s">
        <v>1486</v>
      </c>
    </row>
    <row r="135" spans="2:18">
      <c r="B135" s="48">
        <v>46</v>
      </c>
      <c r="C135" s="48"/>
      <c r="D135" s="48">
        <v>128</v>
      </c>
      <c r="E135" s="87" t="s">
        <v>955</v>
      </c>
      <c r="F135" s="48" t="s">
        <v>14</v>
      </c>
      <c r="G135" s="48">
        <v>0</v>
      </c>
      <c r="H135" s="48" t="s">
        <v>17</v>
      </c>
      <c r="I135" s="48" t="s">
        <v>67</v>
      </c>
      <c r="J135" s="87"/>
      <c r="K135" s="88">
        <v>18445</v>
      </c>
      <c r="L135" s="89">
        <f t="shared" ref="L135:L163" si="9">YEAR(K135)</f>
        <v>1950</v>
      </c>
      <c r="M135" s="89">
        <f t="shared" si="5"/>
        <v>69</v>
      </c>
      <c r="N135" s="48" t="s">
        <v>11</v>
      </c>
      <c r="O135" s="48"/>
      <c r="P135" s="87" t="s">
        <v>18</v>
      </c>
      <c r="Q135" s="48"/>
      <c r="R135" s="87" t="s">
        <v>24</v>
      </c>
    </row>
    <row r="136" spans="2:18">
      <c r="B136" s="130">
        <v>47</v>
      </c>
      <c r="C136" s="130"/>
      <c r="D136" s="48">
        <v>129</v>
      </c>
      <c r="E136" s="87" t="s">
        <v>956</v>
      </c>
      <c r="F136" s="48" t="s">
        <v>14</v>
      </c>
      <c r="G136" s="48" t="s">
        <v>957</v>
      </c>
      <c r="H136" s="48" t="s">
        <v>9</v>
      </c>
      <c r="I136" s="48" t="s">
        <v>10</v>
      </c>
      <c r="J136" s="87"/>
      <c r="K136" s="88">
        <v>25203</v>
      </c>
      <c r="L136" s="89">
        <f t="shared" si="9"/>
        <v>1968</v>
      </c>
      <c r="M136" s="89">
        <f t="shared" ref="M136:M199" si="10">2019-L136</f>
        <v>51</v>
      </c>
      <c r="N136" s="48" t="s">
        <v>11</v>
      </c>
      <c r="O136" s="48"/>
      <c r="P136" s="87" t="s">
        <v>18</v>
      </c>
      <c r="Q136" s="48"/>
      <c r="R136" s="87" t="s">
        <v>24</v>
      </c>
    </row>
    <row r="137" spans="2:18">
      <c r="B137" s="130"/>
      <c r="C137" s="130"/>
      <c r="D137" s="48">
        <v>130</v>
      </c>
      <c r="E137" s="87" t="s">
        <v>605</v>
      </c>
      <c r="F137" s="48" t="s">
        <v>20</v>
      </c>
      <c r="G137" s="48" t="s">
        <v>958</v>
      </c>
      <c r="H137" s="48" t="s">
        <v>17</v>
      </c>
      <c r="I137" s="48" t="s">
        <v>10</v>
      </c>
      <c r="J137" s="87"/>
      <c r="K137" s="88">
        <v>25933</v>
      </c>
      <c r="L137" s="89">
        <f t="shared" si="9"/>
        <v>1970</v>
      </c>
      <c r="M137" s="89">
        <f t="shared" si="10"/>
        <v>49</v>
      </c>
      <c r="N137" s="48" t="s">
        <v>11</v>
      </c>
      <c r="O137" s="48"/>
      <c r="P137" s="87" t="s">
        <v>18</v>
      </c>
      <c r="Q137" s="48"/>
      <c r="R137" s="87" t="s">
        <v>24</v>
      </c>
    </row>
    <row r="138" spans="2:18">
      <c r="B138" s="130"/>
      <c r="C138" s="130"/>
      <c r="D138" s="48">
        <v>131</v>
      </c>
      <c r="E138" s="87" t="s">
        <v>959</v>
      </c>
      <c r="F138" s="48" t="s">
        <v>25</v>
      </c>
      <c r="G138" s="48" t="s">
        <v>960</v>
      </c>
      <c r="H138" s="48" t="s">
        <v>9</v>
      </c>
      <c r="I138" s="48" t="s">
        <v>23</v>
      </c>
      <c r="J138" s="87"/>
      <c r="K138" s="88">
        <v>35906</v>
      </c>
      <c r="L138" s="89">
        <f t="shared" si="9"/>
        <v>1998</v>
      </c>
      <c r="M138" s="89">
        <f t="shared" si="10"/>
        <v>21</v>
      </c>
      <c r="N138" s="48" t="s">
        <v>11</v>
      </c>
      <c r="O138" s="48"/>
      <c r="P138" s="87" t="s">
        <v>28</v>
      </c>
      <c r="Q138" s="48"/>
      <c r="R138" s="87" t="s">
        <v>24</v>
      </c>
    </row>
    <row r="139" spans="2:18">
      <c r="B139" s="130"/>
      <c r="C139" s="130"/>
      <c r="D139" s="48">
        <v>132</v>
      </c>
      <c r="E139" s="87" t="s">
        <v>961</v>
      </c>
      <c r="F139" s="48" t="s">
        <v>25</v>
      </c>
      <c r="G139" s="48" t="s">
        <v>962</v>
      </c>
      <c r="H139" s="48" t="s">
        <v>9</v>
      </c>
      <c r="I139" s="48" t="s">
        <v>23</v>
      </c>
      <c r="J139" s="87"/>
      <c r="K139" s="88">
        <v>37067</v>
      </c>
      <c r="L139" s="89">
        <f t="shared" si="9"/>
        <v>2001</v>
      </c>
      <c r="M139" s="89">
        <f t="shared" si="10"/>
        <v>18</v>
      </c>
      <c r="N139" s="48" t="s">
        <v>11</v>
      </c>
      <c r="O139" s="48"/>
      <c r="P139" s="87" t="s">
        <v>28</v>
      </c>
      <c r="Q139" s="48"/>
      <c r="R139" s="87" t="s">
        <v>24</v>
      </c>
    </row>
    <row r="140" spans="2:18">
      <c r="B140" s="130"/>
      <c r="C140" s="130"/>
      <c r="D140" s="48">
        <v>133</v>
      </c>
      <c r="E140" s="87" t="s">
        <v>963</v>
      </c>
      <c r="F140" s="48" t="s">
        <v>25</v>
      </c>
      <c r="G140" s="48" t="s">
        <v>964</v>
      </c>
      <c r="H140" s="48" t="s">
        <v>17</v>
      </c>
      <c r="I140" s="48" t="s">
        <v>23</v>
      </c>
      <c r="J140" s="87"/>
      <c r="K140" s="88">
        <v>37591</v>
      </c>
      <c r="L140" s="89">
        <f t="shared" si="9"/>
        <v>2002</v>
      </c>
      <c r="M140" s="89">
        <f t="shared" si="10"/>
        <v>17</v>
      </c>
      <c r="N140" s="48" t="s">
        <v>11</v>
      </c>
      <c r="O140" s="48"/>
      <c r="P140" s="87" t="s">
        <v>18</v>
      </c>
      <c r="Q140" s="48"/>
      <c r="R140" s="87" t="s">
        <v>18</v>
      </c>
    </row>
    <row r="141" spans="2:18">
      <c r="B141" s="130">
        <v>48</v>
      </c>
      <c r="C141" s="130"/>
      <c r="D141" s="48">
        <v>134</v>
      </c>
      <c r="E141" s="87" t="s">
        <v>968</v>
      </c>
      <c r="F141" s="48" t="s">
        <v>14</v>
      </c>
      <c r="G141" s="48" t="s">
        <v>969</v>
      </c>
      <c r="H141" s="48" t="s">
        <v>17</v>
      </c>
      <c r="I141" s="48" t="s">
        <v>67</v>
      </c>
      <c r="J141" s="87"/>
      <c r="K141" s="88">
        <v>23742</v>
      </c>
      <c r="L141" s="89">
        <f t="shared" si="9"/>
        <v>1964</v>
      </c>
      <c r="M141" s="89">
        <f t="shared" si="10"/>
        <v>55</v>
      </c>
      <c r="N141" s="48" t="s">
        <v>11</v>
      </c>
      <c r="O141" s="48"/>
      <c r="P141" s="87" t="s">
        <v>18</v>
      </c>
      <c r="Q141" s="48"/>
      <c r="R141" s="87" t="s">
        <v>24</v>
      </c>
    </row>
    <row r="142" spans="2:18">
      <c r="B142" s="130"/>
      <c r="C142" s="130"/>
      <c r="D142" s="48">
        <v>135</v>
      </c>
      <c r="E142" s="87" t="s">
        <v>492</v>
      </c>
      <c r="F142" s="48" t="s">
        <v>408</v>
      </c>
      <c r="G142" s="48" t="s">
        <v>970</v>
      </c>
      <c r="H142" s="48" t="s">
        <v>17</v>
      </c>
      <c r="I142" s="48" t="s">
        <v>23</v>
      </c>
      <c r="J142" s="87"/>
      <c r="K142" s="88">
        <v>30156</v>
      </c>
      <c r="L142" s="89">
        <f t="shared" si="9"/>
        <v>1982</v>
      </c>
      <c r="M142" s="89">
        <f t="shared" si="10"/>
        <v>37</v>
      </c>
      <c r="N142" s="48" t="s">
        <v>11</v>
      </c>
      <c r="O142" s="48"/>
      <c r="P142" s="87" t="s">
        <v>28</v>
      </c>
      <c r="Q142" s="48"/>
      <c r="R142" s="87" t="s">
        <v>24</v>
      </c>
    </row>
    <row r="143" spans="2:18">
      <c r="B143" s="130"/>
      <c r="C143" s="130"/>
      <c r="D143" s="48">
        <v>136</v>
      </c>
      <c r="E143" s="87" t="s">
        <v>309</v>
      </c>
      <c r="F143" s="48" t="s">
        <v>408</v>
      </c>
      <c r="G143" s="48">
        <v>0</v>
      </c>
      <c r="H143" s="48" t="s">
        <v>17</v>
      </c>
      <c r="I143" s="48" t="s">
        <v>67</v>
      </c>
      <c r="J143" s="87"/>
      <c r="K143" s="88">
        <v>29403</v>
      </c>
      <c r="L143" s="89">
        <f t="shared" si="9"/>
        <v>1980</v>
      </c>
      <c r="M143" s="89">
        <f t="shared" si="10"/>
        <v>39</v>
      </c>
      <c r="N143" s="48" t="s">
        <v>11</v>
      </c>
      <c r="O143" s="48"/>
      <c r="P143" s="87" t="s">
        <v>28</v>
      </c>
      <c r="Q143" s="48"/>
      <c r="R143" s="87" t="s">
        <v>24</v>
      </c>
    </row>
    <row r="144" spans="2:18">
      <c r="B144" s="130"/>
      <c r="C144" s="130"/>
      <c r="D144" s="48">
        <v>137</v>
      </c>
      <c r="E144" s="87" t="s">
        <v>971</v>
      </c>
      <c r="F144" s="48" t="s">
        <v>408</v>
      </c>
      <c r="G144" s="48">
        <v>0</v>
      </c>
      <c r="H144" s="48" t="s">
        <v>17</v>
      </c>
      <c r="I144" s="48" t="s">
        <v>23</v>
      </c>
      <c r="J144" s="87"/>
      <c r="K144" s="88">
        <v>37803</v>
      </c>
      <c r="L144" s="89">
        <f t="shared" si="9"/>
        <v>2003</v>
      </c>
      <c r="M144" s="89">
        <f t="shared" si="10"/>
        <v>16</v>
      </c>
      <c r="N144" s="48" t="s">
        <v>11</v>
      </c>
      <c r="O144" s="48"/>
      <c r="P144" s="87" t="s">
        <v>18</v>
      </c>
      <c r="Q144" s="48"/>
      <c r="R144" s="87" t="s">
        <v>18</v>
      </c>
    </row>
    <row r="145" spans="2:18">
      <c r="B145" s="130">
        <v>49</v>
      </c>
      <c r="C145" s="130"/>
      <c r="D145" s="48">
        <v>138</v>
      </c>
      <c r="E145" s="87" t="s">
        <v>972</v>
      </c>
      <c r="F145" s="48" t="s">
        <v>14</v>
      </c>
      <c r="G145" s="48">
        <v>0</v>
      </c>
      <c r="H145" s="48" t="s">
        <v>9</v>
      </c>
      <c r="I145" s="48" t="s">
        <v>10</v>
      </c>
      <c r="J145" s="87"/>
      <c r="K145" s="88">
        <v>26481</v>
      </c>
      <c r="L145" s="89">
        <f t="shared" si="9"/>
        <v>1972</v>
      </c>
      <c r="M145" s="89">
        <f t="shared" si="10"/>
        <v>47</v>
      </c>
      <c r="N145" s="48" t="s">
        <v>11</v>
      </c>
      <c r="O145" s="48"/>
      <c r="P145" s="87" t="s">
        <v>28</v>
      </c>
      <c r="Q145" s="48"/>
      <c r="R145" s="87" t="s">
        <v>24</v>
      </c>
    </row>
    <row r="146" spans="2:18">
      <c r="B146" s="130"/>
      <c r="C146" s="130"/>
      <c r="D146" s="48">
        <v>139</v>
      </c>
      <c r="E146" s="87" t="s">
        <v>973</v>
      </c>
      <c r="F146" s="48" t="s">
        <v>20</v>
      </c>
      <c r="G146" s="48">
        <v>0</v>
      </c>
      <c r="H146" s="48" t="s">
        <v>17</v>
      </c>
      <c r="I146" s="48" t="s">
        <v>10</v>
      </c>
      <c r="J146" s="87"/>
      <c r="K146" s="88">
        <v>31229</v>
      </c>
      <c r="L146" s="89">
        <f t="shared" si="9"/>
        <v>1985</v>
      </c>
      <c r="M146" s="89">
        <f t="shared" si="10"/>
        <v>34</v>
      </c>
      <c r="N146" s="48" t="s">
        <v>11</v>
      </c>
      <c r="O146" s="48"/>
      <c r="P146" s="87" t="s">
        <v>18</v>
      </c>
      <c r="Q146" s="48"/>
      <c r="R146" s="87" t="s">
        <v>24</v>
      </c>
    </row>
    <row r="147" spans="2:18">
      <c r="B147" s="130">
        <v>50</v>
      </c>
      <c r="C147" s="130"/>
      <c r="D147" s="48">
        <v>140</v>
      </c>
      <c r="E147" s="87" t="s">
        <v>208</v>
      </c>
      <c r="F147" s="48" t="s">
        <v>14</v>
      </c>
      <c r="G147" s="48" t="s">
        <v>974</v>
      </c>
      <c r="H147" s="48" t="s">
        <v>9</v>
      </c>
      <c r="I147" s="48" t="s">
        <v>10</v>
      </c>
      <c r="J147" s="87"/>
      <c r="K147" s="88">
        <v>31412</v>
      </c>
      <c r="L147" s="89">
        <f t="shared" si="9"/>
        <v>1985</v>
      </c>
      <c r="M147" s="89">
        <f t="shared" si="10"/>
        <v>34</v>
      </c>
      <c r="N147" s="48" t="s">
        <v>11</v>
      </c>
      <c r="O147" s="48"/>
      <c r="P147" s="87" t="s">
        <v>28</v>
      </c>
      <c r="Q147" s="48"/>
      <c r="R147" s="87" t="s">
        <v>24</v>
      </c>
    </row>
    <row r="148" spans="2:18">
      <c r="B148" s="130"/>
      <c r="C148" s="130"/>
      <c r="D148" s="48">
        <v>141</v>
      </c>
      <c r="E148" s="87" t="s">
        <v>975</v>
      </c>
      <c r="F148" s="48" t="s">
        <v>20</v>
      </c>
      <c r="G148" s="48" t="s">
        <v>976</v>
      </c>
      <c r="H148" s="48" t="s">
        <v>17</v>
      </c>
      <c r="I148" s="48" t="s">
        <v>10</v>
      </c>
      <c r="J148" s="87"/>
      <c r="K148" s="88">
        <v>32143</v>
      </c>
      <c r="L148" s="89">
        <f t="shared" si="9"/>
        <v>1988</v>
      </c>
      <c r="M148" s="89">
        <f t="shared" si="10"/>
        <v>31</v>
      </c>
      <c r="N148" s="48" t="s">
        <v>11</v>
      </c>
      <c r="O148" s="48"/>
      <c r="P148" s="87" t="s">
        <v>28</v>
      </c>
      <c r="Q148" s="48"/>
      <c r="R148" s="87" t="s">
        <v>24</v>
      </c>
    </row>
    <row r="149" spans="2:18">
      <c r="B149" s="130"/>
      <c r="C149" s="130"/>
      <c r="D149" s="48">
        <v>142</v>
      </c>
      <c r="E149" s="87" t="s">
        <v>977</v>
      </c>
      <c r="F149" s="48" t="s">
        <v>25</v>
      </c>
      <c r="G149" s="48" t="s">
        <v>978</v>
      </c>
      <c r="H149" s="48" t="s">
        <v>9</v>
      </c>
      <c r="I149" s="48" t="s">
        <v>23</v>
      </c>
      <c r="J149" s="87"/>
      <c r="K149" s="88">
        <v>41296</v>
      </c>
      <c r="L149" s="89">
        <f t="shared" si="9"/>
        <v>2013</v>
      </c>
      <c r="M149" s="89">
        <f t="shared" si="10"/>
        <v>6</v>
      </c>
      <c r="N149" s="48" t="s">
        <v>11</v>
      </c>
      <c r="O149" s="48"/>
      <c r="P149" s="87" t="s">
        <v>18</v>
      </c>
      <c r="Q149" s="48"/>
      <c r="R149" s="87" t="s">
        <v>18</v>
      </c>
    </row>
    <row r="150" spans="2:18">
      <c r="B150" s="130">
        <v>51</v>
      </c>
      <c r="C150" s="130"/>
      <c r="D150" s="48">
        <v>143</v>
      </c>
      <c r="E150" s="87" t="s">
        <v>151</v>
      </c>
      <c r="F150" s="48" t="s">
        <v>14</v>
      </c>
      <c r="G150" s="48" t="s">
        <v>979</v>
      </c>
      <c r="H150" s="48" t="s">
        <v>9</v>
      </c>
      <c r="I150" s="48" t="s">
        <v>10</v>
      </c>
      <c r="J150" s="87"/>
      <c r="K150" s="88">
        <v>32023</v>
      </c>
      <c r="L150" s="89">
        <f t="shared" si="9"/>
        <v>1987</v>
      </c>
      <c r="M150" s="89">
        <f t="shared" si="10"/>
        <v>32</v>
      </c>
      <c r="N150" s="48" t="s">
        <v>11</v>
      </c>
      <c r="O150" s="48"/>
      <c r="P150" s="87" t="s">
        <v>28</v>
      </c>
      <c r="Q150" s="48"/>
      <c r="R150" s="87" t="s">
        <v>24</v>
      </c>
    </row>
    <row r="151" spans="2:18">
      <c r="B151" s="130"/>
      <c r="C151" s="130"/>
      <c r="D151" s="48">
        <v>144</v>
      </c>
      <c r="E151" s="87" t="s">
        <v>288</v>
      </c>
      <c r="F151" s="48" t="s">
        <v>20</v>
      </c>
      <c r="G151" s="48" t="s">
        <v>980</v>
      </c>
      <c r="H151" s="48" t="s">
        <v>17</v>
      </c>
      <c r="I151" s="48" t="s">
        <v>10</v>
      </c>
      <c r="J151" s="87"/>
      <c r="K151" s="88">
        <v>32457</v>
      </c>
      <c r="L151" s="89">
        <f t="shared" si="9"/>
        <v>1988</v>
      </c>
      <c r="M151" s="89">
        <f t="shared" si="10"/>
        <v>31</v>
      </c>
      <c r="N151" s="48" t="s">
        <v>11</v>
      </c>
      <c r="O151" s="48"/>
      <c r="P151" s="87" t="s">
        <v>12</v>
      </c>
      <c r="Q151" s="48"/>
      <c r="R151" s="87" t="s">
        <v>24</v>
      </c>
    </row>
    <row r="152" spans="2:18">
      <c r="B152" s="130"/>
      <c r="C152" s="130"/>
      <c r="D152" s="48">
        <v>145</v>
      </c>
      <c r="E152" s="87" t="s">
        <v>981</v>
      </c>
      <c r="F152" s="48" t="s">
        <v>25</v>
      </c>
      <c r="G152" s="48" t="s">
        <v>982</v>
      </c>
      <c r="H152" s="48" t="s">
        <v>17</v>
      </c>
      <c r="I152" s="48" t="s">
        <v>23</v>
      </c>
      <c r="J152" s="87"/>
      <c r="K152" s="88">
        <v>41340</v>
      </c>
      <c r="L152" s="89">
        <f t="shared" si="9"/>
        <v>2013</v>
      </c>
      <c r="M152" s="89">
        <f t="shared" si="10"/>
        <v>6</v>
      </c>
      <c r="N152" s="48" t="s">
        <v>11</v>
      </c>
      <c r="O152" s="48"/>
      <c r="P152" s="87" t="s">
        <v>18</v>
      </c>
      <c r="Q152" s="48"/>
      <c r="R152" s="87" t="s">
        <v>18</v>
      </c>
    </row>
    <row r="153" spans="2:18">
      <c r="B153" s="48">
        <v>52</v>
      </c>
      <c r="C153" s="48"/>
      <c r="D153" s="48">
        <v>146</v>
      </c>
      <c r="E153" s="87" t="s">
        <v>983</v>
      </c>
      <c r="F153" s="48" t="s">
        <v>14</v>
      </c>
      <c r="G153" s="48" t="s">
        <v>984</v>
      </c>
      <c r="H153" s="48" t="s">
        <v>17</v>
      </c>
      <c r="I153" s="48" t="s">
        <v>67</v>
      </c>
      <c r="J153" s="87"/>
      <c r="K153" s="88">
        <v>20271</v>
      </c>
      <c r="L153" s="89">
        <f t="shared" si="9"/>
        <v>1955</v>
      </c>
      <c r="M153" s="89">
        <f t="shared" si="10"/>
        <v>64</v>
      </c>
      <c r="N153" s="48" t="s">
        <v>11</v>
      </c>
      <c r="O153" s="48"/>
      <c r="P153" s="87" t="s">
        <v>18</v>
      </c>
      <c r="Q153" s="48"/>
      <c r="R153" s="87" t="s">
        <v>18</v>
      </c>
    </row>
    <row r="154" spans="2:18">
      <c r="B154" s="130">
        <v>53</v>
      </c>
      <c r="C154" s="130"/>
      <c r="D154" s="48">
        <v>147</v>
      </c>
      <c r="E154" s="87" t="s">
        <v>409</v>
      </c>
      <c r="F154" s="48" t="s">
        <v>14</v>
      </c>
      <c r="G154" s="48" t="s">
        <v>985</v>
      </c>
      <c r="H154" s="48" t="s">
        <v>9</v>
      </c>
      <c r="I154" s="48" t="s">
        <v>10</v>
      </c>
      <c r="J154" s="87"/>
      <c r="K154" s="88">
        <v>21002</v>
      </c>
      <c r="L154" s="89">
        <f t="shared" si="9"/>
        <v>1957</v>
      </c>
      <c r="M154" s="89">
        <f t="shared" si="10"/>
        <v>62</v>
      </c>
      <c r="N154" s="48" t="s">
        <v>11</v>
      </c>
      <c r="O154" s="48"/>
      <c r="P154" s="87" t="s">
        <v>18</v>
      </c>
      <c r="Q154" s="48"/>
      <c r="R154" s="87" t="s">
        <v>24</v>
      </c>
    </row>
    <row r="155" spans="2:18">
      <c r="B155" s="130"/>
      <c r="C155" s="130"/>
      <c r="D155" s="48">
        <v>148</v>
      </c>
      <c r="E155" s="87" t="s">
        <v>369</v>
      </c>
      <c r="F155" s="48" t="s">
        <v>20</v>
      </c>
      <c r="G155" s="48" t="s">
        <v>986</v>
      </c>
      <c r="H155" s="48" t="s">
        <v>17</v>
      </c>
      <c r="I155" s="48" t="s">
        <v>10</v>
      </c>
      <c r="J155" s="87"/>
      <c r="K155" s="88">
        <v>30289</v>
      </c>
      <c r="L155" s="89">
        <f t="shared" si="9"/>
        <v>1982</v>
      </c>
      <c r="M155" s="89">
        <f t="shared" si="10"/>
        <v>37</v>
      </c>
      <c r="N155" s="48" t="s">
        <v>11</v>
      </c>
      <c r="O155" s="48"/>
      <c r="P155" s="87" t="s">
        <v>18</v>
      </c>
      <c r="Q155" s="48"/>
      <c r="R155" s="87" t="s">
        <v>24</v>
      </c>
    </row>
    <row r="156" spans="2:18">
      <c r="B156" s="130">
        <v>54</v>
      </c>
      <c r="C156" s="130"/>
      <c r="D156" s="48">
        <v>149</v>
      </c>
      <c r="E156" s="87" t="s">
        <v>987</v>
      </c>
      <c r="F156" s="48" t="s">
        <v>14</v>
      </c>
      <c r="G156" s="48" t="s">
        <v>988</v>
      </c>
      <c r="H156" s="48" t="s">
        <v>9</v>
      </c>
      <c r="I156" s="48" t="s">
        <v>10</v>
      </c>
      <c r="J156" s="87"/>
      <c r="K156" s="88">
        <v>30290</v>
      </c>
      <c r="L156" s="89">
        <f t="shared" si="9"/>
        <v>1982</v>
      </c>
      <c r="M156" s="89">
        <f t="shared" si="10"/>
        <v>37</v>
      </c>
      <c r="N156" s="48" t="s">
        <v>11</v>
      </c>
      <c r="O156" s="48"/>
      <c r="P156" s="87" t="s">
        <v>28</v>
      </c>
      <c r="Q156" s="48"/>
      <c r="R156" s="87" t="s">
        <v>24</v>
      </c>
    </row>
    <row r="157" spans="2:18">
      <c r="B157" s="130"/>
      <c r="C157" s="130"/>
      <c r="D157" s="48">
        <v>150</v>
      </c>
      <c r="E157" s="87" t="s">
        <v>897</v>
      </c>
      <c r="F157" s="48" t="s">
        <v>20</v>
      </c>
      <c r="G157" s="48" t="s">
        <v>989</v>
      </c>
      <c r="H157" s="48" t="s">
        <v>17</v>
      </c>
      <c r="I157" s="48" t="s">
        <v>10</v>
      </c>
      <c r="J157" s="87"/>
      <c r="K157" s="88">
        <v>29309</v>
      </c>
      <c r="L157" s="89">
        <f t="shared" si="9"/>
        <v>1980</v>
      </c>
      <c r="M157" s="89">
        <f t="shared" si="10"/>
        <v>39</v>
      </c>
      <c r="N157" s="48" t="s">
        <v>11</v>
      </c>
      <c r="O157" s="48"/>
      <c r="P157" s="87" t="s">
        <v>28</v>
      </c>
      <c r="Q157" s="48"/>
      <c r="R157" s="87" t="s">
        <v>24</v>
      </c>
    </row>
    <row r="158" spans="2:18" ht="25.5">
      <c r="B158" s="130"/>
      <c r="C158" s="130"/>
      <c r="D158" s="48">
        <v>151</v>
      </c>
      <c r="E158" s="87" t="s">
        <v>990</v>
      </c>
      <c r="F158" s="48" t="s">
        <v>25</v>
      </c>
      <c r="G158" s="48" t="s">
        <v>991</v>
      </c>
      <c r="H158" s="48" t="s">
        <v>9</v>
      </c>
      <c r="I158" s="48" t="s">
        <v>23</v>
      </c>
      <c r="J158" s="87"/>
      <c r="K158" s="88">
        <v>39540</v>
      </c>
      <c r="L158" s="89">
        <f t="shared" si="9"/>
        <v>2008</v>
      </c>
      <c r="M158" s="89">
        <f t="shared" si="10"/>
        <v>11</v>
      </c>
      <c r="N158" s="48" t="s">
        <v>11</v>
      </c>
      <c r="O158" s="48"/>
      <c r="P158" s="87" t="s">
        <v>18</v>
      </c>
      <c r="Q158" s="48"/>
      <c r="R158" s="87" t="s">
        <v>18</v>
      </c>
    </row>
    <row r="159" spans="2:18">
      <c r="B159" s="130">
        <v>55</v>
      </c>
      <c r="C159" s="130"/>
      <c r="D159" s="48">
        <v>152</v>
      </c>
      <c r="E159" s="87" t="s">
        <v>62</v>
      </c>
      <c r="F159" s="48" t="s">
        <v>14</v>
      </c>
      <c r="G159" s="48">
        <v>0</v>
      </c>
      <c r="H159" s="48" t="s">
        <v>9</v>
      </c>
      <c r="I159" s="48" t="s">
        <v>10</v>
      </c>
      <c r="J159" s="87"/>
      <c r="K159" s="88">
        <v>32325</v>
      </c>
      <c r="L159" s="89">
        <f t="shared" si="9"/>
        <v>1988</v>
      </c>
      <c r="M159" s="89">
        <f t="shared" si="10"/>
        <v>31</v>
      </c>
      <c r="N159" s="48" t="s">
        <v>11</v>
      </c>
      <c r="O159" s="48"/>
      <c r="P159" s="87" t="s">
        <v>28</v>
      </c>
      <c r="Q159" s="48"/>
      <c r="R159" s="87" t="s">
        <v>24</v>
      </c>
    </row>
    <row r="160" spans="2:18">
      <c r="B160" s="130"/>
      <c r="C160" s="130"/>
      <c r="D160" s="48">
        <v>153</v>
      </c>
      <c r="E160" s="87" t="s">
        <v>992</v>
      </c>
      <c r="F160" s="48" t="s">
        <v>20</v>
      </c>
      <c r="G160" s="48">
        <v>0</v>
      </c>
      <c r="H160" s="48" t="s">
        <v>17</v>
      </c>
      <c r="I160" s="48" t="s">
        <v>10</v>
      </c>
      <c r="J160" s="87"/>
      <c r="K160" s="88">
        <v>32690</v>
      </c>
      <c r="L160" s="89">
        <f t="shared" si="9"/>
        <v>1989</v>
      </c>
      <c r="M160" s="89">
        <f t="shared" si="10"/>
        <v>30</v>
      </c>
      <c r="N160" s="48" t="s">
        <v>11</v>
      </c>
      <c r="O160" s="48"/>
      <c r="P160" s="87" t="s">
        <v>28</v>
      </c>
      <c r="Q160" s="48"/>
      <c r="R160" s="87" t="s">
        <v>24</v>
      </c>
    </row>
    <row r="161" spans="2:18">
      <c r="B161" s="130">
        <v>56</v>
      </c>
      <c r="C161" s="130"/>
      <c r="D161" s="48">
        <v>154</v>
      </c>
      <c r="E161" s="87" t="s">
        <v>993</v>
      </c>
      <c r="F161" s="48" t="s">
        <v>14</v>
      </c>
      <c r="G161" s="48">
        <v>0</v>
      </c>
      <c r="H161" s="48" t="s">
        <v>9</v>
      </c>
      <c r="I161" s="48" t="s">
        <v>10</v>
      </c>
      <c r="J161" s="87"/>
      <c r="K161" s="88">
        <v>33055</v>
      </c>
      <c r="L161" s="89">
        <f t="shared" si="9"/>
        <v>1990</v>
      </c>
      <c r="M161" s="89">
        <f t="shared" si="10"/>
        <v>29</v>
      </c>
      <c r="N161" s="48" t="s">
        <v>11</v>
      </c>
      <c r="O161" s="48"/>
      <c r="P161" s="87" t="s">
        <v>28</v>
      </c>
      <c r="Q161" s="48"/>
      <c r="R161" s="87" t="s">
        <v>24</v>
      </c>
    </row>
    <row r="162" spans="2:18">
      <c r="B162" s="130"/>
      <c r="C162" s="130"/>
      <c r="D162" s="48">
        <v>155</v>
      </c>
      <c r="E162" s="87" t="s">
        <v>994</v>
      </c>
      <c r="F162" s="48" t="s">
        <v>20</v>
      </c>
      <c r="G162" s="48">
        <v>0</v>
      </c>
      <c r="H162" s="48" t="s">
        <v>17</v>
      </c>
      <c r="I162" s="48" t="s">
        <v>10</v>
      </c>
      <c r="J162" s="87"/>
      <c r="K162" s="88">
        <v>33420</v>
      </c>
      <c r="L162" s="89">
        <f t="shared" si="9"/>
        <v>1991</v>
      </c>
      <c r="M162" s="89">
        <f t="shared" si="10"/>
        <v>28</v>
      </c>
      <c r="N162" s="48" t="s">
        <v>11</v>
      </c>
      <c r="O162" s="48"/>
      <c r="P162" s="87" t="s">
        <v>28</v>
      </c>
      <c r="Q162" s="48"/>
      <c r="R162" s="87" t="s">
        <v>24</v>
      </c>
    </row>
    <row r="163" spans="2:18">
      <c r="B163" s="48">
        <v>57</v>
      </c>
      <c r="C163" s="48"/>
      <c r="D163" s="48">
        <v>156</v>
      </c>
      <c r="E163" s="87" t="s">
        <v>995</v>
      </c>
      <c r="F163" s="48" t="s">
        <v>14</v>
      </c>
      <c r="G163" s="48">
        <v>0</v>
      </c>
      <c r="H163" s="48" t="s">
        <v>9</v>
      </c>
      <c r="I163" s="48" t="s">
        <v>123</v>
      </c>
      <c r="J163" s="87"/>
      <c r="K163" s="88">
        <v>5661</v>
      </c>
      <c r="L163" s="89">
        <f t="shared" si="9"/>
        <v>1915</v>
      </c>
      <c r="M163" s="89">
        <f t="shared" si="10"/>
        <v>104</v>
      </c>
      <c r="N163" s="48" t="s">
        <v>11</v>
      </c>
      <c r="O163" s="48"/>
      <c r="P163" s="87" t="s">
        <v>18</v>
      </c>
      <c r="Q163" s="48"/>
      <c r="R163" s="87" t="s">
        <v>18</v>
      </c>
    </row>
    <row r="164" spans="2:18" ht="25.5">
      <c r="B164" s="130">
        <v>58</v>
      </c>
      <c r="C164" s="130" t="s">
        <v>1924</v>
      </c>
      <c r="D164" s="48">
        <v>157</v>
      </c>
      <c r="E164" s="87" t="s">
        <v>996</v>
      </c>
      <c r="F164" s="48" t="s">
        <v>14</v>
      </c>
      <c r="G164" s="48" t="s">
        <v>1925</v>
      </c>
      <c r="H164" s="48" t="s">
        <v>9</v>
      </c>
      <c r="I164" s="48" t="s">
        <v>10</v>
      </c>
      <c r="J164" s="87" t="s">
        <v>1387</v>
      </c>
      <c r="K164" s="88">
        <v>28490</v>
      </c>
      <c r="L164" s="89">
        <v>1977</v>
      </c>
      <c r="M164" s="89">
        <f t="shared" si="10"/>
        <v>42</v>
      </c>
      <c r="N164" s="48" t="s">
        <v>11</v>
      </c>
      <c r="O164" s="48" t="s">
        <v>1369</v>
      </c>
      <c r="P164" s="87" t="s">
        <v>28</v>
      </c>
      <c r="Q164" s="48"/>
      <c r="R164" s="87" t="s">
        <v>1371</v>
      </c>
    </row>
    <row r="165" spans="2:18" ht="25.5">
      <c r="B165" s="130"/>
      <c r="C165" s="130"/>
      <c r="D165" s="48">
        <v>158</v>
      </c>
      <c r="E165" s="87" t="s">
        <v>997</v>
      </c>
      <c r="F165" s="48" t="s">
        <v>20</v>
      </c>
      <c r="G165" s="48" t="s">
        <v>1926</v>
      </c>
      <c r="H165" s="48" t="s">
        <v>17</v>
      </c>
      <c r="I165" s="48" t="s">
        <v>10</v>
      </c>
      <c r="J165" s="87" t="s">
        <v>1368</v>
      </c>
      <c r="K165" s="88">
        <v>30996</v>
      </c>
      <c r="L165" s="89">
        <v>1984</v>
      </c>
      <c r="M165" s="89">
        <f t="shared" si="10"/>
        <v>35</v>
      </c>
      <c r="N165" s="48" t="s">
        <v>11</v>
      </c>
      <c r="O165" s="48" t="s">
        <v>1369</v>
      </c>
      <c r="P165" s="87" t="s">
        <v>28</v>
      </c>
      <c r="Q165" s="48"/>
      <c r="R165" s="87" t="s">
        <v>1371</v>
      </c>
    </row>
    <row r="166" spans="2:18" ht="25.5">
      <c r="B166" s="130"/>
      <c r="C166" s="130"/>
      <c r="D166" s="48">
        <v>159</v>
      </c>
      <c r="E166" s="87" t="s">
        <v>1171</v>
      </c>
      <c r="F166" s="48" t="s">
        <v>25</v>
      </c>
      <c r="G166" s="48" t="s">
        <v>1927</v>
      </c>
      <c r="H166" s="48" t="s">
        <v>9</v>
      </c>
      <c r="I166" s="48" t="s">
        <v>23</v>
      </c>
      <c r="J166" s="87" t="s">
        <v>1387</v>
      </c>
      <c r="K166" s="88">
        <v>39791</v>
      </c>
      <c r="L166" s="89">
        <v>2008</v>
      </c>
      <c r="M166" s="89">
        <f t="shared" si="10"/>
        <v>11</v>
      </c>
      <c r="N166" s="48" t="s">
        <v>11</v>
      </c>
      <c r="O166" s="48" t="s">
        <v>1369</v>
      </c>
      <c r="P166" s="87" t="s">
        <v>1375</v>
      </c>
      <c r="Q166" s="48"/>
      <c r="R166" s="87" t="s">
        <v>1376</v>
      </c>
    </row>
    <row r="167" spans="2:18" ht="25.5">
      <c r="B167" s="130">
        <v>59</v>
      </c>
      <c r="C167" s="130" t="s">
        <v>1942</v>
      </c>
      <c r="D167" s="48">
        <v>160</v>
      </c>
      <c r="E167" s="87" t="s">
        <v>998</v>
      </c>
      <c r="F167" s="48" t="s">
        <v>14</v>
      </c>
      <c r="G167" s="48" t="s">
        <v>999</v>
      </c>
      <c r="H167" s="48" t="s">
        <v>9</v>
      </c>
      <c r="I167" s="48" t="s">
        <v>10</v>
      </c>
      <c r="J167" s="87" t="s">
        <v>1368</v>
      </c>
      <c r="K167" s="88">
        <v>15523</v>
      </c>
      <c r="L167" s="89">
        <v>1942</v>
      </c>
      <c r="M167" s="89">
        <f t="shared" si="10"/>
        <v>77</v>
      </c>
      <c r="N167" s="48" t="s">
        <v>11</v>
      </c>
      <c r="O167" s="48" t="s">
        <v>1369</v>
      </c>
      <c r="P167" s="87" t="s">
        <v>1425</v>
      </c>
      <c r="Q167" s="48"/>
      <c r="R167" s="87" t="s">
        <v>1371</v>
      </c>
    </row>
    <row r="168" spans="2:18" ht="25.5">
      <c r="B168" s="130"/>
      <c r="C168" s="130"/>
      <c r="D168" s="48">
        <v>161</v>
      </c>
      <c r="E168" s="87" t="s">
        <v>1000</v>
      </c>
      <c r="F168" s="48" t="s">
        <v>20</v>
      </c>
      <c r="G168" s="48" t="s">
        <v>1001</v>
      </c>
      <c r="H168" s="48" t="s">
        <v>17</v>
      </c>
      <c r="I168" s="48" t="s">
        <v>10</v>
      </c>
      <c r="J168" s="87" t="s">
        <v>1368</v>
      </c>
      <c r="K168" s="88">
        <v>16619</v>
      </c>
      <c r="L168" s="89">
        <v>1945</v>
      </c>
      <c r="M168" s="89">
        <f t="shared" si="10"/>
        <v>74</v>
      </c>
      <c r="N168" s="48" t="s">
        <v>11</v>
      </c>
      <c r="O168" s="48" t="s">
        <v>1369</v>
      </c>
      <c r="P168" s="87" t="s">
        <v>1425</v>
      </c>
      <c r="Q168" s="48"/>
      <c r="R168" s="87" t="s">
        <v>1373</v>
      </c>
    </row>
    <row r="169" spans="2:18" ht="25.5">
      <c r="B169" s="130"/>
      <c r="C169" s="130"/>
      <c r="D169" s="48">
        <v>162</v>
      </c>
      <c r="E169" s="87" t="s">
        <v>1002</v>
      </c>
      <c r="F169" s="48" t="s">
        <v>25</v>
      </c>
      <c r="G169" s="48" t="s">
        <v>1003</v>
      </c>
      <c r="H169" s="48" t="s">
        <v>17</v>
      </c>
      <c r="I169" s="48" t="s">
        <v>23</v>
      </c>
      <c r="J169" s="87" t="s">
        <v>1368</v>
      </c>
      <c r="K169" s="88">
        <v>33907</v>
      </c>
      <c r="L169" s="89">
        <v>1992</v>
      </c>
      <c r="M169" s="89">
        <f t="shared" si="10"/>
        <v>27</v>
      </c>
      <c r="N169" s="48" t="s">
        <v>11</v>
      </c>
      <c r="O169" s="48" t="s">
        <v>1369</v>
      </c>
      <c r="P169" s="87" t="s">
        <v>28</v>
      </c>
      <c r="Q169" s="48"/>
      <c r="R169" s="87" t="s">
        <v>1486</v>
      </c>
    </row>
    <row r="170" spans="2:18">
      <c r="B170" s="48">
        <v>60</v>
      </c>
      <c r="C170" s="48"/>
      <c r="D170" s="48">
        <v>163</v>
      </c>
      <c r="E170" s="87" t="s">
        <v>205</v>
      </c>
      <c r="F170" s="48" t="s">
        <v>14</v>
      </c>
      <c r="G170" s="48">
        <v>0</v>
      </c>
      <c r="H170" s="48" t="s">
        <v>9</v>
      </c>
      <c r="I170" s="48" t="s">
        <v>123</v>
      </c>
      <c r="J170" s="87"/>
      <c r="K170" s="88">
        <v>32325</v>
      </c>
      <c r="L170" s="89">
        <f t="shared" ref="L170:L172" si="11">YEAR(K170)</f>
        <v>1988</v>
      </c>
      <c r="M170" s="89">
        <f t="shared" si="10"/>
        <v>31</v>
      </c>
      <c r="N170" s="48" t="s">
        <v>11</v>
      </c>
      <c r="O170" s="48"/>
      <c r="P170" s="87" t="s">
        <v>28</v>
      </c>
      <c r="Q170" s="48"/>
      <c r="R170" s="87" t="s">
        <v>24</v>
      </c>
    </row>
    <row r="171" spans="2:18">
      <c r="B171" s="130">
        <v>61</v>
      </c>
      <c r="C171" s="130"/>
      <c r="D171" s="48">
        <v>164</v>
      </c>
      <c r="E171" s="87" t="s">
        <v>1004</v>
      </c>
      <c r="F171" s="48" t="s">
        <v>14</v>
      </c>
      <c r="G171" s="48" t="s">
        <v>1005</v>
      </c>
      <c r="H171" s="48" t="s">
        <v>17</v>
      </c>
      <c r="I171" s="48" t="s">
        <v>67</v>
      </c>
      <c r="J171" s="87"/>
      <c r="K171" s="88">
        <v>21002</v>
      </c>
      <c r="L171" s="89">
        <f t="shared" si="11"/>
        <v>1957</v>
      </c>
      <c r="M171" s="89">
        <f t="shared" si="10"/>
        <v>62</v>
      </c>
      <c r="N171" s="48" t="s">
        <v>11</v>
      </c>
      <c r="O171" s="48"/>
      <c r="P171" s="87" t="s">
        <v>18</v>
      </c>
      <c r="Q171" s="48"/>
      <c r="R171" s="87" t="s">
        <v>24</v>
      </c>
    </row>
    <row r="172" spans="2:18">
      <c r="B172" s="130"/>
      <c r="C172" s="130"/>
      <c r="D172" s="48">
        <v>165</v>
      </c>
      <c r="E172" s="87" t="s">
        <v>1006</v>
      </c>
      <c r="F172" s="48" t="s">
        <v>408</v>
      </c>
      <c r="G172" s="48">
        <v>0</v>
      </c>
      <c r="H172" s="48" t="s">
        <v>17</v>
      </c>
      <c r="I172" s="48" t="s">
        <v>67</v>
      </c>
      <c r="J172" s="87"/>
      <c r="K172" s="88">
        <v>13149</v>
      </c>
      <c r="L172" s="89">
        <f t="shared" si="11"/>
        <v>1935</v>
      </c>
      <c r="M172" s="89">
        <f t="shared" si="10"/>
        <v>84</v>
      </c>
      <c r="N172" s="48" t="s">
        <v>11</v>
      </c>
      <c r="O172" s="48"/>
      <c r="P172" s="87" t="s">
        <v>18</v>
      </c>
      <c r="Q172" s="48"/>
      <c r="R172" s="87" t="s">
        <v>18</v>
      </c>
    </row>
    <row r="173" spans="2:18" ht="25.5">
      <c r="B173" s="130">
        <v>62</v>
      </c>
      <c r="C173" s="130" t="s">
        <v>1892</v>
      </c>
      <c r="D173" s="48">
        <v>166</v>
      </c>
      <c r="E173" s="87" t="s">
        <v>249</v>
      </c>
      <c r="F173" s="48" t="s">
        <v>14</v>
      </c>
      <c r="G173" s="48" t="s">
        <v>1894</v>
      </c>
      <c r="H173" s="48" t="s">
        <v>17</v>
      </c>
      <c r="I173" s="48" t="s">
        <v>1448</v>
      </c>
      <c r="J173" s="87" t="s">
        <v>1368</v>
      </c>
      <c r="K173" s="88">
        <v>21002</v>
      </c>
      <c r="L173" s="89">
        <v>1957</v>
      </c>
      <c r="M173" s="89">
        <f t="shared" si="10"/>
        <v>62</v>
      </c>
      <c r="N173" s="48" t="s">
        <v>11</v>
      </c>
      <c r="O173" s="48" t="s">
        <v>1369</v>
      </c>
      <c r="P173" s="87" t="s">
        <v>28</v>
      </c>
      <c r="Q173" s="48"/>
      <c r="R173" s="87" t="s">
        <v>1371</v>
      </c>
    </row>
    <row r="174" spans="2:18" ht="25.5">
      <c r="B174" s="130"/>
      <c r="C174" s="130"/>
      <c r="D174" s="48">
        <v>167</v>
      </c>
      <c r="E174" s="87" t="s">
        <v>387</v>
      </c>
      <c r="F174" s="48" t="s">
        <v>25</v>
      </c>
      <c r="G174" s="48" t="s">
        <v>1895</v>
      </c>
      <c r="H174" s="48" t="s">
        <v>9</v>
      </c>
      <c r="I174" s="48" t="s">
        <v>23</v>
      </c>
      <c r="J174" s="87" t="s">
        <v>1368</v>
      </c>
      <c r="K174" s="88">
        <v>30042</v>
      </c>
      <c r="L174" s="89">
        <v>1982</v>
      </c>
      <c r="M174" s="89">
        <f t="shared" si="10"/>
        <v>37</v>
      </c>
      <c r="N174" s="48" t="s">
        <v>11</v>
      </c>
      <c r="O174" s="48" t="s">
        <v>1369</v>
      </c>
      <c r="P174" s="87" t="s">
        <v>28</v>
      </c>
      <c r="Q174" s="48"/>
      <c r="R174" s="87" t="s">
        <v>1371</v>
      </c>
    </row>
    <row r="175" spans="2:18" ht="25.5">
      <c r="B175" s="130"/>
      <c r="C175" s="130"/>
      <c r="D175" s="48">
        <v>168</v>
      </c>
      <c r="E175" s="87" t="s">
        <v>1893</v>
      </c>
      <c r="F175" s="48" t="s">
        <v>25</v>
      </c>
      <c r="G175" s="48" t="s">
        <v>1896</v>
      </c>
      <c r="H175" s="48" t="s">
        <v>9</v>
      </c>
      <c r="I175" s="48" t="s">
        <v>23</v>
      </c>
      <c r="J175" s="87" t="s">
        <v>1368</v>
      </c>
      <c r="K175" s="88">
        <v>33042</v>
      </c>
      <c r="L175" s="89">
        <v>1990</v>
      </c>
      <c r="M175" s="89">
        <f t="shared" si="10"/>
        <v>29</v>
      </c>
      <c r="N175" s="48" t="s">
        <v>11</v>
      </c>
      <c r="O175" s="48" t="s">
        <v>1369</v>
      </c>
      <c r="P175" s="87" t="s">
        <v>12</v>
      </c>
      <c r="Q175" s="48"/>
      <c r="R175" s="87" t="s">
        <v>1371</v>
      </c>
    </row>
    <row r="176" spans="2:18" ht="25.5">
      <c r="B176" s="130"/>
      <c r="C176" s="130"/>
      <c r="D176" s="48">
        <v>169</v>
      </c>
      <c r="E176" s="87" t="s">
        <v>876</v>
      </c>
      <c r="F176" s="48" t="s">
        <v>25</v>
      </c>
      <c r="G176" s="48" t="s">
        <v>1897</v>
      </c>
      <c r="H176" s="48" t="s">
        <v>17</v>
      </c>
      <c r="I176" s="48" t="s">
        <v>23</v>
      </c>
      <c r="J176" s="87" t="s">
        <v>1368</v>
      </c>
      <c r="K176" s="88">
        <v>34855</v>
      </c>
      <c r="L176" s="89">
        <v>1995</v>
      </c>
      <c r="M176" s="89">
        <f t="shared" si="10"/>
        <v>24</v>
      </c>
      <c r="N176" s="48" t="s">
        <v>11</v>
      </c>
      <c r="O176" s="48" t="s">
        <v>1369</v>
      </c>
      <c r="P176" s="87" t="s">
        <v>12</v>
      </c>
      <c r="Q176" s="48"/>
      <c r="R176" s="87" t="s">
        <v>1371</v>
      </c>
    </row>
    <row r="177" spans="2:18" ht="25.5">
      <c r="B177" s="130"/>
      <c r="C177" s="130"/>
      <c r="D177" s="48">
        <v>170</v>
      </c>
      <c r="E177" s="87" t="s">
        <v>1009</v>
      </c>
      <c r="F177" s="48" t="s">
        <v>25</v>
      </c>
      <c r="G177" s="48" t="s">
        <v>1898</v>
      </c>
      <c r="H177" s="48" t="s">
        <v>17</v>
      </c>
      <c r="I177" s="48" t="s">
        <v>23</v>
      </c>
      <c r="J177" s="87" t="s">
        <v>1368</v>
      </c>
      <c r="K177" s="88">
        <v>37182</v>
      </c>
      <c r="L177" s="89">
        <v>2001</v>
      </c>
      <c r="M177" s="89">
        <f t="shared" si="10"/>
        <v>18</v>
      </c>
      <c r="N177" s="48" t="s">
        <v>11</v>
      </c>
      <c r="O177" s="48" t="s">
        <v>1369</v>
      </c>
      <c r="P177" s="87" t="s">
        <v>12</v>
      </c>
      <c r="Q177" s="48"/>
      <c r="R177" s="87" t="s">
        <v>1376</v>
      </c>
    </row>
    <row r="178" spans="2:18" ht="25.5">
      <c r="B178" s="130">
        <v>63</v>
      </c>
      <c r="C178" s="130" t="s">
        <v>1933</v>
      </c>
      <c r="D178" s="48">
        <v>171</v>
      </c>
      <c r="E178" s="87" t="s">
        <v>68</v>
      </c>
      <c r="F178" s="48" t="s">
        <v>14</v>
      </c>
      <c r="G178" s="48" t="s">
        <v>1010</v>
      </c>
      <c r="H178" s="48" t="s">
        <v>9</v>
      </c>
      <c r="I178" s="48" t="s">
        <v>10</v>
      </c>
      <c r="J178" s="87" t="s">
        <v>1387</v>
      </c>
      <c r="K178" s="88">
        <v>29951</v>
      </c>
      <c r="L178" s="89">
        <v>1981</v>
      </c>
      <c r="M178" s="89">
        <f t="shared" si="10"/>
        <v>38</v>
      </c>
      <c r="N178" s="48" t="s">
        <v>11</v>
      </c>
      <c r="O178" s="48" t="s">
        <v>1369</v>
      </c>
      <c r="P178" s="87" t="s">
        <v>28</v>
      </c>
      <c r="Q178" s="48"/>
      <c r="R178" s="87" t="s">
        <v>1371</v>
      </c>
    </row>
    <row r="179" spans="2:18" ht="25.5">
      <c r="B179" s="130"/>
      <c r="C179" s="130"/>
      <c r="D179" s="48">
        <v>172</v>
      </c>
      <c r="E179" s="87" t="s">
        <v>1011</v>
      </c>
      <c r="F179" s="48" t="s">
        <v>20</v>
      </c>
      <c r="G179" s="48" t="s">
        <v>1012</v>
      </c>
      <c r="H179" s="48" t="s">
        <v>17</v>
      </c>
      <c r="I179" s="48" t="s">
        <v>10</v>
      </c>
      <c r="J179" s="87" t="s">
        <v>1368</v>
      </c>
      <c r="K179" s="88">
        <v>30133</v>
      </c>
      <c r="L179" s="89">
        <v>1982</v>
      </c>
      <c r="M179" s="89">
        <f t="shared" si="10"/>
        <v>37</v>
      </c>
      <c r="N179" s="48" t="s">
        <v>11</v>
      </c>
      <c r="O179" s="48" t="s">
        <v>1369</v>
      </c>
      <c r="P179" s="87" t="s">
        <v>28</v>
      </c>
      <c r="Q179" s="48"/>
      <c r="R179" s="87" t="s">
        <v>1371</v>
      </c>
    </row>
    <row r="180" spans="2:18" ht="25.5">
      <c r="B180" s="130"/>
      <c r="C180" s="130"/>
      <c r="D180" s="48">
        <v>173</v>
      </c>
      <c r="E180" s="87" t="s">
        <v>1013</v>
      </c>
      <c r="F180" s="48" t="s">
        <v>25</v>
      </c>
      <c r="G180" s="48" t="s">
        <v>1936</v>
      </c>
      <c r="H180" s="48" t="s">
        <v>17</v>
      </c>
      <c r="I180" s="48" t="s">
        <v>23</v>
      </c>
      <c r="J180" s="87" t="s">
        <v>1387</v>
      </c>
      <c r="K180" s="88">
        <v>37678</v>
      </c>
      <c r="L180" s="89">
        <v>2003</v>
      </c>
      <c r="M180" s="89">
        <f t="shared" si="10"/>
        <v>16</v>
      </c>
      <c r="N180" s="48" t="s">
        <v>11</v>
      </c>
      <c r="O180" s="48" t="s">
        <v>1369</v>
      </c>
      <c r="P180" s="87" t="s">
        <v>1375</v>
      </c>
      <c r="Q180" s="48"/>
      <c r="R180" s="87" t="s">
        <v>1376</v>
      </c>
    </row>
    <row r="181" spans="2:18" ht="38.25">
      <c r="B181" s="130"/>
      <c r="C181" s="130"/>
      <c r="D181" s="48">
        <v>174</v>
      </c>
      <c r="E181" s="87" t="s">
        <v>1934</v>
      </c>
      <c r="F181" s="48" t="s">
        <v>25</v>
      </c>
      <c r="G181" s="48" t="s">
        <v>1935</v>
      </c>
      <c r="H181" s="48" t="s">
        <v>9</v>
      </c>
      <c r="I181" s="48" t="s">
        <v>23</v>
      </c>
      <c r="J181" s="87" t="s">
        <v>1387</v>
      </c>
      <c r="K181" s="88">
        <v>42675</v>
      </c>
      <c r="L181" s="89">
        <v>2016</v>
      </c>
      <c r="M181" s="89">
        <f t="shared" si="10"/>
        <v>3</v>
      </c>
      <c r="N181" s="48" t="s">
        <v>11</v>
      </c>
      <c r="O181" s="48" t="s">
        <v>1369</v>
      </c>
      <c r="P181" s="87" t="s">
        <v>1425</v>
      </c>
      <c r="Q181" s="48"/>
      <c r="R181" s="87" t="s">
        <v>1486</v>
      </c>
    </row>
    <row r="182" spans="2:18" ht="25.5">
      <c r="B182" s="48">
        <v>64</v>
      </c>
      <c r="C182" s="48" t="s">
        <v>1891</v>
      </c>
      <c r="D182" s="48">
        <v>175</v>
      </c>
      <c r="E182" s="87" t="s">
        <v>1014</v>
      </c>
      <c r="F182" s="48" t="s">
        <v>14</v>
      </c>
      <c r="G182" s="48" t="s">
        <v>1015</v>
      </c>
      <c r="H182" s="48" t="s">
        <v>17</v>
      </c>
      <c r="I182" s="48" t="s">
        <v>1448</v>
      </c>
      <c r="J182" s="87" t="s">
        <v>1368</v>
      </c>
      <c r="K182" s="88">
        <v>21002</v>
      </c>
      <c r="L182" s="89">
        <v>1957</v>
      </c>
      <c r="M182" s="89">
        <f t="shared" si="10"/>
        <v>62</v>
      </c>
      <c r="N182" s="48" t="s">
        <v>11</v>
      </c>
      <c r="O182" s="48" t="s">
        <v>1369</v>
      </c>
      <c r="P182" s="87" t="s">
        <v>1425</v>
      </c>
      <c r="Q182" s="48"/>
      <c r="R182" s="87" t="s">
        <v>1371</v>
      </c>
    </row>
    <row r="183" spans="2:18">
      <c r="B183" s="130">
        <v>65</v>
      </c>
      <c r="C183" s="130" t="s">
        <v>1916</v>
      </c>
      <c r="D183" s="48">
        <v>176</v>
      </c>
      <c r="E183" s="87" t="s">
        <v>1915</v>
      </c>
      <c r="F183" s="48" t="s">
        <v>14</v>
      </c>
      <c r="G183" s="48" t="s">
        <v>1917</v>
      </c>
      <c r="H183" s="48" t="s">
        <v>9</v>
      </c>
      <c r="I183" s="48" t="s">
        <v>10</v>
      </c>
      <c r="J183" s="87" t="s">
        <v>1387</v>
      </c>
      <c r="K183" s="88">
        <v>27803</v>
      </c>
      <c r="L183" s="89">
        <v>1976</v>
      </c>
      <c r="M183" s="89">
        <f t="shared" si="10"/>
        <v>43</v>
      </c>
      <c r="N183" s="48" t="s">
        <v>11</v>
      </c>
      <c r="O183" s="48" t="s">
        <v>1369</v>
      </c>
      <c r="P183" s="87" t="s">
        <v>28</v>
      </c>
      <c r="Q183" s="48"/>
      <c r="R183" s="87" t="s">
        <v>49</v>
      </c>
    </row>
    <row r="184" spans="2:18" ht="25.5">
      <c r="B184" s="130"/>
      <c r="C184" s="130"/>
      <c r="D184" s="48">
        <v>177</v>
      </c>
      <c r="E184" s="87" t="s">
        <v>450</v>
      </c>
      <c r="F184" s="48" t="s">
        <v>20</v>
      </c>
      <c r="G184" s="48" t="s">
        <v>1918</v>
      </c>
      <c r="H184" s="48" t="s">
        <v>17</v>
      </c>
      <c r="I184" s="48" t="s">
        <v>10</v>
      </c>
      <c r="J184" s="87" t="s">
        <v>1368</v>
      </c>
      <c r="K184" s="88">
        <v>30160</v>
      </c>
      <c r="L184" s="89">
        <v>1982</v>
      </c>
      <c r="M184" s="89">
        <f t="shared" si="10"/>
        <v>37</v>
      </c>
      <c r="N184" s="48" t="s">
        <v>11</v>
      </c>
      <c r="O184" s="48" t="s">
        <v>1369</v>
      </c>
      <c r="P184" s="87" t="s">
        <v>28</v>
      </c>
      <c r="Q184" s="48"/>
      <c r="R184" s="87" t="s">
        <v>1371</v>
      </c>
    </row>
    <row r="185" spans="2:18" ht="25.5">
      <c r="B185" s="130"/>
      <c r="C185" s="130"/>
      <c r="D185" s="48">
        <v>178</v>
      </c>
      <c r="E185" s="87" t="s">
        <v>1914</v>
      </c>
      <c r="F185" s="48" t="s">
        <v>25</v>
      </c>
      <c r="G185" s="48" t="s">
        <v>1919</v>
      </c>
      <c r="H185" s="48" t="s">
        <v>9</v>
      </c>
      <c r="I185" s="48" t="s">
        <v>23</v>
      </c>
      <c r="J185" s="87" t="s">
        <v>1387</v>
      </c>
      <c r="K185" s="88">
        <v>37753</v>
      </c>
      <c r="L185" s="89">
        <v>2003</v>
      </c>
      <c r="M185" s="89">
        <f t="shared" si="10"/>
        <v>16</v>
      </c>
      <c r="N185" s="48" t="s">
        <v>11</v>
      </c>
      <c r="O185" s="48" t="s">
        <v>1369</v>
      </c>
      <c r="P185" s="87" t="s">
        <v>1385</v>
      </c>
      <c r="Q185" s="48"/>
      <c r="R185" s="87" t="s">
        <v>1376</v>
      </c>
    </row>
    <row r="186" spans="2:18" ht="25.5">
      <c r="B186" s="130"/>
      <c r="C186" s="130"/>
      <c r="D186" s="48">
        <v>179</v>
      </c>
      <c r="E186" s="87" t="s">
        <v>1016</v>
      </c>
      <c r="F186" s="48" t="s">
        <v>25</v>
      </c>
      <c r="G186" s="48" t="s">
        <v>1017</v>
      </c>
      <c r="H186" s="48" t="s">
        <v>17</v>
      </c>
      <c r="I186" s="48" t="s">
        <v>23</v>
      </c>
      <c r="J186" s="87" t="s">
        <v>1368</v>
      </c>
      <c r="K186" s="88">
        <v>41191</v>
      </c>
      <c r="L186" s="89">
        <v>2012</v>
      </c>
      <c r="M186" s="89">
        <f t="shared" si="10"/>
        <v>7</v>
      </c>
      <c r="N186" s="48" t="s">
        <v>11</v>
      </c>
      <c r="O186" s="48" t="s">
        <v>1369</v>
      </c>
      <c r="P186" s="87" t="s">
        <v>1425</v>
      </c>
      <c r="Q186" s="48"/>
      <c r="R186" s="87" t="s">
        <v>1486</v>
      </c>
    </row>
    <row r="187" spans="2:18" ht="25.5">
      <c r="B187" s="130">
        <v>66</v>
      </c>
      <c r="C187" s="130" t="s">
        <v>1899</v>
      </c>
      <c r="D187" s="48">
        <v>180</v>
      </c>
      <c r="E187" s="87" t="s">
        <v>1018</v>
      </c>
      <c r="F187" s="48" t="s">
        <v>14</v>
      </c>
      <c r="G187" s="48" t="s">
        <v>1019</v>
      </c>
      <c r="H187" s="48" t="s">
        <v>17</v>
      </c>
      <c r="I187" s="48" t="s">
        <v>1448</v>
      </c>
      <c r="J187" s="87" t="s">
        <v>1368</v>
      </c>
      <c r="K187" s="88">
        <v>16802</v>
      </c>
      <c r="L187" s="89">
        <v>1945</v>
      </c>
      <c r="M187" s="89">
        <f t="shared" si="10"/>
        <v>74</v>
      </c>
      <c r="N187" s="48" t="s">
        <v>11</v>
      </c>
      <c r="O187" s="48" t="s">
        <v>1369</v>
      </c>
      <c r="P187" s="87" t="s">
        <v>1425</v>
      </c>
      <c r="Q187" s="48"/>
      <c r="R187" s="87" t="s">
        <v>1371</v>
      </c>
    </row>
    <row r="188" spans="2:18" ht="25.5">
      <c r="B188" s="130"/>
      <c r="C188" s="130"/>
      <c r="D188" s="48">
        <v>181</v>
      </c>
      <c r="E188" s="87" t="s">
        <v>101</v>
      </c>
      <c r="F188" s="48" t="s">
        <v>25</v>
      </c>
      <c r="G188" s="48" t="s">
        <v>1900</v>
      </c>
      <c r="H188" s="48" t="s">
        <v>9</v>
      </c>
      <c r="I188" s="48" t="s">
        <v>23</v>
      </c>
      <c r="J188" s="87" t="s">
        <v>1368</v>
      </c>
      <c r="K188" s="88">
        <v>29586</v>
      </c>
      <c r="L188" s="89">
        <v>1980</v>
      </c>
      <c r="M188" s="89">
        <f t="shared" si="10"/>
        <v>39</v>
      </c>
      <c r="N188" s="48" t="s">
        <v>11</v>
      </c>
      <c r="O188" s="48" t="s">
        <v>1369</v>
      </c>
      <c r="P188" s="87" t="s">
        <v>28</v>
      </c>
      <c r="Q188" s="48"/>
      <c r="R188" s="87" t="s">
        <v>1486</v>
      </c>
    </row>
    <row r="189" spans="2:18" ht="25.5">
      <c r="B189" s="130">
        <v>67</v>
      </c>
      <c r="C189" s="130" t="s">
        <v>1928</v>
      </c>
      <c r="D189" s="48">
        <v>182</v>
      </c>
      <c r="E189" s="87" t="s">
        <v>1020</v>
      </c>
      <c r="F189" s="48" t="s">
        <v>14</v>
      </c>
      <c r="G189" s="48" t="s">
        <v>1021</v>
      </c>
      <c r="H189" s="48" t="s">
        <v>9</v>
      </c>
      <c r="I189" s="48" t="s">
        <v>10</v>
      </c>
      <c r="J189" s="87" t="s">
        <v>1387</v>
      </c>
      <c r="K189" s="88">
        <v>32125</v>
      </c>
      <c r="L189" s="89">
        <v>1987</v>
      </c>
      <c r="M189" s="89">
        <f t="shared" si="10"/>
        <v>32</v>
      </c>
      <c r="N189" s="48" t="s">
        <v>11</v>
      </c>
      <c r="O189" s="48" t="s">
        <v>1369</v>
      </c>
      <c r="P189" s="87" t="s">
        <v>1425</v>
      </c>
      <c r="Q189" s="48"/>
      <c r="R189" s="87" t="s">
        <v>49</v>
      </c>
    </row>
    <row r="190" spans="2:18" ht="25.5">
      <c r="B190" s="130"/>
      <c r="C190" s="130"/>
      <c r="D190" s="48">
        <v>183</v>
      </c>
      <c r="E190" s="87" t="s">
        <v>1022</v>
      </c>
      <c r="F190" s="48" t="s">
        <v>20</v>
      </c>
      <c r="G190" s="48" t="s">
        <v>1023</v>
      </c>
      <c r="H190" s="48" t="s">
        <v>17</v>
      </c>
      <c r="I190" s="48" t="s">
        <v>10</v>
      </c>
      <c r="J190" s="87" t="s">
        <v>1932</v>
      </c>
      <c r="K190" s="88">
        <v>33603</v>
      </c>
      <c r="L190" s="89">
        <v>1991</v>
      </c>
      <c r="M190" s="89">
        <f t="shared" si="10"/>
        <v>28</v>
      </c>
      <c r="N190" s="48" t="s">
        <v>11</v>
      </c>
      <c r="O190" s="48" t="s">
        <v>1369</v>
      </c>
      <c r="P190" s="87" t="s">
        <v>28</v>
      </c>
      <c r="Q190" s="48"/>
      <c r="R190" s="87" t="s">
        <v>1373</v>
      </c>
    </row>
    <row r="191" spans="2:18" ht="25.5">
      <c r="B191" s="130"/>
      <c r="C191" s="130"/>
      <c r="D191" s="48">
        <v>184</v>
      </c>
      <c r="E191" s="87" t="s">
        <v>1930</v>
      </c>
      <c r="F191" s="48" t="s">
        <v>25</v>
      </c>
      <c r="G191" s="48" t="s">
        <v>1024</v>
      </c>
      <c r="H191" s="48" t="s">
        <v>9</v>
      </c>
      <c r="I191" s="48" t="s">
        <v>23</v>
      </c>
      <c r="J191" s="87" t="s">
        <v>1387</v>
      </c>
      <c r="K191" s="88">
        <v>40907</v>
      </c>
      <c r="L191" s="89">
        <v>2011</v>
      </c>
      <c r="M191" s="89">
        <f t="shared" si="10"/>
        <v>8</v>
      </c>
      <c r="N191" s="48" t="s">
        <v>11</v>
      </c>
      <c r="O191" s="48" t="s">
        <v>1369</v>
      </c>
      <c r="P191" s="87" t="s">
        <v>1425</v>
      </c>
      <c r="Q191" s="48"/>
      <c r="R191" s="87" t="s">
        <v>1486</v>
      </c>
    </row>
    <row r="192" spans="2:18" ht="25.5">
      <c r="B192" s="130"/>
      <c r="C192" s="130"/>
      <c r="D192" s="48">
        <v>185</v>
      </c>
      <c r="E192" s="87" t="s">
        <v>1929</v>
      </c>
      <c r="F192" s="48" t="s">
        <v>25</v>
      </c>
      <c r="G192" s="48" t="s">
        <v>1931</v>
      </c>
      <c r="H192" s="48" t="s">
        <v>17</v>
      </c>
      <c r="I192" s="48" t="s">
        <v>23</v>
      </c>
      <c r="J192" s="87" t="s">
        <v>1489</v>
      </c>
      <c r="K192" s="88">
        <v>42453</v>
      </c>
      <c r="L192" s="89">
        <v>2016</v>
      </c>
      <c r="M192" s="89">
        <f t="shared" si="10"/>
        <v>3</v>
      </c>
      <c r="N192" s="48" t="s">
        <v>11</v>
      </c>
      <c r="O192" s="48" t="s">
        <v>1369</v>
      </c>
      <c r="P192" s="87" t="s">
        <v>1425</v>
      </c>
      <c r="Q192" s="48"/>
      <c r="R192" s="87" t="s">
        <v>1486</v>
      </c>
    </row>
    <row r="193" spans="2:18">
      <c r="B193" s="130">
        <v>68</v>
      </c>
      <c r="C193" s="130"/>
      <c r="D193" s="48">
        <v>186</v>
      </c>
      <c r="E193" s="87" t="s">
        <v>1025</v>
      </c>
      <c r="F193" s="48" t="s">
        <v>14</v>
      </c>
      <c r="G193" s="48">
        <v>0</v>
      </c>
      <c r="H193" s="48" t="s">
        <v>9</v>
      </c>
      <c r="I193" s="48" t="s">
        <v>10</v>
      </c>
      <c r="J193" s="87"/>
      <c r="K193" s="88">
        <v>32690</v>
      </c>
      <c r="L193" s="89">
        <f t="shared" ref="L193:L195" si="12">YEAR(K193)</f>
        <v>1989</v>
      </c>
      <c r="M193" s="89">
        <f t="shared" si="10"/>
        <v>30</v>
      </c>
      <c r="N193" s="48" t="s">
        <v>11</v>
      </c>
      <c r="O193" s="48"/>
      <c r="P193" s="87" t="s">
        <v>33</v>
      </c>
      <c r="Q193" s="48"/>
      <c r="R193" s="87" t="s">
        <v>24</v>
      </c>
    </row>
    <row r="194" spans="2:18">
      <c r="B194" s="130"/>
      <c r="C194" s="130"/>
      <c r="D194" s="48">
        <v>187</v>
      </c>
      <c r="E194" s="87" t="s">
        <v>1026</v>
      </c>
      <c r="F194" s="48" t="s">
        <v>20</v>
      </c>
      <c r="G194" s="48">
        <v>0</v>
      </c>
      <c r="H194" s="48" t="s">
        <v>17</v>
      </c>
      <c r="I194" s="48" t="s">
        <v>10</v>
      </c>
      <c r="J194" s="87"/>
      <c r="K194" s="88">
        <v>33420</v>
      </c>
      <c r="L194" s="89">
        <f t="shared" si="12"/>
        <v>1991</v>
      </c>
      <c r="M194" s="89">
        <f t="shared" si="10"/>
        <v>28</v>
      </c>
      <c r="N194" s="48" t="s">
        <v>11</v>
      </c>
      <c r="O194" s="48"/>
      <c r="P194" s="87" t="s">
        <v>28</v>
      </c>
      <c r="Q194" s="48"/>
      <c r="R194" s="87" t="s">
        <v>24</v>
      </c>
    </row>
    <row r="195" spans="2:18">
      <c r="B195" s="130"/>
      <c r="C195" s="130"/>
      <c r="D195" s="48">
        <v>188</v>
      </c>
      <c r="E195" s="87" t="s">
        <v>1027</v>
      </c>
      <c r="F195" s="48" t="s">
        <v>25</v>
      </c>
      <c r="G195" s="48">
        <v>0</v>
      </c>
      <c r="H195" s="48" t="s">
        <v>17</v>
      </c>
      <c r="I195" s="48" t="s">
        <v>23</v>
      </c>
      <c r="J195" s="87"/>
      <c r="K195" s="88">
        <v>41856</v>
      </c>
      <c r="L195" s="89">
        <f t="shared" si="12"/>
        <v>2014</v>
      </c>
      <c r="M195" s="89">
        <f t="shared" si="10"/>
        <v>5</v>
      </c>
      <c r="N195" s="48" t="s">
        <v>11</v>
      </c>
      <c r="O195" s="48"/>
      <c r="P195" s="87" t="s">
        <v>18</v>
      </c>
      <c r="Q195" s="48"/>
      <c r="R195" s="87" t="s">
        <v>18</v>
      </c>
    </row>
    <row r="196" spans="2:18" ht="25.5">
      <c r="B196" s="130">
        <v>69</v>
      </c>
      <c r="C196" s="130" t="s">
        <v>1529</v>
      </c>
      <c r="D196" s="48">
        <v>189</v>
      </c>
      <c r="E196" s="87" t="s">
        <v>1530</v>
      </c>
      <c r="F196" s="48" t="s">
        <v>14</v>
      </c>
      <c r="G196" s="48" t="s">
        <v>1028</v>
      </c>
      <c r="H196" s="48" t="s">
        <v>9</v>
      </c>
      <c r="I196" s="48" t="s">
        <v>10</v>
      </c>
      <c r="J196" s="87" t="s">
        <v>1387</v>
      </c>
      <c r="K196" s="88">
        <v>30316</v>
      </c>
      <c r="L196" s="89">
        <v>1982</v>
      </c>
      <c r="M196" s="89">
        <f t="shared" si="10"/>
        <v>37</v>
      </c>
      <c r="N196" s="48" t="s">
        <v>11</v>
      </c>
      <c r="O196" s="48"/>
      <c r="P196" s="87" t="s">
        <v>1393</v>
      </c>
      <c r="Q196" s="48"/>
      <c r="R196" s="87" t="s">
        <v>1371</v>
      </c>
    </row>
    <row r="197" spans="2:18" ht="25.5">
      <c r="B197" s="130"/>
      <c r="C197" s="130"/>
      <c r="D197" s="48">
        <v>190</v>
      </c>
      <c r="E197" s="87" t="s">
        <v>427</v>
      </c>
      <c r="F197" s="48" t="s">
        <v>20</v>
      </c>
      <c r="G197" s="48" t="s">
        <v>1029</v>
      </c>
      <c r="H197" s="48" t="s">
        <v>17</v>
      </c>
      <c r="I197" s="48" t="s">
        <v>10</v>
      </c>
      <c r="J197" s="87" t="s">
        <v>1387</v>
      </c>
      <c r="K197" s="88">
        <v>31047</v>
      </c>
      <c r="L197" s="89">
        <v>1984</v>
      </c>
      <c r="M197" s="89">
        <f t="shared" si="10"/>
        <v>35</v>
      </c>
      <c r="N197" s="48" t="s">
        <v>11</v>
      </c>
      <c r="O197" s="48"/>
      <c r="P197" s="87" t="s">
        <v>1393</v>
      </c>
      <c r="Q197" s="48"/>
      <c r="R197" s="87" t="s">
        <v>1371</v>
      </c>
    </row>
    <row r="198" spans="2:18" ht="25.5">
      <c r="B198" s="130"/>
      <c r="C198" s="130"/>
      <c r="D198" s="48">
        <v>191</v>
      </c>
      <c r="E198" s="87" t="s">
        <v>1030</v>
      </c>
      <c r="F198" s="48" t="s">
        <v>25</v>
      </c>
      <c r="G198" s="48" t="s">
        <v>1531</v>
      </c>
      <c r="H198" s="48" t="s">
        <v>17</v>
      </c>
      <c r="I198" s="48" t="s">
        <v>23</v>
      </c>
      <c r="J198" s="87" t="s">
        <v>1387</v>
      </c>
      <c r="K198" s="88">
        <v>38524</v>
      </c>
      <c r="L198" s="89">
        <v>2005</v>
      </c>
      <c r="M198" s="89">
        <f t="shared" si="10"/>
        <v>14</v>
      </c>
      <c r="N198" s="48" t="s">
        <v>11</v>
      </c>
      <c r="O198" s="48"/>
      <c r="P198" s="87" t="s">
        <v>1375</v>
      </c>
      <c r="Q198" s="48"/>
      <c r="R198" s="87" t="s">
        <v>1376</v>
      </c>
    </row>
    <row r="199" spans="2:18" ht="25.5">
      <c r="B199" s="130"/>
      <c r="C199" s="130"/>
      <c r="D199" s="48">
        <v>192</v>
      </c>
      <c r="E199" s="87" t="s">
        <v>1532</v>
      </c>
      <c r="F199" s="48" t="s">
        <v>25</v>
      </c>
      <c r="G199" s="48" t="s">
        <v>1533</v>
      </c>
      <c r="H199" s="48" t="s">
        <v>17</v>
      </c>
      <c r="I199" s="48" t="s">
        <v>23</v>
      </c>
      <c r="J199" s="87" t="s">
        <v>1387</v>
      </c>
      <c r="K199" s="88">
        <v>41950</v>
      </c>
      <c r="L199" s="89">
        <v>2014</v>
      </c>
      <c r="M199" s="89">
        <f t="shared" si="10"/>
        <v>5</v>
      </c>
      <c r="N199" s="48" t="s">
        <v>11</v>
      </c>
      <c r="O199" s="48"/>
      <c r="P199" s="87" t="s">
        <v>1425</v>
      </c>
      <c r="Q199" s="48"/>
      <c r="R199" s="87" t="s">
        <v>1486</v>
      </c>
    </row>
    <row r="200" spans="2:18">
      <c r="B200" s="130">
        <v>70</v>
      </c>
      <c r="C200" s="130"/>
      <c r="D200" s="48">
        <v>193</v>
      </c>
      <c r="E200" s="87" t="s">
        <v>1031</v>
      </c>
      <c r="F200" s="48" t="s">
        <v>14</v>
      </c>
      <c r="G200" s="48">
        <v>0</v>
      </c>
      <c r="H200" s="48" t="s">
        <v>17</v>
      </c>
      <c r="I200" s="48" t="s">
        <v>23</v>
      </c>
      <c r="J200" s="87"/>
      <c r="K200" s="88">
        <v>29220</v>
      </c>
      <c r="L200" s="89">
        <f t="shared" ref="L200:L222" si="13">YEAR(K200)</f>
        <v>1979</v>
      </c>
      <c r="M200" s="89">
        <f t="shared" ref="M200:M263" si="14">2019-L200</f>
        <v>40</v>
      </c>
      <c r="N200" s="48" t="s">
        <v>11</v>
      </c>
      <c r="O200" s="48"/>
      <c r="P200" s="87" t="s">
        <v>18</v>
      </c>
      <c r="Q200" s="48"/>
      <c r="R200" s="87" t="s">
        <v>24</v>
      </c>
    </row>
    <row r="201" spans="2:18" ht="25.5">
      <c r="B201" s="130"/>
      <c r="C201" s="130"/>
      <c r="D201" s="48">
        <v>194</v>
      </c>
      <c r="E201" s="87" t="s">
        <v>1032</v>
      </c>
      <c r="F201" s="48" t="s">
        <v>20</v>
      </c>
      <c r="G201" s="48">
        <v>0</v>
      </c>
      <c r="H201" s="48" t="s">
        <v>9</v>
      </c>
      <c r="I201" s="48" t="s">
        <v>23</v>
      </c>
      <c r="J201" s="87"/>
      <c r="K201" s="88">
        <v>40635</v>
      </c>
      <c r="L201" s="89">
        <f t="shared" si="13"/>
        <v>2011</v>
      </c>
      <c r="M201" s="89">
        <f t="shared" si="14"/>
        <v>8</v>
      </c>
      <c r="N201" s="48" t="s">
        <v>11</v>
      </c>
      <c r="O201" s="48"/>
      <c r="P201" s="87" t="s">
        <v>18</v>
      </c>
      <c r="Q201" s="48"/>
      <c r="R201" s="87" t="s">
        <v>18</v>
      </c>
    </row>
    <row r="202" spans="2:18">
      <c r="B202" s="130"/>
      <c r="C202" s="130"/>
      <c r="D202" s="48">
        <v>195</v>
      </c>
      <c r="E202" s="87" t="s">
        <v>191</v>
      </c>
      <c r="F202" s="48" t="s">
        <v>25</v>
      </c>
      <c r="G202" s="48">
        <v>0</v>
      </c>
      <c r="H202" s="48" t="s">
        <v>17</v>
      </c>
      <c r="I202" s="48" t="s">
        <v>23</v>
      </c>
      <c r="J202" s="87"/>
      <c r="K202" s="88">
        <v>29586</v>
      </c>
      <c r="L202" s="89">
        <f t="shared" si="13"/>
        <v>1980</v>
      </c>
      <c r="M202" s="89">
        <f t="shared" si="14"/>
        <v>39</v>
      </c>
      <c r="N202" s="48" t="s">
        <v>11</v>
      </c>
      <c r="O202" s="48"/>
      <c r="P202" s="87" t="s">
        <v>18</v>
      </c>
      <c r="Q202" s="48"/>
      <c r="R202" s="87" t="s">
        <v>18</v>
      </c>
    </row>
    <row r="203" spans="2:18">
      <c r="B203" s="130"/>
      <c r="C203" s="130"/>
      <c r="D203" s="48">
        <v>196</v>
      </c>
      <c r="E203" s="87" t="s">
        <v>1033</v>
      </c>
      <c r="F203" s="48" t="s">
        <v>25</v>
      </c>
      <c r="G203" s="48">
        <v>0</v>
      </c>
      <c r="H203" s="48" t="s">
        <v>17</v>
      </c>
      <c r="I203" s="48" t="s">
        <v>23</v>
      </c>
      <c r="J203" s="87"/>
      <c r="K203" s="88">
        <v>36525</v>
      </c>
      <c r="L203" s="89">
        <f t="shared" si="13"/>
        <v>1999</v>
      </c>
      <c r="M203" s="89">
        <f t="shared" si="14"/>
        <v>20</v>
      </c>
      <c r="N203" s="48" t="s">
        <v>11</v>
      </c>
      <c r="O203" s="48"/>
      <c r="P203" s="87" t="s">
        <v>33</v>
      </c>
      <c r="Q203" s="48"/>
      <c r="R203" s="87" t="s">
        <v>18</v>
      </c>
    </row>
    <row r="204" spans="2:18">
      <c r="B204" s="130">
        <v>71</v>
      </c>
      <c r="C204" s="130"/>
      <c r="D204" s="48">
        <v>197</v>
      </c>
      <c r="E204" s="87" t="s">
        <v>1034</v>
      </c>
      <c r="F204" s="48" t="s">
        <v>14</v>
      </c>
      <c r="G204" s="48" t="s">
        <v>1035</v>
      </c>
      <c r="H204" s="48" t="s">
        <v>9</v>
      </c>
      <c r="I204" s="48" t="s">
        <v>10</v>
      </c>
      <c r="J204" s="87"/>
      <c r="K204" s="88">
        <v>31047</v>
      </c>
      <c r="L204" s="89">
        <f t="shared" si="13"/>
        <v>1984</v>
      </c>
      <c r="M204" s="89">
        <f t="shared" si="14"/>
        <v>35</v>
      </c>
      <c r="N204" s="48" t="s">
        <v>11</v>
      </c>
      <c r="O204" s="48"/>
      <c r="P204" s="87" t="s">
        <v>12</v>
      </c>
      <c r="Q204" s="48"/>
      <c r="R204" s="87" t="s">
        <v>49</v>
      </c>
    </row>
    <row r="205" spans="2:18">
      <c r="B205" s="130"/>
      <c r="C205" s="130"/>
      <c r="D205" s="48">
        <v>198</v>
      </c>
      <c r="E205" s="87" t="s">
        <v>1036</v>
      </c>
      <c r="F205" s="48" t="s">
        <v>20</v>
      </c>
      <c r="G205" s="48" t="s">
        <v>1037</v>
      </c>
      <c r="H205" s="48" t="s">
        <v>17</v>
      </c>
      <c r="I205" s="48" t="s">
        <v>10</v>
      </c>
      <c r="J205" s="87"/>
      <c r="K205" s="88">
        <v>32142</v>
      </c>
      <c r="L205" s="89">
        <f t="shared" si="13"/>
        <v>1987</v>
      </c>
      <c r="M205" s="89">
        <f t="shared" si="14"/>
        <v>32</v>
      </c>
      <c r="N205" s="48" t="s">
        <v>11</v>
      </c>
      <c r="O205" s="48"/>
      <c r="P205" s="87" t="s">
        <v>12</v>
      </c>
      <c r="Q205" s="48"/>
      <c r="R205" s="87" t="s">
        <v>124</v>
      </c>
    </row>
    <row r="206" spans="2:18" ht="25.5">
      <c r="B206" s="130"/>
      <c r="C206" s="130"/>
      <c r="D206" s="48">
        <v>199</v>
      </c>
      <c r="E206" s="87" t="s">
        <v>1038</v>
      </c>
      <c r="F206" s="48" t="s">
        <v>25</v>
      </c>
      <c r="G206" s="48" t="s">
        <v>1039</v>
      </c>
      <c r="H206" s="48" t="s">
        <v>17</v>
      </c>
      <c r="I206" s="48" t="s">
        <v>23</v>
      </c>
      <c r="J206" s="87"/>
      <c r="K206" s="88">
        <v>39424</v>
      </c>
      <c r="L206" s="89">
        <f t="shared" si="13"/>
        <v>2007</v>
      </c>
      <c r="M206" s="89">
        <f t="shared" si="14"/>
        <v>12</v>
      </c>
      <c r="N206" s="48" t="s">
        <v>11</v>
      </c>
      <c r="O206" s="48"/>
      <c r="P206" s="87" t="s">
        <v>18</v>
      </c>
      <c r="Q206" s="48"/>
      <c r="R206" s="87" t="s">
        <v>18</v>
      </c>
    </row>
    <row r="207" spans="2:18">
      <c r="B207" s="130"/>
      <c r="C207" s="130"/>
      <c r="D207" s="48">
        <v>200</v>
      </c>
      <c r="E207" s="87" t="s">
        <v>1040</v>
      </c>
      <c r="F207" s="48" t="s">
        <v>25</v>
      </c>
      <c r="G207" s="48" t="s">
        <v>1041</v>
      </c>
      <c r="H207" s="48" t="s">
        <v>9</v>
      </c>
      <c r="I207" s="48" t="s">
        <v>23</v>
      </c>
      <c r="J207" s="87"/>
      <c r="K207" s="88">
        <v>41190</v>
      </c>
      <c r="L207" s="89">
        <f t="shared" si="13"/>
        <v>2012</v>
      </c>
      <c r="M207" s="89">
        <f t="shared" si="14"/>
        <v>7</v>
      </c>
      <c r="N207" s="48" t="s">
        <v>11</v>
      </c>
      <c r="O207" s="48"/>
      <c r="P207" s="87" t="s">
        <v>18</v>
      </c>
      <c r="Q207" s="48"/>
      <c r="R207" s="87" t="s">
        <v>18</v>
      </c>
    </row>
    <row r="208" spans="2:18">
      <c r="B208" s="130">
        <v>72</v>
      </c>
      <c r="C208" s="130"/>
      <c r="D208" s="48">
        <v>201</v>
      </c>
      <c r="E208" s="87" t="s">
        <v>1042</v>
      </c>
      <c r="F208" s="48" t="s">
        <v>14</v>
      </c>
      <c r="G208" s="48" t="s">
        <v>1043</v>
      </c>
      <c r="H208" s="48" t="s">
        <v>9</v>
      </c>
      <c r="I208" s="48" t="s">
        <v>10</v>
      </c>
      <c r="J208" s="87"/>
      <c r="K208" s="88">
        <v>21185</v>
      </c>
      <c r="L208" s="89">
        <f t="shared" si="13"/>
        <v>1957</v>
      </c>
      <c r="M208" s="89">
        <f t="shared" si="14"/>
        <v>62</v>
      </c>
      <c r="N208" s="48" t="s">
        <v>11</v>
      </c>
      <c r="O208" s="48"/>
      <c r="P208" s="87" t="s">
        <v>18</v>
      </c>
      <c r="Q208" s="48"/>
      <c r="R208" s="87" t="s">
        <v>49</v>
      </c>
    </row>
    <row r="209" spans="2:18" ht="25.5">
      <c r="B209" s="130"/>
      <c r="C209" s="130"/>
      <c r="D209" s="48">
        <v>202</v>
      </c>
      <c r="E209" s="87" t="s">
        <v>1044</v>
      </c>
      <c r="F209" s="48" t="s">
        <v>20</v>
      </c>
      <c r="G209" s="48" t="s">
        <v>1045</v>
      </c>
      <c r="H209" s="48" t="s">
        <v>17</v>
      </c>
      <c r="I209" s="48" t="s">
        <v>10</v>
      </c>
      <c r="J209" s="87"/>
      <c r="K209" s="88">
        <v>21550</v>
      </c>
      <c r="L209" s="89">
        <f t="shared" si="13"/>
        <v>1958</v>
      </c>
      <c r="M209" s="89">
        <f t="shared" si="14"/>
        <v>61</v>
      </c>
      <c r="N209" s="48" t="s">
        <v>11</v>
      </c>
      <c r="O209" s="48"/>
      <c r="P209" s="87" t="s">
        <v>18</v>
      </c>
      <c r="Q209" s="48"/>
      <c r="R209" s="87" t="s">
        <v>58</v>
      </c>
    </row>
    <row r="210" spans="2:18">
      <c r="B210" s="48">
        <v>73</v>
      </c>
      <c r="C210" s="48"/>
      <c r="D210" s="48">
        <v>203</v>
      </c>
      <c r="E210" s="87" t="s">
        <v>1046</v>
      </c>
      <c r="F210" s="48" t="s">
        <v>14</v>
      </c>
      <c r="G210" s="48">
        <v>0</v>
      </c>
      <c r="H210" s="48" t="s">
        <v>9</v>
      </c>
      <c r="I210" s="48" t="s">
        <v>123</v>
      </c>
      <c r="J210" s="87"/>
      <c r="K210" s="88">
        <v>31229</v>
      </c>
      <c r="L210" s="89">
        <f t="shared" si="13"/>
        <v>1985</v>
      </c>
      <c r="M210" s="89">
        <f t="shared" si="14"/>
        <v>34</v>
      </c>
      <c r="N210" s="48" t="s">
        <v>11</v>
      </c>
      <c r="O210" s="48"/>
      <c r="P210" s="87" t="s">
        <v>12</v>
      </c>
      <c r="Q210" s="48"/>
      <c r="R210" s="87" t="s">
        <v>124</v>
      </c>
    </row>
    <row r="211" spans="2:18">
      <c r="B211" s="130">
        <v>74</v>
      </c>
      <c r="C211" s="130"/>
      <c r="D211" s="48">
        <v>204</v>
      </c>
      <c r="E211" s="87" t="s">
        <v>1047</v>
      </c>
      <c r="F211" s="48" t="s">
        <v>14</v>
      </c>
      <c r="G211" s="48" t="s">
        <v>1048</v>
      </c>
      <c r="H211" s="48" t="s">
        <v>9</v>
      </c>
      <c r="I211" s="48" t="s">
        <v>10</v>
      </c>
      <c r="J211" s="87"/>
      <c r="K211" s="88">
        <v>32142</v>
      </c>
      <c r="L211" s="89">
        <f t="shared" si="13"/>
        <v>1987</v>
      </c>
      <c r="M211" s="89">
        <f t="shared" si="14"/>
        <v>32</v>
      </c>
      <c r="N211" s="48" t="s">
        <v>11</v>
      </c>
      <c r="O211" s="48"/>
      <c r="P211" s="87" t="s">
        <v>12</v>
      </c>
      <c r="Q211" s="48"/>
      <c r="R211" s="87" t="s">
        <v>49</v>
      </c>
    </row>
    <row r="212" spans="2:18" ht="25.5">
      <c r="B212" s="130"/>
      <c r="C212" s="130"/>
      <c r="D212" s="48">
        <v>205</v>
      </c>
      <c r="E212" s="87" t="s">
        <v>1049</v>
      </c>
      <c r="F212" s="48" t="s">
        <v>20</v>
      </c>
      <c r="G212" s="48" t="s">
        <v>1050</v>
      </c>
      <c r="H212" s="48" t="s">
        <v>17</v>
      </c>
      <c r="I212" s="48" t="s">
        <v>10</v>
      </c>
      <c r="J212" s="87"/>
      <c r="K212" s="88">
        <v>33156</v>
      </c>
      <c r="L212" s="89">
        <f t="shared" si="13"/>
        <v>1990</v>
      </c>
      <c r="M212" s="89">
        <f t="shared" si="14"/>
        <v>29</v>
      </c>
      <c r="N212" s="48" t="s">
        <v>11</v>
      </c>
      <c r="O212" s="48"/>
      <c r="P212" s="87" t="s">
        <v>12</v>
      </c>
      <c r="Q212" s="48"/>
      <c r="R212" s="87" t="s">
        <v>49</v>
      </c>
    </row>
    <row r="213" spans="2:18">
      <c r="B213" s="130"/>
      <c r="C213" s="130"/>
      <c r="D213" s="48">
        <v>206</v>
      </c>
      <c r="E213" s="87" t="s">
        <v>1051</v>
      </c>
      <c r="F213" s="48" t="s">
        <v>408</v>
      </c>
      <c r="G213" s="48" t="s">
        <v>1052</v>
      </c>
      <c r="H213" s="48" t="s">
        <v>17</v>
      </c>
      <c r="I213" s="48" t="s">
        <v>23</v>
      </c>
      <c r="J213" s="87"/>
      <c r="K213" s="88">
        <v>40262</v>
      </c>
      <c r="L213" s="89">
        <f t="shared" si="13"/>
        <v>2010</v>
      </c>
      <c r="M213" s="89">
        <f t="shared" si="14"/>
        <v>9</v>
      </c>
      <c r="N213" s="48" t="s">
        <v>11</v>
      </c>
      <c r="O213" s="48"/>
      <c r="P213" s="87" t="s">
        <v>18</v>
      </c>
      <c r="Q213" s="48"/>
      <c r="R213" s="87" t="s">
        <v>18</v>
      </c>
    </row>
    <row r="214" spans="2:18">
      <c r="B214" s="130">
        <v>75</v>
      </c>
      <c r="C214" s="130"/>
      <c r="D214" s="48">
        <v>207</v>
      </c>
      <c r="E214" s="87" t="s">
        <v>972</v>
      </c>
      <c r="F214" s="48" t="s">
        <v>14</v>
      </c>
      <c r="G214" s="48" t="s">
        <v>1053</v>
      </c>
      <c r="H214" s="48" t="s">
        <v>9</v>
      </c>
      <c r="I214" s="48" t="s">
        <v>123</v>
      </c>
      <c r="J214" s="87"/>
      <c r="K214" s="88">
        <v>14610</v>
      </c>
      <c r="L214" s="89">
        <f t="shared" si="13"/>
        <v>1939</v>
      </c>
      <c r="M214" s="89">
        <f t="shared" si="14"/>
        <v>80</v>
      </c>
      <c r="N214" s="48" t="s">
        <v>11</v>
      </c>
      <c r="O214" s="48"/>
      <c r="P214" s="87" t="s">
        <v>18</v>
      </c>
      <c r="Q214" s="48"/>
      <c r="R214" s="87" t="s">
        <v>24</v>
      </c>
    </row>
    <row r="215" spans="2:18">
      <c r="B215" s="130"/>
      <c r="C215" s="130"/>
      <c r="D215" s="48">
        <v>208</v>
      </c>
      <c r="E215" s="87" t="s">
        <v>1054</v>
      </c>
      <c r="F215" s="48" t="s">
        <v>25</v>
      </c>
      <c r="G215" s="48" t="s">
        <v>1055</v>
      </c>
      <c r="H215" s="48" t="s">
        <v>17</v>
      </c>
      <c r="I215" s="48" t="s">
        <v>67</v>
      </c>
      <c r="J215" s="87"/>
      <c r="K215" s="88">
        <v>22098</v>
      </c>
      <c r="L215" s="89">
        <f t="shared" si="13"/>
        <v>1960</v>
      </c>
      <c r="M215" s="89">
        <f t="shared" si="14"/>
        <v>59</v>
      </c>
      <c r="N215" s="48" t="s">
        <v>11</v>
      </c>
      <c r="O215" s="48"/>
      <c r="P215" s="87" t="s">
        <v>18</v>
      </c>
      <c r="Q215" s="48"/>
      <c r="R215" s="87" t="s">
        <v>24</v>
      </c>
    </row>
    <row r="216" spans="2:18">
      <c r="B216" s="130">
        <v>76</v>
      </c>
      <c r="C216" s="130"/>
      <c r="D216" s="48">
        <v>209</v>
      </c>
      <c r="E216" s="87" t="s">
        <v>936</v>
      </c>
      <c r="F216" s="48" t="s">
        <v>14</v>
      </c>
      <c r="G216" s="48" t="s">
        <v>1056</v>
      </c>
      <c r="H216" s="48" t="s">
        <v>17</v>
      </c>
      <c r="I216" s="48" t="s">
        <v>67</v>
      </c>
      <c r="J216" s="87"/>
      <c r="K216" s="88">
        <v>22828</v>
      </c>
      <c r="L216" s="89">
        <f t="shared" si="13"/>
        <v>1962</v>
      </c>
      <c r="M216" s="89">
        <f t="shared" si="14"/>
        <v>57</v>
      </c>
      <c r="N216" s="48" t="s">
        <v>11</v>
      </c>
      <c r="O216" s="48"/>
      <c r="P216" s="87" t="s">
        <v>18</v>
      </c>
      <c r="Q216" s="48"/>
      <c r="R216" s="87" t="s">
        <v>19</v>
      </c>
    </row>
    <row r="217" spans="2:18">
      <c r="B217" s="130"/>
      <c r="C217" s="130"/>
      <c r="D217" s="48">
        <v>210</v>
      </c>
      <c r="E217" s="87" t="s">
        <v>1057</v>
      </c>
      <c r="F217" s="48" t="s">
        <v>124</v>
      </c>
      <c r="G217" s="48">
        <v>0</v>
      </c>
      <c r="H217" s="48" t="s">
        <v>9</v>
      </c>
      <c r="I217" s="48" t="s">
        <v>23</v>
      </c>
      <c r="J217" s="87"/>
      <c r="K217" s="88">
        <v>36404</v>
      </c>
      <c r="L217" s="89">
        <f t="shared" si="13"/>
        <v>1999</v>
      </c>
      <c r="M217" s="89">
        <f t="shared" si="14"/>
        <v>20</v>
      </c>
      <c r="N217" s="48" t="s">
        <v>11</v>
      </c>
      <c r="O217" s="48"/>
      <c r="P217" s="87" t="s">
        <v>33</v>
      </c>
      <c r="Q217" s="48"/>
      <c r="R217" s="87" t="s">
        <v>18</v>
      </c>
    </row>
    <row r="218" spans="2:18">
      <c r="B218" s="130">
        <v>77</v>
      </c>
      <c r="C218" s="130"/>
      <c r="D218" s="48">
        <v>211</v>
      </c>
      <c r="E218" s="87" t="s">
        <v>1058</v>
      </c>
      <c r="F218" s="48" t="s">
        <v>14</v>
      </c>
      <c r="G218" s="48" t="s">
        <v>1059</v>
      </c>
      <c r="H218" s="48" t="s">
        <v>9</v>
      </c>
      <c r="I218" s="48" t="s">
        <v>10</v>
      </c>
      <c r="J218" s="87"/>
      <c r="K218" s="88">
        <v>31777</v>
      </c>
      <c r="L218" s="89">
        <f t="shared" si="13"/>
        <v>1986</v>
      </c>
      <c r="M218" s="89">
        <f t="shared" si="14"/>
        <v>33</v>
      </c>
      <c r="N218" s="48" t="s">
        <v>11</v>
      </c>
      <c r="O218" s="48"/>
      <c r="P218" s="87" t="s">
        <v>12</v>
      </c>
      <c r="Q218" s="48"/>
      <c r="R218" s="87" t="s">
        <v>58</v>
      </c>
    </row>
    <row r="219" spans="2:18" ht="25.5">
      <c r="B219" s="130"/>
      <c r="C219" s="130"/>
      <c r="D219" s="48">
        <v>212</v>
      </c>
      <c r="E219" s="87" t="s">
        <v>1060</v>
      </c>
      <c r="F219" s="48" t="s">
        <v>20</v>
      </c>
      <c r="G219" s="48" t="s">
        <v>1061</v>
      </c>
      <c r="H219" s="48" t="s">
        <v>17</v>
      </c>
      <c r="I219" s="48" t="s">
        <v>10</v>
      </c>
      <c r="J219" s="87"/>
      <c r="K219" s="88">
        <v>31924</v>
      </c>
      <c r="L219" s="89">
        <f t="shared" si="13"/>
        <v>1987</v>
      </c>
      <c r="M219" s="89">
        <f t="shared" si="14"/>
        <v>32</v>
      </c>
      <c r="N219" s="48" t="s">
        <v>11</v>
      </c>
      <c r="O219" s="48"/>
      <c r="P219" s="87" t="s">
        <v>36</v>
      </c>
      <c r="Q219" s="48"/>
      <c r="R219" s="87" t="s">
        <v>13</v>
      </c>
    </row>
    <row r="220" spans="2:18" ht="25.5">
      <c r="B220" s="130"/>
      <c r="C220" s="130"/>
      <c r="D220" s="48">
        <v>213</v>
      </c>
      <c r="E220" s="87" t="s">
        <v>1062</v>
      </c>
      <c r="F220" s="48" t="s">
        <v>25</v>
      </c>
      <c r="G220" s="48" t="s">
        <v>1063</v>
      </c>
      <c r="H220" s="48" t="s">
        <v>17</v>
      </c>
      <c r="I220" s="48" t="s">
        <v>23</v>
      </c>
      <c r="J220" s="87"/>
      <c r="K220" s="88">
        <v>41603</v>
      </c>
      <c r="L220" s="89">
        <f t="shared" si="13"/>
        <v>2013</v>
      </c>
      <c r="M220" s="89">
        <f t="shared" si="14"/>
        <v>6</v>
      </c>
      <c r="N220" s="48" t="s">
        <v>11</v>
      </c>
      <c r="O220" s="48"/>
      <c r="P220" s="87" t="s">
        <v>18</v>
      </c>
      <c r="Q220" s="48"/>
      <c r="R220" s="87" t="s">
        <v>18</v>
      </c>
    </row>
    <row r="221" spans="2:18">
      <c r="B221" s="130">
        <v>78</v>
      </c>
      <c r="C221" s="130"/>
      <c r="D221" s="48">
        <v>214</v>
      </c>
      <c r="E221" s="87" t="s">
        <v>1064</v>
      </c>
      <c r="F221" s="48" t="s">
        <v>14</v>
      </c>
      <c r="G221" s="48" t="s">
        <v>1065</v>
      </c>
      <c r="H221" s="48" t="s">
        <v>17</v>
      </c>
      <c r="I221" s="48" t="s">
        <v>23</v>
      </c>
      <c r="J221" s="87"/>
      <c r="K221" s="88">
        <v>12966</v>
      </c>
      <c r="L221" s="89">
        <f t="shared" si="13"/>
        <v>1935</v>
      </c>
      <c r="M221" s="89">
        <f t="shared" si="14"/>
        <v>84</v>
      </c>
      <c r="N221" s="48" t="s">
        <v>11</v>
      </c>
      <c r="O221" s="48"/>
      <c r="P221" s="87" t="s">
        <v>18</v>
      </c>
      <c r="Q221" s="48"/>
      <c r="R221" s="87" t="s">
        <v>18</v>
      </c>
    </row>
    <row r="222" spans="2:18">
      <c r="B222" s="130"/>
      <c r="C222" s="130"/>
      <c r="D222" s="48">
        <v>215</v>
      </c>
      <c r="E222" s="87" t="s">
        <v>1066</v>
      </c>
      <c r="F222" s="48" t="s">
        <v>124</v>
      </c>
      <c r="G222" s="48">
        <v>0</v>
      </c>
      <c r="H222" s="48" t="s">
        <v>17</v>
      </c>
      <c r="I222" s="48" t="s">
        <v>23</v>
      </c>
      <c r="J222" s="87"/>
      <c r="K222" s="88">
        <v>23924</v>
      </c>
      <c r="L222" s="89">
        <f t="shared" si="13"/>
        <v>1965</v>
      </c>
      <c r="M222" s="89">
        <f t="shared" si="14"/>
        <v>54</v>
      </c>
      <c r="N222" s="48" t="s">
        <v>11</v>
      </c>
      <c r="O222" s="48"/>
      <c r="P222" s="87" t="s">
        <v>18</v>
      </c>
      <c r="Q222" s="48"/>
      <c r="R222" s="87" t="s">
        <v>24</v>
      </c>
    </row>
    <row r="223" spans="2:18" ht="25.5">
      <c r="B223" s="130">
        <v>79</v>
      </c>
      <c r="C223" s="130" t="s">
        <v>1963</v>
      </c>
      <c r="D223" s="48">
        <v>216</v>
      </c>
      <c r="E223" s="87" t="s">
        <v>1067</v>
      </c>
      <c r="F223" s="48" t="s">
        <v>14</v>
      </c>
      <c r="G223" s="48" t="s">
        <v>1068</v>
      </c>
      <c r="H223" s="48" t="s">
        <v>9</v>
      </c>
      <c r="I223" s="48" t="s">
        <v>10</v>
      </c>
      <c r="J223" s="87" t="s">
        <v>1368</v>
      </c>
      <c r="K223" s="88">
        <v>34127</v>
      </c>
      <c r="L223" s="89">
        <v>1993</v>
      </c>
      <c r="M223" s="89">
        <f t="shared" si="14"/>
        <v>26</v>
      </c>
      <c r="N223" s="48" t="s">
        <v>11</v>
      </c>
      <c r="O223" s="48" t="s">
        <v>1369</v>
      </c>
      <c r="P223" s="87" t="s">
        <v>28</v>
      </c>
      <c r="Q223" s="48"/>
      <c r="R223" s="87" t="s">
        <v>1371</v>
      </c>
    </row>
    <row r="224" spans="2:18" ht="25.5">
      <c r="B224" s="130"/>
      <c r="C224" s="130"/>
      <c r="D224" s="48">
        <v>217</v>
      </c>
      <c r="E224" s="87" t="s">
        <v>1069</v>
      </c>
      <c r="F224" s="48" t="s">
        <v>20</v>
      </c>
      <c r="G224" s="48" t="s">
        <v>1070</v>
      </c>
      <c r="H224" s="48" t="s">
        <v>17</v>
      </c>
      <c r="I224" s="48" t="s">
        <v>10</v>
      </c>
      <c r="J224" s="87" t="s">
        <v>1387</v>
      </c>
      <c r="K224" s="88">
        <v>35064</v>
      </c>
      <c r="L224" s="89">
        <v>1995</v>
      </c>
      <c r="M224" s="89">
        <f t="shared" si="14"/>
        <v>24</v>
      </c>
      <c r="N224" s="48" t="s">
        <v>11</v>
      </c>
      <c r="O224" s="48" t="s">
        <v>1369</v>
      </c>
      <c r="P224" s="87" t="s">
        <v>28</v>
      </c>
      <c r="Q224" s="48"/>
      <c r="R224" s="87" t="s">
        <v>1371</v>
      </c>
    </row>
    <row r="225" spans="2:18" ht="25.5">
      <c r="B225" s="130"/>
      <c r="C225" s="130"/>
      <c r="D225" s="48">
        <v>218</v>
      </c>
      <c r="E225" s="87" t="s">
        <v>1964</v>
      </c>
      <c r="F225" s="48" t="s">
        <v>25</v>
      </c>
      <c r="G225" s="48" t="s">
        <v>1071</v>
      </c>
      <c r="H225" s="48" t="s">
        <v>9</v>
      </c>
      <c r="I225" s="48" t="s">
        <v>23</v>
      </c>
      <c r="J225" s="87" t="s">
        <v>1368</v>
      </c>
      <c r="K225" s="88">
        <v>41869</v>
      </c>
      <c r="L225" s="89">
        <v>2014</v>
      </c>
      <c r="M225" s="89">
        <f t="shared" si="14"/>
        <v>5</v>
      </c>
      <c r="N225" s="48" t="s">
        <v>11</v>
      </c>
      <c r="O225" s="48" t="s">
        <v>1369</v>
      </c>
      <c r="P225" s="87" t="s">
        <v>1425</v>
      </c>
      <c r="Q225" s="48"/>
      <c r="R225" s="87" t="s">
        <v>1486</v>
      </c>
    </row>
    <row r="226" spans="2:18">
      <c r="B226" s="130">
        <v>80</v>
      </c>
      <c r="C226" s="130" t="s">
        <v>1966</v>
      </c>
      <c r="D226" s="48">
        <v>219</v>
      </c>
      <c r="E226" s="87" t="s">
        <v>205</v>
      </c>
      <c r="F226" s="48" t="s">
        <v>14</v>
      </c>
      <c r="G226" s="48" t="s">
        <v>1072</v>
      </c>
      <c r="H226" s="48" t="s">
        <v>9</v>
      </c>
      <c r="I226" s="48" t="s">
        <v>10</v>
      </c>
      <c r="J226" s="87" t="s">
        <v>1368</v>
      </c>
      <c r="K226" s="88">
        <v>26678</v>
      </c>
      <c r="L226" s="89">
        <v>1973</v>
      </c>
      <c r="M226" s="89">
        <f t="shared" si="14"/>
        <v>46</v>
      </c>
      <c r="N226" s="48" t="s">
        <v>11</v>
      </c>
      <c r="O226" s="48" t="s">
        <v>1369</v>
      </c>
      <c r="P226" s="87" t="s">
        <v>28</v>
      </c>
      <c r="Q226" s="48"/>
      <c r="R226" s="87" t="s">
        <v>49</v>
      </c>
    </row>
    <row r="227" spans="2:18" ht="25.5">
      <c r="B227" s="130"/>
      <c r="C227" s="130"/>
      <c r="D227" s="48">
        <v>220</v>
      </c>
      <c r="E227" s="87" t="s">
        <v>1073</v>
      </c>
      <c r="F227" s="48" t="s">
        <v>20</v>
      </c>
      <c r="G227" s="48" t="s">
        <v>1074</v>
      </c>
      <c r="H227" s="48" t="s">
        <v>17</v>
      </c>
      <c r="I227" s="48" t="s">
        <v>10</v>
      </c>
      <c r="J227" s="87" t="s">
        <v>1368</v>
      </c>
      <c r="K227" s="88">
        <v>24107</v>
      </c>
      <c r="L227" s="89">
        <v>1965</v>
      </c>
      <c r="M227" s="89">
        <f t="shared" si="14"/>
        <v>54</v>
      </c>
      <c r="N227" s="48" t="s">
        <v>11</v>
      </c>
      <c r="O227" s="48" t="s">
        <v>1369</v>
      </c>
      <c r="P227" s="87" t="s">
        <v>28</v>
      </c>
      <c r="Q227" s="48"/>
      <c r="R227" s="87" t="s">
        <v>1373</v>
      </c>
    </row>
    <row r="228" spans="2:18" ht="25.5">
      <c r="B228" s="130"/>
      <c r="C228" s="130"/>
      <c r="D228" s="48">
        <v>221</v>
      </c>
      <c r="E228" s="87" t="s">
        <v>1075</v>
      </c>
      <c r="F228" s="48" t="s">
        <v>25</v>
      </c>
      <c r="G228" s="48" t="s">
        <v>1076</v>
      </c>
      <c r="H228" s="48" t="s">
        <v>17</v>
      </c>
      <c r="I228" s="48" t="s">
        <v>23</v>
      </c>
      <c r="J228" s="87" t="s">
        <v>1368</v>
      </c>
      <c r="K228" s="88">
        <v>36379</v>
      </c>
      <c r="L228" s="89">
        <v>1999</v>
      </c>
      <c r="M228" s="89">
        <f t="shared" si="14"/>
        <v>20</v>
      </c>
      <c r="N228" s="48" t="s">
        <v>11</v>
      </c>
      <c r="O228" s="48" t="s">
        <v>1369</v>
      </c>
      <c r="P228" s="87" t="s">
        <v>12</v>
      </c>
      <c r="Q228" s="48"/>
      <c r="R228" s="87" t="s">
        <v>1376</v>
      </c>
    </row>
    <row r="229" spans="2:18" ht="25.5">
      <c r="B229" s="130">
        <v>81</v>
      </c>
      <c r="C229" s="130" t="s">
        <v>1965</v>
      </c>
      <c r="D229" s="48">
        <v>222</v>
      </c>
      <c r="E229" s="87" t="s">
        <v>226</v>
      </c>
      <c r="F229" s="48" t="s">
        <v>14</v>
      </c>
      <c r="G229" s="48" t="s">
        <v>1079</v>
      </c>
      <c r="H229" s="48" t="s">
        <v>9</v>
      </c>
      <c r="I229" s="48" t="s">
        <v>10</v>
      </c>
      <c r="J229" s="87" t="s">
        <v>1368</v>
      </c>
      <c r="K229" s="88">
        <v>30037</v>
      </c>
      <c r="L229" s="89">
        <v>1982</v>
      </c>
      <c r="M229" s="89">
        <f t="shared" si="14"/>
        <v>37</v>
      </c>
      <c r="N229" s="48" t="s">
        <v>11</v>
      </c>
      <c r="O229" s="48" t="s">
        <v>1369</v>
      </c>
      <c r="P229" s="87" t="s">
        <v>33</v>
      </c>
      <c r="Q229" s="48"/>
      <c r="R229" s="87" t="s">
        <v>1371</v>
      </c>
    </row>
    <row r="230" spans="2:18" ht="25.5">
      <c r="B230" s="130"/>
      <c r="C230" s="130"/>
      <c r="D230" s="48">
        <v>223</v>
      </c>
      <c r="E230" s="87" t="s">
        <v>1080</v>
      </c>
      <c r="F230" s="48" t="s">
        <v>20</v>
      </c>
      <c r="G230" s="48" t="s">
        <v>1081</v>
      </c>
      <c r="H230" s="48" t="s">
        <v>17</v>
      </c>
      <c r="I230" s="48" t="s">
        <v>10</v>
      </c>
      <c r="J230" s="87" t="s">
        <v>1368</v>
      </c>
      <c r="K230" s="88">
        <v>32117</v>
      </c>
      <c r="L230" s="89">
        <v>1987</v>
      </c>
      <c r="M230" s="89">
        <f t="shared" si="14"/>
        <v>32</v>
      </c>
      <c r="N230" s="48" t="s">
        <v>11</v>
      </c>
      <c r="O230" s="48" t="s">
        <v>1369</v>
      </c>
      <c r="P230" s="87" t="s">
        <v>33</v>
      </c>
      <c r="Q230" s="48"/>
      <c r="R230" s="87" t="s">
        <v>1373</v>
      </c>
    </row>
    <row r="231" spans="2:18" ht="25.5">
      <c r="B231" s="130"/>
      <c r="C231" s="130"/>
      <c r="D231" s="48">
        <v>224</v>
      </c>
      <c r="E231" s="87" t="s">
        <v>1082</v>
      </c>
      <c r="F231" s="48" t="s">
        <v>25</v>
      </c>
      <c r="G231" s="48" t="s">
        <v>1083</v>
      </c>
      <c r="H231" s="48" t="s">
        <v>9</v>
      </c>
      <c r="I231" s="48" t="s">
        <v>23</v>
      </c>
      <c r="J231" s="87" t="s">
        <v>1387</v>
      </c>
      <c r="K231" s="88">
        <v>39717</v>
      </c>
      <c r="L231" s="89">
        <v>2008</v>
      </c>
      <c r="M231" s="89">
        <f t="shared" si="14"/>
        <v>11</v>
      </c>
      <c r="N231" s="48" t="s">
        <v>11</v>
      </c>
      <c r="O231" s="48" t="s">
        <v>1369</v>
      </c>
      <c r="P231" s="87" t="s">
        <v>1375</v>
      </c>
      <c r="Q231" s="48"/>
      <c r="R231" s="87" t="s">
        <v>1376</v>
      </c>
    </row>
    <row r="232" spans="2:18">
      <c r="B232" s="130">
        <v>82</v>
      </c>
      <c r="C232" s="130"/>
      <c r="D232" s="48">
        <v>225</v>
      </c>
      <c r="E232" s="87" t="s">
        <v>673</v>
      </c>
      <c r="F232" s="48" t="s">
        <v>14</v>
      </c>
      <c r="G232" s="48">
        <v>0</v>
      </c>
      <c r="H232" s="48" t="s">
        <v>9</v>
      </c>
      <c r="I232" s="48" t="s">
        <v>10</v>
      </c>
      <c r="J232" s="87"/>
      <c r="K232" s="88">
        <v>33055</v>
      </c>
      <c r="L232" s="89">
        <f t="shared" ref="L232:L234" si="15">YEAR(K232)</f>
        <v>1990</v>
      </c>
      <c r="M232" s="89">
        <f t="shared" si="14"/>
        <v>29</v>
      </c>
      <c r="N232" s="48" t="s">
        <v>11</v>
      </c>
      <c r="O232" s="48"/>
      <c r="P232" s="87" t="s">
        <v>28</v>
      </c>
      <c r="Q232" s="48"/>
      <c r="R232" s="87" t="s">
        <v>49</v>
      </c>
    </row>
    <row r="233" spans="2:18">
      <c r="B233" s="130"/>
      <c r="C233" s="130"/>
      <c r="D233" s="48">
        <v>226</v>
      </c>
      <c r="E233" s="87" t="s">
        <v>278</v>
      </c>
      <c r="F233" s="48" t="s">
        <v>20</v>
      </c>
      <c r="G233" s="48">
        <v>0</v>
      </c>
      <c r="H233" s="48" t="s">
        <v>17</v>
      </c>
      <c r="I233" s="48" t="s">
        <v>10</v>
      </c>
      <c r="J233" s="87"/>
      <c r="K233" s="88">
        <v>33786</v>
      </c>
      <c r="L233" s="89">
        <f t="shared" si="15"/>
        <v>1992</v>
      </c>
      <c r="M233" s="89">
        <f t="shared" si="14"/>
        <v>27</v>
      </c>
      <c r="N233" s="48" t="s">
        <v>11</v>
      </c>
      <c r="O233" s="48"/>
      <c r="P233" s="87" t="s">
        <v>28</v>
      </c>
      <c r="Q233" s="48"/>
      <c r="R233" s="87" t="s">
        <v>124</v>
      </c>
    </row>
    <row r="234" spans="2:18" ht="25.5">
      <c r="B234" s="130"/>
      <c r="C234" s="130"/>
      <c r="D234" s="48">
        <v>227</v>
      </c>
      <c r="E234" s="87" t="s">
        <v>1084</v>
      </c>
      <c r="F234" s="48" t="s">
        <v>25</v>
      </c>
      <c r="G234" s="48">
        <v>0</v>
      </c>
      <c r="H234" s="48" t="s">
        <v>9</v>
      </c>
      <c r="I234" s="48" t="s">
        <v>23</v>
      </c>
      <c r="J234" s="87"/>
      <c r="K234" s="88">
        <v>41255</v>
      </c>
      <c r="L234" s="89">
        <f t="shared" si="15"/>
        <v>2012</v>
      </c>
      <c r="M234" s="89">
        <f t="shared" si="14"/>
        <v>7</v>
      </c>
      <c r="N234" s="48" t="s">
        <v>11</v>
      </c>
      <c r="O234" s="48"/>
      <c r="P234" s="87" t="s">
        <v>18</v>
      </c>
      <c r="Q234" s="48"/>
      <c r="R234" s="87" t="s">
        <v>18</v>
      </c>
    </row>
    <row r="235" spans="2:18" ht="25.5">
      <c r="B235" s="130">
        <v>83</v>
      </c>
      <c r="C235" s="130" t="s">
        <v>1960</v>
      </c>
      <c r="D235" s="48">
        <v>228</v>
      </c>
      <c r="E235" s="87" t="s">
        <v>918</v>
      </c>
      <c r="F235" s="48" t="s">
        <v>14</v>
      </c>
      <c r="G235" s="48" t="s">
        <v>1961</v>
      </c>
      <c r="H235" s="48" t="s">
        <v>9</v>
      </c>
      <c r="I235" s="48" t="s">
        <v>1448</v>
      </c>
      <c r="J235" s="87" t="s">
        <v>1368</v>
      </c>
      <c r="K235" s="88">
        <v>20271</v>
      </c>
      <c r="L235" s="89">
        <v>1955</v>
      </c>
      <c r="M235" s="89">
        <f t="shared" si="14"/>
        <v>64</v>
      </c>
      <c r="N235" s="48" t="s">
        <v>11</v>
      </c>
      <c r="O235" s="48" t="s">
        <v>1369</v>
      </c>
      <c r="P235" s="87" t="s">
        <v>1425</v>
      </c>
      <c r="Q235" s="48"/>
      <c r="R235" s="87" t="s">
        <v>1460</v>
      </c>
    </row>
    <row r="236" spans="2:18" ht="25.5">
      <c r="B236" s="130"/>
      <c r="C236" s="130"/>
      <c r="D236" s="48">
        <v>229</v>
      </c>
      <c r="E236" s="87" t="s">
        <v>1085</v>
      </c>
      <c r="F236" s="48" t="s">
        <v>408</v>
      </c>
      <c r="G236" s="48" t="s">
        <v>1962</v>
      </c>
      <c r="H236" s="48" t="s">
        <v>9</v>
      </c>
      <c r="I236" s="48" t="s">
        <v>23</v>
      </c>
      <c r="J236" s="87" t="s">
        <v>1368</v>
      </c>
      <c r="K236" s="88">
        <v>35977</v>
      </c>
      <c r="L236" s="89">
        <v>1998</v>
      </c>
      <c r="M236" s="89">
        <f t="shared" si="14"/>
        <v>21</v>
      </c>
      <c r="N236" s="48" t="s">
        <v>11</v>
      </c>
      <c r="O236" s="48" t="s">
        <v>1369</v>
      </c>
      <c r="P236" s="87" t="s">
        <v>33</v>
      </c>
      <c r="Q236" s="48"/>
      <c r="R236" s="87" t="s">
        <v>1371</v>
      </c>
    </row>
    <row r="237" spans="2:18">
      <c r="B237" s="130">
        <v>84</v>
      </c>
      <c r="C237" s="130"/>
      <c r="D237" s="48">
        <v>230</v>
      </c>
      <c r="E237" s="87" t="s">
        <v>1086</v>
      </c>
      <c r="F237" s="48" t="s">
        <v>14</v>
      </c>
      <c r="G237" s="48">
        <v>0</v>
      </c>
      <c r="H237" s="48" t="s">
        <v>9</v>
      </c>
      <c r="I237" s="48" t="s">
        <v>23</v>
      </c>
      <c r="J237" s="87"/>
      <c r="K237" s="88">
        <v>16619</v>
      </c>
      <c r="L237" s="89">
        <f t="shared" ref="L237:L240" si="16">YEAR(K237)</f>
        <v>1945</v>
      </c>
      <c r="M237" s="89">
        <f t="shared" si="14"/>
        <v>74</v>
      </c>
      <c r="N237" s="48" t="s">
        <v>11</v>
      </c>
      <c r="O237" s="48"/>
      <c r="P237" s="87" t="s">
        <v>18</v>
      </c>
      <c r="Q237" s="48"/>
      <c r="R237" s="87" t="s">
        <v>24</v>
      </c>
    </row>
    <row r="238" spans="2:18">
      <c r="B238" s="130"/>
      <c r="C238" s="130"/>
      <c r="D238" s="48">
        <v>231</v>
      </c>
      <c r="E238" s="87" t="s">
        <v>814</v>
      </c>
      <c r="F238" s="48" t="s">
        <v>408</v>
      </c>
      <c r="G238" s="48">
        <v>0</v>
      </c>
      <c r="H238" s="48" t="s">
        <v>17</v>
      </c>
      <c r="I238" s="48" t="s">
        <v>23</v>
      </c>
      <c r="J238" s="87"/>
      <c r="K238" s="88">
        <v>23924</v>
      </c>
      <c r="L238" s="89">
        <f t="shared" si="16"/>
        <v>1965</v>
      </c>
      <c r="M238" s="89">
        <f t="shared" si="14"/>
        <v>54</v>
      </c>
      <c r="N238" s="48" t="s">
        <v>11</v>
      </c>
      <c r="O238" s="48"/>
      <c r="P238" s="87" t="s">
        <v>18</v>
      </c>
      <c r="Q238" s="48"/>
      <c r="R238" s="87" t="s">
        <v>24</v>
      </c>
    </row>
    <row r="239" spans="2:18">
      <c r="B239" s="130">
        <v>85</v>
      </c>
      <c r="C239" s="130"/>
      <c r="D239" s="48">
        <v>232</v>
      </c>
      <c r="E239" s="87" t="s">
        <v>1087</v>
      </c>
      <c r="F239" s="48" t="s">
        <v>14</v>
      </c>
      <c r="G239" s="48" t="s">
        <v>1088</v>
      </c>
      <c r="H239" s="48" t="s">
        <v>9</v>
      </c>
      <c r="I239" s="48" t="s">
        <v>10</v>
      </c>
      <c r="J239" s="87"/>
      <c r="K239" s="88">
        <v>14976</v>
      </c>
      <c r="L239" s="89">
        <f t="shared" si="16"/>
        <v>1940</v>
      </c>
      <c r="M239" s="89">
        <f t="shared" si="14"/>
        <v>79</v>
      </c>
      <c r="N239" s="48" t="s">
        <v>11</v>
      </c>
      <c r="O239" s="48"/>
      <c r="P239" s="87" t="s">
        <v>18</v>
      </c>
      <c r="Q239" s="48"/>
      <c r="R239" s="87" t="s">
        <v>24</v>
      </c>
    </row>
    <row r="240" spans="2:18">
      <c r="B240" s="130"/>
      <c r="C240" s="130"/>
      <c r="D240" s="48">
        <v>233</v>
      </c>
      <c r="E240" s="87" t="s">
        <v>1089</v>
      </c>
      <c r="F240" s="48" t="s">
        <v>20</v>
      </c>
      <c r="G240" s="48" t="s">
        <v>1090</v>
      </c>
      <c r="H240" s="48" t="s">
        <v>17</v>
      </c>
      <c r="I240" s="48" t="s">
        <v>10</v>
      </c>
      <c r="J240" s="87"/>
      <c r="K240" s="88">
        <v>18263</v>
      </c>
      <c r="L240" s="89">
        <f t="shared" si="16"/>
        <v>1949</v>
      </c>
      <c r="M240" s="89">
        <f t="shared" si="14"/>
        <v>70</v>
      </c>
      <c r="N240" s="48" t="s">
        <v>11</v>
      </c>
      <c r="O240" s="48"/>
      <c r="P240" s="87" t="s">
        <v>18</v>
      </c>
      <c r="Q240" s="48"/>
      <c r="R240" s="87" t="s">
        <v>24</v>
      </c>
    </row>
    <row r="241" spans="2:18" ht="25.5">
      <c r="B241" s="130">
        <v>86</v>
      </c>
      <c r="C241" s="130" t="s">
        <v>1941</v>
      </c>
      <c r="D241" s="48">
        <v>234</v>
      </c>
      <c r="E241" s="87" t="s">
        <v>748</v>
      </c>
      <c r="F241" s="48" t="s">
        <v>14</v>
      </c>
      <c r="G241" s="48" t="s">
        <v>1091</v>
      </c>
      <c r="H241" s="48" t="s">
        <v>9</v>
      </c>
      <c r="I241" s="48" t="s">
        <v>10</v>
      </c>
      <c r="J241" s="87" t="s">
        <v>1387</v>
      </c>
      <c r="K241" s="88">
        <v>28447</v>
      </c>
      <c r="L241" s="89">
        <v>1977</v>
      </c>
      <c r="M241" s="89">
        <f t="shared" si="14"/>
        <v>42</v>
      </c>
      <c r="N241" s="48" t="s">
        <v>11</v>
      </c>
      <c r="O241" s="48" t="s">
        <v>1369</v>
      </c>
      <c r="P241" s="87" t="s">
        <v>33</v>
      </c>
      <c r="Q241" s="48"/>
      <c r="R241" s="87" t="s">
        <v>1371</v>
      </c>
    </row>
    <row r="242" spans="2:18" ht="25.5">
      <c r="B242" s="130"/>
      <c r="C242" s="130"/>
      <c r="D242" s="48">
        <v>235</v>
      </c>
      <c r="E242" s="87" t="s">
        <v>138</v>
      </c>
      <c r="F242" s="48" t="s">
        <v>20</v>
      </c>
      <c r="G242" s="48" t="s">
        <v>1092</v>
      </c>
      <c r="H242" s="48" t="s">
        <v>17</v>
      </c>
      <c r="I242" s="48" t="s">
        <v>10</v>
      </c>
      <c r="J242" s="87" t="s">
        <v>1387</v>
      </c>
      <c r="K242" s="88">
        <v>28490</v>
      </c>
      <c r="L242" s="89">
        <v>1977</v>
      </c>
      <c r="M242" s="89">
        <f t="shared" si="14"/>
        <v>42</v>
      </c>
      <c r="N242" s="48" t="s">
        <v>11</v>
      </c>
      <c r="O242" s="48" t="s">
        <v>1369</v>
      </c>
      <c r="P242" s="87" t="s">
        <v>28</v>
      </c>
      <c r="Q242" s="48"/>
      <c r="R242" s="87" t="s">
        <v>1371</v>
      </c>
    </row>
    <row r="243" spans="2:18" ht="25.5">
      <c r="B243" s="130"/>
      <c r="C243" s="130"/>
      <c r="D243" s="48">
        <v>236</v>
      </c>
      <c r="E243" s="87" t="s">
        <v>1093</v>
      </c>
      <c r="F243" s="48" t="s">
        <v>25</v>
      </c>
      <c r="G243" s="48" t="s">
        <v>1094</v>
      </c>
      <c r="H243" s="48" t="s">
        <v>9</v>
      </c>
      <c r="I243" s="48" t="s">
        <v>23</v>
      </c>
      <c r="J243" s="87" t="s">
        <v>1368</v>
      </c>
      <c r="K243" s="88">
        <v>34516</v>
      </c>
      <c r="L243" s="89">
        <v>1994</v>
      </c>
      <c r="M243" s="89">
        <f t="shared" si="14"/>
        <v>25</v>
      </c>
      <c r="N243" s="48" t="s">
        <v>11</v>
      </c>
      <c r="O243" s="48" t="s">
        <v>1369</v>
      </c>
      <c r="P243" s="87" t="s">
        <v>12</v>
      </c>
      <c r="Q243" s="48"/>
      <c r="R243" s="87" t="s">
        <v>1376</v>
      </c>
    </row>
    <row r="244" spans="2:18">
      <c r="B244" s="130">
        <v>87</v>
      </c>
      <c r="C244" s="130"/>
      <c r="D244" s="48">
        <v>237</v>
      </c>
      <c r="E244" s="87" t="s">
        <v>1095</v>
      </c>
      <c r="F244" s="48" t="s">
        <v>14</v>
      </c>
      <c r="G244" s="48" t="s">
        <v>1096</v>
      </c>
      <c r="H244" s="48" t="s">
        <v>9</v>
      </c>
      <c r="I244" s="48" t="s">
        <v>10</v>
      </c>
      <c r="J244" s="87"/>
      <c r="K244" s="88">
        <v>18628</v>
      </c>
      <c r="L244" s="89">
        <f t="shared" ref="L244:L247" si="17">YEAR(K244)</f>
        <v>1950</v>
      </c>
      <c r="M244" s="89">
        <f t="shared" si="14"/>
        <v>69</v>
      </c>
      <c r="N244" s="48" t="s">
        <v>11</v>
      </c>
      <c r="O244" s="48"/>
      <c r="P244" s="87" t="s">
        <v>18</v>
      </c>
      <c r="Q244" s="48"/>
      <c r="R244" s="87" t="s">
        <v>24</v>
      </c>
    </row>
    <row r="245" spans="2:18">
      <c r="B245" s="130"/>
      <c r="C245" s="130"/>
      <c r="D245" s="48">
        <v>238</v>
      </c>
      <c r="E245" s="87" t="s">
        <v>1097</v>
      </c>
      <c r="F245" s="48" t="s">
        <v>20</v>
      </c>
      <c r="G245" s="48" t="s">
        <v>1098</v>
      </c>
      <c r="H245" s="48" t="s">
        <v>17</v>
      </c>
      <c r="I245" s="48" t="s">
        <v>10</v>
      </c>
      <c r="J245" s="87"/>
      <c r="K245" s="88">
        <v>27029</v>
      </c>
      <c r="L245" s="89">
        <f t="shared" si="17"/>
        <v>1973</v>
      </c>
      <c r="M245" s="89">
        <f t="shared" si="14"/>
        <v>46</v>
      </c>
      <c r="N245" s="48" t="s">
        <v>11</v>
      </c>
      <c r="O245" s="48"/>
      <c r="P245" s="87" t="s">
        <v>18</v>
      </c>
      <c r="Q245" s="48"/>
      <c r="R245" s="87" t="s">
        <v>24</v>
      </c>
    </row>
    <row r="246" spans="2:18" ht="25.5">
      <c r="B246" s="130"/>
      <c r="C246" s="130"/>
      <c r="D246" s="48">
        <v>239</v>
      </c>
      <c r="E246" s="87" t="s">
        <v>1099</v>
      </c>
      <c r="F246" s="48" t="s">
        <v>25</v>
      </c>
      <c r="G246" s="48" t="s">
        <v>1100</v>
      </c>
      <c r="H246" s="48" t="s">
        <v>9</v>
      </c>
      <c r="I246" s="48" t="s">
        <v>23</v>
      </c>
      <c r="J246" s="87"/>
      <c r="K246" s="88">
        <v>34699</v>
      </c>
      <c r="L246" s="89">
        <f t="shared" si="17"/>
        <v>1994</v>
      </c>
      <c r="M246" s="89">
        <f t="shared" si="14"/>
        <v>25</v>
      </c>
      <c r="N246" s="48" t="s">
        <v>11</v>
      </c>
      <c r="O246" s="48"/>
      <c r="P246" s="87" t="s">
        <v>12</v>
      </c>
      <c r="Q246" s="48"/>
      <c r="R246" s="87" t="s">
        <v>49</v>
      </c>
    </row>
    <row r="247" spans="2:18">
      <c r="B247" s="130"/>
      <c r="C247" s="130"/>
      <c r="D247" s="48">
        <v>240</v>
      </c>
      <c r="E247" s="87" t="s">
        <v>1101</v>
      </c>
      <c r="F247" s="48" t="s">
        <v>25</v>
      </c>
      <c r="G247" s="48" t="s">
        <v>1102</v>
      </c>
      <c r="H247" s="48" t="s">
        <v>9</v>
      </c>
      <c r="I247" s="48" t="s">
        <v>23</v>
      </c>
      <c r="J247" s="87"/>
      <c r="K247" s="88">
        <v>36078</v>
      </c>
      <c r="L247" s="89">
        <f t="shared" si="17"/>
        <v>1998</v>
      </c>
      <c r="M247" s="89">
        <f t="shared" si="14"/>
        <v>21</v>
      </c>
      <c r="N247" s="48" t="s">
        <v>11</v>
      </c>
      <c r="O247" s="48"/>
      <c r="P247" s="87" t="s">
        <v>33</v>
      </c>
      <c r="Q247" s="48"/>
      <c r="R247" s="87" t="s">
        <v>18</v>
      </c>
    </row>
    <row r="248" spans="2:18" ht="25.5">
      <c r="B248" s="130">
        <v>88</v>
      </c>
      <c r="C248" s="130" t="s">
        <v>1921</v>
      </c>
      <c r="D248" s="48">
        <v>241</v>
      </c>
      <c r="E248" s="87" t="s">
        <v>1103</v>
      </c>
      <c r="F248" s="48" t="s">
        <v>14</v>
      </c>
      <c r="G248" s="48" t="s">
        <v>1104</v>
      </c>
      <c r="H248" s="48" t="s">
        <v>9</v>
      </c>
      <c r="I248" s="48" t="s">
        <v>10</v>
      </c>
      <c r="J248" s="87" t="s">
        <v>1387</v>
      </c>
      <c r="K248" s="88">
        <v>21185</v>
      </c>
      <c r="L248" s="89">
        <v>1957</v>
      </c>
      <c r="M248" s="89">
        <f t="shared" si="14"/>
        <v>62</v>
      </c>
      <c r="N248" s="48" t="s">
        <v>11</v>
      </c>
      <c r="O248" s="48" t="s">
        <v>1369</v>
      </c>
      <c r="P248" s="87" t="s">
        <v>28</v>
      </c>
      <c r="Q248" s="48"/>
      <c r="R248" s="87" t="s">
        <v>1371</v>
      </c>
    </row>
    <row r="249" spans="2:18" ht="25.5">
      <c r="B249" s="130"/>
      <c r="C249" s="130"/>
      <c r="D249" s="48">
        <v>242</v>
      </c>
      <c r="E249" s="87" t="s">
        <v>1105</v>
      </c>
      <c r="F249" s="48" t="s">
        <v>20</v>
      </c>
      <c r="G249" s="48" t="s">
        <v>1922</v>
      </c>
      <c r="H249" s="48" t="s">
        <v>17</v>
      </c>
      <c r="I249" s="48" t="s">
        <v>10</v>
      </c>
      <c r="J249" s="87" t="s">
        <v>1387</v>
      </c>
      <c r="K249" s="88">
        <v>23011</v>
      </c>
      <c r="L249" s="89">
        <v>1962</v>
      </c>
      <c r="M249" s="89">
        <f t="shared" si="14"/>
        <v>57</v>
      </c>
      <c r="N249" s="48" t="s">
        <v>11</v>
      </c>
      <c r="O249" s="48" t="s">
        <v>1369</v>
      </c>
      <c r="P249" s="87" t="s">
        <v>28</v>
      </c>
      <c r="Q249" s="48"/>
      <c r="R249" s="87" t="s">
        <v>1373</v>
      </c>
    </row>
    <row r="250" spans="2:18">
      <c r="B250" s="130">
        <v>89</v>
      </c>
      <c r="C250" s="130"/>
      <c r="D250" s="48">
        <v>243</v>
      </c>
      <c r="E250" s="87" t="s">
        <v>334</v>
      </c>
      <c r="F250" s="48" t="s">
        <v>14</v>
      </c>
      <c r="G250" s="48" t="s">
        <v>1106</v>
      </c>
      <c r="H250" s="48" t="s">
        <v>17</v>
      </c>
      <c r="I250" s="48" t="s">
        <v>67</v>
      </c>
      <c r="J250" s="87"/>
      <c r="K250" s="88">
        <v>26302</v>
      </c>
      <c r="L250" s="89">
        <f t="shared" ref="L250:L251" si="18">YEAR(K250)</f>
        <v>1972</v>
      </c>
      <c r="M250" s="89">
        <f t="shared" si="14"/>
        <v>47</v>
      </c>
      <c r="N250" s="48" t="s">
        <v>11</v>
      </c>
      <c r="O250" s="48"/>
      <c r="P250" s="87" t="s">
        <v>18</v>
      </c>
      <c r="Q250" s="48"/>
      <c r="R250" s="87" t="s">
        <v>24</v>
      </c>
    </row>
    <row r="251" spans="2:18">
      <c r="B251" s="130"/>
      <c r="C251" s="130"/>
      <c r="D251" s="48">
        <v>244</v>
      </c>
      <c r="E251" s="87" t="s">
        <v>1107</v>
      </c>
      <c r="F251" s="48" t="s">
        <v>408</v>
      </c>
      <c r="G251" s="48">
        <v>0</v>
      </c>
      <c r="H251" s="48" t="s">
        <v>17</v>
      </c>
      <c r="I251" s="48" t="s">
        <v>67</v>
      </c>
      <c r="J251" s="87"/>
      <c r="K251" s="88">
        <v>16619</v>
      </c>
      <c r="L251" s="89">
        <f t="shared" si="18"/>
        <v>1945</v>
      </c>
      <c r="M251" s="89">
        <f t="shared" si="14"/>
        <v>74</v>
      </c>
      <c r="N251" s="48" t="s">
        <v>11</v>
      </c>
      <c r="O251" s="48"/>
      <c r="P251" s="87" t="s">
        <v>18</v>
      </c>
      <c r="Q251" s="48"/>
      <c r="R251" s="87" t="s">
        <v>18</v>
      </c>
    </row>
    <row r="252" spans="2:18" ht="25.5">
      <c r="B252" s="130">
        <v>90</v>
      </c>
      <c r="C252" s="130" t="s">
        <v>1957</v>
      </c>
      <c r="D252" s="48">
        <v>245</v>
      </c>
      <c r="E252" s="87" t="s">
        <v>1108</v>
      </c>
      <c r="F252" s="48" t="s">
        <v>14</v>
      </c>
      <c r="G252" s="48" t="s">
        <v>1109</v>
      </c>
      <c r="H252" s="48" t="s">
        <v>9</v>
      </c>
      <c r="I252" s="48" t="s">
        <v>10</v>
      </c>
      <c r="J252" s="87" t="s">
        <v>1368</v>
      </c>
      <c r="K252" s="88">
        <v>33134</v>
      </c>
      <c r="L252" s="89">
        <v>1990</v>
      </c>
      <c r="M252" s="89">
        <f t="shared" si="14"/>
        <v>29</v>
      </c>
      <c r="N252" s="48" t="s">
        <v>11</v>
      </c>
      <c r="O252" s="48" t="s">
        <v>1369</v>
      </c>
      <c r="P252" s="87" t="s">
        <v>12</v>
      </c>
      <c r="Q252" s="48"/>
      <c r="R252" s="87" t="s">
        <v>1376</v>
      </c>
    </row>
    <row r="253" spans="2:18" ht="25.5">
      <c r="B253" s="130"/>
      <c r="C253" s="130"/>
      <c r="D253" s="48">
        <v>246</v>
      </c>
      <c r="E253" s="87" t="s">
        <v>1110</v>
      </c>
      <c r="F253" s="48" t="s">
        <v>20</v>
      </c>
      <c r="G253" s="48" t="s">
        <v>1111</v>
      </c>
      <c r="H253" s="48" t="s">
        <v>17</v>
      </c>
      <c r="I253" s="48" t="s">
        <v>10</v>
      </c>
      <c r="J253" s="87" t="s">
        <v>1958</v>
      </c>
      <c r="K253" s="88">
        <v>34234</v>
      </c>
      <c r="L253" s="89">
        <v>1993</v>
      </c>
      <c r="M253" s="89">
        <f t="shared" si="14"/>
        <v>26</v>
      </c>
      <c r="N253" s="48" t="s">
        <v>11</v>
      </c>
      <c r="O253" s="48" t="s">
        <v>1369</v>
      </c>
      <c r="P253" s="87" t="s">
        <v>12</v>
      </c>
      <c r="Q253" s="48"/>
      <c r="R253" s="87" t="s">
        <v>1373</v>
      </c>
    </row>
    <row r="254" spans="2:18" ht="25.5">
      <c r="B254" s="130"/>
      <c r="C254" s="130"/>
      <c r="D254" s="48">
        <v>247</v>
      </c>
      <c r="E254" s="87" t="s">
        <v>1112</v>
      </c>
      <c r="F254" s="48" t="s">
        <v>25</v>
      </c>
      <c r="G254" s="48" t="s">
        <v>1113</v>
      </c>
      <c r="H254" s="48" t="s">
        <v>9</v>
      </c>
      <c r="I254" s="48" t="s">
        <v>23</v>
      </c>
      <c r="J254" s="87" t="s">
        <v>1888</v>
      </c>
      <c r="K254" s="88">
        <v>41786</v>
      </c>
      <c r="L254" s="89">
        <v>2014</v>
      </c>
      <c r="M254" s="89">
        <f t="shared" si="14"/>
        <v>5</v>
      </c>
      <c r="N254" s="48" t="s">
        <v>11</v>
      </c>
      <c r="O254" s="48" t="s">
        <v>1369</v>
      </c>
      <c r="P254" s="87" t="s">
        <v>1425</v>
      </c>
      <c r="Q254" s="48"/>
      <c r="R254" s="87" t="s">
        <v>1486</v>
      </c>
    </row>
    <row r="255" spans="2:18" ht="25.5">
      <c r="B255" s="130">
        <v>91</v>
      </c>
      <c r="C255" s="130" t="s">
        <v>1907</v>
      </c>
      <c r="D255" s="48">
        <v>248</v>
      </c>
      <c r="E255" s="87" t="s">
        <v>367</v>
      </c>
      <c r="F255" s="48" t="s">
        <v>14</v>
      </c>
      <c r="G255" s="107" t="s">
        <v>1114</v>
      </c>
      <c r="H255" s="48" t="s">
        <v>9</v>
      </c>
      <c r="I255" s="48" t="s">
        <v>10</v>
      </c>
      <c r="J255" s="87" t="s">
        <v>1368</v>
      </c>
      <c r="K255" s="88">
        <v>33488</v>
      </c>
      <c r="L255" s="89">
        <v>1991</v>
      </c>
      <c r="M255" s="89">
        <f t="shared" si="14"/>
        <v>28</v>
      </c>
      <c r="N255" s="48" t="s">
        <v>11</v>
      </c>
      <c r="O255" s="48" t="s">
        <v>1369</v>
      </c>
      <c r="P255" s="87" t="s">
        <v>1385</v>
      </c>
      <c r="Q255" s="48"/>
      <c r="R255" s="87" t="s">
        <v>1371</v>
      </c>
    </row>
    <row r="256" spans="2:18" ht="25.5">
      <c r="B256" s="130"/>
      <c r="C256" s="130"/>
      <c r="D256" s="48">
        <v>249</v>
      </c>
      <c r="E256" s="87" t="s">
        <v>1115</v>
      </c>
      <c r="F256" s="48" t="s">
        <v>20</v>
      </c>
      <c r="G256" s="48" t="s">
        <v>1116</v>
      </c>
      <c r="H256" s="48" t="s">
        <v>17</v>
      </c>
      <c r="I256" s="48" t="s">
        <v>10</v>
      </c>
      <c r="J256" s="87" t="s">
        <v>1909</v>
      </c>
      <c r="K256" s="88">
        <v>35063</v>
      </c>
      <c r="L256" s="89">
        <v>1995</v>
      </c>
      <c r="M256" s="89">
        <f t="shared" si="14"/>
        <v>24</v>
      </c>
      <c r="N256" s="48" t="s">
        <v>11</v>
      </c>
      <c r="O256" s="48" t="s">
        <v>1369</v>
      </c>
      <c r="P256" s="87" t="s">
        <v>1385</v>
      </c>
      <c r="Q256" s="48"/>
      <c r="R256" s="87" t="s">
        <v>1373</v>
      </c>
    </row>
    <row r="257" spans="2:18" ht="25.5">
      <c r="B257" s="130"/>
      <c r="C257" s="130"/>
      <c r="D257" s="48">
        <v>250</v>
      </c>
      <c r="E257" s="87" t="s">
        <v>1908</v>
      </c>
      <c r="F257" s="48" t="s">
        <v>25</v>
      </c>
      <c r="G257" s="48" t="s">
        <v>1117</v>
      </c>
      <c r="H257" s="48" t="s">
        <v>9</v>
      </c>
      <c r="I257" s="48" t="s">
        <v>23</v>
      </c>
      <c r="J257" s="87" t="s">
        <v>1368</v>
      </c>
      <c r="K257" s="88">
        <v>41489</v>
      </c>
      <c r="L257" s="89">
        <v>2013</v>
      </c>
      <c r="M257" s="89">
        <f t="shared" si="14"/>
        <v>6</v>
      </c>
      <c r="N257" s="48" t="s">
        <v>11</v>
      </c>
      <c r="O257" s="48" t="s">
        <v>1369</v>
      </c>
      <c r="P257" s="87" t="s">
        <v>1425</v>
      </c>
      <c r="Q257" s="48"/>
      <c r="R257" s="87" t="s">
        <v>1486</v>
      </c>
    </row>
    <row r="258" spans="2:18">
      <c r="B258" s="130">
        <v>92</v>
      </c>
      <c r="C258" s="130"/>
      <c r="D258" s="48">
        <v>251</v>
      </c>
      <c r="E258" s="87" t="s">
        <v>151</v>
      </c>
      <c r="F258" s="48" t="s">
        <v>14</v>
      </c>
      <c r="G258" s="48" t="s">
        <v>1118</v>
      </c>
      <c r="H258" s="48" t="s">
        <v>9</v>
      </c>
      <c r="I258" s="48" t="s">
        <v>10</v>
      </c>
      <c r="J258" s="87"/>
      <c r="K258" s="88">
        <v>26715</v>
      </c>
      <c r="L258" s="89">
        <f t="shared" ref="L258:L261" si="19">YEAR(K258)</f>
        <v>1973</v>
      </c>
      <c r="M258" s="89">
        <f t="shared" si="14"/>
        <v>46</v>
      </c>
      <c r="N258" s="48" t="s">
        <v>11</v>
      </c>
      <c r="O258" s="48"/>
      <c r="P258" s="87" t="s">
        <v>18</v>
      </c>
      <c r="Q258" s="48"/>
      <c r="R258" s="87" t="s">
        <v>49</v>
      </c>
    </row>
    <row r="259" spans="2:18">
      <c r="B259" s="130"/>
      <c r="C259" s="130"/>
      <c r="D259" s="48">
        <v>252</v>
      </c>
      <c r="E259" s="87" t="s">
        <v>1119</v>
      </c>
      <c r="F259" s="48" t="s">
        <v>20</v>
      </c>
      <c r="G259" s="48" t="s">
        <v>2205</v>
      </c>
      <c r="H259" s="48" t="s">
        <v>17</v>
      </c>
      <c r="I259" s="48" t="s">
        <v>10</v>
      </c>
      <c r="J259" s="87"/>
      <c r="K259" s="88">
        <v>33849</v>
      </c>
      <c r="L259" s="89">
        <f t="shared" si="19"/>
        <v>1992</v>
      </c>
      <c r="M259" s="89">
        <f t="shared" si="14"/>
        <v>27</v>
      </c>
      <c r="N259" s="48" t="s">
        <v>11</v>
      </c>
      <c r="O259" s="48"/>
      <c r="P259" s="87" t="s">
        <v>12</v>
      </c>
      <c r="Q259" s="48"/>
      <c r="R259" s="87" t="s">
        <v>49</v>
      </c>
    </row>
    <row r="260" spans="2:18">
      <c r="B260" s="130">
        <v>93</v>
      </c>
      <c r="C260" s="130"/>
      <c r="D260" s="48">
        <v>253</v>
      </c>
      <c r="E260" s="87" t="s">
        <v>1120</v>
      </c>
      <c r="F260" s="48" t="s">
        <v>14</v>
      </c>
      <c r="G260" s="48" t="s">
        <v>1121</v>
      </c>
      <c r="H260" s="48" t="s">
        <v>9</v>
      </c>
      <c r="I260" s="48" t="s">
        <v>10</v>
      </c>
      <c r="J260" s="87"/>
      <c r="K260" s="88">
        <v>22407</v>
      </c>
      <c r="L260" s="89">
        <f t="shared" si="19"/>
        <v>1961</v>
      </c>
      <c r="M260" s="89">
        <f t="shared" si="14"/>
        <v>58</v>
      </c>
      <c r="N260" s="48" t="s">
        <v>11</v>
      </c>
      <c r="O260" s="48"/>
      <c r="P260" s="87" t="s">
        <v>18</v>
      </c>
      <c r="Q260" s="48"/>
      <c r="R260" s="87" t="s">
        <v>24</v>
      </c>
    </row>
    <row r="261" spans="2:18">
      <c r="B261" s="130"/>
      <c r="C261" s="130"/>
      <c r="D261" s="48">
        <v>254</v>
      </c>
      <c r="E261" s="87" t="s">
        <v>128</v>
      </c>
      <c r="F261" s="48" t="s">
        <v>20</v>
      </c>
      <c r="G261" s="48" t="s">
        <v>1122</v>
      </c>
      <c r="H261" s="48" t="s">
        <v>17</v>
      </c>
      <c r="I261" s="48" t="s">
        <v>10</v>
      </c>
      <c r="J261" s="87"/>
      <c r="K261" s="88">
        <v>29977</v>
      </c>
      <c r="L261" s="89">
        <f t="shared" si="19"/>
        <v>1982</v>
      </c>
      <c r="M261" s="89">
        <f t="shared" si="14"/>
        <v>37</v>
      </c>
      <c r="N261" s="48" t="s">
        <v>11</v>
      </c>
      <c r="O261" s="48"/>
      <c r="P261" s="87" t="s">
        <v>28</v>
      </c>
      <c r="Q261" s="48"/>
      <c r="R261" s="87" t="s">
        <v>24</v>
      </c>
    </row>
    <row r="262" spans="2:18" ht="25.5">
      <c r="B262" s="130">
        <v>94</v>
      </c>
      <c r="C262" s="130" t="s">
        <v>1534</v>
      </c>
      <c r="D262" s="48">
        <v>255</v>
      </c>
      <c r="E262" s="87" t="s">
        <v>972</v>
      </c>
      <c r="F262" s="48" t="s">
        <v>14</v>
      </c>
      <c r="G262" s="48" t="s">
        <v>1123</v>
      </c>
      <c r="H262" s="48" t="s">
        <v>9</v>
      </c>
      <c r="I262" s="48" t="s">
        <v>1448</v>
      </c>
      <c r="J262" s="87" t="s">
        <v>1368</v>
      </c>
      <c r="K262" s="88">
        <v>22925</v>
      </c>
      <c r="L262" s="89">
        <v>1962</v>
      </c>
      <c r="M262" s="89">
        <f t="shared" si="14"/>
        <v>57</v>
      </c>
      <c r="N262" s="48" t="s">
        <v>11</v>
      </c>
      <c r="O262" s="48" t="s">
        <v>1369</v>
      </c>
      <c r="P262" s="87" t="s">
        <v>1393</v>
      </c>
      <c r="Q262" s="48"/>
      <c r="R262" s="87" t="s">
        <v>1371</v>
      </c>
    </row>
    <row r="263" spans="2:18">
      <c r="B263" s="130"/>
      <c r="C263" s="130"/>
      <c r="D263" s="48">
        <v>256</v>
      </c>
      <c r="E263" s="87" t="s">
        <v>1124</v>
      </c>
      <c r="F263" s="48" t="s">
        <v>25</v>
      </c>
      <c r="G263" s="48" t="s">
        <v>1125</v>
      </c>
      <c r="H263" s="48" t="s">
        <v>17</v>
      </c>
      <c r="I263" s="48" t="s">
        <v>23</v>
      </c>
      <c r="J263" s="87" t="s">
        <v>1387</v>
      </c>
      <c r="K263" s="88">
        <v>34799</v>
      </c>
      <c r="L263" s="89">
        <v>1995</v>
      </c>
      <c r="M263" s="89">
        <f t="shared" si="14"/>
        <v>24</v>
      </c>
      <c r="N263" s="48" t="s">
        <v>11</v>
      </c>
      <c r="O263" s="48" t="s">
        <v>1369</v>
      </c>
      <c r="P263" s="87" t="s">
        <v>1385</v>
      </c>
      <c r="Q263" s="48"/>
      <c r="R263" s="87" t="s">
        <v>49</v>
      </c>
    </row>
    <row r="264" spans="2:18">
      <c r="B264" s="130">
        <v>95</v>
      </c>
      <c r="C264" s="130"/>
      <c r="D264" s="48">
        <v>257</v>
      </c>
      <c r="E264" s="87" t="s">
        <v>947</v>
      </c>
      <c r="F264" s="48" t="s">
        <v>14</v>
      </c>
      <c r="G264" s="48" t="s">
        <v>1126</v>
      </c>
      <c r="H264" s="48" t="s">
        <v>9</v>
      </c>
      <c r="I264" s="48" t="s">
        <v>10</v>
      </c>
      <c r="J264" s="87"/>
      <c r="K264" s="88">
        <v>32160</v>
      </c>
      <c r="L264" s="89">
        <f t="shared" ref="L264:L267" si="20">YEAR(K264)</f>
        <v>1988</v>
      </c>
      <c r="M264" s="89">
        <f t="shared" ref="M264:M286" si="21">2019-L264</f>
        <v>31</v>
      </c>
      <c r="N264" s="48" t="s">
        <v>11</v>
      </c>
      <c r="O264" s="48"/>
      <c r="P264" s="87" t="s">
        <v>28</v>
      </c>
      <c r="Q264" s="48"/>
      <c r="R264" s="87" t="s">
        <v>24</v>
      </c>
    </row>
    <row r="265" spans="2:18">
      <c r="B265" s="130"/>
      <c r="C265" s="130"/>
      <c r="D265" s="48">
        <v>258</v>
      </c>
      <c r="E265" s="87" t="s">
        <v>1127</v>
      </c>
      <c r="F265" s="48" t="s">
        <v>20</v>
      </c>
      <c r="G265" s="48" t="s">
        <v>1128</v>
      </c>
      <c r="H265" s="48" t="s">
        <v>17</v>
      </c>
      <c r="I265" s="48" t="s">
        <v>10</v>
      </c>
      <c r="J265" s="87"/>
      <c r="K265" s="88">
        <v>32832</v>
      </c>
      <c r="L265" s="89">
        <f t="shared" si="20"/>
        <v>1989</v>
      </c>
      <c r="M265" s="89">
        <f t="shared" si="21"/>
        <v>30</v>
      </c>
      <c r="N265" s="48" t="s">
        <v>11</v>
      </c>
      <c r="O265" s="48"/>
      <c r="P265" s="87" t="s">
        <v>28</v>
      </c>
      <c r="Q265" s="48"/>
      <c r="R265" s="87" t="s">
        <v>24</v>
      </c>
    </row>
    <row r="266" spans="2:18">
      <c r="B266" s="130"/>
      <c r="C266" s="130"/>
      <c r="D266" s="48">
        <v>259</v>
      </c>
      <c r="E266" s="87" t="s">
        <v>1129</v>
      </c>
      <c r="F266" s="48" t="s">
        <v>25</v>
      </c>
      <c r="G266" s="48" t="s">
        <v>1130</v>
      </c>
      <c r="H266" s="48" t="s">
        <v>17</v>
      </c>
      <c r="I266" s="48" t="s">
        <v>23</v>
      </c>
      <c r="J266" s="87"/>
      <c r="K266" s="88">
        <v>41262</v>
      </c>
      <c r="L266" s="89">
        <f t="shared" si="20"/>
        <v>2012</v>
      </c>
      <c r="M266" s="89">
        <f t="shared" si="21"/>
        <v>7</v>
      </c>
      <c r="N266" s="48" t="s">
        <v>11</v>
      </c>
      <c r="O266" s="48"/>
      <c r="P266" s="87" t="s">
        <v>18</v>
      </c>
      <c r="Q266" s="48"/>
      <c r="R266" s="87" t="s">
        <v>18</v>
      </c>
    </row>
    <row r="267" spans="2:18">
      <c r="B267" s="48">
        <v>96</v>
      </c>
      <c r="C267" s="48"/>
      <c r="D267" s="48">
        <v>260</v>
      </c>
      <c r="E267" s="87" t="s">
        <v>1131</v>
      </c>
      <c r="F267" s="48" t="s">
        <v>14</v>
      </c>
      <c r="G267" s="48">
        <v>0</v>
      </c>
      <c r="H267" s="48" t="s">
        <v>17</v>
      </c>
      <c r="I267" s="48" t="s">
        <v>67</v>
      </c>
      <c r="J267" s="87"/>
      <c r="K267" s="88">
        <v>20271</v>
      </c>
      <c r="L267" s="89">
        <f t="shared" si="20"/>
        <v>1955</v>
      </c>
      <c r="M267" s="89">
        <f t="shared" si="21"/>
        <v>64</v>
      </c>
      <c r="N267" s="48" t="s">
        <v>11</v>
      </c>
      <c r="O267" s="48"/>
      <c r="P267" s="87" t="s">
        <v>18</v>
      </c>
      <c r="Q267" s="48"/>
      <c r="R267" s="87" t="s">
        <v>24</v>
      </c>
    </row>
    <row r="268" spans="2:18" ht="25.5">
      <c r="B268" s="130">
        <v>97</v>
      </c>
      <c r="C268" s="130" t="s">
        <v>1483</v>
      </c>
      <c r="D268" s="48">
        <v>261</v>
      </c>
      <c r="E268" s="87" t="s">
        <v>1132</v>
      </c>
      <c r="F268" s="48" t="s">
        <v>14</v>
      </c>
      <c r="G268" s="48" t="s">
        <v>1484</v>
      </c>
      <c r="H268" s="48" t="s">
        <v>17</v>
      </c>
      <c r="I268" s="48" t="s">
        <v>1448</v>
      </c>
      <c r="J268" s="87" t="s">
        <v>1485</v>
      </c>
      <c r="K268" s="88">
        <v>23742</v>
      </c>
      <c r="L268" s="89">
        <v>1964</v>
      </c>
      <c r="M268" s="89">
        <f t="shared" si="21"/>
        <v>55</v>
      </c>
      <c r="N268" s="48" t="s">
        <v>11</v>
      </c>
      <c r="O268" s="48"/>
      <c r="P268" s="87" t="s">
        <v>1393</v>
      </c>
      <c r="Q268" s="48"/>
      <c r="R268" s="87" t="s">
        <v>1371</v>
      </c>
    </row>
    <row r="269" spans="2:18" ht="25.5">
      <c r="B269" s="130"/>
      <c r="C269" s="130"/>
      <c r="D269" s="48">
        <v>262</v>
      </c>
      <c r="E269" s="87" t="s">
        <v>560</v>
      </c>
      <c r="F269" s="48" t="s">
        <v>25</v>
      </c>
      <c r="G269" s="48" t="s">
        <v>1133</v>
      </c>
      <c r="H269" s="48" t="s">
        <v>9</v>
      </c>
      <c r="I269" s="48" t="s">
        <v>23</v>
      </c>
      <c r="J269" s="87" t="s">
        <v>1387</v>
      </c>
      <c r="K269" s="88">
        <v>34708</v>
      </c>
      <c r="L269" s="89">
        <v>1995</v>
      </c>
      <c r="M269" s="89">
        <f t="shared" si="21"/>
        <v>24</v>
      </c>
      <c r="N269" s="48" t="s">
        <v>11</v>
      </c>
      <c r="O269" s="48"/>
      <c r="P269" s="87" t="s">
        <v>1388</v>
      </c>
      <c r="Q269" s="48"/>
      <c r="R269" s="87" t="s">
        <v>1486</v>
      </c>
    </row>
    <row r="270" spans="2:18" ht="25.5">
      <c r="B270" s="131">
        <v>98</v>
      </c>
      <c r="C270" s="131"/>
      <c r="D270" s="48">
        <v>263</v>
      </c>
      <c r="E270" s="87" t="s">
        <v>1136</v>
      </c>
      <c r="F270" s="48" t="s">
        <v>14</v>
      </c>
      <c r="G270" s="48" t="s">
        <v>1137</v>
      </c>
      <c r="H270" s="48" t="s">
        <v>17</v>
      </c>
      <c r="I270" s="48" t="s">
        <v>1448</v>
      </c>
      <c r="J270" s="87" t="s">
        <v>1387</v>
      </c>
      <c r="K270" s="88">
        <v>31777</v>
      </c>
      <c r="L270" s="89">
        <v>1986</v>
      </c>
      <c r="M270" s="89">
        <f t="shared" si="21"/>
        <v>33</v>
      </c>
      <c r="N270" s="48" t="s">
        <v>11</v>
      </c>
      <c r="O270" s="48" t="s">
        <v>1369</v>
      </c>
      <c r="P270" s="87" t="s">
        <v>1393</v>
      </c>
      <c r="Q270" s="48"/>
      <c r="R270" s="87" t="s">
        <v>1371</v>
      </c>
    </row>
    <row r="271" spans="2:18" ht="25.5">
      <c r="B271" s="132"/>
      <c r="C271" s="132"/>
      <c r="D271" s="48">
        <v>264</v>
      </c>
      <c r="E271" s="87" t="s">
        <v>2177</v>
      </c>
      <c r="F271" s="48" t="s">
        <v>25</v>
      </c>
      <c r="G271" s="48" t="s">
        <v>1138</v>
      </c>
      <c r="H271" s="48" t="s">
        <v>17</v>
      </c>
      <c r="I271" s="48" t="s">
        <v>23</v>
      </c>
      <c r="J271" s="87" t="s">
        <v>1387</v>
      </c>
      <c r="K271" s="88">
        <v>39747</v>
      </c>
      <c r="L271" s="89">
        <v>2008</v>
      </c>
      <c r="M271" s="89">
        <f t="shared" si="21"/>
        <v>11</v>
      </c>
      <c r="N271" s="48" t="s">
        <v>11</v>
      </c>
      <c r="O271" s="48" t="s">
        <v>1369</v>
      </c>
      <c r="P271" s="87" t="s">
        <v>2178</v>
      </c>
      <c r="Q271" s="48"/>
      <c r="R271" s="87" t="s">
        <v>1486</v>
      </c>
    </row>
    <row r="272" spans="2:18" ht="25.5">
      <c r="B272" s="132"/>
      <c r="C272" s="132"/>
      <c r="D272" s="48">
        <v>265</v>
      </c>
      <c r="E272" s="87" t="s">
        <v>669</v>
      </c>
      <c r="F272" s="48" t="s">
        <v>1456</v>
      </c>
      <c r="G272" s="48" t="s">
        <v>1139</v>
      </c>
      <c r="H272" s="48" t="s">
        <v>17</v>
      </c>
      <c r="I272" s="48" t="s">
        <v>1448</v>
      </c>
      <c r="J272" s="87" t="s">
        <v>1387</v>
      </c>
      <c r="K272" s="88">
        <v>17166</v>
      </c>
      <c r="L272" s="89">
        <v>1946</v>
      </c>
      <c r="M272" s="89">
        <f t="shared" si="21"/>
        <v>73</v>
      </c>
      <c r="N272" s="48" t="s">
        <v>11</v>
      </c>
      <c r="O272" s="48" t="s">
        <v>1369</v>
      </c>
      <c r="P272" s="87" t="s">
        <v>2178</v>
      </c>
      <c r="Q272" s="48"/>
      <c r="R272" s="87" t="s">
        <v>1371</v>
      </c>
    </row>
    <row r="273" spans="1:62" ht="25.5">
      <c r="B273" s="133"/>
      <c r="C273" s="133"/>
      <c r="D273" s="48">
        <v>266</v>
      </c>
      <c r="E273" s="87" t="s">
        <v>2179</v>
      </c>
      <c r="F273" s="48" t="s">
        <v>25</v>
      </c>
      <c r="G273" s="48"/>
      <c r="H273" s="48" t="s">
        <v>17</v>
      </c>
      <c r="I273" s="48" t="s">
        <v>23</v>
      </c>
      <c r="J273" s="87" t="s">
        <v>1368</v>
      </c>
      <c r="K273" s="88">
        <v>43036</v>
      </c>
      <c r="L273" s="89">
        <v>2017</v>
      </c>
      <c r="M273" s="89">
        <f t="shared" si="21"/>
        <v>2</v>
      </c>
      <c r="N273" s="48" t="s">
        <v>11</v>
      </c>
      <c r="O273" s="48" t="s">
        <v>1369</v>
      </c>
      <c r="P273" s="87" t="s">
        <v>2178</v>
      </c>
      <c r="Q273" s="48"/>
      <c r="R273" s="87" t="s">
        <v>1486</v>
      </c>
    </row>
    <row r="274" spans="1:62">
      <c r="B274" s="130">
        <v>99</v>
      </c>
      <c r="C274" s="131"/>
      <c r="D274" s="48">
        <v>267</v>
      </c>
      <c r="E274" s="87" t="s">
        <v>1140</v>
      </c>
      <c r="F274" s="48" t="s">
        <v>14</v>
      </c>
      <c r="G274" s="48" t="s">
        <v>1141</v>
      </c>
      <c r="H274" s="48" t="s">
        <v>9</v>
      </c>
      <c r="I274" s="48" t="s">
        <v>10</v>
      </c>
      <c r="J274" s="87"/>
      <c r="K274" s="88">
        <v>16254</v>
      </c>
      <c r="L274" s="89">
        <f t="shared" ref="L274:L278" si="22">YEAR(K274)</f>
        <v>1944</v>
      </c>
      <c r="M274" s="89">
        <f t="shared" si="21"/>
        <v>75</v>
      </c>
      <c r="N274" s="48" t="s">
        <v>11</v>
      </c>
      <c r="O274" s="48"/>
      <c r="P274" s="87" t="s">
        <v>18</v>
      </c>
      <c r="Q274" s="48"/>
      <c r="R274" s="87" t="s">
        <v>49</v>
      </c>
    </row>
    <row r="275" spans="1:62" ht="25.5">
      <c r="B275" s="130"/>
      <c r="C275" s="133"/>
      <c r="D275" s="48">
        <v>268</v>
      </c>
      <c r="E275" s="87" t="s">
        <v>1142</v>
      </c>
      <c r="F275" s="48" t="s">
        <v>20</v>
      </c>
      <c r="G275" s="48" t="s">
        <v>1143</v>
      </c>
      <c r="H275" s="48" t="s">
        <v>17</v>
      </c>
      <c r="I275" s="48" t="s">
        <v>10</v>
      </c>
      <c r="J275" s="87"/>
      <c r="K275" s="88">
        <v>18628</v>
      </c>
      <c r="L275" s="89">
        <f t="shared" si="22"/>
        <v>1950</v>
      </c>
      <c r="M275" s="89">
        <f t="shared" si="21"/>
        <v>69</v>
      </c>
      <c r="N275" s="48" t="s">
        <v>11</v>
      </c>
      <c r="O275" s="48"/>
      <c r="P275" s="87" t="s">
        <v>18</v>
      </c>
      <c r="Q275" s="48"/>
      <c r="R275" s="87" t="s">
        <v>124</v>
      </c>
    </row>
    <row r="276" spans="1:62">
      <c r="B276" s="130">
        <v>100</v>
      </c>
      <c r="C276" s="130"/>
      <c r="D276" s="48">
        <v>269</v>
      </c>
      <c r="E276" s="87" t="s">
        <v>1144</v>
      </c>
      <c r="F276" s="48" t="s">
        <v>14</v>
      </c>
      <c r="G276" s="48" t="s">
        <v>1145</v>
      </c>
      <c r="H276" s="48" t="s">
        <v>9</v>
      </c>
      <c r="I276" s="48" t="s">
        <v>10</v>
      </c>
      <c r="J276" s="87"/>
      <c r="K276" s="88">
        <v>27759</v>
      </c>
      <c r="L276" s="89">
        <f t="shared" si="22"/>
        <v>1975</v>
      </c>
      <c r="M276" s="89">
        <f t="shared" si="21"/>
        <v>44</v>
      </c>
      <c r="N276" s="48" t="s">
        <v>11</v>
      </c>
      <c r="O276" s="48"/>
      <c r="P276" s="87" t="s">
        <v>28</v>
      </c>
      <c r="Q276" s="48"/>
      <c r="R276" s="87" t="s">
        <v>49</v>
      </c>
    </row>
    <row r="277" spans="1:62">
      <c r="B277" s="130"/>
      <c r="C277" s="130"/>
      <c r="D277" s="48">
        <v>270</v>
      </c>
      <c r="E277" s="87" t="s">
        <v>1146</v>
      </c>
      <c r="F277" s="48" t="s">
        <v>20</v>
      </c>
      <c r="G277" s="48" t="s">
        <v>1147</v>
      </c>
      <c r="H277" s="48" t="s">
        <v>17</v>
      </c>
      <c r="I277" s="48" t="s">
        <v>10</v>
      </c>
      <c r="J277" s="87"/>
      <c r="K277" s="88">
        <v>29220</v>
      </c>
      <c r="L277" s="89">
        <f t="shared" si="22"/>
        <v>1979</v>
      </c>
      <c r="M277" s="89">
        <f t="shared" si="21"/>
        <v>40</v>
      </c>
      <c r="N277" s="48" t="s">
        <v>11</v>
      </c>
      <c r="O277" s="48"/>
      <c r="P277" s="87" t="s">
        <v>28</v>
      </c>
      <c r="Q277" s="48"/>
      <c r="R277" s="87" t="s">
        <v>58</v>
      </c>
    </row>
    <row r="278" spans="1:62" ht="25.5">
      <c r="B278" s="130"/>
      <c r="C278" s="130"/>
      <c r="D278" s="48">
        <v>271</v>
      </c>
      <c r="E278" s="87" t="s">
        <v>1148</v>
      </c>
      <c r="F278" s="48" t="s">
        <v>25</v>
      </c>
      <c r="G278" s="48" t="s">
        <v>1149</v>
      </c>
      <c r="H278" s="48" t="s">
        <v>9</v>
      </c>
      <c r="I278" s="48" t="s">
        <v>23</v>
      </c>
      <c r="J278" s="87"/>
      <c r="K278" s="88">
        <v>36392</v>
      </c>
      <c r="L278" s="89">
        <f t="shared" si="22"/>
        <v>1999</v>
      </c>
      <c r="M278" s="89">
        <f t="shared" si="21"/>
        <v>20</v>
      </c>
      <c r="N278" s="48" t="s">
        <v>11</v>
      </c>
      <c r="O278" s="48"/>
      <c r="P278" s="87" t="s">
        <v>33</v>
      </c>
      <c r="Q278" s="48"/>
      <c r="R278" s="87" t="s">
        <v>18</v>
      </c>
    </row>
    <row r="279" spans="1:62" ht="25.5">
      <c r="B279" s="130"/>
      <c r="C279" s="130"/>
      <c r="D279" s="48">
        <v>272</v>
      </c>
      <c r="E279" s="87" t="s">
        <v>1150</v>
      </c>
      <c r="F279" s="48" t="s">
        <v>25</v>
      </c>
      <c r="G279" s="48" t="s">
        <v>1151</v>
      </c>
      <c r="H279" s="48" t="s">
        <v>9</v>
      </c>
      <c r="I279" s="48" t="s">
        <v>23</v>
      </c>
      <c r="J279" s="87"/>
      <c r="K279" s="88">
        <v>39808</v>
      </c>
      <c r="L279" s="89">
        <v>2008</v>
      </c>
      <c r="M279" s="89">
        <f t="shared" si="21"/>
        <v>11</v>
      </c>
      <c r="N279" s="48" t="s">
        <v>11</v>
      </c>
      <c r="O279" s="48"/>
      <c r="P279" s="87" t="s">
        <v>18</v>
      </c>
      <c r="Q279" s="48"/>
      <c r="R279" s="87" t="s">
        <v>18</v>
      </c>
    </row>
    <row r="280" spans="1:62">
      <c r="B280" s="130">
        <v>101</v>
      </c>
      <c r="C280" s="130" t="s">
        <v>2061</v>
      </c>
      <c r="D280" s="48">
        <v>273</v>
      </c>
      <c r="E280" s="87" t="s">
        <v>1152</v>
      </c>
      <c r="F280" s="48" t="s">
        <v>14</v>
      </c>
      <c r="G280" s="48" t="s">
        <v>1153</v>
      </c>
      <c r="H280" s="48" t="s">
        <v>9</v>
      </c>
      <c r="I280" s="48" t="s">
        <v>10</v>
      </c>
      <c r="J280" s="87" t="s">
        <v>1368</v>
      </c>
      <c r="K280" s="88">
        <v>25203</v>
      </c>
      <c r="L280" s="89">
        <v>1968</v>
      </c>
      <c r="M280" s="89">
        <f t="shared" si="21"/>
        <v>51</v>
      </c>
      <c r="N280" s="48" t="s">
        <v>11</v>
      </c>
      <c r="O280" s="48" t="s">
        <v>1369</v>
      </c>
      <c r="P280" s="87" t="s">
        <v>1385</v>
      </c>
      <c r="Q280" s="48"/>
      <c r="R280" s="87" t="s">
        <v>49</v>
      </c>
    </row>
    <row r="281" spans="1:62" ht="25.5">
      <c r="B281" s="130"/>
      <c r="C281" s="130"/>
      <c r="D281" s="48">
        <v>274</v>
      </c>
      <c r="E281" s="87" t="s">
        <v>440</v>
      </c>
      <c r="F281" s="48" t="s">
        <v>20</v>
      </c>
      <c r="G281" s="48" t="s">
        <v>1154</v>
      </c>
      <c r="H281" s="48" t="s">
        <v>17</v>
      </c>
      <c r="I281" s="48" t="s">
        <v>10</v>
      </c>
      <c r="J281" s="87" t="s">
        <v>1368</v>
      </c>
      <c r="K281" s="88">
        <v>28403</v>
      </c>
      <c r="L281" s="89">
        <v>1977</v>
      </c>
      <c r="M281" s="89">
        <f t="shared" si="21"/>
        <v>42</v>
      </c>
      <c r="N281" s="48" t="s">
        <v>11</v>
      </c>
      <c r="O281" s="48" t="s">
        <v>1369</v>
      </c>
      <c r="P281" s="87" t="s">
        <v>28</v>
      </c>
      <c r="Q281" s="48"/>
      <c r="R281" s="87" t="s">
        <v>1373</v>
      </c>
    </row>
    <row r="282" spans="1:62" ht="25.5">
      <c r="B282" s="130"/>
      <c r="C282" s="130"/>
      <c r="D282" s="48">
        <v>275</v>
      </c>
      <c r="E282" s="87" t="s">
        <v>2125</v>
      </c>
      <c r="F282" s="48" t="s">
        <v>25</v>
      </c>
      <c r="G282" s="48" t="s">
        <v>1156</v>
      </c>
      <c r="H282" s="48" t="s">
        <v>17</v>
      </c>
      <c r="I282" s="48" t="s">
        <v>23</v>
      </c>
      <c r="J282" s="87" t="s">
        <v>1387</v>
      </c>
      <c r="K282" s="88">
        <v>38359</v>
      </c>
      <c r="L282" s="89">
        <v>2005</v>
      </c>
      <c r="M282" s="89">
        <f t="shared" si="21"/>
        <v>14</v>
      </c>
      <c r="N282" s="48" t="s">
        <v>11</v>
      </c>
      <c r="O282" s="48" t="s">
        <v>1369</v>
      </c>
      <c r="P282" s="87" t="s">
        <v>28</v>
      </c>
      <c r="Q282" s="48"/>
      <c r="R282" s="87" t="s">
        <v>1376</v>
      </c>
    </row>
    <row r="283" spans="1:62">
      <c r="B283" s="48">
        <v>102</v>
      </c>
      <c r="C283" s="48"/>
      <c r="D283" s="48">
        <v>276</v>
      </c>
      <c r="E283" s="87" t="s">
        <v>1157</v>
      </c>
      <c r="F283" s="48" t="s">
        <v>14</v>
      </c>
      <c r="G283" s="48">
        <v>0</v>
      </c>
      <c r="H283" s="48" t="s">
        <v>17</v>
      </c>
      <c r="I283" s="48" t="s">
        <v>67</v>
      </c>
      <c r="J283" s="87"/>
      <c r="K283" s="88">
        <v>18445</v>
      </c>
      <c r="L283" s="89">
        <f t="shared" ref="L283:L286" si="23">YEAR(K283)</f>
        <v>1950</v>
      </c>
      <c r="M283" s="89">
        <f t="shared" si="21"/>
        <v>69</v>
      </c>
      <c r="N283" s="48" t="s">
        <v>11</v>
      </c>
      <c r="O283" s="48"/>
      <c r="P283" s="87" t="s">
        <v>18</v>
      </c>
      <c r="Q283" s="48"/>
      <c r="R283" s="87" t="s">
        <v>124</v>
      </c>
    </row>
    <row r="284" spans="1:62">
      <c r="B284" s="130">
        <v>103</v>
      </c>
      <c r="C284" s="130"/>
      <c r="D284" s="48">
        <v>277</v>
      </c>
      <c r="E284" s="87" t="s">
        <v>1158</v>
      </c>
      <c r="F284" s="48" t="s">
        <v>14</v>
      </c>
      <c r="G284" s="48" t="s">
        <v>1159</v>
      </c>
      <c r="H284" s="48" t="s">
        <v>9</v>
      </c>
      <c r="I284" s="48" t="s">
        <v>10</v>
      </c>
      <c r="J284" s="87"/>
      <c r="K284" s="88">
        <v>29567</v>
      </c>
      <c r="L284" s="89">
        <f t="shared" si="23"/>
        <v>1980</v>
      </c>
      <c r="M284" s="89">
        <f t="shared" si="21"/>
        <v>39</v>
      </c>
      <c r="N284" s="48" t="s">
        <v>11</v>
      </c>
      <c r="O284" s="48"/>
      <c r="P284" s="87" t="s">
        <v>28</v>
      </c>
      <c r="Q284" s="48"/>
      <c r="R284" s="87" t="s">
        <v>24</v>
      </c>
    </row>
    <row r="285" spans="1:62">
      <c r="B285" s="130"/>
      <c r="C285" s="130"/>
      <c r="D285" s="48">
        <v>278</v>
      </c>
      <c r="E285" s="87" t="s">
        <v>893</v>
      </c>
      <c r="F285" s="48" t="s">
        <v>20</v>
      </c>
      <c r="G285" s="48" t="s">
        <v>1160</v>
      </c>
      <c r="H285" s="48" t="s">
        <v>17</v>
      </c>
      <c r="I285" s="48" t="s">
        <v>10</v>
      </c>
      <c r="J285" s="87"/>
      <c r="K285" s="88">
        <v>31899</v>
      </c>
      <c r="L285" s="89">
        <f t="shared" si="23"/>
        <v>1987</v>
      </c>
      <c r="M285" s="89">
        <f t="shared" si="21"/>
        <v>32</v>
      </c>
      <c r="N285" s="48" t="s">
        <v>11</v>
      </c>
      <c r="O285" s="48"/>
      <c r="P285" s="87" t="s">
        <v>36</v>
      </c>
      <c r="Q285" s="48"/>
      <c r="R285" s="87" t="s">
        <v>13</v>
      </c>
    </row>
    <row r="286" spans="1:62" ht="25.5">
      <c r="B286" s="130"/>
      <c r="C286" s="130"/>
      <c r="D286" s="48">
        <v>279</v>
      </c>
      <c r="E286" s="87" t="s">
        <v>1161</v>
      </c>
      <c r="F286" s="48" t="s">
        <v>25</v>
      </c>
      <c r="G286" s="48" t="s">
        <v>1162</v>
      </c>
      <c r="H286" s="48" t="s">
        <v>9</v>
      </c>
      <c r="I286" s="48" t="s">
        <v>23</v>
      </c>
      <c r="J286" s="87"/>
      <c r="K286" s="88">
        <v>40857</v>
      </c>
      <c r="L286" s="89">
        <f t="shared" si="23"/>
        <v>2011</v>
      </c>
      <c r="M286" s="89">
        <f t="shared" si="21"/>
        <v>8</v>
      </c>
      <c r="N286" s="48" t="s">
        <v>11</v>
      </c>
      <c r="O286" s="48"/>
      <c r="P286" s="87" t="s">
        <v>18</v>
      </c>
      <c r="Q286" s="48"/>
      <c r="R286" s="87" t="s">
        <v>18</v>
      </c>
    </row>
    <row r="287" spans="1:62" s="48" customFormat="1" ht="25.5">
      <c r="A287" s="51"/>
      <c r="B287" s="130">
        <v>104</v>
      </c>
      <c r="C287" s="130" t="s">
        <v>2048</v>
      </c>
      <c r="D287" s="48">
        <v>280</v>
      </c>
      <c r="E287" s="87" t="s">
        <v>2049</v>
      </c>
      <c r="F287" s="48" t="s">
        <v>14</v>
      </c>
      <c r="G287" s="48" t="s">
        <v>2051</v>
      </c>
      <c r="H287" s="48" t="s">
        <v>17</v>
      </c>
      <c r="I287" s="48" t="s">
        <v>1448</v>
      </c>
      <c r="J287" s="87" t="s">
        <v>1368</v>
      </c>
      <c r="K287" s="88">
        <v>12966</v>
      </c>
      <c r="L287" s="89">
        <v>1935</v>
      </c>
      <c r="M287" s="89">
        <f t="shared" ref="M287:M291" si="24">2019-L287</f>
        <v>84</v>
      </c>
      <c r="N287" s="48" t="s">
        <v>11</v>
      </c>
      <c r="O287" s="48" t="s">
        <v>1369</v>
      </c>
      <c r="P287" s="87" t="s">
        <v>1425</v>
      </c>
      <c r="R287" s="87" t="s">
        <v>1371</v>
      </c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5"/>
    </row>
    <row r="288" spans="1:62" s="48" customFormat="1" ht="25.5">
      <c r="A288" s="52"/>
      <c r="B288" s="130"/>
      <c r="C288" s="130"/>
      <c r="D288" s="48">
        <v>281</v>
      </c>
      <c r="E288" s="87" t="s">
        <v>2050</v>
      </c>
      <c r="F288" s="48" t="s">
        <v>25</v>
      </c>
      <c r="G288" s="48" t="s">
        <v>1005</v>
      </c>
      <c r="H288" s="48" t="s">
        <v>17</v>
      </c>
      <c r="I288" s="48" t="s">
        <v>1505</v>
      </c>
      <c r="J288" s="87" t="s">
        <v>1368</v>
      </c>
      <c r="K288" s="88">
        <v>21002</v>
      </c>
      <c r="L288" s="89">
        <v>1957</v>
      </c>
      <c r="M288" s="89">
        <f t="shared" si="24"/>
        <v>62</v>
      </c>
      <c r="N288" s="48" t="s">
        <v>11</v>
      </c>
      <c r="O288" s="48" t="s">
        <v>1369</v>
      </c>
      <c r="P288" s="87" t="s">
        <v>1425</v>
      </c>
      <c r="R288" s="87" t="s">
        <v>1371</v>
      </c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5"/>
    </row>
    <row r="289" spans="1:62" s="48" customFormat="1" ht="25.5">
      <c r="A289" s="51"/>
      <c r="B289" s="130">
        <v>105</v>
      </c>
      <c r="C289" s="130" t="s">
        <v>2054</v>
      </c>
      <c r="D289" s="48">
        <v>282</v>
      </c>
      <c r="E289" s="87" t="s">
        <v>2055</v>
      </c>
      <c r="F289" s="48" t="s">
        <v>14</v>
      </c>
      <c r="G289" s="48" t="s">
        <v>2058</v>
      </c>
      <c r="H289" s="48" t="s">
        <v>9</v>
      </c>
      <c r="I289" s="48" t="s">
        <v>10</v>
      </c>
      <c r="J289" s="87" t="s">
        <v>1387</v>
      </c>
      <c r="K289" s="88">
        <v>32873</v>
      </c>
      <c r="L289" s="89">
        <v>1989</v>
      </c>
      <c r="M289" s="89">
        <f t="shared" si="24"/>
        <v>30</v>
      </c>
      <c r="N289" s="48" t="s">
        <v>11</v>
      </c>
      <c r="O289" s="48" t="s">
        <v>1369</v>
      </c>
      <c r="P289" s="87" t="s">
        <v>1388</v>
      </c>
      <c r="R289" s="87" t="s">
        <v>1371</v>
      </c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5"/>
    </row>
    <row r="290" spans="1:62" s="48" customFormat="1" ht="25.5">
      <c r="A290" s="53"/>
      <c r="B290" s="130"/>
      <c r="C290" s="130"/>
      <c r="D290" s="48">
        <v>283</v>
      </c>
      <c r="E290" s="87" t="s">
        <v>2056</v>
      </c>
      <c r="F290" s="48" t="s">
        <v>20</v>
      </c>
      <c r="G290" s="48" t="s">
        <v>2059</v>
      </c>
      <c r="H290" s="48" t="s">
        <v>17</v>
      </c>
      <c r="I290" s="48" t="s">
        <v>10</v>
      </c>
      <c r="J290" s="87" t="s">
        <v>1387</v>
      </c>
      <c r="K290" s="88">
        <v>34075</v>
      </c>
      <c r="L290" s="89">
        <v>1993</v>
      </c>
      <c r="M290" s="89">
        <f t="shared" si="24"/>
        <v>26</v>
      </c>
      <c r="N290" s="48" t="s">
        <v>11</v>
      </c>
      <c r="O290" s="48" t="s">
        <v>1369</v>
      </c>
      <c r="P290" s="87" t="s">
        <v>1388</v>
      </c>
      <c r="R290" s="87" t="s">
        <v>1373</v>
      </c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5"/>
    </row>
    <row r="291" spans="1:62" s="48" customFormat="1" ht="25.5">
      <c r="A291" s="52"/>
      <c r="B291" s="130"/>
      <c r="C291" s="130"/>
      <c r="D291" s="48">
        <v>284</v>
      </c>
      <c r="E291" s="87" t="s">
        <v>2057</v>
      </c>
      <c r="F291" s="48" t="s">
        <v>25</v>
      </c>
      <c r="G291" s="48" t="s">
        <v>2060</v>
      </c>
      <c r="H291" s="48" t="s">
        <v>17</v>
      </c>
      <c r="I291" s="48" t="s">
        <v>23</v>
      </c>
      <c r="J291" s="87" t="s">
        <v>1489</v>
      </c>
      <c r="K291" s="88">
        <v>42932</v>
      </c>
      <c r="L291" s="89">
        <v>2017</v>
      </c>
      <c r="M291" s="89">
        <f t="shared" si="24"/>
        <v>2</v>
      </c>
      <c r="N291" s="48" t="s">
        <v>11</v>
      </c>
      <c r="O291" s="48" t="s">
        <v>1369</v>
      </c>
      <c r="P291" s="87" t="s">
        <v>1425</v>
      </c>
      <c r="R291" s="87" t="s">
        <v>1486</v>
      </c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5"/>
    </row>
    <row r="292" spans="1:62" s="57" customFormat="1" ht="15">
      <c r="D292" s="137" t="s">
        <v>2200</v>
      </c>
      <c r="E292" s="137"/>
      <c r="F292" s="137"/>
      <c r="L292" s="86"/>
      <c r="P292" s="84"/>
      <c r="R292" s="84"/>
    </row>
    <row r="293" spans="1:62" s="57" customFormat="1" ht="15">
      <c r="D293" s="137" t="s">
        <v>2201</v>
      </c>
      <c r="E293" s="137"/>
      <c r="F293" s="137"/>
      <c r="L293" s="86"/>
      <c r="P293" s="129" t="s">
        <v>2202</v>
      </c>
      <c r="Q293" s="129"/>
      <c r="R293" s="84"/>
    </row>
    <row r="294" spans="1:62" s="57" customFormat="1" ht="15">
      <c r="D294" s="108"/>
      <c r="E294" s="109"/>
      <c r="F294" s="108"/>
      <c r="L294" s="86"/>
      <c r="P294" s="1"/>
      <c r="Q294" s="65"/>
      <c r="R294" s="84"/>
    </row>
    <row r="295" spans="1:62" s="57" customFormat="1" ht="15">
      <c r="D295" s="108"/>
      <c r="E295" s="109"/>
      <c r="F295" s="108"/>
      <c r="L295" s="86"/>
      <c r="P295" s="1"/>
      <c r="Q295" s="65"/>
      <c r="R295" s="84"/>
    </row>
    <row r="296" spans="1:62" s="57" customFormat="1" ht="14.25">
      <c r="D296" s="138" t="s">
        <v>2203</v>
      </c>
      <c r="E296" s="138"/>
      <c r="F296" s="138"/>
      <c r="L296" s="86"/>
      <c r="P296" s="127" t="s">
        <v>1058</v>
      </c>
      <c r="Q296" s="127"/>
      <c r="R296" s="84"/>
    </row>
    <row r="297" spans="1:62" s="57" customFormat="1" ht="14.25">
      <c r="D297" s="138" t="s">
        <v>2204</v>
      </c>
      <c r="E297" s="138"/>
      <c r="F297" s="138"/>
      <c r="L297" s="86"/>
      <c r="P297" s="84"/>
      <c r="R297" s="84"/>
    </row>
  </sheetData>
  <autoFilter ref="B7:R293"/>
  <mergeCells count="199">
    <mergeCell ref="D292:F292"/>
    <mergeCell ref="D293:F293"/>
    <mergeCell ref="P293:Q293"/>
    <mergeCell ref="D296:F296"/>
    <mergeCell ref="P296:Q296"/>
    <mergeCell ref="D297:F297"/>
    <mergeCell ref="C276:C279"/>
    <mergeCell ref="C284:C286"/>
    <mergeCell ref="C136:C140"/>
    <mergeCell ref="C141:C144"/>
    <mergeCell ref="C145:C146"/>
    <mergeCell ref="C147:C149"/>
    <mergeCell ref="C150:C152"/>
    <mergeCell ref="C154:C155"/>
    <mergeCell ref="C156:C158"/>
    <mergeCell ref="C159:C160"/>
    <mergeCell ref="C161:C162"/>
    <mergeCell ref="C280:C282"/>
    <mergeCell ref="C214:C215"/>
    <mergeCell ref="C216:C217"/>
    <mergeCell ref="C218:C220"/>
    <mergeCell ref="C221:C222"/>
    <mergeCell ref="C171:C172"/>
    <mergeCell ref="C232:C234"/>
    <mergeCell ref="B1:R1"/>
    <mergeCell ref="B2:R2"/>
    <mergeCell ref="C9:C11"/>
    <mergeCell ref="C14:C17"/>
    <mergeCell ref="C21:C23"/>
    <mergeCell ref="C24:C25"/>
    <mergeCell ref="C26:C28"/>
    <mergeCell ref="C30:C32"/>
    <mergeCell ref="C33:C36"/>
    <mergeCell ref="F5:F6"/>
    <mergeCell ref="G5:G6"/>
    <mergeCell ref="B5:B6"/>
    <mergeCell ref="E5:E6"/>
    <mergeCell ref="H5:H6"/>
    <mergeCell ref="I5:I6"/>
    <mergeCell ref="N5:N6"/>
    <mergeCell ref="B33:B36"/>
    <mergeCell ref="B18:B20"/>
    <mergeCell ref="B9:B11"/>
    <mergeCell ref="C5:C6"/>
    <mergeCell ref="D5:D6"/>
    <mergeCell ref="J5:L5"/>
    <mergeCell ref="P5:P6"/>
    <mergeCell ref="C287:C288"/>
    <mergeCell ref="C289:C291"/>
    <mergeCell ref="C183:C186"/>
    <mergeCell ref="C187:C188"/>
    <mergeCell ref="C223:C225"/>
    <mergeCell ref="C226:C228"/>
    <mergeCell ref="C229:C231"/>
    <mergeCell ref="C235:C236"/>
    <mergeCell ref="C241:C243"/>
    <mergeCell ref="C248:C249"/>
    <mergeCell ref="C196:C199"/>
    <mergeCell ref="C262:C263"/>
    <mergeCell ref="C268:C269"/>
    <mergeCell ref="C270:C273"/>
    <mergeCell ref="C193:C195"/>
    <mergeCell ref="C200:C203"/>
    <mergeCell ref="C204:C207"/>
    <mergeCell ref="C208:C209"/>
    <mergeCell ref="C237:C238"/>
    <mergeCell ref="C264:C266"/>
    <mergeCell ref="C274:C275"/>
    <mergeCell ref="B268:B269"/>
    <mergeCell ref="B241:B243"/>
    <mergeCell ref="B244:B247"/>
    <mergeCell ref="B248:B249"/>
    <mergeCell ref="B250:B251"/>
    <mergeCell ref="B274:B275"/>
    <mergeCell ref="B270:B273"/>
    <mergeCell ref="C244:C247"/>
    <mergeCell ref="C252:C254"/>
    <mergeCell ref="B147:B149"/>
    <mergeCell ref="B255:B257"/>
    <mergeCell ref="B171:B172"/>
    <mergeCell ref="B183:B186"/>
    <mergeCell ref="B187:B188"/>
    <mergeCell ref="C211:C213"/>
    <mergeCell ref="C250:C251"/>
    <mergeCell ref="C258:C259"/>
    <mergeCell ref="C260:C261"/>
    <mergeCell ref="C239:C240"/>
    <mergeCell ref="C167:C169"/>
    <mergeCell ref="C173:C177"/>
    <mergeCell ref="B14:B17"/>
    <mergeCell ref="C47:C50"/>
    <mergeCell ref="C51:C53"/>
    <mergeCell ref="C54:C57"/>
    <mergeCell ref="C58:C62"/>
    <mergeCell ref="C75:C76"/>
    <mergeCell ref="B66:B68"/>
    <mergeCell ref="C18:C20"/>
    <mergeCell ref="B47:B50"/>
    <mergeCell ref="B51:B53"/>
    <mergeCell ref="B69:B71"/>
    <mergeCell ref="B72:B73"/>
    <mergeCell ref="B39:B40"/>
    <mergeCell ref="B41:B43"/>
    <mergeCell ref="B44:B46"/>
    <mergeCell ref="B54:B57"/>
    <mergeCell ref="B58:B62"/>
    <mergeCell ref="B63:B65"/>
    <mergeCell ref="B24:B25"/>
    <mergeCell ref="B26:B28"/>
    <mergeCell ref="B30:B32"/>
    <mergeCell ref="B21:B23"/>
    <mergeCell ref="R5:R6"/>
    <mergeCell ref="C110:C111"/>
    <mergeCell ref="C112:C115"/>
    <mergeCell ref="C116:C119"/>
    <mergeCell ref="C120:C121"/>
    <mergeCell ref="C122:C124"/>
    <mergeCell ref="C66:C68"/>
    <mergeCell ref="M5:M6"/>
    <mergeCell ref="Q5:Q6"/>
    <mergeCell ref="O5:O6"/>
    <mergeCell ref="C41:C43"/>
    <mergeCell ref="C44:C46"/>
    <mergeCell ref="C89:C93"/>
    <mergeCell ref="C102:C104"/>
    <mergeCell ref="C63:C65"/>
    <mergeCell ref="C39:C40"/>
    <mergeCell ref="C97:C101"/>
    <mergeCell ref="B289:B291"/>
    <mergeCell ref="B287:B288"/>
    <mergeCell ref="B284:B286"/>
    <mergeCell ref="B164:B166"/>
    <mergeCell ref="B150:B152"/>
    <mergeCell ref="B154:B155"/>
    <mergeCell ref="B156:B158"/>
    <mergeCell ref="B161:B162"/>
    <mergeCell ref="B125:B127"/>
    <mergeCell ref="B128:B131"/>
    <mergeCell ref="B276:B279"/>
    <mergeCell ref="B280:B282"/>
    <mergeCell ref="B229:B231"/>
    <mergeCell ref="B232:B234"/>
    <mergeCell ref="B235:B236"/>
    <mergeCell ref="B237:B238"/>
    <mergeCell ref="B239:B240"/>
    <mergeCell ref="B214:B215"/>
    <mergeCell ref="B216:B217"/>
    <mergeCell ref="B218:B220"/>
    <mergeCell ref="B221:B222"/>
    <mergeCell ref="B223:B225"/>
    <mergeCell ref="B226:B228"/>
    <mergeCell ref="B258:B259"/>
    <mergeCell ref="B189:B192"/>
    <mergeCell ref="B178:B181"/>
    <mergeCell ref="B167:B169"/>
    <mergeCell ref="B173:B177"/>
    <mergeCell ref="B260:B261"/>
    <mergeCell ref="B262:B263"/>
    <mergeCell ref="B264:B266"/>
    <mergeCell ref="C132:C134"/>
    <mergeCell ref="C164:C166"/>
    <mergeCell ref="B159:B160"/>
    <mergeCell ref="B193:B195"/>
    <mergeCell ref="B196:B199"/>
    <mergeCell ref="B200:B203"/>
    <mergeCell ref="B204:B207"/>
    <mergeCell ref="C255:C257"/>
    <mergeCell ref="C189:C192"/>
    <mergeCell ref="C178:C181"/>
    <mergeCell ref="B252:B254"/>
    <mergeCell ref="B208:B209"/>
    <mergeCell ref="B211:B213"/>
    <mergeCell ref="B132:B134"/>
    <mergeCell ref="B136:B140"/>
    <mergeCell ref="B141:B144"/>
    <mergeCell ref="B145:B146"/>
    <mergeCell ref="B110:B111"/>
    <mergeCell ref="B95:B96"/>
    <mergeCell ref="C128:C131"/>
    <mergeCell ref="B75:B76"/>
    <mergeCell ref="C69:C71"/>
    <mergeCell ref="C72:C73"/>
    <mergeCell ref="C85:C88"/>
    <mergeCell ref="C95:C96"/>
    <mergeCell ref="C80:C84"/>
    <mergeCell ref="C77:C79"/>
    <mergeCell ref="B77:B79"/>
    <mergeCell ref="B80:B84"/>
    <mergeCell ref="B85:B88"/>
    <mergeCell ref="B89:B93"/>
    <mergeCell ref="C125:C127"/>
    <mergeCell ref="C105:C108"/>
    <mergeCell ref="B102:B104"/>
    <mergeCell ref="B105:B108"/>
    <mergeCell ref="B112:B115"/>
    <mergeCell ref="B116:B119"/>
    <mergeCell ref="B120:B121"/>
    <mergeCell ref="B97:B101"/>
    <mergeCell ref="B122:B124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K173"/>
  <sheetViews>
    <sheetView tabSelected="1" workbookViewId="0">
      <pane ySplit="6" topLeftCell="A23" activePane="bottomLeft" state="frozen"/>
      <selection pane="bottomLeft" activeCell="E31" sqref="E31"/>
    </sheetView>
  </sheetViews>
  <sheetFormatPr defaultRowHeight="12.75"/>
  <cols>
    <col min="1" max="1" width="9.140625" style="49"/>
    <col min="2" max="2" width="3.5703125" style="49" bestFit="1" customWidth="1"/>
    <col min="3" max="3" width="15.7109375" style="49" customWidth="1"/>
    <col min="4" max="4" width="6.7109375" style="49" customWidth="1"/>
    <col min="5" max="5" width="12.7109375" style="90" customWidth="1"/>
    <col min="6" max="6" width="9.7109375" style="49" customWidth="1"/>
    <col min="7" max="7" width="15.7109375" style="49" customWidth="1"/>
    <col min="8" max="8" width="7.7109375" style="49" customWidth="1"/>
    <col min="9" max="9" width="10.7109375" style="49" customWidth="1"/>
    <col min="10" max="10" width="13.7109375" style="90" customWidth="1"/>
    <col min="11" max="11" width="16.140625" style="91" bestFit="1" customWidth="1"/>
    <col min="12" max="12" width="6.28515625" style="92" bestFit="1" customWidth="1"/>
    <col min="13" max="13" width="5" style="92" bestFit="1" customWidth="1"/>
    <col min="14" max="14" width="6.42578125" style="49" bestFit="1" customWidth="1"/>
    <col min="15" max="15" width="5.42578125" style="49" bestFit="1" customWidth="1"/>
    <col min="16" max="16" width="16.7109375" style="90" customWidth="1"/>
    <col min="17" max="17" width="7.5703125" style="49" bestFit="1" customWidth="1"/>
    <col min="18" max="18" width="15.7109375" style="90" customWidth="1"/>
    <col min="19" max="62" width="9.140625" style="57"/>
    <col min="63" max="16384" width="9.140625" style="49"/>
  </cols>
  <sheetData>
    <row r="1" spans="2:18" s="64" customFormat="1" ht="15.75">
      <c r="B1" s="139" t="s">
        <v>517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spans="2:18" s="64" customFormat="1" ht="15.75">
      <c r="B2" s="139" t="s">
        <v>2193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</row>
    <row r="3" spans="2:18" s="64" customFormat="1" ht="15.75">
      <c r="B3" s="106" t="s">
        <v>2194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2:18" ht="15.75">
      <c r="B4" s="106" t="s">
        <v>2196</v>
      </c>
    </row>
    <row r="5" spans="2:18" ht="20.100000000000001" customHeight="1">
      <c r="B5" s="134" t="s">
        <v>0</v>
      </c>
      <c r="C5" s="134" t="s">
        <v>1350</v>
      </c>
      <c r="D5" s="135" t="s">
        <v>1351</v>
      </c>
      <c r="E5" s="135" t="s">
        <v>2195</v>
      </c>
      <c r="F5" s="135" t="s">
        <v>6</v>
      </c>
      <c r="G5" s="145" t="s">
        <v>7</v>
      </c>
      <c r="H5" s="135" t="s">
        <v>1</v>
      </c>
      <c r="I5" s="135" t="s">
        <v>2</v>
      </c>
      <c r="J5" s="134" t="s">
        <v>1353</v>
      </c>
      <c r="K5" s="134"/>
      <c r="L5" s="134"/>
      <c r="M5" s="136" t="s">
        <v>1357</v>
      </c>
      <c r="N5" s="134" t="s">
        <v>3</v>
      </c>
      <c r="O5" s="134" t="s">
        <v>1358</v>
      </c>
      <c r="P5" s="135" t="s">
        <v>4</v>
      </c>
      <c r="Q5" s="134" t="s">
        <v>1359</v>
      </c>
      <c r="R5" s="135" t="s">
        <v>5</v>
      </c>
    </row>
    <row r="6" spans="2:18" ht="20.100000000000001" customHeight="1">
      <c r="B6" s="134"/>
      <c r="C6" s="134"/>
      <c r="D6" s="135"/>
      <c r="E6" s="135"/>
      <c r="F6" s="135"/>
      <c r="G6" s="145"/>
      <c r="H6" s="135"/>
      <c r="I6" s="135"/>
      <c r="J6" s="93" t="s">
        <v>1354</v>
      </c>
      <c r="K6" s="94" t="s">
        <v>1355</v>
      </c>
      <c r="L6" s="95" t="s">
        <v>1356</v>
      </c>
      <c r="M6" s="136"/>
      <c r="N6" s="134"/>
      <c r="O6" s="134"/>
      <c r="P6" s="135"/>
      <c r="Q6" s="134"/>
      <c r="R6" s="135"/>
    </row>
    <row r="7" spans="2:18">
      <c r="B7" s="105"/>
      <c r="C7" s="105"/>
      <c r="D7" s="105"/>
      <c r="E7" s="93"/>
      <c r="F7" s="105"/>
      <c r="G7" s="104"/>
      <c r="H7" s="105"/>
      <c r="I7" s="105"/>
      <c r="J7" s="93"/>
      <c r="K7" s="94"/>
      <c r="L7" s="95"/>
      <c r="M7" s="95"/>
      <c r="N7" s="105"/>
      <c r="O7" s="105"/>
      <c r="P7" s="93"/>
      <c r="Q7" s="105"/>
      <c r="R7" s="93"/>
    </row>
    <row r="8" spans="2:18" ht="25.5">
      <c r="B8" s="130">
        <v>1</v>
      </c>
      <c r="C8" s="130" t="s">
        <v>1982</v>
      </c>
      <c r="D8" s="48">
        <v>1</v>
      </c>
      <c r="E8" s="87" t="s">
        <v>1163</v>
      </c>
      <c r="F8" s="48" t="s">
        <v>14</v>
      </c>
      <c r="G8" s="48" t="s">
        <v>1164</v>
      </c>
      <c r="H8" s="48" t="s">
        <v>17</v>
      </c>
      <c r="I8" s="48" t="s">
        <v>1448</v>
      </c>
      <c r="J8" s="87" t="s">
        <v>1368</v>
      </c>
      <c r="K8" s="88">
        <v>14062</v>
      </c>
      <c r="L8" s="89">
        <v>1938</v>
      </c>
      <c r="M8" s="89">
        <f>2019-L8</f>
        <v>81</v>
      </c>
      <c r="N8" s="48" t="s">
        <v>11</v>
      </c>
      <c r="O8" s="48" t="s">
        <v>1369</v>
      </c>
      <c r="P8" s="87" t="s">
        <v>28</v>
      </c>
      <c r="Q8" s="48"/>
      <c r="R8" s="87" t="s">
        <v>1371</v>
      </c>
    </row>
    <row r="9" spans="2:18" ht="25.5">
      <c r="B9" s="130"/>
      <c r="C9" s="130"/>
      <c r="D9" s="48">
        <v>2</v>
      </c>
      <c r="E9" s="87" t="s">
        <v>645</v>
      </c>
      <c r="F9" s="48" t="s">
        <v>25</v>
      </c>
      <c r="G9" s="48" t="s">
        <v>1983</v>
      </c>
      <c r="H9" s="48" t="s">
        <v>17</v>
      </c>
      <c r="I9" s="48" t="s">
        <v>1505</v>
      </c>
      <c r="J9" s="87" t="s">
        <v>1368</v>
      </c>
      <c r="K9" s="88">
        <v>24654</v>
      </c>
      <c r="L9" s="89">
        <v>1967</v>
      </c>
      <c r="M9" s="89">
        <f t="shared" ref="M9:M72" si="0">2019-L9</f>
        <v>52</v>
      </c>
      <c r="N9" s="48" t="s">
        <v>11</v>
      </c>
      <c r="O9" s="48" t="s">
        <v>1369</v>
      </c>
      <c r="P9" s="87" t="s">
        <v>1970</v>
      </c>
      <c r="Q9" s="48"/>
      <c r="R9" s="87" t="s">
        <v>1371</v>
      </c>
    </row>
    <row r="10" spans="2:18">
      <c r="B10" s="130"/>
      <c r="C10" s="130"/>
      <c r="D10" s="48">
        <v>3</v>
      </c>
      <c r="E10" s="87" t="s">
        <v>1165</v>
      </c>
      <c r="F10" s="48" t="s">
        <v>1984</v>
      </c>
      <c r="G10" s="48" t="s">
        <v>1166</v>
      </c>
      <c r="H10" s="48" t="s">
        <v>9</v>
      </c>
      <c r="I10" s="48" t="s">
        <v>23</v>
      </c>
      <c r="J10" s="87" t="s">
        <v>1368</v>
      </c>
      <c r="K10" s="88">
        <v>35532</v>
      </c>
      <c r="L10" s="89">
        <v>1997</v>
      </c>
      <c r="M10" s="89">
        <f t="shared" si="0"/>
        <v>22</v>
      </c>
      <c r="N10" s="48" t="s">
        <v>11</v>
      </c>
      <c r="O10" s="48" t="s">
        <v>1369</v>
      </c>
      <c r="P10" s="87" t="s">
        <v>28</v>
      </c>
      <c r="Q10" s="48"/>
      <c r="R10" s="87" t="s">
        <v>1572</v>
      </c>
    </row>
    <row r="11" spans="2:18">
      <c r="B11" s="130"/>
      <c r="C11" s="130"/>
      <c r="D11" s="48">
        <v>4</v>
      </c>
      <c r="E11" s="87" t="s">
        <v>1167</v>
      </c>
      <c r="F11" s="48" t="s">
        <v>408</v>
      </c>
      <c r="G11" s="48">
        <v>0</v>
      </c>
      <c r="H11" s="48" t="s">
        <v>9</v>
      </c>
      <c r="I11" s="48" t="s">
        <v>23</v>
      </c>
      <c r="J11" s="87" t="s">
        <v>1368</v>
      </c>
      <c r="K11" s="88">
        <v>37803</v>
      </c>
      <c r="L11" s="89">
        <v>2003</v>
      </c>
      <c r="M11" s="89">
        <f t="shared" si="0"/>
        <v>16</v>
      </c>
      <c r="N11" s="48" t="s">
        <v>11</v>
      </c>
      <c r="O11" s="48" t="s">
        <v>1369</v>
      </c>
      <c r="P11" s="87" t="s">
        <v>18</v>
      </c>
      <c r="Q11" s="48"/>
      <c r="R11" s="87" t="s">
        <v>18</v>
      </c>
    </row>
    <row r="12" spans="2:18" ht="25.5">
      <c r="B12" s="130">
        <v>2</v>
      </c>
      <c r="C12" s="130" t="s">
        <v>1988</v>
      </c>
      <c r="D12" s="48">
        <v>5</v>
      </c>
      <c r="E12" s="87" t="s">
        <v>987</v>
      </c>
      <c r="F12" s="48" t="s">
        <v>14</v>
      </c>
      <c r="G12" s="48" t="s">
        <v>1168</v>
      </c>
      <c r="H12" s="48" t="s">
        <v>9</v>
      </c>
      <c r="I12" s="48" t="s">
        <v>10</v>
      </c>
      <c r="J12" s="87" t="s">
        <v>1387</v>
      </c>
      <c r="K12" s="88">
        <v>28226</v>
      </c>
      <c r="L12" s="89">
        <v>1977</v>
      </c>
      <c r="M12" s="89">
        <f t="shared" si="0"/>
        <v>42</v>
      </c>
      <c r="N12" s="48" t="s">
        <v>11</v>
      </c>
      <c r="O12" s="48" t="s">
        <v>1369</v>
      </c>
      <c r="P12" s="87" t="s">
        <v>28</v>
      </c>
      <c r="Q12" s="48"/>
      <c r="R12" s="87" t="s">
        <v>1371</v>
      </c>
    </row>
    <row r="13" spans="2:18" ht="25.5">
      <c r="B13" s="130"/>
      <c r="C13" s="130"/>
      <c r="D13" s="48">
        <v>6</v>
      </c>
      <c r="E13" s="87" t="s">
        <v>1989</v>
      </c>
      <c r="F13" s="48" t="s">
        <v>20</v>
      </c>
      <c r="G13" s="48" t="s">
        <v>1169</v>
      </c>
      <c r="H13" s="48" t="s">
        <v>17</v>
      </c>
      <c r="I13" s="48" t="s">
        <v>10</v>
      </c>
      <c r="J13" s="87" t="s">
        <v>1387</v>
      </c>
      <c r="K13" s="88">
        <v>31887</v>
      </c>
      <c r="L13" s="89">
        <v>1987</v>
      </c>
      <c r="M13" s="89">
        <f t="shared" si="0"/>
        <v>32</v>
      </c>
      <c r="N13" s="48" t="s">
        <v>11</v>
      </c>
      <c r="O13" s="48" t="s">
        <v>1369</v>
      </c>
      <c r="P13" s="87" t="s">
        <v>1970</v>
      </c>
      <c r="Q13" s="48"/>
      <c r="R13" s="87" t="s">
        <v>1371</v>
      </c>
    </row>
    <row r="14" spans="2:18" ht="25.5">
      <c r="B14" s="130"/>
      <c r="C14" s="130"/>
      <c r="D14" s="48">
        <v>7</v>
      </c>
      <c r="E14" s="87" t="s">
        <v>1990</v>
      </c>
      <c r="F14" s="48" t="s">
        <v>25</v>
      </c>
      <c r="G14" s="48" t="s">
        <v>1170</v>
      </c>
      <c r="H14" s="48" t="s">
        <v>9</v>
      </c>
      <c r="I14" s="48" t="s">
        <v>23</v>
      </c>
      <c r="J14" s="87" t="s">
        <v>1387</v>
      </c>
      <c r="K14" s="88">
        <v>40240</v>
      </c>
      <c r="L14" s="89">
        <v>2010</v>
      </c>
      <c r="M14" s="89">
        <f t="shared" si="0"/>
        <v>9</v>
      </c>
      <c r="N14" s="48" t="s">
        <v>11</v>
      </c>
      <c r="O14" s="48" t="s">
        <v>1369</v>
      </c>
      <c r="P14" s="87" t="s">
        <v>1970</v>
      </c>
      <c r="Q14" s="48"/>
      <c r="R14" s="87" t="s">
        <v>1555</v>
      </c>
    </row>
    <row r="15" spans="2:18" ht="25.5">
      <c r="B15" s="130"/>
      <c r="C15" s="130"/>
      <c r="D15" s="48">
        <v>8</v>
      </c>
      <c r="E15" s="87" t="s">
        <v>1991</v>
      </c>
      <c r="F15" s="48" t="s">
        <v>25</v>
      </c>
      <c r="G15" s="48" t="s">
        <v>1172</v>
      </c>
      <c r="H15" s="48" t="s">
        <v>9</v>
      </c>
      <c r="I15" s="48" t="s">
        <v>23</v>
      </c>
      <c r="J15" s="87" t="s">
        <v>1387</v>
      </c>
      <c r="K15" s="88">
        <v>40671</v>
      </c>
      <c r="L15" s="89">
        <v>2011</v>
      </c>
      <c r="M15" s="89">
        <f t="shared" si="0"/>
        <v>8</v>
      </c>
      <c r="N15" s="48" t="s">
        <v>11</v>
      </c>
      <c r="O15" s="48" t="s">
        <v>1369</v>
      </c>
      <c r="P15" s="87" t="s">
        <v>1970</v>
      </c>
      <c r="Q15" s="48"/>
      <c r="R15" s="87" t="s">
        <v>1555</v>
      </c>
    </row>
    <row r="16" spans="2:18">
      <c r="B16" s="130">
        <v>3</v>
      </c>
      <c r="C16" s="130" t="s">
        <v>1967</v>
      </c>
      <c r="D16" s="48">
        <v>9</v>
      </c>
      <c r="E16" s="87" t="s">
        <v>758</v>
      </c>
      <c r="F16" s="48" t="s">
        <v>14</v>
      </c>
      <c r="G16" s="48" t="s">
        <v>905</v>
      </c>
      <c r="H16" s="48" t="s">
        <v>9</v>
      </c>
      <c r="I16" s="48" t="s">
        <v>10</v>
      </c>
      <c r="J16" s="87" t="s">
        <v>1368</v>
      </c>
      <c r="K16" s="88">
        <v>27394</v>
      </c>
      <c r="L16" s="89">
        <v>1974</v>
      </c>
      <c r="M16" s="89">
        <f t="shared" si="0"/>
        <v>45</v>
      </c>
      <c r="N16" s="48" t="s">
        <v>11</v>
      </c>
      <c r="O16" s="48" t="s">
        <v>1369</v>
      </c>
      <c r="P16" s="87" t="s">
        <v>28</v>
      </c>
      <c r="Q16" s="48"/>
      <c r="R16" s="87" t="s">
        <v>1460</v>
      </c>
    </row>
    <row r="17" spans="2:18" ht="25.5">
      <c r="B17" s="130"/>
      <c r="C17" s="130"/>
      <c r="D17" s="48">
        <v>10</v>
      </c>
      <c r="E17" s="87" t="s">
        <v>1969</v>
      </c>
      <c r="F17" s="148" t="s">
        <v>20</v>
      </c>
      <c r="G17" s="48" t="s">
        <v>1173</v>
      </c>
      <c r="H17" s="48" t="s">
        <v>17</v>
      </c>
      <c r="I17" s="48" t="s">
        <v>10</v>
      </c>
      <c r="J17" s="87" t="s">
        <v>1387</v>
      </c>
      <c r="K17" s="88">
        <v>28589</v>
      </c>
      <c r="L17" s="89">
        <v>1978</v>
      </c>
      <c r="M17" s="89">
        <f t="shared" si="0"/>
        <v>41</v>
      </c>
      <c r="N17" s="48" t="s">
        <v>11</v>
      </c>
      <c r="O17" s="48" t="s">
        <v>1369</v>
      </c>
      <c r="P17" s="87" t="s">
        <v>28</v>
      </c>
      <c r="Q17" s="48"/>
      <c r="R17" s="87" t="s">
        <v>1373</v>
      </c>
    </row>
    <row r="18" spans="2:18" ht="25.5">
      <c r="B18" s="130"/>
      <c r="C18" s="130"/>
      <c r="D18" s="48">
        <v>11</v>
      </c>
      <c r="E18" s="87" t="s">
        <v>854</v>
      </c>
      <c r="F18" s="48" t="s">
        <v>25</v>
      </c>
      <c r="G18" s="48" t="s">
        <v>1174</v>
      </c>
      <c r="H18" s="48" t="s">
        <v>9</v>
      </c>
      <c r="I18" s="48" t="s">
        <v>23</v>
      </c>
      <c r="J18" s="87" t="s">
        <v>1387</v>
      </c>
      <c r="K18" s="88">
        <v>34010</v>
      </c>
      <c r="L18" s="89">
        <v>1993</v>
      </c>
      <c r="M18" s="89">
        <f t="shared" si="0"/>
        <v>26</v>
      </c>
      <c r="N18" s="48" t="s">
        <v>11</v>
      </c>
      <c r="O18" s="48" t="s">
        <v>1369</v>
      </c>
      <c r="P18" s="87" t="s">
        <v>28</v>
      </c>
      <c r="Q18" s="48"/>
      <c r="R18" s="87" t="s">
        <v>1371</v>
      </c>
    </row>
    <row r="19" spans="2:18" ht="25.5">
      <c r="B19" s="130"/>
      <c r="C19" s="130"/>
      <c r="D19" s="48">
        <v>12</v>
      </c>
      <c r="E19" s="87" t="s">
        <v>1968</v>
      </c>
      <c r="F19" s="48" t="s">
        <v>25</v>
      </c>
      <c r="G19" s="48" t="s">
        <v>1175</v>
      </c>
      <c r="H19" s="48" t="s">
        <v>9</v>
      </c>
      <c r="I19" s="48" t="s">
        <v>23</v>
      </c>
      <c r="J19" s="87" t="s">
        <v>1387</v>
      </c>
      <c r="K19" s="88">
        <v>39448</v>
      </c>
      <c r="L19" s="89">
        <v>2008</v>
      </c>
      <c r="M19" s="89">
        <f t="shared" si="0"/>
        <v>11</v>
      </c>
      <c r="N19" s="48" t="s">
        <v>11</v>
      </c>
      <c r="O19" s="48" t="s">
        <v>1369</v>
      </c>
      <c r="P19" s="87" t="s">
        <v>1375</v>
      </c>
      <c r="Q19" s="48"/>
      <c r="R19" s="87" t="s">
        <v>1572</v>
      </c>
    </row>
    <row r="20" spans="2:18" ht="25.5">
      <c r="B20" s="130"/>
      <c r="C20" s="130"/>
      <c r="D20" s="48">
        <v>13</v>
      </c>
      <c r="E20" s="87" t="s">
        <v>1176</v>
      </c>
      <c r="F20" s="48" t="s">
        <v>408</v>
      </c>
      <c r="G20" s="48" t="s">
        <v>1177</v>
      </c>
      <c r="H20" s="48" t="s">
        <v>17</v>
      </c>
      <c r="I20" s="48" t="s">
        <v>67</v>
      </c>
      <c r="J20" s="87" t="s">
        <v>1387</v>
      </c>
      <c r="K20" s="88">
        <v>22098</v>
      </c>
      <c r="L20" s="89">
        <v>1960</v>
      </c>
      <c r="M20" s="89">
        <f t="shared" si="0"/>
        <v>59</v>
      </c>
      <c r="N20" s="48" t="s">
        <v>11</v>
      </c>
      <c r="O20" s="48" t="s">
        <v>1369</v>
      </c>
      <c r="P20" s="87" t="s">
        <v>1970</v>
      </c>
      <c r="Q20" s="48"/>
      <c r="R20" s="87" t="s">
        <v>1371</v>
      </c>
    </row>
    <row r="21" spans="2:18">
      <c r="B21" s="130">
        <v>4</v>
      </c>
      <c r="C21" s="130"/>
      <c r="D21" s="48">
        <v>14</v>
      </c>
      <c r="E21" s="87" t="s">
        <v>854</v>
      </c>
      <c r="F21" s="48" t="s">
        <v>14</v>
      </c>
      <c r="G21" s="48">
        <v>0</v>
      </c>
      <c r="H21" s="48" t="s">
        <v>9</v>
      </c>
      <c r="I21" s="48" t="s">
        <v>123</v>
      </c>
      <c r="J21" s="87"/>
      <c r="K21" s="88">
        <v>20820</v>
      </c>
      <c r="L21" s="89">
        <f>YEAR(K21)</f>
        <v>1956</v>
      </c>
      <c r="M21" s="89">
        <f t="shared" si="0"/>
        <v>63</v>
      </c>
      <c r="N21" s="48" t="s">
        <v>11</v>
      </c>
      <c r="O21" s="48"/>
      <c r="P21" s="87" t="s">
        <v>18</v>
      </c>
      <c r="Q21" s="48"/>
      <c r="R21" s="87" t="s">
        <v>24</v>
      </c>
    </row>
    <row r="22" spans="2:18">
      <c r="B22" s="130"/>
      <c r="C22" s="130"/>
      <c r="D22" s="48">
        <v>15</v>
      </c>
      <c r="E22" s="87" t="s">
        <v>187</v>
      </c>
      <c r="F22" s="48" t="s">
        <v>25</v>
      </c>
      <c r="G22" s="48">
        <v>0</v>
      </c>
      <c r="H22" s="48" t="s">
        <v>17</v>
      </c>
      <c r="I22" s="48" t="s">
        <v>67</v>
      </c>
      <c r="J22" s="87"/>
      <c r="K22" s="88">
        <v>31959</v>
      </c>
      <c r="L22" s="89">
        <f t="shared" ref="L22:L28" si="1">YEAR(K22)</f>
        <v>1987</v>
      </c>
      <c r="M22" s="89">
        <f t="shared" si="0"/>
        <v>32</v>
      </c>
      <c r="N22" s="48" t="s">
        <v>11</v>
      </c>
      <c r="O22" s="48"/>
      <c r="P22" s="87" t="s">
        <v>28</v>
      </c>
      <c r="Q22" s="48"/>
      <c r="R22" s="87" t="s">
        <v>24</v>
      </c>
    </row>
    <row r="23" spans="2:18">
      <c r="B23" s="130">
        <v>5</v>
      </c>
      <c r="C23" s="130"/>
      <c r="D23" s="48">
        <v>16</v>
      </c>
      <c r="E23" s="87" t="s">
        <v>1178</v>
      </c>
      <c r="F23" s="48" t="s">
        <v>14</v>
      </c>
      <c r="G23" s="48" t="s">
        <v>1179</v>
      </c>
      <c r="H23" s="48" t="s">
        <v>9</v>
      </c>
      <c r="I23" s="48" t="s">
        <v>10</v>
      </c>
      <c r="J23" s="87"/>
      <c r="K23" s="88">
        <v>31777</v>
      </c>
      <c r="L23" s="89">
        <f t="shared" si="1"/>
        <v>1986</v>
      </c>
      <c r="M23" s="89">
        <f t="shared" si="0"/>
        <v>33</v>
      </c>
      <c r="N23" s="48" t="s">
        <v>11</v>
      </c>
      <c r="O23" s="48"/>
      <c r="P23" s="87" t="s">
        <v>33</v>
      </c>
      <c r="Q23" s="48"/>
      <c r="R23" s="87" t="s">
        <v>24</v>
      </c>
    </row>
    <row r="24" spans="2:18">
      <c r="B24" s="130"/>
      <c r="C24" s="130"/>
      <c r="D24" s="48">
        <v>17</v>
      </c>
      <c r="E24" s="87" t="s">
        <v>234</v>
      </c>
      <c r="F24" s="48" t="s">
        <v>20</v>
      </c>
      <c r="G24" s="48" t="s">
        <v>1180</v>
      </c>
      <c r="H24" s="48" t="s">
        <v>17</v>
      </c>
      <c r="I24" s="48" t="s">
        <v>10</v>
      </c>
      <c r="J24" s="87"/>
      <c r="K24" s="88">
        <v>33969</v>
      </c>
      <c r="L24" s="89">
        <f t="shared" si="1"/>
        <v>1992</v>
      </c>
      <c r="M24" s="89">
        <f t="shared" si="0"/>
        <v>27</v>
      </c>
      <c r="N24" s="48" t="s">
        <v>11</v>
      </c>
      <c r="O24" s="48"/>
      <c r="P24" s="87" t="s">
        <v>33</v>
      </c>
      <c r="Q24" s="48"/>
      <c r="R24" s="87" t="s">
        <v>24</v>
      </c>
    </row>
    <row r="25" spans="2:18">
      <c r="B25" s="130"/>
      <c r="C25" s="130"/>
      <c r="D25" s="48">
        <v>18</v>
      </c>
      <c r="E25" s="87" t="s">
        <v>1181</v>
      </c>
      <c r="F25" s="48" t="s">
        <v>25</v>
      </c>
      <c r="G25" s="48">
        <v>0</v>
      </c>
      <c r="H25" s="48" t="s">
        <v>9</v>
      </c>
      <c r="I25" s="48" t="s">
        <v>23</v>
      </c>
      <c r="J25" s="87"/>
      <c r="K25" s="88">
        <v>42096</v>
      </c>
      <c r="L25" s="89">
        <f t="shared" si="1"/>
        <v>2015</v>
      </c>
      <c r="M25" s="89">
        <f t="shared" si="0"/>
        <v>4</v>
      </c>
      <c r="N25" s="48" t="s">
        <v>11</v>
      </c>
      <c r="O25" s="48"/>
      <c r="P25" s="87" t="s">
        <v>18</v>
      </c>
      <c r="Q25" s="48"/>
      <c r="R25" s="87" t="s">
        <v>18</v>
      </c>
    </row>
    <row r="26" spans="2:18">
      <c r="B26" s="130">
        <v>6</v>
      </c>
      <c r="C26" s="130"/>
      <c r="D26" s="48">
        <v>19</v>
      </c>
      <c r="E26" s="87" t="s">
        <v>1182</v>
      </c>
      <c r="F26" s="48" t="s">
        <v>14</v>
      </c>
      <c r="G26" s="48" t="s">
        <v>1183</v>
      </c>
      <c r="H26" s="48" t="s">
        <v>9</v>
      </c>
      <c r="I26" s="48" t="s">
        <v>123</v>
      </c>
      <c r="J26" s="87"/>
      <c r="K26" s="88">
        <v>24107</v>
      </c>
      <c r="L26" s="89">
        <f t="shared" si="1"/>
        <v>1965</v>
      </c>
      <c r="M26" s="89">
        <f t="shared" si="0"/>
        <v>54</v>
      </c>
      <c r="N26" s="48" t="s">
        <v>11</v>
      </c>
      <c r="O26" s="48"/>
      <c r="P26" s="87" t="s">
        <v>18</v>
      </c>
      <c r="Q26" s="48"/>
      <c r="R26" s="87" t="s">
        <v>18</v>
      </c>
    </row>
    <row r="27" spans="2:18">
      <c r="B27" s="130"/>
      <c r="C27" s="130"/>
      <c r="D27" s="48">
        <v>20</v>
      </c>
      <c r="E27" s="87" t="s">
        <v>450</v>
      </c>
      <c r="F27" s="48" t="s">
        <v>25</v>
      </c>
      <c r="G27" s="48">
        <v>0</v>
      </c>
      <c r="H27" s="48" t="s">
        <v>17</v>
      </c>
      <c r="I27" s="48" t="s">
        <v>23</v>
      </c>
      <c r="J27" s="87"/>
      <c r="K27" s="88">
        <v>26846</v>
      </c>
      <c r="L27" s="89">
        <f t="shared" si="1"/>
        <v>1973</v>
      </c>
      <c r="M27" s="89">
        <f t="shared" si="0"/>
        <v>46</v>
      </c>
      <c r="N27" s="48" t="s">
        <v>11</v>
      </c>
      <c r="O27" s="48"/>
      <c r="P27" s="87" t="s">
        <v>12</v>
      </c>
      <c r="Q27" s="48"/>
      <c r="R27" s="87" t="s">
        <v>24</v>
      </c>
    </row>
    <row r="28" spans="2:18">
      <c r="B28" s="130"/>
      <c r="C28" s="130"/>
      <c r="D28" s="48">
        <v>21</v>
      </c>
      <c r="E28" s="87" t="s">
        <v>1184</v>
      </c>
      <c r="F28" s="48" t="s">
        <v>25</v>
      </c>
      <c r="G28" s="48" t="s">
        <v>1185</v>
      </c>
      <c r="H28" s="48" t="s">
        <v>9</v>
      </c>
      <c r="I28" s="48" t="s">
        <v>23</v>
      </c>
      <c r="J28" s="87"/>
      <c r="K28" s="88">
        <v>31327</v>
      </c>
      <c r="L28" s="89">
        <f t="shared" si="1"/>
        <v>1985</v>
      </c>
      <c r="M28" s="89">
        <f t="shared" si="0"/>
        <v>34</v>
      </c>
      <c r="N28" s="48" t="s">
        <v>11</v>
      </c>
      <c r="O28" s="48"/>
      <c r="P28" s="87" t="s">
        <v>18</v>
      </c>
      <c r="Q28" s="48"/>
      <c r="R28" s="87" t="s">
        <v>24</v>
      </c>
    </row>
    <row r="29" spans="2:18" ht="25.5">
      <c r="B29" s="130">
        <v>7</v>
      </c>
      <c r="C29" s="130" t="s">
        <v>2024</v>
      </c>
      <c r="D29" s="48">
        <v>22</v>
      </c>
      <c r="E29" s="87" t="s">
        <v>2025</v>
      </c>
      <c r="F29" s="48" t="s">
        <v>14</v>
      </c>
      <c r="G29" s="48" t="s">
        <v>1186</v>
      </c>
      <c r="H29" s="48" t="s">
        <v>9</v>
      </c>
      <c r="I29" s="48" t="s">
        <v>10</v>
      </c>
      <c r="J29" s="87" t="s">
        <v>1368</v>
      </c>
      <c r="K29" s="88">
        <v>28855</v>
      </c>
      <c r="L29" s="89">
        <v>1978</v>
      </c>
      <c r="M29" s="89">
        <f t="shared" si="0"/>
        <v>41</v>
      </c>
      <c r="N29" s="48" t="s">
        <v>11</v>
      </c>
      <c r="O29" s="48" t="s">
        <v>1369</v>
      </c>
      <c r="P29" s="87" t="s">
        <v>28</v>
      </c>
      <c r="Q29" s="48"/>
      <c r="R29" s="87" t="s">
        <v>1371</v>
      </c>
    </row>
    <row r="30" spans="2:18" ht="25.5">
      <c r="B30" s="130"/>
      <c r="C30" s="130"/>
      <c r="D30" s="48">
        <v>23</v>
      </c>
      <c r="E30" s="87" t="s">
        <v>2026</v>
      </c>
      <c r="F30" s="48" t="s">
        <v>20</v>
      </c>
      <c r="G30" s="48" t="s">
        <v>1187</v>
      </c>
      <c r="H30" s="48" t="s">
        <v>17</v>
      </c>
      <c r="I30" s="48" t="s">
        <v>10</v>
      </c>
      <c r="J30" s="87" t="s">
        <v>1368</v>
      </c>
      <c r="K30" s="88">
        <v>31959</v>
      </c>
      <c r="L30" s="89">
        <v>1987</v>
      </c>
      <c r="M30" s="89">
        <f t="shared" si="0"/>
        <v>32</v>
      </c>
      <c r="N30" s="48" t="s">
        <v>11</v>
      </c>
      <c r="O30" s="48" t="s">
        <v>1369</v>
      </c>
      <c r="P30" s="87" t="s">
        <v>28</v>
      </c>
      <c r="Q30" s="48"/>
      <c r="R30" s="87" t="s">
        <v>1371</v>
      </c>
    </row>
    <row r="31" spans="2:18" ht="25.5">
      <c r="B31" s="130"/>
      <c r="C31" s="130"/>
      <c r="D31" s="48">
        <v>24</v>
      </c>
      <c r="E31" s="87" t="s">
        <v>2027</v>
      </c>
      <c r="F31" s="48" t="s">
        <v>25</v>
      </c>
      <c r="G31" s="48" t="s">
        <v>1188</v>
      </c>
      <c r="H31" s="48" t="s">
        <v>17</v>
      </c>
      <c r="I31" s="48" t="s">
        <v>23</v>
      </c>
      <c r="J31" s="87" t="s">
        <v>1455</v>
      </c>
      <c r="K31" s="88">
        <v>41052</v>
      </c>
      <c r="L31" s="89">
        <v>2012</v>
      </c>
      <c r="M31" s="89">
        <f t="shared" si="0"/>
        <v>7</v>
      </c>
      <c r="N31" s="48" t="s">
        <v>11</v>
      </c>
      <c r="O31" s="48" t="s">
        <v>1369</v>
      </c>
      <c r="P31" s="87" t="s">
        <v>1970</v>
      </c>
      <c r="Q31" s="48"/>
      <c r="R31" s="87" t="s">
        <v>1555</v>
      </c>
    </row>
    <row r="32" spans="2:18" ht="25.5">
      <c r="B32" s="130">
        <v>8</v>
      </c>
      <c r="C32" s="130" t="s">
        <v>1976</v>
      </c>
      <c r="D32" s="48">
        <v>25</v>
      </c>
      <c r="E32" s="87" t="s">
        <v>972</v>
      </c>
      <c r="F32" s="48" t="s">
        <v>14</v>
      </c>
      <c r="G32" s="48" t="s">
        <v>1189</v>
      </c>
      <c r="H32" s="48" t="s">
        <v>9</v>
      </c>
      <c r="I32" s="48" t="s">
        <v>10</v>
      </c>
      <c r="J32" s="87" t="s">
        <v>1368</v>
      </c>
      <c r="K32" s="88">
        <v>26481</v>
      </c>
      <c r="L32" s="89">
        <v>1972</v>
      </c>
      <c r="M32" s="89">
        <f t="shared" si="0"/>
        <v>47</v>
      </c>
      <c r="N32" s="48" t="s">
        <v>11</v>
      </c>
      <c r="O32" s="48" t="s">
        <v>1369</v>
      </c>
      <c r="P32" s="87" t="s">
        <v>1970</v>
      </c>
      <c r="Q32" s="48"/>
      <c r="R32" s="87" t="s">
        <v>1371</v>
      </c>
    </row>
    <row r="33" spans="2:18" ht="25.5">
      <c r="B33" s="130"/>
      <c r="C33" s="130"/>
      <c r="D33" s="48">
        <v>26</v>
      </c>
      <c r="E33" s="87" t="s">
        <v>1190</v>
      </c>
      <c r="F33" s="48" t="s">
        <v>20</v>
      </c>
      <c r="G33" s="48" t="s">
        <v>1191</v>
      </c>
      <c r="H33" s="48" t="s">
        <v>17</v>
      </c>
      <c r="I33" s="48" t="s">
        <v>10</v>
      </c>
      <c r="J33" s="87" t="s">
        <v>1368</v>
      </c>
      <c r="K33" s="88">
        <v>28307</v>
      </c>
      <c r="L33" s="89">
        <v>1977</v>
      </c>
      <c r="M33" s="89">
        <f t="shared" si="0"/>
        <v>42</v>
      </c>
      <c r="N33" s="48" t="s">
        <v>11</v>
      </c>
      <c r="O33" s="48" t="s">
        <v>1369</v>
      </c>
      <c r="P33" s="87" t="s">
        <v>1970</v>
      </c>
      <c r="Q33" s="48"/>
      <c r="R33" s="87" t="s">
        <v>1371</v>
      </c>
    </row>
    <row r="34" spans="2:18" ht="25.5">
      <c r="B34" s="130"/>
      <c r="C34" s="130"/>
      <c r="D34" s="48">
        <v>27</v>
      </c>
      <c r="E34" s="87" t="s">
        <v>1192</v>
      </c>
      <c r="F34" s="48" t="s">
        <v>1446</v>
      </c>
      <c r="G34" s="48" t="s">
        <v>1193</v>
      </c>
      <c r="H34" s="48" t="s">
        <v>17</v>
      </c>
      <c r="I34" s="48" t="s">
        <v>1448</v>
      </c>
      <c r="J34" s="87" t="s">
        <v>1368</v>
      </c>
      <c r="K34" s="88">
        <v>14976</v>
      </c>
      <c r="L34" s="89">
        <v>1940</v>
      </c>
      <c r="M34" s="89">
        <f t="shared" si="0"/>
        <v>79</v>
      </c>
      <c r="N34" s="48" t="s">
        <v>11</v>
      </c>
      <c r="O34" s="48" t="s">
        <v>1369</v>
      </c>
      <c r="P34" s="87" t="s">
        <v>1970</v>
      </c>
      <c r="Q34" s="48"/>
      <c r="R34" s="87" t="s">
        <v>1555</v>
      </c>
    </row>
    <row r="35" spans="2:18" ht="25.5">
      <c r="B35" s="130">
        <v>9</v>
      </c>
      <c r="C35" s="130" t="s">
        <v>2004</v>
      </c>
      <c r="D35" s="48">
        <v>28</v>
      </c>
      <c r="E35" s="87" t="s">
        <v>2005</v>
      </c>
      <c r="F35" s="48" t="s">
        <v>14</v>
      </c>
      <c r="G35" s="48" t="s">
        <v>1194</v>
      </c>
      <c r="H35" s="48" t="s">
        <v>9</v>
      </c>
      <c r="I35" s="48" t="s">
        <v>10</v>
      </c>
      <c r="J35" s="87" t="s">
        <v>1387</v>
      </c>
      <c r="K35" s="88">
        <v>25568</v>
      </c>
      <c r="L35" s="89">
        <v>1969</v>
      </c>
      <c r="M35" s="89">
        <f t="shared" si="0"/>
        <v>50</v>
      </c>
      <c r="N35" s="48" t="s">
        <v>11</v>
      </c>
      <c r="O35" s="48" t="s">
        <v>1369</v>
      </c>
      <c r="P35" s="87" t="s">
        <v>28</v>
      </c>
      <c r="Q35" s="48"/>
      <c r="R35" s="87" t="s">
        <v>1566</v>
      </c>
    </row>
    <row r="36" spans="2:18" ht="25.5">
      <c r="B36" s="130"/>
      <c r="C36" s="130"/>
      <c r="D36" s="48">
        <v>29</v>
      </c>
      <c r="E36" s="87" t="s">
        <v>662</v>
      </c>
      <c r="F36" s="48" t="s">
        <v>20</v>
      </c>
      <c r="G36" s="48" t="s">
        <v>1195</v>
      </c>
      <c r="H36" s="48" t="s">
        <v>17</v>
      </c>
      <c r="I36" s="48" t="s">
        <v>10</v>
      </c>
      <c r="J36" s="87" t="s">
        <v>1387</v>
      </c>
      <c r="K36" s="88">
        <v>28125</v>
      </c>
      <c r="L36" s="89">
        <v>1976</v>
      </c>
      <c r="M36" s="89">
        <f t="shared" si="0"/>
        <v>43</v>
      </c>
      <c r="N36" s="48" t="s">
        <v>11</v>
      </c>
      <c r="O36" s="48" t="s">
        <v>1369</v>
      </c>
      <c r="P36" s="87" t="s">
        <v>28</v>
      </c>
      <c r="Q36" s="48"/>
      <c r="R36" s="87" t="s">
        <v>1566</v>
      </c>
    </row>
    <row r="37" spans="2:18" ht="25.5">
      <c r="B37" s="130">
        <v>10</v>
      </c>
      <c r="C37" s="130" t="s">
        <v>1535</v>
      </c>
      <c r="D37" s="48">
        <v>30</v>
      </c>
      <c r="E37" s="87" t="s">
        <v>1196</v>
      </c>
      <c r="F37" s="48" t="s">
        <v>14</v>
      </c>
      <c r="G37" s="48" t="s">
        <v>1197</v>
      </c>
      <c r="H37" s="48" t="s">
        <v>17</v>
      </c>
      <c r="I37" s="48" t="s">
        <v>1448</v>
      </c>
      <c r="J37" s="87" t="s">
        <v>1368</v>
      </c>
      <c r="K37" s="88">
        <v>21185</v>
      </c>
      <c r="L37" s="89">
        <v>1957</v>
      </c>
      <c r="M37" s="89">
        <f t="shared" si="0"/>
        <v>62</v>
      </c>
      <c r="N37" s="48" t="s">
        <v>11</v>
      </c>
      <c r="O37" s="48" t="s">
        <v>1369</v>
      </c>
      <c r="P37" s="87" t="s">
        <v>1393</v>
      </c>
      <c r="Q37" s="48"/>
      <c r="R37" s="87" t="s">
        <v>1373</v>
      </c>
    </row>
    <row r="38" spans="2:18" ht="25.5">
      <c r="B38" s="130"/>
      <c r="C38" s="130"/>
      <c r="D38" s="48">
        <v>31</v>
      </c>
      <c r="E38" s="87" t="s">
        <v>1199</v>
      </c>
      <c r="F38" s="48" t="s">
        <v>25</v>
      </c>
      <c r="G38" s="48" t="s">
        <v>1200</v>
      </c>
      <c r="H38" s="48" t="s">
        <v>17</v>
      </c>
      <c r="I38" s="48" t="s">
        <v>23</v>
      </c>
      <c r="J38" s="87" t="s">
        <v>1368</v>
      </c>
      <c r="K38" s="88">
        <v>32408</v>
      </c>
      <c r="L38" s="89">
        <v>1988</v>
      </c>
      <c r="M38" s="89">
        <f t="shared" ref="M38" si="2">2019-L38</f>
        <v>31</v>
      </c>
      <c r="N38" s="48" t="s">
        <v>11</v>
      </c>
      <c r="O38" s="48" t="s">
        <v>1369</v>
      </c>
      <c r="P38" s="87" t="s">
        <v>1393</v>
      </c>
      <c r="Q38" s="48"/>
      <c r="R38" s="87" t="s">
        <v>1371</v>
      </c>
    </row>
    <row r="39" spans="2:18" ht="25.5">
      <c r="B39" s="130"/>
      <c r="C39" s="130"/>
      <c r="D39" s="48">
        <v>32</v>
      </c>
      <c r="E39" s="87" t="s">
        <v>363</v>
      </c>
      <c r="F39" s="48" t="s">
        <v>25</v>
      </c>
      <c r="G39" s="48" t="s">
        <v>1198</v>
      </c>
      <c r="H39" s="48" t="s">
        <v>17</v>
      </c>
      <c r="I39" s="48" t="s">
        <v>23</v>
      </c>
      <c r="J39" s="87" t="s">
        <v>1368</v>
      </c>
      <c r="K39" s="88">
        <v>32525</v>
      </c>
      <c r="L39" s="89">
        <v>1989</v>
      </c>
      <c r="M39" s="89">
        <f t="shared" ref="M39" si="3">2019-L39</f>
        <v>30</v>
      </c>
      <c r="N39" s="48" t="s">
        <v>11</v>
      </c>
      <c r="O39" s="48" t="s">
        <v>1369</v>
      </c>
      <c r="P39" s="87" t="s">
        <v>1393</v>
      </c>
      <c r="Q39" s="48"/>
      <c r="R39" s="87" t="s">
        <v>49</v>
      </c>
    </row>
    <row r="40" spans="2:18">
      <c r="B40" s="130">
        <v>11</v>
      </c>
      <c r="C40" s="130" t="s">
        <v>1977</v>
      </c>
      <c r="D40" s="48">
        <v>33</v>
      </c>
      <c r="E40" s="87" t="s">
        <v>1978</v>
      </c>
      <c r="F40" s="48" t="s">
        <v>14</v>
      </c>
      <c r="G40" s="48" t="s">
        <v>1980</v>
      </c>
      <c r="H40" s="48" t="s">
        <v>9</v>
      </c>
      <c r="I40" s="48" t="s">
        <v>10</v>
      </c>
      <c r="J40" s="87" t="s">
        <v>1368</v>
      </c>
      <c r="K40" s="88">
        <v>30874</v>
      </c>
      <c r="L40" s="89">
        <v>1984</v>
      </c>
      <c r="M40" s="89">
        <f t="shared" si="0"/>
        <v>35</v>
      </c>
      <c r="N40" s="48" t="s">
        <v>11</v>
      </c>
      <c r="O40" s="48" t="s">
        <v>1369</v>
      </c>
      <c r="P40" s="87" t="s">
        <v>28</v>
      </c>
      <c r="Q40" s="48"/>
      <c r="R40" s="87" t="s">
        <v>49</v>
      </c>
    </row>
    <row r="41" spans="2:18">
      <c r="B41" s="130"/>
      <c r="C41" s="130"/>
      <c r="D41" s="48">
        <v>34</v>
      </c>
      <c r="E41" s="87" t="s">
        <v>1537</v>
      </c>
      <c r="F41" s="48" t="s">
        <v>20</v>
      </c>
      <c r="G41" s="48" t="s">
        <v>1981</v>
      </c>
      <c r="H41" s="48" t="s">
        <v>17</v>
      </c>
      <c r="I41" s="48" t="s">
        <v>10</v>
      </c>
      <c r="J41" s="87" t="s">
        <v>1368</v>
      </c>
      <c r="K41" s="88">
        <v>31666</v>
      </c>
      <c r="L41" s="89">
        <v>1986</v>
      </c>
      <c r="M41" s="89">
        <f t="shared" si="0"/>
        <v>33</v>
      </c>
      <c r="N41" s="48" t="s">
        <v>11</v>
      </c>
      <c r="O41" s="48" t="s">
        <v>1369</v>
      </c>
      <c r="P41" s="87" t="s">
        <v>28</v>
      </c>
      <c r="Q41" s="48"/>
      <c r="R41" s="87" t="s">
        <v>49</v>
      </c>
    </row>
    <row r="42" spans="2:18" ht="25.5">
      <c r="B42" s="130"/>
      <c r="C42" s="130"/>
      <c r="D42" s="48">
        <v>35</v>
      </c>
      <c r="E42" s="87" t="s">
        <v>1979</v>
      </c>
      <c r="F42" s="48" t="s">
        <v>25</v>
      </c>
      <c r="G42" s="48" t="s">
        <v>1201</v>
      </c>
      <c r="H42" s="48" t="s">
        <v>9</v>
      </c>
      <c r="I42" s="48" t="s">
        <v>23</v>
      </c>
      <c r="J42" s="87" t="s">
        <v>1368</v>
      </c>
      <c r="K42" s="88">
        <v>39124</v>
      </c>
      <c r="L42" s="89">
        <v>2007</v>
      </c>
      <c r="M42" s="89">
        <f t="shared" si="0"/>
        <v>12</v>
      </c>
      <c r="N42" s="48" t="s">
        <v>11</v>
      </c>
      <c r="O42" s="48" t="s">
        <v>1369</v>
      </c>
      <c r="P42" s="87" t="s">
        <v>1970</v>
      </c>
      <c r="Q42" s="48"/>
      <c r="R42" s="87" t="s">
        <v>1555</v>
      </c>
    </row>
    <row r="43" spans="2:18">
      <c r="B43" s="130">
        <v>12</v>
      </c>
      <c r="C43" s="130" t="s">
        <v>2017</v>
      </c>
      <c r="D43" s="48">
        <v>36</v>
      </c>
      <c r="E43" s="87" t="s">
        <v>294</v>
      </c>
      <c r="F43" s="48" t="s">
        <v>14</v>
      </c>
      <c r="G43" s="48" t="s">
        <v>1202</v>
      </c>
      <c r="H43" s="48" t="s">
        <v>9</v>
      </c>
      <c r="I43" s="48" t="s">
        <v>10</v>
      </c>
      <c r="J43" s="87" t="s">
        <v>1387</v>
      </c>
      <c r="K43" s="88">
        <v>28125</v>
      </c>
      <c r="L43" s="89">
        <v>1976</v>
      </c>
      <c r="M43" s="89">
        <f t="shared" si="0"/>
        <v>43</v>
      </c>
      <c r="N43" s="48" t="s">
        <v>11</v>
      </c>
      <c r="O43" s="48" t="s">
        <v>1369</v>
      </c>
      <c r="P43" s="87" t="s">
        <v>28</v>
      </c>
      <c r="Q43" s="48"/>
      <c r="R43" s="87" t="s">
        <v>49</v>
      </c>
    </row>
    <row r="44" spans="2:18" ht="25.5">
      <c r="B44" s="130"/>
      <c r="C44" s="130"/>
      <c r="D44" s="48">
        <v>37</v>
      </c>
      <c r="E44" s="87" t="s">
        <v>1203</v>
      </c>
      <c r="F44" s="48" t="s">
        <v>20</v>
      </c>
      <c r="G44" s="48" t="s">
        <v>2019</v>
      </c>
      <c r="H44" s="48" t="s">
        <v>17</v>
      </c>
      <c r="I44" s="48" t="s">
        <v>10</v>
      </c>
      <c r="J44" s="87" t="s">
        <v>1387</v>
      </c>
      <c r="K44" s="88">
        <v>28490</v>
      </c>
      <c r="L44" s="89">
        <v>1977</v>
      </c>
      <c r="M44" s="89">
        <f t="shared" si="0"/>
        <v>42</v>
      </c>
      <c r="N44" s="48" t="s">
        <v>11</v>
      </c>
      <c r="O44" s="48" t="s">
        <v>1369</v>
      </c>
      <c r="P44" s="87" t="s">
        <v>28</v>
      </c>
      <c r="Q44" s="48"/>
      <c r="R44" s="87" t="s">
        <v>1373</v>
      </c>
    </row>
    <row r="45" spans="2:18" ht="25.5">
      <c r="B45" s="130"/>
      <c r="C45" s="130"/>
      <c r="D45" s="48">
        <v>38</v>
      </c>
      <c r="E45" s="87" t="s">
        <v>2018</v>
      </c>
      <c r="F45" s="48" t="s">
        <v>25</v>
      </c>
      <c r="G45" s="48" t="s">
        <v>1204</v>
      </c>
      <c r="H45" s="48" t="s">
        <v>9</v>
      </c>
      <c r="I45" s="48" t="s">
        <v>23</v>
      </c>
      <c r="J45" s="87" t="s">
        <v>1489</v>
      </c>
      <c r="K45" s="88">
        <v>36269</v>
      </c>
      <c r="L45" s="89">
        <v>1999</v>
      </c>
      <c r="M45" s="89">
        <f t="shared" si="0"/>
        <v>20</v>
      </c>
      <c r="N45" s="48" t="s">
        <v>11</v>
      </c>
      <c r="O45" s="48" t="s">
        <v>1369</v>
      </c>
      <c r="P45" s="87" t="s">
        <v>33</v>
      </c>
      <c r="Q45" s="48"/>
      <c r="R45" s="87" t="s">
        <v>1572</v>
      </c>
    </row>
    <row r="46" spans="2:18" ht="25.5">
      <c r="B46" s="130"/>
      <c r="C46" s="130"/>
      <c r="D46" s="48">
        <v>39</v>
      </c>
      <c r="E46" s="87" t="s">
        <v>1205</v>
      </c>
      <c r="F46" s="48" t="s">
        <v>25</v>
      </c>
      <c r="G46" s="48" t="s">
        <v>1206</v>
      </c>
      <c r="H46" s="48" t="s">
        <v>9</v>
      </c>
      <c r="I46" s="48" t="s">
        <v>23</v>
      </c>
      <c r="J46" s="87" t="s">
        <v>1455</v>
      </c>
      <c r="K46" s="88">
        <v>40018</v>
      </c>
      <c r="L46" s="89">
        <v>2009</v>
      </c>
      <c r="M46" s="89">
        <f t="shared" si="0"/>
        <v>10</v>
      </c>
      <c r="N46" s="48" t="s">
        <v>11</v>
      </c>
      <c r="O46" s="48" t="s">
        <v>1369</v>
      </c>
      <c r="P46" s="87" t="s">
        <v>1970</v>
      </c>
      <c r="Q46" s="48"/>
      <c r="R46" s="87" t="s">
        <v>1555</v>
      </c>
    </row>
    <row r="47" spans="2:18">
      <c r="B47" s="130">
        <v>13</v>
      </c>
      <c r="C47" s="130" t="s">
        <v>1996</v>
      </c>
      <c r="D47" s="48">
        <v>40</v>
      </c>
      <c r="E47" s="87" t="s">
        <v>173</v>
      </c>
      <c r="F47" s="48" t="s">
        <v>14</v>
      </c>
      <c r="G47" s="48" t="s">
        <v>1207</v>
      </c>
      <c r="H47" s="48" t="s">
        <v>9</v>
      </c>
      <c r="I47" s="48" t="s">
        <v>10</v>
      </c>
      <c r="J47" s="87" t="s">
        <v>1387</v>
      </c>
      <c r="K47" s="88">
        <v>31959</v>
      </c>
      <c r="L47" s="89">
        <v>1987</v>
      </c>
      <c r="M47" s="89">
        <f t="shared" si="0"/>
        <v>32</v>
      </c>
      <c r="N47" s="48" t="s">
        <v>11</v>
      </c>
      <c r="O47" s="48" t="s">
        <v>1369</v>
      </c>
      <c r="P47" s="87" t="s">
        <v>28</v>
      </c>
      <c r="Q47" s="48"/>
      <c r="R47" s="87" t="s">
        <v>49</v>
      </c>
    </row>
    <row r="48" spans="2:18" ht="25.5">
      <c r="B48" s="130"/>
      <c r="C48" s="130"/>
      <c r="D48" s="48">
        <v>41</v>
      </c>
      <c r="E48" s="87" t="s">
        <v>1208</v>
      </c>
      <c r="F48" s="48" t="s">
        <v>20</v>
      </c>
      <c r="G48" s="48" t="s">
        <v>1209</v>
      </c>
      <c r="H48" s="48" t="s">
        <v>17</v>
      </c>
      <c r="I48" s="48" t="s">
        <v>10</v>
      </c>
      <c r="J48" s="87" t="s">
        <v>1387</v>
      </c>
      <c r="K48" s="88">
        <v>33420</v>
      </c>
      <c r="L48" s="89">
        <v>1991</v>
      </c>
      <c r="M48" s="89">
        <f t="shared" si="0"/>
        <v>28</v>
      </c>
      <c r="N48" s="48" t="s">
        <v>11</v>
      </c>
      <c r="O48" s="48" t="s">
        <v>1369</v>
      </c>
      <c r="P48" s="87" t="s">
        <v>28</v>
      </c>
      <c r="Q48" s="48"/>
      <c r="R48" s="87" t="s">
        <v>1373</v>
      </c>
    </row>
    <row r="49" spans="2:18" ht="25.5">
      <c r="B49" s="130"/>
      <c r="C49" s="130"/>
      <c r="D49" s="48">
        <v>42</v>
      </c>
      <c r="E49" s="87" t="s">
        <v>1997</v>
      </c>
      <c r="F49" s="48" t="s">
        <v>25</v>
      </c>
      <c r="G49" s="48" t="s">
        <v>1210</v>
      </c>
      <c r="H49" s="48" t="s">
        <v>17</v>
      </c>
      <c r="I49" s="48" t="s">
        <v>23</v>
      </c>
      <c r="J49" s="87" t="s">
        <v>1387</v>
      </c>
      <c r="K49" s="88">
        <v>40211</v>
      </c>
      <c r="L49" s="89">
        <v>2010</v>
      </c>
      <c r="M49" s="89">
        <f t="shared" si="0"/>
        <v>9</v>
      </c>
      <c r="N49" s="48" t="s">
        <v>11</v>
      </c>
      <c r="O49" s="48" t="s">
        <v>1369</v>
      </c>
      <c r="P49" s="87" t="s">
        <v>1970</v>
      </c>
      <c r="Q49" s="48"/>
      <c r="R49" s="87" t="s">
        <v>1555</v>
      </c>
    </row>
    <row r="50" spans="2:18">
      <c r="B50" s="130">
        <v>14</v>
      </c>
      <c r="C50" s="130"/>
      <c r="D50" s="48">
        <v>43</v>
      </c>
      <c r="E50" s="87" t="s">
        <v>1211</v>
      </c>
      <c r="F50" s="48" t="s">
        <v>14</v>
      </c>
      <c r="G50" s="48" t="s">
        <v>1212</v>
      </c>
      <c r="H50" s="48" t="s">
        <v>9</v>
      </c>
      <c r="I50" s="48" t="s">
        <v>10</v>
      </c>
      <c r="J50" s="87"/>
      <c r="K50" s="88">
        <v>21550</v>
      </c>
      <c r="L50" s="89">
        <f t="shared" ref="L50:L55" si="4">YEAR(K50)</f>
        <v>1958</v>
      </c>
      <c r="M50" s="89">
        <f t="shared" si="0"/>
        <v>61</v>
      </c>
      <c r="N50" s="48" t="s">
        <v>11</v>
      </c>
      <c r="O50" s="48"/>
      <c r="P50" s="87" t="s">
        <v>18</v>
      </c>
      <c r="Q50" s="48"/>
      <c r="R50" s="87" t="s">
        <v>58</v>
      </c>
    </row>
    <row r="51" spans="2:18">
      <c r="B51" s="130"/>
      <c r="C51" s="130"/>
      <c r="D51" s="48">
        <v>44</v>
      </c>
      <c r="E51" s="87" t="s">
        <v>1213</v>
      </c>
      <c r="F51" s="48" t="s">
        <v>20</v>
      </c>
      <c r="G51" s="48">
        <v>0</v>
      </c>
      <c r="H51" s="48" t="s">
        <v>17</v>
      </c>
      <c r="I51" s="48" t="s">
        <v>10</v>
      </c>
      <c r="J51" s="87"/>
      <c r="K51" s="88">
        <v>24107</v>
      </c>
      <c r="L51" s="89">
        <f t="shared" si="4"/>
        <v>1965</v>
      </c>
      <c r="M51" s="89">
        <f t="shared" si="0"/>
        <v>54</v>
      </c>
      <c r="N51" s="48" t="s">
        <v>11</v>
      </c>
      <c r="O51" s="48"/>
      <c r="P51" s="87" t="s">
        <v>18</v>
      </c>
      <c r="Q51" s="48"/>
      <c r="R51" s="87" t="s">
        <v>19</v>
      </c>
    </row>
    <row r="52" spans="2:18">
      <c r="B52" s="130"/>
      <c r="C52" s="130"/>
      <c r="D52" s="48">
        <v>45</v>
      </c>
      <c r="E52" s="87" t="s">
        <v>1214</v>
      </c>
      <c r="F52" s="48" t="s">
        <v>25</v>
      </c>
      <c r="G52" s="48" t="s">
        <v>1215</v>
      </c>
      <c r="H52" s="48" t="s">
        <v>17</v>
      </c>
      <c r="I52" s="48" t="s">
        <v>23</v>
      </c>
      <c r="J52" s="87"/>
      <c r="K52" s="88">
        <v>27759</v>
      </c>
      <c r="L52" s="89">
        <f t="shared" si="4"/>
        <v>1975</v>
      </c>
      <c r="M52" s="89">
        <f t="shared" si="0"/>
        <v>44</v>
      </c>
      <c r="N52" s="48" t="s">
        <v>11</v>
      </c>
      <c r="O52" s="48"/>
      <c r="P52" s="87" t="s">
        <v>33</v>
      </c>
      <c r="Q52" s="48"/>
      <c r="R52" s="87" t="s">
        <v>18</v>
      </c>
    </row>
    <row r="53" spans="2:18">
      <c r="B53" s="130"/>
      <c r="C53" s="130"/>
      <c r="D53" s="48">
        <v>46</v>
      </c>
      <c r="E53" s="87" t="s">
        <v>1216</v>
      </c>
      <c r="F53" s="48" t="s">
        <v>25</v>
      </c>
      <c r="G53" s="48" t="s">
        <v>1217</v>
      </c>
      <c r="H53" s="48" t="s">
        <v>17</v>
      </c>
      <c r="I53" s="48" t="s">
        <v>23</v>
      </c>
      <c r="J53" s="87"/>
      <c r="K53" s="88">
        <v>31412</v>
      </c>
      <c r="L53" s="89">
        <f t="shared" si="4"/>
        <v>1985</v>
      </c>
      <c r="M53" s="89">
        <f t="shared" si="0"/>
        <v>34</v>
      </c>
      <c r="N53" s="48" t="s">
        <v>11</v>
      </c>
      <c r="O53" s="48"/>
      <c r="P53" s="87" t="s">
        <v>12</v>
      </c>
      <c r="Q53" s="48"/>
      <c r="R53" s="87" t="s">
        <v>19</v>
      </c>
    </row>
    <row r="54" spans="2:18">
      <c r="B54" s="130"/>
      <c r="C54" s="130"/>
      <c r="D54" s="48">
        <v>47</v>
      </c>
      <c r="E54" s="87" t="s">
        <v>1165</v>
      </c>
      <c r="F54" s="48" t="s">
        <v>25</v>
      </c>
      <c r="G54" s="48" t="s">
        <v>1218</v>
      </c>
      <c r="H54" s="48" t="s">
        <v>9</v>
      </c>
      <c r="I54" s="48" t="s">
        <v>23</v>
      </c>
      <c r="J54" s="87"/>
      <c r="K54" s="88">
        <v>32873</v>
      </c>
      <c r="L54" s="89">
        <f t="shared" si="4"/>
        <v>1989</v>
      </c>
      <c r="M54" s="89">
        <f t="shared" si="0"/>
        <v>30</v>
      </c>
      <c r="N54" s="48" t="s">
        <v>11</v>
      </c>
      <c r="O54" s="48"/>
      <c r="P54" s="87" t="s">
        <v>12</v>
      </c>
      <c r="Q54" s="48"/>
      <c r="R54" s="87" t="s">
        <v>24</v>
      </c>
    </row>
    <row r="55" spans="2:18">
      <c r="B55" s="130"/>
      <c r="C55" s="130"/>
      <c r="D55" s="48">
        <v>48</v>
      </c>
      <c r="E55" s="87" t="s">
        <v>1219</v>
      </c>
      <c r="F55" s="48" t="s">
        <v>25</v>
      </c>
      <c r="G55" s="48" t="s">
        <v>1221</v>
      </c>
      <c r="H55" s="48" t="s">
        <v>17</v>
      </c>
      <c r="I55" s="48" t="s">
        <v>23</v>
      </c>
      <c r="J55" s="87"/>
      <c r="K55" s="88">
        <v>33744</v>
      </c>
      <c r="L55" s="89">
        <f t="shared" si="4"/>
        <v>1992</v>
      </c>
      <c r="M55" s="89">
        <f t="shared" si="0"/>
        <v>27</v>
      </c>
      <c r="N55" s="48" t="s">
        <v>11</v>
      </c>
      <c r="O55" s="48"/>
      <c r="P55" s="87" t="s">
        <v>1220</v>
      </c>
      <c r="Q55" s="48"/>
      <c r="R55" s="87" t="s">
        <v>18</v>
      </c>
    </row>
    <row r="56" spans="2:18" ht="25.5">
      <c r="B56" s="130">
        <v>15</v>
      </c>
      <c r="C56" s="130" t="s">
        <v>2020</v>
      </c>
      <c r="D56" s="48">
        <v>49</v>
      </c>
      <c r="E56" s="87" t="s">
        <v>2021</v>
      </c>
      <c r="F56" s="48" t="s">
        <v>14</v>
      </c>
      <c r="G56" s="48" t="s">
        <v>1222</v>
      </c>
      <c r="H56" s="48" t="s">
        <v>9</v>
      </c>
      <c r="I56" s="48" t="s">
        <v>10</v>
      </c>
      <c r="J56" s="87" t="s">
        <v>1368</v>
      </c>
      <c r="K56" s="88">
        <v>21002</v>
      </c>
      <c r="L56" s="89">
        <v>1957</v>
      </c>
      <c r="M56" s="89">
        <f t="shared" si="0"/>
        <v>62</v>
      </c>
      <c r="N56" s="48" t="s">
        <v>11</v>
      </c>
      <c r="O56" s="48" t="s">
        <v>1369</v>
      </c>
      <c r="P56" s="87" t="s">
        <v>1970</v>
      </c>
      <c r="Q56" s="48"/>
      <c r="R56" s="87" t="s">
        <v>49</v>
      </c>
    </row>
    <row r="57" spans="2:18" ht="25.5">
      <c r="B57" s="130"/>
      <c r="C57" s="130"/>
      <c r="D57" s="48">
        <v>50</v>
      </c>
      <c r="E57" s="87" t="s">
        <v>2022</v>
      </c>
      <c r="F57" s="48" t="s">
        <v>20</v>
      </c>
      <c r="G57" s="48" t="s">
        <v>1223</v>
      </c>
      <c r="H57" s="48" t="s">
        <v>17</v>
      </c>
      <c r="I57" s="48" t="s">
        <v>10</v>
      </c>
      <c r="J57" s="87" t="s">
        <v>1368</v>
      </c>
      <c r="K57" s="88">
        <v>22828</v>
      </c>
      <c r="L57" s="89">
        <v>1962</v>
      </c>
      <c r="M57" s="89">
        <f t="shared" si="0"/>
        <v>57</v>
      </c>
      <c r="N57" s="48" t="s">
        <v>11</v>
      </c>
      <c r="O57" s="48" t="s">
        <v>1369</v>
      </c>
      <c r="P57" s="87" t="s">
        <v>1970</v>
      </c>
      <c r="Q57" s="48"/>
      <c r="R57" s="87" t="s">
        <v>1373</v>
      </c>
    </row>
    <row r="58" spans="2:18" ht="25.5">
      <c r="B58" s="130">
        <v>16</v>
      </c>
      <c r="C58" s="130"/>
      <c r="D58" s="48">
        <v>51</v>
      </c>
      <c r="E58" s="87" t="s">
        <v>1224</v>
      </c>
      <c r="F58" s="48" t="s">
        <v>14</v>
      </c>
      <c r="G58" s="48" t="s">
        <v>1222</v>
      </c>
      <c r="H58" s="48" t="s">
        <v>9</v>
      </c>
      <c r="I58" s="48" t="s">
        <v>10</v>
      </c>
      <c r="J58" s="87"/>
      <c r="K58" s="88">
        <v>29403</v>
      </c>
      <c r="L58" s="89">
        <f t="shared" ref="L58:L74" si="5">YEAR(K58)</f>
        <v>1980</v>
      </c>
      <c r="M58" s="89">
        <f t="shared" si="0"/>
        <v>39</v>
      </c>
      <c r="N58" s="48" t="s">
        <v>11</v>
      </c>
      <c r="O58" s="48"/>
      <c r="P58" s="87" t="s">
        <v>28</v>
      </c>
      <c r="Q58" s="48"/>
      <c r="R58" s="87" t="s">
        <v>49</v>
      </c>
    </row>
    <row r="59" spans="2:18">
      <c r="B59" s="130"/>
      <c r="C59" s="130"/>
      <c r="D59" s="48">
        <v>52</v>
      </c>
      <c r="E59" s="87" t="s">
        <v>1225</v>
      </c>
      <c r="F59" s="48" t="s">
        <v>20</v>
      </c>
      <c r="G59" s="48" t="s">
        <v>1223</v>
      </c>
      <c r="H59" s="48" t="s">
        <v>17</v>
      </c>
      <c r="I59" s="48" t="s">
        <v>10</v>
      </c>
      <c r="J59" s="87"/>
      <c r="K59" s="88">
        <v>29037</v>
      </c>
      <c r="L59" s="89">
        <f t="shared" si="5"/>
        <v>1979</v>
      </c>
      <c r="M59" s="89">
        <f t="shared" si="0"/>
        <v>40</v>
      </c>
      <c r="N59" s="48" t="s">
        <v>11</v>
      </c>
      <c r="O59" s="48"/>
      <c r="P59" s="87" t="s">
        <v>18</v>
      </c>
      <c r="Q59" s="48"/>
      <c r="R59" s="87" t="s">
        <v>24</v>
      </c>
    </row>
    <row r="60" spans="2:18" ht="25.5">
      <c r="B60" s="130"/>
      <c r="C60" s="130"/>
      <c r="D60" s="48">
        <v>53</v>
      </c>
      <c r="E60" s="87" t="s">
        <v>1226</v>
      </c>
      <c r="F60" s="48" t="s">
        <v>25</v>
      </c>
      <c r="G60" s="48">
        <v>0</v>
      </c>
      <c r="H60" s="48" t="s">
        <v>17</v>
      </c>
      <c r="I60" s="48" t="s">
        <v>23</v>
      </c>
      <c r="J60" s="87"/>
      <c r="K60" s="88">
        <v>38138</v>
      </c>
      <c r="L60" s="89">
        <f t="shared" si="5"/>
        <v>2004</v>
      </c>
      <c r="M60" s="89">
        <f t="shared" si="0"/>
        <v>15</v>
      </c>
      <c r="N60" s="48" t="s">
        <v>11</v>
      </c>
      <c r="O60" s="48"/>
      <c r="P60" s="87" t="s">
        <v>12</v>
      </c>
      <c r="Q60" s="48"/>
      <c r="R60" s="87" t="s">
        <v>18</v>
      </c>
    </row>
    <row r="61" spans="2:18">
      <c r="B61" s="130"/>
      <c r="C61" s="130"/>
      <c r="D61" s="48">
        <v>54</v>
      </c>
      <c r="E61" s="87" t="s">
        <v>1227</v>
      </c>
      <c r="F61" s="48" t="s">
        <v>25</v>
      </c>
      <c r="G61" s="48">
        <v>0</v>
      </c>
      <c r="H61" s="48" t="s">
        <v>17</v>
      </c>
      <c r="I61" s="48" t="s">
        <v>23</v>
      </c>
      <c r="J61" s="87"/>
      <c r="K61" s="88">
        <v>41010</v>
      </c>
      <c r="L61" s="89">
        <f t="shared" si="5"/>
        <v>2012</v>
      </c>
      <c r="M61" s="89">
        <f t="shared" si="0"/>
        <v>7</v>
      </c>
      <c r="N61" s="48" t="s">
        <v>11</v>
      </c>
      <c r="O61" s="48"/>
      <c r="P61" s="87" t="s">
        <v>18</v>
      </c>
      <c r="Q61" s="48"/>
      <c r="R61" s="87" t="s">
        <v>18</v>
      </c>
    </row>
    <row r="62" spans="2:18">
      <c r="B62" s="130">
        <v>17</v>
      </c>
      <c r="C62" s="131"/>
      <c r="D62" s="48">
        <v>55</v>
      </c>
      <c r="E62" s="87" t="s">
        <v>1228</v>
      </c>
      <c r="F62" s="48" t="s">
        <v>14</v>
      </c>
      <c r="G62" s="48" t="s">
        <v>1229</v>
      </c>
      <c r="H62" s="48" t="s">
        <v>9</v>
      </c>
      <c r="I62" s="48" t="s">
        <v>10</v>
      </c>
      <c r="J62" s="87"/>
      <c r="K62" s="88">
        <v>14976</v>
      </c>
      <c r="L62" s="89">
        <f t="shared" si="5"/>
        <v>1940</v>
      </c>
      <c r="M62" s="89">
        <f t="shared" si="0"/>
        <v>79</v>
      </c>
      <c r="N62" s="48" t="s">
        <v>11</v>
      </c>
      <c r="O62" s="48"/>
      <c r="P62" s="87" t="s">
        <v>18</v>
      </c>
      <c r="Q62" s="48"/>
      <c r="R62" s="87" t="s">
        <v>58</v>
      </c>
    </row>
    <row r="63" spans="2:18">
      <c r="B63" s="130"/>
      <c r="C63" s="132"/>
      <c r="D63" s="48">
        <v>56</v>
      </c>
      <c r="E63" s="87" t="s">
        <v>800</v>
      </c>
      <c r="F63" s="48" t="s">
        <v>20</v>
      </c>
      <c r="G63" s="48" t="s">
        <v>1230</v>
      </c>
      <c r="H63" s="48" t="s">
        <v>17</v>
      </c>
      <c r="I63" s="48" t="s">
        <v>10</v>
      </c>
      <c r="J63" s="87"/>
      <c r="K63" s="88">
        <v>19724</v>
      </c>
      <c r="L63" s="89">
        <f t="shared" si="5"/>
        <v>1953</v>
      </c>
      <c r="M63" s="89">
        <f t="shared" si="0"/>
        <v>66</v>
      </c>
      <c r="N63" s="48" t="s">
        <v>11</v>
      </c>
      <c r="O63" s="48"/>
      <c r="P63" s="87" t="s">
        <v>18</v>
      </c>
      <c r="Q63" s="48"/>
      <c r="R63" s="87" t="s">
        <v>58</v>
      </c>
    </row>
    <row r="64" spans="2:18" ht="38.25">
      <c r="B64" s="130"/>
      <c r="C64" s="133"/>
      <c r="D64" s="48">
        <v>57</v>
      </c>
      <c r="E64" s="87" t="s">
        <v>1231</v>
      </c>
      <c r="F64" s="48" t="s">
        <v>25</v>
      </c>
      <c r="G64" s="48" t="s">
        <v>1232</v>
      </c>
      <c r="H64" s="48" t="s">
        <v>9</v>
      </c>
      <c r="I64" s="48" t="s">
        <v>123</v>
      </c>
      <c r="J64" s="87"/>
      <c r="K64" s="88">
        <v>29993</v>
      </c>
      <c r="L64" s="89">
        <f t="shared" si="5"/>
        <v>1982</v>
      </c>
      <c r="M64" s="89">
        <f t="shared" si="0"/>
        <v>37</v>
      </c>
      <c r="N64" s="48" t="s">
        <v>11</v>
      </c>
      <c r="O64" s="48"/>
      <c r="P64" s="87" t="s">
        <v>28</v>
      </c>
      <c r="Q64" s="48"/>
      <c r="R64" s="87" t="s">
        <v>24</v>
      </c>
    </row>
    <row r="65" spans="1:63">
      <c r="B65" s="130">
        <v>18</v>
      </c>
      <c r="C65" s="130"/>
      <c r="D65" s="48">
        <v>58</v>
      </c>
      <c r="E65" s="87" t="s">
        <v>1233</v>
      </c>
      <c r="F65" s="48" t="s">
        <v>14</v>
      </c>
      <c r="G65" s="48" t="s">
        <v>1234</v>
      </c>
      <c r="H65" s="48" t="s">
        <v>9</v>
      </c>
      <c r="I65" s="48" t="s">
        <v>10</v>
      </c>
      <c r="J65" s="87"/>
      <c r="K65" s="88">
        <v>14976</v>
      </c>
      <c r="L65" s="89">
        <f t="shared" si="5"/>
        <v>1940</v>
      </c>
      <c r="M65" s="89">
        <f t="shared" si="0"/>
        <v>79</v>
      </c>
      <c r="N65" s="48" t="s">
        <v>11</v>
      </c>
      <c r="O65" s="48"/>
      <c r="P65" s="87" t="s">
        <v>18</v>
      </c>
      <c r="Q65" s="48"/>
      <c r="R65" s="87" t="s">
        <v>58</v>
      </c>
    </row>
    <row r="66" spans="1:63">
      <c r="B66" s="130"/>
      <c r="C66" s="130"/>
      <c r="D66" s="48">
        <v>59</v>
      </c>
      <c r="E66" s="87" t="s">
        <v>1235</v>
      </c>
      <c r="F66" s="48" t="s">
        <v>20</v>
      </c>
      <c r="G66" s="48" t="s">
        <v>1236</v>
      </c>
      <c r="H66" s="48" t="s">
        <v>17</v>
      </c>
      <c r="I66" s="48" t="s">
        <v>10</v>
      </c>
      <c r="J66" s="87"/>
      <c r="K66" s="88">
        <v>15706</v>
      </c>
      <c r="L66" s="89">
        <f t="shared" si="5"/>
        <v>1942</v>
      </c>
      <c r="M66" s="89">
        <f t="shared" si="0"/>
        <v>77</v>
      </c>
      <c r="N66" s="48" t="s">
        <v>11</v>
      </c>
      <c r="O66" s="48"/>
      <c r="P66" s="87" t="s">
        <v>18</v>
      </c>
      <c r="Q66" s="48"/>
      <c r="R66" s="87" t="s">
        <v>18</v>
      </c>
    </row>
    <row r="67" spans="1:63">
      <c r="B67" s="130"/>
      <c r="C67" s="130"/>
      <c r="D67" s="48">
        <v>60</v>
      </c>
      <c r="E67" s="87" t="s">
        <v>326</v>
      </c>
      <c r="F67" s="48" t="s">
        <v>25</v>
      </c>
      <c r="G67" s="48" t="s">
        <v>1237</v>
      </c>
      <c r="H67" s="48" t="s">
        <v>17</v>
      </c>
      <c r="I67" s="48" t="s">
        <v>67</v>
      </c>
      <c r="J67" s="87"/>
      <c r="K67" s="88">
        <v>25933</v>
      </c>
      <c r="L67" s="89">
        <f t="shared" si="5"/>
        <v>1970</v>
      </c>
      <c r="M67" s="89">
        <f t="shared" si="0"/>
        <v>49</v>
      </c>
      <c r="N67" s="48" t="s">
        <v>11</v>
      </c>
      <c r="O67" s="48"/>
      <c r="P67" s="87" t="s">
        <v>18</v>
      </c>
      <c r="Q67" s="48"/>
      <c r="R67" s="87" t="s">
        <v>24</v>
      </c>
    </row>
    <row r="68" spans="1:63">
      <c r="B68" s="130"/>
      <c r="C68" s="130"/>
      <c r="D68" s="48">
        <v>61</v>
      </c>
      <c r="E68" s="87" t="s">
        <v>116</v>
      </c>
      <c r="F68" s="48" t="s">
        <v>25</v>
      </c>
      <c r="G68" s="48" t="s">
        <v>1238</v>
      </c>
      <c r="H68" s="48" t="s">
        <v>17</v>
      </c>
      <c r="I68" s="48" t="s">
        <v>23</v>
      </c>
      <c r="J68" s="87"/>
      <c r="K68" s="88">
        <v>26664</v>
      </c>
      <c r="L68" s="89">
        <f t="shared" si="5"/>
        <v>1972</v>
      </c>
      <c r="M68" s="89">
        <f t="shared" si="0"/>
        <v>47</v>
      </c>
      <c r="N68" s="48" t="s">
        <v>11</v>
      </c>
      <c r="O68" s="48"/>
      <c r="P68" s="87" t="s">
        <v>18</v>
      </c>
      <c r="Q68" s="48"/>
      <c r="R68" s="87" t="s">
        <v>24</v>
      </c>
    </row>
    <row r="69" spans="1:63">
      <c r="B69" s="130"/>
      <c r="C69" s="130"/>
      <c r="D69" s="48">
        <v>62</v>
      </c>
      <c r="E69" s="87" t="s">
        <v>237</v>
      </c>
      <c r="F69" s="48" t="s">
        <v>25</v>
      </c>
      <c r="G69" s="48" t="s">
        <v>1239</v>
      </c>
      <c r="H69" s="48" t="s">
        <v>9</v>
      </c>
      <c r="I69" s="48" t="s">
        <v>23</v>
      </c>
      <c r="J69" s="87"/>
      <c r="K69" s="88">
        <v>28125</v>
      </c>
      <c r="L69" s="89">
        <f t="shared" si="5"/>
        <v>1976</v>
      </c>
      <c r="M69" s="89">
        <f t="shared" si="0"/>
        <v>43</v>
      </c>
      <c r="N69" s="48" t="s">
        <v>11</v>
      </c>
      <c r="O69" s="48"/>
      <c r="P69" s="87" t="s">
        <v>28</v>
      </c>
      <c r="Q69" s="48"/>
      <c r="R69" s="87" t="s">
        <v>24</v>
      </c>
    </row>
    <row r="70" spans="1:63">
      <c r="B70" s="130"/>
      <c r="C70" s="130"/>
      <c r="D70" s="48">
        <v>63</v>
      </c>
      <c r="E70" s="87" t="s">
        <v>1240</v>
      </c>
      <c r="F70" s="48" t="s">
        <v>25</v>
      </c>
      <c r="G70" s="48" t="s">
        <v>1241</v>
      </c>
      <c r="H70" s="48" t="s">
        <v>9</v>
      </c>
      <c r="I70" s="48" t="s">
        <v>23</v>
      </c>
      <c r="J70" s="87"/>
      <c r="K70" s="88">
        <v>31777</v>
      </c>
      <c r="L70" s="89">
        <f t="shared" si="5"/>
        <v>1986</v>
      </c>
      <c r="M70" s="89">
        <f t="shared" si="0"/>
        <v>33</v>
      </c>
      <c r="N70" s="48" t="s">
        <v>11</v>
      </c>
      <c r="O70" s="48"/>
      <c r="P70" s="87" t="s">
        <v>33</v>
      </c>
      <c r="Q70" s="48"/>
      <c r="R70" s="87" t="s">
        <v>24</v>
      </c>
    </row>
    <row r="71" spans="1:63">
      <c r="B71" s="130">
        <v>19</v>
      </c>
      <c r="C71" s="130"/>
      <c r="D71" s="48">
        <v>64</v>
      </c>
      <c r="E71" s="87" t="s">
        <v>1242</v>
      </c>
      <c r="F71" s="48" t="s">
        <v>14</v>
      </c>
      <c r="G71" s="48" t="s">
        <v>1243</v>
      </c>
      <c r="H71" s="48" t="s">
        <v>9</v>
      </c>
      <c r="I71" s="48" t="s">
        <v>10</v>
      </c>
      <c r="J71" s="87"/>
      <c r="K71" s="88">
        <v>26856</v>
      </c>
      <c r="L71" s="89">
        <f t="shared" si="5"/>
        <v>1973</v>
      </c>
      <c r="M71" s="89">
        <f t="shared" si="0"/>
        <v>46</v>
      </c>
      <c r="N71" s="48" t="s">
        <v>11</v>
      </c>
      <c r="O71" s="48"/>
      <c r="P71" s="87" t="s">
        <v>18</v>
      </c>
      <c r="Q71" s="48"/>
      <c r="R71" s="87" t="s">
        <v>24</v>
      </c>
    </row>
    <row r="72" spans="1:63">
      <c r="B72" s="130"/>
      <c r="C72" s="130"/>
      <c r="D72" s="48">
        <v>65</v>
      </c>
      <c r="E72" s="87" t="s">
        <v>1244</v>
      </c>
      <c r="F72" s="48" t="s">
        <v>20</v>
      </c>
      <c r="G72" s="48" t="s">
        <v>1245</v>
      </c>
      <c r="H72" s="48" t="s">
        <v>17</v>
      </c>
      <c r="I72" s="48" t="s">
        <v>10</v>
      </c>
      <c r="J72" s="87"/>
      <c r="K72" s="88">
        <v>29089</v>
      </c>
      <c r="L72" s="89">
        <f t="shared" si="5"/>
        <v>1979</v>
      </c>
      <c r="M72" s="89">
        <f t="shared" si="0"/>
        <v>40</v>
      </c>
      <c r="N72" s="48" t="s">
        <v>11</v>
      </c>
      <c r="O72" s="48"/>
      <c r="P72" s="87" t="s">
        <v>18</v>
      </c>
      <c r="Q72" s="48"/>
      <c r="R72" s="87" t="s">
        <v>24</v>
      </c>
    </row>
    <row r="73" spans="1:63" ht="38.25">
      <c r="B73" s="130"/>
      <c r="C73" s="130"/>
      <c r="D73" s="48">
        <v>66</v>
      </c>
      <c r="E73" s="87" t="s">
        <v>1246</v>
      </c>
      <c r="F73" s="48" t="s">
        <v>25</v>
      </c>
      <c r="G73" s="48" t="s">
        <v>1247</v>
      </c>
      <c r="H73" s="48" t="s">
        <v>9</v>
      </c>
      <c r="I73" s="48" t="s">
        <v>23</v>
      </c>
      <c r="J73" s="87"/>
      <c r="K73" s="88">
        <v>40042</v>
      </c>
      <c r="L73" s="89">
        <f t="shared" si="5"/>
        <v>2009</v>
      </c>
      <c r="M73" s="89">
        <f t="shared" ref="M73:M105" si="6">2019-L73</f>
        <v>10</v>
      </c>
      <c r="N73" s="48" t="s">
        <v>11</v>
      </c>
      <c r="O73" s="48"/>
      <c r="P73" s="87" t="s">
        <v>18</v>
      </c>
      <c r="Q73" s="48"/>
      <c r="R73" s="87" t="s">
        <v>18</v>
      </c>
    </row>
    <row r="74" spans="1:63" ht="25.5">
      <c r="B74" s="130"/>
      <c r="C74" s="130"/>
      <c r="D74" s="48">
        <v>67</v>
      </c>
      <c r="E74" s="87" t="s">
        <v>1248</v>
      </c>
      <c r="F74" s="48" t="s">
        <v>25</v>
      </c>
      <c r="G74" s="48" t="s">
        <v>1249</v>
      </c>
      <c r="H74" s="48" t="s">
        <v>9</v>
      </c>
      <c r="I74" s="48" t="s">
        <v>23</v>
      </c>
      <c r="J74" s="87"/>
      <c r="K74" s="88">
        <v>41199</v>
      </c>
      <c r="L74" s="89">
        <f t="shared" si="5"/>
        <v>2012</v>
      </c>
      <c r="M74" s="89">
        <f t="shared" si="6"/>
        <v>7</v>
      </c>
      <c r="N74" s="48" t="s">
        <v>11</v>
      </c>
      <c r="O74" s="48"/>
      <c r="P74" s="87" t="s">
        <v>18</v>
      </c>
      <c r="Q74" s="48"/>
      <c r="R74" s="87" t="s">
        <v>18</v>
      </c>
    </row>
    <row r="75" spans="1:63" ht="25.5">
      <c r="B75" s="130">
        <v>20</v>
      </c>
      <c r="C75" s="130" t="s">
        <v>1985</v>
      </c>
      <c r="D75" s="48">
        <v>68</v>
      </c>
      <c r="E75" s="87" t="s">
        <v>1986</v>
      </c>
      <c r="F75" s="48" t="s">
        <v>14</v>
      </c>
      <c r="G75" s="48" t="s">
        <v>1250</v>
      </c>
      <c r="H75" s="48" t="s">
        <v>17</v>
      </c>
      <c r="I75" s="48" t="s">
        <v>1448</v>
      </c>
      <c r="J75" s="87" t="s">
        <v>1368</v>
      </c>
      <c r="K75" s="88">
        <v>19176</v>
      </c>
      <c r="L75" s="89">
        <v>1952</v>
      </c>
      <c r="M75" s="89">
        <f t="shared" si="6"/>
        <v>67</v>
      </c>
      <c r="N75" s="48" t="s">
        <v>11</v>
      </c>
      <c r="O75" s="48" t="s">
        <v>1369</v>
      </c>
      <c r="P75" s="87" t="s">
        <v>1970</v>
      </c>
      <c r="Q75" s="48"/>
      <c r="R75" s="87" t="s">
        <v>1371</v>
      </c>
    </row>
    <row r="76" spans="1:63" ht="25.5">
      <c r="B76" s="130"/>
      <c r="C76" s="130"/>
      <c r="D76" s="48">
        <v>69</v>
      </c>
      <c r="E76" s="87" t="s">
        <v>1987</v>
      </c>
      <c r="F76" s="48" t="s">
        <v>25</v>
      </c>
      <c r="G76" s="48" t="s">
        <v>1251</v>
      </c>
      <c r="H76" s="48" t="s">
        <v>9</v>
      </c>
      <c r="I76" s="48" t="s">
        <v>23</v>
      </c>
      <c r="J76" s="87" t="s">
        <v>1368</v>
      </c>
      <c r="K76" s="88">
        <v>31777</v>
      </c>
      <c r="L76" s="89">
        <v>1986</v>
      </c>
      <c r="M76" s="89">
        <f t="shared" si="6"/>
        <v>33</v>
      </c>
      <c r="N76" s="48" t="s">
        <v>11</v>
      </c>
      <c r="O76" s="48" t="s">
        <v>1369</v>
      </c>
      <c r="P76" s="87" t="s">
        <v>33</v>
      </c>
      <c r="Q76" s="48"/>
      <c r="R76" s="87" t="s">
        <v>1371</v>
      </c>
    </row>
    <row r="77" spans="1:63">
      <c r="B77" s="48">
        <v>21</v>
      </c>
      <c r="C77" s="48"/>
      <c r="D77" s="48">
        <v>70</v>
      </c>
      <c r="E77" s="87" t="s">
        <v>189</v>
      </c>
      <c r="F77" s="48" t="s">
        <v>14</v>
      </c>
      <c r="G77" s="48">
        <v>0</v>
      </c>
      <c r="H77" s="48" t="s">
        <v>9</v>
      </c>
      <c r="I77" s="48" t="s">
        <v>23</v>
      </c>
      <c r="J77" s="87"/>
      <c r="K77" s="88">
        <v>30133</v>
      </c>
      <c r="L77" s="89">
        <f>YEAR(K77)</f>
        <v>1982</v>
      </c>
      <c r="M77" s="89">
        <f t="shared" si="6"/>
        <v>37</v>
      </c>
      <c r="N77" s="48" t="s">
        <v>11</v>
      </c>
      <c r="O77" s="48"/>
      <c r="P77" s="87" t="s">
        <v>28</v>
      </c>
      <c r="Q77" s="48"/>
      <c r="R77" s="87" t="s">
        <v>24</v>
      </c>
    </row>
    <row r="78" spans="1:63" s="48" customFormat="1" ht="25.5">
      <c r="A78" s="54"/>
      <c r="B78" s="130">
        <v>22</v>
      </c>
      <c r="C78" s="130" t="s">
        <v>1999</v>
      </c>
      <c r="D78" s="48">
        <v>71</v>
      </c>
      <c r="E78" s="87" t="s">
        <v>1998</v>
      </c>
      <c r="F78" s="48" t="s">
        <v>14</v>
      </c>
      <c r="G78" s="48" t="s">
        <v>1252</v>
      </c>
      <c r="H78" s="48" t="s">
        <v>17</v>
      </c>
      <c r="I78" s="48" t="s">
        <v>1448</v>
      </c>
      <c r="J78" s="87" t="s">
        <v>1368</v>
      </c>
      <c r="K78" s="88">
        <v>22828</v>
      </c>
      <c r="L78" s="89">
        <v>1982</v>
      </c>
      <c r="M78" s="89">
        <f t="shared" si="6"/>
        <v>37</v>
      </c>
      <c r="N78" s="48" t="s">
        <v>11</v>
      </c>
      <c r="O78" s="48" t="s">
        <v>1369</v>
      </c>
      <c r="P78" s="87" t="s">
        <v>1970</v>
      </c>
      <c r="R78" s="87" t="s">
        <v>1373</v>
      </c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5"/>
    </row>
    <row r="79" spans="1:63" s="48" customFormat="1">
      <c r="A79" s="54"/>
      <c r="B79" s="130"/>
      <c r="C79" s="130"/>
      <c r="D79" s="48">
        <v>72</v>
      </c>
      <c r="E79" s="87" t="s">
        <v>1253</v>
      </c>
      <c r="F79" s="48" t="s">
        <v>25</v>
      </c>
      <c r="G79" s="48" t="s">
        <v>1254</v>
      </c>
      <c r="H79" s="48" t="s">
        <v>17</v>
      </c>
      <c r="I79" s="48" t="s">
        <v>23</v>
      </c>
      <c r="J79" s="87" t="s">
        <v>1368</v>
      </c>
      <c r="K79" s="88">
        <v>33389</v>
      </c>
      <c r="L79" s="89">
        <v>1991</v>
      </c>
      <c r="M79" s="89">
        <f t="shared" si="6"/>
        <v>28</v>
      </c>
      <c r="N79" s="48" t="s">
        <v>11</v>
      </c>
      <c r="O79" s="48" t="s">
        <v>1369</v>
      </c>
      <c r="P79" s="87" t="s">
        <v>36</v>
      </c>
      <c r="R79" s="87" t="s">
        <v>13</v>
      </c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5"/>
    </row>
    <row r="80" spans="1:63" s="48" customFormat="1">
      <c r="A80" s="51"/>
      <c r="B80" s="130">
        <v>23</v>
      </c>
      <c r="C80" s="130" t="s">
        <v>2129</v>
      </c>
      <c r="D80" s="48">
        <v>73</v>
      </c>
      <c r="E80" s="87" t="s">
        <v>2128</v>
      </c>
      <c r="F80" s="48" t="s">
        <v>14</v>
      </c>
      <c r="G80" s="48" t="s">
        <v>2161</v>
      </c>
      <c r="H80" s="48" t="s">
        <v>9</v>
      </c>
      <c r="I80" s="48" t="s">
        <v>10</v>
      </c>
      <c r="J80" s="87" t="s">
        <v>1368</v>
      </c>
      <c r="K80" s="88">
        <v>24654</v>
      </c>
      <c r="L80" s="89">
        <v>1961</v>
      </c>
      <c r="M80" s="89">
        <f t="shared" si="6"/>
        <v>58</v>
      </c>
      <c r="N80" s="48" t="s">
        <v>11</v>
      </c>
      <c r="O80" s="48" t="s">
        <v>1369</v>
      </c>
      <c r="P80" s="87" t="s">
        <v>28</v>
      </c>
      <c r="R80" s="87" t="s">
        <v>1460</v>
      </c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5"/>
    </row>
    <row r="81" spans="1:63" s="48" customFormat="1" ht="25.5">
      <c r="A81" s="53"/>
      <c r="B81" s="130"/>
      <c r="C81" s="130"/>
      <c r="D81" s="48">
        <v>74</v>
      </c>
      <c r="E81" s="87" t="s">
        <v>836</v>
      </c>
      <c r="F81" s="48" t="s">
        <v>20</v>
      </c>
      <c r="G81" s="48" t="s">
        <v>2162</v>
      </c>
      <c r="H81" s="48" t="s">
        <v>17</v>
      </c>
      <c r="I81" s="48" t="s">
        <v>10</v>
      </c>
      <c r="J81" s="87" t="s">
        <v>1387</v>
      </c>
      <c r="K81" s="88">
        <v>23742</v>
      </c>
      <c r="L81" s="89">
        <v>1964</v>
      </c>
      <c r="M81" s="89">
        <f t="shared" si="6"/>
        <v>55</v>
      </c>
      <c r="N81" s="48" t="s">
        <v>11</v>
      </c>
      <c r="O81" s="48" t="s">
        <v>1369</v>
      </c>
      <c r="P81" s="87" t="s">
        <v>28</v>
      </c>
      <c r="R81" s="87" t="s">
        <v>1373</v>
      </c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5"/>
    </row>
    <row r="82" spans="1:63" s="48" customFormat="1" ht="25.5">
      <c r="A82" s="53"/>
      <c r="B82" s="130"/>
      <c r="C82" s="130"/>
      <c r="D82" s="48">
        <v>75</v>
      </c>
      <c r="E82" s="87" t="s">
        <v>2159</v>
      </c>
      <c r="F82" s="48" t="s">
        <v>25</v>
      </c>
      <c r="G82" s="48" t="s">
        <v>2160</v>
      </c>
      <c r="H82" s="48" t="s">
        <v>17</v>
      </c>
      <c r="I82" s="48" t="s">
        <v>23</v>
      </c>
      <c r="J82" s="87" t="s">
        <v>1368</v>
      </c>
      <c r="K82" s="88">
        <v>35430</v>
      </c>
      <c r="L82" s="89">
        <v>1996</v>
      </c>
      <c r="M82" s="89">
        <f t="shared" si="6"/>
        <v>23</v>
      </c>
      <c r="N82" s="48" t="s">
        <v>11</v>
      </c>
      <c r="O82" s="48" t="s">
        <v>1369</v>
      </c>
      <c r="P82" s="87" t="s">
        <v>1385</v>
      </c>
      <c r="R82" s="87" t="s">
        <v>1555</v>
      </c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5"/>
    </row>
    <row r="83" spans="1:63">
      <c r="B83" s="130">
        <v>24</v>
      </c>
      <c r="C83" s="130"/>
      <c r="D83" s="48">
        <v>76</v>
      </c>
      <c r="E83" s="87" t="s">
        <v>257</v>
      </c>
      <c r="F83" s="48" t="s">
        <v>14</v>
      </c>
      <c r="G83" s="48" t="s">
        <v>1256</v>
      </c>
      <c r="H83" s="48" t="s">
        <v>9</v>
      </c>
      <c r="I83" s="48" t="s">
        <v>23</v>
      </c>
      <c r="J83" s="87"/>
      <c r="K83" s="88">
        <v>23376</v>
      </c>
      <c r="L83" s="89">
        <f t="shared" ref="L83:L84" si="7">YEAR(K83)</f>
        <v>1963</v>
      </c>
      <c r="M83" s="89">
        <f t="shared" si="6"/>
        <v>56</v>
      </c>
      <c r="N83" s="48" t="s">
        <v>11</v>
      </c>
      <c r="O83" s="48"/>
      <c r="P83" s="87" t="s">
        <v>18</v>
      </c>
      <c r="Q83" s="48"/>
      <c r="R83" s="87" t="s">
        <v>58</v>
      </c>
    </row>
    <row r="84" spans="1:63">
      <c r="B84" s="130"/>
      <c r="C84" s="130"/>
      <c r="D84" s="48">
        <v>77</v>
      </c>
      <c r="E84" s="87" t="s">
        <v>1257</v>
      </c>
      <c r="F84" s="48" t="s">
        <v>25</v>
      </c>
      <c r="G84" s="48" t="s">
        <v>1258</v>
      </c>
      <c r="H84" s="48" t="s">
        <v>17</v>
      </c>
      <c r="I84" s="48" t="s">
        <v>67</v>
      </c>
      <c r="J84" s="87"/>
      <c r="K84" s="88">
        <v>34334</v>
      </c>
      <c r="L84" s="89">
        <f t="shared" si="7"/>
        <v>1993</v>
      </c>
      <c r="M84" s="89">
        <f t="shared" si="6"/>
        <v>26</v>
      </c>
      <c r="N84" s="48" t="s">
        <v>11</v>
      </c>
      <c r="O84" s="48"/>
      <c r="P84" s="87" t="s">
        <v>12</v>
      </c>
      <c r="Q84" s="48"/>
      <c r="R84" s="87" t="s">
        <v>18</v>
      </c>
    </row>
    <row r="85" spans="1:63" ht="25.5">
      <c r="B85" s="130">
        <v>25</v>
      </c>
      <c r="C85" s="130" t="s">
        <v>1994</v>
      </c>
      <c r="D85" s="48">
        <v>78</v>
      </c>
      <c r="E85" s="87" t="s">
        <v>1259</v>
      </c>
      <c r="F85" s="48" t="s">
        <v>14</v>
      </c>
      <c r="G85" s="48" t="s">
        <v>1995</v>
      </c>
      <c r="H85" s="48" t="s">
        <v>9</v>
      </c>
      <c r="I85" s="48" t="s">
        <v>10</v>
      </c>
      <c r="J85" s="87" t="s">
        <v>1387</v>
      </c>
      <c r="K85" s="88">
        <v>19359</v>
      </c>
      <c r="L85" s="89">
        <v>1952</v>
      </c>
      <c r="M85" s="89">
        <f t="shared" si="6"/>
        <v>67</v>
      </c>
      <c r="N85" s="48" t="s">
        <v>11</v>
      </c>
      <c r="O85" s="48" t="s">
        <v>1369</v>
      </c>
      <c r="P85" s="87" t="s">
        <v>1970</v>
      </c>
      <c r="Q85" s="48"/>
      <c r="R85" s="87" t="s">
        <v>1460</v>
      </c>
    </row>
    <row r="86" spans="1:63" ht="25.5">
      <c r="B86" s="130"/>
      <c r="C86" s="130"/>
      <c r="D86" s="48">
        <v>79</v>
      </c>
      <c r="E86" s="87" t="s">
        <v>1260</v>
      </c>
      <c r="F86" s="48" t="s">
        <v>20</v>
      </c>
      <c r="G86" s="48" t="s">
        <v>1261</v>
      </c>
      <c r="H86" s="48" t="s">
        <v>17</v>
      </c>
      <c r="I86" s="48" t="s">
        <v>10</v>
      </c>
      <c r="J86" s="87" t="s">
        <v>1387</v>
      </c>
      <c r="K86" s="88">
        <v>21185</v>
      </c>
      <c r="L86" s="89">
        <v>1957</v>
      </c>
      <c r="M86" s="89">
        <f t="shared" si="6"/>
        <v>62</v>
      </c>
      <c r="N86" s="48" t="s">
        <v>11</v>
      </c>
      <c r="O86" s="48" t="s">
        <v>1369</v>
      </c>
      <c r="P86" s="87" t="s">
        <v>1970</v>
      </c>
      <c r="Q86" s="48"/>
      <c r="R86" s="87" t="s">
        <v>1460</v>
      </c>
    </row>
    <row r="87" spans="1:63" ht="25.5">
      <c r="B87" s="130">
        <v>26</v>
      </c>
      <c r="C87" s="130" t="s">
        <v>1992</v>
      </c>
      <c r="D87" s="48">
        <v>80</v>
      </c>
      <c r="E87" s="87" t="s">
        <v>1262</v>
      </c>
      <c r="F87" s="48" t="s">
        <v>14</v>
      </c>
      <c r="G87" s="48" t="s">
        <v>1263</v>
      </c>
      <c r="H87" s="48" t="s">
        <v>9</v>
      </c>
      <c r="I87" s="48" t="s">
        <v>10</v>
      </c>
      <c r="J87" s="87" t="s">
        <v>1387</v>
      </c>
      <c r="K87" s="88">
        <v>30042</v>
      </c>
      <c r="L87" s="89">
        <v>1982</v>
      </c>
      <c r="M87" s="89">
        <f t="shared" si="6"/>
        <v>37</v>
      </c>
      <c r="N87" s="48" t="s">
        <v>11</v>
      </c>
      <c r="O87" s="48" t="s">
        <v>1369</v>
      </c>
      <c r="P87" s="87" t="s">
        <v>33</v>
      </c>
      <c r="Q87" s="48"/>
      <c r="R87" s="87" t="s">
        <v>1371</v>
      </c>
    </row>
    <row r="88" spans="1:63" ht="25.5">
      <c r="B88" s="130"/>
      <c r="C88" s="130"/>
      <c r="D88" s="48">
        <v>81</v>
      </c>
      <c r="E88" s="87" t="s">
        <v>1264</v>
      </c>
      <c r="F88" s="48" t="s">
        <v>20</v>
      </c>
      <c r="G88" s="48" t="s">
        <v>1265</v>
      </c>
      <c r="H88" s="48" t="s">
        <v>17</v>
      </c>
      <c r="I88" s="48" t="s">
        <v>10</v>
      </c>
      <c r="J88" s="87" t="s">
        <v>1387</v>
      </c>
      <c r="K88" s="88">
        <v>32142</v>
      </c>
      <c r="L88" s="89">
        <v>1987</v>
      </c>
      <c r="M88" s="89">
        <f t="shared" si="6"/>
        <v>32</v>
      </c>
      <c r="N88" s="48" t="s">
        <v>11</v>
      </c>
      <c r="O88" s="48" t="s">
        <v>1369</v>
      </c>
      <c r="P88" s="87" t="s">
        <v>28</v>
      </c>
      <c r="Q88" s="48"/>
      <c r="R88" s="87" t="s">
        <v>1371</v>
      </c>
    </row>
    <row r="89" spans="1:63" ht="25.5">
      <c r="B89" s="130"/>
      <c r="C89" s="130"/>
      <c r="D89" s="48">
        <v>82</v>
      </c>
      <c r="E89" s="87" t="s">
        <v>1993</v>
      </c>
      <c r="F89" s="48" t="s">
        <v>25</v>
      </c>
      <c r="G89" s="48" t="s">
        <v>1266</v>
      </c>
      <c r="H89" s="48" t="s">
        <v>9</v>
      </c>
      <c r="I89" s="48" t="s">
        <v>23</v>
      </c>
      <c r="J89" s="87" t="s">
        <v>1387</v>
      </c>
      <c r="K89" s="88">
        <v>41434</v>
      </c>
      <c r="L89" s="89">
        <v>2013</v>
      </c>
      <c r="M89" s="89">
        <f t="shared" si="6"/>
        <v>6</v>
      </c>
      <c r="N89" s="48" t="s">
        <v>11</v>
      </c>
      <c r="O89" s="48" t="s">
        <v>1369</v>
      </c>
      <c r="P89" s="87" t="s">
        <v>1970</v>
      </c>
      <c r="Q89" s="48"/>
      <c r="R89" s="87" t="s">
        <v>1555</v>
      </c>
    </row>
    <row r="90" spans="1:63" ht="25.5">
      <c r="B90" s="130">
        <v>27</v>
      </c>
      <c r="C90" s="130" t="s">
        <v>2000</v>
      </c>
      <c r="D90" s="48">
        <v>83</v>
      </c>
      <c r="E90" s="87" t="s">
        <v>1267</v>
      </c>
      <c r="F90" s="48" t="s">
        <v>14</v>
      </c>
      <c r="G90" s="48" t="s">
        <v>1268</v>
      </c>
      <c r="H90" s="48" t="s">
        <v>9</v>
      </c>
      <c r="I90" s="48" t="s">
        <v>10</v>
      </c>
      <c r="J90" s="87" t="s">
        <v>1647</v>
      </c>
      <c r="K90" s="88">
        <v>26481</v>
      </c>
      <c r="L90" s="89">
        <v>1972</v>
      </c>
      <c r="M90" s="89">
        <f t="shared" si="6"/>
        <v>47</v>
      </c>
      <c r="N90" s="48" t="s">
        <v>11</v>
      </c>
      <c r="O90" s="48" t="s">
        <v>1369</v>
      </c>
      <c r="P90" s="87" t="s">
        <v>28</v>
      </c>
      <c r="Q90" s="48"/>
      <c r="R90" s="87" t="s">
        <v>1371</v>
      </c>
    </row>
    <row r="91" spans="1:63" ht="25.5">
      <c r="B91" s="130"/>
      <c r="C91" s="130"/>
      <c r="D91" s="48">
        <v>84</v>
      </c>
      <c r="E91" s="87" t="s">
        <v>284</v>
      </c>
      <c r="F91" s="48" t="s">
        <v>20</v>
      </c>
      <c r="G91" s="48" t="s">
        <v>1269</v>
      </c>
      <c r="H91" s="48" t="s">
        <v>17</v>
      </c>
      <c r="I91" s="48" t="s">
        <v>10</v>
      </c>
      <c r="J91" s="87" t="s">
        <v>1647</v>
      </c>
      <c r="K91" s="88">
        <v>28307</v>
      </c>
      <c r="L91" s="89">
        <v>1977</v>
      </c>
      <c r="M91" s="89">
        <f t="shared" si="6"/>
        <v>42</v>
      </c>
      <c r="N91" s="48" t="s">
        <v>11</v>
      </c>
      <c r="O91" s="48" t="s">
        <v>1369</v>
      </c>
      <c r="P91" s="87" t="s">
        <v>28</v>
      </c>
      <c r="Q91" s="48"/>
      <c r="R91" s="87" t="s">
        <v>1371</v>
      </c>
    </row>
    <row r="92" spans="1:63" ht="25.5">
      <c r="B92" s="130"/>
      <c r="C92" s="130"/>
      <c r="D92" s="48">
        <v>85</v>
      </c>
      <c r="E92" s="87" t="s">
        <v>173</v>
      </c>
      <c r="F92" s="48" t="s">
        <v>25</v>
      </c>
      <c r="G92" s="48" t="s">
        <v>1270</v>
      </c>
      <c r="H92" s="48" t="s">
        <v>9</v>
      </c>
      <c r="I92" s="48" t="s">
        <v>23</v>
      </c>
      <c r="J92" s="87" t="s">
        <v>1647</v>
      </c>
      <c r="K92" s="88">
        <v>34273</v>
      </c>
      <c r="L92" s="89">
        <v>1993</v>
      </c>
      <c r="M92" s="89">
        <f t="shared" si="6"/>
        <v>26</v>
      </c>
      <c r="N92" s="48" t="s">
        <v>11</v>
      </c>
      <c r="O92" s="48" t="s">
        <v>1369</v>
      </c>
      <c r="P92" s="87" t="s">
        <v>12</v>
      </c>
      <c r="Q92" s="48"/>
      <c r="R92" s="87" t="s">
        <v>49</v>
      </c>
    </row>
    <row r="93" spans="1:63" ht="25.5">
      <c r="B93" s="130"/>
      <c r="C93" s="130"/>
      <c r="D93" s="48">
        <v>86</v>
      </c>
      <c r="E93" s="87" t="s">
        <v>1271</v>
      </c>
      <c r="F93" s="48" t="s">
        <v>25</v>
      </c>
      <c r="G93" s="48" t="s">
        <v>1272</v>
      </c>
      <c r="H93" s="48" t="s">
        <v>17</v>
      </c>
      <c r="I93" s="48" t="s">
        <v>23</v>
      </c>
      <c r="J93" s="87" t="s">
        <v>1647</v>
      </c>
      <c r="K93" s="88">
        <v>40050</v>
      </c>
      <c r="L93" s="89">
        <v>2009</v>
      </c>
      <c r="M93" s="89">
        <f t="shared" si="6"/>
        <v>10</v>
      </c>
      <c r="N93" s="48" t="s">
        <v>11</v>
      </c>
      <c r="O93" s="48" t="s">
        <v>1369</v>
      </c>
      <c r="P93" s="87" t="s">
        <v>1970</v>
      </c>
      <c r="Q93" s="48"/>
      <c r="R93" s="87" t="s">
        <v>1555</v>
      </c>
    </row>
    <row r="94" spans="1:63" ht="25.5">
      <c r="B94" s="130"/>
      <c r="C94" s="130"/>
      <c r="D94" s="48">
        <v>87</v>
      </c>
      <c r="E94" s="87" t="s">
        <v>1273</v>
      </c>
      <c r="F94" s="48" t="s">
        <v>25</v>
      </c>
      <c r="G94" s="48" t="s">
        <v>1274</v>
      </c>
      <c r="H94" s="48" t="s">
        <v>9</v>
      </c>
      <c r="I94" s="48" t="s">
        <v>23</v>
      </c>
      <c r="J94" s="87" t="s">
        <v>1647</v>
      </c>
      <c r="K94" s="88">
        <v>41439</v>
      </c>
      <c r="L94" s="89">
        <v>2013</v>
      </c>
      <c r="M94" s="89">
        <f t="shared" si="6"/>
        <v>6</v>
      </c>
      <c r="N94" s="48" t="s">
        <v>11</v>
      </c>
      <c r="O94" s="48" t="s">
        <v>1369</v>
      </c>
      <c r="P94" s="87" t="s">
        <v>1970</v>
      </c>
      <c r="Q94" s="48"/>
      <c r="R94" s="87" t="s">
        <v>1555</v>
      </c>
    </row>
    <row r="95" spans="1:63" ht="25.5">
      <c r="B95" s="130"/>
      <c r="C95" s="130"/>
      <c r="D95" s="48">
        <v>88</v>
      </c>
      <c r="E95" s="87" t="s">
        <v>1275</v>
      </c>
      <c r="F95" s="48" t="s">
        <v>408</v>
      </c>
      <c r="G95" s="48">
        <v>0</v>
      </c>
      <c r="H95" s="48" t="s">
        <v>9</v>
      </c>
      <c r="I95" s="48" t="s">
        <v>123</v>
      </c>
      <c r="J95" s="87" t="s">
        <v>1647</v>
      </c>
      <c r="K95" s="88">
        <v>13697</v>
      </c>
      <c r="L95" s="89">
        <v>1937</v>
      </c>
      <c r="M95" s="89">
        <f t="shared" si="6"/>
        <v>82</v>
      </c>
      <c r="N95" s="48" t="s">
        <v>11</v>
      </c>
      <c r="O95" s="48" t="s">
        <v>1369</v>
      </c>
      <c r="P95" s="87" t="s">
        <v>1970</v>
      </c>
      <c r="Q95" s="48"/>
      <c r="R95" s="87" t="s">
        <v>1555</v>
      </c>
    </row>
    <row r="96" spans="1:63" ht="25.5">
      <c r="B96" s="130">
        <v>28</v>
      </c>
      <c r="C96" s="130" t="s">
        <v>1523</v>
      </c>
      <c r="D96" s="48">
        <v>89</v>
      </c>
      <c r="E96" s="87" t="s">
        <v>1276</v>
      </c>
      <c r="F96" s="48" t="s">
        <v>14</v>
      </c>
      <c r="G96" s="48" t="s">
        <v>1277</v>
      </c>
      <c r="H96" s="48" t="s">
        <v>17</v>
      </c>
      <c r="I96" s="48" t="s">
        <v>1448</v>
      </c>
      <c r="J96" s="87" t="s">
        <v>1368</v>
      </c>
      <c r="K96" s="88">
        <v>18628</v>
      </c>
      <c r="L96" s="89">
        <v>1950</v>
      </c>
      <c r="M96" s="89">
        <f t="shared" si="6"/>
        <v>69</v>
      </c>
      <c r="N96" s="48" t="s">
        <v>11</v>
      </c>
      <c r="O96" s="48" t="s">
        <v>1369</v>
      </c>
      <c r="P96" s="87" t="s">
        <v>1393</v>
      </c>
      <c r="Q96" s="48"/>
      <c r="R96" s="87" t="s">
        <v>1371</v>
      </c>
    </row>
    <row r="97" spans="2:18" ht="25.5">
      <c r="B97" s="130"/>
      <c r="C97" s="130"/>
      <c r="D97" s="48">
        <v>90</v>
      </c>
      <c r="E97" s="87" t="s">
        <v>1077</v>
      </c>
      <c r="F97" s="48" t="s">
        <v>25</v>
      </c>
      <c r="G97" s="48" t="s">
        <v>1278</v>
      </c>
      <c r="H97" s="48" t="s">
        <v>17</v>
      </c>
      <c r="I97" s="48" t="s">
        <v>23</v>
      </c>
      <c r="J97" s="87" t="s">
        <v>1368</v>
      </c>
      <c r="K97" s="88">
        <v>32690</v>
      </c>
      <c r="L97" s="89">
        <v>1989</v>
      </c>
      <c r="M97" s="89">
        <f t="shared" si="6"/>
        <v>30</v>
      </c>
      <c r="N97" s="48" t="s">
        <v>11</v>
      </c>
      <c r="O97" s="48" t="s">
        <v>1369</v>
      </c>
      <c r="P97" s="87" t="s">
        <v>1393</v>
      </c>
      <c r="Q97" s="48"/>
      <c r="R97" s="87" t="s">
        <v>49</v>
      </c>
    </row>
    <row r="98" spans="2:18" ht="25.5">
      <c r="B98" s="130">
        <v>29</v>
      </c>
      <c r="C98" s="130" t="s">
        <v>2001</v>
      </c>
      <c r="D98" s="48">
        <v>91</v>
      </c>
      <c r="E98" s="87" t="s">
        <v>2002</v>
      </c>
      <c r="F98" s="48" t="s">
        <v>14</v>
      </c>
      <c r="G98" s="48" t="s">
        <v>1279</v>
      </c>
      <c r="H98" s="48" t="s">
        <v>9</v>
      </c>
      <c r="I98" s="48" t="s">
        <v>10</v>
      </c>
      <c r="J98" s="87" t="s">
        <v>1368</v>
      </c>
      <c r="K98" s="88">
        <v>27039</v>
      </c>
      <c r="L98" s="89">
        <v>1974</v>
      </c>
      <c r="M98" s="89">
        <f t="shared" si="6"/>
        <v>45</v>
      </c>
      <c r="N98" s="48" t="s">
        <v>11</v>
      </c>
      <c r="O98" s="48" t="s">
        <v>1369</v>
      </c>
      <c r="P98" s="87" t="s">
        <v>28</v>
      </c>
      <c r="Q98" s="48"/>
      <c r="R98" s="87" t="s">
        <v>1460</v>
      </c>
    </row>
    <row r="99" spans="2:18" ht="25.5">
      <c r="B99" s="130"/>
      <c r="C99" s="130"/>
      <c r="D99" s="48">
        <v>92</v>
      </c>
      <c r="E99" s="87" t="s">
        <v>1280</v>
      </c>
      <c r="F99" s="48" t="s">
        <v>20</v>
      </c>
      <c r="G99" s="48" t="s">
        <v>1281</v>
      </c>
      <c r="H99" s="48" t="s">
        <v>17</v>
      </c>
      <c r="I99" s="48" t="s">
        <v>10</v>
      </c>
      <c r="J99" s="87" t="s">
        <v>1387</v>
      </c>
      <c r="K99" s="88">
        <v>31579</v>
      </c>
      <c r="L99" s="89">
        <v>1986</v>
      </c>
      <c r="M99" s="89">
        <f t="shared" si="6"/>
        <v>33</v>
      </c>
      <c r="N99" s="48" t="s">
        <v>11</v>
      </c>
      <c r="O99" s="48" t="s">
        <v>1369</v>
      </c>
      <c r="P99" s="87" t="s">
        <v>1970</v>
      </c>
      <c r="Q99" s="48"/>
      <c r="R99" s="87" t="s">
        <v>1373</v>
      </c>
    </row>
    <row r="100" spans="2:18">
      <c r="B100" s="130"/>
      <c r="C100" s="130"/>
      <c r="D100" s="48">
        <v>93</v>
      </c>
      <c r="E100" s="87" t="s">
        <v>1282</v>
      </c>
      <c r="F100" s="48" t="s">
        <v>25</v>
      </c>
      <c r="G100" s="48" t="s">
        <v>1283</v>
      </c>
      <c r="H100" s="48" t="s">
        <v>17</v>
      </c>
      <c r="I100" s="48" t="s">
        <v>23</v>
      </c>
      <c r="J100" s="87" t="s">
        <v>1368</v>
      </c>
      <c r="K100" s="88">
        <v>35948</v>
      </c>
      <c r="L100" s="89">
        <v>1998</v>
      </c>
      <c r="M100" s="89">
        <f t="shared" si="6"/>
        <v>21</v>
      </c>
      <c r="N100" s="48" t="s">
        <v>11</v>
      </c>
      <c r="O100" s="48" t="s">
        <v>1369</v>
      </c>
      <c r="P100" s="87" t="s">
        <v>33</v>
      </c>
      <c r="Q100" s="48"/>
      <c r="R100" s="87" t="s">
        <v>1572</v>
      </c>
    </row>
    <row r="101" spans="2:18">
      <c r="B101" s="130"/>
      <c r="C101" s="130"/>
      <c r="D101" s="48">
        <v>94</v>
      </c>
      <c r="E101" s="87" t="s">
        <v>1284</v>
      </c>
      <c r="F101" s="48" t="s">
        <v>25</v>
      </c>
      <c r="G101" s="48" t="s">
        <v>1285</v>
      </c>
      <c r="H101" s="48" t="s">
        <v>17</v>
      </c>
      <c r="I101" s="48" t="s">
        <v>23</v>
      </c>
      <c r="J101" s="87" t="s">
        <v>1368</v>
      </c>
      <c r="K101" s="88">
        <v>38218</v>
      </c>
      <c r="L101" s="89">
        <v>2004</v>
      </c>
      <c r="M101" s="89">
        <f t="shared" si="6"/>
        <v>15</v>
      </c>
      <c r="N101" s="48" t="s">
        <v>11</v>
      </c>
      <c r="O101" s="48" t="s">
        <v>1369</v>
      </c>
      <c r="P101" s="87" t="s">
        <v>33</v>
      </c>
      <c r="Q101" s="48"/>
      <c r="R101" s="87" t="s">
        <v>1572</v>
      </c>
    </row>
    <row r="102" spans="2:18" ht="25.5">
      <c r="B102" s="130"/>
      <c r="C102" s="130"/>
      <c r="D102" s="48">
        <v>95</v>
      </c>
      <c r="E102" s="87" t="s">
        <v>1286</v>
      </c>
      <c r="F102" s="48" t="s">
        <v>408</v>
      </c>
      <c r="G102" s="48">
        <v>0</v>
      </c>
      <c r="H102" s="48" t="s">
        <v>17</v>
      </c>
      <c r="I102" s="48" t="s">
        <v>67</v>
      </c>
      <c r="J102" s="87" t="s">
        <v>1368</v>
      </c>
      <c r="K102" s="88">
        <v>11871</v>
      </c>
      <c r="L102" s="89">
        <v>1932</v>
      </c>
      <c r="M102" s="89">
        <f t="shared" si="6"/>
        <v>87</v>
      </c>
      <c r="N102" s="48" t="s">
        <v>11</v>
      </c>
      <c r="O102" s="48" t="s">
        <v>1369</v>
      </c>
      <c r="P102" s="87" t="s">
        <v>1970</v>
      </c>
      <c r="Q102" s="48"/>
      <c r="R102" s="87" t="s">
        <v>1555</v>
      </c>
    </row>
    <row r="103" spans="2:18" ht="25.5">
      <c r="B103" s="130">
        <v>30</v>
      </c>
      <c r="C103" s="130" t="s">
        <v>2009</v>
      </c>
      <c r="D103" s="48">
        <v>96</v>
      </c>
      <c r="E103" s="87" t="s">
        <v>2010</v>
      </c>
      <c r="F103" s="48" t="s">
        <v>14</v>
      </c>
      <c r="G103" s="48" t="s">
        <v>2012</v>
      </c>
      <c r="H103" s="48" t="s">
        <v>9</v>
      </c>
      <c r="I103" s="48" t="s">
        <v>10</v>
      </c>
      <c r="J103" s="87" t="s">
        <v>1368</v>
      </c>
      <c r="K103" s="88">
        <v>24837</v>
      </c>
      <c r="L103" s="89">
        <v>1967</v>
      </c>
      <c r="M103" s="89">
        <f t="shared" si="6"/>
        <v>52</v>
      </c>
      <c r="N103" s="48" t="s">
        <v>11</v>
      </c>
      <c r="O103" s="48" t="s">
        <v>1369</v>
      </c>
      <c r="P103" s="87" t="s">
        <v>1970</v>
      </c>
      <c r="Q103" s="48"/>
      <c r="R103" s="87" t="s">
        <v>49</v>
      </c>
    </row>
    <row r="104" spans="2:18" ht="25.5">
      <c r="B104" s="130"/>
      <c r="C104" s="130"/>
      <c r="D104" s="48">
        <v>97</v>
      </c>
      <c r="E104" s="87" t="s">
        <v>965</v>
      </c>
      <c r="F104" s="48" t="s">
        <v>20</v>
      </c>
      <c r="G104" s="48" t="s">
        <v>2013</v>
      </c>
      <c r="H104" s="48" t="s">
        <v>17</v>
      </c>
      <c r="I104" s="48" t="s">
        <v>10</v>
      </c>
      <c r="J104" s="87" t="s">
        <v>1368</v>
      </c>
      <c r="K104" s="88">
        <v>27006</v>
      </c>
      <c r="L104" s="89">
        <v>1973</v>
      </c>
      <c r="M104" s="89">
        <f t="shared" si="6"/>
        <v>46</v>
      </c>
      <c r="N104" s="48" t="s">
        <v>11</v>
      </c>
      <c r="O104" s="48" t="s">
        <v>1369</v>
      </c>
      <c r="P104" s="87" t="s">
        <v>12</v>
      </c>
      <c r="Q104" s="48"/>
      <c r="R104" s="87" t="s">
        <v>1373</v>
      </c>
    </row>
    <row r="105" spans="2:18" ht="25.5">
      <c r="B105" s="130"/>
      <c r="C105" s="130"/>
      <c r="D105" s="48">
        <v>98</v>
      </c>
      <c r="E105" s="87" t="s">
        <v>2011</v>
      </c>
      <c r="F105" s="48" t="s">
        <v>25</v>
      </c>
      <c r="G105" s="48" t="s">
        <v>2015</v>
      </c>
      <c r="H105" s="48" t="s">
        <v>17</v>
      </c>
      <c r="I105" s="48" t="s">
        <v>23</v>
      </c>
      <c r="J105" s="87" t="s">
        <v>1387</v>
      </c>
      <c r="K105" s="88">
        <v>38724</v>
      </c>
      <c r="L105" s="89">
        <v>2006</v>
      </c>
      <c r="M105" s="89">
        <f t="shared" si="6"/>
        <v>13</v>
      </c>
      <c r="N105" s="48" t="s">
        <v>11</v>
      </c>
      <c r="O105" s="48" t="s">
        <v>1369</v>
      </c>
      <c r="P105" s="87" t="s">
        <v>1375</v>
      </c>
      <c r="Q105" s="48"/>
      <c r="R105" s="87" t="s">
        <v>1572</v>
      </c>
    </row>
    <row r="106" spans="2:18" ht="25.5">
      <c r="B106" s="130">
        <v>31</v>
      </c>
      <c r="C106" s="130" t="s">
        <v>2028</v>
      </c>
      <c r="D106" s="48">
        <v>99</v>
      </c>
      <c r="E106" s="87" t="s">
        <v>1054</v>
      </c>
      <c r="F106" s="48" t="s">
        <v>14</v>
      </c>
      <c r="G106" s="48" t="s">
        <v>1291</v>
      </c>
      <c r="H106" s="48" t="s">
        <v>17</v>
      </c>
      <c r="I106" s="48" t="s">
        <v>1505</v>
      </c>
      <c r="J106" s="87" t="s">
        <v>1368</v>
      </c>
      <c r="K106" s="88">
        <v>26454</v>
      </c>
      <c r="L106" s="89">
        <v>1972</v>
      </c>
      <c r="M106" s="89">
        <f t="shared" ref="M106:M117" si="8">2019-L106</f>
        <v>47</v>
      </c>
      <c r="N106" s="48" t="s">
        <v>11</v>
      </c>
      <c r="O106" s="48" t="s">
        <v>1369</v>
      </c>
      <c r="P106" s="87" t="s">
        <v>1970</v>
      </c>
      <c r="Q106" s="48"/>
      <c r="R106" s="87" t="s">
        <v>1371</v>
      </c>
    </row>
    <row r="107" spans="2:18">
      <c r="B107" s="130"/>
      <c r="C107" s="130"/>
      <c r="D107" s="48">
        <v>100</v>
      </c>
      <c r="E107" s="87" t="s">
        <v>2029</v>
      </c>
      <c r="F107" s="48" t="s">
        <v>25</v>
      </c>
      <c r="G107" s="48" t="s">
        <v>2032</v>
      </c>
      <c r="H107" s="48" t="s">
        <v>17</v>
      </c>
      <c r="I107" s="48" t="s">
        <v>23</v>
      </c>
      <c r="J107" s="87" t="s">
        <v>1387</v>
      </c>
      <c r="K107" s="88">
        <v>36457</v>
      </c>
      <c r="L107" s="89">
        <v>1999</v>
      </c>
      <c r="M107" s="89">
        <f t="shared" si="8"/>
        <v>20</v>
      </c>
      <c r="N107" s="48" t="s">
        <v>11</v>
      </c>
      <c r="O107" s="48" t="s">
        <v>1369</v>
      </c>
      <c r="P107" s="87" t="s">
        <v>12</v>
      </c>
      <c r="Q107" s="48"/>
      <c r="R107" s="87" t="s">
        <v>1572</v>
      </c>
    </row>
    <row r="108" spans="2:18" ht="25.5">
      <c r="B108" s="130"/>
      <c r="C108" s="130"/>
      <c r="D108" s="48">
        <v>101</v>
      </c>
      <c r="E108" s="87" t="s">
        <v>2030</v>
      </c>
      <c r="F108" s="48" t="s">
        <v>1446</v>
      </c>
      <c r="G108" s="48" t="s">
        <v>2033</v>
      </c>
      <c r="H108" s="48" t="s">
        <v>17</v>
      </c>
      <c r="I108" s="48" t="s">
        <v>1448</v>
      </c>
      <c r="J108" s="87" t="s">
        <v>1368</v>
      </c>
      <c r="K108" s="88">
        <v>18628</v>
      </c>
      <c r="L108" s="89">
        <v>1950</v>
      </c>
      <c r="M108" s="89">
        <f t="shared" si="8"/>
        <v>69</v>
      </c>
      <c r="N108" s="48" t="s">
        <v>11</v>
      </c>
      <c r="O108" s="48" t="s">
        <v>1369</v>
      </c>
      <c r="P108" s="87" t="s">
        <v>1970</v>
      </c>
      <c r="Q108" s="48"/>
      <c r="R108" s="87" t="s">
        <v>49</v>
      </c>
    </row>
    <row r="109" spans="2:18" ht="25.5">
      <c r="B109" s="130"/>
      <c r="C109" s="130"/>
      <c r="D109" s="48">
        <v>102</v>
      </c>
      <c r="E109" s="87" t="s">
        <v>2031</v>
      </c>
      <c r="F109" s="48" t="s">
        <v>1457</v>
      </c>
      <c r="G109" s="48" t="s">
        <v>2034</v>
      </c>
      <c r="H109" s="48" t="s">
        <v>17</v>
      </c>
      <c r="I109" s="48" t="s">
        <v>23</v>
      </c>
      <c r="J109" s="87" t="s">
        <v>1368</v>
      </c>
      <c r="K109" s="88">
        <v>30018</v>
      </c>
      <c r="L109" s="89">
        <v>1982</v>
      </c>
      <c r="M109" s="89">
        <f t="shared" si="8"/>
        <v>37</v>
      </c>
      <c r="N109" s="48" t="s">
        <v>11</v>
      </c>
      <c r="O109" s="48" t="s">
        <v>1369</v>
      </c>
      <c r="P109" s="87" t="s">
        <v>1970</v>
      </c>
      <c r="Q109" s="48"/>
      <c r="R109" s="87" t="s">
        <v>19</v>
      </c>
    </row>
    <row r="110" spans="2:18">
      <c r="B110" s="130">
        <v>32</v>
      </c>
      <c r="C110" s="130" t="s">
        <v>1972</v>
      </c>
      <c r="D110" s="48">
        <v>103</v>
      </c>
      <c r="E110" s="87" t="s">
        <v>1973</v>
      </c>
      <c r="F110" s="48" t="s">
        <v>14</v>
      </c>
      <c r="G110" s="48" t="s">
        <v>1975</v>
      </c>
      <c r="H110" s="48" t="s">
        <v>9</v>
      </c>
      <c r="I110" s="48" t="s">
        <v>10</v>
      </c>
      <c r="J110" s="87" t="s">
        <v>1387</v>
      </c>
      <c r="K110" s="88">
        <v>29048</v>
      </c>
      <c r="L110" s="89">
        <v>1979</v>
      </c>
      <c r="M110" s="89">
        <f t="shared" si="8"/>
        <v>40</v>
      </c>
      <c r="N110" s="48" t="s">
        <v>11</v>
      </c>
      <c r="O110" s="48" t="s">
        <v>1369</v>
      </c>
      <c r="P110" s="87" t="s">
        <v>28</v>
      </c>
      <c r="Q110" s="48"/>
      <c r="R110" s="87" t="s">
        <v>49</v>
      </c>
    </row>
    <row r="111" spans="2:18" ht="25.5">
      <c r="B111" s="130"/>
      <c r="C111" s="130"/>
      <c r="D111" s="48">
        <v>104</v>
      </c>
      <c r="E111" s="87" t="s">
        <v>1136</v>
      </c>
      <c r="F111" s="48" t="s">
        <v>20</v>
      </c>
      <c r="G111" s="48" t="s">
        <v>1292</v>
      </c>
      <c r="H111" s="48" t="s">
        <v>17</v>
      </c>
      <c r="I111" s="48" t="s">
        <v>10</v>
      </c>
      <c r="J111" s="87" t="s">
        <v>1387</v>
      </c>
      <c r="K111" s="88">
        <v>29716</v>
      </c>
      <c r="L111" s="89">
        <v>1981</v>
      </c>
      <c r="M111" s="89">
        <f t="shared" si="8"/>
        <v>38</v>
      </c>
      <c r="N111" s="48" t="s">
        <v>11</v>
      </c>
      <c r="O111" s="48" t="s">
        <v>1369</v>
      </c>
      <c r="P111" s="87" t="s">
        <v>28</v>
      </c>
      <c r="Q111" s="48"/>
      <c r="R111" s="87" t="s">
        <v>1373</v>
      </c>
    </row>
    <row r="112" spans="2:18" ht="25.5">
      <c r="B112" s="130"/>
      <c r="C112" s="130"/>
      <c r="D112" s="48">
        <v>105</v>
      </c>
      <c r="E112" s="87" t="s">
        <v>1293</v>
      </c>
      <c r="F112" s="48" t="s">
        <v>25</v>
      </c>
      <c r="G112" s="48" t="s">
        <v>1294</v>
      </c>
      <c r="H112" s="48" t="s">
        <v>17</v>
      </c>
      <c r="I112" s="48" t="s">
        <v>23</v>
      </c>
      <c r="J112" s="87" t="s">
        <v>1387</v>
      </c>
      <c r="K112" s="88">
        <v>35298</v>
      </c>
      <c r="L112" s="89">
        <v>1996</v>
      </c>
      <c r="M112" s="89">
        <f t="shared" si="8"/>
        <v>23</v>
      </c>
      <c r="N112" s="48" t="s">
        <v>11</v>
      </c>
      <c r="O112" s="48" t="s">
        <v>1369</v>
      </c>
      <c r="P112" s="87" t="s">
        <v>12</v>
      </c>
      <c r="Q112" s="48"/>
      <c r="R112" s="87" t="s">
        <v>1555</v>
      </c>
    </row>
    <row r="113" spans="2:18" ht="25.5">
      <c r="B113" s="130"/>
      <c r="C113" s="130"/>
      <c r="D113" s="48">
        <v>106</v>
      </c>
      <c r="E113" s="87" t="s">
        <v>1974</v>
      </c>
      <c r="F113" s="48" t="s">
        <v>25</v>
      </c>
      <c r="G113" s="48" t="s">
        <v>1295</v>
      </c>
      <c r="H113" s="48" t="s">
        <v>9</v>
      </c>
      <c r="I113" s="48" t="s">
        <v>23</v>
      </c>
      <c r="J113" s="87" t="s">
        <v>1387</v>
      </c>
      <c r="K113" s="88">
        <v>37031</v>
      </c>
      <c r="L113" s="89">
        <v>2001</v>
      </c>
      <c r="M113" s="89">
        <f t="shared" si="8"/>
        <v>18</v>
      </c>
      <c r="N113" s="48" t="s">
        <v>11</v>
      </c>
      <c r="O113" s="48" t="s">
        <v>1369</v>
      </c>
      <c r="P113" s="87" t="s">
        <v>1375</v>
      </c>
      <c r="Q113" s="48"/>
      <c r="R113" s="87" t="s">
        <v>1572</v>
      </c>
    </row>
    <row r="114" spans="2:18">
      <c r="B114" s="130">
        <v>33</v>
      </c>
      <c r="C114" s="130"/>
      <c r="D114" s="48">
        <v>107</v>
      </c>
      <c r="E114" s="87" t="s">
        <v>1296</v>
      </c>
      <c r="F114" s="48" t="s">
        <v>14</v>
      </c>
      <c r="G114" s="48" t="s">
        <v>1297</v>
      </c>
      <c r="H114" s="48" t="s">
        <v>9</v>
      </c>
      <c r="I114" s="48" t="s">
        <v>10</v>
      </c>
      <c r="J114" s="87"/>
      <c r="K114" s="88">
        <v>19683</v>
      </c>
      <c r="L114" s="89">
        <f t="shared" ref="L114:L128" si="9">YEAR(K114)</f>
        <v>1953</v>
      </c>
      <c r="M114" s="89">
        <f t="shared" si="8"/>
        <v>66</v>
      </c>
      <c r="N114" s="48" t="s">
        <v>11</v>
      </c>
      <c r="O114" s="48"/>
      <c r="P114" s="87" t="s">
        <v>18</v>
      </c>
      <c r="Q114" s="48"/>
      <c r="R114" s="87" t="s">
        <v>24</v>
      </c>
    </row>
    <row r="115" spans="2:18">
      <c r="B115" s="130"/>
      <c r="C115" s="130"/>
      <c r="D115" s="48">
        <v>108</v>
      </c>
      <c r="E115" s="87" t="s">
        <v>1298</v>
      </c>
      <c r="F115" s="48" t="s">
        <v>20</v>
      </c>
      <c r="G115" s="48" t="s">
        <v>1299</v>
      </c>
      <c r="H115" s="48" t="s">
        <v>17</v>
      </c>
      <c r="I115" s="48" t="s">
        <v>10</v>
      </c>
      <c r="J115" s="87"/>
      <c r="K115" s="88">
        <v>21767</v>
      </c>
      <c r="L115" s="89">
        <f t="shared" si="9"/>
        <v>1959</v>
      </c>
      <c r="M115" s="89">
        <f t="shared" si="8"/>
        <v>60</v>
      </c>
      <c r="N115" s="48" t="s">
        <v>11</v>
      </c>
      <c r="O115" s="48"/>
      <c r="P115" s="87" t="s">
        <v>18</v>
      </c>
      <c r="Q115" s="48"/>
      <c r="R115" s="87" t="s">
        <v>24</v>
      </c>
    </row>
    <row r="116" spans="2:18">
      <c r="B116" s="130"/>
      <c r="C116" s="130"/>
      <c r="D116" s="48">
        <v>109</v>
      </c>
      <c r="E116" s="87" t="s">
        <v>1300</v>
      </c>
      <c r="F116" s="48" t="s">
        <v>25</v>
      </c>
      <c r="G116" s="48" t="s">
        <v>1301</v>
      </c>
      <c r="H116" s="48" t="s">
        <v>17</v>
      </c>
      <c r="I116" s="48" t="s">
        <v>23</v>
      </c>
      <c r="J116" s="87"/>
      <c r="K116" s="88">
        <v>31267</v>
      </c>
      <c r="L116" s="89">
        <f t="shared" si="9"/>
        <v>1985</v>
      </c>
      <c r="M116" s="89">
        <f t="shared" si="8"/>
        <v>34</v>
      </c>
      <c r="N116" s="48" t="s">
        <v>11</v>
      </c>
      <c r="O116" s="48"/>
      <c r="P116" s="87" t="s">
        <v>28</v>
      </c>
      <c r="Q116" s="48"/>
      <c r="R116" s="87" t="s">
        <v>24</v>
      </c>
    </row>
    <row r="117" spans="2:18">
      <c r="B117" s="130"/>
      <c r="C117" s="130"/>
      <c r="D117" s="48">
        <v>110</v>
      </c>
      <c r="E117" s="87" t="s">
        <v>1302</v>
      </c>
      <c r="F117" s="48" t="s">
        <v>25</v>
      </c>
      <c r="G117" s="48" t="s">
        <v>1303</v>
      </c>
      <c r="H117" s="48" t="s">
        <v>9</v>
      </c>
      <c r="I117" s="48" t="s">
        <v>23</v>
      </c>
      <c r="J117" s="87"/>
      <c r="K117" s="88">
        <v>34903</v>
      </c>
      <c r="L117" s="89">
        <f t="shared" si="9"/>
        <v>1995</v>
      </c>
      <c r="M117" s="89">
        <f t="shared" si="8"/>
        <v>24</v>
      </c>
      <c r="N117" s="48" t="s">
        <v>11</v>
      </c>
      <c r="O117" s="48"/>
      <c r="P117" s="87" t="s">
        <v>33</v>
      </c>
      <c r="Q117" s="48"/>
      <c r="R117" s="87" t="s">
        <v>24</v>
      </c>
    </row>
    <row r="118" spans="2:18">
      <c r="B118" s="48">
        <v>34</v>
      </c>
      <c r="C118" s="48"/>
      <c r="D118" s="48">
        <v>111</v>
      </c>
      <c r="E118" s="87" t="s">
        <v>410</v>
      </c>
      <c r="F118" s="48" t="s">
        <v>14</v>
      </c>
      <c r="G118" s="48" t="s">
        <v>1307</v>
      </c>
      <c r="H118" s="48" t="s">
        <v>17</v>
      </c>
      <c r="I118" s="48" t="s">
        <v>67</v>
      </c>
      <c r="J118" s="87"/>
      <c r="K118" s="88">
        <v>21550</v>
      </c>
      <c r="L118" s="89">
        <f t="shared" si="9"/>
        <v>1958</v>
      </c>
      <c r="M118" s="89">
        <f t="shared" ref="M118:M127" si="10">2019-L118</f>
        <v>61</v>
      </c>
      <c r="N118" s="48" t="s">
        <v>11</v>
      </c>
      <c r="O118" s="48"/>
      <c r="P118" s="87" t="s">
        <v>18</v>
      </c>
      <c r="Q118" s="48"/>
      <c r="R118" s="87" t="s">
        <v>24</v>
      </c>
    </row>
    <row r="119" spans="2:18">
      <c r="B119" s="48">
        <v>35</v>
      </c>
      <c r="C119" s="48"/>
      <c r="D119" s="48">
        <v>112</v>
      </c>
      <c r="E119" s="87" t="s">
        <v>1308</v>
      </c>
      <c r="F119" s="48" t="s">
        <v>14</v>
      </c>
      <c r="G119" s="48">
        <v>0</v>
      </c>
      <c r="H119" s="48" t="s">
        <v>17</v>
      </c>
      <c r="I119" s="48" t="s">
        <v>67</v>
      </c>
      <c r="J119" s="87"/>
      <c r="K119" s="88">
        <v>11140</v>
      </c>
      <c r="L119" s="89">
        <f t="shared" si="9"/>
        <v>1930</v>
      </c>
      <c r="M119" s="89">
        <f t="shared" si="10"/>
        <v>89</v>
      </c>
      <c r="N119" s="48" t="s">
        <v>11</v>
      </c>
      <c r="O119" s="48"/>
      <c r="P119" s="87" t="s">
        <v>18</v>
      </c>
      <c r="Q119" s="48"/>
      <c r="R119" s="87" t="s">
        <v>18</v>
      </c>
    </row>
    <row r="120" spans="2:18">
      <c r="B120" s="48">
        <v>36</v>
      </c>
      <c r="C120" s="48"/>
      <c r="D120" s="48">
        <v>113</v>
      </c>
      <c r="E120" s="87" t="s">
        <v>1309</v>
      </c>
      <c r="F120" s="48" t="s">
        <v>14</v>
      </c>
      <c r="G120" s="48" t="s">
        <v>1310</v>
      </c>
      <c r="H120" s="48" t="s">
        <v>17</v>
      </c>
      <c r="I120" s="48" t="s">
        <v>67</v>
      </c>
      <c r="J120" s="87"/>
      <c r="K120" s="88">
        <v>19176</v>
      </c>
      <c r="L120" s="89">
        <f t="shared" si="9"/>
        <v>1952</v>
      </c>
      <c r="M120" s="89">
        <f t="shared" si="10"/>
        <v>67</v>
      </c>
      <c r="N120" s="48" t="s">
        <v>11</v>
      </c>
      <c r="O120" s="48"/>
      <c r="P120" s="87" t="s">
        <v>18</v>
      </c>
      <c r="Q120" s="48"/>
      <c r="R120" s="87" t="s">
        <v>24</v>
      </c>
    </row>
    <row r="121" spans="2:18">
      <c r="B121" s="131">
        <v>37</v>
      </c>
      <c r="C121" s="131"/>
      <c r="D121" s="48">
        <v>114</v>
      </c>
      <c r="E121" s="87" t="s">
        <v>1311</v>
      </c>
      <c r="F121" s="48" t="s">
        <v>14</v>
      </c>
      <c r="G121" s="48">
        <v>0</v>
      </c>
      <c r="H121" s="48" t="s">
        <v>9</v>
      </c>
      <c r="I121" s="48" t="s">
        <v>10</v>
      </c>
      <c r="J121" s="87"/>
      <c r="K121" s="88">
        <v>31229</v>
      </c>
      <c r="L121" s="89">
        <f t="shared" si="9"/>
        <v>1985</v>
      </c>
      <c r="M121" s="89">
        <f t="shared" si="10"/>
        <v>34</v>
      </c>
      <c r="N121" s="48" t="s">
        <v>11</v>
      </c>
      <c r="O121" s="48"/>
      <c r="P121" s="87" t="s">
        <v>33</v>
      </c>
      <c r="Q121" s="48"/>
      <c r="R121" s="87" t="s">
        <v>24</v>
      </c>
    </row>
    <row r="122" spans="2:18">
      <c r="B122" s="132"/>
      <c r="C122" s="132"/>
      <c r="D122" s="48">
        <v>115</v>
      </c>
      <c r="E122" s="87" t="s">
        <v>1312</v>
      </c>
      <c r="F122" s="48" t="s">
        <v>20</v>
      </c>
      <c r="G122" s="48">
        <v>0</v>
      </c>
      <c r="H122" s="48" t="s">
        <v>17</v>
      </c>
      <c r="I122" s="48" t="s">
        <v>10</v>
      </c>
      <c r="J122" s="87"/>
      <c r="K122" s="88">
        <v>31594</v>
      </c>
      <c r="L122" s="89">
        <f t="shared" si="9"/>
        <v>1986</v>
      </c>
      <c r="M122" s="89">
        <f t="shared" si="10"/>
        <v>33</v>
      </c>
      <c r="N122" s="48" t="s">
        <v>11</v>
      </c>
      <c r="O122" s="48"/>
      <c r="P122" s="87" t="s">
        <v>18</v>
      </c>
      <c r="Q122" s="48"/>
      <c r="R122" s="87" t="s">
        <v>24</v>
      </c>
    </row>
    <row r="123" spans="2:18" ht="25.5">
      <c r="B123" s="133"/>
      <c r="C123" s="133"/>
      <c r="D123" s="48">
        <v>116</v>
      </c>
      <c r="E123" s="87" t="s">
        <v>1313</v>
      </c>
      <c r="F123" s="48" t="s">
        <v>25</v>
      </c>
      <c r="G123" s="48">
        <v>0</v>
      </c>
      <c r="H123" s="48" t="s">
        <v>9</v>
      </c>
      <c r="I123" s="48" t="s">
        <v>23</v>
      </c>
      <c r="J123" s="87"/>
      <c r="K123" s="88">
        <v>41365</v>
      </c>
      <c r="L123" s="89">
        <f t="shared" si="9"/>
        <v>2013</v>
      </c>
      <c r="M123" s="89">
        <f t="shared" si="10"/>
        <v>6</v>
      </c>
      <c r="N123" s="48" t="s">
        <v>11</v>
      </c>
      <c r="O123" s="48"/>
      <c r="P123" s="87" t="s">
        <v>18</v>
      </c>
      <c r="Q123" s="48"/>
      <c r="R123" s="87" t="s">
        <v>18</v>
      </c>
    </row>
    <row r="124" spans="2:18" ht="25.5">
      <c r="B124" s="130">
        <v>38</v>
      </c>
      <c r="C124" s="130"/>
      <c r="D124" s="48">
        <v>117</v>
      </c>
      <c r="E124" s="87" t="s">
        <v>1314</v>
      </c>
      <c r="F124" s="48" t="s">
        <v>14</v>
      </c>
      <c r="G124" s="48" t="s">
        <v>1315</v>
      </c>
      <c r="H124" s="48" t="s">
        <v>9</v>
      </c>
      <c r="I124" s="48" t="s">
        <v>10</v>
      </c>
      <c r="J124" s="87"/>
      <c r="K124" s="88">
        <v>21185</v>
      </c>
      <c r="L124" s="89">
        <f t="shared" si="9"/>
        <v>1957</v>
      </c>
      <c r="M124" s="89">
        <f t="shared" si="10"/>
        <v>62</v>
      </c>
      <c r="N124" s="48" t="s">
        <v>11</v>
      </c>
      <c r="O124" s="48"/>
      <c r="P124" s="87" t="s">
        <v>18</v>
      </c>
      <c r="Q124" s="48"/>
      <c r="R124" s="87"/>
    </row>
    <row r="125" spans="2:18">
      <c r="B125" s="130"/>
      <c r="C125" s="130"/>
      <c r="D125" s="48">
        <v>118</v>
      </c>
      <c r="E125" s="87" t="s">
        <v>1316</v>
      </c>
      <c r="F125" s="48" t="s">
        <v>20</v>
      </c>
      <c r="G125" s="48" t="s">
        <v>1317</v>
      </c>
      <c r="H125" s="48" t="s">
        <v>17</v>
      </c>
      <c r="I125" s="48" t="s">
        <v>10</v>
      </c>
      <c r="J125" s="87"/>
      <c r="K125" s="88">
        <v>21550</v>
      </c>
      <c r="L125" s="89">
        <f t="shared" si="9"/>
        <v>1958</v>
      </c>
      <c r="M125" s="89">
        <f t="shared" si="10"/>
        <v>61</v>
      </c>
      <c r="N125" s="48" t="s">
        <v>11</v>
      </c>
      <c r="O125" s="48"/>
      <c r="P125" s="87" t="s">
        <v>18</v>
      </c>
      <c r="Q125" s="48"/>
      <c r="R125" s="87" t="s">
        <v>58</v>
      </c>
    </row>
    <row r="126" spans="2:18">
      <c r="B126" s="130"/>
      <c r="C126" s="130"/>
      <c r="D126" s="48">
        <v>119</v>
      </c>
      <c r="E126" s="87" t="s">
        <v>1240</v>
      </c>
      <c r="F126" s="48" t="s">
        <v>25</v>
      </c>
      <c r="G126" s="48" t="s">
        <v>1318</v>
      </c>
      <c r="H126" s="48" t="s">
        <v>9</v>
      </c>
      <c r="I126" s="48" t="s">
        <v>23</v>
      </c>
      <c r="J126" s="87"/>
      <c r="K126" s="88">
        <v>32976</v>
      </c>
      <c r="L126" s="89">
        <f t="shared" si="9"/>
        <v>1990</v>
      </c>
      <c r="M126" s="89">
        <f t="shared" si="10"/>
        <v>29</v>
      </c>
      <c r="N126" s="48" t="s">
        <v>11</v>
      </c>
      <c r="O126" s="48"/>
      <c r="P126" s="87" t="s">
        <v>12</v>
      </c>
      <c r="Q126" s="48"/>
      <c r="R126" s="87" t="s">
        <v>18</v>
      </c>
    </row>
    <row r="127" spans="2:18" ht="25.5">
      <c r="B127" s="130"/>
      <c r="C127" s="130"/>
      <c r="D127" s="48">
        <v>120</v>
      </c>
      <c r="E127" s="87" t="s">
        <v>1319</v>
      </c>
      <c r="F127" s="48" t="s">
        <v>25</v>
      </c>
      <c r="G127" s="48" t="s">
        <v>1320</v>
      </c>
      <c r="H127" s="48" t="s">
        <v>9</v>
      </c>
      <c r="I127" s="48" t="s">
        <v>23</v>
      </c>
      <c r="J127" s="87"/>
      <c r="K127" s="88">
        <v>36842</v>
      </c>
      <c r="L127" s="89">
        <f t="shared" si="9"/>
        <v>2000</v>
      </c>
      <c r="M127" s="89">
        <f t="shared" si="10"/>
        <v>19</v>
      </c>
      <c r="N127" s="48" t="s">
        <v>11</v>
      </c>
      <c r="O127" s="48"/>
      <c r="P127" s="87" t="s">
        <v>33</v>
      </c>
      <c r="Q127" s="48"/>
      <c r="R127" s="87" t="s">
        <v>24</v>
      </c>
    </row>
    <row r="128" spans="2:18">
      <c r="B128" s="48">
        <v>39</v>
      </c>
      <c r="C128" s="48"/>
      <c r="D128" s="48">
        <v>121</v>
      </c>
      <c r="E128" s="87" t="s">
        <v>1321</v>
      </c>
      <c r="F128" s="48" t="s">
        <v>14</v>
      </c>
      <c r="G128" s="48">
        <v>0</v>
      </c>
      <c r="H128" s="48" t="s">
        <v>9</v>
      </c>
      <c r="I128" s="48" t="s">
        <v>23</v>
      </c>
      <c r="J128" s="87"/>
      <c r="K128" s="88">
        <v>20271</v>
      </c>
      <c r="L128" s="89">
        <f t="shared" si="9"/>
        <v>1955</v>
      </c>
      <c r="M128" s="89">
        <f t="shared" ref="M128:M146" si="11">2019-L128</f>
        <v>64</v>
      </c>
      <c r="N128" s="48" t="s">
        <v>11</v>
      </c>
      <c r="O128" s="48"/>
      <c r="P128" s="87" t="s">
        <v>18</v>
      </c>
      <c r="Q128" s="48"/>
      <c r="R128" s="87" t="s">
        <v>24</v>
      </c>
    </row>
    <row r="129" spans="2:18" ht="25.5">
      <c r="B129" s="130">
        <v>40</v>
      </c>
      <c r="C129" s="130" t="s">
        <v>2016</v>
      </c>
      <c r="D129" s="48">
        <v>122</v>
      </c>
      <c r="E129" s="87" t="s">
        <v>1322</v>
      </c>
      <c r="F129" s="48" t="s">
        <v>14</v>
      </c>
      <c r="G129" s="48" t="s">
        <v>1323</v>
      </c>
      <c r="H129" s="48" t="s">
        <v>17</v>
      </c>
      <c r="I129" s="48" t="s">
        <v>67</v>
      </c>
      <c r="J129" s="87" t="s">
        <v>2126</v>
      </c>
      <c r="K129" s="88">
        <v>21550</v>
      </c>
      <c r="L129" s="89">
        <v>1958</v>
      </c>
      <c r="M129" s="89">
        <f t="shared" si="11"/>
        <v>61</v>
      </c>
      <c r="N129" s="48" t="s">
        <v>11</v>
      </c>
      <c r="O129" s="48" t="s">
        <v>1369</v>
      </c>
      <c r="P129" s="87" t="s">
        <v>1970</v>
      </c>
      <c r="Q129" s="48"/>
      <c r="R129" s="87" t="s">
        <v>1373</v>
      </c>
    </row>
    <row r="130" spans="2:18" ht="25.5">
      <c r="B130" s="130"/>
      <c r="C130" s="130"/>
      <c r="D130" s="48">
        <v>123</v>
      </c>
      <c r="E130" s="87" t="s">
        <v>2127</v>
      </c>
      <c r="F130" s="48" t="s">
        <v>25</v>
      </c>
      <c r="G130" s="48" t="s">
        <v>1324</v>
      </c>
      <c r="H130" s="48" t="s">
        <v>17</v>
      </c>
      <c r="I130" s="48" t="s">
        <v>67</v>
      </c>
      <c r="J130" s="87" t="s">
        <v>1368</v>
      </c>
      <c r="K130" s="88">
        <v>28490</v>
      </c>
      <c r="L130" s="89">
        <v>1977</v>
      </c>
      <c r="M130" s="89">
        <f t="shared" si="11"/>
        <v>42</v>
      </c>
      <c r="N130" s="48" t="s">
        <v>11</v>
      </c>
      <c r="O130" s="48" t="s">
        <v>1369</v>
      </c>
      <c r="P130" s="87" t="s">
        <v>1393</v>
      </c>
      <c r="Q130" s="48"/>
      <c r="R130" s="87" t="s">
        <v>19</v>
      </c>
    </row>
    <row r="131" spans="2:18" ht="25.5">
      <c r="B131" s="130"/>
      <c r="C131" s="130"/>
      <c r="D131" s="48">
        <v>124</v>
      </c>
      <c r="E131" s="87" t="s">
        <v>620</v>
      </c>
      <c r="F131" s="48" t="s">
        <v>408</v>
      </c>
      <c r="G131" s="48">
        <v>0</v>
      </c>
      <c r="H131" s="48" t="s">
        <v>9</v>
      </c>
      <c r="I131" s="48" t="s">
        <v>23</v>
      </c>
      <c r="J131" s="87" t="s">
        <v>1368</v>
      </c>
      <c r="K131" s="88">
        <v>33952</v>
      </c>
      <c r="L131" s="89">
        <v>1992</v>
      </c>
      <c r="M131" s="89">
        <f t="shared" si="11"/>
        <v>27</v>
      </c>
      <c r="N131" s="48" t="s">
        <v>11</v>
      </c>
      <c r="O131" s="48" t="s">
        <v>1369</v>
      </c>
      <c r="P131" s="87" t="s">
        <v>12</v>
      </c>
      <c r="Q131" s="48"/>
      <c r="R131" s="87" t="s">
        <v>1371</v>
      </c>
    </row>
    <row r="132" spans="2:18">
      <c r="B132" s="48">
        <v>41</v>
      </c>
      <c r="C132" s="48"/>
      <c r="D132" s="48">
        <v>125</v>
      </c>
      <c r="E132" s="87" t="s">
        <v>1326</v>
      </c>
      <c r="F132" s="48" t="s">
        <v>14</v>
      </c>
      <c r="G132" s="48" t="s">
        <v>1327</v>
      </c>
      <c r="H132" s="48" t="s">
        <v>17</v>
      </c>
      <c r="I132" s="48" t="s">
        <v>67</v>
      </c>
      <c r="J132" s="87"/>
      <c r="K132" s="88">
        <v>18445</v>
      </c>
      <c r="L132" s="89">
        <f>YEAR(K132)</f>
        <v>1950</v>
      </c>
      <c r="M132" s="89">
        <f t="shared" si="11"/>
        <v>69</v>
      </c>
      <c r="N132" s="48" t="s">
        <v>11</v>
      </c>
      <c r="O132" s="48"/>
      <c r="P132" s="87" t="s">
        <v>18</v>
      </c>
      <c r="Q132" s="48"/>
      <c r="R132" s="87" t="s">
        <v>18</v>
      </c>
    </row>
    <row r="133" spans="2:18">
      <c r="B133" s="48">
        <v>42</v>
      </c>
      <c r="C133" s="48" t="s">
        <v>2003</v>
      </c>
      <c r="D133" s="48">
        <v>126</v>
      </c>
      <c r="E133" s="87" t="s">
        <v>744</v>
      </c>
      <c r="F133" s="48" t="s">
        <v>14</v>
      </c>
      <c r="G133" s="48" t="s">
        <v>1328</v>
      </c>
      <c r="H133" s="48" t="s">
        <v>17</v>
      </c>
      <c r="I133" s="48" t="s">
        <v>1448</v>
      </c>
      <c r="J133" s="87" t="s">
        <v>1368</v>
      </c>
      <c r="K133" s="88">
        <v>23376</v>
      </c>
      <c r="L133" s="89">
        <v>1963</v>
      </c>
      <c r="M133" s="89">
        <f t="shared" si="11"/>
        <v>56</v>
      </c>
      <c r="N133" s="48" t="s">
        <v>11</v>
      </c>
      <c r="O133" s="48" t="s">
        <v>1369</v>
      </c>
      <c r="P133" s="87" t="s">
        <v>28</v>
      </c>
      <c r="Q133" s="48"/>
      <c r="R133" s="87" t="s">
        <v>58</v>
      </c>
    </row>
    <row r="134" spans="2:18">
      <c r="B134" s="130">
        <v>43</v>
      </c>
      <c r="C134" s="130" t="s">
        <v>2006</v>
      </c>
      <c r="D134" s="48">
        <v>127</v>
      </c>
      <c r="E134" s="87" t="s">
        <v>737</v>
      </c>
      <c r="F134" s="48" t="s">
        <v>14</v>
      </c>
      <c r="G134" s="48" t="s">
        <v>1329</v>
      </c>
      <c r="H134" s="48" t="s">
        <v>9</v>
      </c>
      <c r="I134" s="48" t="s">
        <v>10</v>
      </c>
      <c r="J134" s="87" t="s">
        <v>1387</v>
      </c>
      <c r="K134" s="88">
        <v>24107</v>
      </c>
      <c r="L134" s="89">
        <v>1965</v>
      </c>
      <c r="M134" s="89">
        <f t="shared" si="11"/>
        <v>54</v>
      </c>
      <c r="N134" s="48" t="s">
        <v>11</v>
      </c>
      <c r="O134" s="48" t="s">
        <v>1369</v>
      </c>
      <c r="P134" s="87" t="s">
        <v>28</v>
      </c>
      <c r="Q134" s="48"/>
      <c r="R134" s="87" t="s">
        <v>1460</v>
      </c>
    </row>
    <row r="135" spans="2:18" ht="25.5">
      <c r="B135" s="130"/>
      <c r="C135" s="130"/>
      <c r="D135" s="48">
        <v>128</v>
      </c>
      <c r="E135" s="87" t="s">
        <v>2007</v>
      </c>
      <c r="F135" s="48" t="s">
        <v>20</v>
      </c>
      <c r="G135" s="48" t="s">
        <v>1330</v>
      </c>
      <c r="H135" s="48" t="s">
        <v>17</v>
      </c>
      <c r="I135" s="48" t="s">
        <v>10</v>
      </c>
      <c r="J135" s="87" t="s">
        <v>1387</v>
      </c>
      <c r="K135" s="88">
        <v>25203</v>
      </c>
      <c r="L135" s="89">
        <v>1968</v>
      </c>
      <c r="M135" s="89">
        <f t="shared" si="11"/>
        <v>51</v>
      </c>
      <c r="N135" s="48" t="s">
        <v>11</v>
      </c>
      <c r="O135" s="48" t="s">
        <v>1369</v>
      </c>
      <c r="P135" s="87" t="s">
        <v>28</v>
      </c>
      <c r="Q135" s="48"/>
      <c r="R135" s="87" t="s">
        <v>1373</v>
      </c>
    </row>
    <row r="136" spans="2:18">
      <c r="B136" s="130"/>
      <c r="C136" s="130"/>
      <c r="D136" s="48">
        <v>129</v>
      </c>
      <c r="E136" s="87" t="s">
        <v>1331</v>
      </c>
      <c r="F136" s="48" t="s">
        <v>25</v>
      </c>
      <c r="G136" s="48" t="s">
        <v>1332</v>
      </c>
      <c r="H136" s="48" t="s">
        <v>9</v>
      </c>
      <c r="I136" s="48" t="s">
        <v>23</v>
      </c>
      <c r="J136" s="87" t="s">
        <v>1387</v>
      </c>
      <c r="K136" s="88">
        <v>33363</v>
      </c>
      <c r="L136" s="89">
        <v>1991</v>
      </c>
      <c r="M136" s="89">
        <f t="shared" si="11"/>
        <v>28</v>
      </c>
      <c r="N136" s="48" t="s">
        <v>11</v>
      </c>
      <c r="O136" s="48" t="s">
        <v>1369</v>
      </c>
      <c r="P136" s="87" t="s">
        <v>12</v>
      </c>
      <c r="Q136" s="48"/>
      <c r="R136" s="87" t="s">
        <v>1572</v>
      </c>
    </row>
    <row r="137" spans="2:18">
      <c r="B137" s="130"/>
      <c r="C137" s="130"/>
      <c r="D137" s="48">
        <v>130</v>
      </c>
      <c r="E137" s="87" t="s">
        <v>2008</v>
      </c>
      <c r="F137" s="48" t="s">
        <v>25</v>
      </c>
      <c r="G137" s="48" t="s">
        <v>1333</v>
      </c>
      <c r="H137" s="48" t="s">
        <v>17</v>
      </c>
      <c r="I137" s="48" t="s">
        <v>23</v>
      </c>
      <c r="J137" s="87" t="s">
        <v>1387</v>
      </c>
      <c r="K137" s="88">
        <v>35247</v>
      </c>
      <c r="L137" s="89">
        <v>1996</v>
      </c>
      <c r="M137" s="89">
        <f t="shared" si="11"/>
        <v>23</v>
      </c>
      <c r="N137" s="48" t="s">
        <v>11</v>
      </c>
      <c r="O137" s="48" t="s">
        <v>1369</v>
      </c>
      <c r="P137" s="87" t="s">
        <v>12</v>
      </c>
      <c r="Q137" s="48"/>
      <c r="R137" s="87" t="s">
        <v>1572</v>
      </c>
    </row>
    <row r="138" spans="2:18">
      <c r="B138" s="130">
        <v>44</v>
      </c>
      <c r="C138" s="130"/>
      <c r="D138" s="48">
        <v>131</v>
      </c>
      <c r="E138" s="87" t="s">
        <v>1334</v>
      </c>
      <c r="F138" s="48" t="s">
        <v>14</v>
      </c>
      <c r="G138" s="48" t="s">
        <v>1335</v>
      </c>
      <c r="H138" s="48" t="s">
        <v>9</v>
      </c>
      <c r="I138" s="48" t="s">
        <v>10</v>
      </c>
      <c r="J138" s="87"/>
      <c r="K138" s="88">
        <v>31412</v>
      </c>
      <c r="L138" s="89">
        <f t="shared" ref="L138:L140" si="12">YEAR(K138)</f>
        <v>1985</v>
      </c>
      <c r="M138" s="89">
        <f t="shared" si="11"/>
        <v>34</v>
      </c>
      <c r="N138" s="48" t="s">
        <v>11</v>
      </c>
      <c r="O138" s="48"/>
      <c r="P138" s="87" t="s">
        <v>36</v>
      </c>
      <c r="Q138" s="48"/>
      <c r="R138" s="87" t="s">
        <v>13</v>
      </c>
    </row>
    <row r="139" spans="2:18">
      <c r="B139" s="130"/>
      <c r="C139" s="130"/>
      <c r="D139" s="48">
        <v>132</v>
      </c>
      <c r="E139" s="87" t="s">
        <v>1336</v>
      </c>
      <c r="F139" s="48" t="s">
        <v>20</v>
      </c>
      <c r="G139" s="48" t="s">
        <v>1337</v>
      </c>
      <c r="H139" s="48" t="s">
        <v>17</v>
      </c>
      <c r="I139" s="48" t="s">
        <v>10</v>
      </c>
      <c r="J139" s="87"/>
      <c r="K139" s="88">
        <v>31093</v>
      </c>
      <c r="L139" s="89">
        <f t="shared" si="12"/>
        <v>1985</v>
      </c>
      <c r="M139" s="89">
        <f t="shared" si="11"/>
        <v>34</v>
      </c>
      <c r="N139" s="48" t="s">
        <v>11</v>
      </c>
      <c r="O139" s="48"/>
      <c r="P139" s="87" t="s">
        <v>36</v>
      </c>
      <c r="Q139" s="48"/>
      <c r="R139" s="87" t="s">
        <v>13</v>
      </c>
    </row>
    <row r="140" spans="2:18" ht="25.5">
      <c r="B140" s="130"/>
      <c r="C140" s="130"/>
      <c r="D140" s="48">
        <v>133</v>
      </c>
      <c r="E140" s="87" t="s">
        <v>1338</v>
      </c>
      <c r="F140" s="48" t="s">
        <v>25</v>
      </c>
      <c r="G140" s="48" t="s">
        <v>1339</v>
      </c>
      <c r="H140" s="48" t="s">
        <v>17</v>
      </c>
      <c r="I140" s="48" t="s">
        <v>23</v>
      </c>
      <c r="J140" s="87"/>
      <c r="K140" s="88">
        <v>41205</v>
      </c>
      <c r="L140" s="89">
        <f t="shared" si="12"/>
        <v>2012</v>
      </c>
      <c r="M140" s="89">
        <f t="shared" si="11"/>
        <v>7</v>
      </c>
      <c r="N140" s="48" t="s">
        <v>11</v>
      </c>
      <c r="O140" s="48"/>
      <c r="P140" s="87" t="s">
        <v>18</v>
      </c>
      <c r="Q140" s="48"/>
      <c r="R140" s="87" t="s">
        <v>18</v>
      </c>
    </row>
    <row r="141" spans="2:18" ht="25.5">
      <c r="B141" s="130">
        <v>45</v>
      </c>
      <c r="C141" s="130" t="s">
        <v>1971</v>
      </c>
      <c r="D141" s="48">
        <v>134</v>
      </c>
      <c r="E141" s="87" t="s">
        <v>2075</v>
      </c>
      <c r="F141" s="48" t="s">
        <v>14</v>
      </c>
      <c r="G141" s="48" t="s">
        <v>1340</v>
      </c>
      <c r="H141" s="48" t="s">
        <v>9</v>
      </c>
      <c r="I141" s="48" t="s">
        <v>10</v>
      </c>
      <c r="J141" s="87" t="s">
        <v>1368</v>
      </c>
      <c r="K141" s="88">
        <v>21002</v>
      </c>
      <c r="L141" s="89">
        <v>1957</v>
      </c>
      <c r="M141" s="89">
        <f t="shared" si="11"/>
        <v>62</v>
      </c>
      <c r="N141" s="48" t="s">
        <v>11</v>
      </c>
      <c r="O141" s="48" t="s">
        <v>1369</v>
      </c>
      <c r="P141" s="87" t="s">
        <v>1970</v>
      </c>
      <c r="Q141" s="48"/>
      <c r="R141" s="87" t="s">
        <v>1460</v>
      </c>
    </row>
    <row r="142" spans="2:18" ht="25.5">
      <c r="B142" s="130"/>
      <c r="C142" s="130"/>
      <c r="D142" s="48">
        <v>135</v>
      </c>
      <c r="E142" s="87" t="s">
        <v>2076</v>
      </c>
      <c r="F142" s="48" t="s">
        <v>20</v>
      </c>
      <c r="G142" s="48" t="s">
        <v>1341</v>
      </c>
      <c r="H142" s="48" t="s">
        <v>17</v>
      </c>
      <c r="I142" s="48" t="s">
        <v>10</v>
      </c>
      <c r="J142" s="87" t="s">
        <v>1368</v>
      </c>
      <c r="K142" s="88">
        <v>22828</v>
      </c>
      <c r="L142" s="89">
        <v>1962</v>
      </c>
      <c r="M142" s="89">
        <f t="shared" si="11"/>
        <v>57</v>
      </c>
      <c r="N142" s="48" t="s">
        <v>11</v>
      </c>
      <c r="O142" s="48" t="s">
        <v>1369</v>
      </c>
      <c r="P142" s="87" t="s">
        <v>1970</v>
      </c>
      <c r="Q142" s="48"/>
      <c r="R142" s="87" t="s">
        <v>1373</v>
      </c>
    </row>
    <row r="143" spans="2:18">
      <c r="B143" s="130"/>
      <c r="C143" s="130"/>
      <c r="D143" s="48">
        <v>136</v>
      </c>
      <c r="E143" s="87" t="s">
        <v>1342</v>
      </c>
      <c r="F143" s="48" t="s">
        <v>25</v>
      </c>
      <c r="G143" s="48" t="s">
        <v>1343</v>
      </c>
      <c r="H143" s="48" t="s">
        <v>9</v>
      </c>
      <c r="I143" s="48" t="s">
        <v>23</v>
      </c>
      <c r="J143" s="87" t="s">
        <v>1368</v>
      </c>
      <c r="K143" s="88">
        <v>33341</v>
      </c>
      <c r="L143" s="89">
        <v>1991</v>
      </c>
      <c r="M143" s="89">
        <f t="shared" si="11"/>
        <v>28</v>
      </c>
      <c r="N143" s="48" t="s">
        <v>11</v>
      </c>
      <c r="O143" s="48" t="s">
        <v>1369</v>
      </c>
      <c r="P143" s="87" t="s">
        <v>12</v>
      </c>
      <c r="Q143" s="48"/>
      <c r="R143" s="87" t="s">
        <v>49</v>
      </c>
    </row>
    <row r="144" spans="2:18">
      <c r="B144" s="130">
        <v>46</v>
      </c>
      <c r="C144" s="130"/>
      <c r="D144" s="48">
        <v>137</v>
      </c>
      <c r="E144" s="87" t="s">
        <v>1346</v>
      </c>
      <c r="F144" s="48" t="s">
        <v>14</v>
      </c>
      <c r="G144" s="48">
        <v>0</v>
      </c>
      <c r="H144" s="48" t="s">
        <v>9</v>
      </c>
      <c r="I144" s="48" t="s">
        <v>10</v>
      </c>
      <c r="J144" s="87"/>
      <c r="K144" s="88">
        <v>22098</v>
      </c>
      <c r="L144" s="89">
        <f t="shared" ref="L144:L146" si="13">YEAR(K144)</f>
        <v>1960</v>
      </c>
      <c r="M144" s="89">
        <f t="shared" si="11"/>
        <v>59</v>
      </c>
      <c r="N144" s="48" t="s">
        <v>11</v>
      </c>
      <c r="O144" s="48"/>
      <c r="P144" s="87" t="s">
        <v>18</v>
      </c>
      <c r="Q144" s="48"/>
      <c r="R144" s="87" t="s">
        <v>58</v>
      </c>
    </row>
    <row r="145" spans="1:63">
      <c r="B145" s="130"/>
      <c r="C145" s="130"/>
      <c r="D145" s="48">
        <v>138</v>
      </c>
      <c r="E145" s="87" t="s">
        <v>1347</v>
      </c>
      <c r="F145" s="48" t="s">
        <v>20</v>
      </c>
      <c r="G145" s="48">
        <v>0</v>
      </c>
      <c r="H145" s="48" t="s">
        <v>17</v>
      </c>
      <c r="I145" s="48" t="s">
        <v>10</v>
      </c>
      <c r="J145" s="87"/>
      <c r="K145" s="88">
        <v>24472</v>
      </c>
      <c r="L145" s="89">
        <f t="shared" si="13"/>
        <v>1966</v>
      </c>
      <c r="M145" s="89">
        <f t="shared" si="11"/>
        <v>53</v>
      </c>
      <c r="N145" s="48" t="s">
        <v>11</v>
      </c>
      <c r="O145" s="48"/>
      <c r="P145" s="87" t="s">
        <v>18</v>
      </c>
      <c r="Q145" s="48"/>
      <c r="R145" s="87" t="s">
        <v>58</v>
      </c>
    </row>
    <row r="146" spans="1:63">
      <c r="B146" s="130"/>
      <c r="C146" s="130"/>
      <c r="D146" s="48">
        <v>139</v>
      </c>
      <c r="E146" s="87" t="s">
        <v>1348</v>
      </c>
      <c r="F146" s="48" t="s">
        <v>25</v>
      </c>
      <c r="G146" s="48">
        <v>0</v>
      </c>
      <c r="H146" s="48" t="s">
        <v>9</v>
      </c>
      <c r="I146" s="48" t="s">
        <v>23</v>
      </c>
      <c r="J146" s="87"/>
      <c r="K146" s="88">
        <v>35977</v>
      </c>
      <c r="L146" s="89">
        <f t="shared" si="13"/>
        <v>1998</v>
      </c>
      <c r="M146" s="89">
        <f t="shared" si="11"/>
        <v>21</v>
      </c>
      <c r="N146" s="48" t="s">
        <v>11</v>
      </c>
      <c r="O146" s="48"/>
      <c r="P146" s="87" t="s">
        <v>12</v>
      </c>
      <c r="Q146" s="48"/>
      <c r="R146" s="87" t="s">
        <v>18</v>
      </c>
    </row>
    <row r="147" spans="1:63" ht="25.5">
      <c r="B147" s="130">
        <v>47</v>
      </c>
      <c r="C147" s="130" t="s">
        <v>1401</v>
      </c>
      <c r="D147" s="48">
        <v>140</v>
      </c>
      <c r="E147" s="87" t="s">
        <v>1304</v>
      </c>
      <c r="F147" s="48" t="s">
        <v>14</v>
      </c>
      <c r="G147" s="48" t="s">
        <v>1305</v>
      </c>
      <c r="H147" s="48" t="s">
        <v>9</v>
      </c>
      <c r="I147" s="48" t="s">
        <v>10</v>
      </c>
      <c r="J147" s="87" t="s">
        <v>1368</v>
      </c>
      <c r="K147" s="88">
        <v>21002</v>
      </c>
      <c r="L147" s="89">
        <v>1957</v>
      </c>
      <c r="M147" s="89">
        <f t="shared" ref="M147:M155" si="14">2019-L147</f>
        <v>62</v>
      </c>
      <c r="N147" s="48" t="s">
        <v>11</v>
      </c>
      <c r="O147" s="48" t="s">
        <v>1369</v>
      </c>
      <c r="P147" s="87" t="s">
        <v>1393</v>
      </c>
      <c r="Q147" s="48"/>
      <c r="R147" s="87" t="s">
        <v>1402</v>
      </c>
    </row>
    <row r="148" spans="1:63" s="48" customFormat="1" ht="25.5">
      <c r="A148" s="57"/>
      <c r="B148" s="130"/>
      <c r="C148" s="130"/>
      <c r="D148" s="48">
        <v>141</v>
      </c>
      <c r="E148" s="87" t="s">
        <v>157</v>
      </c>
      <c r="F148" s="48" t="s">
        <v>20</v>
      </c>
      <c r="G148" s="48" t="s">
        <v>1306</v>
      </c>
      <c r="H148" s="48" t="s">
        <v>17</v>
      </c>
      <c r="I148" s="48" t="s">
        <v>10</v>
      </c>
      <c r="J148" s="87" t="s">
        <v>1368</v>
      </c>
      <c r="K148" s="88">
        <v>24654</v>
      </c>
      <c r="L148" s="89">
        <v>1967</v>
      </c>
      <c r="M148" s="89">
        <f t="shared" si="14"/>
        <v>52</v>
      </c>
      <c r="N148" s="48" t="s">
        <v>11</v>
      </c>
      <c r="O148" s="48" t="s">
        <v>1369</v>
      </c>
      <c r="P148" s="87" t="s">
        <v>1378</v>
      </c>
      <c r="R148" s="87" t="s">
        <v>1373</v>
      </c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5"/>
    </row>
    <row r="149" spans="1:63" s="48" customFormat="1" ht="25.5">
      <c r="A149" s="51"/>
      <c r="B149" s="130">
        <v>48</v>
      </c>
      <c r="C149" s="130" t="s">
        <v>1477</v>
      </c>
      <c r="D149" s="48">
        <v>142</v>
      </c>
      <c r="E149" s="87" t="s">
        <v>1478</v>
      </c>
      <c r="F149" s="48" t="s">
        <v>14</v>
      </c>
      <c r="G149" s="48" t="s">
        <v>1479</v>
      </c>
      <c r="H149" s="48" t="s">
        <v>9</v>
      </c>
      <c r="I149" s="48" t="s">
        <v>10</v>
      </c>
      <c r="J149" s="87" t="s">
        <v>1387</v>
      </c>
      <c r="K149" s="88">
        <v>31412</v>
      </c>
      <c r="L149" s="89">
        <v>1985</v>
      </c>
      <c r="M149" s="89">
        <f t="shared" si="14"/>
        <v>34</v>
      </c>
      <c r="N149" s="48" t="s">
        <v>11</v>
      </c>
      <c r="O149" s="48" t="s">
        <v>1369</v>
      </c>
      <c r="P149" s="87" t="s">
        <v>1385</v>
      </c>
      <c r="R149" s="87" t="s">
        <v>1371</v>
      </c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5"/>
    </row>
    <row r="150" spans="1:63" s="48" customFormat="1" ht="25.5">
      <c r="A150" s="52"/>
      <c r="B150" s="130"/>
      <c r="C150" s="130"/>
      <c r="D150" s="48">
        <v>143</v>
      </c>
      <c r="E150" s="87" t="s">
        <v>1480</v>
      </c>
      <c r="F150" s="48" t="s">
        <v>20</v>
      </c>
      <c r="G150" s="48" t="s">
        <v>1481</v>
      </c>
      <c r="H150" s="48" t="s">
        <v>17</v>
      </c>
      <c r="I150" s="48" t="s">
        <v>10</v>
      </c>
      <c r="J150" s="87" t="s">
        <v>1482</v>
      </c>
      <c r="K150" s="88">
        <v>35065</v>
      </c>
      <c r="L150" s="89">
        <v>1996</v>
      </c>
      <c r="M150" s="89">
        <f t="shared" si="14"/>
        <v>23</v>
      </c>
      <c r="N150" s="48" t="s">
        <v>11</v>
      </c>
      <c r="O150" s="48" t="s">
        <v>1369</v>
      </c>
      <c r="P150" s="87" t="s">
        <v>1388</v>
      </c>
      <c r="R150" s="87" t="s">
        <v>1373</v>
      </c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5"/>
    </row>
    <row r="151" spans="1:63" ht="25.5">
      <c r="B151" s="130">
        <v>49</v>
      </c>
      <c r="C151" s="130" t="s">
        <v>1380</v>
      </c>
      <c r="D151" s="48">
        <v>144</v>
      </c>
      <c r="E151" s="87" t="s">
        <v>1382</v>
      </c>
      <c r="F151" s="48" t="s">
        <v>14</v>
      </c>
      <c r="G151" s="48" t="s">
        <v>1383</v>
      </c>
      <c r="H151" s="48" t="s">
        <v>17</v>
      </c>
      <c r="I151" s="48" t="s">
        <v>10</v>
      </c>
      <c r="J151" s="87" t="s">
        <v>1368</v>
      </c>
      <c r="K151" s="88">
        <v>24654</v>
      </c>
      <c r="L151" s="89">
        <v>1967</v>
      </c>
      <c r="M151" s="89">
        <f t="shared" si="14"/>
        <v>52</v>
      </c>
      <c r="N151" s="48" t="s">
        <v>11</v>
      </c>
      <c r="O151" s="48" t="s">
        <v>1369</v>
      </c>
      <c r="P151" s="87" t="s">
        <v>18</v>
      </c>
      <c r="Q151" s="48"/>
      <c r="R151" s="87" t="s">
        <v>1373</v>
      </c>
    </row>
    <row r="152" spans="1:63" ht="25.5">
      <c r="B152" s="130"/>
      <c r="C152" s="130"/>
      <c r="D152" s="48">
        <v>145</v>
      </c>
      <c r="E152" s="87" t="s">
        <v>1288</v>
      </c>
      <c r="F152" s="48" t="s">
        <v>25</v>
      </c>
      <c r="G152" s="48" t="s">
        <v>1386</v>
      </c>
      <c r="H152" s="48" t="s">
        <v>9</v>
      </c>
      <c r="I152" s="48" t="s">
        <v>23</v>
      </c>
      <c r="J152" s="87" t="s">
        <v>1387</v>
      </c>
      <c r="K152" s="88">
        <v>34732</v>
      </c>
      <c r="L152" s="89">
        <v>1995</v>
      </c>
      <c r="M152" s="89">
        <f t="shared" si="14"/>
        <v>24</v>
      </c>
      <c r="N152" s="48" t="s">
        <v>11</v>
      </c>
      <c r="O152" s="48" t="s">
        <v>1369</v>
      </c>
      <c r="P152" s="87" t="s">
        <v>1388</v>
      </c>
      <c r="Q152" s="48"/>
      <c r="R152" s="87" t="s">
        <v>1389</v>
      </c>
    </row>
    <row r="153" spans="1:63" ht="25.5">
      <c r="B153" s="130"/>
      <c r="C153" s="130"/>
      <c r="D153" s="48">
        <v>146</v>
      </c>
      <c r="E153" s="87" t="s">
        <v>1290</v>
      </c>
      <c r="F153" s="48" t="s">
        <v>25</v>
      </c>
      <c r="G153" s="48" t="s">
        <v>1390</v>
      </c>
      <c r="H153" s="48" t="s">
        <v>17</v>
      </c>
      <c r="I153" s="48" t="s">
        <v>23</v>
      </c>
      <c r="J153" s="87" t="s">
        <v>1368</v>
      </c>
      <c r="K153" s="88">
        <v>36611</v>
      </c>
      <c r="L153" s="89">
        <v>2000</v>
      </c>
      <c r="M153" s="89">
        <f t="shared" si="14"/>
        <v>19</v>
      </c>
      <c r="N153" s="48" t="s">
        <v>11</v>
      </c>
      <c r="O153" s="48" t="s">
        <v>1369</v>
      </c>
      <c r="P153" s="87" t="s">
        <v>1385</v>
      </c>
      <c r="Q153" s="48"/>
      <c r="R153" s="87" t="s">
        <v>1389</v>
      </c>
    </row>
    <row r="154" spans="1:63" s="48" customFormat="1" ht="38.25">
      <c r="A154" s="53"/>
      <c r="B154" s="130">
        <v>50</v>
      </c>
      <c r="C154" s="130" t="s">
        <v>2023</v>
      </c>
      <c r="D154" s="48">
        <v>147</v>
      </c>
      <c r="E154" s="87" t="s">
        <v>1287</v>
      </c>
      <c r="F154" s="48" t="s">
        <v>14</v>
      </c>
      <c r="G154" s="48" t="s">
        <v>2014</v>
      </c>
      <c r="H154" s="48" t="s">
        <v>9</v>
      </c>
      <c r="I154" s="48" t="s">
        <v>10</v>
      </c>
      <c r="J154" s="87" t="s">
        <v>1387</v>
      </c>
      <c r="K154" s="88">
        <v>35259</v>
      </c>
      <c r="L154" s="89">
        <v>1996</v>
      </c>
      <c r="M154" s="89">
        <f t="shared" si="14"/>
        <v>23</v>
      </c>
      <c r="N154" s="48" t="s">
        <v>11</v>
      </c>
      <c r="O154" s="48" t="s">
        <v>1369</v>
      </c>
      <c r="P154" s="87" t="s">
        <v>1800</v>
      </c>
      <c r="R154" s="87" t="s">
        <v>1782</v>
      </c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5"/>
    </row>
    <row r="155" spans="1:63" s="48" customFormat="1">
      <c r="A155" s="52"/>
      <c r="B155" s="130"/>
      <c r="C155" s="130"/>
      <c r="D155" s="48">
        <v>148</v>
      </c>
      <c r="E155" s="87" t="s">
        <v>569</v>
      </c>
      <c r="F155" s="48" t="s">
        <v>20</v>
      </c>
      <c r="G155" s="48" t="s">
        <v>570</v>
      </c>
      <c r="H155" s="48" t="s">
        <v>17</v>
      </c>
      <c r="I155" s="48" t="s">
        <v>10</v>
      </c>
      <c r="J155" s="87" t="s">
        <v>1387</v>
      </c>
      <c r="K155" s="88">
        <v>35063</v>
      </c>
      <c r="L155" s="89">
        <v>1995</v>
      </c>
      <c r="M155" s="89">
        <f t="shared" si="14"/>
        <v>24</v>
      </c>
      <c r="N155" s="48" t="s">
        <v>11</v>
      </c>
      <c r="O155" s="48" t="s">
        <v>1369</v>
      </c>
      <c r="P155" s="87" t="s">
        <v>12</v>
      </c>
      <c r="R155" s="87" t="s">
        <v>1572</v>
      </c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5"/>
    </row>
    <row r="156" spans="1:63" s="48" customFormat="1" ht="25.5">
      <c r="A156" s="51"/>
      <c r="B156" s="130">
        <v>51</v>
      </c>
      <c r="C156" s="130" t="s">
        <v>2062</v>
      </c>
      <c r="D156" s="48">
        <v>149</v>
      </c>
      <c r="E156" s="87" t="s">
        <v>1973</v>
      </c>
      <c r="F156" s="48" t="s">
        <v>14</v>
      </c>
      <c r="G156" s="48" t="s">
        <v>2065</v>
      </c>
      <c r="H156" s="48" t="s">
        <v>9</v>
      </c>
      <c r="I156" s="48" t="s">
        <v>10</v>
      </c>
      <c r="J156" s="87" t="s">
        <v>1387</v>
      </c>
      <c r="K156" s="88">
        <v>19683</v>
      </c>
      <c r="L156" s="89">
        <v>1953</v>
      </c>
      <c r="M156" s="89">
        <f t="shared" ref="M156:M165" si="15">2019-L156</f>
        <v>66</v>
      </c>
      <c r="N156" s="48" t="s">
        <v>11</v>
      </c>
      <c r="O156" s="48" t="s">
        <v>1369</v>
      </c>
      <c r="P156" s="87" t="s">
        <v>28</v>
      </c>
      <c r="R156" s="87" t="s">
        <v>1371</v>
      </c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5"/>
    </row>
    <row r="157" spans="1:63" s="48" customFormat="1" ht="25.5">
      <c r="A157" s="53"/>
      <c r="B157" s="130"/>
      <c r="C157" s="130"/>
      <c r="D157" s="48">
        <v>150</v>
      </c>
      <c r="E157" s="87" t="s">
        <v>2063</v>
      </c>
      <c r="F157" s="48" t="s">
        <v>20</v>
      </c>
      <c r="G157" s="48" t="s">
        <v>2066</v>
      </c>
      <c r="H157" s="48" t="s">
        <v>17</v>
      </c>
      <c r="I157" s="48" t="s">
        <v>10</v>
      </c>
      <c r="J157" s="87" t="s">
        <v>1368</v>
      </c>
      <c r="K157" s="88">
        <v>25541</v>
      </c>
      <c r="L157" s="89">
        <v>1969</v>
      </c>
      <c r="M157" s="89">
        <f t="shared" si="15"/>
        <v>50</v>
      </c>
      <c r="N157" s="48" t="s">
        <v>11</v>
      </c>
      <c r="O157" s="48" t="s">
        <v>1369</v>
      </c>
      <c r="P157" s="87" t="s">
        <v>1970</v>
      </c>
      <c r="R157" s="87" t="s">
        <v>1373</v>
      </c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5"/>
    </row>
    <row r="158" spans="1:63" s="48" customFormat="1">
      <c r="A158" s="53"/>
      <c r="B158" s="130"/>
      <c r="C158" s="130"/>
      <c r="D158" s="48">
        <v>151</v>
      </c>
      <c r="E158" s="87" t="s">
        <v>579</v>
      </c>
      <c r="F158" s="48" t="s">
        <v>25</v>
      </c>
      <c r="G158" s="48" t="s">
        <v>2067</v>
      </c>
      <c r="H158" s="48" t="s">
        <v>9</v>
      </c>
      <c r="I158" s="48" t="s">
        <v>23</v>
      </c>
      <c r="J158" s="87" t="s">
        <v>1368</v>
      </c>
      <c r="K158" s="88">
        <v>30252</v>
      </c>
      <c r="L158" s="89">
        <v>1982</v>
      </c>
      <c r="M158" s="89">
        <f t="shared" si="15"/>
        <v>37</v>
      </c>
      <c r="N158" s="48" t="s">
        <v>11</v>
      </c>
      <c r="O158" s="48" t="s">
        <v>1369</v>
      </c>
      <c r="P158" s="87" t="s">
        <v>33</v>
      </c>
      <c r="R158" s="87" t="s">
        <v>1572</v>
      </c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5"/>
    </row>
    <row r="159" spans="1:63" s="48" customFormat="1">
      <c r="A159" s="52"/>
      <c r="B159" s="130"/>
      <c r="C159" s="130"/>
      <c r="D159" s="48">
        <v>152</v>
      </c>
      <c r="E159" s="87" t="s">
        <v>2064</v>
      </c>
      <c r="F159" s="48" t="s">
        <v>25</v>
      </c>
      <c r="G159" s="48" t="s">
        <v>2068</v>
      </c>
      <c r="H159" s="48" t="s">
        <v>9</v>
      </c>
      <c r="I159" s="48" t="s">
        <v>23</v>
      </c>
      <c r="J159" s="87" t="s">
        <v>1387</v>
      </c>
      <c r="K159" s="88">
        <v>35622</v>
      </c>
      <c r="L159" s="89">
        <v>1997</v>
      </c>
      <c r="M159" s="89">
        <f t="shared" si="15"/>
        <v>22</v>
      </c>
      <c r="N159" s="48" t="s">
        <v>11</v>
      </c>
      <c r="O159" s="48" t="s">
        <v>1369</v>
      </c>
      <c r="P159" s="87" t="s">
        <v>28</v>
      </c>
      <c r="R159" s="87" t="s">
        <v>49</v>
      </c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5"/>
    </row>
    <row r="160" spans="1:63" s="48" customFormat="1">
      <c r="A160" s="51"/>
      <c r="B160" s="130">
        <v>52</v>
      </c>
      <c r="C160" s="130" t="s">
        <v>2069</v>
      </c>
      <c r="D160" s="48">
        <v>153</v>
      </c>
      <c r="E160" s="87" t="s">
        <v>2070</v>
      </c>
      <c r="F160" s="48" t="s">
        <v>14</v>
      </c>
      <c r="G160" s="48" t="s">
        <v>2073</v>
      </c>
      <c r="H160" s="48" t="s">
        <v>9</v>
      </c>
      <c r="I160" s="48" t="s">
        <v>10</v>
      </c>
      <c r="J160" s="87" t="s">
        <v>1368</v>
      </c>
      <c r="K160" s="88">
        <v>24654</v>
      </c>
      <c r="L160" s="89">
        <v>1967</v>
      </c>
      <c r="M160" s="89">
        <f t="shared" si="15"/>
        <v>52</v>
      </c>
      <c r="N160" s="48" t="s">
        <v>11</v>
      </c>
      <c r="O160" s="48" t="s">
        <v>1369</v>
      </c>
      <c r="P160" s="87" t="s">
        <v>28</v>
      </c>
      <c r="R160" s="87" t="s">
        <v>1460</v>
      </c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5"/>
    </row>
    <row r="161" spans="1:63" s="48" customFormat="1" ht="25.5">
      <c r="A161" s="53"/>
      <c r="B161" s="130"/>
      <c r="C161" s="130"/>
      <c r="D161" s="48">
        <v>154</v>
      </c>
      <c r="E161" s="87" t="s">
        <v>2071</v>
      </c>
      <c r="F161" s="48" t="s">
        <v>20</v>
      </c>
      <c r="G161" s="48" t="s">
        <v>2074</v>
      </c>
      <c r="H161" s="48" t="s">
        <v>17</v>
      </c>
      <c r="I161" s="48" t="s">
        <v>10</v>
      </c>
      <c r="J161" s="87" t="s">
        <v>1368</v>
      </c>
      <c r="K161" s="88">
        <v>24654</v>
      </c>
      <c r="L161" s="89">
        <v>1967</v>
      </c>
      <c r="M161" s="89">
        <f t="shared" si="15"/>
        <v>52</v>
      </c>
      <c r="N161" s="48" t="s">
        <v>11</v>
      </c>
      <c r="O161" s="48" t="s">
        <v>1369</v>
      </c>
      <c r="P161" s="87" t="s">
        <v>28</v>
      </c>
      <c r="R161" s="87" t="s">
        <v>1373</v>
      </c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5"/>
    </row>
    <row r="162" spans="1:63" s="48" customFormat="1" ht="25.5">
      <c r="A162" s="52"/>
      <c r="B162" s="130"/>
      <c r="C162" s="130"/>
      <c r="D162" s="48">
        <v>155</v>
      </c>
      <c r="E162" s="87" t="s">
        <v>2072</v>
      </c>
      <c r="F162" s="48" t="s">
        <v>25</v>
      </c>
      <c r="G162" s="48" t="s">
        <v>1232</v>
      </c>
      <c r="H162" s="48" t="s">
        <v>9</v>
      </c>
      <c r="I162" s="48" t="s">
        <v>23</v>
      </c>
      <c r="J162" s="87" t="s">
        <v>1368</v>
      </c>
      <c r="K162" s="88">
        <v>29993</v>
      </c>
      <c r="L162" s="89">
        <v>1982</v>
      </c>
      <c r="M162" s="89">
        <f t="shared" si="15"/>
        <v>37</v>
      </c>
      <c r="N162" s="48" t="s">
        <v>11</v>
      </c>
      <c r="O162" s="48" t="s">
        <v>1369</v>
      </c>
      <c r="P162" s="87" t="s">
        <v>33</v>
      </c>
      <c r="R162" s="87" t="s">
        <v>49</v>
      </c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5"/>
    </row>
    <row r="163" spans="1:63" s="48" customFormat="1" ht="25.5">
      <c r="A163" s="51"/>
      <c r="B163" s="130">
        <v>53</v>
      </c>
      <c r="C163" s="130" t="s">
        <v>2077</v>
      </c>
      <c r="D163" s="48">
        <v>156</v>
      </c>
      <c r="E163" s="87" t="s">
        <v>2078</v>
      </c>
      <c r="F163" s="48" t="s">
        <v>14</v>
      </c>
      <c r="G163" s="48" t="s">
        <v>2081</v>
      </c>
      <c r="H163" s="48" t="s">
        <v>9</v>
      </c>
      <c r="I163" s="48" t="s">
        <v>10</v>
      </c>
      <c r="J163" s="87" t="s">
        <v>1368</v>
      </c>
      <c r="K163" s="88">
        <v>31906</v>
      </c>
      <c r="L163" s="89">
        <v>1987</v>
      </c>
      <c r="M163" s="89">
        <f t="shared" si="15"/>
        <v>32</v>
      </c>
      <c r="N163" s="48" t="s">
        <v>11</v>
      </c>
      <c r="O163" s="48" t="s">
        <v>1369</v>
      </c>
      <c r="P163" s="87" t="s">
        <v>28</v>
      </c>
      <c r="R163" s="87" t="s">
        <v>1371</v>
      </c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5"/>
    </row>
    <row r="164" spans="1:63" s="48" customFormat="1" ht="25.5">
      <c r="A164" s="53"/>
      <c r="B164" s="130"/>
      <c r="C164" s="130"/>
      <c r="D164" s="48">
        <v>157</v>
      </c>
      <c r="E164" s="87" t="s">
        <v>2079</v>
      </c>
      <c r="F164" s="48" t="s">
        <v>20</v>
      </c>
      <c r="G164" s="48" t="s">
        <v>2082</v>
      </c>
      <c r="H164" s="48" t="s">
        <v>17</v>
      </c>
      <c r="I164" s="48" t="s">
        <v>10</v>
      </c>
      <c r="J164" s="87" t="s">
        <v>1387</v>
      </c>
      <c r="K164" s="88">
        <v>33693</v>
      </c>
      <c r="L164" s="89">
        <v>1992</v>
      </c>
      <c r="M164" s="89">
        <f t="shared" si="15"/>
        <v>27</v>
      </c>
      <c r="N164" s="48" t="s">
        <v>11</v>
      </c>
      <c r="O164" s="48" t="s">
        <v>1369</v>
      </c>
      <c r="P164" s="87" t="s">
        <v>33</v>
      </c>
      <c r="R164" s="87" t="s">
        <v>1373</v>
      </c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5"/>
    </row>
    <row r="165" spans="1:63" s="48" customFormat="1" ht="25.5">
      <c r="A165" s="52"/>
      <c r="B165" s="130"/>
      <c r="C165" s="130"/>
      <c r="D165" s="48">
        <v>158</v>
      </c>
      <c r="E165" s="87" t="s">
        <v>2080</v>
      </c>
      <c r="F165" s="48" t="s">
        <v>25</v>
      </c>
      <c r="G165" s="48" t="s">
        <v>2083</v>
      </c>
      <c r="H165" s="48" t="s">
        <v>17</v>
      </c>
      <c r="I165" s="48" t="s">
        <v>23</v>
      </c>
      <c r="J165" s="87" t="s">
        <v>1489</v>
      </c>
      <c r="K165" s="88">
        <v>42935</v>
      </c>
      <c r="L165" s="89">
        <v>2017</v>
      </c>
      <c r="M165" s="89">
        <f t="shared" si="15"/>
        <v>2</v>
      </c>
      <c r="N165" s="48" t="s">
        <v>11</v>
      </c>
      <c r="O165" s="48" t="s">
        <v>1369</v>
      </c>
      <c r="P165" s="87" t="s">
        <v>1970</v>
      </c>
      <c r="R165" s="87" t="s">
        <v>1555</v>
      </c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5"/>
    </row>
    <row r="166" spans="1:63" s="48" customFormat="1" ht="25.5">
      <c r="A166" s="51"/>
      <c r="B166" s="130">
        <v>54</v>
      </c>
      <c r="C166" s="130" t="s">
        <v>2163</v>
      </c>
      <c r="D166" s="48">
        <v>159</v>
      </c>
      <c r="E166" s="87" t="s">
        <v>1289</v>
      </c>
      <c r="F166" s="48" t="s">
        <v>14</v>
      </c>
      <c r="G166" s="48" t="s">
        <v>1384</v>
      </c>
      <c r="H166" s="48" t="s">
        <v>9</v>
      </c>
      <c r="I166" s="48" t="s">
        <v>10</v>
      </c>
      <c r="J166" s="87" t="s">
        <v>1368</v>
      </c>
      <c r="K166" s="88">
        <v>31412</v>
      </c>
      <c r="L166" s="89">
        <v>1985</v>
      </c>
      <c r="M166" s="89">
        <f>2019-L166</f>
        <v>34</v>
      </c>
      <c r="N166" s="48" t="s">
        <v>11</v>
      </c>
      <c r="O166" s="48" t="s">
        <v>1369</v>
      </c>
      <c r="P166" s="87" t="s">
        <v>1385</v>
      </c>
      <c r="R166" s="87" t="s">
        <v>1371</v>
      </c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5"/>
    </row>
    <row r="167" spans="1:63" s="48" customFormat="1" ht="25.5">
      <c r="A167" s="52"/>
      <c r="B167" s="130"/>
      <c r="C167" s="130"/>
      <c r="D167" s="48">
        <v>160</v>
      </c>
      <c r="E167" s="87" t="s">
        <v>2164</v>
      </c>
      <c r="F167" s="48" t="s">
        <v>20</v>
      </c>
      <c r="G167" s="48" t="s">
        <v>2165</v>
      </c>
      <c r="H167" s="48" t="s">
        <v>17</v>
      </c>
      <c r="I167" s="48" t="s">
        <v>10</v>
      </c>
      <c r="J167" s="87" t="s">
        <v>2166</v>
      </c>
      <c r="K167" s="88">
        <v>32682</v>
      </c>
      <c r="L167" s="89">
        <v>1989</v>
      </c>
      <c r="M167" s="89">
        <f>2019-L167</f>
        <v>30</v>
      </c>
      <c r="N167" s="48" t="s">
        <v>11</v>
      </c>
      <c r="O167" s="48" t="s">
        <v>1369</v>
      </c>
      <c r="P167" s="87" t="s">
        <v>28</v>
      </c>
      <c r="R167" s="87" t="s">
        <v>1373</v>
      </c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5"/>
    </row>
    <row r="168" spans="1:63" s="57" customFormat="1" ht="15">
      <c r="D168" s="137" t="s">
        <v>2200</v>
      </c>
      <c r="E168" s="137"/>
      <c r="F168" s="137"/>
      <c r="L168" s="86"/>
      <c r="P168" s="84"/>
      <c r="R168" s="84"/>
    </row>
    <row r="169" spans="1:63" s="57" customFormat="1" ht="15">
      <c r="D169" s="137" t="s">
        <v>2201</v>
      </c>
      <c r="E169" s="137"/>
      <c r="F169" s="137"/>
      <c r="L169" s="86"/>
      <c r="P169" s="129" t="s">
        <v>2202</v>
      </c>
      <c r="Q169" s="129"/>
      <c r="R169" s="84"/>
    </row>
    <row r="170" spans="1:63" s="57" customFormat="1" ht="15">
      <c r="D170" s="108"/>
      <c r="E170" s="109"/>
      <c r="F170" s="108"/>
      <c r="L170" s="86"/>
      <c r="P170" s="1"/>
      <c r="Q170" s="65"/>
      <c r="R170" s="84"/>
    </row>
    <row r="171" spans="1:63" s="57" customFormat="1" ht="15">
      <c r="D171" s="108"/>
      <c r="E171" s="109"/>
      <c r="F171" s="108"/>
      <c r="L171" s="86"/>
      <c r="P171" s="1"/>
      <c r="Q171" s="65"/>
      <c r="R171" s="84"/>
    </row>
    <row r="172" spans="1:63" s="57" customFormat="1" ht="14.25">
      <c r="D172" s="138" t="s">
        <v>2203</v>
      </c>
      <c r="E172" s="138"/>
      <c r="F172" s="138"/>
      <c r="L172" s="86"/>
      <c r="P172" s="127" t="s">
        <v>1058</v>
      </c>
      <c r="Q172" s="127"/>
      <c r="R172" s="84"/>
    </row>
    <row r="173" spans="1:63" s="57" customFormat="1" ht="14.25">
      <c r="D173" s="138" t="s">
        <v>2204</v>
      </c>
      <c r="E173" s="138"/>
      <c r="F173" s="138"/>
      <c r="L173" s="86"/>
      <c r="P173" s="84"/>
      <c r="R173" s="84"/>
    </row>
  </sheetData>
  <autoFilter ref="B7:V169">
    <filterColumn colId="11"/>
  </autoFilter>
  <mergeCells count="117">
    <mergeCell ref="D168:F168"/>
    <mergeCell ref="D169:F169"/>
    <mergeCell ref="P169:Q169"/>
    <mergeCell ref="D172:F172"/>
    <mergeCell ref="P172:Q172"/>
    <mergeCell ref="D173:F173"/>
    <mergeCell ref="B1:R1"/>
    <mergeCell ref="B2:R2"/>
    <mergeCell ref="C23:C25"/>
    <mergeCell ref="C26:C28"/>
    <mergeCell ref="C29:C31"/>
    <mergeCell ref="C50:C55"/>
    <mergeCell ref="C58:C61"/>
    <mergeCell ref="C62:C64"/>
    <mergeCell ref="C65:C70"/>
    <mergeCell ref="C56:C57"/>
    <mergeCell ref="D5:D6"/>
    <mergeCell ref="J5:L5"/>
    <mergeCell ref="M5:M6"/>
    <mergeCell ref="O5:O6"/>
    <mergeCell ref="F5:F6"/>
    <mergeCell ref="G5:G6"/>
    <mergeCell ref="N5:N6"/>
    <mergeCell ref="I5:I6"/>
    <mergeCell ref="C166:C167"/>
    <mergeCell ref="B147:B148"/>
    <mergeCell ref="C147:C148"/>
    <mergeCell ref="B149:B150"/>
    <mergeCell ref="C149:C150"/>
    <mergeCell ref="B151:B153"/>
    <mergeCell ref="C151:C153"/>
    <mergeCell ref="C154:C155"/>
    <mergeCell ref="C156:C159"/>
    <mergeCell ref="C160:C162"/>
    <mergeCell ref="C163:C165"/>
    <mergeCell ref="B166:B167"/>
    <mergeCell ref="B160:B162"/>
    <mergeCell ref="B163:B165"/>
    <mergeCell ref="B154:B155"/>
    <mergeCell ref="B156:B159"/>
    <mergeCell ref="B85:B86"/>
    <mergeCell ref="C71:C74"/>
    <mergeCell ref="C83:C84"/>
    <mergeCell ref="B32:B34"/>
    <mergeCell ref="B35:B36"/>
    <mergeCell ref="B37:B39"/>
    <mergeCell ref="B40:B42"/>
    <mergeCell ref="B56:B57"/>
    <mergeCell ref="C75:C76"/>
    <mergeCell ref="B75:B76"/>
    <mergeCell ref="B83:B84"/>
    <mergeCell ref="C144:C146"/>
    <mergeCell ref="C96:C97"/>
    <mergeCell ref="C87:C89"/>
    <mergeCell ref="C90:C95"/>
    <mergeCell ref="C98:C102"/>
    <mergeCell ref="C103:C105"/>
    <mergeCell ref="C106:C109"/>
    <mergeCell ref="C110:C113"/>
    <mergeCell ref="C141:C143"/>
    <mergeCell ref="C129:C131"/>
    <mergeCell ref="C134:C137"/>
    <mergeCell ref="C114:C117"/>
    <mergeCell ref="C121:C123"/>
    <mergeCell ref="C124:C127"/>
    <mergeCell ref="C138:C140"/>
    <mergeCell ref="B87:B89"/>
    <mergeCell ref="B124:B127"/>
    <mergeCell ref="B110:B113"/>
    <mergeCell ref="B114:B117"/>
    <mergeCell ref="C16:C20"/>
    <mergeCell ref="C21:C22"/>
    <mergeCell ref="B29:B31"/>
    <mergeCell ref="B80:B82"/>
    <mergeCell ref="B103:B105"/>
    <mergeCell ref="B47:B49"/>
    <mergeCell ref="B50:B55"/>
    <mergeCell ref="C78:C79"/>
    <mergeCell ref="B78:B79"/>
    <mergeCell ref="C85:C86"/>
    <mergeCell ref="C80:C82"/>
    <mergeCell ref="C32:C34"/>
    <mergeCell ref="C35:C36"/>
    <mergeCell ref="C40:C42"/>
    <mergeCell ref="C43:C46"/>
    <mergeCell ref="C47:C49"/>
    <mergeCell ref="B58:B61"/>
    <mergeCell ref="B62:B64"/>
    <mergeCell ref="B65:B70"/>
    <mergeCell ref="B71:B74"/>
    <mergeCell ref="B144:B146"/>
    <mergeCell ref="B129:B131"/>
    <mergeCell ref="B141:B143"/>
    <mergeCell ref="B90:B95"/>
    <mergeCell ref="B96:B97"/>
    <mergeCell ref="B98:B102"/>
    <mergeCell ref="B106:B109"/>
    <mergeCell ref="B134:B137"/>
    <mergeCell ref="B138:B140"/>
    <mergeCell ref="B121:B123"/>
    <mergeCell ref="R5:R6"/>
    <mergeCell ref="Q5:Q6"/>
    <mergeCell ref="B5:B6"/>
    <mergeCell ref="E5:E6"/>
    <mergeCell ref="H5:H6"/>
    <mergeCell ref="C5:C6"/>
    <mergeCell ref="B43:B46"/>
    <mergeCell ref="C37:C39"/>
    <mergeCell ref="C12:C15"/>
    <mergeCell ref="B26:B28"/>
    <mergeCell ref="B8:B11"/>
    <mergeCell ref="P5:P6"/>
    <mergeCell ref="B12:B15"/>
    <mergeCell ref="B16:B20"/>
    <mergeCell ref="B21:B22"/>
    <mergeCell ref="B23:B25"/>
    <mergeCell ref="C8:C11"/>
  </mergeCells>
  <pageMargins left="1.37795275590551" right="0.196850393700787" top="0.39370078740157499" bottom="0.643700787" header="0.31496062992126" footer="0.31496062992126"/>
  <pageSetup paperSize="10000" scale="82" orientation="landscape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343"/>
  <sheetViews>
    <sheetView workbookViewId="0">
      <selection activeCell="C6" sqref="C6"/>
    </sheetView>
  </sheetViews>
  <sheetFormatPr defaultRowHeight="15"/>
  <sheetData>
    <row r="1" spans="1:3" ht="15.75" customHeight="1">
      <c r="A1">
        <v>116</v>
      </c>
      <c r="C1">
        <v>360</v>
      </c>
    </row>
    <row r="2" spans="1:3" ht="16.5" customHeight="1">
      <c r="A2">
        <v>63</v>
      </c>
      <c r="C2">
        <v>187</v>
      </c>
    </row>
    <row r="3" spans="1:3" ht="13.5" customHeight="1">
      <c r="A3">
        <v>108</v>
      </c>
      <c r="C3">
        <v>288</v>
      </c>
    </row>
    <row r="4" spans="1:3">
      <c r="A4">
        <v>48</v>
      </c>
      <c r="C4">
        <v>150</v>
      </c>
    </row>
    <row r="5" spans="1:3">
      <c r="A5">
        <f>SUM(A1:A4)</f>
        <v>335</v>
      </c>
      <c r="C5">
        <f>SUM(C1:C4)</f>
        <v>985</v>
      </c>
    </row>
    <row r="166" ht="15" customHeight="1"/>
    <row r="180" ht="15" customHeight="1"/>
    <row r="245" ht="15" customHeight="1"/>
    <row r="284" ht="15" customHeight="1"/>
    <row r="288" ht="15" customHeight="1"/>
    <row r="293" ht="15" customHeight="1"/>
    <row r="338" ht="15" customHeight="1"/>
    <row r="343" ht="1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4:W20"/>
  <sheetViews>
    <sheetView workbookViewId="0">
      <selection activeCell="A20" sqref="A20:XFD20"/>
    </sheetView>
  </sheetViews>
  <sheetFormatPr defaultRowHeight="15"/>
  <cols>
    <col min="10" max="10" width="14.7109375" customWidth="1"/>
  </cols>
  <sheetData>
    <row r="4" spans="1:23" s="1" customFormat="1" ht="15" customHeight="1">
      <c r="A4" s="146" t="s">
        <v>1349</v>
      </c>
      <c r="B4" s="146" t="s">
        <v>1350</v>
      </c>
      <c r="C4" s="146" t="s">
        <v>1351</v>
      </c>
      <c r="D4" s="146" t="s">
        <v>1352</v>
      </c>
      <c r="E4" s="146" t="s">
        <v>6</v>
      </c>
      <c r="F4" s="146" t="s">
        <v>7</v>
      </c>
      <c r="G4" s="146" t="s">
        <v>1</v>
      </c>
      <c r="H4" s="146" t="s">
        <v>2</v>
      </c>
      <c r="I4" s="146" t="s">
        <v>1353</v>
      </c>
      <c r="J4" s="146"/>
      <c r="K4" s="146"/>
      <c r="L4" s="147" t="s">
        <v>1357</v>
      </c>
      <c r="M4" s="146" t="s">
        <v>3</v>
      </c>
      <c r="N4" s="146" t="s">
        <v>1358</v>
      </c>
      <c r="O4" s="146" t="s">
        <v>4</v>
      </c>
      <c r="P4" s="146" t="s">
        <v>1359</v>
      </c>
      <c r="Q4" s="146" t="s">
        <v>5</v>
      </c>
      <c r="R4" s="146" t="s">
        <v>1362</v>
      </c>
      <c r="S4" s="146"/>
      <c r="T4" s="146" t="s">
        <v>1366</v>
      </c>
      <c r="U4" s="146"/>
      <c r="V4" s="146"/>
      <c r="W4" s="146"/>
    </row>
    <row r="5" spans="1:23" s="1" customFormat="1" ht="25.5">
      <c r="A5" s="146"/>
      <c r="B5" s="146"/>
      <c r="C5" s="146"/>
      <c r="D5" s="146"/>
      <c r="E5" s="146"/>
      <c r="F5" s="146"/>
      <c r="G5" s="146"/>
      <c r="H5" s="146"/>
      <c r="I5" s="6" t="s">
        <v>1354</v>
      </c>
      <c r="J5" s="8" t="s">
        <v>1355</v>
      </c>
      <c r="K5" s="10" t="s">
        <v>1356</v>
      </c>
      <c r="L5" s="147"/>
      <c r="M5" s="146"/>
      <c r="N5" s="146"/>
      <c r="O5" s="146"/>
      <c r="P5" s="146"/>
      <c r="Q5" s="146"/>
      <c r="R5" s="6" t="s">
        <v>1360</v>
      </c>
      <c r="S5" s="6" t="s">
        <v>1361</v>
      </c>
      <c r="T5" s="6" t="s">
        <v>14</v>
      </c>
      <c r="U5" s="6" t="s">
        <v>1363</v>
      </c>
      <c r="V5" s="7" t="s">
        <v>1364</v>
      </c>
      <c r="W5" s="6" t="s">
        <v>1365</v>
      </c>
    </row>
    <row r="6" spans="1:23" s="1" customFormat="1">
      <c r="A6" s="6"/>
      <c r="B6" s="6"/>
      <c r="C6" s="6"/>
      <c r="D6" s="6"/>
      <c r="E6" s="6"/>
      <c r="F6" s="6"/>
      <c r="G6" s="6"/>
      <c r="H6" s="6"/>
      <c r="I6" s="6"/>
      <c r="J6" s="8"/>
      <c r="K6" s="10"/>
      <c r="L6" s="10"/>
      <c r="M6" s="6"/>
      <c r="N6" s="6"/>
      <c r="O6" s="6"/>
      <c r="P6" s="6"/>
      <c r="Q6" s="6"/>
      <c r="R6" s="6"/>
      <c r="S6" s="6"/>
      <c r="T6" s="6"/>
      <c r="U6" s="6"/>
      <c r="V6" s="7"/>
      <c r="W6" s="6"/>
    </row>
    <row r="7" spans="1:23" s="1" customFormat="1" ht="15.75" thickBot="1">
      <c r="A7" s="3"/>
      <c r="B7" s="3"/>
      <c r="C7" s="2">
        <v>263</v>
      </c>
      <c r="D7" s="4" t="s">
        <v>157</v>
      </c>
      <c r="E7" s="4" t="s">
        <v>408</v>
      </c>
      <c r="F7" s="4">
        <v>0</v>
      </c>
      <c r="G7" s="4" t="s">
        <v>17</v>
      </c>
      <c r="H7" s="4" t="s">
        <v>67</v>
      </c>
      <c r="I7" s="4"/>
      <c r="J7" s="9" t="s">
        <v>407</v>
      </c>
      <c r="K7" s="11"/>
      <c r="L7" s="11">
        <f t="shared" ref="L7:L12" si="0">2019-K7</f>
        <v>2019</v>
      </c>
      <c r="M7" s="4" t="s">
        <v>11</v>
      </c>
      <c r="N7" s="4"/>
      <c r="O7" s="4" t="s">
        <v>18</v>
      </c>
      <c r="P7" s="4"/>
      <c r="Q7" s="4" t="s">
        <v>18</v>
      </c>
      <c r="R7" s="4"/>
      <c r="S7" s="4"/>
      <c r="T7" s="4"/>
      <c r="U7" s="4"/>
      <c r="V7" s="4"/>
      <c r="W7" s="4"/>
    </row>
    <row r="8" spans="1:23" ht="15.75" thickBot="1">
      <c r="A8" s="29"/>
      <c r="B8" s="15"/>
      <c r="C8" s="16">
        <v>151</v>
      </c>
      <c r="D8" s="15" t="s">
        <v>696</v>
      </c>
      <c r="E8" s="15" t="s">
        <v>25</v>
      </c>
      <c r="F8" s="15" t="s">
        <v>697</v>
      </c>
      <c r="G8" s="15" t="s">
        <v>17</v>
      </c>
      <c r="H8" s="15" t="s">
        <v>67</v>
      </c>
      <c r="I8" s="15"/>
      <c r="J8" s="20">
        <v>17349</v>
      </c>
      <c r="K8" s="21"/>
      <c r="L8" s="18">
        <f t="shared" si="0"/>
        <v>2019</v>
      </c>
      <c r="M8" s="15" t="s">
        <v>11</v>
      </c>
      <c r="N8" s="15"/>
      <c r="O8" s="15" t="s">
        <v>18</v>
      </c>
      <c r="P8" s="15"/>
      <c r="Q8" s="15" t="s">
        <v>18</v>
      </c>
      <c r="R8" s="15"/>
      <c r="S8" s="15"/>
      <c r="T8" s="15"/>
      <c r="U8" s="15"/>
      <c r="V8" s="15"/>
      <c r="W8" s="15"/>
    </row>
    <row r="9" spans="1:23" s="35" customFormat="1">
      <c r="A9" s="30"/>
      <c r="B9" s="30"/>
      <c r="C9" s="31">
        <v>205</v>
      </c>
      <c r="D9" s="32" t="s">
        <v>330</v>
      </c>
      <c r="E9" s="32" t="s">
        <v>25</v>
      </c>
      <c r="F9" s="32">
        <v>0</v>
      </c>
      <c r="G9" s="32" t="s">
        <v>9</v>
      </c>
      <c r="H9" s="32" t="s">
        <v>23</v>
      </c>
      <c r="I9" s="32"/>
      <c r="J9" s="33">
        <v>32880</v>
      </c>
      <c r="K9" s="34"/>
      <c r="L9" s="34">
        <f t="shared" si="0"/>
        <v>2019</v>
      </c>
      <c r="M9" s="32" t="s">
        <v>11</v>
      </c>
      <c r="N9" s="32"/>
      <c r="O9" s="32" t="s">
        <v>12</v>
      </c>
      <c r="P9" s="32"/>
      <c r="Q9" s="32" t="s">
        <v>24</v>
      </c>
      <c r="R9" s="32"/>
      <c r="S9" s="32"/>
      <c r="T9" s="32"/>
      <c r="U9" s="32"/>
      <c r="V9" s="32"/>
      <c r="W9" s="32"/>
    </row>
    <row r="10" spans="1:23" s="1" customFormat="1">
      <c r="A10" s="3"/>
      <c r="B10" s="3"/>
      <c r="C10" s="2">
        <v>249</v>
      </c>
      <c r="D10" s="5" t="s">
        <v>390</v>
      </c>
      <c r="E10" s="5" t="s">
        <v>391</v>
      </c>
      <c r="F10" s="5" t="s">
        <v>392</v>
      </c>
      <c r="G10" s="5" t="s">
        <v>17</v>
      </c>
      <c r="H10" s="5" t="s">
        <v>67</v>
      </c>
      <c r="I10" s="5"/>
      <c r="J10" s="24">
        <v>20917</v>
      </c>
      <c r="K10" s="25"/>
      <c r="L10" s="25">
        <f t="shared" si="0"/>
        <v>2019</v>
      </c>
      <c r="M10" s="5" t="s">
        <v>11</v>
      </c>
      <c r="N10" s="5"/>
      <c r="O10" s="5" t="s">
        <v>18</v>
      </c>
      <c r="P10" s="5"/>
      <c r="Q10" s="5" t="s">
        <v>18</v>
      </c>
      <c r="R10" s="5"/>
      <c r="S10" s="5"/>
      <c r="T10" s="5"/>
      <c r="U10" s="5"/>
      <c r="V10" s="5"/>
      <c r="W10" s="5"/>
    </row>
    <row r="11" spans="1:23" s="35" customFormat="1">
      <c r="A11" s="38"/>
      <c r="B11" s="36"/>
      <c r="C11" s="31">
        <v>13</v>
      </c>
      <c r="D11" s="32" t="s">
        <v>45</v>
      </c>
      <c r="E11" s="32" t="s">
        <v>25</v>
      </c>
      <c r="F11" s="32" t="s">
        <v>46</v>
      </c>
      <c r="G11" s="32" t="s">
        <v>17</v>
      </c>
      <c r="H11" s="32" t="s">
        <v>23</v>
      </c>
      <c r="I11" s="32"/>
      <c r="J11" s="33">
        <v>35467</v>
      </c>
      <c r="K11" s="34"/>
      <c r="L11" s="34">
        <f t="shared" si="0"/>
        <v>2019</v>
      </c>
      <c r="M11" s="32" t="s">
        <v>11</v>
      </c>
      <c r="N11" s="32"/>
      <c r="O11" s="32" t="s">
        <v>28</v>
      </c>
      <c r="P11" s="32"/>
      <c r="Q11" s="32" t="s">
        <v>18</v>
      </c>
      <c r="R11" s="32"/>
      <c r="S11" s="32"/>
      <c r="T11" s="32"/>
      <c r="U11" s="32"/>
      <c r="V11" s="32"/>
      <c r="W11" s="32"/>
    </row>
    <row r="12" spans="1:23" s="35" customFormat="1" ht="15.75" thickBot="1">
      <c r="A12" s="30"/>
      <c r="B12" s="36"/>
      <c r="C12" s="31">
        <v>134</v>
      </c>
      <c r="D12" s="32" t="s">
        <v>232</v>
      </c>
      <c r="E12" s="32" t="s">
        <v>25</v>
      </c>
      <c r="F12" s="32" t="s">
        <v>233</v>
      </c>
      <c r="G12" s="32" t="s">
        <v>17</v>
      </c>
      <c r="H12" s="32" t="s">
        <v>10</v>
      </c>
      <c r="I12" s="32"/>
      <c r="J12" s="33">
        <v>36437</v>
      </c>
      <c r="K12" s="34"/>
      <c r="L12" s="34">
        <f t="shared" si="0"/>
        <v>2019</v>
      </c>
      <c r="M12" s="32" t="s">
        <v>11</v>
      </c>
      <c r="N12" s="32"/>
      <c r="O12" s="32" t="s">
        <v>12</v>
      </c>
      <c r="P12" s="32"/>
      <c r="Q12" s="32" t="s">
        <v>18</v>
      </c>
      <c r="R12" s="32"/>
      <c r="S12" s="32"/>
      <c r="T12" s="32"/>
      <c r="U12" s="32"/>
      <c r="V12" s="32"/>
      <c r="W12" s="32"/>
    </row>
    <row r="13" spans="1:23" ht="15.75" thickBot="1">
      <c r="A13" s="37"/>
      <c r="B13" s="19"/>
      <c r="C13" s="16">
        <v>81</v>
      </c>
      <c r="D13" s="15" t="s">
        <v>615</v>
      </c>
      <c r="E13" s="15" t="s">
        <v>25</v>
      </c>
      <c r="F13" s="15" t="s">
        <v>616</v>
      </c>
      <c r="G13" s="15" t="s">
        <v>9</v>
      </c>
      <c r="H13" s="15" t="s">
        <v>23</v>
      </c>
      <c r="I13" s="15"/>
      <c r="J13" s="20">
        <v>31047</v>
      </c>
      <c r="K13" s="21"/>
      <c r="L13" s="18">
        <f>2019-K13</f>
        <v>2019</v>
      </c>
      <c r="M13" s="15" t="s">
        <v>11</v>
      </c>
      <c r="N13" s="15"/>
      <c r="O13" s="15" t="s">
        <v>36</v>
      </c>
      <c r="P13" s="15"/>
      <c r="Q13" s="15" t="s">
        <v>13</v>
      </c>
      <c r="R13" s="15"/>
      <c r="S13" s="15"/>
      <c r="T13" s="15"/>
      <c r="U13" s="15"/>
      <c r="V13" s="15"/>
      <c r="W13" s="15"/>
    </row>
    <row r="14" spans="1:23" s="46" customFormat="1" ht="15.75" thickBot="1">
      <c r="A14" s="39"/>
      <c r="B14" s="40"/>
      <c r="C14" s="41">
        <v>173</v>
      </c>
      <c r="D14" s="42" t="s">
        <v>1007</v>
      </c>
      <c r="E14" s="42" t="s">
        <v>408</v>
      </c>
      <c r="F14" s="42" t="s">
        <v>1008</v>
      </c>
      <c r="G14" s="42" t="s">
        <v>9</v>
      </c>
      <c r="H14" s="42" t="s">
        <v>23</v>
      </c>
      <c r="I14" s="42"/>
      <c r="J14" s="43">
        <v>32873</v>
      </c>
      <c r="K14" s="44"/>
      <c r="L14" s="45">
        <f>2019-K14</f>
        <v>2019</v>
      </c>
      <c r="M14" s="42" t="s">
        <v>11</v>
      </c>
      <c r="N14" s="42"/>
      <c r="O14" s="42" t="s">
        <v>12</v>
      </c>
      <c r="P14" s="42"/>
      <c r="Q14" s="42" t="s">
        <v>24</v>
      </c>
      <c r="R14" s="42"/>
      <c r="S14" s="42"/>
      <c r="T14" s="42"/>
      <c r="U14" s="42"/>
      <c r="V14" s="42"/>
      <c r="W14" s="42"/>
    </row>
    <row r="15" spans="1:23" s="35" customFormat="1">
      <c r="A15" s="46"/>
      <c r="B15" s="46"/>
      <c r="C15" s="31">
        <v>189</v>
      </c>
      <c r="D15" s="32" t="s">
        <v>363</v>
      </c>
      <c r="E15" s="32" t="s">
        <v>25</v>
      </c>
      <c r="F15" s="32" t="s">
        <v>1409</v>
      </c>
      <c r="G15" s="32" t="s">
        <v>17</v>
      </c>
      <c r="H15" s="32" t="s">
        <v>23</v>
      </c>
      <c r="I15" s="32" t="s">
        <v>1387</v>
      </c>
      <c r="J15" s="33">
        <v>34094</v>
      </c>
      <c r="K15" s="34">
        <v>1993</v>
      </c>
      <c r="L15" s="34">
        <f t="shared" ref="L15:L20" si="1">2019-K15</f>
        <v>26</v>
      </c>
      <c r="M15" s="32" t="s">
        <v>11</v>
      </c>
      <c r="N15" s="32" t="s">
        <v>1369</v>
      </c>
      <c r="O15" s="32" t="s">
        <v>1393</v>
      </c>
      <c r="P15" s="32"/>
      <c r="Q15" s="32" t="s">
        <v>49</v>
      </c>
      <c r="R15" s="32"/>
      <c r="S15" s="32"/>
      <c r="T15" s="32"/>
      <c r="U15" s="32"/>
      <c r="V15" s="32"/>
      <c r="W15" s="32"/>
    </row>
    <row r="16" spans="1:23" s="35" customFormat="1" ht="15.75" thickBot="1">
      <c r="A16" s="30"/>
      <c r="B16" s="36"/>
      <c r="C16" s="31">
        <v>94</v>
      </c>
      <c r="D16" s="32" t="s">
        <v>171</v>
      </c>
      <c r="E16" s="32" t="s">
        <v>25</v>
      </c>
      <c r="F16" s="32" t="s">
        <v>172</v>
      </c>
      <c r="G16" s="32" t="s">
        <v>17</v>
      </c>
      <c r="H16" s="32" t="s">
        <v>23</v>
      </c>
      <c r="I16" s="32" t="s">
        <v>1387</v>
      </c>
      <c r="J16" s="33">
        <v>35940</v>
      </c>
      <c r="K16" s="34"/>
      <c r="L16" s="34">
        <f t="shared" si="1"/>
        <v>2019</v>
      </c>
      <c r="M16" s="32" t="s">
        <v>11</v>
      </c>
      <c r="N16" s="32"/>
      <c r="O16" s="32" t="s">
        <v>12</v>
      </c>
      <c r="P16" s="32"/>
      <c r="Q16" s="32" t="s">
        <v>18</v>
      </c>
      <c r="R16" s="32"/>
      <c r="S16" s="32"/>
      <c r="T16" s="32"/>
      <c r="U16" s="32"/>
      <c r="V16" s="32"/>
      <c r="W16" s="32"/>
    </row>
    <row r="17" spans="1:23" ht="15.75" thickBot="1">
      <c r="C17" s="16">
        <v>283</v>
      </c>
      <c r="D17" s="15" t="s">
        <v>1155</v>
      </c>
      <c r="E17" s="15" t="s">
        <v>25</v>
      </c>
      <c r="F17" s="15" t="s">
        <v>1156</v>
      </c>
      <c r="G17" s="15" t="s">
        <v>17</v>
      </c>
      <c r="H17" s="15" t="s">
        <v>23</v>
      </c>
      <c r="I17" s="15"/>
      <c r="J17" s="20">
        <v>33486</v>
      </c>
      <c r="K17" s="28">
        <v>1991</v>
      </c>
      <c r="L17" s="27">
        <f t="shared" si="1"/>
        <v>28</v>
      </c>
      <c r="M17" s="15" t="s">
        <v>11</v>
      </c>
      <c r="N17" s="15" t="s">
        <v>1369</v>
      </c>
      <c r="O17" s="15" t="s">
        <v>36</v>
      </c>
      <c r="P17" s="15"/>
      <c r="Q17" s="15" t="s">
        <v>13</v>
      </c>
      <c r="R17" s="17"/>
      <c r="S17" s="17"/>
      <c r="T17" s="17"/>
      <c r="U17" s="17"/>
      <c r="V17" s="17"/>
      <c r="W17" s="17"/>
    </row>
    <row r="18" spans="1:23" ht="15.75" thickBot="1">
      <c r="C18" s="22">
        <v>147</v>
      </c>
      <c r="D18" s="15" t="s">
        <v>1344</v>
      </c>
      <c r="E18" s="15" t="s">
        <v>25</v>
      </c>
      <c r="F18" s="15" t="s">
        <v>1345</v>
      </c>
      <c r="G18" s="15" t="s">
        <v>17</v>
      </c>
      <c r="H18" s="15" t="s">
        <v>23</v>
      </c>
      <c r="I18" s="15" t="s">
        <v>1368</v>
      </c>
      <c r="J18" s="20">
        <v>34598</v>
      </c>
      <c r="K18" s="28">
        <v>1994</v>
      </c>
      <c r="L18" s="27">
        <f t="shared" si="1"/>
        <v>25</v>
      </c>
      <c r="M18" s="15" t="s">
        <v>11</v>
      </c>
      <c r="N18" s="15" t="s">
        <v>1369</v>
      </c>
      <c r="O18" s="15" t="s">
        <v>12</v>
      </c>
      <c r="P18" s="15"/>
      <c r="Q18" s="15" t="s">
        <v>18</v>
      </c>
      <c r="R18" s="15"/>
      <c r="S18" s="15"/>
      <c r="T18" s="15"/>
      <c r="U18" s="15"/>
      <c r="V18" s="15"/>
      <c r="W18" s="15"/>
    </row>
    <row r="19" spans="1:23" ht="15.75" thickBot="1">
      <c r="C19" s="22">
        <v>133</v>
      </c>
      <c r="D19" s="15" t="s">
        <v>257</v>
      </c>
      <c r="E19" s="15" t="s">
        <v>408</v>
      </c>
      <c r="F19" s="15" t="s">
        <v>1325</v>
      </c>
      <c r="G19" s="15" t="s">
        <v>17</v>
      </c>
      <c r="H19" s="15" t="s">
        <v>23</v>
      </c>
      <c r="I19" s="15" t="s">
        <v>1368</v>
      </c>
      <c r="J19" s="20">
        <v>34488</v>
      </c>
      <c r="K19" s="28">
        <v>1994</v>
      </c>
      <c r="L19" s="27">
        <f t="shared" si="1"/>
        <v>25</v>
      </c>
      <c r="M19" s="15" t="s">
        <v>11</v>
      </c>
      <c r="N19" s="15" t="s">
        <v>1369</v>
      </c>
      <c r="O19" s="15" t="s">
        <v>33</v>
      </c>
      <c r="P19" s="15"/>
      <c r="Q19" s="15" t="s">
        <v>1555</v>
      </c>
      <c r="R19" s="15"/>
      <c r="S19" s="15"/>
      <c r="T19" s="15"/>
      <c r="U19" s="15"/>
      <c r="V19" s="15"/>
      <c r="W19" s="15"/>
    </row>
    <row r="20" spans="1:23" ht="15.75" thickBot="1">
      <c r="A20" s="37"/>
      <c r="C20" s="22">
        <v>75</v>
      </c>
      <c r="D20" s="15" t="s">
        <v>1255</v>
      </c>
      <c r="E20" s="15" t="s">
        <v>25</v>
      </c>
      <c r="F20" s="15" t="s">
        <v>1029</v>
      </c>
      <c r="G20" s="15" t="s">
        <v>17</v>
      </c>
      <c r="H20" s="15" t="s">
        <v>23</v>
      </c>
      <c r="I20" s="15" t="s">
        <v>1368</v>
      </c>
      <c r="J20" s="20">
        <v>31047</v>
      </c>
      <c r="K20" s="28">
        <v>1984</v>
      </c>
      <c r="L20" s="27">
        <f t="shared" si="1"/>
        <v>35</v>
      </c>
      <c r="M20" s="15" t="s">
        <v>11</v>
      </c>
      <c r="N20" s="15" t="s">
        <v>1369</v>
      </c>
      <c r="O20" s="15" t="s">
        <v>36</v>
      </c>
      <c r="P20" s="15"/>
      <c r="Q20" s="15"/>
      <c r="R20" s="15"/>
      <c r="S20" s="15"/>
      <c r="T20" s="15"/>
      <c r="U20" s="15"/>
      <c r="V20" s="15"/>
      <c r="W20" s="15"/>
    </row>
  </sheetData>
  <autoFilter ref="A6:W6"/>
  <mergeCells count="17">
    <mergeCell ref="N4:N5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L5"/>
    <mergeCell ref="M4:M5"/>
    <mergeCell ref="O4:O5"/>
    <mergeCell ref="P4:P5"/>
    <mergeCell ref="Q4:Q5"/>
    <mergeCell ref="R4:S4"/>
    <mergeCell ref="T4:W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4:W13"/>
  <sheetViews>
    <sheetView workbookViewId="0">
      <selection activeCell="A13" sqref="A13:XFD13"/>
    </sheetView>
  </sheetViews>
  <sheetFormatPr defaultRowHeight="15"/>
  <cols>
    <col min="10" max="10" width="15" customWidth="1"/>
  </cols>
  <sheetData>
    <row r="4" spans="1:23" s="1" customFormat="1" ht="15" customHeight="1">
      <c r="A4" s="146" t="s">
        <v>1349</v>
      </c>
      <c r="B4" s="146" t="s">
        <v>1350</v>
      </c>
      <c r="C4" s="146" t="s">
        <v>1351</v>
      </c>
      <c r="D4" s="146" t="s">
        <v>1352</v>
      </c>
      <c r="E4" s="146" t="s">
        <v>6</v>
      </c>
      <c r="F4" s="146" t="s">
        <v>7</v>
      </c>
      <c r="G4" s="146" t="s">
        <v>1</v>
      </c>
      <c r="H4" s="146" t="s">
        <v>2</v>
      </c>
      <c r="I4" s="146" t="s">
        <v>1353</v>
      </c>
      <c r="J4" s="146"/>
      <c r="K4" s="146"/>
      <c r="L4" s="147" t="s">
        <v>1357</v>
      </c>
      <c r="M4" s="146" t="s">
        <v>3</v>
      </c>
      <c r="N4" s="146" t="s">
        <v>1358</v>
      </c>
      <c r="O4" s="146" t="s">
        <v>4</v>
      </c>
      <c r="P4" s="146" t="s">
        <v>1359</v>
      </c>
      <c r="Q4" s="146" t="s">
        <v>5</v>
      </c>
      <c r="R4" s="146" t="s">
        <v>1362</v>
      </c>
      <c r="S4" s="146"/>
      <c r="T4" s="146" t="s">
        <v>1366</v>
      </c>
      <c r="U4" s="146"/>
      <c r="V4" s="146"/>
      <c r="W4" s="146"/>
    </row>
    <row r="5" spans="1:23" s="1" customFormat="1" ht="25.5">
      <c r="A5" s="146"/>
      <c r="B5" s="146"/>
      <c r="C5" s="146"/>
      <c r="D5" s="146"/>
      <c r="E5" s="146"/>
      <c r="F5" s="146"/>
      <c r="G5" s="146"/>
      <c r="H5" s="146"/>
      <c r="I5" s="6" t="s">
        <v>1354</v>
      </c>
      <c r="J5" s="8" t="s">
        <v>1355</v>
      </c>
      <c r="K5" s="12" t="s">
        <v>1356</v>
      </c>
      <c r="L5" s="147"/>
      <c r="M5" s="146"/>
      <c r="N5" s="146"/>
      <c r="O5" s="146"/>
      <c r="P5" s="146"/>
      <c r="Q5" s="146"/>
      <c r="R5" s="6" t="s">
        <v>1360</v>
      </c>
      <c r="S5" s="6" t="s">
        <v>1361</v>
      </c>
      <c r="T5" s="6" t="s">
        <v>14</v>
      </c>
      <c r="U5" s="6" t="s">
        <v>1363</v>
      </c>
      <c r="V5" s="7" t="s">
        <v>1364</v>
      </c>
      <c r="W5" s="6" t="s">
        <v>1365</v>
      </c>
    </row>
    <row r="6" spans="1:23" s="1" customFormat="1">
      <c r="A6" s="6"/>
      <c r="B6" s="6"/>
      <c r="C6" s="6"/>
      <c r="D6" s="6"/>
      <c r="E6" s="6"/>
      <c r="F6" s="6"/>
      <c r="G6" s="6"/>
      <c r="H6" s="6"/>
      <c r="I6" s="6"/>
      <c r="J6" s="8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7"/>
      <c r="W6" s="6"/>
    </row>
    <row r="7" spans="1:23" s="1" customFormat="1" ht="25.5">
      <c r="A7" s="3"/>
      <c r="B7" s="3"/>
      <c r="C7" s="2">
        <v>254</v>
      </c>
      <c r="D7" s="4" t="s">
        <v>398</v>
      </c>
      <c r="E7" s="4" t="s">
        <v>25</v>
      </c>
      <c r="F7" s="4">
        <v>0</v>
      </c>
      <c r="G7" s="4" t="s">
        <v>17</v>
      </c>
      <c r="H7" s="4" t="s">
        <v>23</v>
      </c>
      <c r="I7" s="4"/>
      <c r="J7" s="9">
        <v>42126</v>
      </c>
      <c r="K7" s="11"/>
      <c r="L7" s="11">
        <f t="shared" ref="L7:L8" si="0">2019-K7</f>
        <v>2019</v>
      </c>
      <c r="M7" s="4" t="s">
        <v>11</v>
      </c>
      <c r="N7" s="4"/>
      <c r="O7" s="4" t="s">
        <v>18</v>
      </c>
      <c r="P7" s="4"/>
      <c r="Q7" s="4" t="s">
        <v>18</v>
      </c>
      <c r="R7" s="4"/>
      <c r="S7" s="4"/>
      <c r="T7" s="4"/>
      <c r="U7" s="4"/>
      <c r="V7" s="4"/>
      <c r="W7" s="4"/>
    </row>
    <row r="8" spans="1:23" s="1" customFormat="1" ht="38.25">
      <c r="A8" s="3"/>
      <c r="B8" s="3"/>
      <c r="C8" s="2">
        <v>309</v>
      </c>
      <c r="D8" s="4" t="s">
        <v>452</v>
      </c>
      <c r="E8" s="4" t="s">
        <v>391</v>
      </c>
      <c r="F8" s="4" t="s">
        <v>454</v>
      </c>
      <c r="G8" s="4" t="s">
        <v>17</v>
      </c>
      <c r="H8" s="4" t="s">
        <v>67</v>
      </c>
      <c r="I8" s="4"/>
      <c r="J8" s="9" t="s">
        <v>453</v>
      </c>
      <c r="K8" s="11"/>
      <c r="L8" s="11">
        <f t="shared" si="0"/>
        <v>2019</v>
      </c>
      <c r="M8" s="4" t="s">
        <v>11</v>
      </c>
      <c r="N8" s="4"/>
      <c r="O8" s="4" t="s">
        <v>18</v>
      </c>
      <c r="P8" s="4"/>
      <c r="Q8" s="4" t="s">
        <v>24</v>
      </c>
      <c r="R8" s="4"/>
      <c r="S8" s="4"/>
      <c r="T8" s="4"/>
      <c r="U8" s="4"/>
      <c r="V8" s="4"/>
      <c r="W8" s="4"/>
    </row>
    <row r="9" spans="1:23" s="1" customFormat="1" ht="26.25" thickBot="1">
      <c r="A9" s="3"/>
      <c r="B9" s="3"/>
      <c r="C9" s="2">
        <v>151</v>
      </c>
      <c r="D9" s="4" t="s">
        <v>254</v>
      </c>
      <c r="E9" s="4" t="s">
        <v>124</v>
      </c>
      <c r="F9" s="4">
        <v>0</v>
      </c>
      <c r="G9" s="4" t="s">
        <v>17</v>
      </c>
      <c r="H9" s="4" t="s">
        <v>67</v>
      </c>
      <c r="I9" s="4"/>
      <c r="J9" s="9">
        <v>21557</v>
      </c>
      <c r="K9" s="11"/>
      <c r="L9" s="11">
        <f>2019-K9</f>
        <v>2019</v>
      </c>
      <c r="M9" s="4" t="s">
        <v>11</v>
      </c>
      <c r="N9" s="4"/>
      <c r="O9" s="4" t="s">
        <v>18</v>
      </c>
      <c r="P9" s="4"/>
      <c r="Q9" s="4" t="s">
        <v>24</v>
      </c>
      <c r="R9" s="4"/>
      <c r="S9" s="4"/>
      <c r="T9" s="4"/>
      <c r="U9" s="4"/>
      <c r="V9" s="4"/>
      <c r="W9" s="4"/>
    </row>
    <row r="10" spans="1:23" ht="15.75" thickBot="1">
      <c r="C10" s="16">
        <v>103</v>
      </c>
      <c r="D10" s="15" t="s">
        <v>912</v>
      </c>
      <c r="E10" s="15" t="s">
        <v>14</v>
      </c>
      <c r="F10" s="15" t="s">
        <v>913</v>
      </c>
      <c r="G10" s="15" t="s">
        <v>17</v>
      </c>
      <c r="H10" s="15" t="s">
        <v>67</v>
      </c>
      <c r="I10" s="15" t="s">
        <v>1368</v>
      </c>
      <c r="J10" s="20">
        <v>13697</v>
      </c>
      <c r="K10" s="28">
        <v>1937</v>
      </c>
      <c r="L10" s="27">
        <f t="shared" ref="L10:L11" si="1">2019-K10</f>
        <v>82</v>
      </c>
      <c r="M10" s="15" t="s">
        <v>11</v>
      </c>
      <c r="N10" s="15" t="s">
        <v>1369</v>
      </c>
      <c r="O10" s="15" t="s">
        <v>1425</v>
      </c>
      <c r="P10" s="15"/>
      <c r="Q10" s="15" t="s">
        <v>1371</v>
      </c>
      <c r="R10" s="15"/>
      <c r="S10" s="15"/>
      <c r="T10" s="15"/>
      <c r="U10" s="15"/>
      <c r="V10" s="15"/>
      <c r="W10" s="15"/>
    </row>
    <row r="11" spans="1:23" s="14" customFormat="1">
      <c r="A11"/>
      <c r="B11"/>
      <c r="C11" s="13">
        <v>188</v>
      </c>
      <c r="D11" s="47" t="s">
        <v>938</v>
      </c>
      <c r="E11" s="47" t="s">
        <v>25</v>
      </c>
      <c r="F11" s="47" t="s">
        <v>1408</v>
      </c>
      <c r="G11" s="47" t="s">
        <v>9</v>
      </c>
      <c r="H11" s="47" t="s">
        <v>23</v>
      </c>
      <c r="I11" s="47" t="s">
        <v>1387</v>
      </c>
      <c r="J11" s="23">
        <v>33187</v>
      </c>
      <c r="K11" s="26">
        <v>1990</v>
      </c>
      <c r="L11" s="26">
        <f t="shared" si="1"/>
        <v>29</v>
      </c>
      <c r="M11" s="47" t="s">
        <v>11</v>
      </c>
      <c r="N11" s="47" t="s">
        <v>1369</v>
      </c>
      <c r="O11" s="47" t="s">
        <v>1393</v>
      </c>
      <c r="P11" s="47"/>
      <c r="Q11" s="47" t="s">
        <v>49</v>
      </c>
      <c r="R11" s="47"/>
      <c r="S11" s="47"/>
      <c r="T11" s="47"/>
      <c r="U11" s="47"/>
      <c r="V11" s="47"/>
      <c r="W11" s="47"/>
    </row>
    <row r="12" spans="1:23" s="1" customFormat="1">
      <c r="A12"/>
      <c r="B12"/>
      <c r="C12" s="59">
        <v>367</v>
      </c>
      <c r="D12" s="60" t="s">
        <v>620</v>
      </c>
      <c r="E12" s="60" t="s">
        <v>14</v>
      </c>
      <c r="F12" s="60" t="s">
        <v>1381</v>
      </c>
      <c r="G12" s="60" t="s">
        <v>9</v>
      </c>
      <c r="H12" s="60" t="s">
        <v>10</v>
      </c>
      <c r="I12" s="60" t="s">
        <v>1368</v>
      </c>
      <c r="J12" s="61">
        <v>24654</v>
      </c>
      <c r="K12" s="62">
        <v>1967</v>
      </c>
      <c r="L12" s="62">
        <f>2019-K12</f>
        <v>52</v>
      </c>
      <c r="M12" s="60" t="s">
        <v>11</v>
      </c>
      <c r="N12" s="60" t="s">
        <v>1369</v>
      </c>
      <c r="O12" s="60" t="s">
        <v>18</v>
      </c>
      <c r="P12" s="60"/>
      <c r="Q12" s="60" t="s">
        <v>1371</v>
      </c>
      <c r="R12" s="60"/>
      <c r="S12" s="60"/>
      <c r="T12" s="60"/>
      <c r="U12" s="60"/>
      <c r="V12" s="60"/>
      <c r="W12" s="60"/>
    </row>
    <row r="13" spans="1:23" s="32" customFormat="1">
      <c r="B13" s="63"/>
      <c r="C13" s="63"/>
      <c r="D13" s="32">
        <v>263</v>
      </c>
      <c r="E13" s="32" t="s">
        <v>1134</v>
      </c>
      <c r="F13" s="32" t="s">
        <v>14</v>
      </c>
      <c r="G13" s="32" t="s">
        <v>1135</v>
      </c>
      <c r="H13" s="32" t="s">
        <v>9</v>
      </c>
      <c r="I13" s="32" t="s">
        <v>10</v>
      </c>
      <c r="J13" s="32" t="s">
        <v>1387</v>
      </c>
      <c r="K13" s="33">
        <v>31412</v>
      </c>
      <c r="L13" s="34"/>
      <c r="M13" s="34">
        <f t="shared" ref="M13" si="2">2019-L13</f>
        <v>2019</v>
      </c>
      <c r="N13" s="32" t="s">
        <v>11</v>
      </c>
      <c r="O13" s="32" t="s">
        <v>1369</v>
      </c>
      <c r="P13" s="32" t="s">
        <v>18</v>
      </c>
      <c r="R13" s="32" t="s">
        <v>24</v>
      </c>
    </row>
  </sheetData>
  <mergeCells count="17">
    <mergeCell ref="O4:O5"/>
    <mergeCell ref="P4:P5"/>
    <mergeCell ref="Q4:Q5"/>
    <mergeCell ref="R4:S4"/>
    <mergeCell ref="T4:W4"/>
    <mergeCell ref="N4:N5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L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Rekap</vt:lpstr>
      <vt:lpstr>RT 01</vt:lpstr>
      <vt:lpstr>RT 02</vt:lpstr>
      <vt:lpstr>RT 03</vt:lpstr>
      <vt:lpstr>RT 04</vt:lpstr>
      <vt:lpstr>Jumlah Semua</vt:lpstr>
      <vt:lpstr>Pindah Keluar</vt:lpstr>
      <vt:lpstr>Meninggal</vt:lpstr>
      <vt:lpstr>Rekap!Print_Area</vt:lpstr>
      <vt:lpstr>'RT 01'!Print_Area</vt:lpstr>
      <vt:lpstr>'RT 02'!Print_Area</vt:lpstr>
      <vt:lpstr>'RT 03'!Print_Area</vt:lpstr>
      <vt:lpstr>'RT 04'!Print_Area</vt:lpstr>
      <vt:lpstr>'RT 01'!Print_Titles</vt:lpstr>
      <vt:lpstr>'RT 02'!Print_Titles</vt:lpstr>
      <vt:lpstr>'RT 03'!Print_Titles</vt:lpstr>
      <vt:lpstr>'RT 04'!Print_Titles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ABDUL_MUHID</dc:creator>
  <cp:lastModifiedBy>user</cp:lastModifiedBy>
  <cp:lastPrinted>2019-08-30T23:10:18Z</cp:lastPrinted>
  <dcterms:created xsi:type="dcterms:W3CDTF">2015-09-27T13:57:57Z</dcterms:created>
  <dcterms:modified xsi:type="dcterms:W3CDTF">2020-05-02T08:23:27Z</dcterms:modified>
</cp:coreProperties>
</file>